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17D48CAC-4557-4349-8DB0-BF27D09682BB}" xr6:coauthVersionLast="47" xr6:coauthVersionMax="47" xr10:uidLastSave="{00000000-0000-0000-0000-000000000000}"/>
  <bookViews>
    <workbookView xWindow="28680" yWindow="-120" windowWidth="29040" windowHeight="15720" xr2:uid="{FE3D7262-0A0B-42AF-8B0B-7D7ABF7C1CE9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X174" i="1"/>
  <c r="AV174" i="1"/>
  <c r="AU174" i="1"/>
  <c r="AM174" i="1"/>
  <c r="AK174" i="1"/>
  <c r="AJ174" i="1"/>
  <c r="AX173" i="1"/>
  <c r="AV173" i="1"/>
  <c r="AU173" i="1"/>
  <c r="AY174" i="1" s="1"/>
  <c r="AM173" i="1"/>
  <c r="AK173" i="1"/>
  <c r="AJ173" i="1"/>
  <c r="AX172" i="1"/>
  <c r="AV172" i="1"/>
  <c r="AU172" i="1"/>
  <c r="AM172" i="1"/>
  <c r="AK172" i="1"/>
  <c r="AJ172" i="1"/>
  <c r="AN173" i="1" s="1"/>
  <c r="AX171" i="1"/>
  <c r="AV171" i="1"/>
  <c r="AU171" i="1"/>
  <c r="AM171" i="1"/>
  <c r="AK171" i="1"/>
  <c r="AJ171" i="1"/>
  <c r="AX170" i="1"/>
  <c r="AV170" i="1"/>
  <c r="AU170" i="1"/>
  <c r="AM170" i="1"/>
  <c r="AK170" i="1"/>
  <c r="AJ170" i="1"/>
  <c r="AN171" i="1" s="1"/>
  <c r="AX169" i="1"/>
  <c r="AV169" i="1"/>
  <c r="AU169" i="1"/>
  <c r="AM169" i="1"/>
  <c r="AK169" i="1"/>
  <c r="AJ169" i="1"/>
  <c r="AN170" i="1" s="1"/>
  <c r="AX168" i="1"/>
  <c r="AV168" i="1"/>
  <c r="AU168" i="1"/>
  <c r="AM168" i="1"/>
  <c r="AK168" i="1"/>
  <c r="AJ168" i="1"/>
  <c r="AN169" i="1" s="1"/>
  <c r="AX167" i="1"/>
  <c r="AV167" i="1"/>
  <c r="AU167" i="1"/>
  <c r="AM167" i="1"/>
  <c r="AK167" i="1"/>
  <c r="AJ167" i="1"/>
  <c r="AX166" i="1"/>
  <c r="AV166" i="1"/>
  <c r="AU166" i="1"/>
  <c r="AY167" i="1" s="1"/>
  <c r="AM166" i="1"/>
  <c r="AK166" i="1"/>
  <c r="AJ166" i="1"/>
  <c r="AN167" i="1" s="1"/>
  <c r="AX165" i="1"/>
  <c r="AV165" i="1"/>
  <c r="AU165" i="1"/>
  <c r="AY166" i="1" s="1"/>
  <c r="AM165" i="1"/>
  <c r="AK165" i="1"/>
  <c r="AJ165" i="1"/>
  <c r="AX164" i="1"/>
  <c r="AV164" i="1"/>
  <c r="AU164" i="1"/>
  <c r="AM164" i="1"/>
  <c r="AK164" i="1"/>
  <c r="AJ164" i="1"/>
  <c r="AN165" i="1" s="1"/>
  <c r="AX163" i="1"/>
  <c r="AV163" i="1"/>
  <c r="AU163" i="1"/>
  <c r="AY164" i="1" s="1"/>
  <c r="AM163" i="1"/>
  <c r="AK163" i="1"/>
  <c r="AJ163" i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N161" i="1" s="1"/>
  <c r="AX159" i="1"/>
  <c r="AV159" i="1"/>
  <c r="AU159" i="1"/>
  <c r="AY160" i="1" s="1"/>
  <c r="AM159" i="1"/>
  <c r="AK159" i="1"/>
  <c r="AJ159" i="1"/>
  <c r="AX158" i="1"/>
  <c r="AV158" i="1"/>
  <c r="AU158" i="1"/>
  <c r="AM158" i="1"/>
  <c r="AK158" i="1"/>
  <c r="AJ158" i="1"/>
  <c r="AX157" i="1"/>
  <c r="AV157" i="1"/>
  <c r="AU157" i="1"/>
  <c r="AY158" i="1" s="1"/>
  <c r="AM157" i="1"/>
  <c r="AK157" i="1"/>
  <c r="AJ157" i="1"/>
  <c r="AX156" i="1"/>
  <c r="AV156" i="1"/>
  <c r="AU156" i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N156" i="1" s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N154" i="1" s="1"/>
  <c r="AX152" i="1"/>
  <c r="AV152" i="1"/>
  <c r="AU152" i="1"/>
  <c r="AY153" i="1" s="1"/>
  <c r="AM152" i="1"/>
  <c r="AK152" i="1"/>
  <c r="AJ152" i="1"/>
  <c r="AX151" i="1"/>
  <c r="AV151" i="1"/>
  <c r="AU151" i="1"/>
  <c r="AY152" i="1" s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X149" i="1"/>
  <c r="AV149" i="1"/>
  <c r="AU149" i="1"/>
  <c r="AY150" i="1" s="1"/>
  <c r="AM149" i="1"/>
  <c r="AK149" i="1"/>
  <c r="AJ149" i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Y146" i="1" s="1"/>
  <c r="AM145" i="1"/>
  <c r="AK145" i="1"/>
  <c r="AJ145" i="1"/>
  <c r="AN146" i="1" s="1"/>
  <c r="AX144" i="1"/>
  <c r="AV144" i="1"/>
  <c r="AU144" i="1"/>
  <c r="AY145" i="1" s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M142" i="1"/>
  <c r="AK142" i="1"/>
  <c r="AJ142" i="1"/>
  <c r="AN143" i="1" s="1"/>
  <c r="AX141" i="1"/>
  <c r="AV141" i="1"/>
  <c r="AU141" i="1"/>
  <c r="AM141" i="1"/>
  <c r="AK141" i="1"/>
  <c r="AJ141" i="1"/>
  <c r="AX140" i="1"/>
  <c r="AV140" i="1"/>
  <c r="AU140" i="1"/>
  <c r="AM140" i="1"/>
  <c r="AK140" i="1"/>
  <c r="AJ140" i="1"/>
  <c r="AX139" i="1"/>
  <c r="AV139" i="1"/>
  <c r="AU139" i="1"/>
  <c r="AM139" i="1"/>
  <c r="AK139" i="1"/>
  <c r="AJ139" i="1"/>
  <c r="AX138" i="1"/>
  <c r="AV138" i="1"/>
  <c r="AU138" i="1"/>
  <c r="AM138" i="1"/>
  <c r="AK138" i="1"/>
  <c r="AJ138" i="1"/>
  <c r="AX137" i="1"/>
  <c r="AV137" i="1"/>
  <c r="AU137" i="1"/>
  <c r="AM137" i="1"/>
  <c r="AK137" i="1"/>
  <c r="AJ137" i="1"/>
  <c r="AN138" i="1" s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Y135" i="1" s="1"/>
  <c r="AM134" i="1"/>
  <c r="AK134" i="1"/>
  <c r="AJ134" i="1"/>
  <c r="AN135" i="1" s="1"/>
  <c r="AX133" i="1"/>
  <c r="AV133" i="1"/>
  <c r="AU133" i="1"/>
  <c r="AY134" i="1" s="1"/>
  <c r="AM133" i="1"/>
  <c r="AK133" i="1"/>
  <c r="AJ133" i="1"/>
  <c r="AN134" i="1" s="1"/>
  <c r="AX132" i="1"/>
  <c r="AV132" i="1"/>
  <c r="AU132" i="1"/>
  <c r="AM132" i="1"/>
  <c r="AK132" i="1"/>
  <c r="AJ132" i="1"/>
  <c r="AX131" i="1"/>
  <c r="AV131" i="1"/>
  <c r="AU131" i="1"/>
  <c r="AM131" i="1"/>
  <c r="AK131" i="1"/>
  <c r="AJ131" i="1"/>
  <c r="AX130" i="1"/>
  <c r="AV130" i="1"/>
  <c r="AU130" i="1"/>
  <c r="AM130" i="1"/>
  <c r="AK130" i="1"/>
  <c r="AJ130" i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M128" i="1"/>
  <c r="AK128" i="1"/>
  <c r="AJ128" i="1"/>
  <c r="AX127" i="1"/>
  <c r="AV127" i="1"/>
  <c r="AU127" i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X121" i="1"/>
  <c r="AV121" i="1"/>
  <c r="AU121" i="1"/>
  <c r="AM121" i="1"/>
  <c r="AK121" i="1"/>
  <c r="AJ121" i="1"/>
  <c r="AX120" i="1"/>
  <c r="AV120" i="1"/>
  <c r="AU120" i="1"/>
  <c r="AY121" i="1" s="1"/>
  <c r="AM120" i="1"/>
  <c r="AK120" i="1"/>
  <c r="AJ120" i="1"/>
  <c r="AX119" i="1"/>
  <c r="AV119" i="1"/>
  <c r="AU119" i="1"/>
  <c r="AY120" i="1" s="1"/>
  <c r="AM119" i="1"/>
  <c r="AK119" i="1"/>
  <c r="AJ119" i="1"/>
  <c r="AX118" i="1"/>
  <c r="AV118" i="1"/>
  <c r="AU118" i="1"/>
  <c r="AM118" i="1"/>
  <c r="AK118" i="1"/>
  <c r="AJ118" i="1"/>
  <c r="AX117" i="1"/>
  <c r="AV117" i="1"/>
  <c r="AU117" i="1"/>
  <c r="AM117" i="1"/>
  <c r="AK117" i="1"/>
  <c r="AJ117" i="1"/>
  <c r="AX116" i="1"/>
  <c r="AV116" i="1"/>
  <c r="AU116" i="1"/>
  <c r="AM116" i="1"/>
  <c r="AK116" i="1"/>
  <c r="AJ116" i="1"/>
  <c r="AX115" i="1"/>
  <c r="AV115" i="1"/>
  <c r="AU115" i="1"/>
  <c r="AM115" i="1"/>
  <c r="AK115" i="1"/>
  <c r="AJ115" i="1"/>
  <c r="AX114" i="1"/>
  <c r="AV114" i="1"/>
  <c r="AU114" i="1"/>
  <c r="AY115" i="1" s="1"/>
  <c r="AM114" i="1"/>
  <c r="AK114" i="1"/>
  <c r="AJ114" i="1"/>
  <c r="AX113" i="1"/>
  <c r="AV113" i="1"/>
  <c r="AU113" i="1"/>
  <c r="AM113" i="1"/>
  <c r="AK113" i="1"/>
  <c r="AJ113" i="1"/>
  <c r="AN114" i="1" s="1"/>
  <c r="AX112" i="1"/>
  <c r="AV112" i="1"/>
  <c r="AU112" i="1"/>
  <c r="AM112" i="1"/>
  <c r="AK112" i="1"/>
  <c r="AJ112" i="1"/>
  <c r="AX111" i="1"/>
  <c r="AV111" i="1"/>
  <c r="AU111" i="1"/>
  <c r="AM111" i="1"/>
  <c r="AK111" i="1"/>
  <c r="AJ111" i="1"/>
  <c r="AN112" i="1" s="1"/>
  <c r="AX110" i="1"/>
  <c r="AV110" i="1"/>
  <c r="AU110" i="1"/>
  <c r="AY111" i="1" s="1"/>
  <c r="AM110" i="1"/>
  <c r="AK110" i="1"/>
  <c r="AJ110" i="1"/>
  <c r="AX109" i="1"/>
  <c r="AV109" i="1"/>
  <c r="AU109" i="1"/>
  <c r="AM109" i="1"/>
  <c r="AK109" i="1"/>
  <c r="AJ109" i="1"/>
  <c r="AX108" i="1"/>
  <c r="AV108" i="1"/>
  <c r="AU108" i="1"/>
  <c r="AM108" i="1"/>
  <c r="AK108" i="1"/>
  <c r="AJ108" i="1"/>
  <c r="AX107" i="1"/>
  <c r="AV107" i="1"/>
  <c r="AU107" i="1"/>
  <c r="AY108" i="1" s="1"/>
  <c r="AM107" i="1"/>
  <c r="AK107" i="1"/>
  <c r="AJ107" i="1"/>
  <c r="AX106" i="1"/>
  <c r="AV106" i="1"/>
  <c r="AU106" i="1"/>
  <c r="AY107" i="1" s="1"/>
  <c r="AM106" i="1"/>
  <c r="AK106" i="1"/>
  <c r="AJ106" i="1"/>
  <c r="AX105" i="1"/>
  <c r="AV105" i="1"/>
  <c r="AU105" i="1"/>
  <c r="AM105" i="1"/>
  <c r="AK105" i="1"/>
  <c r="AJ105" i="1"/>
  <c r="AX104" i="1"/>
  <c r="AV104" i="1"/>
  <c r="AU104" i="1"/>
  <c r="AY105" i="1" s="1"/>
  <c r="AM104" i="1"/>
  <c r="AK104" i="1"/>
  <c r="AJ104" i="1"/>
  <c r="AX103" i="1"/>
  <c r="AV103" i="1"/>
  <c r="AU103" i="1"/>
  <c r="AM103" i="1"/>
  <c r="AK103" i="1"/>
  <c r="AJ103" i="1"/>
  <c r="AN104" i="1" s="1"/>
  <c r="AX102" i="1"/>
  <c r="AV102" i="1"/>
  <c r="AU102" i="1"/>
  <c r="AM102" i="1"/>
  <c r="AK102" i="1"/>
  <c r="AJ102" i="1"/>
  <c r="AX101" i="1"/>
  <c r="AV101" i="1"/>
  <c r="AU101" i="1"/>
  <c r="AY102" i="1" s="1"/>
  <c r="AM101" i="1"/>
  <c r="AK101" i="1"/>
  <c r="AJ101" i="1"/>
  <c r="AX100" i="1"/>
  <c r="AV100" i="1"/>
  <c r="AU100" i="1"/>
  <c r="AY101" i="1" s="1"/>
  <c r="AM100" i="1"/>
  <c r="AK100" i="1"/>
  <c r="AJ100" i="1"/>
  <c r="AN101" i="1" s="1"/>
  <c r="AX99" i="1"/>
  <c r="AV99" i="1"/>
  <c r="AU99" i="1"/>
  <c r="AM99" i="1"/>
  <c r="AK99" i="1"/>
  <c r="AJ99" i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X96" i="1"/>
  <c r="AV96" i="1"/>
  <c r="AU96" i="1"/>
  <c r="AY97" i="1" s="1"/>
  <c r="AM96" i="1"/>
  <c r="AK96" i="1"/>
  <c r="AJ96" i="1"/>
  <c r="AX95" i="1"/>
  <c r="AV95" i="1"/>
  <c r="AU95" i="1"/>
  <c r="AM95" i="1"/>
  <c r="AK95" i="1"/>
  <c r="AJ95" i="1"/>
  <c r="AN96" i="1" s="1"/>
  <c r="AX94" i="1"/>
  <c r="AV94" i="1"/>
  <c r="AU94" i="1"/>
  <c r="AM94" i="1"/>
  <c r="AK94" i="1"/>
  <c r="AJ94" i="1"/>
  <c r="AN95" i="1" s="1"/>
  <c r="AX93" i="1"/>
  <c r="AV93" i="1"/>
  <c r="AU93" i="1"/>
  <c r="AY94" i="1" s="1"/>
  <c r="AM93" i="1"/>
  <c r="AK93" i="1"/>
  <c r="AJ93" i="1"/>
  <c r="AX92" i="1"/>
  <c r="AV92" i="1"/>
  <c r="AU92" i="1"/>
  <c r="AM92" i="1"/>
  <c r="AK92" i="1"/>
  <c r="AJ92" i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X87" i="1"/>
  <c r="AV87" i="1"/>
  <c r="AU87" i="1"/>
  <c r="AM87" i="1"/>
  <c r="AK87" i="1"/>
  <c r="AJ87" i="1"/>
  <c r="AN88" i="1" s="1"/>
  <c r="AX86" i="1"/>
  <c r="AV86" i="1"/>
  <c r="AU86" i="1"/>
  <c r="AY87" i="1" s="1"/>
  <c r="AM86" i="1"/>
  <c r="AK86" i="1"/>
  <c r="AJ86" i="1"/>
  <c r="AX85" i="1"/>
  <c r="AV85" i="1"/>
  <c r="AU85" i="1"/>
  <c r="AY86" i="1" s="1"/>
  <c r="AM85" i="1"/>
  <c r="AK85" i="1"/>
  <c r="AJ85" i="1"/>
  <c r="AN86" i="1" s="1"/>
  <c r="AX84" i="1"/>
  <c r="AV84" i="1"/>
  <c r="AU84" i="1"/>
  <c r="AM84" i="1"/>
  <c r="AK84" i="1"/>
  <c r="AJ84" i="1"/>
  <c r="AX83" i="1"/>
  <c r="AV83" i="1"/>
  <c r="AU83" i="1"/>
  <c r="AY84" i="1" s="1"/>
  <c r="AM83" i="1"/>
  <c r="AK83" i="1"/>
  <c r="AJ83" i="1"/>
  <c r="AX82" i="1"/>
  <c r="AV82" i="1"/>
  <c r="AU82" i="1"/>
  <c r="AM82" i="1"/>
  <c r="AK82" i="1"/>
  <c r="AJ82" i="1"/>
  <c r="AX81" i="1"/>
  <c r="AV81" i="1"/>
  <c r="AU81" i="1"/>
  <c r="AM81" i="1"/>
  <c r="AK81" i="1"/>
  <c r="AJ81" i="1"/>
  <c r="AX80" i="1"/>
  <c r="AV80" i="1"/>
  <c r="AU80" i="1"/>
  <c r="AM80" i="1"/>
  <c r="AK80" i="1"/>
  <c r="AJ80" i="1"/>
  <c r="AX79" i="1"/>
  <c r="AV79" i="1"/>
  <c r="AU79" i="1"/>
  <c r="AM79" i="1"/>
  <c r="AK79" i="1"/>
  <c r="AJ79" i="1"/>
  <c r="AX78" i="1"/>
  <c r="AV78" i="1"/>
  <c r="AU78" i="1"/>
  <c r="AY79" i="1" s="1"/>
  <c r="AM78" i="1"/>
  <c r="AK78" i="1"/>
  <c r="AJ78" i="1"/>
  <c r="AN79" i="1" s="1"/>
  <c r="AX77" i="1"/>
  <c r="AV77" i="1"/>
  <c r="AU77" i="1"/>
  <c r="AM77" i="1"/>
  <c r="AK77" i="1"/>
  <c r="AJ77" i="1"/>
  <c r="AX76" i="1"/>
  <c r="AV76" i="1"/>
  <c r="AU76" i="1"/>
  <c r="AY77" i="1" s="1"/>
  <c r="AM76" i="1"/>
  <c r="AK76" i="1"/>
  <c r="AJ76" i="1"/>
  <c r="AN77" i="1" s="1"/>
  <c r="AX75" i="1"/>
  <c r="AV75" i="1"/>
  <c r="AU75" i="1"/>
  <c r="AM75" i="1"/>
  <c r="AK75" i="1"/>
  <c r="AJ75" i="1"/>
  <c r="AN76" i="1" s="1"/>
  <c r="AX74" i="1"/>
  <c r="AV74" i="1"/>
  <c r="AU74" i="1"/>
  <c r="AM74" i="1"/>
  <c r="AK74" i="1"/>
  <c r="AJ74" i="1"/>
  <c r="AX73" i="1"/>
  <c r="AV73" i="1"/>
  <c r="AU73" i="1"/>
  <c r="AY74" i="1" s="1"/>
  <c r="AM73" i="1"/>
  <c r="AK73" i="1"/>
  <c r="AJ73" i="1"/>
  <c r="AX72" i="1"/>
  <c r="AV72" i="1"/>
  <c r="AU72" i="1"/>
  <c r="AY73" i="1" s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Y70" i="1" s="1"/>
  <c r="AM69" i="1"/>
  <c r="AK69" i="1"/>
  <c r="AJ69" i="1"/>
  <c r="AX68" i="1"/>
  <c r="AV68" i="1"/>
  <c r="AU68" i="1"/>
  <c r="AY69" i="1" s="1"/>
  <c r="AM68" i="1"/>
  <c r="AK68" i="1"/>
  <c r="AJ68" i="1"/>
  <c r="AX67" i="1"/>
  <c r="AV67" i="1"/>
  <c r="AU67" i="1"/>
  <c r="AY68" i="1" s="1"/>
  <c r="AM67" i="1"/>
  <c r="AK67" i="1"/>
  <c r="AJ67" i="1"/>
  <c r="AX66" i="1"/>
  <c r="AV66" i="1"/>
  <c r="AU66" i="1"/>
  <c r="AM66" i="1"/>
  <c r="AK66" i="1"/>
  <c r="AJ66" i="1"/>
  <c r="AX65" i="1"/>
  <c r="AV65" i="1"/>
  <c r="AU65" i="1"/>
  <c r="AM65" i="1"/>
  <c r="AK65" i="1"/>
  <c r="AJ65" i="1"/>
  <c r="AX64" i="1"/>
  <c r="AV64" i="1"/>
  <c r="AU64" i="1"/>
  <c r="AY65" i="1" s="1"/>
  <c r="AM64" i="1"/>
  <c r="AK64" i="1"/>
  <c r="AJ64" i="1"/>
  <c r="AX63" i="1"/>
  <c r="AV63" i="1"/>
  <c r="AU63" i="1"/>
  <c r="AM63" i="1"/>
  <c r="AK63" i="1"/>
  <c r="AJ63" i="1"/>
  <c r="AX62" i="1"/>
  <c r="AV62" i="1"/>
  <c r="AU62" i="1"/>
  <c r="AM62" i="1"/>
  <c r="AK62" i="1"/>
  <c r="AJ62" i="1"/>
  <c r="AX61" i="1"/>
  <c r="AV61" i="1"/>
  <c r="AU61" i="1"/>
  <c r="AM61" i="1"/>
  <c r="AK61" i="1"/>
  <c r="AJ61" i="1"/>
  <c r="AX60" i="1"/>
  <c r="AV60" i="1"/>
  <c r="AU60" i="1"/>
  <c r="AY61" i="1" s="1"/>
  <c r="AM60" i="1"/>
  <c r="AK60" i="1"/>
  <c r="AJ60" i="1"/>
  <c r="AN61" i="1" s="1"/>
  <c r="AX59" i="1"/>
  <c r="AV59" i="1"/>
  <c r="AU59" i="1"/>
  <c r="AY60" i="1" s="1"/>
  <c r="AM59" i="1"/>
  <c r="AK59" i="1"/>
  <c r="AJ59" i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M56" i="1"/>
  <c r="AK56" i="1"/>
  <c r="AJ56" i="1"/>
  <c r="AX55" i="1"/>
  <c r="AV55" i="1"/>
  <c r="AU55" i="1"/>
  <c r="AY56" i="1" s="1"/>
  <c r="AM55" i="1"/>
  <c r="AK55" i="1"/>
  <c r="AJ55" i="1"/>
  <c r="AX54" i="1"/>
  <c r="AV54" i="1"/>
  <c r="AU54" i="1"/>
  <c r="AM54" i="1"/>
  <c r="AK54" i="1"/>
  <c r="AJ54" i="1"/>
  <c r="AX53" i="1"/>
  <c r="AV53" i="1"/>
  <c r="AU53" i="1"/>
  <c r="AY54" i="1" s="1"/>
  <c r="AM53" i="1"/>
  <c r="AK53" i="1"/>
  <c r="AJ53" i="1"/>
  <c r="AX52" i="1"/>
  <c r="AV52" i="1"/>
  <c r="AU52" i="1"/>
  <c r="AY53" i="1" s="1"/>
  <c r="AM52" i="1"/>
  <c r="AK52" i="1"/>
  <c r="AJ52" i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X49" i="1"/>
  <c r="AV49" i="1"/>
  <c r="AU49" i="1"/>
  <c r="AM49" i="1"/>
  <c r="AK49" i="1"/>
  <c r="AJ49" i="1"/>
  <c r="AX48" i="1"/>
  <c r="AV48" i="1"/>
  <c r="AU48" i="1"/>
  <c r="AM48" i="1"/>
  <c r="AK48" i="1"/>
  <c r="AJ48" i="1"/>
  <c r="AX47" i="1"/>
  <c r="AV47" i="1"/>
  <c r="AU47" i="1"/>
  <c r="AM47" i="1"/>
  <c r="AK47" i="1"/>
  <c r="AJ47" i="1"/>
  <c r="AX46" i="1"/>
  <c r="AV46" i="1"/>
  <c r="AU46" i="1"/>
  <c r="AM46" i="1"/>
  <c r="AK46" i="1"/>
  <c r="AJ46" i="1"/>
  <c r="AX45" i="1"/>
  <c r="AV45" i="1"/>
  <c r="AU45" i="1"/>
  <c r="AM45" i="1"/>
  <c r="AK45" i="1"/>
  <c r="AJ45" i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X42" i="1"/>
  <c r="AV42" i="1"/>
  <c r="AU42" i="1"/>
  <c r="AY43" i="1" s="1"/>
  <c r="AM42" i="1"/>
  <c r="AK42" i="1"/>
  <c r="AJ42" i="1"/>
  <c r="AX41" i="1"/>
  <c r="AV41" i="1"/>
  <c r="AU41" i="1"/>
  <c r="AM41" i="1"/>
  <c r="AK41" i="1"/>
  <c r="AJ41" i="1"/>
  <c r="AN42" i="1" s="1"/>
  <c r="AX40" i="1"/>
  <c r="AV40" i="1"/>
  <c r="AU40" i="1"/>
  <c r="AY41" i="1" s="1"/>
  <c r="AM40" i="1"/>
  <c r="AK40" i="1"/>
  <c r="AJ40" i="1"/>
  <c r="AX39" i="1"/>
  <c r="AV39" i="1"/>
  <c r="AU39" i="1"/>
  <c r="AM39" i="1"/>
  <c r="AK39" i="1"/>
  <c r="AJ39" i="1"/>
  <c r="AX38" i="1"/>
  <c r="AV38" i="1"/>
  <c r="AU38" i="1"/>
  <c r="AM38" i="1"/>
  <c r="AK38" i="1"/>
  <c r="AJ38" i="1"/>
  <c r="AX37" i="1"/>
  <c r="AV37" i="1"/>
  <c r="AU37" i="1"/>
  <c r="AM37" i="1"/>
  <c r="AK37" i="1"/>
  <c r="AJ37" i="1"/>
  <c r="AX36" i="1"/>
  <c r="AV36" i="1"/>
  <c r="AU36" i="1"/>
  <c r="AY37" i="1" s="1"/>
  <c r="AM36" i="1"/>
  <c r="AK36" i="1"/>
  <c r="AJ36" i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X33" i="1"/>
  <c r="AV33" i="1"/>
  <c r="AU33" i="1"/>
  <c r="AY34" i="1" s="1"/>
  <c r="AM33" i="1"/>
  <c r="AK33" i="1"/>
  <c r="AJ33" i="1"/>
  <c r="AX32" i="1"/>
  <c r="AV32" i="1"/>
  <c r="AU32" i="1"/>
  <c r="AM32" i="1"/>
  <c r="AK32" i="1"/>
  <c r="AJ32" i="1"/>
  <c r="AX31" i="1"/>
  <c r="AV31" i="1"/>
  <c r="AU31" i="1"/>
  <c r="AY32" i="1" s="1"/>
  <c r="AM31" i="1"/>
  <c r="AK31" i="1"/>
  <c r="AJ31" i="1"/>
  <c r="AX30" i="1"/>
  <c r="AV30" i="1"/>
  <c r="AU30" i="1"/>
  <c r="AM30" i="1"/>
  <c r="AK30" i="1"/>
  <c r="AJ30" i="1"/>
  <c r="AN31" i="1" s="1"/>
  <c r="AX29" i="1"/>
  <c r="AV29" i="1"/>
  <c r="AU29" i="1"/>
  <c r="AM29" i="1"/>
  <c r="AK29" i="1"/>
  <c r="AJ29" i="1"/>
  <c r="AX28" i="1"/>
  <c r="AV28" i="1"/>
  <c r="AU28" i="1"/>
  <c r="AY29" i="1" s="1"/>
  <c r="AM28" i="1"/>
  <c r="AK28" i="1"/>
  <c r="AJ28" i="1"/>
  <c r="AX27" i="1"/>
  <c r="AV27" i="1"/>
  <c r="AU27" i="1"/>
  <c r="AY28" i="1" s="1"/>
  <c r="AM27" i="1"/>
  <c r="AK27" i="1"/>
  <c r="AJ27" i="1"/>
  <c r="AX26" i="1"/>
  <c r="AV26" i="1"/>
  <c r="AU26" i="1"/>
  <c r="AM26" i="1"/>
  <c r="AK26" i="1"/>
  <c r="AJ26" i="1"/>
  <c r="AN27" i="1" s="1"/>
  <c r="AX25" i="1"/>
  <c r="AV25" i="1"/>
  <c r="AU25" i="1"/>
  <c r="AY26" i="1" s="1"/>
  <c r="AM25" i="1"/>
  <c r="AK25" i="1"/>
  <c r="AJ25" i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N24" i="1" s="1"/>
  <c r="AX22" i="1"/>
  <c r="AW22" i="1"/>
  <c r="AV22" i="1"/>
  <c r="AU22" i="1"/>
  <c r="AM22" i="1"/>
  <c r="AL22" i="1"/>
  <c r="AK22" i="1"/>
  <c r="AJ22" i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19" i="1" l="1"/>
  <c r="AY110" i="1"/>
  <c r="AY96" i="1"/>
  <c r="AY88" i="1"/>
  <c r="AY62" i="1"/>
  <c r="AY52" i="1"/>
  <c r="AY48" i="1"/>
  <c r="AY27" i="1"/>
  <c r="BA27" i="1" s="1"/>
  <c r="AY75" i="1"/>
  <c r="AY57" i="1"/>
  <c r="AY24" i="1"/>
  <c r="AY23" i="1"/>
  <c r="AY122" i="1"/>
  <c r="AY100" i="1"/>
  <c r="AY95" i="1"/>
  <c r="AY85" i="1"/>
  <c r="AY55" i="1"/>
  <c r="AY125" i="1"/>
  <c r="AZ125" i="1" s="1"/>
  <c r="AY118" i="1"/>
  <c r="AY114" i="1"/>
  <c r="AY93" i="1"/>
  <c r="AY83" i="1"/>
  <c r="AY66" i="1"/>
  <c r="AY58" i="1"/>
  <c r="AY117" i="1"/>
  <c r="AY139" i="1"/>
  <c r="AY67" i="1"/>
  <c r="AY49" i="1"/>
  <c r="AY46" i="1"/>
  <c r="AY175" i="1"/>
  <c r="AY141" i="1"/>
  <c r="AY47" i="1"/>
  <c r="AN132" i="1"/>
  <c r="AN81" i="1"/>
  <c r="AN67" i="1"/>
  <c r="AN150" i="1"/>
  <c r="AN110" i="1"/>
  <c r="AN176" i="1"/>
  <c r="AN140" i="1"/>
  <c r="AN159" i="1"/>
  <c r="AN151" i="1"/>
  <c r="AN103" i="1"/>
  <c r="AN50" i="1"/>
  <c r="AN80" i="1"/>
  <c r="AN40" i="1"/>
  <c r="AN23" i="1"/>
  <c r="AN129" i="1"/>
  <c r="AN142" i="1"/>
  <c r="AN148" i="1"/>
  <c r="AN133" i="1"/>
  <c r="AN113" i="1"/>
  <c r="AN108" i="1"/>
  <c r="AN82" i="1"/>
  <c r="AN74" i="1"/>
  <c r="AN38" i="1"/>
  <c r="AN29" i="1"/>
  <c r="AN62" i="1"/>
  <c r="AN69" i="1"/>
  <c r="AN30" i="1"/>
  <c r="AN64" i="1"/>
  <c r="AN39" i="1"/>
  <c r="AN153" i="1"/>
  <c r="AN131" i="1"/>
  <c r="AN109" i="1"/>
  <c r="AN75" i="1"/>
  <c r="AN71" i="1"/>
  <c r="AN68" i="1"/>
  <c r="AN65" i="1"/>
  <c r="AN63" i="1"/>
  <c r="AN172" i="1"/>
  <c r="AN160" i="1"/>
  <c r="AN106" i="1"/>
  <c r="AN128" i="1"/>
  <c r="AN141" i="1"/>
  <c r="AN33" i="1"/>
  <c r="AN46" i="1"/>
  <c r="AN34" i="1"/>
  <c r="AN168" i="1"/>
  <c r="AN78" i="1"/>
  <c r="AY42" i="1"/>
  <c r="AY116" i="1"/>
  <c r="AY40" i="1"/>
  <c r="AZ176" i="1"/>
  <c r="BA176" i="1"/>
  <c r="AW176" i="1"/>
  <c r="AO176" i="1"/>
  <c r="AP176" i="1"/>
  <c r="AL176" i="1"/>
  <c r="AZ175" i="1"/>
  <c r="BA175" i="1"/>
  <c r="AW175" i="1"/>
  <c r="AZ174" i="1"/>
  <c r="AW174" i="1"/>
  <c r="BA174" i="1"/>
  <c r="AO173" i="1"/>
  <c r="AP173" i="1"/>
  <c r="AL173" i="1"/>
  <c r="AN174" i="1" s="1"/>
  <c r="AP172" i="1"/>
  <c r="AL172" i="1"/>
  <c r="AO172" i="1"/>
  <c r="AQ172" i="1" s="1"/>
  <c r="AL171" i="1"/>
  <c r="AO171" i="1"/>
  <c r="AP171" i="1"/>
  <c r="AP170" i="1"/>
  <c r="AO170" i="1"/>
  <c r="AQ170" i="1" s="1"/>
  <c r="AL170" i="1"/>
  <c r="AL169" i="1"/>
  <c r="AO169" i="1"/>
  <c r="AP169" i="1"/>
  <c r="AP168" i="1"/>
  <c r="AO168" i="1"/>
  <c r="AQ168" i="1" s="1"/>
  <c r="AL168" i="1"/>
  <c r="AZ167" i="1"/>
  <c r="AW167" i="1"/>
  <c r="AY168" i="1" s="1"/>
  <c r="BA167" i="1"/>
  <c r="AO167" i="1"/>
  <c r="AL167" i="1"/>
  <c r="AP167" i="1"/>
  <c r="AZ166" i="1"/>
  <c r="AW166" i="1"/>
  <c r="BA166" i="1"/>
  <c r="AO165" i="1"/>
  <c r="AP165" i="1"/>
  <c r="AL165" i="1"/>
  <c r="AN166" i="1" s="1"/>
  <c r="AZ164" i="1"/>
  <c r="AW164" i="1"/>
  <c r="AY165" i="1" s="1"/>
  <c r="BA164" i="1"/>
  <c r="AZ163" i="1"/>
  <c r="AW163" i="1"/>
  <c r="BA163" i="1"/>
  <c r="BA162" i="1"/>
  <c r="AW162" i="1"/>
  <c r="AZ162" i="1"/>
  <c r="BB162" i="1" s="1"/>
  <c r="AZ161" i="1"/>
  <c r="AW161" i="1"/>
  <c r="BA161" i="1"/>
  <c r="AL161" i="1"/>
  <c r="AN162" i="1" s="1"/>
  <c r="AO161" i="1"/>
  <c r="AP161" i="1"/>
  <c r="BA160" i="1"/>
  <c r="AW160" i="1"/>
  <c r="AZ160" i="1"/>
  <c r="BB160" i="1" s="1"/>
  <c r="AO160" i="1"/>
  <c r="AL160" i="1"/>
  <c r="AP160" i="1"/>
  <c r="AP159" i="1"/>
  <c r="AL159" i="1"/>
  <c r="AO159" i="1"/>
  <c r="AQ159" i="1" s="1"/>
  <c r="AW158" i="1"/>
  <c r="AY159" i="1" s="1"/>
  <c r="BA158" i="1"/>
  <c r="AZ158" i="1"/>
  <c r="BB158" i="1" s="1"/>
  <c r="AL157" i="1"/>
  <c r="AN158" i="1" s="1"/>
  <c r="AP157" i="1"/>
  <c r="AO157" i="1"/>
  <c r="AQ157" i="1" s="1"/>
  <c r="AW156" i="1"/>
  <c r="AY157" i="1" s="1"/>
  <c r="AZ156" i="1"/>
  <c r="BA156" i="1"/>
  <c r="AP156" i="1"/>
  <c r="AL156" i="1"/>
  <c r="AO156" i="1"/>
  <c r="AQ156" i="1" s="1"/>
  <c r="AL155" i="1"/>
  <c r="AP155" i="1"/>
  <c r="AO155" i="1"/>
  <c r="AQ155" i="1" s="1"/>
  <c r="BA154" i="1"/>
  <c r="AW154" i="1"/>
  <c r="AY155" i="1" s="1"/>
  <c r="AZ154" i="1"/>
  <c r="BB154" i="1" s="1"/>
  <c r="AO154" i="1"/>
  <c r="AL154" i="1"/>
  <c r="AP154" i="1"/>
  <c r="BA153" i="1"/>
  <c r="AW153" i="1"/>
  <c r="AZ153" i="1"/>
  <c r="BB153" i="1" s="1"/>
  <c r="AO153" i="1"/>
  <c r="AP153" i="1"/>
  <c r="AL153" i="1"/>
  <c r="AZ152" i="1"/>
  <c r="BA152" i="1"/>
  <c r="AW152" i="1"/>
  <c r="AP152" i="1"/>
  <c r="AL152" i="1"/>
  <c r="AO152" i="1"/>
  <c r="AQ152" i="1" s="1"/>
  <c r="BA151" i="1"/>
  <c r="AZ151" i="1"/>
  <c r="BB151" i="1" s="1"/>
  <c r="AW151" i="1"/>
  <c r="AL151" i="1"/>
  <c r="AP151" i="1"/>
  <c r="AO151" i="1"/>
  <c r="AQ151" i="1" s="1"/>
  <c r="BE151" i="1" s="1"/>
  <c r="AW150" i="1"/>
  <c r="BA150" i="1"/>
  <c r="AZ150" i="1"/>
  <c r="BB150" i="1" s="1"/>
  <c r="AP150" i="1"/>
  <c r="AL150" i="1"/>
  <c r="AO150" i="1"/>
  <c r="AQ150" i="1" s="1"/>
  <c r="AZ149" i="1"/>
  <c r="AW149" i="1"/>
  <c r="BA149" i="1"/>
  <c r="AL149" i="1"/>
  <c r="AP149" i="1"/>
  <c r="AO149" i="1"/>
  <c r="AQ149" i="1" s="1"/>
  <c r="AW148" i="1"/>
  <c r="BA148" i="1"/>
  <c r="AZ148" i="1"/>
  <c r="BB148" i="1" s="1"/>
  <c r="AO148" i="1"/>
  <c r="AL148" i="1"/>
  <c r="AP148" i="1"/>
  <c r="BA147" i="1"/>
  <c r="AW147" i="1"/>
  <c r="AZ147" i="1"/>
  <c r="BB147" i="1" s="1"/>
  <c r="AO147" i="1"/>
  <c r="AL147" i="1"/>
  <c r="AP147" i="1"/>
  <c r="AZ146" i="1"/>
  <c r="AW146" i="1"/>
  <c r="BA146" i="1"/>
  <c r="AP146" i="1"/>
  <c r="AO146" i="1"/>
  <c r="AQ146" i="1" s="1"/>
  <c r="AL146" i="1"/>
  <c r="BA145" i="1"/>
  <c r="AZ145" i="1"/>
  <c r="BB145" i="1" s="1"/>
  <c r="AW145" i="1"/>
  <c r="AO145" i="1"/>
  <c r="AL145" i="1"/>
  <c r="AP145" i="1"/>
  <c r="BA144" i="1"/>
  <c r="AW144" i="1"/>
  <c r="AZ144" i="1"/>
  <c r="BB144" i="1" s="1"/>
  <c r="AO144" i="1"/>
  <c r="AL144" i="1"/>
  <c r="AP144" i="1"/>
  <c r="AP143" i="1"/>
  <c r="AO143" i="1"/>
  <c r="AQ143" i="1" s="1"/>
  <c r="AL143" i="1"/>
  <c r="AP142" i="1"/>
  <c r="AL142" i="1"/>
  <c r="AO142" i="1"/>
  <c r="AQ142" i="1" s="1"/>
  <c r="AW141" i="1"/>
  <c r="AY142" i="1" s="1"/>
  <c r="BA141" i="1"/>
  <c r="AZ141" i="1"/>
  <c r="BB141" i="1" s="1"/>
  <c r="AL141" i="1"/>
  <c r="AP141" i="1"/>
  <c r="AO141" i="1"/>
  <c r="AL140" i="1"/>
  <c r="AP140" i="1"/>
  <c r="AO140" i="1"/>
  <c r="BA139" i="1"/>
  <c r="AZ139" i="1"/>
  <c r="BB139" i="1" s="1"/>
  <c r="AW139" i="1"/>
  <c r="AY140" i="1" s="1"/>
  <c r="AL138" i="1"/>
  <c r="AN139" i="1" s="1"/>
  <c r="AP138" i="1"/>
  <c r="AO138" i="1"/>
  <c r="AP137" i="1"/>
  <c r="AL137" i="1"/>
  <c r="AO137" i="1"/>
  <c r="AQ137" i="1" s="1"/>
  <c r="BA136" i="1"/>
  <c r="AW136" i="1"/>
  <c r="AY137" i="1" s="1"/>
  <c r="AZ136" i="1"/>
  <c r="BB136" i="1" s="1"/>
  <c r="AL136" i="1"/>
  <c r="AP136" i="1"/>
  <c r="AO136" i="1"/>
  <c r="BA135" i="1"/>
  <c r="AW135" i="1"/>
  <c r="AZ135" i="1"/>
  <c r="BB135" i="1" s="1"/>
  <c r="AP135" i="1"/>
  <c r="AL135" i="1"/>
  <c r="AO135" i="1"/>
  <c r="AQ135" i="1" s="1"/>
  <c r="BA134" i="1"/>
  <c r="AW134" i="1"/>
  <c r="AZ134" i="1"/>
  <c r="BB134" i="1" s="1"/>
  <c r="AP134" i="1"/>
  <c r="AL134" i="1"/>
  <c r="AO134" i="1"/>
  <c r="AQ134" i="1" s="1"/>
  <c r="BE134" i="1" s="1"/>
  <c r="AO133" i="1"/>
  <c r="AP133" i="1"/>
  <c r="AL133" i="1"/>
  <c r="AL132" i="1"/>
  <c r="AP132" i="1"/>
  <c r="AO132" i="1"/>
  <c r="AQ132" i="1" s="1"/>
  <c r="AL131" i="1"/>
  <c r="AP131" i="1"/>
  <c r="AO131" i="1"/>
  <c r="AZ130" i="1"/>
  <c r="AW130" i="1"/>
  <c r="AY131" i="1" s="1"/>
  <c r="BA130" i="1"/>
  <c r="AL130" i="1"/>
  <c r="AP130" i="1"/>
  <c r="AO130" i="1"/>
  <c r="AQ130" i="1" s="1"/>
  <c r="AO129" i="1"/>
  <c r="AL129" i="1"/>
  <c r="AP129" i="1"/>
  <c r="AL128" i="1"/>
  <c r="AO128" i="1"/>
  <c r="AP128" i="1"/>
  <c r="BA127" i="1"/>
  <c r="AW127" i="1"/>
  <c r="AY128" i="1" s="1"/>
  <c r="AZ127" i="1"/>
  <c r="AZ126" i="1"/>
  <c r="AW126" i="1"/>
  <c r="BA126" i="1"/>
  <c r="AL126" i="1"/>
  <c r="AN127" i="1" s="1"/>
  <c r="AP126" i="1"/>
  <c r="AO126" i="1"/>
  <c r="AW125" i="1"/>
  <c r="BA125" i="1"/>
  <c r="AO125" i="1"/>
  <c r="AL125" i="1"/>
  <c r="AP125" i="1"/>
  <c r="AZ124" i="1"/>
  <c r="AW124" i="1"/>
  <c r="BA124" i="1"/>
  <c r="AP124" i="1"/>
  <c r="AL124" i="1"/>
  <c r="AO124" i="1"/>
  <c r="AQ124" i="1" s="1"/>
  <c r="AW123" i="1"/>
  <c r="AZ123" i="1"/>
  <c r="BA123" i="1"/>
  <c r="AW122" i="1"/>
  <c r="AZ122" i="1"/>
  <c r="BA122" i="1"/>
  <c r="BA121" i="1"/>
  <c r="AZ121" i="1"/>
  <c r="BB121" i="1" s="1"/>
  <c r="AW121" i="1"/>
  <c r="AZ120" i="1"/>
  <c r="BA120" i="1"/>
  <c r="AW120" i="1"/>
  <c r="AW119" i="1"/>
  <c r="BA119" i="1"/>
  <c r="AZ119" i="1"/>
  <c r="BB119" i="1" s="1"/>
  <c r="AW118" i="1"/>
  <c r="BA118" i="1"/>
  <c r="AZ118" i="1"/>
  <c r="BB118" i="1" s="1"/>
  <c r="AW117" i="1"/>
  <c r="AZ117" i="1"/>
  <c r="BA117" i="1"/>
  <c r="AZ116" i="1"/>
  <c r="BA116" i="1"/>
  <c r="AW116" i="1"/>
  <c r="AW115" i="1"/>
  <c r="AZ115" i="1"/>
  <c r="BA115" i="1"/>
  <c r="BA114" i="1"/>
  <c r="AZ114" i="1"/>
  <c r="BB114" i="1" s="1"/>
  <c r="AW114" i="1"/>
  <c r="AO114" i="1"/>
  <c r="AL114" i="1"/>
  <c r="AN115" i="1" s="1"/>
  <c r="AP114" i="1"/>
  <c r="AO112" i="1"/>
  <c r="AP112" i="1"/>
  <c r="AL112" i="1"/>
  <c r="AZ111" i="1"/>
  <c r="BA111" i="1"/>
  <c r="AW111" i="1"/>
  <c r="AY112" i="1" s="1"/>
  <c r="BA110" i="1"/>
  <c r="AW110" i="1"/>
  <c r="AZ110" i="1"/>
  <c r="AZ108" i="1"/>
  <c r="AW108" i="1"/>
  <c r="AY109" i="1" s="1"/>
  <c r="BA108" i="1"/>
  <c r="AZ107" i="1"/>
  <c r="AW107" i="1"/>
  <c r="BA107" i="1"/>
  <c r="BA105" i="1"/>
  <c r="AW105" i="1"/>
  <c r="AY106" i="1" s="1"/>
  <c r="AZ105" i="1"/>
  <c r="BB105" i="1" s="1"/>
  <c r="AL104" i="1"/>
  <c r="AN105" i="1" s="1"/>
  <c r="AP104" i="1"/>
  <c r="AO104" i="1"/>
  <c r="AZ102" i="1"/>
  <c r="AW102" i="1"/>
  <c r="AY103" i="1" s="1"/>
  <c r="BA102" i="1"/>
  <c r="AZ101" i="1"/>
  <c r="AW101" i="1"/>
  <c r="BA101" i="1"/>
  <c r="AL101" i="1"/>
  <c r="AN102" i="1" s="1"/>
  <c r="AO101" i="1"/>
  <c r="AP101" i="1"/>
  <c r="AW100" i="1"/>
  <c r="AZ100" i="1"/>
  <c r="BA100" i="1"/>
  <c r="BA99" i="1"/>
  <c r="AZ99" i="1"/>
  <c r="AW99" i="1"/>
  <c r="BA98" i="1"/>
  <c r="AZ98" i="1"/>
  <c r="BB98" i="1" s="1"/>
  <c r="AW98" i="1"/>
  <c r="AZ97" i="1"/>
  <c r="AW97" i="1"/>
  <c r="BA97" i="1"/>
  <c r="AZ96" i="1"/>
  <c r="AW96" i="1"/>
  <c r="BA96" i="1"/>
  <c r="AL96" i="1"/>
  <c r="AN97" i="1" s="1"/>
  <c r="AO96" i="1"/>
  <c r="AP96" i="1"/>
  <c r="AW95" i="1"/>
  <c r="BA95" i="1"/>
  <c r="AZ95" i="1"/>
  <c r="BB95" i="1" s="1"/>
  <c r="AO95" i="1"/>
  <c r="AP95" i="1"/>
  <c r="AL95" i="1"/>
  <c r="AW94" i="1"/>
  <c r="BA94" i="1"/>
  <c r="AZ94" i="1"/>
  <c r="BB94" i="1" s="1"/>
  <c r="BA93" i="1"/>
  <c r="AW93" i="1"/>
  <c r="AZ93" i="1"/>
  <c r="BB93" i="1" s="1"/>
  <c r="AW92" i="1"/>
  <c r="BA92" i="1"/>
  <c r="AZ92" i="1"/>
  <c r="AZ91" i="1"/>
  <c r="AW91" i="1"/>
  <c r="BA91" i="1"/>
  <c r="AZ90" i="1"/>
  <c r="AW90" i="1"/>
  <c r="BA90" i="1"/>
  <c r="AZ89" i="1"/>
  <c r="BA89" i="1"/>
  <c r="AW89" i="1"/>
  <c r="BA88" i="1"/>
  <c r="AW88" i="1"/>
  <c r="AZ88" i="1"/>
  <c r="BB88" i="1" s="1"/>
  <c r="AP88" i="1"/>
  <c r="AO88" i="1"/>
  <c r="AQ88" i="1" s="1"/>
  <c r="AL88" i="1"/>
  <c r="AN89" i="1" s="1"/>
  <c r="AW87" i="1"/>
  <c r="AZ87" i="1"/>
  <c r="BA87" i="1"/>
  <c r="BA86" i="1"/>
  <c r="AW86" i="1"/>
  <c r="AZ86" i="1"/>
  <c r="BB86" i="1" s="1"/>
  <c r="AL86" i="1"/>
  <c r="AN87" i="1" s="1"/>
  <c r="AO86" i="1"/>
  <c r="AP86" i="1"/>
  <c r="AZ85" i="1"/>
  <c r="BA85" i="1"/>
  <c r="AW85" i="1"/>
  <c r="AW84" i="1"/>
  <c r="AZ84" i="1"/>
  <c r="BA84" i="1"/>
  <c r="AZ83" i="1"/>
  <c r="BA83" i="1"/>
  <c r="AW83" i="1"/>
  <c r="AZ79" i="1"/>
  <c r="BA79" i="1"/>
  <c r="AW79" i="1"/>
  <c r="AY80" i="1" s="1"/>
  <c r="AO79" i="1"/>
  <c r="AL79" i="1"/>
  <c r="AP79" i="1"/>
  <c r="BA77" i="1"/>
  <c r="AZ77" i="1"/>
  <c r="BB77" i="1" s="1"/>
  <c r="AW77" i="1"/>
  <c r="AY78" i="1" s="1"/>
  <c r="AP77" i="1"/>
  <c r="AL77" i="1"/>
  <c r="AO77" i="1"/>
  <c r="AQ77" i="1" s="1"/>
  <c r="AP76" i="1"/>
  <c r="AL76" i="1"/>
  <c r="AO76" i="1"/>
  <c r="AQ76" i="1" s="1"/>
  <c r="AW75" i="1"/>
  <c r="AY76" i="1" s="1"/>
  <c r="AZ75" i="1"/>
  <c r="BA75" i="1"/>
  <c r="BA74" i="1"/>
  <c r="AW74" i="1"/>
  <c r="AZ74" i="1"/>
  <c r="BB74" i="1" s="1"/>
  <c r="AZ73" i="1"/>
  <c r="BA73" i="1"/>
  <c r="AW73" i="1"/>
  <c r="AL73" i="1"/>
  <c r="AO73" i="1"/>
  <c r="AP73" i="1"/>
  <c r="AO72" i="1"/>
  <c r="AL72" i="1"/>
  <c r="AP72" i="1"/>
  <c r="AZ71" i="1"/>
  <c r="BA71" i="1"/>
  <c r="AW71" i="1"/>
  <c r="AY72" i="1" s="1"/>
  <c r="AW70" i="1"/>
  <c r="AZ70" i="1"/>
  <c r="BA70" i="1"/>
  <c r="AZ69" i="1"/>
  <c r="AW69" i="1"/>
  <c r="BA69" i="1"/>
  <c r="AW68" i="1"/>
  <c r="AZ68" i="1"/>
  <c r="BA68" i="1"/>
  <c r="AZ67" i="1"/>
  <c r="AW67" i="1"/>
  <c r="BA67" i="1"/>
  <c r="AW66" i="1"/>
  <c r="BA66" i="1"/>
  <c r="AZ66" i="1"/>
  <c r="BB66" i="1" s="1"/>
  <c r="BA65" i="1"/>
  <c r="AW65" i="1"/>
  <c r="AZ65" i="1"/>
  <c r="BB65" i="1" s="1"/>
  <c r="BA62" i="1"/>
  <c r="AZ62" i="1"/>
  <c r="BB62" i="1" s="1"/>
  <c r="AW62" i="1"/>
  <c r="AY63" i="1" s="1"/>
  <c r="AZ61" i="1"/>
  <c r="BA61" i="1"/>
  <c r="AW61" i="1"/>
  <c r="AL61" i="1"/>
  <c r="AP61" i="1"/>
  <c r="AO61" i="1"/>
  <c r="AQ61" i="1" s="1"/>
  <c r="AZ60" i="1"/>
  <c r="AW60" i="1"/>
  <c r="BA60" i="1"/>
  <c r="AW59" i="1"/>
  <c r="BA59" i="1"/>
  <c r="AZ59" i="1"/>
  <c r="BB59" i="1" s="1"/>
  <c r="BA58" i="1"/>
  <c r="AW58" i="1"/>
  <c r="AZ58" i="1"/>
  <c r="BB58" i="1" s="1"/>
  <c r="AW57" i="1"/>
  <c r="AZ57" i="1"/>
  <c r="BA57" i="1"/>
  <c r="AW56" i="1"/>
  <c r="AZ56" i="1"/>
  <c r="BA56" i="1"/>
  <c r="AZ55" i="1"/>
  <c r="AW55" i="1"/>
  <c r="BA55" i="1"/>
  <c r="AW54" i="1"/>
  <c r="BA54" i="1"/>
  <c r="AZ54" i="1"/>
  <c r="BB54" i="1" s="1"/>
  <c r="AZ53" i="1"/>
  <c r="BA53" i="1"/>
  <c r="AW53" i="1"/>
  <c r="AW52" i="1"/>
  <c r="AZ52" i="1"/>
  <c r="BA52" i="1"/>
  <c r="AW51" i="1"/>
  <c r="BA51" i="1"/>
  <c r="AZ51" i="1"/>
  <c r="BB51" i="1" s="1"/>
  <c r="AW49" i="1"/>
  <c r="AY50" i="1" s="1"/>
  <c r="BA49" i="1"/>
  <c r="AZ49" i="1"/>
  <c r="BB49" i="1" s="1"/>
  <c r="BA48" i="1"/>
  <c r="AZ48" i="1"/>
  <c r="BB48" i="1" s="1"/>
  <c r="AW48" i="1"/>
  <c r="BA47" i="1"/>
  <c r="AW47" i="1"/>
  <c r="AZ47" i="1"/>
  <c r="BB47" i="1" s="1"/>
  <c r="AW46" i="1"/>
  <c r="AZ46" i="1"/>
  <c r="BB46" i="1" s="1"/>
  <c r="BA46" i="1"/>
  <c r="BA45" i="1"/>
  <c r="AZ45" i="1"/>
  <c r="BB45" i="1" s="1"/>
  <c r="AW45" i="1"/>
  <c r="BA44" i="1"/>
  <c r="AW44" i="1"/>
  <c r="AZ44" i="1"/>
  <c r="BB44" i="1" s="1"/>
  <c r="AW43" i="1"/>
  <c r="AZ43" i="1"/>
  <c r="BA43" i="1"/>
  <c r="AZ42" i="1"/>
  <c r="AW42" i="1"/>
  <c r="BA42" i="1"/>
  <c r="AL42" i="1"/>
  <c r="AN43" i="1" s="1"/>
  <c r="AO42" i="1"/>
  <c r="AP42" i="1"/>
  <c r="BA41" i="1"/>
  <c r="AZ41" i="1"/>
  <c r="BB41" i="1" s="1"/>
  <c r="AW41" i="1"/>
  <c r="AZ40" i="1"/>
  <c r="AW40" i="1"/>
  <c r="BA40" i="1"/>
  <c r="AW37" i="1"/>
  <c r="AY38" i="1" s="1"/>
  <c r="BA37" i="1"/>
  <c r="AZ37" i="1"/>
  <c r="BB37" i="1" s="1"/>
  <c r="AW36" i="1"/>
  <c r="AZ36" i="1"/>
  <c r="BA36" i="1"/>
  <c r="AZ35" i="1"/>
  <c r="AW35" i="1"/>
  <c r="BA35" i="1"/>
  <c r="AZ34" i="1"/>
  <c r="AW34" i="1"/>
  <c r="BA34" i="1"/>
  <c r="BA32" i="1"/>
  <c r="AW32" i="1"/>
  <c r="AY33" i="1" s="1"/>
  <c r="AZ32" i="1"/>
  <c r="BB32" i="1" s="1"/>
  <c r="AO31" i="1"/>
  <c r="AL31" i="1"/>
  <c r="AN32" i="1" s="1"/>
  <c r="AP31" i="1"/>
  <c r="BA29" i="1"/>
  <c r="AZ29" i="1"/>
  <c r="BB29" i="1" s="1"/>
  <c r="AW29" i="1"/>
  <c r="AY30" i="1" s="1"/>
  <c r="BA28" i="1"/>
  <c r="AZ28" i="1"/>
  <c r="BB28" i="1" s="1"/>
  <c r="AW28" i="1"/>
  <c r="AW27" i="1"/>
  <c r="AZ27" i="1"/>
  <c r="AO27" i="1"/>
  <c r="AL27" i="1"/>
  <c r="AN28" i="1" s="1"/>
  <c r="AP27" i="1"/>
  <c r="AZ26" i="1"/>
  <c r="AW26" i="1"/>
  <c r="BA26" i="1"/>
  <c r="BA25" i="1"/>
  <c r="AW25" i="1"/>
  <c r="AZ25" i="1"/>
  <c r="AW24" i="1"/>
  <c r="AZ24" i="1"/>
  <c r="BA24" i="1"/>
  <c r="AO24" i="1"/>
  <c r="AL24" i="1"/>
  <c r="AN25" i="1" s="1"/>
  <c r="AP24" i="1"/>
  <c r="AW23" i="1"/>
  <c r="AZ23" i="1"/>
  <c r="BA23" i="1"/>
  <c r="BA22" i="1"/>
  <c r="AZ22" i="1"/>
  <c r="BB22" i="1" s="1"/>
  <c r="AO22" i="1"/>
  <c r="AP22" i="1"/>
  <c r="BB92" i="1" l="1"/>
  <c r="BB25" i="1"/>
  <c r="BE88" i="1"/>
  <c r="BB127" i="1"/>
  <c r="BE77" i="1"/>
  <c r="BB110" i="1"/>
  <c r="AZ165" i="1"/>
  <c r="BA165" i="1"/>
  <c r="AW165" i="1"/>
  <c r="AZ159" i="1"/>
  <c r="AW159" i="1"/>
  <c r="BA159" i="1"/>
  <c r="AZ142" i="1"/>
  <c r="BA142" i="1"/>
  <c r="AW142" i="1"/>
  <c r="AY143" i="1" s="1"/>
  <c r="BA140" i="1"/>
  <c r="AW140" i="1"/>
  <c r="AZ140" i="1"/>
  <c r="BA137" i="1"/>
  <c r="AZ137" i="1"/>
  <c r="BB137" i="1" s="1"/>
  <c r="AW137" i="1"/>
  <c r="AY138" i="1" s="1"/>
  <c r="AW112" i="1"/>
  <c r="AY113" i="1" s="1"/>
  <c r="BA112" i="1"/>
  <c r="AZ112" i="1"/>
  <c r="BB112" i="1" s="1"/>
  <c r="AZ78" i="1"/>
  <c r="AW78" i="1"/>
  <c r="BA78" i="1"/>
  <c r="AW72" i="1"/>
  <c r="AZ72" i="1"/>
  <c r="BA72" i="1"/>
  <c r="BA38" i="1"/>
  <c r="AW38" i="1"/>
  <c r="AY39" i="1" s="1"/>
  <c r="AZ38" i="1"/>
  <c r="BB38" i="1" s="1"/>
  <c r="AP81" i="1"/>
  <c r="AL81" i="1"/>
  <c r="AO81" i="1"/>
  <c r="AQ81" i="1" s="1"/>
  <c r="AO67" i="1"/>
  <c r="AP67" i="1"/>
  <c r="AL67" i="1"/>
  <c r="AP110" i="1"/>
  <c r="AO110" i="1"/>
  <c r="AQ110" i="1" s="1"/>
  <c r="AL110" i="1"/>
  <c r="AN111" i="1" s="1"/>
  <c r="AL103" i="1"/>
  <c r="AP103" i="1"/>
  <c r="AO103" i="1"/>
  <c r="AQ103" i="1" s="1"/>
  <c r="AL50" i="1"/>
  <c r="AN51" i="1" s="1"/>
  <c r="AO50" i="1"/>
  <c r="AP50" i="1"/>
  <c r="AO80" i="1"/>
  <c r="AL80" i="1"/>
  <c r="AP80" i="1"/>
  <c r="AP82" i="1"/>
  <c r="AL82" i="1"/>
  <c r="AN83" i="1" s="1"/>
  <c r="AO82" i="1"/>
  <c r="AL74" i="1"/>
  <c r="AP74" i="1"/>
  <c r="AO74" i="1"/>
  <c r="AQ74" i="1" s="1"/>
  <c r="BE74" i="1" s="1"/>
  <c r="AL62" i="1"/>
  <c r="AP62" i="1"/>
  <c r="AO62" i="1"/>
  <c r="AQ62" i="1" s="1"/>
  <c r="BE62" i="1" s="1"/>
  <c r="AO69" i="1"/>
  <c r="AL69" i="1"/>
  <c r="AN70" i="1" s="1"/>
  <c r="AP69" i="1"/>
  <c r="AL64" i="1"/>
  <c r="AP64" i="1"/>
  <c r="AO64" i="1"/>
  <c r="AQ64" i="1" s="1"/>
  <c r="AP75" i="1"/>
  <c r="AL75" i="1"/>
  <c r="AO75" i="1"/>
  <c r="AQ75" i="1" s="1"/>
  <c r="AL71" i="1"/>
  <c r="AP71" i="1"/>
  <c r="AO71" i="1"/>
  <c r="AP68" i="1"/>
  <c r="AL68" i="1"/>
  <c r="AO68" i="1"/>
  <c r="AQ68" i="1" s="1"/>
  <c r="AO65" i="1"/>
  <c r="AL65" i="1"/>
  <c r="AN66" i="1" s="1"/>
  <c r="AP65" i="1"/>
  <c r="AO63" i="1"/>
  <c r="AL63" i="1"/>
  <c r="AP63" i="1"/>
  <c r="AO40" i="1"/>
  <c r="AP40" i="1"/>
  <c r="AL40" i="1"/>
  <c r="AN41" i="1" s="1"/>
  <c r="AP23" i="1"/>
  <c r="AO23" i="1"/>
  <c r="AQ23" i="1" s="1"/>
  <c r="AL23" i="1"/>
  <c r="AO38" i="1"/>
  <c r="AL38" i="1"/>
  <c r="AP38" i="1"/>
  <c r="AO29" i="1"/>
  <c r="AL29" i="1"/>
  <c r="AP29" i="1"/>
  <c r="AL30" i="1"/>
  <c r="AP30" i="1"/>
  <c r="AO30" i="1"/>
  <c r="AQ30" i="1" s="1"/>
  <c r="AP39" i="1"/>
  <c r="AO39" i="1"/>
  <c r="AQ39" i="1" s="1"/>
  <c r="AL39" i="1"/>
  <c r="AQ136" i="1"/>
  <c r="AO113" i="1"/>
  <c r="AL113" i="1"/>
  <c r="AP113" i="1"/>
  <c r="AO108" i="1"/>
  <c r="AL108" i="1"/>
  <c r="AP108" i="1"/>
  <c r="AL109" i="1"/>
  <c r="AO109" i="1"/>
  <c r="AP109" i="1"/>
  <c r="AQ131" i="1"/>
  <c r="AP106" i="1"/>
  <c r="AL106" i="1"/>
  <c r="AN107" i="1" s="1"/>
  <c r="AO106" i="1"/>
  <c r="AQ106" i="1" s="1"/>
  <c r="AQ140" i="1"/>
  <c r="AQ141" i="1"/>
  <c r="AQ138" i="1"/>
  <c r="AP33" i="1"/>
  <c r="AL33" i="1"/>
  <c r="AO33" i="1"/>
  <c r="AP46" i="1"/>
  <c r="AL46" i="1"/>
  <c r="AN47" i="1" s="1"/>
  <c r="AO46" i="1"/>
  <c r="AQ46" i="1" s="1"/>
  <c r="AP34" i="1"/>
  <c r="AO34" i="1"/>
  <c r="AQ34" i="1" s="1"/>
  <c r="AL34" i="1"/>
  <c r="AN35" i="1" s="1"/>
  <c r="AL78" i="1"/>
  <c r="AO78" i="1"/>
  <c r="AP78" i="1"/>
  <c r="AO102" i="1"/>
  <c r="AL102" i="1"/>
  <c r="AP102" i="1"/>
  <c r="AL25" i="1"/>
  <c r="AN26" i="1" s="1"/>
  <c r="AP25" i="1"/>
  <c r="AO25" i="1"/>
  <c r="BE135" i="1"/>
  <c r="BB68" i="1"/>
  <c r="BE68" i="1" s="1"/>
  <c r="BB61" i="1"/>
  <c r="BE61" i="1" s="1"/>
  <c r="BB60" i="1"/>
  <c r="BB56" i="1"/>
  <c r="BB53" i="1"/>
  <c r="BB52" i="1"/>
  <c r="BE136" i="1"/>
  <c r="BE150" i="1"/>
  <c r="BE141" i="1"/>
  <c r="BE137" i="1"/>
  <c r="BB111" i="1"/>
  <c r="BE110" i="1"/>
  <c r="AQ126" i="1"/>
  <c r="BB115" i="1"/>
  <c r="AQ109" i="1"/>
  <c r="BB69" i="1"/>
  <c r="BB100" i="1"/>
  <c r="BB96" i="1"/>
  <c r="AQ95" i="1"/>
  <c r="BE95" i="1" s="1"/>
  <c r="BB89" i="1"/>
  <c r="BB87" i="1"/>
  <c r="BB85" i="1"/>
  <c r="BB84" i="1"/>
  <c r="BB83" i="1"/>
  <c r="AQ82" i="1"/>
  <c r="BB79" i="1"/>
  <c r="AQ79" i="1"/>
  <c r="AQ78" i="1"/>
  <c r="BB75" i="1"/>
  <c r="BE75" i="1" s="1"/>
  <c r="BB73" i="1"/>
  <c r="AQ73" i="1"/>
  <c r="BB72" i="1"/>
  <c r="BB70" i="1"/>
  <c r="AQ50" i="1"/>
  <c r="BB27" i="1"/>
  <c r="AQ113" i="1"/>
  <c r="AQ104" i="1"/>
  <c r="AL174" i="1"/>
  <c r="AN175" i="1" s="1"/>
  <c r="AP174" i="1"/>
  <c r="AO174" i="1"/>
  <c r="AZ168" i="1"/>
  <c r="BA168" i="1"/>
  <c r="AW168" i="1"/>
  <c r="AY169" i="1" s="1"/>
  <c r="AP166" i="1"/>
  <c r="AL166" i="1"/>
  <c r="AO166" i="1"/>
  <c r="AP162" i="1"/>
  <c r="AL162" i="1"/>
  <c r="AN163" i="1" s="1"/>
  <c r="AO162" i="1"/>
  <c r="AQ162" i="1" s="1"/>
  <c r="BE162" i="1" s="1"/>
  <c r="AP158" i="1"/>
  <c r="AL158" i="1"/>
  <c r="AO158" i="1"/>
  <c r="AQ158" i="1" s="1"/>
  <c r="BE158" i="1" s="1"/>
  <c r="BA157" i="1"/>
  <c r="AW157" i="1"/>
  <c r="AZ157" i="1"/>
  <c r="BB157" i="1" s="1"/>
  <c r="BE157" i="1" s="1"/>
  <c r="AZ155" i="1"/>
  <c r="BA155" i="1"/>
  <c r="AW155" i="1"/>
  <c r="AL139" i="1"/>
  <c r="AO139" i="1"/>
  <c r="AP139" i="1"/>
  <c r="AZ131" i="1"/>
  <c r="AW131" i="1"/>
  <c r="AY132" i="1" s="1"/>
  <c r="BA131" i="1"/>
  <c r="AW128" i="1"/>
  <c r="AY129" i="1" s="1"/>
  <c r="BA128" i="1"/>
  <c r="AZ128" i="1"/>
  <c r="BB128" i="1" s="1"/>
  <c r="AO127" i="1"/>
  <c r="AL127" i="1"/>
  <c r="AP127" i="1"/>
  <c r="AP115" i="1"/>
  <c r="AL115" i="1"/>
  <c r="AN116" i="1" s="1"/>
  <c r="AO115" i="1"/>
  <c r="AQ115" i="1" s="1"/>
  <c r="BE115" i="1" s="1"/>
  <c r="BA113" i="1"/>
  <c r="AW113" i="1"/>
  <c r="AZ113" i="1"/>
  <c r="BB113" i="1" s="1"/>
  <c r="BE113" i="1" s="1"/>
  <c r="AL111" i="1"/>
  <c r="AP111" i="1"/>
  <c r="AO111" i="1"/>
  <c r="AQ111" i="1" s="1"/>
  <c r="BE111" i="1" s="1"/>
  <c r="AZ109" i="1"/>
  <c r="BA109" i="1"/>
  <c r="AW109" i="1"/>
  <c r="AP107" i="1"/>
  <c r="AL107" i="1"/>
  <c r="AO107" i="1"/>
  <c r="AZ106" i="1"/>
  <c r="BA106" i="1"/>
  <c r="AW106" i="1"/>
  <c r="AP105" i="1"/>
  <c r="AO105" i="1"/>
  <c r="AQ105" i="1" s="1"/>
  <c r="BE105" i="1" s="1"/>
  <c r="AL105" i="1"/>
  <c r="AZ103" i="1"/>
  <c r="AW103" i="1"/>
  <c r="AY104" i="1" s="1"/>
  <c r="BA103" i="1"/>
  <c r="AP97" i="1"/>
  <c r="AO97" i="1"/>
  <c r="AQ97" i="1" s="1"/>
  <c r="AL97" i="1"/>
  <c r="AN98" i="1" s="1"/>
  <c r="AO89" i="1"/>
  <c r="AP89" i="1"/>
  <c r="AL89" i="1"/>
  <c r="AN90" i="1" s="1"/>
  <c r="AL87" i="1"/>
  <c r="AO87" i="1"/>
  <c r="AP87" i="1"/>
  <c r="AO83" i="1"/>
  <c r="AP83" i="1"/>
  <c r="AL83" i="1"/>
  <c r="AN84" i="1" s="1"/>
  <c r="BA80" i="1"/>
  <c r="AZ80" i="1"/>
  <c r="BB80" i="1" s="1"/>
  <c r="AW80" i="1"/>
  <c r="AY81" i="1" s="1"/>
  <c r="BA76" i="1"/>
  <c r="AW76" i="1"/>
  <c r="AZ76" i="1"/>
  <c r="BB76" i="1" s="1"/>
  <c r="BE76" i="1" s="1"/>
  <c r="AP70" i="1"/>
  <c r="AO70" i="1"/>
  <c r="AQ70" i="1" s="1"/>
  <c r="BE70" i="1" s="1"/>
  <c r="AL70" i="1"/>
  <c r="AO66" i="1"/>
  <c r="AP66" i="1"/>
  <c r="AL66" i="1"/>
  <c r="BA63" i="1"/>
  <c r="AW63" i="1"/>
  <c r="AY64" i="1" s="1"/>
  <c r="AZ63" i="1"/>
  <c r="BB63" i="1" s="1"/>
  <c r="AO51" i="1"/>
  <c r="AP51" i="1"/>
  <c r="AL51" i="1"/>
  <c r="AN52" i="1" s="1"/>
  <c r="BA50" i="1"/>
  <c r="AZ50" i="1"/>
  <c r="AW50" i="1"/>
  <c r="AL47" i="1"/>
  <c r="AN48" i="1" s="1"/>
  <c r="AO47" i="1"/>
  <c r="AP47" i="1"/>
  <c r="AO43" i="1"/>
  <c r="AL43" i="1"/>
  <c r="AN44" i="1" s="1"/>
  <c r="AP43" i="1"/>
  <c r="AL41" i="1"/>
  <c r="AO41" i="1"/>
  <c r="AP41" i="1"/>
  <c r="AO35" i="1"/>
  <c r="AP35" i="1"/>
  <c r="AL35" i="1"/>
  <c r="AN36" i="1" s="1"/>
  <c r="AW33" i="1"/>
  <c r="AZ33" i="1"/>
  <c r="BA33" i="1"/>
  <c r="AP32" i="1"/>
  <c r="AO32" i="1"/>
  <c r="AQ32" i="1" s="1"/>
  <c r="BE32" i="1" s="1"/>
  <c r="AL32" i="1"/>
  <c r="BA30" i="1"/>
  <c r="AW30" i="1"/>
  <c r="AY31" i="1" s="1"/>
  <c r="AZ30" i="1"/>
  <c r="BB30" i="1" s="1"/>
  <c r="BE30" i="1" s="1"/>
  <c r="AL28" i="1"/>
  <c r="AO28" i="1"/>
  <c r="AP28" i="1"/>
  <c r="BC22" i="1"/>
  <c r="AQ65" i="1"/>
  <c r="BE65" i="1" s="1"/>
  <c r="BE46" i="1"/>
  <c r="BB43" i="1"/>
  <c r="BB42" i="1"/>
  <c r="AQ42" i="1"/>
  <c r="BE42" i="1" s="1"/>
  <c r="BB40" i="1"/>
  <c r="AQ40" i="1"/>
  <c r="BE40" i="1" s="1"/>
  <c r="AQ38" i="1"/>
  <c r="BE38" i="1" s="1"/>
  <c r="BB36" i="1"/>
  <c r="BB35" i="1"/>
  <c r="BB34" i="1"/>
  <c r="BE34" i="1" s="1"/>
  <c r="AQ31" i="1"/>
  <c r="AQ29" i="1"/>
  <c r="BE29" i="1" s="1"/>
  <c r="AQ27" i="1"/>
  <c r="BE27" i="1" s="1"/>
  <c r="BB26" i="1"/>
  <c r="AQ25" i="1"/>
  <c r="BE25" i="1" s="1"/>
  <c r="BB24" i="1"/>
  <c r="AQ24" i="1"/>
  <c r="BE24" i="1" s="1"/>
  <c r="BB23" i="1"/>
  <c r="AQ22" i="1"/>
  <c r="AQ112" i="1"/>
  <c r="BE112" i="1" s="1"/>
  <c r="AQ101" i="1"/>
  <c r="BB90" i="1"/>
  <c r="AQ71" i="1"/>
  <c r="BB67" i="1"/>
  <c r="BB57" i="1"/>
  <c r="BB55" i="1"/>
  <c r="BB91" i="1"/>
  <c r="AQ86" i="1"/>
  <c r="BE86" i="1" s="1"/>
  <c r="BB71" i="1"/>
  <c r="AQ72" i="1"/>
  <c r="BE72" i="1" s="1"/>
  <c r="AQ63" i="1"/>
  <c r="BE63" i="1" s="1"/>
  <c r="BB97" i="1"/>
  <c r="BB176" i="1"/>
  <c r="AQ176" i="1"/>
  <c r="BE176" i="1" s="1"/>
  <c r="BB175" i="1"/>
  <c r="BB174" i="1"/>
  <c r="AQ173" i="1"/>
  <c r="AQ171" i="1"/>
  <c r="AQ169" i="1"/>
  <c r="BB167" i="1"/>
  <c r="AQ167" i="1"/>
  <c r="BB166" i="1"/>
  <c r="AQ165" i="1"/>
  <c r="BB164" i="1"/>
  <c r="BB163" i="1"/>
  <c r="BB161" i="1"/>
  <c r="AQ161" i="1"/>
  <c r="AQ160" i="1"/>
  <c r="BE160" i="1" s="1"/>
  <c r="BB159" i="1"/>
  <c r="BE159" i="1" s="1"/>
  <c r="BB156" i="1"/>
  <c r="BE156" i="1" s="1"/>
  <c r="AQ154" i="1"/>
  <c r="BE154" i="1" s="1"/>
  <c r="AQ153" i="1"/>
  <c r="BE153" i="1" s="1"/>
  <c r="BB152" i="1"/>
  <c r="BE152" i="1" s="1"/>
  <c r="BB149" i="1"/>
  <c r="BE149" i="1" s="1"/>
  <c r="AQ148" i="1"/>
  <c r="BE148" i="1" s="1"/>
  <c r="AQ147" i="1"/>
  <c r="BE147" i="1" s="1"/>
  <c r="BB146" i="1"/>
  <c r="BE146" i="1" s="1"/>
  <c r="AQ145" i="1"/>
  <c r="BE145" i="1" s="1"/>
  <c r="AQ144" i="1"/>
  <c r="BE144" i="1" s="1"/>
  <c r="BB142" i="1"/>
  <c r="BE142" i="1" s="1"/>
  <c r="BB140" i="1"/>
  <c r="BE140" i="1" s="1"/>
  <c r="AQ133" i="1"/>
  <c r="BB130" i="1"/>
  <c r="BE130" i="1" s="1"/>
  <c r="AQ129" i="1"/>
  <c r="AQ128" i="1"/>
  <c r="BB126" i="1"/>
  <c r="BE126" i="1" s="1"/>
  <c r="BB125" i="1"/>
  <c r="AQ125" i="1"/>
  <c r="BB124" i="1"/>
  <c r="BE124" i="1" s="1"/>
  <c r="BB123" i="1"/>
  <c r="BB122" i="1"/>
  <c r="BB120" i="1"/>
  <c r="BB117" i="1"/>
  <c r="BB116" i="1"/>
  <c r="AQ114" i="1"/>
  <c r="BE114" i="1" s="1"/>
  <c r="BB108" i="1"/>
  <c r="AQ108" i="1"/>
  <c r="BB107" i="1"/>
  <c r="BB102" i="1"/>
  <c r="BB101" i="1"/>
  <c r="BB99" i="1"/>
  <c r="AQ96" i="1"/>
  <c r="AQ80" i="1"/>
  <c r="AQ67" i="1"/>
  <c r="BE108" i="1" l="1"/>
  <c r="BE125" i="1"/>
  <c r="BE73" i="1"/>
  <c r="BB165" i="1"/>
  <c r="BE165" i="1" s="1"/>
  <c r="BA143" i="1"/>
  <c r="AZ143" i="1"/>
  <c r="BB143" i="1" s="1"/>
  <c r="BE143" i="1" s="1"/>
  <c r="AW143" i="1"/>
  <c r="BA138" i="1"/>
  <c r="AW138" i="1"/>
  <c r="AZ138" i="1"/>
  <c r="BB138" i="1" s="1"/>
  <c r="BE138" i="1" s="1"/>
  <c r="AW39" i="1"/>
  <c r="BA39" i="1"/>
  <c r="AZ39" i="1"/>
  <c r="BB39" i="1" s="1"/>
  <c r="BE39" i="1" s="1"/>
  <c r="BE161" i="1"/>
  <c r="BE128" i="1"/>
  <c r="BE96" i="1"/>
  <c r="BE80" i="1"/>
  <c r="BE67" i="1"/>
  <c r="BB78" i="1"/>
  <c r="BE78" i="1" s="1"/>
  <c r="AZ169" i="1"/>
  <c r="BA169" i="1"/>
  <c r="AW169" i="1"/>
  <c r="AY170" i="1" s="1"/>
  <c r="AZ132" i="1"/>
  <c r="BA132" i="1"/>
  <c r="AW132" i="1"/>
  <c r="AY133" i="1" s="1"/>
  <c r="AW129" i="1"/>
  <c r="BA129" i="1"/>
  <c r="AZ129" i="1"/>
  <c r="AZ104" i="1"/>
  <c r="BA104" i="1"/>
  <c r="AW104" i="1"/>
  <c r="AZ81" i="1"/>
  <c r="AW81" i="1"/>
  <c r="AY82" i="1" s="1"/>
  <c r="BA81" i="1"/>
  <c r="AQ69" i="1"/>
  <c r="BE69" i="1" s="1"/>
  <c r="AQ166" i="1"/>
  <c r="AQ33" i="1"/>
  <c r="AL26" i="1"/>
  <c r="AP26" i="1"/>
  <c r="AO26" i="1"/>
  <c r="AQ26" i="1" s="1"/>
  <c r="BE26" i="1" s="1"/>
  <c r="AQ102" i="1"/>
  <c r="BE102" i="1" s="1"/>
  <c r="AQ174" i="1"/>
  <c r="BE174" i="1" s="1"/>
  <c r="AQ107" i="1"/>
  <c r="AO98" i="1"/>
  <c r="AP98" i="1"/>
  <c r="AL98" i="1"/>
  <c r="AN99" i="1" s="1"/>
  <c r="AP48" i="1"/>
  <c r="AO48" i="1"/>
  <c r="AQ48" i="1" s="1"/>
  <c r="BE48" i="1" s="1"/>
  <c r="AL48" i="1"/>
  <c r="AN49" i="1" s="1"/>
  <c r="BE79" i="1"/>
  <c r="BE167" i="1"/>
  <c r="AQ47" i="1"/>
  <c r="BE47" i="1" s="1"/>
  <c r="AQ41" i="1"/>
  <c r="BE41" i="1" s="1"/>
  <c r="AQ28" i="1"/>
  <c r="BE28" i="1" s="1"/>
  <c r="AL175" i="1"/>
  <c r="AP175" i="1"/>
  <c r="AO175" i="1"/>
  <c r="AP163" i="1"/>
  <c r="AL163" i="1"/>
  <c r="AN164" i="1" s="1"/>
  <c r="AO163" i="1"/>
  <c r="AQ163" i="1" s="1"/>
  <c r="BE163" i="1" s="1"/>
  <c r="AO116" i="1"/>
  <c r="AP116" i="1"/>
  <c r="AL116" i="1"/>
  <c r="AN117" i="1" s="1"/>
  <c r="AO90" i="1"/>
  <c r="AL90" i="1"/>
  <c r="AN91" i="1" s="1"/>
  <c r="AP90" i="1"/>
  <c r="AL84" i="1"/>
  <c r="AN85" i="1" s="1"/>
  <c r="AP84" i="1"/>
  <c r="AO84" i="1"/>
  <c r="AQ84" i="1" s="1"/>
  <c r="BE84" i="1" s="1"/>
  <c r="BA64" i="1"/>
  <c r="AZ64" i="1"/>
  <c r="BB64" i="1" s="1"/>
  <c r="BE64" i="1" s="1"/>
  <c r="AW64" i="1"/>
  <c r="AL52" i="1"/>
  <c r="AN53" i="1" s="1"/>
  <c r="AP52" i="1"/>
  <c r="AO52" i="1"/>
  <c r="AO44" i="1"/>
  <c r="AP44" i="1"/>
  <c r="AL44" i="1"/>
  <c r="AN45" i="1" s="1"/>
  <c r="AO36" i="1"/>
  <c r="AP36" i="1"/>
  <c r="AL36" i="1"/>
  <c r="AN37" i="1" s="1"/>
  <c r="BA31" i="1"/>
  <c r="AZ31" i="1"/>
  <c r="BB31" i="1" s="1"/>
  <c r="AW31" i="1"/>
  <c r="BE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BE101" i="1"/>
  <c r="BB168" i="1"/>
  <c r="BE168" i="1" s="1"/>
  <c r="BE166" i="1"/>
  <c r="BB155" i="1"/>
  <c r="BE155" i="1" s="1"/>
  <c r="AQ139" i="1"/>
  <c r="BE139" i="1" s="1"/>
  <c r="BB131" i="1"/>
  <c r="BE131" i="1" s="1"/>
  <c r="AQ127" i="1"/>
  <c r="BE127" i="1" s="1"/>
  <c r="BB109" i="1"/>
  <c r="BE109" i="1" s="1"/>
  <c r="BE107" i="1"/>
  <c r="BB106" i="1"/>
  <c r="BE106" i="1" s="1"/>
  <c r="BB103" i="1"/>
  <c r="BE103" i="1" s="1"/>
  <c r="BE97" i="1"/>
  <c r="AQ89" i="1"/>
  <c r="BE89" i="1" s="1"/>
  <c r="AQ87" i="1"/>
  <c r="BE87" i="1" s="1"/>
  <c r="AQ83" i="1"/>
  <c r="BE83" i="1" s="1"/>
  <c r="AQ66" i="1"/>
  <c r="BE66" i="1" s="1"/>
  <c r="AQ51" i="1"/>
  <c r="BE51" i="1" s="1"/>
  <c r="BB50" i="1"/>
  <c r="BE50" i="1" s="1"/>
  <c r="AQ43" i="1"/>
  <c r="BE43" i="1" s="1"/>
  <c r="AQ35" i="1"/>
  <c r="BB33" i="1"/>
  <c r="BE33" i="1" s="1"/>
  <c r="BC23" i="1"/>
  <c r="BC24" i="1" s="1"/>
  <c r="BC25" i="1" s="1"/>
  <c r="BC26" i="1" s="1"/>
  <c r="BC27" i="1" s="1"/>
  <c r="BC28" i="1" s="1"/>
  <c r="BC29" i="1" s="1"/>
  <c r="BC30" i="1" s="1"/>
  <c r="BE71" i="1"/>
  <c r="BE23" i="1"/>
  <c r="BB169" i="1" l="1"/>
  <c r="BE169" i="1" s="1"/>
  <c r="BA170" i="1"/>
  <c r="AW170" i="1"/>
  <c r="AY171" i="1" s="1"/>
  <c r="AZ170" i="1"/>
  <c r="BB170" i="1" s="1"/>
  <c r="BE170" i="1" s="1"/>
  <c r="BA133" i="1"/>
  <c r="AZ133" i="1"/>
  <c r="BB133" i="1" s="1"/>
  <c r="BE133" i="1" s="1"/>
  <c r="AW133" i="1"/>
  <c r="AW82" i="1"/>
  <c r="AZ82" i="1"/>
  <c r="BA82" i="1"/>
  <c r="BB132" i="1"/>
  <c r="BE132" i="1" s="1"/>
  <c r="BB129" i="1"/>
  <c r="BE129" i="1" s="1"/>
  <c r="BB81" i="1"/>
  <c r="BE81" i="1" s="1"/>
  <c r="BB104" i="1"/>
  <c r="BE104" i="1" s="1"/>
  <c r="AP99" i="1"/>
  <c r="AL99" i="1"/>
  <c r="AN100" i="1" s="1"/>
  <c r="AO99" i="1"/>
  <c r="AQ99" i="1" s="1"/>
  <c r="BE99" i="1" s="1"/>
  <c r="AO49" i="1"/>
  <c r="AL49" i="1"/>
  <c r="AP49" i="1"/>
  <c r="AQ98" i="1"/>
  <c r="BE98" i="1" s="1"/>
  <c r="AQ52" i="1"/>
  <c r="BE52" i="1" s="1"/>
  <c r="AO91" i="1"/>
  <c r="AL91" i="1"/>
  <c r="AN92" i="1" s="1"/>
  <c r="AP91" i="1"/>
  <c r="AQ175" i="1"/>
  <c r="BE175" i="1" s="1"/>
  <c r="AR35" i="1"/>
  <c r="AO164" i="1"/>
  <c r="AL164" i="1"/>
  <c r="AP164" i="1"/>
  <c r="AP117" i="1"/>
  <c r="AO117" i="1"/>
  <c r="AQ117" i="1" s="1"/>
  <c r="BE117" i="1" s="1"/>
  <c r="AL117" i="1"/>
  <c r="AN118" i="1" s="1"/>
  <c r="AO85" i="1"/>
  <c r="AP85" i="1"/>
  <c r="AL85" i="1"/>
  <c r="AL53" i="1"/>
  <c r="AN54" i="1" s="1"/>
  <c r="AP53" i="1"/>
  <c r="AO53" i="1"/>
  <c r="AO45" i="1"/>
  <c r="AL45" i="1"/>
  <c r="AP45" i="1"/>
  <c r="AL37" i="1"/>
  <c r="AP37" i="1"/>
  <c r="AO37" i="1"/>
  <c r="AQ37" i="1" s="1"/>
  <c r="BF22" i="1"/>
  <c r="BF23" i="1" s="1"/>
  <c r="BF24" i="1" s="1"/>
  <c r="BF25" i="1" s="1"/>
  <c r="BF26" i="1" s="1"/>
  <c r="BF27" i="1" s="1"/>
  <c r="BF28" i="1" s="1"/>
  <c r="BF29" i="1" s="1"/>
  <c r="BF30" i="1" s="1"/>
  <c r="BC31" i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AQ116" i="1"/>
  <c r="BE116" i="1" s="1"/>
  <c r="AQ44" i="1"/>
  <c r="BE44" i="1" s="1"/>
  <c r="AQ36" i="1"/>
  <c r="AQ90" i="1"/>
  <c r="BE90" i="1" s="1"/>
  <c r="BE31" i="1"/>
  <c r="BE35" i="1"/>
  <c r="BA171" i="1" l="1"/>
  <c r="AZ171" i="1"/>
  <c r="AW171" i="1"/>
  <c r="AY172" i="1" s="1"/>
  <c r="BB82" i="1"/>
  <c r="AP100" i="1"/>
  <c r="AL100" i="1"/>
  <c r="AO100" i="1"/>
  <c r="AQ100" i="1" s="1"/>
  <c r="BE100" i="1" s="1"/>
  <c r="AO92" i="1"/>
  <c r="AL92" i="1"/>
  <c r="AN93" i="1" s="1"/>
  <c r="AP92" i="1"/>
  <c r="AQ49" i="1"/>
  <c r="BE49" i="1" s="1"/>
  <c r="AQ91" i="1"/>
  <c r="BE91" i="1" s="1"/>
  <c r="BF31" i="1"/>
  <c r="BF32" i="1" s="1"/>
  <c r="BF33" i="1" s="1"/>
  <c r="BF34" i="1" s="1"/>
  <c r="BF35" i="1" s="1"/>
  <c r="AO118" i="1"/>
  <c r="AP118" i="1"/>
  <c r="AL118" i="1"/>
  <c r="AN119" i="1" s="1"/>
  <c r="AP54" i="1"/>
  <c r="AO54" i="1"/>
  <c r="AL54" i="1"/>
  <c r="AN55" i="1" s="1"/>
  <c r="AR36" i="1"/>
  <c r="AR37" i="1" s="1"/>
  <c r="AR38" i="1" s="1"/>
  <c r="AR39" i="1" s="1"/>
  <c r="AR40" i="1" s="1"/>
  <c r="AR41" i="1" s="1"/>
  <c r="AR42" i="1" s="1"/>
  <c r="AR43" i="1" s="1"/>
  <c r="AR44" i="1" s="1"/>
  <c r="BE36" i="1"/>
  <c r="AQ164" i="1"/>
  <c r="BE164" i="1" s="1"/>
  <c r="AQ45" i="1"/>
  <c r="BE45" i="1" s="1"/>
  <c r="AQ85" i="1"/>
  <c r="BE85" i="1" s="1"/>
  <c r="AQ53" i="1"/>
  <c r="BE53" i="1" s="1"/>
  <c r="BE37" i="1"/>
  <c r="BB171" i="1" l="1"/>
  <c r="BE171" i="1" s="1"/>
  <c r="AW172" i="1"/>
  <c r="AY173" i="1" s="1"/>
  <c r="AZ172" i="1"/>
  <c r="BA172" i="1"/>
  <c r="BC82" i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E82" i="1"/>
  <c r="AQ54" i="1"/>
  <c r="BE54" i="1" s="1"/>
  <c r="AL93" i="1"/>
  <c r="AN94" i="1" s="1"/>
  <c r="AP93" i="1"/>
  <c r="AO93" i="1"/>
  <c r="AQ93" i="1" s="1"/>
  <c r="BE93" i="1" s="1"/>
  <c r="AQ92" i="1"/>
  <c r="BE92" i="1" s="1"/>
  <c r="AL119" i="1"/>
  <c r="AN120" i="1" s="1"/>
  <c r="AP119" i="1"/>
  <c r="AO119" i="1"/>
  <c r="AR45" i="1"/>
  <c r="AR46" i="1" s="1"/>
  <c r="AR47" i="1" s="1"/>
  <c r="AR48" i="1" s="1"/>
  <c r="AR49" i="1" s="1"/>
  <c r="AR50" i="1" s="1"/>
  <c r="AR51" i="1" s="1"/>
  <c r="AR52" i="1" s="1"/>
  <c r="AR53" i="1" s="1"/>
  <c r="AR54" i="1" s="1"/>
  <c r="AL55" i="1"/>
  <c r="AN56" i="1" s="1"/>
  <c r="AO55" i="1"/>
  <c r="AP55" i="1"/>
  <c r="BF36" i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AQ118" i="1"/>
  <c r="BE118" i="1" s="1"/>
  <c r="BA173" i="1" l="1"/>
  <c r="AZ173" i="1"/>
  <c r="AW173" i="1"/>
  <c r="BB172" i="1"/>
  <c r="AQ119" i="1"/>
  <c r="BE119" i="1" s="1"/>
  <c r="AL94" i="1"/>
  <c r="AP94" i="1"/>
  <c r="AO94" i="1"/>
  <c r="AL120" i="1"/>
  <c r="AN121" i="1" s="1"/>
  <c r="AP120" i="1"/>
  <c r="AO120" i="1"/>
  <c r="AP56" i="1"/>
  <c r="AL56" i="1"/>
  <c r="AN57" i="1" s="1"/>
  <c r="AO56" i="1"/>
  <c r="AQ55" i="1"/>
  <c r="BB173" i="1" l="1"/>
  <c r="BE173" i="1" s="1"/>
  <c r="BC172" i="1"/>
  <c r="BC173" i="1" s="1"/>
  <c r="BC174" i="1" s="1"/>
  <c r="BC175" i="1" s="1"/>
  <c r="BC176" i="1" s="1"/>
  <c r="BC19" i="1" s="1"/>
  <c r="BB19" i="1"/>
  <c r="BB14" i="1"/>
  <c r="BB15" i="1"/>
  <c r="BE172" i="1"/>
  <c r="AQ94" i="1"/>
  <c r="BE94" i="1" s="1"/>
  <c r="AP121" i="1"/>
  <c r="AO121" i="1"/>
  <c r="AL121" i="1"/>
  <c r="AN122" i="1" s="1"/>
  <c r="AQ120" i="1"/>
  <c r="BE120" i="1" s="1"/>
  <c r="AQ56" i="1"/>
  <c r="BE56" i="1" s="1"/>
  <c r="AO57" i="1"/>
  <c r="AP57" i="1"/>
  <c r="AL57" i="1"/>
  <c r="AN58" i="1" s="1"/>
  <c r="BE55" i="1"/>
  <c r="AR55" i="1"/>
  <c r="AR56" i="1" s="1"/>
  <c r="BB16" i="1" l="1"/>
  <c r="AT1" i="1" s="1"/>
  <c r="AQ121" i="1"/>
  <c r="BE121" i="1" s="1"/>
  <c r="AO122" i="1"/>
  <c r="AP122" i="1"/>
  <c r="AL122" i="1"/>
  <c r="AN123" i="1" s="1"/>
  <c r="AP58" i="1"/>
  <c r="AL58" i="1"/>
  <c r="AN59" i="1" s="1"/>
  <c r="AO58" i="1"/>
  <c r="BF55" i="1"/>
  <c r="BF56" i="1" s="1"/>
  <c r="AQ57" i="1"/>
  <c r="AP123" i="1" l="1"/>
  <c r="AL123" i="1"/>
  <c r="AO123" i="1"/>
  <c r="AQ123" i="1" s="1"/>
  <c r="BE123" i="1" s="1"/>
  <c r="AO59" i="1"/>
  <c r="AL59" i="1"/>
  <c r="AN60" i="1" s="1"/>
  <c r="AP59" i="1"/>
  <c r="AQ58" i="1"/>
  <c r="BE58" i="1" s="1"/>
  <c r="AQ122" i="1"/>
  <c r="BE122" i="1" s="1"/>
  <c r="AR57" i="1"/>
  <c r="AR58" i="1" s="1"/>
  <c r="BE57" i="1"/>
  <c r="AO60" i="1" l="1"/>
  <c r="AP60" i="1"/>
  <c r="AL60" i="1"/>
  <c r="AQ59" i="1"/>
  <c r="BF57" i="1"/>
  <c r="BF58" i="1" s="1"/>
  <c r="AQ14" i="1" l="1"/>
  <c r="AR59" i="1"/>
  <c r="BE59" i="1"/>
  <c r="AQ60" i="1"/>
  <c r="AR60" i="1" l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E18" i="1"/>
  <c r="BE14" i="1"/>
  <c r="BF59" i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BF163" i="1" s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60" i="1"/>
  <c r="BE15" i="1" s="1"/>
  <c r="AQ19" i="1"/>
  <c r="AQ15" i="1"/>
  <c r="AQ16" i="1" s="1"/>
  <c r="AI1" i="1" s="1"/>
  <c r="BE16" i="1" l="1"/>
</calcChain>
</file>

<file path=xl/sharedStrings.xml><?xml version="1.0" encoding="utf-8"?>
<sst xmlns="http://schemas.openxmlformats.org/spreadsheetml/2006/main" count="74" uniqueCount="53">
  <si>
    <t>date</t>
  </si>
  <si>
    <t>CWB</t>
  </si>
  <si>
    <t>ICVT</t>
  </si>
  <si>
    <t>CWB log rtn</t>
  </si>
  <si>
    <t>ICVT log rtn</t>
  </si>
  <si>
    <t>CWB div</t>
  </si>
  <si>
    <t>CWB div cumsum</t>
  </si>
  <si>
    <t>ICVT div</t>
  </si>
  <si>
    <t>ICVT div cumsum</t>
  </si>
  <si>
    <t>CWB div adjustment</t>
  </si>
  <si>
    <t>ICVT div adjustment</t>
  </si>
  <si>
    <t>CWB*</t>
  </si>
  <si>
    <t>ICVT*</t>
  </si>
  <si>
    <t>ICVT/CWB</t>
  </si>
  <si>
    <t>ICVT/CWB avg</t>
  </si>
  <si>
    <t>ICVT/CWB 10 dma</t>
  </si>
  <si>
    <t>ICVT/CWB 20 dma</t>
  </si>
  <si>
    <t>CWB x avg</t>
  </si>
  <si>
    <t>CWB x 10 dma</t>
  </si>
  <si>
    <t>CWB x 20 dma</t>
  </si>
  <si>
    <t>log diff CWB x avg / ICVT</t>
  </si>
  <si>
    <t>log diff CWB x 10 dma / ICVT</t>
  </si>
  <si>
    <t>log diff CWB x 20 dma / ICVT</t>
  </si>
  <si>
    <t>ICVT*/CWB*</t>
  </si>
  <si>
    <t>ICVT*/CWB* avg</t>
  </si>
  <si>
    <t>ICVT*/CWB* 10 dma</t>
  </si>
  <si>
    <t>ICVT*/CWB* 20 dma</t>
  </si>
  <si>
    <t>CWB* x avg</t>
  </si>
  <si>
    <t>CWB* x 10 dma</t>
  </si>
  <si>
    <t>CWB* x 20 dma</t>
  </si>
  <si>
    <t>log diff CWB* x avg / ICVT*</t>
  </si>
  <si>
    <t>log diff CWB* x 10 dma / ICVT*</t>
  </si>
  <si>
    <t>log diff CWB* x 20 dma / ICVT*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</si>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</sst>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&quot;$&quot;* #,##0.0000_);_(&quot;$&quot;* \(#,##0.0000\);_(&quot;$&quot;* &quot;-&quot;??_);_(@_)"/>
    <numFmt numFmtId="166" formatCode="_(* #,##0.0000_);_(* \(#,##0.0000\);_(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0" fontId="16" fillId="0" borderId="0" xfId="0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5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6" fontId="18" fillId="0" borderId="0" xfId="1" applyNumberFormat="1" applyFont="1" applyAlignment="1">
      <alignment horizontal="right"/>
    </xf>
    <xf numFmtId="165" fontId="0" fillId="0" borderId="0" xfId="2" applyNumberFormat="1" applyFont="1"/>
    <xf numFmtId="166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ICVT/CWB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1.1144210713463301</c:v>
                </c:pt>
                <c:pt idx="1">
                  <c:v>1.1144210713463301</c:v>
                </c:pt>
                <c:pt idx="2">
                  <c:v>1.1144210713463301</c:v>
                </c:pt>
                <c:pt idx="3">
                  <c:v>1.1144210713463301</c:v>
                </c:pt>
                <c:pt idx="4">
                  <c:v>1.1144210713463301</c:v>
                </c:pt>
                <c:pt idx="5">
                  <c:v>1.1144210713463301</c:v>
                </c:pt>
                <c:pt idx="6">
                  <c:v>1.1144210713463301</c:v>
                </c:pt>
                <c:pt idx="7">
                  <c:v>1.1144210713463301</c:v>
                </c:pt>
                <c:pt idx="8">
                  <c:v>1.1144210713463301</c:v>
                </c:pt>
                <c:pt idx="9">
                  <c:v>1.1144210713463301</c:v>
                </c:pt>
                <c:pt idx="10">
                  <c:v>1.1144210713463301</c:v>
                </c:pt>
                <c:pt idx="11">
                  <c:v>1.1144210713463301</c:v>
                </c:pt>
                <c:pt idx="12">
                  <c:v>1.1144210713463301</c:v>
                </c:pt>
                <c:pt idx="13">
                  <c:v>1.1144210713463301</c:v>
                </c:pt>
                <c:pt idx="14">
                  <c:v>1.1144210713463301</c:v>
                </c:pt>
                <c:pt idx="15">
                  <c:v>1.1144210713463301</c:v>
                </c:pt>
                <c:pt idx="16">
                  <c:v>1.1144210713463301</c:v>
                </c:pt>
                <c:pt idx="17">
                  <c:v>1.1144210713463301</c:v>
                </c:pt>
                <c:pt idx="18">
                  <c:v>1.1144210713463301</c:v>
                </c:pt>
                <c:pt idx="19">
                  <c:v>1.1144210713463301</c:v>
                </c:pt>
                <c:pt idx="20">
                  <c:v>1.1144210713463301</c:v>
                </c:pt>
                <c:pt idx="21">
                  <c:v>1.1144210713463301</c:v>
                </c:pt>
                <c:pt idx="22">
                  <c:v>1.1144210713463301</c:v>
                </c:pt>
                <c:pt idx="23">
                  <c:v>1.1144210713463301</c:v>
                </c:pt>
                <c:pt idx="24">
                  <c:v>1.1144210713463301</c:v>
                </c:pt>
                <c:pt idx="25">
                  <c:v>1.1144210713463301</c:v>
                </c:pt>
                <c:pt idx="26">
                  <c:v>1.1144210713463301</c:v>
                </c:pt>
                <c:pt idx="27">
                  <c:v>1.1144210713463301</c:v>
                </c:pt>
                <c:pt idx="28">
                  <c:v>1.1144210713463301</c:v>
                </c:pt>
                <c:pt idx="29">
                  <c:v>1.1144210713463301</c:v>
                </c:pt>
                <c:pt idx="30">
                  <c:v>1.1144210713463301</c:v>
                </c:pt>
                <c:pt idx="31">
                  <c:v>1.1144210713463301</c:v>
                </c:pt>
                <c:pt idx="32">
                  <c:v>1.1144210713463301</c:v>
                </c:pt>
                <c:pt idx="33">
                  <c:v>1.1144210713463301</c:v>
                </c:pt>
                <c:pt idx="34">
                  <c:v>1.1144210713463301</c:v>
                </c:pt>
                <c:pt idx="35">
                  <c:v>1.1144210713463301</c:v>
                </c:pt>
                <c:pt idx="36">
                  <c:v>1.1144210713463301</c:v>
                </c:pt>
                <c:pt idx="37">
                  <c:v>1.1144210713463301</c:v>
                </c:pt>
                <c:pt idx="38">
                  <c:v>1.1144210713463301</c:v>
                </c:pt>
                <c:pt idx="39">
                  <c:v>1.1144210713463301</c:v>
                </c:pt>
                <c:pt idx="40">
                  <c:v>1.1144210713463301</c:v>
                </c:pt>
                <c:pt idx="41">
                  <c:v>1.1144210713463301</c:v>
                </c:pt>
                <c:pt idx="42">
                  <c:v>1.1144210713463301</c:v>
                </c:pt>
                <c:pt idx="43">
                  <c:v>1.1144210713463301</c:v>
                </c:pt>
                <c:pt idx="44">
                  <c:v>1.1144210713463301</c:v>
                </c:pt>
                <c:pt idx="45">
                  <c:v>1.1144210713463301</c:v>
                </c:pt>
                <c:pt idx="46">
                  <c:v>1.1144210713463301</c:v>
                </c:pt>
                <c:pt idx="47">
                  <c:v>1.1144210713463301</c:v>
                </c:pt>
                <c:pt idx="48">
                  <c:v>1.1144210713463301</c:v>
                </c:pt>
                <c:pt idx="49">
                  <c:v>1.1144210713463301</c:v>
                </c:pt>
                <c:pt idx="50">
                  <c:v>1.1144210713463301</c:v>
                </c:pt>
                <c:pt idx="51">
                  <c:v>1.1144210713463301</c:v>
                </c:pt>
                <c:pt idx="52">
                  <c:v>1.1144210713463301</c:v>
                </c:pt>
                <c:pt idx="53">
                  <c:v>1.1144210713463301</c:v>
                </c:pt>
                <c:pt idx="54">
                  <c:v>1.1144210713463301</c:v>
                </c:pt>
                <c:pt idx="55">
                  <c:v>1.1144210713463301</c:v>
                </c:pt>
                <c:pt idx="56">
                  <c:v>1.1144210713463301</c:v>
                </c:pt>
                <c:pt idx="57">
                  <c:v>1.1144210713463301</c:v>
                </c:pt>
                <c:pt idx="58">
                  <c:v>1.1144210713463301</c:v>
                </c:pt>
                <c:pt idx="59">
                  <c:v>1.1144210713463301</c:v>
                </c:pt>
                <c:pt idx="60">
                  <c:v>1.1144210713463301</c:v>
                </c:pt>
                <c:pt idx="61">
                  <c:v>1.1144210713463301</c:v>
                </c:pt>
                <c:pt idx="62">
                  <c:v>1.1144210713463301</c:v>
                </c:pt>
                <c:pt idx="63">
                  <c:v>1.1144210713463301</c:v>
                </c:pt>
                <c:pt idx="64">
                  <c:v>1.1144210713463301</c:v>
                </c:pt>
                <c:pt idx="65">
                  <c:v>1.1144210713463301</c:v>
                </c:pt>
                <c:pt idx="66">
                  <c:v>1.1144210713463301</c:v>
                </c:pt>
                <c:pt idx="67">
                  <c:v>1.1144210713463301</c:v>
                </c:pt>
                <c:pt idx="68">
                  <c:v>1.1144210713463301</c:v>
                </c:pt>
                <c:pt idx="69">
                  <c:v>1.1144210713463301</c:v>
                </c:pt>
                <c:pt idx="70">
                  <c:v>1.1144210713463301</c:v>
                </c:pt>
                <c:pt idx="71">
                  <c:v>1.1144210713463301</c:v>
                </c:pt>
                <c:pt idx="72">
                  <c:v>1.1144210713463301</c:v>
                </c:pt>
                <c:pt idx="73">
                  <c:v>1.1144210713463301</c:v>
                </c:pt>
                <c:pt idx="74">
                  <c:v>1.1144210713463301</c:v>
                </c:pt>
                <c:pt idx="75">
                  <c:v>1.1144210713463301</c:v>
                </c:pt>
                <c:pt idx="76">
                  <c:v>1.1144210713463301</c:v>
                </c:pt>
                <c:pt idx="77">
                  <c:v>1.1144210713463301</c:v>
                </c:pt>
                <c:pt idx="78">
                  <c:v>1.1144210713463301</c:v>
                </c:pt>
                <c:pt idx="79">
                  <c:v>1.1144210713463301</c:v>
                </c:pt>
                <c:pt idx="80">
                  <c:v>1.1144210713463301</c:v>
                </c:pt>
                <c:pt idx="81">
                  <c:v>1.1144210713463301</c:v>
                </c:pt>
                <c:pt idx="82">
                  <c:v>1.1144210713463301</c:v>
                </c:pt>
                <c:pt idx="83">
                  <c:v>1.1144210713463301</c:v>
                </c:pt>
                <c:pt idx="84">
                  <c:v>1.1144210713463301</c:v>
                </c:pt>
                <c:pt idx="85">
                  <c:v>1.1144210713463301</c:v>
                </c:pt>
                <c:pt idx="86">
                  <c:v>1.1144210713463301</c:v>
                </c:pt>
                <c:pt idx="87">
                  <c:v>1.1144210713463301</c:v>
                </c:pt>
                <c:pt idx="88">
                  <c:v>1.1144210713463301</c:v>
                </c:pt>
                <c:pt idx="89">
                  <c:v>1.1144210713463301</c:v>
                </c:pt>
                <c:pt idx="90">
                  <c:v>1.1144210713463301</c:v>
                </c:pt>
                <c:pt idx="91">
                  <c:v>1.1144210713463301</c:v>
                </c:pt>
                <c:pt idx="92">
                  <c:v>1.1144210713463301</c:v>
                </c:pt>
                <c:pt idx="93">
                  <c:v>1.1144210713463301</c:v>
                </c:pt>
                <c:pt idx="94">
                  <c:v>1.1144210713463301</c:v>
                </c:pt>
                <c:pt idx="95">
                  <c:v>1.1144210713463301</c:v>
                </c:pt>
                <c:pt idx="96">
                  <c:v>1.1144210713463301</c:v>
                </c:pt>
                <c:pt idx="97">
                  <c:v>1.1144210713463301</c:v>
                </c:pt>
                <c:pt idx="98">
                  <c:v>1.1144210713463301</c:v>
                </c:pt>
                <c:pt idx="99">
                  <c:v>1.1144210713463301</c:v>
                </c:pt>
                <c:pt idx="100">
                  <c:v>1.1144210713463301</c:v>
                </c:pt>
                <c:pt idx="101">
                  <c:v>1.1144210713463301</c:v>
                </c:pt>
                <c:pt idx="102">
                  <c:v>1.1144210713463301</c:v>
                </c:pt>
                <c:pt idx="103">
                  <c:v>1.1144210713463301</c:v>
                </c:pt>
                <c:pt idx="104">
                  <c:v>1.1144210713463301</c:v>
                </c:pt>
                <c:pt idx="105">
                  <c:v>1.1144210713463301</c:v>
                </c:pt>
                <c:pt idx="106">
                  <c:v>1.1144210713463301</c:v>
                </c:pt>
                <c:pt idx="107">
                  <c:v>1.1144210713463301</c:v>
                </c:pt>
                <c:pt idx="108">
                  <c:v>1.1144210713463301</c:v>
                </c:pt>
                <c:pt idx="109">
                  <c:v>1.1144210713463301</c:v>
                </c:pt>
                <c:pt idx="110">
                  <c:v>1.1144210713463301</c:v>
                </c:pt>
                <c:pt idx="111">
                  <c:v>1.1144210713463301</c:v>
                </c:pt>
                <c:pt idx="112">
                  <c:v>1.1144210713463301</c:v>
                </c:pt>
                <c:pt idx="113">
                  <c:v>1.1144210713463301</c:v>
                </c:pt>
                <c:pt idx="114">
                  <c:v>1.1144210713463301</c:v>
                </c:pt>
                <c:pt idx="115">
                  <c:v>1.1144210713463301</c:v>
                </c:pt>
                <c:pt idx="116">
                  <c:v>1.1144210713463301</c:v>
                </c:pt>
                <c:pt idx="117">
                  <c:v>1.1144210713463301</c:v>
                </c:pt>
                <c:pt idx="118">
                  <c:v>1.1144210713463301</c:v>
                </c:pt>
                <c:pt idx="119">
                  <c:v>1.1144210713463301</c:v>
                </c:pt>
                <c:pt idx="120">
                  <c:v>1.1144210713463301</c:v>
                </c:pt>
                <c:pt idx="121">
                  <c:v>1.1144210713463301</c:v>
                </c:pt>
                <c:pt idx="122">
                  <c:v>1.1144210713463301</c:v>
                </c:pt>
                <c:pt idx="123">
                  <c:v>1.1144210713463301</c:v>
                </c:pt>
                <c:pt idx="124">
                  <c:v>1.1144210713463301</c:v>
                </c:pt>
                <c:pt idx="125">
                  <c:v>1.1144210713463301</c:v>
                </c:pt>
                <c:pt idx="126">
                  <c:v>1.1144210713463301</c:v>
                </c:pt>
                <c:pt idx="127">
                  <c:v>1.1144210713463301</c:v>
                </c:pt>
                <c:pt idx="128">
                  <c:v>1.1144210713463301</c:v>
                </c:pt>
                <c:pt idx="129">
                  <c:v>1.1144210713463301</c:v>
                </c:pt>
                <c:pt idx="130">
                  <c:v>1.1144210713463301</c:v>
                </c:pt>
                <c:pt idx="131">
                  <c:v>1.1144210713463301</c:v>
                </c:pt>
                <c:pt idx="132">
                  <c:v>1.1144210713463301</c:v>
                </c:pt>
                <c:pt idx="133">
                  <c:v>1.1144210713463301</c:v>
                </c:pt>
                <c:pt idx="134">
                  <c:v>1.1144210713463301</c:v>
                </c:pt>
                <c:pt idx="135">
                  <c:v>1.1144210713463301</c:v>
                </c:pt>
                <c:pt idx="136">
                  <c:v>1.1144210713463301</c:v>
                </c:pt>
                <c:pt idx="137">
                  <c:v>1.1144210713463301</c:v>
                </c:pt>
                <c:pt idx="138">
                  <c:v>1.1144210713463301</c:v>
                </c:pt>
                <c:pt idx="139">
                  <c:v>1.1144210713463301</c:v>
                </c:pt>
                <c:pt idx="140">
                  <c:v>1.1144210713463301</c:v>
                </c:pt>
                <c:pt idx="141">
                  <c:v>1.1144210713463301</c:v>
                </c:pt>
                <c:pt idx="142">
                  <c:v>1.1144210713463301</c:v>
                </c:pt>
                <c:pt idx="143">
                  <c:v>1.1144210713463301</c:v>
                </c:pt>
                <c:pt idx="144">
                  <c:v>1.1144210713463301</c:v>
                </c:pt>
                <c:pt idx="145">
                  <c:v>1.1144210713463301</c:v>
                </c:pt>
                <c:pt idx="146">
                  <c:v>1.1144210713463301</c:v>
                </c:pt>
                <c:pt idx="147">
                  <c:v>1.1144210713463301</c:v>
                </c:pt>
                <c:pt idx="148">
                  <c:v>1.1144210713463301</c:v>
                </c:pt>
                <c:pt idx="149">
                  <c:v>1.1144210713463301</c:v>
                </c:pt>
                <c:pt idx="150">
                  <c:v>1.1144210713463301</c:v>
                </c:pt>
                <c:pt idx="151">
                  <c:v>1.1144210713463301</c:v>
                </c:pt>
                <c:pt idx="152">
                  <c:v>1.1144210713463301</c:v>
                </c:pt>
                <c:pt idx="153">
                  <c:v>1.1144210713463301</c:v>
                </c:pt>
                <c:pt idx="154">
                  <c:v>1.1144210713463301</c:v>
                </c:pt>
                <c:pt idx="155">
                  <c:v>1.1144210713463301</c:v>
                </c:pt>
                <c:pt idx="156">
                  <c:v>1.1144210713463301</c:v>
                </c:pt>
                <c:pt idx="157">
                  <c:v>1.1144210713463301</c:v>
                </c:pt>
                <c:pt idx="158">
                  <c:v>1.1144210713463301</c:v>
                </c:pt>
                <c:pt idx="159">
                  <c:v>1.1144210713463301</c:v>
                </c:pt>
                <c:pt idx="160">
                  <c:v>1.1144210713463301</c:v>
                </c:pt>
                <c:pt idx="161">
                  <c:v>1.1144210713463301</c:v>
                </c:pt>
                <c:pt idx="162">
                  <c:v>1.1144210713463301</c:v>
                </c:pt>
                <c:pt idx="163">
                  <c:v>1.1144210713463301</c:v>
                </c:pt>
                <c:pt idx="164">
                  <c:v>1.1144210713463301</c:v>
                </c:pt>
                <c:pt idx="165">
                  <c:v>1.1144210713463301</c:v>
                </c:pt>
                <c:pt idx="166">
                  <c:v>1.1144210713463301</c:v>
                </c:pt>
                <c:pt idx="167">
                  <c:v>1.1144210713463301</c:v>
                </c:pt>
                <c:pt idx="168">
                  <c:v>1.1144210713463301</c:v>
                </c:pt>
                <c:pt idx="169">
                  <c:v>1.1144210713463301</c:v>
                </c:pt>
                <c:pt idx="170">
                  <c:v>1.1144210713463301</c:v>
                </c:pt>
                <c:pt idx="171">
                  <c:v>1.1144210713463301</c:v>
                </c:pt>
                <c:pt idx="172">
                  <c:v>1.1144210713463301</c:v>
                </c:pt>
                <c:pt idx="173">
                  <c:v>1.1144210713463301</c:v>
                </c:pt>
                <c:pt idx="174">
                  <c:v>1.1144210713463301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B-474E-A25F-B6ECE1A1F821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ICVT/CWB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1.1059628469210001</c:v>
                </c:pt>
                <c:pt idx="21">
                  <c:v>1.1066905063647099</c:v>
                </c:pt>
                <c:pt idx="22">
                  <c:v>1.10710703283626</c:v>
                </c:pt>
                <c:pt idx="23">
                  <c:v>1.10779194162496</c:v>
                </c:pt>
                <c:pt idx="24">
                  <c:v>1.1083919201647201</c:v>
                </c:pt>
                <c:pt idx="25">
                  <c:v>1.1084655574172899</c:v>
                </c:pt>
                <c:pt idx="26">
                  <c:v>1.1085015227386901</c:v>
                </c:pt>
                <c:pt idx="27">
                  <c:v>1.10834363821227</c:v>
                </c:pt>
                <c:pt idx="28">
                  <c:v>1.1080970899940199</c:v>
                </c:pt>
                <c:pt idx="29">
                  <c:v>1.1080756427320499</c:v>
                </c:pt>
                <c:pt idx="30">
                  <c:v>1.1078287965873499</c:v>
                </c:pt>
                <c:pt idx="31">
                  <c:v>1.1074198389269301</c:v>
                </c:pt>
                <c:pt idx="32">
                  <c:v>1.1074792438535099</c:v>
                </c:pt>
                <c:pt idx="33">
                  <c:v>1.1074882448240499</c:v>
                </c:pt>
                <c:pt idx="34">
                  <c:v>1.1072332353190599</c:v>
                </c:pt>
                <c:pt idx="35">
                  <c:v>1.10707703487428</c:v>
                </c:pt>
                <c:pt idx="36">
                  <c:v>1.1069412149388</c:v>
                </c:pt>
                <c:pt idx="37">
                  <c:v>1.10732018381887</c:v>
                </c:pt>
                <c:pt idx="38">
                  <c:v>1.1077655137798901</c:v>
                </c:pt>
                <c:pt idx="39">
                  <c:v>1.1084253497075101</c:v>
                </c:pt>
                <c:pt idx="40">
                  <c:v>1.10883349412409</c:v>
                </c:pt>
                <c:pt idx="41">
                  <c:v>1.10919393213051</c:v>
                </c:pt>
                <c:pt idx="42">
                  <c:v>1.10940886401552</c:v>
                </c:pt>
                <c:pt idx="43">
                  <c:v>1.1092917040115899</c:v>
                </c:pt>
                <c:pt idx="44">
                  <c:v>1.10951467161099</c:v>
                </c:pt>
                <c:pt idx="45">
                  <c:v>1.1102672675293801</c:v>
                </c:pt>
                <c:pt idx="46">
                  <c:v>1.1111324666203499</c:v>
                </c:pt>
                <c:pt idx="47">
                  <c:v>1.11114332921346</c:v>
                </c:pt>
                <c:pt idx="48">
                  <c:v>1.11136793465756</c:v>
                </c:pt>
                <c:pt idx="49">
                  <c:v>1.11120101478829</c:v>
                </c:pt>
                <c:pt idx="50">
                  <c:v>1.11140203541456</c:v>
                </c:pt>
                <c:pt idx="51">
                  <c:v>1.11162626795834</c:v>
                </c:pt>
                <c:pt idx="52">
                  <c:v>1.1119364269049901</c:v>
                </c:pt>
                <c:pt idx="53">
                  <c:v>1.1124477908199799</c:v>
                </c:pt>
                <c:pt idx="54">
                  <c:v>1.1126059576768399</c:v>
                </c:pt>
                <c:pt idx="55">
                  <c:v>1.1128259333064701</c:v>
                </c:pt>
                <c:pt idx="56">
                  <c:v>1.11301359125119</c:v>
                </c:pt>
                <c:pt idx="57">
                  <c:v>1.113708326165</c:v>
                </c:pt>
                <c:pt idx="58">
                  <c:v>1.1147459201054</c:v>
                </c:pt>
                <c:pt idx="59">
                  <c:v>1.1147937809753501</c:v>
                </c:pt>
                <c:pt idx="60">
                  <c:v>1.11482380549108</c:v>
                </c:pt>
                <c:pt idx="61">
                  <c:v>1.11469546703524</c:v>
                </c:pt>
                <c:pt idx="62">
                  <c:v>1.11469752729106</c:v>
                </c:pt>
                <c:pt idx="63">
                  <c:v>1.1148034242149201</c:v>
                </c:pt>
                <c:pt idx="64">
                  <c:v>1.1149354481765399</c:v>
                </c:pt>
                <c:pt idx="65">
                  <c:v>1.1148490875773001</c:v>
                </c:pt>
                <c:pt idx="66">
                  <c:v>1.11471455164873</c:v>
                </c:pt>
                <c:pt idx="67">
                  <c:v>1.11469783623633</c:v>
                </c:pt>
                <c:pt idx="68">
                  <c:v>1.1133583228641699</c:v>
                </c:pt>
                <c:pt idx="69">
                  <c:v>1.1130925035106101</c:v>
                </c:pt>
                <c:pt idx="70">
                  <c:v>1.1132614003325101</c:v>
                </c:pt>
                <c:pt idx="71">
                  <c:v>1.11311311868706</c:v>
                </c:pt>
                <c:pt idx="72">
                  <c:v>1.1132540302631</c:v>
                </c:pt>
                <c:pt idx="73">
                  <c:v>1.11311325782138</c:v>
                </c:pt>
                <c:pt idx="74">
                  <c:v>1.11315295864752</c:v>
                </c:pt>
                <c:pt idx="75">
                  <c:v>1.1129588082334201</c:v>
                </c:pt>
                <c:pt idx="76">
                  <c:v>1.1124981196181001</c:v>
                </c:pt>
                <c:pt idx="77">
                  <c:v>1.1122757689789899</c:v>
                </c:pt>
                <c:pt idx="78">
                  <c:v>1.11249455783395</c:v>
                </c:pt>
                <c:pt idx="79">
                  <c:v>1.1124274080177901</c:v>
                </c:pt>
                <c:pt idx="80">
                  <c:v>1.1124955669033401</c:v>
                </c:pt>
                <c:pt idx="81">
                  <c:v>1.1130009104912</c:v>
                </c:pt>
                <c:pt idx="82">
                  <c:v>1.1130143757342399</c:v>
                </c:pt>
                <c:pt idx="83">
                  <c:v>1.11356720598438</c:v>
                </c:pt>
                <c:pt idx="84">
                  <c:v>1.11369496608326</c:v>
                </c:pt>
                <c:pt idx="85">
                  <c:v>1.1144411764828199</c:v>
                </c:pt>
                <c:pt idx="86">
                  <c:v>1.1151227768754299</c:v>
                </c:pt>
                <c:pt idx="87">
                  <c:v>1.1153410172827201</c:v>
                </c:pt>
                <c:pt idx="88">
                  <c:v>1.1159444096122699</c:v>
                </c:pt>
                <c:pt idx="89">
                  <c:v>1.11651533664747</c:v>
                </c:pt>
                <c:pt idx="90">
                  <c:v>1.1169201377864899</c:v>
                </c:pt>
                <c:pt idx="91">
                  <c:v>1.11720285484354</c:v>
                </c:pt>
                <c:pt idx="92">
                  <c:v>1.11784153637921</c:v>
                </c:pt>
                <c:pt idx="93">
                  <c:v>1.1180822406001401</c:v>
                </c:pt>
                <c:pt idx="94">
                  <c:v>1.1184324594563899</c:v>
                </c:pt>
                <c:pt idx="95">
                  <c:v>1.1185526092162701</c:v>
                </c:pt>
                <c:pt idx="96">
                  <c:v>1.11885895022683</c:v>
                </c:pt>
                <c:pt idx="97">
                  <c:v>1.11936823812761</c:v>
                </c:pt>
                <c:pt idx="98">
                  <c:v>1.11992258835517</c:v>
                </c:pt>
                <c:pt idx="99">
                  <c:v>1.1205180045824601</c:v>
                </c:pt>
                <c:pt idx="100">
                  <c:v>1.1204350989732099</c:v>
                </c:pt>
                <c:pt idx="101">
                  <c:v>1.12023987348396</c:v>
                </c:pt>
                <c:pt idx="102">
                  <c:v>1.1201588385255199</c:v>
                </c:pt>
                <c:pt idx="103">
                  <c:v>1.11989008984524</c:v>
                </c:pt>
                <c:pt idx="104">
                  <c:v>1.12007642219574</c:v>
                </c:pt>
                <c:pt idx="105">
                  <c:v>1.11997473159098</c:v>
                </c:pt>
                <c:pt idx="106">
                  <c:v>1.1198006059432699</c:v>
                </c:pt>
                <c:pt idx="107">
                  <c:v>1.1197729859140999</c:v>
                </c:pt>
                <c:pt idx="108">
                  <c:v>1.11957714427695</c:v>
                </c:pt>
                <c:pt idx="109">
                  <c:v>1.11918305339498</c:v>
                </c:pt>
                <c:pt idx="110">
                  <c:v>1.11926579471771</c:v>
                </c:pt>
                <c:pt idx="111">
                  <c:v>1.11966996383092</c:v>
                </c:pt>
                <c:pt idx="112">
                  <c:v>1.1198239107021799</c:v>
                </c:pt>
                <c:pt idx="113">
                  <c:v>1.1200702885915399</c:v>
                </c:pt>
                <c:pt idx="114">
                  <c:v>1.1202349073662401</c:v>
                </c:pt>
                <c:pt idx="115">
                  <c:v>1.1206145068233799</c:v>
                </c:pt>
                <c:pt idx="116">
                  <c:v>1.12135480653654</c:v>
                </c:pt>
                <c:pt idx="117">
                  <c:v>1.12190711727598</c:v>
                </c:pt>
                <c:pt idx="118">
                  <c:v>1.1223206287493499</c:v>
                </c:pt>
                <c:pt idx="119">
                  <c:v>1.1231013028611001</c:v>
                </c:pt>
                <c:pt idx="120">
                  <c:v>1.12385413313614</c:v>
                </c:pt>
                <c:pt idx="121">
                  <c:v>1.1245715981268201</c:v>
                </c:pt>
                <c:pt idx="122">
                  <c:v>1.12526555177676</c:v>
                </c:pt>
                <c:pt idx="123">
                  <c:v>1.12596495803081</c:v>
                </c:pt>
                <c:pt idx="124">
                  <c:v>1.1262069916138799</c:v>
                </c:pt>
                <c:pt idx="125">
                  <c:v>1.12605414794795</c:v>
                </c:pt>
                <c:pt idx="126">
                  <c:v>1.1254995752510899</c:v>
                </c:pt>
                <c:pt idx="127">
                  <c:v>1.12480335295094</c:v>
                </c:pt>
                <c:pt idx="128">
                  <c:v>1.1245186494688399</c:v>
                </c:pt>
                <c:pt idx="129">
                  <c:v>1.12399289541009</c:v>
                </c:pt>
                <c:pt idx="130">
                  <c:v>1.12343147067044</c:v>
                </c:pt>
                <c:pt idx="131">
                  <c:v>1.12260831934262</c:v>
                </c:pt>
                <c:pt idx="132">
                  <c:v>1.1216778339517901</c:v>
                </c:pt>
                <c:pt idx="133">
                  <c:v>1.1207746927281499</c:v>
                </c:pt>
                <c:pt idx="134">
                  <c:v>1.1203424523283501</c:v>
                </c:pt>
                <c:pt idx="135">
                  <c:v>1.1202526316390899</c:v>
                </c:pt>
                <c:pt idx="136">
                  <c:v>1.12083049017105</c:v>
                </c:pt>
                <c:pt idx="137">
                  <c:v>1.1209816487950399</c:v>
                </c:pt>
                <c:pt idx="138">
                  <c:v>1.1210690394651599</c:v>
                </c:pt>
                <c:pt idx="139">
                  <c:v>1.12111144118613</c:v>
                </c:pt>
                <c:pt idx="140">
                  <c:v>1.1209967561288099</c:v>
                </c:pt>
                <c:pt idx="141">
                  <c:v>1.12057520620226</c:v>
                </c:pt>
                <c:pt idx="142">
                  <c:v>1.1200700287287</c:v>
                </c:pt>
                <c:pt idx="143">
                  <c:v>1.11985913422405</c:v>
                </c:pt>
                <c:pt idx="144">
                  <c:v>1.1189622735889</c:v>
                </c:pt>
                <c:pt idx="145">
                  <c:v>1.1182755673824201</c:v>
                </c:pt>
                <c:pt idx="146">
                  <c:v>1.11688154684467</c:v>
                </c:pt>
                <c:pt idx="147">
                  <c:v>1.1161139619520899</c:v>
                </c:pt>
                <c:pt idx="148">
                  <c:v>1.1151184163540799</c:v>
                </c:pt>
                <c:pt idx="149">
                  <c:v>1.1144369537624199</c:v>
                </c:pt>
                <c:pt idx="150">
                  <c:v>1.1136252192873699</c:v>
                </c:pt>
                <c:pt idx="151">
                  <c:v>1.1134353083488899</c:v>
                </c:pt>
                <c:pt idx="152">
                  <c:v>1.1136697245651701</c:v>
                </c:pt>
                <c:pt idx="153">
                  <c:v>1.1133546605602</c:v>
                </c:pt>
                <c:pt idx="154">
                  <c:v>1.1138323983952401</c:v>
                </c:pt>
                <c:pt idx="155">
                  <c:v>1.1142494434211301</c:v>
                </c:pt>
                <c:pt idx="156">
                  <c:v>1.11453718927637</c:v>
                </c:pt>
                <c:pt idx="157">
                  <c:v>1.1149504676854101</c:v>
                </c:pt>
                <c:pt idx="158">
                  <c:v>1.1152417983246601</c:v>
                </c:pt>
                <c:pt idx="159">
                  <c:v>1.1155691165836199</c:v>
                </c:pt>
                <c:pt idx="160">
                  <c:v>1.1161883631840399</c:v>
                </c:pt>
                <c:pt idx="161">
                  <c:v>1.11659236353177</c:v>
                </c:pt>
                <c:pt idx="162">
                  <c:v>1.11620850515207</c:v>
                </c:pt>
                <c:pt idx="163">
                  <c:v>1.11646710652864</c:v>
                </c:pt>
                <c:pt idx="164">
                  <c:v>1.1163230041671801</c:v>
                </c:pt>
                <c:pt idx="165">
                  <c:v>1.1158735716225401</c:v>
                </c:pt>
                <c:pt idx="166">
                  <c:v>1.1157458856446001</c:v>
                </c:pt>
                <c:pt idx="167">
                  <c:v>1.1154325146644599</c:v>
                </c:pt>
                <c:pt idx="168">
                  <c:v>1.1150900830227699</c:v>
                </c:pt>
                <c:pt idx="169">
                  <c:v>1.1148441899871899</c:v>
                </c:pt>
                <c:pt idx="170">
                  <c:v>1.11458231686104</c:v>
                </c:pt>
                <c:pt idx="171">
                  <c:v>1.11463569777145</c:v>
                </c:pt>
                <c:pt idx="172">
                  <c:v>1.1150381863293299</c:v>
                </c:pt>
                <c:pt idx="173">
                  <c:v>1.1145920682433099</c:v>
                </c:pt>
                <c:pt idx="174">
                  <c:v>1.1143850201796099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2B-474E-A25F-B6ECE1A1F821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ICVT/CWB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1.1037864025161901</c:v>
                </c:pt>
                <c:pt idx="20">
                  <c:v>1.10396634928975</c:v>
                </c:pt>
                <c:pt idx="21">
                  <c:v>1.1044041432803899</c:v>
                </c:pt>
                <c:pt idx="22">
                  <c:v>1.10466689184466</c:v>
                </c:pt>
                <c:pt idx="23">
                  <c:v>1.1049938847010901</c:v>
                </c:pt>
                <c:pt idx="24">
                  <c:v>1.1054588569694801</c:v>
                </c:pt>
                <c:pt idx="25">
                  <c:v>1.1057348323984999</c:v>
                </c:pt>
                <c:pt idx="26">
                  <c:v>1.10596797987657</c:v>
                </c:pt>
                <c:pt idx="27">
                  <c:v>1.1060957258538999</c:v>
                </c:pt>
                <c:pt idx="28">
                  <c:v>1.10639982970021</c:v>
                </c:pt>
                <c:pt idx="29">
                  <c:v>1.1067329627553499</c:v>
                </c:pt>
                <c:pt idx="30">
                  <c:v>1.10689582175417</c:v>
                </c:pt>
                <c:pt idx="31">
                  <c:v>1.10705517264582</c:v>
                </c:pt>
                <c:pt idx="32">
                  <c:v>1.1072931383448901</c:v>
                </c:pt>
                <c:pt idx="33">
                  <c:v>1.1076400932245001</c:v>
                </c:pt>
                <c:pt idx="34">
                  <c:v>1.1078125777418899</c:v>
                </c:pt>
                <c:pt idx="35">
                  <c:v>1.10777129614579</c:v>
                </c:pt>
                <c:pt idx="36">
                  <c:v>1.1077213688387499</c:v>
                </c:pt>
                <c:pt idx="37">
                  <c:v>1.1078319110155701</c:v>
                </c:pt>
                <c:pt idx="38">
                  <c:v>1.1079313018869501</c:v>
                </c:pt>
                <c:pt idx="39">
                  <c:v>1.1082504962197799</c:v>
                </c:pt>
                <c:pt idx="40">
                  <c:v>1.1083311453557201</c:v>
                </c:pt>
                <c:pt idx="41">
                  <c:v>1.1083068855287199</c:v>
                </c:pt>
                <c:pt idx="42">
                  <c:v>1.10844405393451</c:v>
                </c:pt>
                <c:pt idx="43">
                  <c:v>1.1083899744178201</c:v>
                </c:pt>
                <c:pt idx="44">
                  <c:v>1.1083739534650201</c:v>
                </c:pt>
                <c:pt idx="45">
                  <c:v>1.10867215120183</c:v>
                </c:pt>
                <c:pt idx="46">
                  <c:v>1.1090368407795801</c:v>
                </c:pt>
                <c:pt idx="47">
                  <c:v>1.10923175651616</c:v>
                </c:pt>
                <c:pt idx="48">
                  <c:v>1.1095667242187199</c:v>
                </c:pt>
                <c:pt idx="49">
                  <c:v>1.1098131822479</c:v>
                </c:pt>
                <c:pt idx="50">
                  <c:v>1.1101177647693301</c:v>
                </c:pt>
                <c:pt idx="51">
                  <c:v>1.11041010004442</c:v>
                </c:pt>
                <c:pt idx="52">
                  <c:v>1.11067264546025</c:v>
                </c:pt>
                <c:pt idx="53">
                  <c:v>1.11086974741579</c:v>
                </c:pt>
                <c:pt idx="54">
                  <c:v>1.11106031464391</c:v>
                </c:pt>
                <c:pt idx="55">
                  <c:v>1.11154660041793</c:v>
                </c:pt>
                <c:pt idx="56">
                  <c:v>1.1120730289357701</c:v>
                </c:pt>
                <c:pt idx="57">
                  <c:v>1.11242582768923</c:v>
                </c:pt>
                <c:pt idx="58">
                  <c:v>1.1130569273814801</c:v>
                </c:pt>
                <c:pt idx="59">
                  <c:v>1.1129973978818199</c:v>
                </c:pt>
                <c:pt idx="60">
                  <c:v>1.1131129204528201</c:v>
                </c:pt>
                <c:pt idx="61">
                  <c:v>1.1131608674967901</c:v>
                </c:pt>
                <c:pt idx="62">
                  <c:v>1.11331697709803</c:v>
                </c:pt>
                <c:pt idx="63">
                  <c:v>1.11362560751745</c:v>
                </c:pt>
                <c:pt idx="64">
                  <c:v>1.1137707029266899</c:v>
                </c:pt>
                <c:pt idx="65">
                  <c:v>1.1138375104418901</c:v>
                </c:pt>
                <c:pt idx="66">
                  <c:v>1.1138640714499599</c:v>
                </c:pt>
                <c:pt idx="67">
                  <c:v>1.11420308120067</c:v>
                </c:pt>
                <c:pt idx="68">
                  <c:v>1.1140521214847801</c:v>
                </c:pt>
                <c:pt idx="69">
                  <c:v>1.11394314224298</c:v>
                </c:pt>
                <c:pt idx="70">
                  <c:v>1.1140426029118</c:v>
                </c:pt>
                <c:pt idx="71">
                  <c:v>1.11390429286115</c:v>
                </c:pt>
                <c:pt idx="72">
                  <c:v>1.1139757787770801</c:v>
                </c:pt>
                <c:pt idx="73">
                  <c:v>1.1139583410181499</c:v>
                </c:pt>
                <c:pt idx="74">
                  <c:v>1.1140442034120299</c:v>
                </c:pt>
                <c:pt idx="75">
                  <c:v>1.1139039479053601</c:v>
                </c:pt>
                <c:pt idx="76">
                  <c:v>1.11360633563342</c:v>
                </c:pt>
                <c:pt idx="77">
                  <c:v>1.1134868026076601</c:v>
                </c:pt>
                <c:pt idx="78">
                  <c:v>1.11292644034906</c:v>
                </c:pt>
                <c:pt idx="79">
                  <c:v>1.1127599557642001</c:v>
                </c:pt>
                <c:pt idx="80">
                  <c:v>1.11287848361793</c:v>
                </c:pt>
                <c:pt idx="81">
                  <c:v>1.1130570145891301</c:v>
                </c:pt>
                <c:pt idx="82">
                  <c:v>1.1131342029986699</c:v>
                </c:pt>
                <c:pt idx="83">
                  <c:v>1.11334023190288</c:v>
                </c:pt>
                <c:pt idx="84">
                  <c:v>1.1134239623653901</c:v>
                </c:pt>
                <c:pt idx="85">
                  <c:v>1.1136999923581199</c:v>
                </c:pt>
                <c:pt idx="86">
                  <c:v>1.1138104482467699</c:v>
                </c:pt>
                <c:pt idx="87">
                  <c:v>1.11380839313086</c:v>
                </c:pt>
                <c:pt idx="88">
                  <c:v>1.1142194837231101</c:v>
                </c:pt>
                <c:pt idx="89">
                  <c:v>1.1144713723326301</c:v>
                </c:pt>
                <c:pt idx="90">
                  <c:v>1.1147078523449201</c:v>
                </c:pt>
                <c:pt idx="91">
                  <c:v>1.11510188266737</c:v>
                </c:pt>
                <c:pt idx="92">
                  <c:v>1.11542795605672</c:v>
                </c:pt>
                <c:pt idx="93">
                  <c:v>1.11582472329226</c:v>
                </c:pt>
                <c:pt idx="94">
                  <c:v>1.1160637127698201</c:v>
                </c:pt>
                <c:pt idx="95">
                  <c:v>1.11649689284954</c:v>
                </c:pt>
                <c:pt idx="96">
                  <c:v>1.1169908635511301</c:v>
                </c:pt>
                <c:pt idx="97">
                  <c:v>1.11735462770516</c:v>
                </c:pt>
                <c:pt idx="98">
                  <c:v>1.11793349898372</c:v>
                </c:pt>
                <c:pt idx="99">
                  <c:v>1.1185166706149701</c:v>
                </c:pt>
                <c:pt idx="100">
                  <c:v>1.1186776183798499</c:v>
                </c:pt>
                <c:pt idx="101">
                  <c:v>1.1187213641637499</c:v>
                </c:pt>
                <c:pt idx="102">
                  <c:v>1.1190001874523601</c:v>
                </c:pt>
                <c:pt idx="103">
                  <c:v>1.11898616522269</c:v>
                </c:pt>
                <c:pt idx="104">
                  <c:v>1.1192544408260601</c:v>
                </c:pt>
                <c:pt idx="105">
                  <c:v>1.1192636704036301</c:v>
                </c:pt>
                <c:pt idx="106">
                  <c:v>1.11932977808505</c:v>
                </c:pt>
                <c:pt idx="107">
                  <c:v>1.11957061202085</c:v>
                </c:pt>
                <c:pt idx="108">
                  <c:v>1.1197498663160601</c:v>
                </c:pt>
                <c:pt idx="109">
                  <c:v>1.11985052898872</c:v>
                </c:pt>
                <c:pt idx="110">
                  <c:v>1.11985044684546</c:v>
                </c:pt>
                <c:pt idx="111">
                  <c:v>1.11995491865744</c:v>
                </c:pt>
                <c:pt idx="112">
                  <c:v>1.1199913746138499</c:v>
                </c:pt>
                <c:pt idx="113">
                  <c:v>1.11998018921839</c:v>
                </c:pt>
                <c:pt idx="114">
                  <c:v>1.12015566478099</c:v>
                </c:pt>
                <c:pt idx="115">
                  <c:v>1.1202946192071801</c:v>
                </c:pt>
                <c:pt idx="116">
                  <c:v>1.1205777062399001</c:v>
                </c:pt>
                <c:pt idx="117">
                  <c:v>1.1208400515950401</c:v>
                </c:pt>
                <c:pt idx="118">
                  <c:v>1.1209488865131501</c:v>
                </c:pt>
                <c:pt idx="119">
                  <c:v>1.12114217812804</c:v>
                </c:pt>
                <c:pt idx="120">
                  <c:v>1.12155996392692</c:v>
                </c:pt>
                <c:pt idx="121">
                  <c:v>1.12212078097887</c:v>
                </c:pt>
                <c:pt idx="122">
                  <c:v>1.1225447312394701</c:v>
                </c:pt>
                <c:pt idx="123">
                  <c:v>1.1230176233111699</c:v>
                </c:pt>
                <c:pt idx="124">
                  <c:v>1.12322094949006</c:v>
                </c:pt>
                <c:pt idx="125">
                  <c:v>1.12333432738567</c:v>
                </c:pt>
                <c:pt idx="126">
                  <c:v>1.12342719089381</c:v>
                </c:pt>
                <c:pt idx="127">
                  <c:v>1.1233552351134599</c:v>
                </c:pt>
                <c:pt idx="128">
                  <c:v>1.1234196391091</c:v>
                </c:pt>
                <c:pt idx="129">
                  <c:v>1.1235470991356</c:v>
                </c:pt>
                <c:pt idx="130">
                  <c:v>1.12364280190329</c:v>
                </c:pt>
                <c:pt idx="131">
                  <c:v>1.12358995873472</c:v>
                </c:pt>
                <c:pt idx="132">
                  <c:v>1.1234716928642701</c:v>
                </c:pt>
                <c:pt idx="133">
                  <c:v>1.1233698253794799</c:v>
                </c:pt>
                <c:pt idx="134">
                  <c:v>1.1232747219711099</c:v>
                </c:pt>
                <c:pt idx="135">
                  <c:v>1.12315338979352</c:v>
                </c:pt>
                <c:pt idx="136">
                  <c:v>1.12316503271107</c:v>
                </c:pt>
                <c:pt idx="137">
                  <c:v>1.12289250087299</c:v>
                </c:pt>
                <c:pt idx="138">
                  <c:v>1.122793844467</c:v>
                </c:pt>
                <c:pt idx="139">
                  <c:v>1.1225521682981101</c:v>
                </c:pt>
                <c:pt idx="140">
                  <c:v>1.12221411339963</c:v>
                </c:pt>
                <c:pt idx="141">
                  <c:v>1.1215917627724401</c:v>
                </c:pt>
                <c:pt idx="142">
                  <c:v>1.12087393134025</c:v>
                </c:pt>
                <c:pt idx="143">
                  <c:v>1.1203169134761</c:v>
                </c:pt>
                <c:pt idx="144">
                  <c:v>1.1196523629586199</c:v>
                </c:pt>
                <c:pt idx="145">
                  <c:v>1.1192640995107499</c:v>
                </c:pt>
                <c:pt idx="146">
                  <c:v>1.11885601850786</c:v>
                </c:pt>
                <c:pt idx="147">
                  <c:v>1.11854780537356</c:v>
                </c:pt>
                <c:pt idx="148">
                  <c:v>1.1180937279096199</c:v>
                </c:pt>
                <c:pt idx="149">
                  <c:v>1.1177741974742701</c:v>
                </c:pt>
                <c:pt idx="150">
                  <c:v>1.11731098770809</c:v>
                </c:pt>
                <c:pt idx="151">
                  <c:v>1.11700525727557</c:v>
                </c:pt>
                <c:pt idx="152">
                  <c:v>1.11686987664694</c:v>
                </c:pt>
                <c:pt idx="153">
                  <c:v>1.1166068973921299</c:v>
                </c:pt>
                <c:pt idx="154">
                  <c:v>1.11639733599207</c:v>
                </c:pt>
                <c:pt idx="155">
                  <c:v>1.1162625054017701</c:v>
                </c:pt>
                <c:pt idx="156">
                  <c:v>1.1157093680605199</c:v>
                </c:pt>
                <c:pt idx="157">
                  <c:v>1.1155322148187501</c:v>
                </c:pt>
                <c:pt idx="158">
                  <c:v>1.1151801073393699</c:v>
                </c:pt>
                <c:pt idx="159">
                  <c:v>1.11500303517302</c:v>
                </c:pt>
                <c:pt idx="160">
                  <c:v>1.1149067912357</c:v>
                </c:pt>
                <c:pt idx="161">
                  <c:v>1.1150138359403301</c:v>
                </c:pt>
                <c:pt idx="162">
                  <c:v>1.1149391148586201</c:v>
                </c:pt>
                <c:pt idx="163">
                  <c:v>1.1149108835444199</c:v>
                </c:pt>
                <c:pt idx="164">
                  <c:v>1.1150777012812101</c:v>
                </c:pt>
                <c:pt idx="165">
                  <c:v>1.11506150752183</c:v>
                </c:pt>
                <c:pt idx="166">
                  <c:v>1.1151415374604801</c:v>
                </c:pt>
                <c:pt idx="167">
                  <c:v>1.1151914911749301</c:v>
                </c:pt>
                <c:pt idx="168">
                  <c:v>1.11516594067372</c:v>
                </c:pt>
                <c:pt idx="169">
                  <c:v>1.1152066532854099</c:v>
                </c:pt>
                <c:pt idx="170">
                  <c:v>1.11538534002254</c:v>
                </c:pt>
                <c:pt idx="171">
                  <c:v>1.11561403065161</c:v>
                </c:pt>
                <c:pt idx="172">
                  <c:v>1.1156233457407001</c:v>
                </c:pt>
                <c:pt idx="173">
                  <c:v>1.1155295873859701</c:v>
                </c:pt>
                <c:pt idx="174">
                  <c:v>1.1153540121734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2B-474E-A25F-B6ECE1A1F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CWB* x 10 dma / ICVT*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-2.73553618129315E-3</c:v>
                </c:pt>
                <c:pt idx="21">
                  <c:v>-5.0523033690297496E-3</c:v>
                </c:pt>
                <c:pt idx="22">
                  <c:v>-9.4979413436858896E-4</c:v>
                </c:pt>
                <c:pt idx="23">
                  <c:v>-2.6059061039310901E-3</c:v>
                </c:pt>
                <c:pt idx="24">
                  <c:v>-3.25893567616277E-3</c:v>
                </c:pt>
                <c:pt idx="25">
                  <c:v>1.36270686554398E-3</c:v>
                </c:pt>
                <c:pt idx="26">
                  <c:v>1.5741856502383101E-3</c:v>
                </c:pt>
                <c:pt idx="27">
                  <c:v>3.3426093910330201E-3</c:v>
                </c:pt>
                <c:pt idx="28">
                  <c:v>2.3273879754857701E-3</c:v>
                </c:pt>
                <c:pt idx="29">
                  <c:v>-4.6142866479113401E-5</c:v>
                </c:pt>
                <c:pt idx="30">
                  <c:v>2.0331588655624002E-3</c:v>
                </c:pt>
                <c:pt idx="31">
                  <c:v>4.1962314687948898E-4</c:v>
                </c:pt>
                <c:pt idx="32">
                  <c:v>-7.3239434382719396E-4</c:v>
                </c:pt>
                <c:pt idx="33">
                  <c:v>-2.2669202796935998E-3</c:v>
                </c:pt>
                <c:pt idx="34">
                  <c:v>-1.17019862339824E-3</c:v>
                </c:pt>
                <c:pt idx="35">
                  <c:v>1.78443268178854E-3</c:v>
                </c:pt>
                <c:pt idx="36">
                  <c:v>1.59457420571143E-3</c:v>
                </c:pt>
                <c:pt idx="37">
                  <c:v>-1.4518057920873499E-3</c:v>
                </c:pt>
                <c:pt idx="38">
                  <c:v>-2.5886612593775298E-3</c:v>
                </c:pt>
                <c:pt idx="39">
                  <c:v>-5.9478253836574803E-3</c:v>
                </c:pt>
                <c:pt idx="40">
                  <c:v>-1.04917031048892E-3</c:v>
                </c:pt>
                <c:pt idx="41">
                  <c:v>-1.6708036123632801E-3</c:v>
                </c:pt>
                <c:pt idx="42">
                  <c:v>-8.4860258221382604E-4</c:v>
                </c:pt>
                <c:pt idx="43">
                  <c:v>7.1838448220650495E-4</c:v>
                </c:pt>
                <c:pt idx="44">
                  <c:v>-1.3920714576932699E-3</c:v>
                </c:pt>
                <c:pt idx="45">
                  <c:v>-2.8100516374613802E-3</c:v>
                </c:pt>
                <c:pt idx="46">
                  <c:v>-3.2239479284966802E-3</c:v>
                </c:pt>
                <c:pt idx="47">
                  <c:v>2.2878459214723998E-3</c:v>
                </c:pt>
                <c:pt idx="48">
                  <c:v>-1.1286612701735101E-3</c:v>
                </c:pt>
                <c:pt idx="49">
                  <c:v>-1.5237073050567099E-3</c:v>
                </c:pt>
                <c:pt idx="50">
                  <c:v>-6.4390462894852102E-4</c:v>
                </c:pt>
                <c:pt idx="51">
                  <c:v>-1.62478234338922E-3</c:v>
                </c:pt>
                <c:pt idx="52">
                  <c:v>-1.6689876519639601E-3</c:v>
                </c:pt>
                <c:pt idx="53">
                  <c:v>-1.79189570641502E-3</c:v>
                </c:pt>
                <c:pt idx="54">
                  <c:v>-1.3318045244656399E-4</c:v>
                </c:pt>
                <c:pt idx="55">
                  <c:v>-2.1295146428090901E-3</c:v>
                </c:pt>
                <c:pt idx="56">
                  <c:v>-2.7009027482448799E-3</c:v>
                </c:pt>
                <c:pt idx="57">
                  <c:v>-2.3188255533781099E-3</c:v>
                </c:pt>
                <c:pt idx="58">
                  <c:v>-8.1169046288552295E-3</c:v>
                </c:pt>
                <c:pt idx="59">
                  <c:v>1.08458402191663E-3</c:v>
                </c:pt>
                <c:pt idx="60">
                  <c:v>2.3114582936968201E-3</c:v>
                </c:pt>
                <c:pt idx="61">
                  <c:v>2.3960612346266299E-3</c:v>
                </c:pt>
                <c:pt idx="62">
                  <c:v>8.8866360315820896E-4</c:v>
                </c:pt>
                <c:pt idx="63">
                  <c:v>-4.2448450440957599E-4</c:v>
                </c:pt>
                <c:pt idx="64">
                  <c:v>6.5487754682075697E-4</c:v>
                </c:pt>
                <c:pt idx="65">
                  <c:v>6.1093418981368998E-4</c:v>
                </c:pt>
                <c:pt idx="66">
                  <c:v>2.1666221286922499E-4</c:v>
                </c:pt>
                <c:pt idx="67">
                  <c:v>-7.2862230328411002E-4</c:v>
                </c:pt>
                <c:pt idx="68">
                  <c:v>4.6696764856448397E-3</c:v>
                </c:pt>
                <c:pt idx="69">
                  <c:v>2.1742428944237901E-3</c:v>
                </c:pt>
                <c:pt idx="70">
                  <c:v>-7.4773809910577802E-4</c:v>
                </c:pt>
                <c:pt idx="71">
                  <c:v>2.5235569993613698E-3</c:v>
                </c:pt>
                <c:pt idx="72">
                  <c:v>-1.6119046222291399E-3</c:v>
                </c:pt>
                <c:pt idx="73">
                  <c:v>-3.0056513664994497E-4</c:v>
                </c:pt>
                <c:pt idx="74">
                  <c:v>-1.07517567855175E-3</c:v>
                </c:pt>
                <c:pt idx="75">
                  <c:v>8.7277237717047602E-4</c:v>
                </c:pt>
                <c:pt idx="76">
                  <c:v>2.7526426016217199E-3</c:v>
                </c:pt>
                <c:pt idx="77">
                  <c:v>-6.43947263262835E-4</c:v>
                </c:pt>
                <c:pt idx="78">
                  <c:v>5.9885812979308597E-4</c:v>
                </c:pt>
                <c:pt idx="79">
                  <c:v>2.0446179935928702E-3</c:v>
                </c:pt>
                <c:pt idx="80">
                  <c:v>-1.9324473245982601E-3</c:v>
                </c:pt>
                <c:pt idx="81">
                  <c:v>-2.6871555198062099E-3</c:v>
                </c:pt>
                <c:pt idx="82">
                  <c:v>-1.6791949614890899E-3</c:v>
                </c:pt>
                <c:pt idx="83">
                  <c:v>-5.3100893552906004E-3</c:v>
                </c:pt>
                <c:pt idx="84">
                  <c:v>-1.6916108395077199E-3</c:v>
                </c:pt>
                <c:pt idx="85">
                  <c:v>-5.2024342984234298E-3</c:v>
                </c:pt>
                <c:pt idx="86">
                  <c:v>-1.93343596106321E-3</c:v>
                </c:pt>
                <c:pt idx="87">
                  <c:v>-1.7467952255727199E-4</c:v>
                </c:pt>
                <c:pt idx="88">
                  <c:v>-1.9964688747845798E-3</c:v>
                </c:pt>
                <c:pt idx="89">
                  <c:v>6.1232547144415494E-5</c:v>
                </c:pt>
                <c:pt idx="90">
                  <c:v>-1.86163977997017E-3</c:v>
                </c:pt>
                <c:pt idx="91">
                  <c:v>-1.24139325023498E-3</c:v>
                </c:pt>
                <c:pt idx="92">
                  <c:v>-3.76530890294695E-3</c:v>
                </c:pt>
                <c:pt idx="93">
                  <c:v>-3.2717029479802599E-3</c:v>
                </c:pt>
                <c:pt idx="94">
                  <c:v>-8.9638679783159104E-4</c:v>
                </c:pt>
                <c:pt idx="95">
                  <c:v>-2.1398899513564102E-3</c:v>
                </c:pt>
                <c:pt idx="96">
                  <c:v>-1.0833829620987799E-3</c:v>
                </c:pt>
                <c:pt idx="97">
                  <c:v>-1.45445414215173E-3</c:v>
                </c:pt>
                <c:pt idx="98">
                  <c:v>-3.3935689969551599E-3</c:v>
                </c:pt>
                <c:pt idx="99">
                  <c:v>-1.74125998903405E-3</c:v>
                </c:pt>
                <c:pt idx="100">
                  <c:v>2.4091461907814801E-3</c:v>
                </c:pt>
                <c:pt idx="101">
                  <c:v>3.6115475416333398E-3</c:v>
                </c:pt>
                <c:pt idx="102">
                  <c:v>1.07353647708127E-5</c:v>
                </c:pt>
                <c:pt idx="103">
                  <c:v>1.48611124191028E-3</c:v>
                </c:pt>
                <c:pt idx="104">
                  <c:v>-6.6468951192008899E-4</c:v>
                </c:pt>
                <c:pt idx="105">
                  <c:v>4.7090571179754401E-4</c:v>
                </c:pt>
                <c:pt idx="106">
                  <c:v>1.9664759995248701E-3</c:v>
                </c:pt>
                <c:pt idx="107">
                  <c:v>-1.7285166235152499E-4</c:v>
                </c:pt>
                <c:pt idx="108">
                  <c:v>-1.12705366312064E-3</c:v>
                </c:pt>
                <c:pt idx="109">
                  <c:v>1.59007367925974E-3</c:v>
                </c:pt>
                <c:pt idx="110">
                  <c:v>5.7030140273921399E-4</c:v>
                </c:pt>
                <c:pt idx="111">
                  <c:v>-9.840208250478761E-4</c:v>
                </c:pt>
                <c:pt idx="112">
                  <c:v>-2.22799993242316E-3</c:v>
                </c:pt>
                <c:pt idx="113">
                  <c:v>-1.32338983955512E-3</c:v>
                </c:pt>
                <c:pt idx="114">
                  <c:v>-2.2608588546577301E-3</c:v>
                </c:pt>
                <c:pt idx="115">
                  <c:v>-3.02101568726492E-3</c:v>
                </c:pt>
                <c:pt idx="116">
                  <c:v>-4.283564013592E-3</c:v>
                </c:pt>
                <c:pt idx="117">
                  <c:v>-3.8857502264647999E-3</c:v>
                </c:pt>
                <c:pt idx="118">
                  <c:v>-3.0550037957899198E-3</c:v>
                </c:pt>
                <c:pt idx="119">
                  <c:v>-3.0271246541926301E-3</c:v>
                </c:pt>
                <c:pt idx="120">
                  <c:v>-2.6907457612769699E-3</c:v>
                </c:pt>
                <c:pt idx="121">
                  <c:v>-3.2947286255047602E-3</c:v>
                </c:pt>
                <c:pt idx="122">
                  <c:v>-3.9983140937728803E-3</c:v>
                </c:pt>
                <c:pt idx="123">
                  <c:v>-2.8064791905622602E-3</c:v>
                </c:pt>
                <c:pt idx="124">
                  <c:v>7.1554245768569197E-4</c:v>
                </c:pt>
                <c:pt idx="125">
                  <c:v>3.5305505123926001E-3</c:v>
                </c:pt>
                <c:pt idx="126">
                  <c:v>5.3710682644530399E-3</c:v>
                </c:pt>
                <c:pt idx="127">
                  <c:v>5.8731907482988399E-3</c:v>
                </c:pt>
                <c:pt idx="128">
                  <c:v>1.95290672444918E-3</c:v>
                </c:pt>
                <c:pt idx="129">
                  <c:v>3.51396152861764E-3</c:v>
                </c:pt>
                <c:pt idx="130">
                  <c:v>3.01467569855106E-3</c:v>
                </c:pt>
                <c:pt idx="131">
                  <c:v>3.5855298333258702E-3</c:v>
                </c:pt>
                <c:pt idx="132">
                  <c:v>2.4814140624471299E-3</c:v>
                </c:pt>
                <c:pt idx="133">
                  <c:v>2.15373182201628E-3</c:v>
                </c:pt>
                <c:pt idx="134">
                  <c:v>7.5953082332459504E-5</c:v>
                </c:pt>
                <c:pt idx="135">
                  <c:v>-7.4661338219321797E-4</c:v>
                </c:pt>
                <c:pt idx="136">
                  <c:v>-4.7879964317108599E-3</c:v>
                </c:pt>
                <c:pt idx="137">
                  <c:v>4.7884909993021498E-4</c:v>
                </c:pt>
                <c:pt idx="138">
                  <c:v>-2.12991894380073E-3</c:v>
                </c:pt>
                <c:pt idx="139">
                  <c:v>1.4775845267194599E-4</c:v>
                </c:pt>
                <c:pt idx="140">
                  <c:v>1.5241168641716501E-3</c:v>
                </c:pt>
                <c:pt idx="141">
                  <c:v>5.2108363700795997E-3</c:v>
                </c:pt>
                <c:pt idx="142">
                  <c:v>5.1958190593087497E-3</c:v>
                </c:pt>
                <c:pt idx="143">
                  <c:v>2.59065911830458E-3</c:v>
                </c:pt>
                <c:pt idx="144">
                  <c:v>7.2352682450966101E-3</c:v>
                </c:pt>
                <c:pt idx="145">
                  <c:v>4.9418682887562198E-3</c:v>
                </c:pt>
                <c:pt idx="146">
                  <c:v>6.5496487348849202E-3</c:v>
                </c:pt>
                <c:pt idx="147">
                  <c:v>4.44775911252658E-3</c:v>
                </c:pt>
                <c:pt idx="148">
                  <c:v>2.9686250057651001E-3</c:v>
                </c:pt>
                <c:pt idx="149">
                  <c:v>1.3973348442715399E-3</c:v>
                </c:pt>
                <c:pt idx="150">
                  <c:v>3.2208329305602598E-3</c:v>
                </c:pt>
                <c:pt idx="151">
                  <c:v>6.6523557655864005E-4</c:v>
                </c:pt>
                <c:pt idx="152">
                  <c:v>-3.0346572932168901E-3</c:v>
                </c:pt>
                <c:pt idx="153">
                  <c:v>-1.61349376509316E-4</c:v>
                </c:pt>
                <c:pt idx="154">
                  <c:v>-2.7540261524328698E-3</c:v>
                </c:pt>
                <c:pt idx="155">
                  <c:v>-4.1701925201354899E-3</c:v>
                </c:pt>
                <c:pt idx="156">
                  <c:v>-3.0730005768584399E-4</c:v>
                </c:pt>
                <c:pt idx="157">
                  <c:v>-1.9519806604463301E-3</c:v>
                </c:pt>
                <c:pt idx="158">
                  <c:v>-1.22825401444752E-3</c:v>
                </c:pt>
                <c:pt idx="159">
                  <c:v>-1.8783117418978801E-3</c:v>
                </c:pt>
                <c:pt idx="160">
                  <c:v>-1.6693239793331199E-3</c:v>
                </c:pt>
                <c:pt idx="161">
                  <c:v>-9.6193079014146598E-4</c:v>
                </c:pt>
                <c:pt idx="162">
                  <c:v>2.9834218141211E-3</c:v>
                </c:pt>
                <c:pt idx="163">
                  <c:v>-3.3383906187321998E-4</c:v>
                </c:pt>
                <c:pt idx="164">
                  <c:v>1.26421568495955E-3</c:v>
                </c:pt>
                <c:pt idx="165">
                  <c:v>2.0836649374242899E-3</c:v>
                </c:pt>
                <c:pt idx="166">
                  <c:v>2.6318243349959698E-3</c:v>
                </c:pt>
                <c:pt idx="167">
                  <c:v>2.2189762589011701E-3</c:v>
                </c:pt>
                <c:pt idx="168">
                  <c:v>2.5009323544087901E-3</c:v>
                </c:pt>
                <c:pt idx="169">
                  <c:v>3.8599405093579E-4</c:v>
                </c:pt>
                <c:pt idx="170">
                  <c:v>1.63955468497787E-4</c:v>
                </c:pt>
                <c:pt idx="171">
                  <c:v>-2.7185184954863599E-3</c:v>
                </c:pt>
                <c:pt idx="172">
                  <c:v>-2.2043454952566399E-3</c:v>
                </c:pt>
                <c:pt idx="173">
                  <c:v>2.6871902652111702E-3</c:v>
                </c:pt>
                <c:pt idx="174">
                  <c:v>1.5016984392596201E-3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7F-4821-B2BB-C976079E6738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CWB* x 20 dma / ICVT*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-4.1875527220567397E-3</c:v>
                </c:pt>
                <c:pt idx="21">
                  <c:v>-6.86482316845171E-3</c:v>
                </c:pt>
                <c:pt idx="22">
                  <c:v>-3.0290866079398199E-3</c:v>
                </c:pt>
                <c:pt idx="23">
                  <c:v>-4.8293685797532399E-3</c:v>
                </c:pt>
                <c:pt idx="24">
                  <c:v>-5.81062421437581E-3</c:v>
                </c:pt>
                <c:pt idx="25">
                  <c:v>-1.3152406135010599E-3</c:v>
                </c:pt>
                <c:pt idx="26">
                  <c:v>-9.26230239225705E-4</c:v>
                </c:pt>
                <c:pt idx="27">
                  <c:v>1.0148933999981301E-3</c:v>
                </c:pt>
                <c:pt idx="28">
                  <c:v>2.5182989347688901E-4</c:v>
                </c:pt>
                <c:pt idx="29">
                  <c:v>-1.6301309687418301E-3</c:v>
                </c:pt>
                <c:pt idx="30">
                  <c:v>7.6392671908580897E-4</c:v>
                </c:pt>
                <c:pt idx="31">
                  <c:v>-4.7406802732875901E-4</c:v>
                </c:pt>
                <c:pt idx="32">
                  <c:v>-1.10752245758602E-3</c:v>
                </c:pt>
                <c:pt idx="33">
                  <c:v>-2.4748430638997202E-3</c:v>
                </c:pt>
                <c:pt idx="34">
                  <c:v>-1.0670066134858701E-3</c:v>
                </c:pt>
                <c:pt idx="35">
                  <c:v>2.2790304070788299E-3</c:v>
                </c:pt>
                <c:pt idx="36">
                  <c:v>2.1985718234104798E-3</c:v>
                </c:pt>
                <c:pt idx="37">
                  <c:v>-7.6449461463612802E-4</c:v>
                </c:pt>
                <c:pt idx="38">
                  <c:v>-2.1378609072493998E-3</c:v>
                </c:pt>
                <c:pt idx="39">
                  <c:v>-5.8033759507517303E-3</c:v>
                </c:pt>
                <c:pt idx="40">
                  <c:v>-1.1902022266847901E-3</c:v>
                </c:pt>
                <c:pt idx="41">
                  <c:v>-2.0911840556645002E-3</c:v>
                </c:pt>
                <c:pt idx="42">
                  <c:v>-1.59984939871474E-3</c:v>
                </c:pt>
                <c:pt idx="43">
                  <c:v>-8.7118426871101294E-5</c:v>
                </c:pt>
                <c:pt idx="44">
                  <c:v>-2.12509144225667E-3</c:v>
                </c:pt>
                <c:pt idx="45">
                  <c:v>-3.7424021608242698E-3</c:v>
                </c:pt>
                <c:pt idx="46">
                  <c:v>-4.5490805903732603E-3</c:v>
                </c:pt>
                <c:pt idx="47">
                  <c:v>5.2884143233621799E-4</c:v>
                </c:pt>
                <c:pt idx="48">
                  <c:v>-2.7061259392781901E-3</c:v>
                </c:pt>
                <c:pt idx="49">
                  <c:v>-2.9854267972204401E-3</c:v>
                </c:pt>
                <c:pt idx="50">
                  <c:v>-1.7495346310118099E-3</c:v>
                </c:pt>
                <c:pt idx="51">
                  <c:v>-2.6527386208934E-3</c:v>
                </c:pt>
                <c:pt idx="52">
                  <c:v>-2.6510129428911301E-3</c:v>
                </c:pt>
                <c:pt idx="53">
                  <c:v>-2.8321912190499799E-3</c:v>
                </c:pt>
                <c:pt idx="54">
                  <c:v>-1.47123585146399E-3</c:v>
                </c:pt>
                <c:pt idx="55">
                  <c:v>-3.45403116565872E-3</c:v>
                </c:pt>
                <c:pt idx="56">
                  <c:v>-3.8015434512657501E-3</c:v>
                </c:pt>
                <c:pt idx="57">
                  <c:v>-3.13066673272923E-3</c:v>
                </c:pt>
                <c:pt idx="58">
                  <c:v>-9.2505420205541405E-3</c:v>
                </c:pt>
                <c:pt idx="59">
                  <c:v>-4.2790721240205601E-4</c:v>
                </c:pt>
                <c:pt idx="60">
                  <c:v>7.0309231873588805E-4</c:v>
                </c:pt>
                <c:pt idx="61">
                  <c:v>8.64737703124867E-4</c:v>
                </c:pt>
                <c:pt idx="62">
                  <c:v>-4.9457347533929798E-4</c:v>
                </c:pt>
                <c:pt idx="63">
                  <c:v>-1.6791287166669001E-3</c:v>
                </c:pt>
                <c:pt idx="64">
                  <c:v>-4.2769950667161598E-4</c:v>
                </c:pt>
                <c:pt idx="65">
                  <c:v>-4.6955657398513702E-4</c:v>
                </c:pt>
                <c:pt idx="66">
                  <c:v>-7.3643609123412196E-4</c:v>
                </c:pt>
                <c:pt idx="67">
                  <c:v>-1.5471780406937901E-3</c:v>
                </c:pt>
                <c:pt idx="68">
                  <c:v>4.1597411276055596E-3</c:v>
                </c:pt>
                <c:pt idx="69">
                  <c:v>2.71795647190841E-3</c:v>
                </c:pt>
                <c:pt idx="70">
                  <c:v>-7.4290805694479797E-5</c:v>
                </c:pt>
                <c:pt idx="71">
                  <c:v>3.1245026309694199E-3</c:v>
                </c:pt>
                <c:pt idx="72">
                  <c:v>-9.9231842747933389E-4</c:v>
                </c:pt>
                <c:pt idx="73">
                  <c:v>2.6636930256252199E-4</c:v>
                </c:pt>
                <c:pt idx="74">
                  <c:v>-3.8806920456939902E-4</c:v>
                </c:pt>
                <c:pt idx="75">
                  <c:v>1.6109000760141799E-3</c:v>
                </c:pt>
                <c:pt idx="76">
                  <c:v>3.5487929683987699E-3</c:v>
                </c:pt>
                <c:pt idx="77">
                  <c:v>3.0808205527152899E-4</c:v>
                </c:pt>
                <c:pt idx="78">
                  <c:v>1.65293452553282E-3</c:v>
                </c:pt>
                <c:pt idx="79">
                  <c:v>2.4107948206543799E-3</c:v>
                </c:pt>
                <c:pt idx="80">
                  <c:v>-1.64495129239017E-3</c:v>
                </c:pt>
                <c:pt idx="81">
                  <c:v>-2.3445597310374098E-3</c:v>
                </c:pt>
                <c:pt idx="82">
                  <c:v>-1.629315798912E-3</c:v>
                </c:pt>
                <c:pt idx="83">
                  <c:v>-5.1954319198366699E-3</c:v>
                </c:pt>
                <c:pt idx="84">
                  <c:v>-1.87953092439436E-3</c:v>
                </c:pt>
                <c:pt idx="85">
                  <c:v>-5.4221890343509899E-3</c:v>
                </c:pt>
                <c:pt idx="86">
                  <c:v>-2.56616573903017E-3</c:v>
                </c:pt>
                <c:pt idx="87">
                  <c:v>-1.3104457924481799E-3</c:v>
                </c:pt>
                <c:pt idx="88">
                  <c:v>-3.3216700369316601E-3</c:v>
                </c:pt>
                <c:pt idx="89">
                  <c:v>-1.4278548563056599E-3</c:v>
                </c:pt>
                <c:pt idx="90">
                  <c:v>-3.6278508403950502E-3</c:v>
                </c:pt>
                <c:pt idx="91">
                  <c:v>-3.1500326144627399E-3</c:v>
                </c:pt>
                <c:pt idx="92">
                  <c:v>-5.56657171816925E-3</c:v>
                </c:pt>
                <c:pt idx="93">
                  <c:v>-5.3588099700650899E-3</c:v>
                </c:pt>
                <c:pt idx="94">
                  <c:v>-2.8513428874726299E-3</c:v>
                </c:pt>
                <c:pt idx="95">
                  <c:v>-4.2007586561925098E-3</c:v>
                </c:pt>
                <c:pt idx="96">
                  <c:v>-2.87176629502623E-3</c:v>
                </c:pt>
                <c:pt idx="97">
                  <c:v>-3.082352256283E-3</c:v>
                </c:pt>
                <c:pt idx="98">
                  <c:v>-5.1578064064492597E-3</c:v>
                </c:pt>
                <c:pt idx="99">
                  <c:v>-3.48998645731283E-3</c:v>
                </c:pt>
                <c:pt idx="100">
                  <c:v>6.4310852798098801E-4</c:v>
                </c:pt>
                <c:pt idx="101">
                  <c:v>2.0550959416967001E-3</c:v>
                </c:pt>
                <c:pt idx="102">
                  <c:v>-1.3406143356426499E-3</c:v>
                </c:pt>
                <c:pt idx="103">
                  <c:v>4.7274357225754102E-4</c:v>
                </c:pt>
                <c:pt idx="104">
                  <c:v>-1.43453589659367E-3</c:v>
                </c:pt>
                <c:pt idx="105">
                  <c:v>-2.0863368651230399E-4</c:v>
                </c:pt>
                <c:pt idx="106">
                  <c:v>1.40269610598543E-3</c:v>
                </c:pt>
                <c:pt idx="107">
                  <c:v>-5.0428503280088195E-4</c:v>
                </c:pt>
                <c:pt idx="108">
                  <c:v>-1.2009167929487299E-3</c:v>
                </c:pt>
                <c:pt idx="109">
                  <c:v>1.86903225216376E-3</c:v>
                </c:pt>
                <c:pt idx="110">
                  <c:v>1.30889857376331E-3</c:v>
                </c:pt>
                <c:pt idx="111">
                  <c:v>-3.0026411923972601E-4</c:v>
                </c:pt>
                <c:pt idx="112">
                  <c:v>-1.79233053667645E-3</c:v>
                </c:pt>
                <c:pt idx="113">
                  <c:v>-1.0098532942338599E-3</c:v>
                </c:pt>
                <c:pt idx="114">
                  <c:v>-2.1930135932616201E-3</c:v>
                </c:pt>
                <c:pt idx="115">
                  <c:v>-2.9608757715362099E-3</c:v>
                </c:pt>
                <c:pt idx="116">
                  <c:v>-4.4547666774729698E-3</c:v>
                </c:pt>
                <c:pt idx="117">
                  <c:v>-4.4826421320648098E-3</c:v>
                </c:pt>
                <c:pt idx="118">
                  <c:v>-3.92828296637479E-3</c:v>
                </c:pt>
                <c:pt idx="119">
                  <c:v>-4.1902443056327197E-3</c:v>
                </c:pt>
                <c:pt idx="120">
                  <c:v>-4.3946194343806302E-3</c:v>
                </c:pt>
                <c:pt idx="121">
                  <c:v>-5.3131788653417696E-3</c:v>
                </c:pt>
                <c:pt idx="122">
                  <c:v>-6.1726600133078201E-3</c:v>
                </c:pt>
                <c:pt idx="123">
                  <c:v>-5.2181793267131599E-3</c:v>
                </c:pt>
                <c:pt idx="124">
                  <c:v>-1.9019052698360801E-3</c:v>
                </c:pt>
                <c:pt idx="125">
                  <c:v>8.7329263205597495E-4</c:v>
                </c:pt>
                <c:pt idx="126">
                  <c:v>2.9433269454384701E-3</c:v>
                </c:pt>
                <c:pt idx="127">
                  <c:v>4.0130772552788296E-3</c:v>
                </c:pt>
                <c:pt idx="128">
                  <c:v>6.3856131389957804E-4</c:v>
                </c:pt>
                <c:pt idx="129">
                  <c:v>2.5020152891701798E-3</c:v>
                </c:pt>
                <c:pt idx="130">
                  <c:v>2.5748550831770898E-3</c:v>
                </c:pt>
                <c:pt idx="131">
                  <c:v>3.7200735956064101E-3</c:v>
                </c:pt>
                <c:pt idx="132">
                  <c:v>3.2913896351756599E-3</c:v>
                </c:pt>
                <c:pt idx="133">
                  <c:v>3.67667058252001E-3</c:v>
                </c:pt>
                <c:pt idx="134">
                  <c:v>2.3167363841083799E-3</c:v>
                </c:pt>
                <c:pt idx="135">
                  <c:v>1.8001853303732801E-3</c:v>
                </c:pt>
                <c:pt idx="136">
                  <c:v>-2.26202710222568E-3</c:v>
                </c:pt>
                <c:pt idx="137">
                  <c:v>2.5085038989722001E-3</c:v>
                </c:pt>
                <c:pt idx="138">
                  <c:v>-4.6881115017830498E-4</c:v>
                </c:pt>
                <c:pt idx="139">
                  <c:v>1.65158655112988E-3</c:v>
                </c:pt>
                <c:pt idx="140">
                  <c:v>2.7839984677802102E-3</c:v>
                </c:pt>
                <c:pt idx="141">
                  <c:v>6.2806360963775596E-3</c:v>
                </c:pt>
                <c:pt idx="142">
                  <c:v>6.0954583689602701E-3</c:v>
                </c:pt>
                <c:pt idx="143">
                  <c:v>3.3094321524604702E-3</c:v>
                </c:pt>
                <c:pt idx="144">
                  <c:v>7.6463285686799399E-3</c:v>
                </c:pt>
                <c:pt idx="145">
                  <c:v>5.5587250430425301E-3</c:v>
                </c:pt>
                <c:pt idx="146">
                  <c:v>7.4718924723451404E-3</c:v>
                </c:pt>
                <c:pt idx="147">
                  <c:v>6.2869772299687801E-3</c:v>
                </c:pt>
                <c:pt idx="148">
                  <c:v>5.2577510637657901E-3</c:v>
                </c:pt>
                <c:pt idx="149">
                  <c:v>4.2107458625862898E-3</c:v>
                </c:pt>
                <c:pt idx="150">
                  <c:v>6.3976060454751203E-3</c:v>
                </c:pt>
                <c:pt idx="151">
                  <c:v>4.1943470395139201E-3</c:v>
                </c:pt>
                <c:pt idx="152">
                  <c:v>4.3173732077280601E-4</c:v>
                </c:pt>
                <c:pt idx="153">
                  <c:v>3.01341456838393E-3</c:v>
                </c:pt>
                <c:pt idx="154">
                  <c:v>5.0722000034165396E-4</c:v>
                </c:pt>
                <c:pt idx="155">
                  <c:v>-1.48259160824169E-3</c:v>
                </c:pt>
                <c:pt idx="156">
                  <c:v>1.8457141713412099E-3</c:v>
                </c:pt>
                <c:pt idx="157">
                  <c:v>-5.8751738958058596E-4</c:v>
                </c:pt>
                <c:pt idx="158">
                  <c:v>-4.3012964000253899E-4</c:v>
                </c:pt>
                <c:pt idx="159">
                  <c:v>-1.69524483399014E-3</c:v>
                </c:pt>
                <c:pt idx="160">
                  <c:v>-1.9759892679326999E-3</c:v>
                </c:pt>
                <c:pt idx="161">
                  <c:v>-1.94545975813668E-3</c:v>
                </c:pt>
                <c:pt idx="162">
                  <c:v>1.6955623658788999E-3</c:v>
                </c:pt>
                <c:pt idx="163">
                  <c:v>-1.38449412348194E-3</c:v>
                </c:pt>
                <c:pt idx="164">
                  <c:v>-7.9485941228025697E-5</c:v>
                </c:pt>
                <c:pt idx="165">
                  <c:v>9.8010162540751195E-4</c:v>
                </c:pt>
                <c:pt idx="166">
                  <c:v>1.9178096070155901E-3</c:v>
                </c:pt>
                <c:pt idx="167">
                  <c:v>1.7078675420582E-3</c:v>
                </c:pt>
                <c:pt idx="168">
                  <c:v>2.3306759555034701E-3</c:v>
                </c:pt>
                <c:pt idx="169">
                  <c:v>5.15092905232453E-4</c:v>
                </c:pt>
                <c:pt idx="170">
                  <c:v>5.6489490246202398E-4</c:v>
                </c:pt>
                <c:pt idx="171">
                  <c:v>-1.9106077398745201E-3</c:v>
                </c:pt>
                <c:pt idx="172">
                  <c:v>-1.2237928637097099E-3</c:v>
                </c:pt>
                <c:pt idx="173">
                  <c:v>3.33417389285525E-3</c:v>
                </c:pt>
                <c:pt idx="174">
                  <c:v>2.47825155110914E-3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7F-4821-B2BB-C976079E67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ICVT*/CWB*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1.1139962285470999</c:v>
                </c:pt>
                <c:pt idx="1">
                  <c:v>1.1139962285470999</c:v>
                </c:pt>
                <c:pt idx="2">
                  <c:v>1.1139962285470999</c:v>
                </c:pt>
                <c:pt idx="3">
                  <c:v>1.1139962285470999</c:v>
                </c:pt>
                <c:pt idx="4">
                  <c:v>1.1139962285470999</c:v>
                </c:pt>
                <c:pt idx="5">
                  <c:v>1.1139962285470999</c:v>
                </c:pt>
                <c:pt idx="6">
                  <c:v>1.1139962285470999</c:v>
                </c:pt>
                <c:pt idx="7">
                  <c:v>1.1139962285470999</c:v>
                </c:pt>
                <c:pt idx="8">
                  <c:v>1.1139962285470999</c:v>
                </c:pt>
                <c:pt idx="9">
                  <c:v>1.1139962285470999</c:v>
                </c:pt>
                <c:pt idx="10">
                  <c:v>1.1139962285470999</c:v>
                </c:pt>
                <c:pt idx="11">
                  <c:v>1.1139962285470999</c:v>
                </c:pt>
                <c:pt idx="12">
                  <c:v>1.1139962285470999</c:v>
                </c:pt>
                <c:pt idx="13">
                  <c:v>1.1139962285470999</c:v>
                </c:pt>
                <c:pt idx="14">
                  <c:v>1.1139962285470999</c:v>
                </c:pt>
                <c:pt idx="15">
                  <c:v>1.1139962285470999</c:v>
                </c:pt>
                <c:pt idx="16">
                  <c:v>1.1139962285470999</c:v>
                </c:pt>
                <c:pt idx="17">
                  <c:v>1.1139962285470999</c:v>
                </c:pt>
                <c:pt idx="18">
                  <c:v>1.1139962285470999</c:v>
                </c:pt>
                <c:pt idx="19">
                  <c:v>1.1139962285470999</c:v>
                </c:pt>
                <c:pt idx="20">
                  <c:v>1.1139962285470999</c:v>
                </c:pt>
                <c:pt idx="21">
                  <c:v>1.1139962285470999</c:v>
                </c:pt>
                <c:pt idx="22">
                  <c:v>1.1139962285470999</c:v>
                </c:pt>
                <c:pt idx="23">
                  <c:v>1.1139962285470999</c:v>
                </c:pt>
                <c:pt idx="24">
                  <c:v>1.1139962285470999</c:v>
                </c:pt>
                <c:pt idx="25">
                  <c:v>1.1139962285470999</c:v>
                </c:pt>
                <c:pt idx="26">
                  <c:v>1.1139962285470999</c:v>
                </c:pt>
                <c:pt idx="27">
                  <c:v>1.1139962285470999</c:v>
                </c:pt>
                <c:pt idx="28">
                  <c:v>1.1139962285470999</c:v>
                </c:pt>
                <c:pt idx="29">
                  <c:v>1.1139962285470999</c:v>
                </c:pt>
                <c:pt idx="30">
                  <c:v>1.1139962285470999</c:v>
                </c:pt>
                <c:pt idx="31">
                  <c:v>1.1139962285470999</c:v>
                </c:pt>
                <c:pt idx="32">
                  <c:v>1.1139962285470999</c:v>
                </c:pt>
                <c:pt idx="33">
                  <c:v>1.1139962285470999</c:v>
                </c:pt>
                <c:pt idx="34">
                  <c:v>1.1139962285470999</c:v>
                </c:pt>
                <c:pt idx="35">
                  <c:v>1.1139962285470999</c:v>
                </c:pt>
                <c:pt idx="36">
                  <c:v>1.1139962285470999</c:v>
                </c:pt>
                <c:pt idx="37">
                  <c:v>1.1139962285470999</c:v>
                </c:pt>
                <c:pt idx="38">
                  <c:v>1.1139962285470999</c:v>
                </c:pt>
                <c:pt idx="39">
                  <c:v>1.1139962285470999</c:v>
                </c:pt>
                <c:pt idx="40">
                  <c:v>1.1139962285470999</c:v>
                </c:pt>
                <c:pt idx="41">
                  <c:v>1.1139962285470999</c:v>
                </c:pt>
                <c:pt idx="42">
                  <c:v>1.1139962285470999</c:v>
                </c:pt>
                <c:pt idx="43">
                  <c:v>1.1139962285470999</c:v>
                </c:pt>
                <c:pt idx="44">
                  <c:v>1.1139962285470999</c:v>
                </c:pt>
                <c:pt idx="45">
                  <c:v>1.1139962285470999</c:v>
                </c:pt>
                <c:pt idx="46">
                  <c:v>1.1139962285470999</c:v>
                </c:pt>
                <c:pt idx="47">
                  <c:v>1.1139962285470999</c:v>
                </c:pt>
                <c:pt idx="48">
                  <c:v>1.1139962285470999</c:v>
                </c:pt>
                <c:pt idx="49">
                  <c:v>1.1139962285470999</c:v>
                </c:pt>
                <c:pt idx="50">
                  <c:v>1.1139962285470999</c:v>
                </c:pt>
                <c:pt idx="51">
                  <c:v>1.1139962285470999</c:v>
                </c:pt>
                <c:pt idx="52">
                  <c:v>1.1139962285470999</c:v>
                </c:pt>
                <c:pt idx="53">
                  <c:v>1.1139962285470999</c:v>
                </c:pt>
                <c:pt idx="54">
                  <c:v>1.1139962285470999</c:v>
                </c:pt>
                <c:pt idx="55">
                  <c:v>1.1139962285470999</c:v>
                </c:pt>
                <c:pt idx="56">
                  <c:v>1.1139962285470999</c:v>
                </c:pt>
                <c:pt idx="57">
                  <c:v>1.1139962285470999</c:v>
                </c:pt>
                <c:pt idx="58">
                  <c:v>1.1139962285470999</c:v>
                </c:pt>
                <c:pt idx="59">
                  <c:v>1.1139962285470999</c:v>
                </c:pt>
                <c:pt idx="60">
                  <c:v>1.1139962285470999</c:v>
                </c:pt>
                <c:pt idx="61">
                  <c:v>1.1139962285470999</c:v>
                </c:pt>
                <c:pt idx="62">
                  <c:v>1.1139962285470999</c:v>
                </c:pt>
                <c:pt idx="63">
                  <c:v>1.1139962285470999</c:v>
                </c:pt>
                <c:pt idx="64">
                  <c:v>1.1139962285470999</c:v>
                </c:pt>
                <c:pt idx="65">
                  <c:v>1.1139962285470999</c:v>
                </c:pt>
                <c:pt idx="66">
                  <c:v>1.1139962285470999</c:v>
                </c:pt>
                <c:pt idx="67">
                  <c:v>1.1139962285470999</c:v>
                </c:pt>
                <c:pt idx="68">
                  <c:v>1.1139962285470999</c:v>
                </c:pt>
                <c:pt idx="69">
                  <c:v>1.1139962285470999</c:v>
                </c:pt>
                <c:pt idx="70">
                  <c:v>1.1139962285470999</c:v>
                </c:pt>
                <c:pt idx="71">
                  <c:v>1.1139962285470999</c:v>
                </c:pt>
                <c:pt idx="72">
                  <c:v>1.1139962285470999</c:v>
                </c:pt>
                <c:pt idx="73">
                  <c:v>1.1139962285470999</c:v>
                </c:pt>
                <c:pt idx="74">
                  <c:v>1.1139962285470999</c:v>
                </c:pt>
                <c:pt idx="75">
                  <c:v>1.1139962285470999</c:v>
                </c:pt>
                <c:pt idx="76">
                  <c:v>1.1139962285470999</c:v>
                </c:pt>
                <c:pt idx="77">
                  <c:v>1.1139962285470999</c:v>
                </c:pt>
                <c:pt idx="78">
                  <c:v>1.1139962285470999</c:v>
                </c:pt>
                <c:pt idx="79">
                  <c:v>1.1139962285470999</c:v>
                </c:pt>
                <c:pt idx="80">
                  <c:v>1.1139962285470999</c:v>
                </c:pt>
                <c:pt idx="81">
                  <c:v>1.1139962285470999</c:v>
                </c:pt>
                <c:pt idx="82">
                  <c:v>1.1139962285470999</c:v>
                </c:pt>
                <c:pt idx="83">
                  <c:v>1.1139962285470999</c:v>
                </c:pt>
                <c:pt idx="84">
                  <c:v>1.1139962285470999</c:v>
                </c:pt>
                <c:pt idx="85">
                  <c:v>1.1139962285470999</c:v>
                </c:pt>
                <c:pt idx="86">
                  <c:v>1.1139962285470999</c:v>
                </c:pt>
                <c:pt idx="87">
                  <c:v>1.1139962285470999</c:v>
                </c:pt>
                <c:pt idx="88">
                  <c:v>1.1139962285470999</c:v>
                </c:pt>
                <c:pt idx="89">
                  <c:v>1.1139962285470999</c:v>
                </c:pt>
                <c:pt idx="90">
                  <c:v>1.1139962285470999</c:v>
                </c:pt>
                <c:pt idx="91">
                  <c:v>1.1139962285470999</c:v>
                </c:pt>
                <c:pt idx="92">
                  <c:v>1.1139962285470999</c:v>
                </c:pt>
                <c:pt idx="93">
                  <c:v>1.1139962285470999</c:v>
                </c:pt>
                <c:pt idx="94">
                  <c:v>1.1139962285470999</c:v>
                </c:pt>
                <c:pt idx="95">
                  <c:v>1.1139962285470999</c:v>
                </c:pt>
                <c:pt idx="96">
                  <c:v>1.1139962285470999</c:v>
                </c:pt>
                <c:pt idx="97">
                  <c:v>1.1139962285470999</c:v>
                </c:pt>
                <c:pt idx="98">
                  <c:v>1.1139962285470999</c:v>
                </c:pt>
                <c:pt idx="99">
                  <c:v>1.1139962285470999</c:v>
                </c:pt>
                <c:pt idx="100">
                  <c:v>1.1139962285470999</c:v>
                </c:pt>
                <c:pt idx="101">
                  <c:v>1.1139962285470999</c:v>
                </c:pt>
                <c:pt idx="102">
                  <c:v>1.1139962285470999</c:v>
                </c:pt>
                <c:pt idx="103">
                  <c:v>1.1139962285470999</c:v>
                </c:pt>
                <c:pt idx="104">
                  <c:v>1.1139962285470999</c:v>
                </c:pt>
                <c:pt idx="105">
                  <c:v>1.1139962285470999</c:v>
                </c:pt>
                <c:pt idx="106">
                  <c:v>1.1139962285470999</c:v>
                </c:pt>
                <c:pt idx="107">
                  <c:v>1.1139962285470999</c:v>
                </c:pt>
                <c:pt idx="108">
                  <c:v>1.1139962285470999</c:v>
                </c:pt>
                <c:pt idx="109">
                  <c:v>1.1139962285470999</c:v>
                </c:pt>
                <c:pt idx="110">
                  <c:v>1.1139962285470999</c:v>
                </c:pt>
                <c:pt idx="111">
                  <c:v>1.1139962285470999</c:v>
                </c:pt>
                <c:pt idx="112">
                  <c:v>1.1139962285470999</c:v>
                </c:pt>
                <c:pt idx="113">
                  <c:v>1.1139962285470999</c:v>
                </c:pt>
                <c:pt idx="114">
                  <c:v>1.1139962285470999</c:v>
                </c:pt>
                <c:pt idx="115">
                  <c:v>1.1139962285470999</c:v>
                </c:pt>
                <c:pt idx="116">
                  <c:v>1.1139962285470999</c:v>
                </c:pt>
                <c:pt idx="117">
                  <c:v>1.1139962285470999</c:v>
                </c:pt>
                <c:pt idx="118">
                  <c:v>1.1139962285470999</c:v>
                </c:pt>
                <c:pt idx="119">
                  <c:v>1.1139962285470999</c:v>
                </c:pt>
                <c:pt idx="120">
                  <c:v>1.1139962285470999</c:v>
                </c:pt>
                <c:pt idx="121">
                  <c:v>1.1139962285470999</c:v>
                </c:pt>
                <c:pt idx="122">
                  <c:v>1.1139962285470999</c:v>
                </c:pt>
                <c:pt idx="123">
                  <c:v>1.1139962285470999</c:v>
                </c:pt>
                <c:pt idx="124">
                  <c:v>1.1139962285470999</c:v>
                </c:pt>
                <c:pt idx="125">
                  <c:v>1.1139962285470999</c:v>
                </c:pt>
                <c:pt idx="126">
                  <c:v>1.1139962285470999</c:v>
                </c:pt>
                <c:pt idx="127">
                  <c:v>1.1139962285470999</c:v>
                </c:pt>
                <c:pt idx="128">
                  <c:v>1.1139962285470999</c:v>
                </c:pt>
                <c:pt idx="129">
                  <c:v>1.1139962285470999</c:v>
                </c:pt>
                <c:pt idx="130">
                  <c:v>1.1139962285470999</c:v>
                </c:pt>
                <c:pt idx="131">
                  <c:v>1.1139962285470999</c:v>
                </c:pt>
                <c:pt idx="132">
                  <c:v>1.1139962285470999</c:v>
                </c:pt>
                <c:pt idx="133">
                  <c:v>1.1139962285470999</c:v>
                </c:pt>
                <c:pt idx="134">
                  <c:v>1.1139962285470999</c:v>
                </c:pt>
                <c:pt idx="135">
                  <c:v>1.1139962285470999</c:v>
                </c:pt>
                <c:pt idx="136">
                  <c:v>1.1139962285470999</c:v>
                </c:pt>
                <c:pt idx="137">
                  <c:v>1.1139962285470999</c:v>
                </c:pt>
                <c:pt idx="138">
                  <c:v>1.1139962285470999</c:v>
                </c:pt>
                <c:pt idx="139">
                  <c:v>1.1139962285470999</c:v>
                </c:pt>
                <c:pt idx="140">
                  <c:v>1.1139962285470999</c:v>
                </c:pt>
                <c:pt idx="141">
                  <c:v>1.1139962285470999</c:v>
                </c:pt>
                <c:pt idx="142">
                  <c:v>1.1139962285470999</c:v>
                </c:pt>
                <c:pt idx="143">
                  <c:v>1.1139962285470999</c:v>
                </c:pt>
                <c:pt idx="144">
                  <c:v>1.1139962285470999</c:v>
                </c:pt>
                <c:pt idx="145">
                  <c:v>1.1139962285470999</c:v>
                </c:pt>
                <c:pt idx="146">
                  <c:v>1.1139962285470999</c:v>
                </c:pt>
                <c:pt idx="147">
                  <c:v>1.1139962285470999</c:v>
                </c:pt>
                <c:pt idx="148">
                  <c:v>1.1139962285470999</c:v>
                </c:pt>
                <c:pt idx="149">
                  <c:v>1.1139962285470999</c:v>
                </c:pt>
                <c:pt idx="150">
                  <c:v>1.1139962285470999</c:v>
                </c:pt>
                <c:pt idx="151">
                  <c:v>1.1139962285470999</c:v>
                </c:pt>
                <c:pt idx="152">
                  <c:v>1.1139962285470999</c:v>
                </c:pt>
                <c:pt idx="153">
                  <c:v>1.1139962285470999</c:v>
                </c:pt>
                <c:pt idx="154">
                  <c:v>1.1139962285470999</c:v>
                </c:pt>
                <c:pt idx="155">
                  <c:v>1.1139962285470999</c:v>
                </c:pt>
                <c:pt idx="156">
                  <c:v>1.1139962285470999</c:v>
                </c:pt>
                <c:pt idx="157">
                  <c:v>1.1139962285470999</c:v>
                </c:pt>
                <c:pt idx="158">
                  <c:v>1.1139962285470999</c:v>
                </c:pt>
                <c:pt idx="159">
                  <c:v>1.1139962285470999</c:v>
                </c:pt>
                <c:pt idx="160">
                  <c:v>1.1139962285470999</c:v>
                </c:pt>
                <c:pt idx="161">
                  <c:v>1.1139962285470999</c:v>
                </c:pt>
                <c:pt idx="162">
                  <c:v>1.1139962285470999</c:v>
                </c:pt>
                <c:pt idx="163">
                  <c:v>1.1139962285470999</c:v>
                </c:pt>
                <c:pt idx="164">
                  <c:v>1.1139962285470999</c:v>
                </c:pt>
                <c:pt idx="165">
                  <c:v>1.1139962285470999</c:v>
                </c:pt>
                <c:pt idx="166">
                  <c:v>1.1139962285470999</c:v>
                </c:pt>
                <c:pt idx="167">
                  <c:v>1.1139962285470999</c:v>
                </c:pt>
                <c:pt idx="168">
                  <c:v>1.1139962285470999</c:v>
                </c:pt>
                <c:pt idx="169">
                  <c:v>1.1139962285470999</c:v>
                </c:pt>
                <c:pt idx="170">
                  <c:v>1.1139962285470999</c:v>
                </c:pt>
                <c:pt idx="171">
                  <c:v>1.1139962285470999</c:v>
                </c:pt>
                <c:pt idx="172">
                  <c:v>1.1139962285470999</c:v>
                </c:pt>
                <c:pt idx="173">
                  <c:v>1.1139962285470999</c:v>
                </c:pt>
                <c:pt idx="174">
                  <c:v>1.1139962285470999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8F-4F20-8BC3-9E51ED64FC83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ICVT*/CWB*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1.10218252225373</c:v>
                </c:pt>
                <c:pt idx="10">
                  <c:v>1.1019698516584899</c:v>
                </c:pt>
                <c:pt idx="11">
                  <c:v>1.10211778019607</c:v>
                </c:pt>
                <c:pt idx="12">
                  <c:v>1.1022267508530501</c:v>
                </c:pt>
                <c:pt idx="13">
                  <c:v>1.1021958277772299</c:v>
                </c:pt>
                <c:pt idx="14">
                  <c:v>1.1025257937742401</c:v>
                </c:pt>
                <c:pt idx="15">
                  <c:v>1.1030041073797101</c:v>
                </c:pt>
                <c:pt idx="16">
                  <c:v>1.10343443701444</c:v>
                </c:pt>
                <c:pt idx="17">
                  <c:v>1.1038478134955201</c:v>
                </c:pt>
                <c:pt idx="18">
                  <c:v>1.1047025694064001</c:v>
                </c:pt>
                <c:pt idx="19">
                  <c:v>1.1053902827786499</c:v>
                </c:pt>
                <c:pt idx="20">
                  <c:v>1.10597542518287</c:v>
                </c:pt>
                <c:pt idx="21">
                  <c:v>1.10671536854659</c:v>
                </c:pt>
                <c:pt idx="22">
                  <c:v>1.1071446706829999</c:v>
                </c:pt>
                <c:pt idx="23">
                  <c:v>1.10784235791402</c:v>
                </c:pt>
                <c:pt idx="24">
                  <c:v>1.1084546181917201</c:v>
                </c:pt>
                <c:pt idx="25">
                  <c:v>1.10854080857097</c:v>
                </c:pt>
                <c:pt idx="26">
                  <c:v>1.1085893975812799</c:v>
                </c:pt>
                <c:pt idx="27">
                  <c:v>1.10844432282976</c:v>
                </c:pt>
                <c:pt idx="28">
                  <c:v>1.1082105750847799</c:v>
                </c:pt>
                <c:pt idx="29">
                  <c:v>1.10820162853948</c:v>
                </c:pt>
                <c:pt idx="30">
                  <c:v>1.1079548795352001</c:v>
                </c:pt>
                <c:pt idx="31">
                  <c:v>1.10754615611185</c:v>
                </c:pt>
                <c:pt idx="32">
                  <c:v>1.1076052155228799</c:v>
                </c:pt>
                <c:pt idx="33">
                  <c:v>1.1076137523404701</c:v>
                </c:pt>
                <c:pt idx="34">
                  <c:v>1.10735895281897</c:v>
                </c:pt>
                <c:pt idx="35">
                  <c:v>1.10720290872912</c:v>
                </c:pt>
                <c:pt idx="36">
                  <c:v>1.1070670753365199</c:v>
                </c:pt>
                <c:pt idx="37">
                  <c:v>1.1074456239852699</c:v>
                </c:pt>
                <c:pt idx="38">
                  <c:v>1.10789048366265</c:v>
                </c:pt>
                <c:pt idx="39">
                  <c:v>1.10851427827775</c:v>
                </c:pt>
                <c:pt idx="40">
                  <c:v>1.10888699241134</c:v>
                </c:pt>
                <c:pt idx="41">
                  <c:v>1.1092121144000999</c:v>
                </c:pt>
                <c:pt idx="42">
                  <c:v>1.1093917324395699</c:v>
                </c:pt>
                <c:pt idx="43">
                  <c:v>1.10923934568758</c:v>
                </c:pt>
                <c:pt idx="44">
                  <c:v>1.10942673791838</c:v>
                </c:pt>
                <c:pt idx="45">
                  <c:v>1.1101431340571599</c:v>
                </c:pt>
                <c:pt idx="46">
                  <c:v>1.1109720495409801</c:v>
                </c:pt>
                <c:pt idx="47">
                  <c:v>1.1109478228410501</c:v>
                </c:pt>
                <c:pt idx="48">
                  <c:v>1.1111364503541801</c:v>
                </c:pt>
                <c:pt idx="49">
                  <c:v>1.11096956327032</c:v>
                </c:pt>
                <c:pt idx="50">
                  <c:v>1.1111702875914899</c:v>
                </c:pt>
                <c:pt idx="51">
                  <c:v>1.1113938767421501</c:v>
                </c:pt>
                <c:pt idx="52">
                  <c:v>1.11170353014227</c:v>
                </c:pt>
                <c:pt idx="53">
                  <c:v>1.1122137625361801</c:v>
                </c:pt>
                <c:pt idx="54">
                  <c:v>1.1123714961497999</c:v>
                </c:pt>
                <c:pt idx="55">
                  <c:v>1.1125909124358699</c:v>
                </c:pt>
                <c:pt idx="56">
                  <c:v>1.1127781145165101</c:v>
                </c:pt>
                <c:pt idx="57">
                  <c:v>1.1134709370000699</c:v>
                </c:pt>
                <c:pt idx="58">
                  <c:v>1.11450526093927</c:v>
                </c:pt>
                <c:pt idx="59">
                  <c:v>1.1145518963415799</c:v>
                </c:pt>
                <c:pt idx="60">
                  <c:v>1.11458124426005</c:v>
                </c:pt>
                <c:pt idx="61">
                  <c:v>1.11447491139119</c:v>
                </c:pt>
                <c:pt idx="62">
                  <c:v>1.1144983743780399</c:v>
                </c:pt>
                <c:pt idx="63">
                  <c:v>1.11462579331017</c:v>
                </c:pt>
                <c:pt idx="64">
                  <c:v>1.11477921244339</c:v>
                </c:pt>
                <c:pt idx="65">
                  <c:v>1.11471476566007</c:v>
                </c:pt>
                <c:pt idx="66">
                  <c:v>1.11460209578036</c:v>
                </c:pt>
                <c:pt idx="67">
                  <c:v>1.1146074026633299</c:v>
                </c:pt>
                <c:pt idx="68">
                  <c:v>1.11329430530353</c:v>
                </c:pt>
                <c:pt idx="69">
                  <c:v>1.11305222740432</c:v>
                </c:pt>
                <c:pt idx="70">
                  <c:v>1.1132428452982199</c:v>
                </c:pt>
                <c:pt idx="71">
                  <c:v>1.11309516720202</c:v>
                </c:pt>
                <c:pt idx="72">
                  <c:v>1.1132357531253101</c:v>
                </c:pt>
                <c:pt idx="73">
                  <c:v>1.1130956372432701</c:v>
                </c:pt>
                <c:pt idx="74">
                  <c:v>1.11313533377699</c:v>
                </c:pt>
                <c:pt idx="75">
                  <c:v>1.11294192179009</c:v>
                </c:pt>
                <c:pt idx="76">
                  <c:v>1.1124828545627199</c:v>
                </c:pt>
                <c:pt idx="77">
                  <c:v>1.1122613495520299</c:v>
                </c:pt>
                <c:pt idx="78">
                  <c:v>1.11247942774395</c:v>
                </c:pt>
                <c:pt idx="79">
                  <c:v>1.11241250708627</c:v>
                </c:pt>
                <c:pt idx="80">
                  <c:v>1.1124804524731799</c:v>
                </c:pt>
                <c:pt idx="81">
                  <c:v>1.11298413499972</c:v>
                </c:pt>
                <c:pt idx="82">
                  <c:v>1.11298051550991</c:v>
                </c:pt>
                <c:pt idx="83">
                  <c:v>1.113514101252</c:v>
                </c:pt>
                <c:pt idx="84">
                  <c:v>1.1136247286179199</c:v>
                </c:pt>
                <c:pt idx="85">
                  <c:v>1.1143516426917801</c:v>
                </c:pt>
                <c:pt idx="86">
                  <c:v>1.1150142078331899</c:v>
                </c:pt>
                <c:pt idx="87">
                  <c:v>1.1152151607769301</c:v>
                </c:pt>
                <c:pt idx="88">
                  <c:v>1.1158000022738299</c:v>
                </c:pt>
                <c:pt idx="89">
                  <c:v>1.1163524547783701</c:v>
                </c:pt>
                <c:pt idx="90">
                  <c:v>1.1167392920305901</c:v>
                </c:pt>
                <c:pt idx="91">
                  <c:v>1.1170045505227699</c:v>
                </c:pt>
                <c:pt idx="92">
                  <c:v>1.1176409228702899</c:v>
                </c:pt>
                <c:pt idx="93">
                  <c:v>1.1178806468148601</c:v>
                </c:pt>
                <c:pt idx="94">
                  <c:v>1.11822902898038</c:v>
                </c:pt>
                <c:pt idx="95">
                  <c:v>1.11834813833553</c:v>
                </c:pt>
                <c:pt idx="96">
                  <c:v>1.1186533523165101</c:v>
                </c:pt>
                <c:pt idx="97">
                  <c:v>1.11916060942829</c:v>
                </c:pt>
                <c:pt idx="98">
                  <c:v>1.11971272268791</c:v>
                </c:pt>
                <c:pt idx="99">
                  <c:v>1.12030596779034</c:v>
                </c:pt>
                <c:pt idx="100">
                  <c:v>1.1202237276758999</c:v>
                </c:pt>
                <c:pt idx="101">
                  <c:v>1.1200296094605799</c:v>
                </c:pt>
                <c:pt idx="102">
                  <c:v>1.11990953343609</c:v>
                </c:pt>
                <c:pt idx="103">
                  <c:v>1.11960382935742</c:v>
                </c:pt>
                <c:pt idx="104">
                  <c:v>1.11975034097205</c:v>
                </c:pt>
                <c:pt idx="105">
                  <c:v>1.11961020998677</c:v>
                </c:pt>
                <c:pt idx="106">
                  <c:v>1.1193952392406901</c:v>
                </c:pt>
                <c:pt idx="107">
                  <c:v>1.11932595715865</c:v>
                </c:pt>
                <c:pt idx="108">
                  <c:v>1.1190882770572901</c:v>
                </c:pt>
                <c:pt idx="109">
                  <c:v>1.11865288966675</c:v>
                </c:pt>
                <c:pt idx="110">
                  <c:v>1.1186933763458899</c:v>
                </c:pt>
                <c:pt idx="111">
                  <c:v>1.1190543215842801</c:v>
                </c:pt>
                <c:pt idx="112">
                  <c:v>1.11920759843288</c:v>
                </c:pt>
                <c:pt idx="113">
                  <c:v>1.1194519251875199</c:v>
                </c:pt>
                <c:pt idx="114">
                  <c:v>1.11961566973847</c:v>
                </c:pt>
                <c:pt idx="115">
                  <c:v>1.1199936689605501</c:v>
                </c:pt>
                <c:pt idx="116">
                  <c:v>1.1207327526423101</c:v>
                </c:pt>
                <c:pt idx="117">
                  <c:v>1.12128348932931</c:v>
                </c:pt>
                <c:pt idx="118">
                  <c:v>1.1216960937009499</c:v>
                </c:pt>
                <c:pt idx="119">
                  <c:v>1.12247474309136</c:v>
                </c:pt>
                <c:pt idx="120">
                  <c:v>1.12322314329935</c:v>
                </c:pt>
                <c:pt idx="121">
                  <c:v>1.1239366659146801</c:v>
                </c:pt>
                <c:pt idx="122">
                  <c:v>1.1246255818689599</c:v>
                </c:pt>
                <c:pt idx="123">
                  <c:v>1.1253352345058401</c:v>
                </c:pt>
                <c:pt idx="124">
                  <c:v>1.1255896931270599</c:v>
                </c:pt>
                <c:pt idx="125">
                  <c:v>1.1254516519503801</c:v>
                </c:pt>
                <c:pt idx="126">
                  <c:v>1.1249137974942001</c:v>
                </c:pt>
                <c:pt idx="127">
                  <c:v>1.1242368190634799</c:v>
                </c:pt>
                <c:pt idx="128">
                  <c:v>1.1239697370017601</c:v>
                </c:pt>
                <c:pt idx="129">
                  <c:v>1.12346276997181</c:v>
                </c:pt>
                <c:pt idx="130">
                  <c:v>1.1229209589501701</c:v>
                </c:pt>
                <c:pt idx="131">
                  <c:v>1.12211815295135</c:v>
                </c:pt>
                <c:pt idx="132">
                  <c:v>1.1212079180891199</c:v>
                </c:pt>
                <c:pt idx="133">
                  <c:v>1.1203088663071299</c:v>
                </c:pt>
                <c:pt idx="134">
                  <c:v>1.1198782144314201</c:v>
                </c:pt>
                <c:pt idx="135">
                  <c:v>1.1197874038283699</c:v>
                </c:pt>
                <c:pt idx="136">
                  <c:v>1.1203612857228999</c:v>
                </c:pt>
                <c:pt idx="137">
                  <c:v>1.1205111459530701</c:v>
                </c:pt>
                <c:pt idx="138">
                  <c:v>1.12059683149787</c:v>
                </c:pt>
                <c:pt idx="139">
                  <c:v>1.1206372499242001</c:v>
                </c:pt>
                <c:pt idx="140">
                  <c:v>1.1205222073855201</c:v>
                </c:pt>
                <c:pt idx="141">
                  <c:v>1.1201018707764601</c:v>
                </c:pt>
                <c:pt idx="142">
                  <c:v>1.11959786601705</c:v>
                </c:pt>
                <c:pt idx="143">
                  <c:v>1.1193884048177001</c:v>
                </c:pt>
                <c:pt idx="144">
                  <c:v>1.1184978827944301</c:v>
                </c:pt>
                <c:pt idx="145">
                  <c:v>1.1177248234363999</c:v>
                </c:pt>
                <c:pt idx="146">
                  <c:v>1.1162514476648</c:v>
                </c:pt>
                <c:pt idx="147">
                  <c:v>1.11539872014129</c:v>
                </c:pt>
                <c:pt idx="148">
                  <c:v>1.1143179343713601</c:v>
                </c:pt>
                <c:pt idx="149">
                  <c:v>1.1135510024102799</c:v>
                </c:pt>
                <c:pt idx="150">
                  <c:v>1.11265496657226</c:v>
                </c:pt>
                <c:pt idx="151">
                  <c:v>1.11237661649772</c:v>
                </c:pt>
                <c:pt idx="152">
                  <c:v>1.1125226473079799</c:v>
                </c:pt>
                <c:pt idx="153">
                  <c:v>1.1121227516252601</c:v>
                </c:pt>
                <c:pt idx="154">
                  <c:v>1.1125098746037201</c:v>
                </c:pt>
                <c:pt idx="155">
                  <c:v>1.11292736388962</c:v>
                </c:pt>
                <c:pt idx="156">
                  <c:v>1.1132115017754201</c:v>
                </c:pt>
                <c:pt idx="157">
                  <c:v>1.1136203954106301</c:v>
                </c:pt>
                <c:pt idx="158">
                  <c:v>1.1139100568984599</c:v>
                </c:pt>
                <c:pt idx="159">
                  <c:v>1.1142342915955901</c:v>
                </c:pt>
                <c:pt idx="160">
                  <c:v>1.11484685685897</c:v>
                </c:pt>
                <c:pt idx="161">
                  <c:v>1.1152473311876201</c:v>
                </c:pt>
                <c:pt idx="162">
                  <c:v>1.11486409227019</c:v>
                </c:pt>
                <c:pt idx="163">
                  <c:v>1.1151175095660899</c:v>
                </c:pt>
                <c:pt idx="164">
                  <c:v>1.1149693958739999</c:v>
                </c:pt>
                <c:pt idx="165">
                  <c:v>1.1145183608729201</c:v>
                </c:pt>
                <c:pt idx="166">
                  <c:v>1.1143503190442801</c:v>
                </c:pt>
                <c:pt idx="167">
                  <c:v>1.1139996942733399</c:v>
                </c:pt>
                <c:pt idx="168">
                  <c:v>1.1136225035588001</c:v>
                </c:pt>
                <c:pt idx="169">
                  <c:v>1.11334134769983</c:v>
                </c:pt>
                <c:pt idx="170">
                  <c:v>1.1130476438291399</c:v>
                </c:pt>
                <c:pt idx="171">
                  <c:v>1.11306342610258</c:v>
                </c:pt>
                <c:pt idx="172">
                  <c:v>1.1134228933391399</c:v>
                </c:pt>
                <c:pt idx="173">
                  <c:v>1.1129427524396001</c:v>
                </c:pt>
                <c:pt idx="174">
                  <c:v>1.11269915754529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8F-4F20-8BC3-9E51ED64FC83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ICVT*/CWB*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1.1037864025161901</c:v>
                </c:pt>
                <c:pt idx="20">
                  <c:v>1.1039726384206801</c:v>
                </c:pt>
                <c:pt idx="21">
                  <c:v>1.1044165743713299</c:v>
                </c:pt>
                <c:pt idx="22">
                  <c:v>1.1046857107680199</c:v>
                </c:pt>
                <c:pt idx="23">
                  <c:v>1.1050190928456201</c:v>
                </c:pt>
                <c:pt idx="24">
                  <c:v>1.1054902059829801</c:v>
                </c:pt>
                <c:pt idx="25">
                  <c:v>1.1057724579753401</c:v>
                </c:pt>
                <c:pt idx="26">
                  <c:v>1.10601191729786</c:v>
                </c:pt>
                <c:pt idx="27">
                  <c:v>1.1061460681626401</c:v>
                </c:pt>
                <c:pt idx="28">
                  <c:v>1.1064565722455899</c:v>
                </c:pt>
                <c:pt idx="29">
                  <c:v>1.1067959556590601</c:v>
                </c:pt>
                <c:pt idx="30">
                  <c:v>1.10696515235903</c:v>
                </c:pt>
                <c:pt idx="31">
                  <c:v>1.1071307623292199</c:v>
                </c:pt>
                <c:pt idx="32">
                  <c:v>1.10737494310294</c:v>
                </c:pt>
                <c:pt idx="33">
                  <c:v>1.1077280551272399</c:v>
                </c:pt>
                <c:pt idx="34">
                  <c:v>1.1079067855053399</c:v>
                </c:pt>
                <c:pt idx="35">
                  <c:v>1.10787185865005</c:v>
                </c:pt>
                <c:pt idx="36">
                  <c:v>1.1078282364589001</c:v>
                </c:pt>
                <c:pt idx="37">
                  <c:v>1.10794497340751</c:v>
                </c:pt>
                <c:pt idx="38">
                  <c:v>1.10805052937371</c:v>
                </c:pt>
                <c:pt idx="39">
                  <c:v>1.1083579534086101</c:v>
                </c:pt>
                <c:pt idx="40">
                  <c:v>1.10842093597327</c:v>
                </c:pt>
                <c:pt idx="41">
                  <c:v>1.10837913525598</c:v>
                </c:pt>
                <c:pt idx="42">
                  <c:v>1.10849847398123</c:v>
                </c:pt>
                <c:pt idx="43">
                  <c:v>1.1084265490140199</c:v>
                </c:pt>
                <c:pt idx="44">
                  <c:v>1.10839284536867</c:v>
                </c:pt>
                <c:pt idx="45">
                  <c:v>1.1086730213931399</c:v>
                </c:pt>
                <c:pt idx="46">
                  <c:v>1.10901956243875</c:v>
                </c:pt>
                <c:pt idx="47">
                  <c:v>1.1091967234131599</c:v>
                </c:pt>
                <c:pt idx="48">
                  <c:v>1.1095134670084099</c:v>
                </c:pt>
                <c:pt idx="49">
                  <c:v>1.10974192077404</c:v>
                </c:pt>
                <c:pt idx="50">
                  <c:v>1.1100286400014101</c:v>
                </c:pt>
                <c:pt idx="51">
                  <c:v>1.1103029955711301</c:v>
                </c:pt>
                <c:pt idx="52">
                  <c:v>1.1105476312909199</c:v>
                </c:pt>
                <c:pt idx="53">
                  <c:v>1.11072655411188</c:v>
                </c:pt>
                <c:pt idx="54">
                  <c:v>1.1108991170340901</c:v>
                </c:pt>
                <c:pt idx="55">
                  <c:v>1.11136702324652</c:v>
                </c:pt>
                <c:pt idx="56">
                  <c:v>1.11187508202875</c:v>
                </c:pt>
                <c:pt idx="57">
                  <c:v>1.1122093799205599</c:v>
                </c:pt>
                <c:pt idx="58">
                  <c:v>1.1128208556467201</c:v>
                </c:pt>
                <c:pt idx="59">
                  <c:v>1.1127607298059501</c:v>
                </c:pt>
                <c:pt idx="60">
                  <c:v>1.11287576592577</c:v>
                </c:pt>
                <c:pt idx="61">
                  <c:v>1.1129343940666701</c:v>
                </c:pt>
                <c:pt idx="62">
                  <c:v>1.11310095226016</c:v>
                </c:pt>
                <c:pt idx="63">
                  <c:v>1.11341977792317</c:v>
                </c:pt>
                <c:pt idx="64">
                  <c:v>1.11357535429659</c:v>
                </c:pt>
                <c:pt idx="65">
                  <c:v>1.1136528390479701</c:v>
                </c:pt>
                <c:pt idx="66">
                  <c:v>1.11369010514844</c:v>
                </c:pt>
                <c:pt idx="67">
                  <c:v>1.1140391698317</c:v>
                </c:pt>
                <c:pt idx="68">
                  <c:v>1.1138997831213999</c:v>
                </c:pt>
                <c:pt idx="69">
                  <c:v>1.1138020618729501</c:v>
                </c:pt>
                <c:pt idx="70">
                  <c:v>1.11391204477913</c:v>
                </c:pt>
                <c:pt idx="71">
                  <c:v>1.11378503929661</c:v>
                </c:pt>
                <c:pt idx="72">
                  <c:v>1.1138670637516801</c:v>
                </c:pt>
                <c:pt idx="73">
                  <c:v>1.1138607152767199</c:v>
                </c:pt>
                <c:pt idx="74">
                  <c:v>1.1139572731101901</c:v>
                </c:pt>
                <c:pt idx="75">
                  <c:v>1.11382834372508</c:v>
                </c:pt>
                <c:pt idx="76">
                  <c:v>1.1135424751715399</c:v>
                </c:pt>
                <c:pt idx="77">
                  <c:v>1.1134343761076799</c:v>
                </c:pt>
                <c:pt idx="78">
                  <c:v>1.1128868665237399</c:v>
                </c:pt>
                <c:pt idx="79">
                  <c:v>1.11273236724529</c:v>
                </c:pt>
                <c:pt idx="80">
                  <c:v>1.1128616488856999</c:v>
                </c:pt>
                <c:pt idx="81">
                  <c:v>1.11303965110087</c:v>
                </c:pt>
                <c:pt idx="82">
                  <c:v>1.1131081343176099</c:v>
                </c:pt>
                <c:pt idx="83">
                  <c:v>1.1133048692476399</c:v>
                </c:pt>
                <c:pt idx="84">
                  <c:v>1.11338003119746</c:v>
                </c:pt>
                <c:pt idx="85">
                  <c:v>1.1136467822409299</c:v>
                </c:pt>
                <c:pt idx="86">
                  <c:v>1.11374853119796</c:v>
                </c:pt>
                <c:pt idx="87">
                  <c:v>1.1137382551644801</c:v>
                </c:pt>
                <c:pt idx="88">
                  <c:v>1.1141397150088901</c:v>
                </c:pt>
                <c:pt idx="89">
                  <c:v>1.11438248093232</c:v>
                </c:pt>
                <c:pt idx="90">
                  <c:v>1.11460987225189</c:v>
                </c:pt>
                <c:pt idx="91">
                  <c:v>1.1149943427612501</c:v>
                </c:pt>
                <c:pt idx="92">
                  <c:v>1.1153107191900999</c:v>
                </c:pt>
                <c:pt idx="93">
                  <c:v>1.1156973740334299</c:v>
                </c:pt>
                <c:pt idx="94">
                  <c:v>1.1159268787991501</c:v>
                </c:pt>
                <c:pt idx="95">
                  <c:v>1.11634989051365</c:v>
                </c:pt>
                <c:pt idx="96">
                  <c:v>1.11683378007485</c:v>
                </c:pt>
                <c:pt idx="97">
                  <c:v>1.11718788510261</c:v>
                </c:pt>
                <c:pt idx="98">
                  <c:v>1.11775636248087</c:v>
                </c:pt>
                <c:pt idx="99">
                  <c:v>1.1183292112843599</c:v>
                </c:pt>
                <c:pt idx="100">
                  <c:v>1.1184815098532399</c:v>
                </c:pt>
                <c:pt idx="101">
                  <c:v>1.1185170799916799</c:v>
                </c:pt>
                <c:pt idx="102">
                  <c:v>1.11877522815319</c:v>
                </c:pt>
                <c:pt idx="103">
                  <c:v>1.11874223808614</c:v>
                </c:pt>
                <c:pt idx="104">
                  <c:v>1.11898968497621</c:v>
                </c:pt>
                <c:pt idx="105">
                  <c:v>1.1189791741611499</c:v>
                </c:pt>
                <c:pt idx="106">
                  <c:v>1.1190242957786001</c:v>
                </c:pt>
                <c:pt idx="107">
                  <c:v>1.11924328329347</c:v>
                </c:pt>
                <c:pt idx="108">
                  <c:v>1.1194004998725999</c:v>
                </c:pt>
                <c:pt idx="109">
                  <c:v>1.1194794287285399</c:v>
                </c:pt>
                <c:pt idx="110">
                  <c:v>1.11945855201089</c:v>
                </c:pt>
                <c:pt idx="111">
                  <c:v>1.1195419655224299</c:v>
                </c:pt>
                <c:pt idx="112">
                  <c:v>1.11955856593449</c:v>
                </c:pt>
                <c:pt idx="113">
                  <c:v>1.1195278772724699</c:v>
                </c:pt>
                <c:pt idx="114">
                  <c:v>1.11968300535526</c:v>
                </c:pt>
                <c:pt idx="115">
                  <c:v>1.11980193947366</c:v>
                </c:pt>
                <c:pt idx="116">
                  <c:v>1.1200639959415</c:v>
                </c:pt>
                <c:pt idx="117">
                  <c:v>1.12030472324398</c:v>
                </c:pt>
                <c:pt idx="118">
                  <c:v>1.1203921853791201</c:v>
                </c:pt>
                <c:pt idx="119">
                  <c:v>1.1205638163790499</c:v>
                </c:pt>
                <c:pt idx="120">
                  <c:v>1.12095825982262</c:v>
                </c:pt>
                <c:pt idx="121">
                  <c:v>1.1214954937494801</c:v>
                </c:pt>
                <c:pt idx="122">
                  <c:v>1.12191659015092</c:v>
                </c:pt>
                <c:pt idx="123">
                  <c:v>1.12239357984668</c:v>
                </c:pt>
                <c:pt idx="124">
                  <c:v>1.1226026814327701</c:v>
                </c:pt>
                <c:pt idx="125">
                  <c:v>1.1227226604554601</c:v>
                </c:pt>
                <c:pt idx="126">
                  <c:v>1.1228232750682501</c:v>
                </c:pt>
                <c:pt idx="127">
                  <c:v>1.1227601541964001</c:v>
                </c:pt>
                <c:pt idx="128">
                  <c:v>1.1228329153513501</c:v>
                </c:pt>
                <c:pt idx="129">
                  <c:v>1.12296875653158</c:v>
                </c:pt>
                <c:pt idx="130">
                  <c:v>1.1230720511247601</c:v>
                </c:pt>
                <c:pt idx="131">
                  <c:v>1.1230274094330199</c:v>
                </c:pt>
                <c:pt idx="132">
                  <c:v>1.12291674997904</c:v>
                </c:pt>
                <c:pt idx="133">
                  <c:v>1.1228220504064901</c:v>
                </c:pt>
                <c:pt idx="134">
                  <c:v>1.12273395377924</c:v>
                </c:pt>
                <c:pt idx="135">
                  <c:v>1.12261952788937</c:v>
                </c:pt>
                <c:pt idx="136">
                  <c:v>1.1226375416085499</c:v>
                </c:pt>
                <c:pt idx="137">
                  <c:v>1.1223739825082799</c:v>
                </c:pt>
                <c:pt idx="138">
                  <c:v>1.1222832842498101</c:v>
                </c:pt>
                <c:pt idx="139">
                  <c:v>1.122050009948</c:v>
                </c:pt>
                <c:pt idx="140">
                  <c:v>1.12172158316785</c:v>
                </c:pt>
                <c:pt idx="141">
                  <c:v>1.1211100118639099</c:v>
                </c:pt>
                <c:pt idx="142">
                  <c:v>1.12040289205308</c:v>
                </c:pt>
                <c:pt idx="143">
                  <c:v>1.11984863556242</c:v>
                </c:pt>
                <c:pt idx="144">
                  <c:v>1.11918804861292</c:v>
                </c:pt>
                <c:pt idx="145">
                  <c:v>1.11875611363239</c:v>
                </c:pt>
                <c:pt idx="146">
                  <c:v>1.11830636669385</c:v>
                </c:pt>
                <c:pt idx="147">
                  <c:v>1.1179549330471801</c:v>
                </c:pt>
                <c:pt idx="148">
                  <c:v>1.1174573829346199</c:v>
                </c:pt>
                <c:pt idx="149">
                  <c:v>1.11709412616724</c:v>
                </c:pt>
                <c:pt idx="150">
                  <c:v>1.1165885869788901</c:v>
                </c:pt>
                <c:pt idx="151">
                  <c:v>1.11623924363709</c:v>
                </c:pt>
                <c:pt idx="152">
                  <c:v>1.11606025666252</c:v>
                </c:pt>
                <c:pt idx="153">
                  <c:v>1.1157555782214801</c:v>
                </c:pt>
                <c:pt idx="154">
                  <c:v>1.1155038786990701</c:v>
                </c:pt>
                <c:pt idx="155">
                  <c:v>1.1153260936630101</c:v>
                </c:pt>
                <c:pt idx="156">
                  <c:v>1.11473147472011</c:v>
                </c:pt>
                <c:pt idx="157">
                  <c:v>1.1145095577759601</c:v>
                </c:pt>
                <c:pt idx="158">
                  <c:v>1.11411399563491</c:v>
                </c:pt>
                <c:pt idx="159">
                  <c:v>1.11389264700294</c:v>
                </c:pt>
                <c:pt idx="160">
                  <c:v>1.1137509117156099</c:v>
                </c:pt>
                <c:pt idx="161">
                  <c:v>1.1138119738426699</c:v>
                </c:pt>
                <c:pt idx="162">
                  <c:v>1.1136933697890901</c:v>
                </c:pt>
                <c:pt idx="163">
                  <c:v>1.1136201305956801</c:v>
                </c:pt>
                <c:pt idx="164">
                  <c:v>1.11373963523886</c:v>
                </c:pt>
                <c:pt idx="165">
                  <c:v>1.1137228623812701</c:v>
                </c:pt>
                <c:pt idx="166">
                  <c:v>1.1137809104098499</c:v>
                </c:pt>
                <c:pt idx="167">
                  <c:v>1.1138100448419801</c:v>
                </c:pt>
                <c:pt idx="168">
                  <c:v>1.1137662802286299</c:v>
                </c:pt>
                <c:pt idx="169">
                  <c:v>1.11378781964771</c:v>
                </c:pt>
                <c:pt idx="170">
                  <c:v>1.1139472503440599</c:v>
                </c:pt>
                <c:pt idx="171">
                  <c:v>1.1141553786450999</c:v>
                </c:pt>
                <c:pt idx="172">
                  <c:v>1.1141434928046701</c:v>
                </c:pt>
                <c:pt idx="173">
                  <c:v>1.11403013100284</c:v>
                </c:pt>
                <c:pt idx="174">
                  <c:v>1.1138342767096501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8F-4F20-8BC3-9E51ED64F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CWB x avg / ICVT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1.05746316939213E-2</c:v>
                </c:pt>
                <c:pt idx="2">
                  <c:v>1.08596795330909E-2</c:v>
                </c:pt>
                <c:pt idx="3">
                  <c:v>9.96962864367687E-3</c:v>
                </c:pt>
                <c:pt idx="4">
                  <c:v>1.1175336320067101E-2</c:v>
                </c:pt>
                <c:pt idx="5">
                  <c:v>1.18436529824524E-2</c:v>
                </c:pt>
                <c:pt idx="6">
                  <c:v>1.1201130423945001E-2</c:v>
                </c:pt>
                <c:pt idx="7">
                  <c:v>1.1020531580362E-2</c:v>
                </c:pt>
                <c:pt idx="8">
                  <c:v>1.33363193937911E-2</c:v>
                </c:pt>
                <c:pt idx="9">
                  <c:v>1.16857287889941E-2</c:v>
                </c:pt>
                <c:pt idx="10">
                  <c:v>1.06941050658673E-2</c:v>
                </c:pt>
                <c:pt idx="11">
                  <c:v>9.2340168938129501E-3</c:v>
                </c:pt>
                <c:pt idx="12">
                  <c:v>9.8716680516285401E-3</c:v>
                </c:pt>
                <c:pt idx="13">
                  <c:v>1.02499292195662E-2</c:v>
                </c:pt>
                <c:pt idx="14">
                  <c:v>8.1856618788641294E-3</c:v>
                </c:pt>
                <c:pt idx="15">
                  <c:v>7.5098850984687696E-3</c:v>
                </c:pt>
                <c:pt idx="16">
                  <c:v>7.3037755328790198E-3</c:v>
                </c:pt>
                <c:pt idx="17">
                  <c:v>7.2771036506855697E-3</c:v>
                </c:pt>
                <c:pt idx="18">
                  <c:v>5.5934442046346898E-3</c:v>
                </c:pt>
                <c:pt idx="19">
                  <c:v>5.46156603020831E-3</c:v>
                </c:pt>
                <c:pt idx="20">
                  <c:v>5.5145314927438497E-3</c:v>
                </c:pt>
                <c:pt idx="21">
                  <c:v>2.66557989263968E-3</c:v>
                </c:pt>
                <c:pt idx="22">
                  <c:v>6.1040911342382601E-3</c:v>
                </c:pt>
                <c:pt idx="23">
                  <c:v>4.0599373485521303E-3</c:v>
                </c:pt>
                <c:pt idx="24">
                  <c:v>2.7723211054568502E-3</c:v>
                </c:pt>
                <c:pt idx="25">
                  <c:v>6.8443587748397896E-3</c:v>
                </c:pt>
                <c:pt idx="26">
                  <c:v>6.9787361111354604E-3</c:v>
                </c:pt>
                <c:pt idx="27">
                  <c:v>8.7052105991603096E-3</c:v>
                </c:pt>
                <c:pt idx="28">
                  <c:v>7.8206754087438799E-3</c:v>
                </c:pt>
                <c:pt idx="29">
                  <c:v>5.6550907699120696E-3</c:v>
                </c:pt>
                <c:pt idx="30">
                  <c:v>7.7442809053578903E-3</c:v>
                </c:pt>
                <c:pt idx="31">
                  <c:v>6.3518478074971602E-3</c:v>
                </c:pt>
                <c:pt idx="32">
                  <c:v>5.5679147433445502E-3</c:v>
                </c:pt>
                <c:pt idx="33">
                  <c:v>3.9788439271234198E-3</c:v>
                </c:pt>
                <c:pt idx="34">
                  <c:v>5.0695792751700598E-3</c:v>
                </c:pt>
                <c:pt idx="35">
                  <c:v>8.2566102881507994E-3</c:v>
                </c:pt>
                <c:pt idx="36">
                  <c:v>8.2067737247030394E-3</c:v>
                </c:pt>
                <c:pt idx="37">
                  <c:v>5.2807589730952797E-3</c:v>
                </c:pt>
                <c:pt idx="38">
                  <c:v>3.8013238661691899E-3</c:v>
                </c:pt>
                <c:pt idx="39">
                  <c:v>-2.8171471477579299E-4</c:v>
                </c:pt>
                <c:pt idx="40">
                  <c:v>4.0602131207383603E-3</c:v>
                </c:pt>
                <c:pt idx="41">
                  <c:v>3.1022171978052101E-3</c:v>
                </c:pt>
                <c:pt idx="42">
                  <c:v>3.6303828970565498E-3</c:v>
                </c:pt>
                <c:pt idx="43">
                  <c:v>5.0349009089885001E-3</c:v>
                </c:pt>
                <c:pt idx="44">
                  <c:v>3.0606815194148202E-3</c:v>
                </c:pt>
                <c:pt idx="45">
                  <c:v>1.47045309695348E-3</c:v>
                </c:pt>
                <c:pt idx="46">
                  <c:v>4.0960982865027298E-4</c:v>
                </c:pt>
                <c:pt idx="47">
                  <c:v>5.1827747115534102E-3</c:v>
                </c:pt>
                <c:pt idx="48">
                  <c:v>1.7802466216809E-3</c:v>
                </c:pt>
                <c:pt idx="49">
                  <c:v>1.2168024844079401E-3</c:v>
                </c:pt>
                <c:pt idx="50">
                  <c:v>2.2507003821174202E-3</c:v>
                </c:pt>
                <c:pt idx="51">
                  <c:v>1.08590074756842E-3</c:v>
                </c:pt>
                <c:pt idx="52">
                  <c:v>8.4101493184777598E-4</c:v>
                </c:pt>
                <c:pt idx="53">
                  <c:v>4.33735148723212E-4</c:v>
                </c:pt>
                <c:pt idx="54">
                  <c:v>1.63806956635382E-3</c:v>
                </c:pt>
                <c:pt idx="55">
                  <c:v>-5.0440074579227397E-4</c:v>
                </c:pt>
                <c:pt idx="56">
                  <c:v>-1.27356792711696E-3</c:v>
                </c:pt>
                <c:pt idx="57">
                  <c:v>-1.0641095599341699E-3</c:v>
                </c:pt>
                <c:pt idx="58">
                  <c:v>-7.5037230888590403E-3</c:v>
                </c:pt>
                <c:pt idx="59">
                  <c:v>7.8690354948596903E-4</c:v>
                </c:pt>
                <c:pt idx="60">
                  <c:v>1.9807117152407898E-3</c:v>
                </c:pt>
                <c:pt idx="61">
                  <c:v>2.2394325101902802E-3</c:v>
                </c:pt>
                <c:pt idx="62">
                  <c:v>8.2251231885944001E-4</c:v>
                </c:pt>
                <c:pt idx="63">
                  <c:v>-5.1646708769930902E-4</c:v>
                </c:pt>
                <c:pt idx="64">
                  <c:v>4.5214434860591798E-4</c:v>
                </c:pt>
                <c:pt idx="65">
                  <c:v>2.7044547375317597E-4</c:v>
                </c:pt>
                <c:pt idx="66">
                  <c:v>-6.7149933617641195E-5</c:v>
                </c:pt>
                <c:pt idx="67">
                  <c:v>-9.1426596576321597E-4</c:v>
                </c:pt>
                <c:pt idx="68">
                  <c:v>4.4979678936632904E-3</c:v>
                </c:pt>
                <c:pt idx="69">
                  <c:v>3.1769035929806498E-3</c:v>
                </c:pt>
                <c:pt idx="70">
                  <c:v>4.6330209992246902E-4</c:v>
                </c:pt>
                <c:pt idx="71">
                  <c:v>3.5738766333183402E-3</c:v>
                </c:pt>
                <c:pt idx="72">
                  <c:v>-4.4216555248836198E-4</c:v>
                </c:pt>
                <c:pt idx="73">
                  <c:v>7.4686733695136104E-4</c:v>
                </c:pt>
                <c:pt idx="74">
                  <c:v>9.5800544819486398E-5</c:v>
                </c:pt>
                <c:pt idx="75">
                  <c:v>2.0146007357832599E-3</c:v>
                </c:pt>
                <c:pt idx="76">
                  <c:v>4.0750222972104899E-3</c:v>
                </c:pt>
                <c:pt idx="77">
                  <c:v>1.0811122435804099E-3</c:v>
                </c:pt>
                <c:pt idx="78">
                  <c:v>2.5278081632910299E-3</c:v>
                </c:pt>
                <c:pt idx="79">
                  <c:v>3.7815570174011401E-3</c:v>
                </c:pt>
                <c:pt idx="80">
                  <c:v>-1.4840220734905701E-4</c:v>
                </c:pt>
                <c:pt idx="81">
                  <c:v>-9.6661866374981003E-4</c:v>
                </c:pt>
                <c:pt idx="82">
                  <c:v>-5.6293209335356298E-4</c:v>
                </c:pt>
                <c:pt idx="83">
                  <c:v>-4.2052515411856199E-3</c:v>
                </c:pt>
                <c:pt idx="84">
                  <c:v>-1.05007824747027E-3</c:v>
                </c:pt>
                <c:pt idx="85">
                  <c:v>-4.6724409475781799E-3</c:v>
                </c:pt>
                <c:pt idx="86">
                  <c:v>-2.0473557170474E-3</c:v>
                </c:pt>
                <c:pt idx="87">
                  <c:v>-8.7741677596738996E-4</c:v>
                </c:pt>
                <c:pt idx="88">
                  <c:v>-2.88561830659903E-3</c:v>
                </c:pt>
                <c:pt idx="89">
                  <c:v>-1.34775727138071E-3</c:v>
                </c:pt>
                <c:pt idx="90">
                  <c:v>-3.7736734417541402E-3</c:v>
                </c:pt>
                <c:pt idx="91">
                  <c:v>-3.4978575379665E-3</c:v>
                </c:pt>
                <c:pt idx="92">
                  <c:v>-6.2744263176436601E-3</c:v>
                </c:pt>
                <c:pt idx="93">
                  <c:v>-6.3537816418672496E-3</c:v>
                </c:pt>
                <c:pt idx="94">
                  <c:v>-4.1844706405904496E-3</c:v>
                </c:pt>
                <c:pt idx="95">
                  <c:v>-5.7449759094961696E-3</c:v>
                </c:pt>
                <c:pt idx="96">
                  <c:v>-4.78685795238984E-3</c:v>
                </c:pt>
                <c:pt idx="97">
                  <c:v>-5.4329936525115497E-3</c:v>
                </c:pt>
                <c:pt idx="98">
                  <c:v>-7.83335837673306E-3</c:v>
                </c:pt>
                <c:pt idx="99">
                  <c:v>-6.66920716695366E-3</c:v>
                </c:pt>
                <c:pt idx="100">
                  <c:v>-3.0322664127279001E-3</c:v>
                </c:pt>
                <c:pt idx="101">
                  <c:v>-1.75063809769628E-3</c:v>
                </c:pt>
                <c:pt idx="102">
                  <c:v>-5.5515647955813102E-3</c:v>
                </c:pt>
                <c:pt idx="103">
                  <c:v>-3.9546256922740703E-3</c:v>
                </c:pt>
                <c:pt idx="104">
                  <c:v>-5.8481144530921304E-3</c:v>
                </c:pt>
                <c:pt idx="105">
                  <c:v>-4.8372941891380097E-3</c:v>
                </c:pt>
                <c:pt idx="106">
                  <c:v>-3.2306328726491298E-3</c:v>
                </c:pt>
                <c:pt idx="107">
                  <c:v>-5.1864641889174104E-3</c:v>
                </c:pt>
                <c:pt idx="108">
                  <c:v>-6.0882089020859098E-3</c:v>
                </c:pt>
                <c:pt idx="109">
                  <c:v>-3.1502451380963801E-3</c:v>
                </c:pt>
                <c:pt idx="110">
                  <c:v>-3.77220480612809E-3</c:v>
                </c:pt>
                <c:pt idx="111">
                  <c:v>-5.3644749546874699E-3</c:v>
                </c:pt>
                <c:pt idx="112">
                  <c:v>-6.9243810116705598E-3</c:v>
                </c:pt>
                <c:pt idx="113">
                  <c:v>-6.1542940310555299E-3</c:v>
                </c:pt>
                <c:pt idx="114">
                  <c:v>-7.31559228077898E-3</c:v>
                </c:pt>
                <c:pt idx="115">
                  <c:v>-8.2213725189496396E-3</c:v>
                </c:pt>
                <c:pt idx="116">
                  <c:v>-9.8302894140029906E-3</c:v>
                </c:pt>
                <c:pt idx="117">
                  <c:v>-1.0104744660681101E-2</c:v>
                </c:pt>
                <c:pt idx="118">
                  <c:v>-9.7694524957717896E-3</c:v>
                </c:pt>
                <c:pt idx="119">
                  <c:v>-1.0109141157259499E-2</c:v>
                </c:pt>
                <c:pt idx="120">
                  <c:v>-1.0479574006073199E-2</c:v>
                </c:pt>
                <c:pt idx="121">
                  <c:v>-1.1747621530656701E-2</c:v>
                </c:pt>
                <c:pt idx="122">
                  <c:v>-1.30894014942541E-2</c:v>
                </c:pt>
                <c:pt idx="123">
                  <c:v>-1.23723765514597E-2</c:v>
                </c:pt>
                <c:pt idx="124">
                  <c:v>-9.4692736137211402E-3</c:v>
                </c:pt>
                <c:pt idx="125">
                  <c:v>-6.8601686276970504E-3</c:v>
                </c:pt>
                <c:pt idx="126">
                  <c:v>-4.8904576544958698E-3</c:v>
                </c:pt>
                <c:pt idx="127">
                  <c:v>-3.90096138367476E-3</c:v>
                </c:pt>
                <c:pt idx="128">
                  <c:v>-7.2363627209880103E-3</c:v>
                </c:pt>
                <c:pt idx="129">
                  <c:v>-5.4279207209329298E-3</c:v>
                </c:pt>
                <c:pt idx="130">
                  <c:v>-5.48180926434932E-3</c:v>
                </c:pt>
                <c:pt idx="131">
                  <c:v>-4.4207516489862897E-3</c:v>
                </c:pt>
                <c:pt idx="132">
                  <c:v>-4.81433948835229E-3</c:v>
                </c:pt>
                <c:pt idx="133">
                  <c:v>-4.3356892313023403E-3</c:v>
                </c:pt>
                <c:pt idx="134">
                  <c:v>-5.6198188699252798E-3</c:v>
                </c:pt>
                <c:pt idx="135">
                  <c:v>-6.0593731463894698E-3</c:v>
                </c:pt>
                <c:pt idx="136">
                  <c:v>-1.00371740963418E-2</c:v>
                </c:pt>
                <c:pt idx="137">
                  <c:v>-5.2511555424755501E-3</c:v>
                </c:pt>
                <c:pt idx="138">
                  <c:v>-8.0145856854199199E-3</c:v>
                </c:pt>
                <c:pt idx="139">
                  <c:v>-5.8062715519770196E-3</c:v>
                </c:pt>
                <c:pt idx="140">
                  <c:v>-4.45781118805204E-3</c:v>
                </c:pt>
                <c:pt idx="141">
                  <c:v>-6.4764695004649404E-4</c:v>
                </c:pt>
                <c:pt idx="142">
                  <c:v>-2.9281082838339601E-4</c:v>
                </c:pt>
                <c:pt idx="143">
                  <c:v>-2.4496858874293102E-3</c:v>
                </c:pt>
                <c:pt idx="144">
                  <c:v>2.4150458948681099E-3</c:v>
                </c:pt>
                <c:pt idx="145">
                  <c:v>8.4234746623799102E-5</c:v>
                </c:pt>
                <c:pt idx="146">
                  <c:v>2.4241415851981602E-3</c:v>
                </c:pt>
                <c:pt idx="147">
                  <c:v>1.62409679230381E-3</c:v>
                </c:pt>
                <c:pt idx="148">
                  <c:v>8.8690313780619005E-4</c:v>
                </c:pt>
                <c:pt idx="149">
                  <c:v>2.9182907592849999E-4</c:v>
                </c:pt>
                <c:pt idx="150">
                  <c:v>2.8201225639984898E-3</c:v>
                </c:pt>
                <c:pt idx="151">
                  <c:v>1.0568234507090199E-3</c:v>
                </c:pt>
                <c:pt idx="152">
                  <c:v>-2.3934668289786799E-3</c:v>
                </c:pt>
                <c:pt idx="153">
                  <c:v>3.7453536413647797E-4</c:v>
                </c:pt>
                <c:pt idx="154">
                  <c:v>-1.8729829369602199E-3</c:v>
                </c:pt>
                <c:pt idx="155">
                  <c:v>-3.6513516782721799E-3</c:v>
                </c:pt>
                <c:pt idx="156">
                  <c:v>-1.6080229301315899E-4</c:v>
                </c:pt>
                <c:pt idx="157">
                  <c:v>-2.0835076456679302E-3</c:v>
                </c:pt>
                <c:pt idx="158">
                  <c:v>-1.7261875055411601E-3</c:v>
                </c:pt>
                <c:pt idx="159">
                  <c:v>-2.6418355502896501E-3</c:v>
                </c:pt>
                <c:pt idx="160">
                  <c:v>-2.7367681711515401E-3</c:v>
                </c:pt>
                <c:pt idx="161">
                  <c:v>-2.5656444854400299E-3</c:v>
                </c:pt>
                <c:pt idx="162">
                  <c:v>1.0486806969610199E-3</c:v>
                </c:pt>
                <c:pt idx="163">
                  <c:v>-1.9441433969309E-3</c:v>
                </c:pt>
                <c:pt idx="164">
                  <c:v>-5.8149971525639802E-4</c:v>
                </c:pt>
                <c:pt idx="165">
                  <c:v>3.7492339052236698E-4</c:v>
                </c:pt>
                <c:pt idx="166">
                  <c:v>9.854307766724189E-4</c:v>
                </c:pt>
                <c:pt idx="167">
                  <c:v>7.26546301757664E-4</c:v>
                </c:pt>
                <c:pt idx="168">
                  <c:v>1.3459583897905501E-3</c:v>
                </c:pt>
                <c:pt idx="169">
                  <c:v>-4.38767658416457E-4</c:v>
                </c:pt>
                <c:pt idx="170">
                  <c:v>-3.9058226013829198E-4</c:v>
                </c:pt>
                <c:pt idx="171">
                  <c:v>-3.04330428213961E-3</c:v>
                </c:pt>
                <c:pt idx="172">
                  <c:v>-2.5602268772381902E-3</c:v>
                </c:pt>
                <c:pt idx="173">
                  <c:v>2.0592218443631401E-3</c:v>
                </c:pt>
                <c:pt idx="174">
                  <c:v>1.27704421675285E-3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B-48CB-82A1-B0F4CBB8D788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CWB x 10 dma / ICVT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-3.4862128681375598E-4</c:v>
                </c:pt>
                <c:pt idx="11">
                  <c:v>-2.0016821393526799E-3</c:v>
                </c:pt>
                <c:pt idx="12">
                  <c:v>-1.22979989593216E-3</c:v>
                </c:pt>
                <c:pt idx="13">
                  <c:v>-7.52669739467281E-4</c:v>
                </c:pt>
                <c:pt idx="14">
                  <c:v>-2.84499256837346E-3</c:v>
                </c:pt>
                <c:pt idx="15">
                  <c:v>-3.22144267074281E-3</c:v>
                </c:pt>
                <c:pt idx="16">
                  <c:v>-2.9938119250238499E-3</c:v>
                </c:pt>
                <c:pt idx="17">
                  <c:v>-2.63041661836424E-3</c:v>
                </c:pt>
                <c:pt idx="18">
                  <c:v>-3.93951908529347E-3</c:v>
                </c:pt>
                <c:pt idx="19">
                  <c:v>-3.2973547382751998E-3</c:v>
                </c:pt>
                <c:pt idx="20">
                  <c:v>-2.6220503601897798E-3</c:v>
                </c:pt>
                <c:pt idx="21">
                  <c:v>-4.9531614151102797E-3</c:v>
                </c:pt>
                <c:pt idx="22">
                  <c:v>-8.5692448966800797E-4</c:v>
                </c:pt>
                <c:pt idx="23">
                  <c:v>-2.52477785122995E-3</c:v>
                </c:pt>
                <c:pt idx="24">
                  <c:v>-3.1939380668311798E-3</c:v>
                </c:pt>
                <c:pt idx="25">
                  <c:v>1.4195515684884601E-3</c:v>
                </c:pt>
                <c:pt idx="26">
                  <c:v>1.6203628125535301E-3</c:v>
                </c:pt>
                <c:pt idx="27">
                  <c:v>3.3792828174521502E-3</c:v>
                </c:pt>
                <c:pt idx="28">
                  <c:v>2.3523068923657201E-3</c:v>
                </c:pt>
                <c:pt idx="29">
                  <c:v>-3.5749943567257801E-5</c:v>
                </c:pt>
                <c:pt idx="30">
                  <c:v>2.0340849659554899E-3</c:v>
                </c:pt>
                <c:pt idx="31">
                  <c:v>4.18856930417296E-4</c:v>
                </c:pt>
                <c:pt idx="32">
                  <c:v>-7.3429668849226597E-4</c:v>
                </c:pt>
                <c:pt idx="33">
                  <c:v>-2.2697263008695399E-3</c:v>
                </c:pt>
                <c:pt idx="34">
                  <c:v>-1.1708635463621401E-3</c:v>
                </c:pt>
                <c:pt idx="35">
                  <c:v>1.7858816194796601E-3</c:v>
                </c:pt>
                <c:pt idx="36">
                  <c:v>1.5949623476692501E-3</c:v>
                </c:pt>
                <c:pt idx="37">
                  <c:v>-1.4537432947317301E-3</c:v>
                </c:pt>
                <c:pt idx="38">
                  <c:v>-2.5908801671436698E-3</c:v>
                </c:pt>
                <c:pt idx="39">
                  <c:v>-6.27183049705688E-3</c:v>
                </c:pt>
                <c:pt idx="40">
                  <c:v>-1.3344341412216301E-3</c:v>
                </c:pt>
                <c:pt idx="41">
                  <c:v>-1.9242778095531099E-3</c:v>
                </c:pt>
                <c:pt idx="42">
                  <c:v>-1.0711043982089699E-3</c:v>
                </c:pt>
                <c:pt idx="43">
                  <c:v>5.2716788650975302E-4</c:v>
                </c:pt>
                <c:pt idx="44">
                  <c:v>-1.5526628737270801E-3</c:v>
                </c:pt>
                <c:pt idx="45">
                  <c:v>-2.9419115238217999E-3</c:v>
                </c:pt>
                <c:pt idx="46">
                  <c:v>-3.3246738203276298E-3</c:v>
                </c:pt>
                <c:pt idx="47">
                  <c:v>2.2274585950007499E-3</c:v>
                </c:pt>
                <c:pt idx="48">
                  <c:v>-1.1652933967645101E-3</c:v>
                </c:pt>
                <c:pt idx="49">
                  <c:v>-1.5266189229718699E-3</c:v>
                </c:pt>
                <c:pt idx="50">
                  <c:v>-6.4292547190009802E-4</c:v>
                </c:pt>
                <c:pt idx="51">
                  <c:v>-1.6268375414806599E-3</c:v>
                </c:pt>
                <c:pt idx="52">
                  <c:v>-1.6699872441735999E-3</c:v>
                </c:pt>
                <c:pt idx="53">
                  <c:v>-1.7982922546230999E-3</c:v>
                </c:pt>
                <c:pt idx="54">
                  <c:v>-1.3417762462734599E-4</c:v>
                </c:pt>
                <c:pt idx="55">
                  <c:v>-2.1344789152540201E-3</c:v>
                </c:pt>
                <c:pt idx="56">
                  <c:v>-2.7059535666596698E-3</c:v>
                </c:pt>
                <c:pt idx="57">
                  <c:v>-2.32787752232996E-3</c:v>
                </c:pt>
                <c:pt idx="58">
                  <c:v>-8.14349311876204E-3</c:v>
                </c:pt>
                <c:pt idx="59">
                  <c:v>1.0783566013357899E-3</c:v>
                </c:pt>
                <c:pt idx="60">
                  <c:v>2.3150981761094502E-3</c:v>
                </c:pt>
                <c:pt idx="61">
                  <c:v>2.60075140639646E-3</c:v>
                </c:pt>
                <c:pt idx="62">
                  <c:v>1.0687046426561099E-3</c:v>
                </c:pt>
                <c:pt idx="63">
                  <c:v>-2.6842649773713899E-4</c:v>
                </c:pt>
                <c:pt idx="64">
                  <c:v>7.9518101727428904E-4</c:v>
                </c:pt>
                <c:pt idx="65">
                  <c:v>7.3190314984659304E-4</c:v>
                </c:pt>
                <c:pt idx="66">
                  <c:v>3.1684680587147201E-4</c:v>
                </c:pt>
                <c:pt idx="67">
                  <c:v>-6.5095286711700905E-4</c:v>
                </c:pt>
                <c:pt idx="68">
                  <c:v>4.7462856397332501E-3</c:v>
                </c:pt>
                <c:pt idx="69">
                  <c:v>2.22281579996073E-3</c:v>
                </c:pt>
                <c:pt idx="70">
                  <c:v>-7.2956873889535201E-4</c:v>
                </c:pt>
                <c:pt idx="71">
                  <c:v>2.5327308386922198E-3</c:v>
                </c:pt>
                <c:pt idx="72">
                  <c:v>-1.61651593098132E-3</c:v>
                </c:pt>
                <c:pt idx="73">
                  <c:v>-3.00898730147365E-4</c:v>
                </c:pt>
                <c:pt idx="74">
                  <c:v>-1.07842483801312E-3</c:v>
                </c:pt>
                <c:pt idx="75">
                  <c:v>8.7604119188422697E-4</c:v>
                </c:pt>
                <c:pt idx="76">
                  <c:v>2.7620326842660099E-3</c:v>
                </c:pt>
                <c:pt idx="77">
                  <c:v>-6.4589447850609796E-4</c:v>
                </c:pt>
                <c:pt idx="78">
                  <c:v>6.0091538447900803E-4</c:v>
                </c:pt>
                <c:pt idx="79">
                  <c:v>2.0513486810430702E-3</c:v>
                </c:pt>
                <c:pt idx="80">
                  <c:v>-1.9389720460053501E-3</c:v>
                </c:pt>
                <c:pt idx="81">
                  <c:v>-2.69591996741359E-3</c:v>
                </c:pt>
                <c:pt idx="82">
                  <c:v>-1.83809329688336E-3</c:v>
                </c:pt>
                <c:pt idx="83">
                  <c:v>-5.46831467592045E-3</c:v>
                </c:pt>
                <c:pt idx="84">
                  <c:v>-1.81656828015479E-3</c:v>
                </c:pt>
                <c:pt idx="85">
                  <c:v>-5.3242070823503601E-3</c:v>
                </c:pt>
                <c:pt idx="86">
                  <c:v>-2.0293150000776101E-3</c:v>
                </c:pt>
                <c:pt idx="87">
                  <c:v>-2.4795568433561401E-4</c:v>
                </c:pt>
                <c:pt idx="88">
                  <c:v>-2.0604666069854302E-3</c:v>
                </c:pt>
                <c:pt idx="89">
                  <c:v>1.8241723688572298E-5</c:v>
                </c:pt>
                <c:pt idx="90">
                  <c:v>-1.89619642464856E-3</c:v>
                </c:pt>
                <c:pt idx="91">
                  <c:v>-1.25788861268746E-3</c:v>
                </c:pt>
                <c:pt idx="92">
                  <c:v>-3.7813674241849999E-3</c:v>
                </c:pt>
                <c:pt idx="93">
                  <c:v>-3.2892069829422799E-3</c:v>
                </c:pt>
                <c:pt idx="94">
                  <c:v>-9.0458969588090403E-4</c:v>
                </c:pt>
                <c:pt idx="95">
                  <c:v>-2.1519122621612599E-3</c:v>
                </c:pt>
                <c:pt idx="96">
                  <c:v>-1.08637314996378E-3</c:v>
                </c:pt>
                <c:pt idx="97">
                  <c:v>-1.4586736576485499E-3</c:v>
                </c:pt>
                <c:pt idx="98">
                  <c:v>-3.4039568671593401E-3</c:v>
                </c:pt>
                <c:pt idx="99">
                  <c:v>-1.7446933367003001E-3</c:v>
                </c:pt>
                <c:pt idx="100">
                  <c:v>2.4237645157130202E-3</c:v>
                </c:pt>
                <c:pt idx="101">
                  <c:v>3.6314014480915298E-3</c:v>
                </c:pt>
                <c:pt idx="102">
                  <c:v>-3.43781214746613E-4</c:v>
                </c:pt>
                <c:pt idx="103">
                  <c:v>1.18081812328241E-3</c:v>
                </c:pt>
                <c:pt idx="104">
                  <c:v>-9.5261957630285595E-4</c:v>
                </c:pt>
                <c:pt idx="105">
                  <c:v>2.2457134536705401E-4</c:v>
                </c:pt>
                <c:pt idx="106">
                  <c:v>1.7404395523735799E-3</c:v>
                </c:pt>
                <c:pt idx="107">
                  <c:v>-3.7087668700434698E-4</c:v>
                </c:pt>
                <c:pt idx="108">
                  <c:v>-1.2972868358360401E-3</c:v>
                </c:pt>
                <c:pt idx="109">
                  <c:v>1.46576757833608E-3</c:v>
                </c:pt>
                <c:pt idx="110">
                  <c:v>4.9174618752121496E-4</c:v>
                </c:pt>
                <c:pt idx="111">
                  <c:v>-1.0265965868726001E-3</c:v>
                </c:pt>
                <c:pt idx="112">
                  <c:v>-2.2254658288826698E-3</c:v>
                </c:pt>
                <c:pt idx="113">
                  <c:v>-1.3178952201567901E-3</c:v>
                </c:pt>
                <c:pt idx="114">
                  <c:v>-2.2592028199341502E-3</c:v>
                </c:pt>
                <c:pt idx="115">
                  <c:v>-3.0180220321723702E-3</c:v>
                </c:pt>
                <c:pt idx="116">
                  <c:v>-4.2881393110059101E-3</c:v>
                </c:pt>
                <c:pt idx="117">
                  <c:v>-3.9021932438477098E-3</c:v>
                </c:pt>
                <c:pt idx="118">
                  <c:v>-3.0744835464691501E-3</c:v>
                </c:pt>
                <c:pt idx="119">
                  <c:v>-3.0456610541474702E-3</c:v>
                </c:pt>
                <c:pt idx="120">
                  <c:v>-2.72074650992559E-3</c:v>
                </c:pt>
                <c:pt idx="121">
                  <c:v>-3.3187048185459702E-3</c:v>
                </c:pt>
                <c:pt idx="122">
                  <c:v>-4.0222915742837897E-3</c:v>
                </c:pt>
                <c:pt idx="123">
                  <c:v>-2.6883742737697299E-3</c:v>
                </c:pt>
                <c:pt idx="124">
                  <c:v>8.3608331735108004E-4</c:v>
                </c:pt>
                <c:pt idx="125">
                  <c:v>3.6601217892836299E-3</c:v>
                </c:pt>
                <c:pt idx="126">
                  <c:v>5.4941081225028396E-3</c:v>
                </c:pt>
                <c:pt idx="127">
                  <c:v>5.9909910460433802E-3</c:v>
                </c:pt>
                <c:pt idx="128">
                  <c:v>2.0368087316134601E-3</c:v>
                </c:pt>
                <c:pt idx="129">
                  <c:v>3.5921046873833599E-3</c:v>
                </c:pt>
                <c:pt idx="130">
                  <c:v>3.0705698296491302E-3</c:v>
                </c:pt>
                <c:pt idx="131">
                  <c:v>3.6320112979255801E-3</c:v>
                </c:pt>
                <c:pt idx="132">
                  <c:v>2.5054432430383E-3</c:v>
                </c:pt>
                <c:pt idx="133">
                  <c:v>2.1548895745733699E-3</c:v>
                </c:pt>
                <c:pt idx="134">
                  <c:v>6.5265717696166595E-5</c:v>
                </c:pt>
                <c:pt idx="135">
                  <c:v>-7.6002511530191504E-4</c:v>
                </c:pt>
                <c:pt idx="136">
                  <c:v>-4.8180018095920199E-3</c:v>
                </c:pt>
                <c:pt idx="137">
                  <c:v>4.8371251579582702E-4</c:v>
                </c:pt>
                <c:pt idx="138">
                  <c:v>-2.14486366540368E-3</c:v>
                </c:pt>
                <c:pt idx="139">
                  <c:v>1.4140648448772699E-4</c:v>
                </c:pt>
                <c:pt idx="140">
                  <c:v>1.5276887109603799E-3</c:v>
                </c:pt>
                <c:pt idx="141">
                  <c:v>5.2355518579143999E-3</c:v>
                </c:pt>
                <c:pt idx="142">
                  <c:v>5.2142680614091202E-3</c:v>
                </c:pt>
                <c:pt idx="143">
                  <c:v>2.6064715675588501E-3</c:v>
                </c:pt>
                <c:pt idx="144">
                  <c:v>7.2828987295430704E-3</c:v>
                </c:pt>
                <c:pt idx="145">
                  <c:v>4.1508975623030398E-3</c:v>
                </c:pt>
                <c:pt idx="146">
                  <c:v>5.8769168512653597E-3</c:v>
                </c:pt>
                <c:pt idx="147">
                  <c:v>3.8295139110472499E-3</c:v>
                </c:pt>
                <c:pt idx="148">
                  <c:v>2.4048267799222098E-3</c:v>
                </c:pt>
                <c:pt idx="149">
                  <c:v>9.17379809013546E-4</c:v>
                </c:pt>
                <c:pt idx="150">
                  <c:v>2.8343741815639598E-3</c:v>
                </c:pt>
                <c:pt idx="151">
                  <c:v>3.4242887448058602E-4</c:v>
                </c:pt>
                <c:pt idx="152">
                  <c:v>-3.2784099256307001E-3</c:v>
                </c:pt>
                <c:pt idx="153">
                  <c:v>-2.99895687787888E-4</c:v>
                </c:pt>
                <c:pt idx="154">
                  <c:v>-2.8303601561370999E-3</c:v>
                </c:pt>
                <c:pt idx="155">
                  <c:v>-4.1797233135235602E-3</c:v>
                </c:pt>
                <c:pt idx="156">
                  <c:v>-3.1482050647684999E-4</c:v>
                </c:pt>
                <c:pt idx="157">
                  <c:v>-1.9793173320176599E-3</c:v>
                </c:pt>
                <c:pt idx="158">
                  <c:v>-1.25125872874679E-3</c:v>
                </c:pt>
                <c:pt idx="159">
                  <c:v>-1.90564621282064E-3</c:v>
                </c:pt>
                <c:pt idx="160">
                  <c:v>-1.7071265656119401E-3</c:v>
                </c:pt>
                <c:pt idx="161">
                  <c:v>-9.8106210168460105E-4</c:v>
                </c:pt>
                <c:pt idx="162">
                  <c:v>2.9951439831327302E-3</c:v>
                </c:pt>
                <c:pt idx="163">
                  <c:v>-3.4151586329743199E-4</c:v>
                </c:pt>
                <c:pt idx="164">
                  <c:v>1.2527793636086799E-3</c:v>
                </c:pt>
                <c:pt idx="165">
                  <c:v>2.0801241821203501E-3</c:v>
                </c:pt>
                <c:pt idx="166">
                  <c:v>2.28794969375197E-3</c:v>
                </c:pt>
                <c:pt idx="167">
                  <c:v>1.91463174975502E-3</c:v>
                </c:pt>
                <c:pt idx="168">
                  <c:v>2.2531420666380099E-3</c:v>
                </c:pt>
                <c:pt idx="169">
                  <c:v>1.61374390845239E-4</c:v>
                </c:pt>
                <c:pt idx="170">
                  <c:v>-1.09785823853674E-5</c:v>
                </c:pt>
                <c:pt idx="171">
                  <c:v>-2.8986248116258701E-3</c:v>
                </c:pt>
                <c:pt idx="172">
                  <c:v>-2.3676553566214899E-3</c:v>
                </c:pt>
                <c:pt idx="173">
                  <c:v>2.6128224510010298E-3</c:v>
                </c:pt>
                <c:pt idx="174">
                  <c:v>1.4304725606931301E-3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B-48CB-82A1-B0F4CBB8D788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CWB x 20 dma / ICVT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-4.0740669009533999E-3</c:v>
                </c:pt>
                <c:pt idx="21">
                  <c:v>-6.7600049808109602E-3</c:v>
                </c:pt>
                <c:pt idx="22">
                  <c:v>-2.9250077348453498E-3</c:v>
                </c:pt>
                <c:pt idx="23">
                  <c:v>-4.7312800207258802E-3</c:v>
                </c:pt>
                <c:pt idx="24">
                  <c:v>-5.7229296952945596E-3</c:v>
                </c:pt>
                <c:pt idx="25">
                  <c:v>-1.2301888220109501E-3</c:v>
                </c:pt>
                <c:pt idx="26">
                  <c:v>-8.46194790642671E-4</c:v>
                </c:pt>
                <c:pt idx="27">
                  <c:v>1.0911104452012599E-3</c:v>
                </c:pt>
                <c:pt idx="28">
                  <c:v>3.2207462050344598E-4</c:v>
                </c:pt>
                <c:pt idx="29">
                  <c:v>-1.5686133321277801E-3</c:v>
                </c:pt>
                <c:pt idx="30">
                  <c:v>8.2162792758470405E-4</c:v>
                </c:pt>
                <c:pt idx="31">
                  <c:v>-4.2366306564551502E-4</c:v>
                </c:pt>
                <c:pt idx="32">
                  <c:v>-1.06364453165758E-3</c:v>
                </c:pt>
                <c:pt idx="33">
                  <c:v>-2.4377846625839202E-3</c:v>
                </c:pt>
                <c:pt idx="34">
                  <c:v>-1.03376232465588E-3</c:v>
                </c:pt>
                <c:pt idx="35">
                  <c:v>2.3089790945967099E-3</c:v>
                </c:pt>
                <c:pt idx="36">
                  <c:v>2.2218777752593499E-3</c:v>
                </c:pt>
                <c:pt idx="37">
                  <c:v>-7.4920804143233002E-4</c:v>
                </c:pt>
                <c:pt idx="38">
                  <c:v>-2.1288557246723198E-3</c:v>
                </c:pt>
                <c:pt idx="39">
                  <c:v>-6.1221817669601299E-3</c:v>
                </c:pt>
                <c:pt idx="40">
                  <c:v>-1.4921960335717199E-3</c:v>
                </c:pt>
                <c:pt idx="41">
                  <c:v>-2.3774230275721299E-3</c:v>
                </c:pt>
                <c:pt idx="42">
                  <c:v>-1.8711461768084899E-3</c:v>
                </c:pt>
                <c:pt idx="43">
                  <c:v>-3.4287190202318799E-4</c:v>
                </c:pt>
                <c:pt idx="44">
                  <c:v>-2.3658811567965599E-3</c:v>
                </c:pt>
                <c:pt idx="45">
                  <c:v>-3.9705639400440798E-3</c:v>
                </c:pt>
                <c:pt idx="46">
                  <c:v>-4.7624026639844202E-3</c:v>
                </c:pt>
                <c:pt idx="47">
                  <c:v>3.39650799296794E-4</c:v>
                </c:pt>
                <c:pt idx="48">
                  <c:v>-2.8871404683295E-3</c:v>
                </c:pt>
                <c:pt idx="49">
                  <c:v>-3.1486484829557002E-3</c:v>
                </c:pt>
                <c:pt idx="50">
                  <c:v>-1.8926542875647499E-3</c:v>
                </c:pt>
                <c:pt idx="51">
                  <c:v>-2.7830467170157601E-3</c:v>
                </c:pt>
                <c:pt idx="52">
                  <c:v>-2.7646300257833899E-3</c:v>
                </c:pt>
                <c:pt idx="53">
                  <c:v>-2.9354977098206099E-3</c:v>
                </c:pt>
                <c:pt idx="54">
                  <c:v>-1.5537172468830501E-3</c:v>
                </c:pt>
                <c:pt idx="55">
                  <c:v>-3.5246545014858302E-3</c:v>
                </c:pt>
                <c:pt idx="56">
                  <c:v>-3.85624022971772E-3</c:v>
                </c:pt>
                <c:pt idx="57">
                  <c:v>-3.1732939325564199E-3</c:v>
                </c:pt>
                <c:pt idx="58">
                  <c:v>-9.2957135412755597E-3</c:v>
                </c:pt>
                <c:pt idx="59">
                  <c:v>-4.3792932084794602E-4</c:v>
                </c:pt>
                <c:pt idx="60">
                  <c:v>7.0239452603889296E-4</c:v>
                </c:pt>
                <c:pt idx="61">
                  <c:v>1.064904041751E-3</c:v>
                </c:pt>
                <c:pt idx="62">
                  <c:v>-3.0894234236536E-4</c:v>
                </c:pt>
                <c:pt idx="63">
                  <c:v>-1.5076916524320099E-3</c:v>
                </c:pt>
                <c:pt idx="64">
                  <c:v>-2.6190160942911198E-4</c:v>
                </c:pt>
                <c:pt idx="65">
                  <c:v>-3.1331795775653301E-4</c:v>
                </c:pt>
                <c:pt idx="66">
                  <c:v>-5.9093197808254697E-4</c:v>
                </c:pt>
                <c:pt idx="67">
                  <c:v>-1.41420190059557E-3</c:v>
                </c:pt>
                <c:pt idx="68">
                  <c:v>4.3023403392307199E-3</c:v>
                </c:pt>
                <c:pt idx="69">
                  <c:v>2.8457801438828501E-3</c:v>
                </c:pt>
                <c:pt idx="70">
                  <c:v>3.4351475276990097E-5</c:v>
                </c:pt>
                <c:pt idx="71">
                  <c:v>3.2342090474891802E-3</c:v>
                </c:pt>
                <c:pt idx="72">
                  <c:v>-9.0599233716158998E-4</c:v>
                </c:pt>
                <c:pt idx="73">
                  <c:v>3.4721448772983199E-4</c:v>
                </c:pt>
                <c:pt idx="74">
                  <c:v>-3.1950605177353799E-4</c:v>
                </c:pt>
                <c:pt idx="75">
                  <c:v>1.67636980873425E-3</c:v>
                </c:pt>
                <c:pt idx="76">
                  <c:v>3.6108858307744101E-3</c:v>
                </c:pt>
                <c:pt idx="77">
                  <c:v>3.4976060340202302E-4</c:v>
                </c:pt>
                <c:pt idx="78">
                  <c:v>1.68911208940676E-3</c:v>
                </c:pt>
                <c:pt idx="79">
                  <c:v>2.4394842480976501E-3</c:v>
                </c:pt>
                <c:pt idx="80">
                  <c:v>-1.64007789057519E-3</c:v>
                </c:pt>
                <c:pt idx="81">
                  <c:v>-2.3517830181454999E-3</c:v>
                </c:pt>
                <c:pt idx="82">
                  <c:v>-1.78768661401225E-3</c:v>
                </c:pt>
                <c:pt idx="83">
                  <c:v>-5.3606603479990304E-3</c:v>
                </c:pt>
                <c:pt idx="84">
                  <c:v>-2.02041517421459E-3</c:v>
                </c:pt>
                <c:pt idx="85">
                  <c:v>-5.5675741659360596E-3</c:v>
                </c:pt>
                <c:pt idx="86">
                  <c:v>-2.69460870983364E-3</c:v>
                </c:pt>
                <c:pt idx="87">
                  <c:v>-1.4254954737857599E-3</c:v>
                </c:pt>
                <c:pt idx="88">
                  <c:v>-3.4355421278953599E-3</c:v>
                </c:pt>
                <c:pt idx="89">
                  <c:v>-1.5286636300237101E-3</c:v>
                </c:pt>
                <c:pt idx="90">
                  <c:v>-3.72853803250534E-3</c:v>
                </c:pt>
                <c:pt idx="91">
                  <c:v>-3.24055434018313E-3</c:v>
                </c:pt>
                <c:pt idx="92">
                  <c:v>-5.6637025383919296E-3</c:v>
                </c:pt>
                <c:pt idx="93">
                  <c:v>-5.4506848254899098E-3</c:v>
                </c:pt>
                <c:pt idx="94">
                  <c:v>-2.92572854621334E-3</c:v>
                </c:pt>
                <c:pt idx="95">
                  <c:v>-4.2720748324209298E-3</c:v>
                </c:pt>
                <c:pt idx="96">
                  <c:v>-2.9259001443445801E-3</c:v>
                </c:pt>
                <c:pt idx="97">
                  <c:v>-3.1297045997808999E-3</c:v>
                </c:pt>
                <c:pt idx="98">
                  <c:v>-5.2044579459316603E-3</c:v>
                </c:pt>
                <c:pt idx="99">
                  <c:v>-3.5223678766484298E-3</c:v>
                </c:pt>
                <c:pt idx="100">
                  <c:v>6.3608831520336302E-4</c:v>
                </c:pt>
                <c:pt idx="101">
                  <c:v>2.0616002133025798E-3</c:v>
                </c:pt>
                <c:pt idx="102">
                  <c:v>-1.7002223424516299E-3</c:v>
                </c:pt>
                <c:pt idx="103">
                  <c:v>1.4591960725389799E-4</c:v>
                </c:pt>
                <c:pt idx="104">
                  <c:v>-1.76010026633105E-3</c:v>
                </c:pt>
                <c:pt idx="105">
                  <c:v>-5.0955992586930801E-4</c:v>
                </c:pt>
                <c:pt idx="106">
                  <c:v>1.10534754017491E-3</c:v>
                </c:pt>
                <c:pt idx="107">
                  <c:v>-7.9142197415466497E-4</c:v>
                </c:pt>
                <c:pt idx="108">
                  <c:v>-1.47803077703523E-3</c:v>
                </c:pt>
                <c:pt idx="109">
                  <c:v>1.62003003186371E-3</c:v>
                </c:pt>
                <c:pt idx="110">
                  <c:v>1.0879637867278599E-3</c:v>
                </c:pt>
                <c:pt idx="111">
                  <c:v>-5.04379713821646E-4</c:v>
                </c:pt>
                <c:pt idx="112">
                  <c:v>-1.9709992614788899E-3</c:v>
                </c:pt>
                <c:pt idx="113">
                  <c:v>-1.1683615393386501E-3</c:v>
                </c:pt>
                <c:pt idx="114">
                  <c:v>-2.3396468760785299E-3</c:v>
                </c:pt>
                <c:pt idx="115">
                  <c:v>-3.0887620060595501E-3</c:v>
                </c:pt>
                <c:pt idx="116">
                  <c:v>-4.5736373837792898E-3</c:v>
                </c:pt>
                <c:pt idx="117">
                  <c:v>-4.5954347427144904E-3</c:v>
                </c:pt>
                <c:pt idx="118">
                  <c:v>-4.0260538137475502E-3</c:v>
                </c:pt>
                <c:pt idx="119">
                  <c:v>-4.2686459855978296E-3</c:v>
                </c:pt>
                <c:pt idx="120">
                  <c:v>-4.4666579917309697E-3</c:v>
                </c:pt>
                <c:pt idx="121">
                  <c:v>-5.3621319178108499E-3</c:v>
                </c:pt>
                <c:pt idx="122">
                  <c:v>-6.2040038041137301E-3</c:v>
                </c:pt>
                <c:pt idx="123">
                  <c:v>-5.1092386026201199E-3</c:v>
                </c:pt>
                <c:pt idx="124">
                  <c:v>-1.7849564642782099E-3</c:v>
                </c:pt>
                <c:pt idx="125">
                  <c:v>1.00518555129727E-3</c:v>
                </c:pt>
                <c:pt idx="126">
                  <c:v>3.0758314063332802E-3</c:v>
                </c:pt>
                <c:pt idx="127">
                  <c:v>4.1479919986152696E-3</c:v>
                </c:pt>
                <c:pt idx="128">
                  <c:v>7.4853837075224399E-4</c:v>
                </c:pt>
                <c:pt idx="129">
                  <c:v>2.6143105433966301E-3</c:v>
                </c:pt>
                <c:pt idx="130">
                  <c:v>2.6738727462393501E-3</c:v>
                </c:pt>
                <c:pt idx="131">
                  <c:v>3.8201058669818798E-3</c:v>
                </c:pt>
                <c:pt idx="132">
                  <c:v>3.3794884813179802E-3</c:v>
                </c:pt>
                <c:pt idx="133">
                  <c:v>3.7528760541227701E-3</c:v>
                </c:pt>
                <c:pt idx="134">
                  <c:v>2.37807025161417E-3</c:v>
                </c:pt>
                <c:pt idx="135">
                  <c:v>1.85385335369948E-3</c:v>
                </c:pt>
                <c:pt idx="136">
                  <c:v>-2.2319699069367799E-3</c:v>
                </c:pt>
                <c:pt idx="137">
                  <c:v>2.5644148687723402E-3</c:v>
                </c:pt>
                <c:pt idx="138">
                  <c:v>-4.4169101630489301E-4</c:v>
                </c:pt>
                <c:pt idx="139">
                  <c:v>1.6787600847459601E-3</c:v>
                </c:pt>
                <c:pt idx="140">
                  <c:v>2.8119519168274699E-3</c:v>
                </c:pt>
                <c:pt idx="141">
                  <c:v>6.3209223033436502E-3</c:v>
                </c:pt>
                <c:pt idx="142">
                  <c:v>6.1210307190541404E-3</c:v>
                </c:pt>
                <c:pt idx="143">
                  <c:v>3.3239394385571599E-3</c:v>
                </c:pt>
                <c:pt idx="144">
                  <c:v>7.6915980894811898E-3</c:v>
                </c:pt>
                <c:pt idx="145">
                  <c:v>4.7674301090998997E-3</c:v>
                </c:pt>
                <c:pt idx="146">
                  <c:v>6.7605053813601301E-3</c:v>
                </c:pt>
                <c:pt idx="147">
                  <c:v>5.59579650799478E-3</c:v>
                </c:pt>
                <c:pt idx="148">
                  <c:v>4.58309323564462E-3</c:v>
                </c:pt>
                <c:pt idx="149">
                  <c:v>3.5819840864037699E-3</c:v>
                </c:pt>
                <c:pt idx="150">
                  <c:v>5.82445529142059E-3</c:v>
                </c:pt>
                <c:pt idx="151">
                  <c:v>3.6466665865147398E-3</c:v>
                </c:pt>
                <c:pt idx="152">
                  <c:v>-7.7291697968843396E-5</c:v>
                </c:pt>
                <c:pt idx="153">
                  <c:v>2.5695035156308899E-3</c:v>
                </c:pt>
                <c:pt idx="154">
                  <c:v>8.6496527938938802E-5</c:v>
                </c:pt>
                <c:pt idx="155">
                  <c:v>-1.8795667976795199E-3</c:v>
                </c:pt>
                <c:pt idx="156">
                  <c:v>1.49020235230782E-3</c:v>
                </c:pt>
                <c:pt idx="157">
                  <c:v>-9.2815203531192701E-4</c:v>
                </c:pt>
                <c:pt idx="158">
                  <c:v>-7.2962531630588298E-4</c:v>
                </c:pt>
                <c:pt idx="159">
                  <c:v>-1.96096398490022E-3</c:v>
                </c:pt>
                <c:pt idx="160">
                  <c:v>-2.21469268250102E-3</c:v>
                </c:pt>
                <c:pt idx="161">
                  <c:v>-2.1298899199392002E-3</c:v>
                </c:pt>
                <c:pt idx="162">
                  <c:v>1.5804428991491801E-3</c:v>
                </c:pt>
                <c:pt idx="163">
                  <c:v>-1.4793970317412101E-3</c:v>
                </c:pt>
                <c:pt idx="164">
                  <c:v>-1.4207461761778901E-4</c:v>
                </c:pt>
                <c:pt idx="165">
                  <c:v>9.6396157428912499E-4</c:v>
                </c:pt>
                <c:pt idx="166">
                  <c:v>1.55994631600831E-3</c:v>
                </c:pt>
                <c:pt idx="167">
                  <c:v>1.3728310361571399E-3</c:v>
                </c:pt>
                <c:pt idx="168">
                  <c:v>2.0370379721486001E-3</c:v>
                </c:pt>
                <c:pt idx="169">
                  <c:v>2.29400348557013E-4</c:v>
                </c:pt>
                <c:pt idx="170">
                  <c:v>3.1409320017069902E-4</c:v>
                </c:pt>
                <c:pt idx="171">
                  <c:v>-2.1784141899775498E-3</c:v>
                </c:pt>
                <c:pt idx="172">
                  <c:v>-1.4903249568524E-3</c:v>
                </c:pt>
                <c:pt idx="173">
                  <c:v>3.13747347167923E-3</c:v>
                </c:pt>
                <c:pt idx="174">
                  <c:v>2.2712510855131501E-3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CB-48CB-82A1-B0F4CBB8D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3.4385112415986994E-3</c:v>
                </c:pt>
                <c:pt idx="3">
                  <c:v>1.3943574559126988E-3</c:v>
                </c:pt>
                <c:pt idx="4">
                  <c:v>1.0674121281739959E-4</c:v>
                </c:pt>
                <c:pt idx="5">
                  <c:v>4.1787788822000996E-3</c:v>
                </c:pt>
                <c:pt idx="6">
                  <c:v>4.1787788822000996E-3</c:v>
                </c:pt>
                <c:pt idx="7">
                  <c:v>4.1787788822000996E-3</c:v>
                </c:pt>
                <c:pt idx="8">
                  <c:v>4.1787788822000996E-3</c:v>
                </c:pt>
                <c:pt idx="9">
                  <c:v>4.1787788822000996E-3</c:v>
                </c:pt>
                <c:pt idx="10">
                  <c:v>4.1787788822000996E-3</c:v>
                </c:pt>
                <c:pt idx="11">
                  <c:v>4.1787788822000996E-3</c:v>
                </c:pt>
                <c:pt idx="12">
                  <c:v>4.1787788822000996E-3</c:v>
                </c:pt>
                <c:pt idx="13">
                  <c:v>4.1787788822000996E-3</c:v>
                </c:pt>
                <c:pt idx="14">
                  <c:v>4.1787788822000996E-3</c:v>
                </c:pt>
                <c:pt idx="15">
                  <c:v>4.1787788822000996E-3</c:v>
                </c:pt>
                <c:pt idx="16">
                  <c:v>4.1787788822000996E-3</c:v>
                </c:pt>
                <c:pt idx="17">
                  <c:v>4.1787788822000996E-3</c:v>
                </c:pt>
                <c:pt idx="18">
                  <c:v>4.1787788822000996E-3</c:v>
                </c:pt>
                <c:pt idx="19">
                  <c:v>4.1787788822000996E-3</c:v>
                </c:pt>
                <c:pt idx="20">
                  <c:v>8.5207067177144012E-3</c:v>
                </c:pt>
                <c:pt idx="21">
                  <c:v>8.5207067177144012E-3</c:v>
                </c:pt>
                <c:pt idx="22">
                  <c:v>8.5207067177144012E-3</c:v>
                </c:pt>
                <c:pt idx="23">
                  <c:v>8.5207067177144012E-3</c:v>
                </c:pt>
                <c:pt idx="24">
                  <c:v>8.5207067177144012E-3</c:v>
                </c:pt>
                <c:pt idx="25">
                  <c:v>8.5207067177144012E-3</c:v>
                </c:pt>
                <c:pt idx="26">
                  <c:v>8.5207067177144012E-3</c:v>
                </c:pt>
                <c:pt idx="27">
                  <c:v>8.5207067177144012E-3</c:v>
                </c:pt>
                <c:pt idx="28">
                  <c:v>8.5207067177144012E-3</c:v>
                </c:pt>
                <c:pt idx="29">
                  <c:v>8.5207067177144012E-3</c:v>
                </c:pt>
                <c:pt idx="30">
                  <c:v>8.5207067177144012E-3</c:v>
                </c:pt>
                <c:pt idx="31">
                  <c:v>8.5207067177144012E-3</c:v>
                </c:pt>
                <c:pt idx="32">
                  <c:v>8.5207067177144012E-3</c:v>
                </c:pt>
                <c:pt idx="33">
                  <c:v>8.5207067177144012E-3</c:v>
                </c:pt>
                <c:pt idx="34">
                  <c:v>8.5207067177144012E-3</c:v>
                </c:pt>
                <c:pt idx="35">
                  <c:v>8.5207067177144012E-3</c:v>
                </c:pt>
                <c:pt idx="36">
                  <c:v>8.5207067177144012E-3</c:v>
                </c:pt>
                <c:pt idx="37">
                  <c:v>8.5207067177144012E-3</c:v>
                </c:pt>
                <c:pt idx="38">
                  <c:v>8.5207067177144012E-3</c:v>
                </c:pt>
                <c:pt idx="39">
                  <c:v>1.6811333356059461E-2</c:v>
                </c:pt>
                <c:pt idx="40">
                  <c:v>1.6811333356059461E-2</c:v>
                </c:pt>
                <c:pt idx="41">
                  <c:v>1.6811333356059461E-2</c:v>
                </c:pt>
                <c:pt idx="42">
                  <c:v>1.6811333356059461E-2</c:v>
                </c:pt>
                <c:pt idx="43">
                  <c:v>1.6811333356059461E-2</c:v>
                </c:pt>
                <c:pt idx="44">
                  <c:v>1.6811333356059461E-2</c:v>
                </c:pt>
                <c:pt idx="45">
                  <c:v>1.6811333356059461E-2</c:v>
                </c:pt>
                <c:pt idx="46">
                  <c:v>1.6811333356059461E-2</c:v>
                </c:pt>
                <c:pt idx="47">
                  <c:v>1.6811333356059461E-2</c:v>
                </c:pt>
                <c:pt idx="48">
                  <c:v>1.6811333356059461E-2</c:v>
                </c:pt>
                <c:pt idx="49">
                  <c:v>1.6811333356059461E-2</c:v>
                </c:pt>
                <c:pt idx="50">
                  <c:v>1.6811333356059461E-2</c:v>
                </c:pt>
                <c:pt idx="51">
                  <c:v>1.6811333356059461E-2</c:v>
                </c:pt>
                <c:pt idx="52">
                  <c:v>1.6811333356059461E-2</c:v>
                </c:pt>
                <c:pt idx="53">
                  <c:v>1.6811333356059461E-2</c:v>
                </c:pt>
                <c:pt idx="54">
                  <c:v>1.6811333356059461E-2</c:v>
                </c:pt>
                <c:pt idx="55">
                  <c:v>1.6811333356059461E-2</c:v>
                </c:pt>
                <c:pt idx="56">
                  <c:v>1.6811333356059461E-2</c:v>
                </c:pt>
                <c:pt idx="57">
                  <c:v>1.6811333356059461E-2</c:v>
                </c:pt>
                <c:pt idx="58">
                  <c:v>1.6811333356059461E-2</c:v>
                </c:pt>
                <c:pt idx="59">
                  <c:v>1.6811333356059461E-2</c:v>
                </c:pt>
                <c:pt idx="60">
                  <c:v>1.6811333356059461E-2</c:v>
                </c:pt>
                <c:pt idx="61">
                  <c:v>1.6811333356059461E-2</c:v>
                </c:pt>
                <c:pt idx="62">
                  <c:v>1.6811333356059461E-2</c:v>
                </c:pt>
                <c:pt idx="63">
                  <c:v>1.6811333356059461E-2</c:v>
                </c:pt>
                <c:pt idx="64">
                  <c:v>1.996650664977466E-2</c:v>
                </c:pt>
                <c:pt idx="65">
                  <c:v>1.996650664977466E-2</c:v>
                </c:pt>
                <c:pt idx="66">
                  <c:v>2.2591591880305462E-2</c:v>
                </c:pt>
                <c:pt idx="67">
                  <c:v>2.2591591880305462E-2</c:v>
                </c:pt>
                <c:pt idx="68">
                  <c:v>2.2591591880305462E-2</c:v>
                </c:pt>
                <c:pt idx="69">
                  <c:v>2.2591591880305462E-2</c:v>
                </c:pt>
                <c:pt idx="70">
                  <c:v>2.2591591880305462E-2</c:v>
                </c:pt>
                <c:pt idx="71">
                  <c:v>2.2591591880305462E-2</c:v>
                </c:pt>
                <c:pt idx="72">
                  <c:v>2.2591591880305462E-2</c:v>
                </c:pt>
                <c:pt idx="73">
                  <c:v>2.2512236556081963E-2</c:v>
                </c:pt>
                <c:pt idx="74">
                  <c:v>2.4681547557358845E-2</c:v>
                </c:pt>
                <c:pt idx="75">
                  <c:v>2.4681547557358845E-2</c:v>
                </c:pt>
                <c:pt idx="76">
                  <c:v>2.4681547557358845E-2</c:v>
                </c:pt>
                <c:pt idx="77">
                  <c:v>2.4681547557358845E-2</c:v>
                </c:pt>
                <c:pt idx="78">
                  <c:v>2.4681547557358845E-2</c:v>
                </c:pt>
                <c:pt idx="79">
                  <c:v>2.5845698767138228E-2</c:v>
                </c:pt>
                <c:pt idx="80">
                  <c:v>2.9482639521364058E-2</c:v>
                </c:pt>
                <c:pt idx="81">
                  <c:v>2.9482639521364058E-2</c:v>
                </c:pt>
                <c:pt idx="82">
                  <c:v>2.9482639521364058E-2</c:v>
                </c:pt>
                <c:pt idx="83">
                  <c:v>2.9482639521364058E-2</c:v>
                </c:pt>
                <c:pt idx="84">
                  <c:v>2.9482639521364058E-2</c:v>
                </c:pt>
                <c:pt idx="85">
                  <c:v>2.9482639521364058E-2</c:v>
                </c:pt>
                <c:pt idx="86">
                  <c:v>2.9482639521364058E-2</c:v>
                </c:pt>
                <c:pt idx="87">
                  <c:v>2.9482639521364058E-2</c:v>
                </c:pt>
                <c:pt idx="88">
                  <c:v>2.9482639521364058E-2</c:v>
                </c:pt>
                <c:pt idx="89">
                  <c:v>2.9482639521364058E-2</c:v>
                </c:pt>
                <c:pt idx="90">
                  <c:v>2.9482639521364058E-2</c:v>
                </c:pt>
                <c:pt idx="91">
                  <c:v>2.9482639521364058E-2</c:v>
                </c:pt>
                <c:pt idx="92">
                  <c:v>2.9482639521364058E-2</c:v>
                </c:pt>
                <c:pt idx="93">
                  <c:v>2.9482639521364058E-2</c:v>
                </c:pt>
                <c:pt idx="94">
                  <c:v>2.9482639521364058E-2</c:v>
                </c:pt>
                <c:pt idx="95">
                  <c:v>2.9482639521364058E-2</c:v>
                </c:pt>
                <c:pt idx="96">
                  <c:v>2.9482639521364058E-2</c:v>
                </c:pt>
                <c:pt idx="97">
                  <c:v>2.9482639521364058E-2</c:v>
                </c:pt>
                <c:pt idx="98">
                  <c:v>2.9482639521364058E-2</c:v>
                </c:pt>
                <c:pt idx="99">
                  <c:v>2.9482639521364058E-2</c:v>
                </c:pt>
                <c:pt idx="100">
                  <c:v>2.9482639521364058E-2</c:v>
                </c:pt>
                <c:pt idx="101">
                  <c:v>2.9482639521364058E-2</c:v>
                </c:pt>
                <c:pt idx="102">
                  <c:v>2.8140859557766358E-2</c:v>
                </c:pt>
                <c:pt idx="103">
                  <c:v>2.8140859557766358E-2</c:v>
                </c:pt>
                <c:pt idx="104">
                  <c:v>3.1043962495505159E-2</c:v>
                </c:pt>
                <c:pt idx="105">
                  <c:v>3.1043962495505159E-2</c:v>
                </c:pt>
                <c:pt idx="106">
                  <c:v>3.1043962495505159E-2</c:v>
                </c:pt>
                <c:pt idx="107">
                  <c:v>3.1043962495505159E-2</c:v>
                </c:pt>
                <c:pt idx="108">
                  <c:v>3.1043962495505159E-2</c:v>
                </c:pt>
                <c:pt idx="109">
                  <c:v>3.1043962495505159E-2</c:v>
                </c:pt>
                <c:pt idx="110">
                  <c:v>3.1043962495505159E-2</c:v>
                </c:pt>
                <c:pt idx="111">
                  <c:v>3.1043962495505159E-2</c:v>
                </c:pt>
                <c:pt idx="112">
                  <c:v>3.1043962495505159E-2</c:v>
                </c:pt>
                <c:pt idx="113">
                  <c:v>3.1043962495505159E-2</c:v>
                </c:pt>
                <c:pt idx="114">
                  <c:v>3.1043962495505159E-2</c:v>
                </c:pt>
                <c:pt idx="115">
                  <c:v>3.1043962495505159E-2</c:v>
                </c:pt>
                <c:pt idx="116">
                  <c:v>3.1043962495505159E-2</c:v>
                </c:pt>
                <c:pt idx="117">
                  <c:v>3.1043962495505159E-2</c:v>
                </c:pt>
                <c:pt idx="118">
                  <c:v>3.1043962495505159E-2</c:v>
                </c:pt>
                <c:pt idx="119">
                  <c:v>3.1043962495505159E-2</c:v>
                </c:pt>
                <c:pt idx="120">
                  <c:v>3.1043962495505159E-2</c:v>
                </c:pt>
                <c:pt idx="121">
                  <c:v>3.1043962495505159E-2</c:v>
                </c:pt>
                <c:pt idx="122">
                  <c:v>3.1043962495505159E-2</c:v>
                </c:pt>
                <c:pt idx="123">
                  <c:v>3.1043962495505159E-2</c:v>
                </c:pt>
                <c:pt idx="124">
                  <c:v>3.1043962495505159E-2</c:v>
                </c:pt>
                <c:pt idx="125">
                  <c:v>3.1043962495505159E-2</c:v>
                </c:pt>
                <c:pt idx="126">
                  <c:v>3.1043962495505159E-2</c:v>
                </c:pt>
                <c:pt idx="127">
                  <c:v>3.1043962495505159E-2</c:v>
                </c:pt>
                <c:pt idx="128">
                  <c:v>3.1043962495505159E-2</c:v>
                </c:pt>
                <c:pt idx="129">
                  <c:v>3.1043962495505159E-2</c:v>
                </c:pt>
                <c:pt idx="130">
                  <c:v>3.1043962495505159E-2</c:v>
                </c:pt>
                <c:pt idx="131">
                  <c:v>3.1043962495505159E-2</c:v>
                </c:pt>
                <c:pt idx="132">
                  <c:v>3.1043962495505159E-2</c:v>
                </c:pt>
                <c:pt idx="133">
                  <c:v>3.1043962495505159E-2</c:v>
                </c:pt>
                <c:pt idx="134">
                  <c:v>3.1043962495505159E-2</c:v>
                </c:pt>
                <c:pt idx="135">
                  <c:v>3.1043962495505159E-2</c:v>
                </c:pt>
                <c:pt idx="136">
                  <c:v>3.1043962495505159E-2</c:v>
                </c:pt>
                <c:pt idx="137">
                  <c:v>3.1043962495505159E-2</c:v>
                </c:pt>
                <c:pt idx="138">
                  <c:v>3.1043962495505159E-2</c:v>
                </c:pt>
                <c:pt idx="139">
                  <c:v>3.1043962495505159E-2</c:v>
                </c:pt>
                <c:pt idx="140">
                  <c:v>3.1043962495505159E-2</c:v>
                </c:pt>
                <c:pt idx="141">
                  <c:v>3.1043962495505159E-2</c:v>
                </c:pt>
                <c:pt idx="142">
                  <c:v>3.1043962495505159E-2</c:v>
                </c:pt>
                <c:pt idx="143">
                  <c:v>3.1043962495505159E-2</c:v>
                </c:pt>
                <c:pt idx="144">
                  <c:v>3.1043962495505159E-2</c:v>
                </c:pt>
                <c:pt idx="145">
                  <c:v>3.1043962495505159E-2</c:v>
                </c:pt>
                <c:pt idx="146">
                  <c:v>3.1043962495505159E-2</c:v>
                </c:pt>
                <c:pt idx="147">
                  <c:v>3.1043962495505159E-2</c:v>
                </c:pt>
                <c:pt idx="148">
                  <c:v>3.1043962495505159E-2</c:v>
                </c:pt>
                <c:pt idx="149">
                  <c:v>3.1043962495505159E-2</c:v>
                </c:pt>
                <c:pt idx="150">
                  <c:v>3.1043962495505159E-2</c:v>
                </c:pt>
                <c:pt idx="151">
                  <c:v>3.1043962495505159E-2</c:v>
                </c:pt>
                <c:pt idx="152">
                  <c:v>3.1043962495505159E-2</c:v>
                </c:pt>
                <c:pt idx="153">
                  <c:v>3.1043962495505159E-2</c:v>
                </c:pt>
                <c:pt idx="154">
                  <c:v>3.1043962495505159E-2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D8-43ED-8A5F-AB5C63376D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1.3210643006825607E-3</c:v>
                </c:pt>
                <c:pt idx="50">
                  <c:v>4.034665793740711E-3</c:v>
                </c:pt>
                <c:pt idx="51">
                  <c:v>4.034665793740711E-3</c:v>
                </c:pt>
                <c:pt idx="52">
                  <c:v>8.0507079795472322E-3</c:v>
                </c:pt>
                <c:pt idx="53">
                  <c:v>8.0507079795472322E-3</c:v>
                </c:pt>
                <c:pt idx="54">
                  <c:v>8.0507079795472322E-3</c:v>
                </c:pt>
                <c:pt idx="55">
                  <c:v>8.0507079795472322E-3</c:v>
                </c:pt>
                <c:pt idx="56">
                  <c:v>8.0507079795472322E-3</c:v>
                </c:pt>
                <c:pt idx="57">
                  <c:v>1.1044618033177373E-2</c:v>
                </c:pt>
                <c:pt idx="58">
                  <c:v>1.1044618033177373E-2</c:v>
                </c:pt>
                <c:pt idx="59">
                  <c:v>1.1044618033177373E-2</c:v>
                </c:pt>
                <c:pt idx="60">
                  <c:v>1.1044618033177373E-2</c:v>
                </c:pt>
                <c:pt idx="61">
                  <c:v>1.1044618033177373E-2</c:v>
                </c:pt>
                <c:pt idx="62">
                  <c:v>1.1044618033177373E-2</c:v>
                </c:pt>
                <c:pt idx="63">
                  <c:v>1.1044618033177373E-2</c:v>
                </c:pt>
                <c:pt idx="64">
                  <c:v>1.1044618033177373E-2</c:v>
                </c:pt>
                <c:pt idx="65">
                  <c:v>1.1044618033177373E-2</c:v>
                </c:pt>
                <c:pt idx="66">
                  <c:v>1.1044618033177373E-2</c:v>
                </c:pt>
                <c:pt idx="67">
                  <c:v>1.1044618033177373E-2</c:v>
                </c:pt>
                <c:pt idx="68">
                  <c:v>1.1044618033177373E-2</c:v>
                </c:pt>
                <c:pt idx="69">
                  <c:v>1.1044618033177373E-2</c:v>
                </c:pt>
                <c:pt idx="70">
                  <c:v>1.1044618033177373E-2</c:v>
                </c:pt>
                <c:pt idx="71">
                  <c:v>1.1044618033177373E-2</c:v>
                </c:pt>
                <c:pt idx="72">
                  <c:v>1.1044618033177373E-2</c:v>
                </c:pt>
                <c:pt idx="73">
                  <c:v>1.1044618033177373E-2</c:v>
                </c:pt>
                <c:pt idx="74">
                  <c:v>1.1044618033177373E-2</c:v>
                </c:pt>
                <c:pt idx="75">
                  <c:v>1.1044618033177373E-2</c:v>
                </c:pt>
                <c:pt idx="76">
                  <c:v>1.1044618033177373E-2</c:v>
                </c:pt>
                <c:pt idx="77">
                  <c:v>1.1044618033177373E-2</c:v>
                </c:pt>
                <c:pt idx="78">
                  <c:v>1.1044618033177373E-2</c:v>
                </c:pt>
                <c:pt idx="79">
                  <c:v>1.1044618033177373E-2</c:v>
                </c:pt>
                <c:pt idx="80">
                  <c:v>1.1044618033177373E-2</c:v>
                </c:pt>
                <c:pt idx="81">
                  <c:v>1.1044618033177373E-2</c:v>
                </c:pt>
                <c:pt idx="82">
                  <c:v>1.1044618033177373E-2</c:v>
                </c:pt>
                <c:pt idx="83">
                  <c:v>1.1044618033177373E-2</c:v>
                </c:pt>
                <c:pt idx="84">
                  <c:v>1.1044618033177373E-2</c:v>
                </c:pt>
                <c:pt idx="85">
                  <c:v>1.1044618033177373E-2</c:v>
                </c:pt>
                <c:pt idx="86">
                  <c:v>1.1044618033177373E-2</c:v>
                </c:pt>
                <c:pt idx="87">
                  <c:v>1.1044618033177373E-2</c:v>
                </c:pt>
                <c:pt idx="88">
                  <c:v>1.1044618033177373E-2</c:v>
                </c:pt>
                <c:pt idx="89">
                  <c:v>1.1044618033177373E-2</c:v>
                </c:pt>
                <c:pt idx="90">
                  <c:v>1.1044618033177373E-2</c:v>
                </c:pt>
                <c:pt idx="91">
                  <c:v>1.1044618033177373E-2</c:v>
                </c:pt>
                <c:pt idx="92">
                  <c:v>1.1044618033177373E-2</c:v>
                </c:pt>
                <c:pt idx="93">
                  <c:v>1.1044618033177373E-2</c:v>
                </c:pt>
                <c:pt idx="94">
                  <c:v>1.1044618033177373E-2</c:v>
                </c:pt>
                <c:pt idx="95">
                  <c:v>1.1044618033177373E-2</c:v>
                </c:pt>
                <c:pt idx="96">
                  <c:v>1.1044618033177373E-2</c:v>
                </c:pt>
                <c:pt idx="97">
                  <c:v>1.1044618033177373E-2</c:v>
                </c:pt>
                <c:pt idx="98">
                  <c:v>1.1044618033177373E-2</c:v>
                </c:pt>
                <c:pt idx="99">
                  <c:v>1.1044618033177373E-2</c:v>
                </c:pt>
                <c:pt idx="100">
                  <c:v>1.1044618033177373E-2</c:v>
                </c:pt>
                <c:pt idx="101">
                  <c:v>1.1044618033177373E-2</c:v>
                </c:pt>
                <c:pt idx="102">
                  <c:v>1.1044618033177373E-2</c:v>
                </c:pt>
                <c:pt idx="103">
                  <c:v>1.1044618033177373E-2</c:v>
                </c:pt>
                <c:pt idx="104">
                  <c:v>1.1044618033177373E-2</c:v>
                </c:pt>
                <c:pt idx="105">
                  <c:v>1.1044618033177373E-2</c:v>
                </c:pt>
                <c:pt idx="106">
                  <c:v>1.1044618033177373E-2</c:v>
                </c:pt>
                <c:pt idx="107">
                  <c:v>1.1044618033177373E-2</c:v>
                </c:pt>
                <c:pt idx="108">
                  <c:v>1.4380019370490554E-2</c:v>
                </c:pt>
                <c:pt idx="109">
                  <c:v>1.4380019370490554E-2</c:v>
                </c:pt>
                <c:pt idx="110">
                  <c:v>1.4380019370490554E-2</c:v>
                </c:pt>
                <c:pt idx="111">
                  <c:v>1.4380019370490554E-2</c:v>
                </c:pt>
                <c:pt idx="112">
                  <c:v>1.4773607209856605E-2</c:v>
                </c:pt>
                <c:pt idx="113">
                  <c:v>1.4294956952806605E-2</c:v>
                </c:pt>
                <c:pt idx="114">
                  <c:v>1.5579086591429467E-2</c:v>
                </c:pt>
                <c:pt idx="115">
                  <c:v>1.6018640867893646E-2</c:v>
                </c:pt>
                <c:pt idx="116">
                  <c:v>1.9996441817846045E-2</c:v>
                </c:pt>
                <c:pt idx="117">
                  <c:v>1.9996441817846045E-2</c:v>
                </c:pt>
                <c:pt idx="118">
                  <c:v>1.9996441817846045E-2</c:v>
                </c:pt>
                <c:pt idx="119">
                  <c:v>1.9996441817846045E-2</c:v>
                </c:pt>
                <c:pt idx="120">
                  <c:v>1.9996441817846045E-2</c:v>
                </c:pt>
                <c:pt idx="121">
                  <c:v>1.9996441817846045E-2</c:v>
                </c:pt>
                <c:pt idx="122">
                  <c:v>1.9641605696182843E-2</c:v>
                </c:pt>
                <c:pt idx="123">
                  <c:v>2.1798480755228743E-2</c:v>
                </c:pt>
                <c:pt idx="124">
                  <c:v>1.6933748972931394E-2</c:v>
                </c:pt>
                <c:pt idx="125">
                  <c:v>1.6933748972931394E-2</c:v>
                </c:pt>
                <c:pt idx="126">
                  <c:v>1.4593842134356994E-2</c:v>
                </c:pt>
                <c:pt idx="127">
                  <c:v>1.5393886927251193E-2</c:v>
                </c:pt>
                <c:pt idx="128">
                  <c:v>1.6131080581748693E-2</c:v>
                </c:pt>
                <c:pt idx="129">
                  <c:v>1.6726154643626603E-2</c:v>
                </c:pt>
                <c:pt idx="130">
                  <c:v>1.4197861155556513E-2</c:v>
                </c:pt>
                <c:pt idx="131">
                  <c:v>1.5961160268846E-2</c:v>
                </c:pt>
                <c:pt idx="132">
                  <c:v>1.94114505485335E-2</c:v>
                </c:pt>
                <c:pt idx="133">
                  <c:v>1.94114505485335E-2</c:v>
                </c:pt>
                <c:pt idx="134">
                  <c:v>2.165896884963019E-2</c:v>
                </c:pt>
                <c:pt idx="135">
                  <c:v>2.165896884963019E-2</c:v>
                </c:pt>
                <c:pt idx="136">
                  <c:v>2.165896884963019E-2</c:v>
                </c:pt>
                <c:pt idx="137">
                  <c:v>2.165896884963019E-2</c:v>
                </c:pt>
                <c:pt idx="138">
                  <c:v>2.165896884963019E-2</c:v>
                </c:pt>
                <c:pt idx="139">
                  <c:v>2.165896884963019E-2</c:v>
                </c:pt>
                <c:pt idx="140">
                  <c:v>2.165896884963019E-2</c:v>
                </c:pt>
                <c:pt idx="141">
                  <c:v>2.165896884963019E-2</c:v>
                </c:pt>
                <c:pt idx="142">
                  <c:v>2.165896884963019E-2</c:v>
                </c:pt>
                <c:pt idx="143">
                  <c:v>2.165896884963019E-2</c:v>
                </c:pt>
                <c:pt idx="144">
                  <c:v>2.165896884963019E-2</c:v>
                </c:pt>
                <c:pt idx="145">
                  <c:v>2.165896884963019E-2</c:v>
                </c:pt>
                <c:pt idx="146">
                  <c:v>2.165896884963019E-2</c:v>
                </c:pt>
                <c:pt idx="147">
                  <c:v>2.165896884963019E-2</c:v>
                </c:pt>
                <c:pt idx="148">
                  <c:v>2.165896884963019E-2</c:v>
                </c:pt>
                <c:pt idx="149">
                  <c:v>2.165896884963019E-2</c:v>
                </c:pt>
                <c:pt idx="150">
                  <c:v>2.165896884963019E-2</c:v>
                </c:pt>
                <c:pt idx="151">
                  <c:v>2.165896884963019E-2</c:v>
                </c:pt>
                <c:pt idx="152">
                  <c:v>2.165896884963019E-2</c:v>
                </c:pt>
                <c:pt idx="153">
                  <c:v>2.165896884963019E-2</c:v>
                </c:pt>
                <c:pt idx="154">
                  <c:v>2.2441146477240492E-2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B-4B63-8C44-C9EC3E719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3.4385112415986994E-3</c:v>
                </c:pt>
                <c:pt idx="3">
                  <c:v>1.3943574559126988E-3</c:v>
                </c:pt>
                <c:pt idx="4">
                  <c:v>1.0674121281739959E-4</c:v>
                </c:pt>
                <c:pt idx="5">
                  <c:v>4.1787788822000996E-3</c:v>
                </c:pt>
                <c:pt idx="6">
                  <c:v>4.1787788822000996E-3</c:v>
                </c:pt>
                <c:pt idx="7">
                  <c:v>4.1787788822000996E-3</c:v>
                </c:pt>
                <c:pt idx="8">
                  <c:v>4.1787788822000996E-3</c:v>
                </c:pt>
                <c:pt idx="9">
                  <c:v>4.1787788822000996E-3</c:v>
                </c:pt>
                <c:pt idx="10">
                  <c:v>4.1787788822000996E-3</c:v>
                </c:pt>
                <c:pt idx="11">
                  <c:v>4.1787788822000996E-3</c:v>
                </c:pt>
                <c:pt idx="12">
                  <c:v>4.1787788822000996E-3</c:v>
                </c:pt>
                <c:pt idx="13">
                  <c:v>4.1787788822000996E-3</c:v>
                </c:pt>
                <c:pt idx="14">
                  <c:v>4.1787788822000996E-3</c:v>
                </c:pt>
                <c:pt idx="15">
                  <c:v>4.1787788822000996E-3</c:v>
                </c:pt>
                <c:pt idx="16">
                  <c:v>4.1787788822000996E-3</c:v>
                </c:pt>
                <c:pt idx="17">
                  <c:v>4.1787788822000996E-3</c:v>
                </c:pt>
                <c:pt idx="18">
                  <c:v>4.1787788822000996E-3</c:v>
                </c:pt>
                <c:pt idx="19">
                  <c:v>4.1787788822000996E-3</c:v>
                </c:pt>
                <c:pt idx="20">
                  <c:v>8.5207067177144012E-3</c:v>
                </c:pt>
                <c:pt idx="21">
                  <c:v>8.5207067177144012E-3</c:v>
                </c:pt>
                <c:pt idx="22">
                  <c:v>8.5207067177144012E-3</c:v>
                </c:pt>
                <c:pt idx="23">
                  <c:v>8.5207067177144012E-3</c:v>
                </c:pt>
                <c:pt idx="24">
                  <c:v>8.5207067177144012E-3</c:v>
                </c:pt>
                <c:pt idx="25">
                  <c:v>8.5207067177144012E-3</c:v>
                </c:pt>
                <c:pt idx="26">
                  <c:v>8.5207067177144012E-3</c:v>
                </c:pt>
                <c:pt idx="27">
                  <c:v>8.5207067177144012E-3</c:v>
                </c:pt>
                <c:pt idx="28">
                  <c:v>8.5207067177144012E-3</c:v>
                </c:pt>
                <c:pt idx="29">
                  <c:v>8.5207067177144012E-3</c:v>
                </c:pt>
                <c:pt idx="30">
                  <c:v>8.5207067177144012E-3</c:v>
                </c:pt>
                <c:pt idx="31">
                  <c:v>8.5207067177144012E-3</c:v>
                </c:pt>
                <c:pt idx="32">
                  <c:v>8.5207067177144012E-3</c:v>
                </c:pt>
                <c:pt idx="33">
                  <c:v>8.5207067177144012E-3</c:v>
                </c:pt>
                <c:pt idx="34">
                  <c:v>8.5207067177144012E-3</c:v>
                </c:pt>
                <c:pt idx="35">
                  <c:v>8.5207067177144012E-3</c:v>
                </c:pt>
                <c:pt idx="36">
                  <c:v>8.5207067177144012E-3</c:v>
                </c:pt>
                <c:pt idx="37">
                  <c:v>8.5207067177144012E-3</c:v>
                </c:pt>
                <c:pt idx="38">
                  <c:v>8.5207067177144012E-3</c:v>
                </c:pt>
                <c:pt idx="39">
                  <c:v>1.6811333356059461E-2</c:v>
                </c:pt>
                <c:pt idx="40">
                  <c:v>1.6811333356059461E-2</c:v>
                </c:pt>
                <c:pt idx="41">
                  <c:v>1.6811333356059461E-2</c:v>
                </c:pt>
                <c:pt idx="42">
                  <c:v>1.6811333356059461E-2</c:v>
                </c:pt>
                <c:pt idx="43">
                  <c:v>1.6811333356059461E-2</c:v>
                </c:pt>
                <c:pt idx="44">
                  <c:v>1.6811333356059461E-2</c:v>
                </c:pt>
                <c:pt idx="45">
                  <c:v>1.6811333356059461E-2</c:v>
                </c:pt>
                <c:pt idx="46">
                  <c:v>1.6811333356059461E-2</c:v>
                </c:pt>
                <c:pt idx="47">
                  <c:v>1.6811333356059461E-2</c:v>
                </c:pt>
                <c:pt idx="48">
                  <c:v>1.6811333356059461E-2</c:v>
                </c:pt>
                <c:pt idx="49">
                  <c:v>1.8132397656742023E-2</c:v>
                </c:pt>
                <c:pt idx="50">
                  <c:v>2.0845999149800173E-2</c:v>
                </c:pt>
                <c:pt idx="51">
                  <c:v>2.0845999149800173E-2</c:v>
                </c:pt>
                <c:pt idx="52">
                  <c:v>2.4862041335606693E-2</c:v>
                </c:pt>
                <c:pt idx="53">
                  <c:v>2.4862041335606693E-2</c:v>
                </c:pt>
                <c:pt idx="54">
                  <c:v>2.4862041335606693E-2</c:v>
                </c:pt>
                <c:pt idx="55">
                  <c:v>2.4862041335606693E-2</c:v>
                </c:pt>
                <c:pt idx="56">
                  <c:v>2.4862041335606693E-2</c:v>
                </c:pt>
                <c:pt idx="57">
                  <c:v>2.7855951389236834E-2</c:v>
                </c:pt>
                <c:pt idx="58">
                  <c:v>2.7855951389236834E-2</c:v>
                </c:pt>
                <c:pt idx="59">
                  <c:v>2.7855951389236834E-2</c:v>
                </c:pt>
                <c:pt idx="60">
                  <c:v>2.7855951389236834E-2</c:v>
                </c:pt>
                <c:pt idx="61">
                  <c:v>2.7855951389236834E-2</c:v>
                </c:pt>
                <c:pt idx="62">
                  <c:v>2.7855951389236834E-2</c:v>
                </c:pt>
                <c:pt idx="63">
                  <c:v>2.7855951389236834E-2</c:v>
                </c:pt>
                <c:pt idx="64">
                  <c:v>3.1011124682952033E-2</c:v>
                </c:pt>
                <c:pt idx="65">
                  <c:v>3.1011124682952033E-2</c:v>
                </c:pt>
                <c:pt idx="66">
                  <c:v>3.3636209913482831E-2</c:v>
                </c:pt>
                <c:pt idx="67">
                  <c:v>3.3636209913482831E-2</c:v>
                </c:pt>
                <c:pt idx="68">
                  <c:v>3.3636209913482831E-2</c:v>
                </c:pt>
                <c:pt idx="69">
                  <c:v>3.3636209913482831E-2</c:v>
                </c:pt>
                <c:pt idx="70">
                  <c:v>3.3636209913482831E-2</c:v>
                </c:pt>
                <c:pt idx="71">
                  <c:v>3.3636209913482831E-2</c:v>
                </c:pt>
                <c:pt idx="72">
                  <c:v>3.3636209913482831E-2</c:v>
                </c:pt>
                <c:pt idx="73">
                  <c:v>3.3556854589259333E-2</c:v>
                </c:pt>
                <c:pt idx="74">
                  <c:v>3.5726165590536214E-2</c:v>
                </c:pt>
                <c:pt idx="75">
                  <c:v>3.5726165590536214E-2</c:v>
                </c:pt>
                <c:pt idx="76">
                  <c:v>3.5726165590536214E-2</c:v>
                </c:pt>
                <c:pt idx="77">
                  <c:v>3.5726165590536214E-2</c:v>
                </c:pt>
                <c:pt idx="78">
                  <c:v>3.5726165590536214E-2</c:v>
                </c:pt>
                <c:pt idx="79">
                  <c:v>3.6890316800315598E-2</c:v>
                </c:pt>
                <c:pt idx="80">
                  <c:v>4.0527257554541424E-2</c:v>
                </c:pt>
                <c:pt idx="81">
                  <c:v>4.0527257554541424E-2</c:v>
                </c:pt>
                <c:pt idx="82">
                  <c:v>4.0527257554541424E-2</c:v>
                </c:pt>
                <c:pt idx="83">
                  <c:v>4.0527257554541424E-2</c:v>
                </c:pt>
                <c:pt idx="84">
                  <c:v>4.0527257554541424E-2</c:v>
                </c:pt>
                <c:pt idx="85">
                  <c:v>4.0527257554541424E-2</c:v>
                </c:pt>
                <c:pt idx="86">
                  <c:v>4.0527257554541424E-2</c:v>
                </c:pt>
                <c:pt idx="87">
                  <c:v>4.0527257554541424E-2</c:v>
                </c:pt>
                <c:pt idx="88">
                  <c:v>4.0527257554541424E-2</c:v>
                </c:pt>
                <c:pt idx="89">
                  <c:v>4.0527257554541424E-2</c:v>
                </c:pt>
                <c:pt idx="90">
                  <c:v>4.0527257554541424E-2</c:v>
                </c:pt>
                <c:pt idx="91">
                  <c:v>4.0527257554541424E-2</c:v>
                </c:pt>
                <c:pt idx="92">
                  <c:v>4.0527257554541424E-2</c:v>
                </c:pt>
                <c:pt idx="93">
                  <c:v>4.0527257554541424E-2</c:v>
                </c:pt>
                <c:pt idx="94">
                  <c:v>4.0527257554541424E-2</c:v>
                </c:pt>
                <c:pt idx="95">
                  <c:v>4.0527257554541424E-2</c:v>
                </c:pt>
                <c:pt idx="96">
                  <c:v>4.0527257554541424E-2</c:v>
                </c:pt>
                <c:pt idx="97">
                  <c:v>4.0527257554541424E-2</c:v>
                </c:pt>
                <c:pt idx="98">
                  <c:v>4.0527257554541424E-2</c:v>
                </c:pt>
                <c:pt idx="99">
                  <c:v>4.0527257554541424E-2</c:v>
                </c:pt>
                <c:pt idx="100">
                  <c:v>4.0527257554541424E-2</c:v>
                </c:pt>
                <c:pt idx="101">
                  <c:v>4.0527257554541424E-2</c:v>
                </c:pt>
                <c:pt idx="102">
                  <c:v>3.9185477590943721E-2</c:v>
                </c:pt>
                <c:pt idx="103">
                  <c:v>3.9185477590943721E-2</c:v>
                </c:pt>
                <c:pt idx="104">
                  <c:v>4.2088580528682522E-2</c:v>
                </c:pt>
                <c:pt idx="105">
                  <c:v>4.2088580528682522E-2</c:v>
                </c:pt>
                <c:pt idx="106">
                  <c:v>4.2088580528682522E-2</c:v>
                </c:pt>
                <c:pt idx="107">
                  <c:v>4.2088580528682522E-2</c:v>
                </c:pt>
                <c:pt idx="108">
                  <c:v>4.5423981865995701E-2</c:v>
                </c:pt>
                <c:pt idx="109">
                  <c:v>4.5423981865995701E-2</c:v>
                </c:pt>
                <c:pt idx="110">
                  <c:v>4.5423981865995701E-2</c:v>
                </c:pt>
                <c:pt idx="111">
                  <c:v>4.5423981865995701E-2</c:v>
                </c:pt>
                <c:pt idx="112">
                  <c:v>4.5817569705361751E-2</c:v>
                </c:pt>
                <c:pt idx="113">
                  <c:v>4.5338919448311754E-2</c:v>
                </c:pt>
                <c:pt idx="114">
                  <c:v>4.6623049086934612E-2</c:v>
                </c:pt>
                <c:pt idx="115">
                  <c:v>4.7062603363398792E-2</c:v>
                </c:pt>
                <c:pt idx="116">
                  <c:v>5.104040431335119E-2</c:v>
                </c:pt>
                <c:pt idx="117">
                  <c:v>5.104040431335119E-2</c:v>
                </c:pt>
                <c:pt idx="118">
                  <c:v>5.104040431335119E-2</c:v>
                </c:pt>
                <c:pt idx="119">
                  <c:v>5.104040431335119E-2</c:v>
                </c:pt>
                <c:pt idx="120">
                  <c:v>5.104040431335119E-2</c:v>
                </c:pt>
                <c:pt idx="121">
                  <c:v>5.104040431335119E-2</c:v>
                </c:pt>
                <c:pt idx="122">
                  <c:v>5.0685568191687985E-2</c:v>
                </c:pt>
                <c:pt idx="123">
                  <c:v>5.2842443250733881E-2</c:v>
                </c:pt>
                <c:pt idx="124">
                  <c:v>4.7977711468436532E-2</c:v>
                </c:pt>
                <c:pt idx="125">
                  <c:v>4.7977711468436532E-2</c:v>
                </c:pt>
                <c:pt idx="126">
                  <c:v>4.5637804629862132E-2</c:v>
                </c:pt>
                <c:pt idx="127">
                  <c:v>4.6437849422756333E-2</c:v>
                </c:pt>
                <c:pt idx="128">
                  <c:v>4.7175043077253835E-2</c:v>
                </c:pt>
                <c:pt idx="129">
                  <c:v>4.7770117139131749E-2</c:v>
                </c:pt>
                <c:pt idx="130">
                  <c:v>4.5241823651061656E-2</c:v>
                </c:pt>
                <c:pt idx="131">
                  <c:v>4.7005122764351141E-2</c:v>
                </c:pt>
                <c:pt idx="132">
                  <c:v>5.0455413044038638E-2</c:v>
                </c:pt>
                <c:pt idx="133">
                  <c:v>5.0455413044038638E-2</c:v>
                </c:pt>
                <c:pt idx="134">
                  <c:v>5.2702931345135332E-2</c:v>
                </c:pt>
                <c:pt idx="135">
                  <c:v>5.2702931345135332E-2</c:v>
                </c:pt>
                <c:pt idx="136">
                  <c:v>5.2702931345135332E-2</c:v>
                </c:pt>
                <c:pt idx="137">
                  <c:v>5.2702931345135332E-2</c:v>
                </c:pt>
                <c:pt idx="138">
                  <c:v>5.2702931345135332E-2</c:v>
                </c:pt>
                <c:pt idx="139">
                  <c:v>5.2702931345135332E-2</c:v>
                </c:pt>
                <c:pt idx="140">
                  <c:v>5.2702931345135332E-2</c:v>
                </c:pt>
                <c:pt idx="141">
                  <c:v>5.2702931345135332E-2</c:v>
                </c:pt>
                <c:pt idx="142">
                  <c:v>5.2702931345135332E-2</c:v>
                </c:pt>
                <c:pt idx="143">
                  <c:v>5.2702931345135332E-2</c:v>
                </c:pt>
                <c:pt idx="144">
                  <c:v>5.2702931345135332E-2</c:v>
                </c:pt>
                <c:pt idx="145">
                  <c:v>5.2702931345135332E-2</c:v>
                </c:pt>
                <c:pt idx="146">
                  <c:v>5.2702931345135332E-2</c:v>
                </c:pt>
                <c:pt idx="147">
                  <c:v>5.2702931345135332E-2</c:v>
                </c:pt>
                <c:pt idx="148">
                  <c:v>5.2702931345135332E-2</c:v>
                </c:pt>
                <c:pt idx="149">
                  <c:v>5.2702931345135332E-2</c:v>
                </c:pt>
                <c:pt idx="150">
                  <c:v>5.2702931345135332E-2</c:v>
                </c:pt>
                <c:pt idx="151">
                  <c:v>5.2702931345135332E-2</c:v>
                </c:pt>
                <c:pt idx="152">
                  <c:v>5.2702931345135332E-2</c:v>
                </c:pt>
                <c:pt idx="153">
                  <c:v>5.2702931345135332E-2</c:v>
                </c:pt>
                <c:pt idx="154">
                  <c:v>5.3485108972745631E-2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7B-4D65-B627-CD635A42F6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D45A2A-FCDA-486A-B6F7-3ADA2FC09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21E0D4-4FC1-43EC-A488-E13D49E92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4E4DBA6-DF6F-421C-B27A-1EF91C776A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E3DCC7-17E4-44B4-9417-04FA8AAB9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12293AF-27A1-4B49-A10D-122379AE4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0F38CE-F454-48AE-873C-2316B43BB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B9031B6-7944-4E2B-9DD4-F96CD23EC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WX_IGOV_2.xlsx" TargetMode="External"/><Relationship Id="rId1" Type="http://schemas.openxmlformats.org/officeDocument/2006/relationships/externalLinkPath" Target="BWX_IGOV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IGOV/BWX avg</v>
          </cell>
          <cell r="P1" t="str">
            <v>IGOV/BWX 10 dma</v>
          </cell>
          <cell r="Q1" t="str">
            <v>IGOV/BWX 20 dma</v>
          </cell>
          <cell r="U1" t="str">
            <v>log diff BWX x avg / IGOV</v>
          </cell>
          <cell r="V1" t="str">
            <v>log diff BWX x 10 dma / IGOV</v>
          </cell>
          <cell r="W1" t="str">
            <v>log diff BWX x 20 dma / IGOV</v>
          </cell>
          <cell r="Y1" t="str">
            <v>IGOV*/BWX* avg</v>
          </cell>
          <cell r="Z1" t="str">
            <v>IGOV*/BWX* 10 dma</v>
          </cell>
          <cell r="AA1" t="str">
            <v>IGOV*/BWX* 20 dma</v>
          </cell>
          <cell r="AF1" t="str">
            <v>log diff BWX* x 10 dma / IGOV*</v>
          </cell>
          <cell r="AG1" t="str">
            <v>log diff BWX* x 20 dma / IGOV*</v>
          </cell>
        </row>
        <row r="2">
          <cell r="O2">
            <v>1.8789764613078801</v>
          </cell>
          <cell r="Y2">
            <v>1.8652915884207499</v>
          </cell>
        </row>
        <row r="3">
          <cell r="O3">
            <v>1.8789764613078801</v>
          </cell>
          <cell r="U3">
            <v>1.3910701776548601E-2</v>
          </cell>
          <cell r="Y3">
            <v>1.8652915884207499</v>
          </cell>
        </row>
        <row r="4">
          <cell r="O4">
            <v>1.8789764613078801</v>
          </cell>
          <cell r="U4">
            <v>1.3091926241305001E-2</v>
          </cell>
          <cell r="Y4">
            <v>1.8652915884207499</v>
          </cell>
        </row>
        <row r="5">
          <cell r="O5">
            <v>1.8789764613078801</v>
          </cell>
          <cell r="U5">
            <v>1.32968302749886E-2</v>
          </cell>
          <cell r="Y5">
            <v>1.8652915884207499</v>
          </cell>
        </row>
        <row r="6">
          <cell r="O6">
            <v>1.8789764613078801</v>
          </cell>
          <cell r="U6">
            <v>1.4639054032237401E-2</v>
          </cell>
          <cell r="Y6">
            <v>1.8652915884207499</v>
          </cell>
        </row>
        <row r="7">
          <cell r="O7">
            <v>1.8789764613078801</v>
          </cell>
          <cell r="U7">
            <v>1.24441024177265E-2</v>
          </cell>
          <cell r="Y7">
            <v>1.8652915884207499</v>
          </cell>
        </row>
        <row r="8">
          <cell r="O8">
            <v>1.8789764613078801</v>
          </cell>
          <cell r="U8">
            <v>1.13109818703104E-2</v>
          </cell>
          <cell r="Y8">
            <v>1.8652915884207499</v>
          </cell>
        </row>
        <row r="9">
          <cell r="O9">
            <v>1.8789764613078801</v>
          </cell>
          <cell r="U9">
            <v>1.0001440512620301E-2</v>
          </cell>
          <cell r="Y9">
            <v>1.8652915884207499</v>
          </cell>
        </row>
        <row r="10">
          <cell r="O10">
            <v>1.8789764613078801</v>
          </cell>
          <cell r="U10">
            <v>1.0486783356662701E-2</v>
          </cell>
          <cell r="Y10">
            <v>1.8652915884207499</v>
          </cell>
        </row>
        <row r="11">
          <cell r="O11">
            <v>1.8789764613078801</v>
          </cell>
          <cell r="P11">
            <v>1.8557368508146399</v>
          </cell>
          <cell r="U11">
            <v>1.0035091763997001E-2</v>
          </cell>
          <cell r="Y11">
            <v>1.8652915884207499</v>
          </cell>
          <cell r="Z11">
            <v>1.8557368508146399</v>
          </cell>
        </row>
        <row r="12">
          <cell r="O12">
            <v>1.8789764613078801</v>
          </cell>
          <cell r="P12">
            <v>1.85649367594041</v>
          </cell>
          <cell r="U12">
            <v>1.1171624684627301E-2</v>
          </cell>
          <cell r="V12">
            <v>-1.27372707828626E-3</v>
          </cell>
          <cell r="Y12">
            <v>1.8652915884207499</v>
          </cell>
          <cell r="Z12">
            <v>1.85649367594041</v>
          </cell>
          <cell r="AF12">
            <v>-1.27372707828626E-3</v>
          </cell>
        </row>
        <row r="13">
          <cell r="O13">
            <v>1.8789764613078801</v>
          </cell>
          <cell r="P13">
            <v>1.85766731549372</v>
          </cell>
          <cell r="U13">
            <v>7.5970152138183202E-3</v>
          </cell>
          <cell r="V13">
            <v>-4.4405897075148202E-3</v>
          </cell>
          <cell r="Y13">
            <v>1.8652915884207499</v>
          </cell>
          <cell r="Z13">
            <v>1.85766731549372</v>
          </cell>
          <cell r="AF13">
            <v>-4.4405897075148202E-3</v>
          </cell>
        </row>
        <row r="14">
          <cell r="O14">
            <v>1.8789764613078801</v>
          </cell>
          <cell r="P14">
            <v>1.85872791575648</v>
          </cell>
          <cell r="U14">
            <v>7.3892694147461796E-3</v>
          </cell>
          <cell r="V14">
            <v>-4.0163545046395599E-3</v>
          </cell>
          <cell r="Y14">
            <v>1.8652915884207499</v>
          </cell>
          <cell r="Z14">
            <v>1.85872791575648</v>
          </cell>
          <cell r="AF14">
            <v>-4.0163545046395599E-3</v>
          </cell>
        </row>
        <row r="15">
          <cell r="O15">
            <v>1.8789764613078801</v>
          </cell>
          <cell r="P15">
            <v>1.8596879545903999</v>
          </cell>
          <cell r="U15">
            <v>8.1324254009638094E-3</v>
          </cell>
          <cell r="V15">
            <v>-2.7024302198121498E-3</v>
          </cell>
          <cell r="Y15">
            <v>1.8652915884207499</v>
          </cell>
          <cell r="Z15">
            <v>1.8596879545903999</v>
          </cell>
          <cell r="AF15">
            <v>-2.7024302198121498E-3</v>
          </cell>
        </row>
        <row r="16">
          <cell r="O16">
            <v>1.8789764613078801</v>
          </cell>
          <cell r="P16">
            <v>1.86065165877796</v>
          </cell>
          <cell r="U16">
            <v>9.4480380674593304E-3</v>
          </cell>
          <cell r="V16">
            <v>-8.7044773954220395E-4</v>
          </cell>
          <cell r="Y16">
            <v>1.8652915884207499</v>
          </cell>
          <cell r="Z16">
            <v>1.86065165877796</v>
          </cell>
          <cell r="AF16">
            <v>-8.7044773954220395E-4</v>
          </cell>
        </row>
        <row r="17">
          <cell r="O17">
            <v>1.8789764613078801</v>
          </cell>
          <cell r="P17">
            <v>1.86100496675212</v>
          </cell>
          <cell r="U17">
            <v>1.0542045918317601E-2</v>
          </cell>
          <cell r="V17">
            <v>7.4163335691231102E-4</v>
          </cell>
          <cell r="Y17">
            <v>1.8652915884207499</v>
          </cell>
          <cell r="Z17">
            <v>1.86100496675212</v>
          </cell>
          <cell r="AF17">
            <v>7.4163335691231102E-4</v>
          </cell>
        </row>
        <row r="18">
          <cell r="O18">
            <v>1.8789764613078801</v>
          </cell>
          <cell r="P18">
            <v>1.8614619724710699</v>
          </cell>
          <cell r="U18">
            <v>8.8541299327772899E-3</v>
          </cell>
          <cell r="V18">
            <v>-7.5641665722286304E-4</v>
          </cell>
          <cell r="Y18">
            <v>1.8652915884207499</v>
          </cell>
          <cell r="Z18">
            <v>1.8614619724710699</v>
          </cell>
          <cell r="AF18">
            <v>-7.5641665722286304E-4</v>
          </cell>
        </row>
        <row r="19">
          <cell r="O19">
            <v>1.8789764613078801</v>
          </cell>
          <cell r="P19">
            <v>1.8612976260107299</v>
          </cell>
          <cell r="U19">
            <v>1.08852822276767E-2</v>
          </cell>
          <cell r="V19">
            <v>1.52027480764704E-3</v>
          </cell>
          <cell r="Y19">
            <v>1.8652915884207499</v>
          </cell>
          <cell r="Z19">
            <v>1.8612976260107299</v>
          </cell>
          <cell r="AF19">
            <v>1.52027480764704E-3</v>
          </cell>
        </row>
        <row r="20">
          <cell r="O20">
            <v>1.8789764613078801</v>
          </cell>
          <cell r="P20">
            <v>1.86170201378803</v>
          </cell>
          <cell r="U20">
            <v>8.3142863040622898E-3</v>
          </cell>
          <cell r="V20">
            <v>-1.1390139299920299E-3</v>
          </cell>
          <cell r="Y20">
            <v>1.8652915884207499</v>
          </cell>
          <cell r="Z20">
            <v>1.86170201378803</v>
          </cell>
          <cell r="AF20">
            <v>-1.1390139299920299E-3</v>
          </cell>
        </row>
        <row r="21">
          <cell r="O21">
            <v>1.8789764613078801</v>
          </cell>
          <cell r="P21">
            <v>1.8613635206708801</v>
          </cell>
          <cell r="Q21">
            <v>1.85855018574276</v>
          </cell>
          <cell r="U21">
            <v>1.18563944098302E-2</v>
          </cell>
          <cell r="V21">
            <v>2.6203317895335202E-3</v>
          </cell>
          <cell r="Y21">
            <v>1.8652915884207499</v>
          </cell>
          <cell r="Z21">
            <v>1.8613635206708801</v>
          </cell>
          <cell r="AA21">
            <v>1.85855018574276</v>
          </cell>
          <cell r="AF21">
            <v>2.6203317895335202E-3</v>
          </cell>
        </row>
        <row r="22">
          <cell r="O22">
            <v>1.8789764613078801</v>
          </cell>
          <cell r="P22">
            <v>1.8616264747445701</v>
          </cell>
          <cell r="Q22">
            <v>1.85906007534249</v>
          </cell>
          <cell r="U22">
            <v>9.7574494800959297E-3</v>
          </cell>
          <cell r="V22">
            <v>3.39551157499918E-4</v>
          </cell>
          <cell r="W22">
            <v>-1.17302987880476E-3</v>
          </cell>
          <cell r="Y22">
            <v>1.8652915884207499</v>
          </cell>
          <cell r="Z22">
            <v>1.8613132453508101</v>
          </cell>
          <cell r="AA22">
            <v>1.8589034606456101</v>
          </cell>
          <cell r="AF22">
            <v>2.0243364861359798E-3</v>
          </cell>
          <cell r="AG22">
            <v>5.1175544983125603E-4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1.8789764613078801</v>
          </cell>
          <cell r="P23">
            <v>1.86184691661471</v>
          </cell>
          <cell r="Q23">
            <v>1.8597571160542199</v>
          </cell>
          <cell r="U23">
            <v>6.4155647557239898E-3</v>
          </cell>
          <cell r="V23">
            <v>-2.8610739478840798E-3</v>
          </cell>
          <cell r="W23">
            <v>-4.2406041902424496E-3</v>
          </cell>
          <cell r="Y23">
            <v>1.8652915884207499</v>
          </cell>
          <cell r="Z23">
            <v>1.8612195475150899</v>
          </cell>
          <cell r="AA23">
            <v>1.8594434315043999</v>
          </cell>
          <cell r="AF23">
            <v>-1.3453001162389601E-3</v>
          </cell>
          <cell r="AG23">
            <v>-2.6408080033759902E-3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1.8789764613078801</v>
          </cell>
          <cell r="P24">
            <v>1.86203752669361</v>
          </cell>
          <cell r="Q24">
            <v>1.8603827212250501</v>
          </cell>
          <cell r="U24">
            <v>6.3678318648036497E-3</v>
          </cell>
          <cell r="V24">
            <v>-2.7904002612711902E-3</v>
          </cell>
          <cell r="W24">
            <v>-3.9134648118256503E-3</v>
          </cell>
          <cell r="Y24">
            <v>1.8652915884207499</v>
          </cell>
          <cell r="Z24">
            <v>1.86109517173211</v>
          </cell>
          <cell r="AA24">
            <v>1.8599115437442899</v>
          </cell>
          <cell r="AF24">
            <v>-1.4389146649413801E-3</v>
          </cell>
          <cell r="AG24">
            <v>-2.3936456661687298E-3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1.8789764613078801</v>
          </cell>
          <cell r="P25">
            <v>1.8619691680253601</v>
          </cell>
          <cell r="Q25">
            <v>1.8608285613078801</v>
          </cell>
          <cell r="U25">
            <v>8.4992713928736894E-3</v>
          </cell>
          <cell r="V25">
            <v>-5.5658909306481195E-4</v>
          </cell>
          <cell r="W25">
            <v>-1.4456910575742299E-3</v>
          </cell>
          <cell r="Y25">
            <v>1.8652915884207499</v>
          </cell>
          <cell r="Z25">
            <v>1.8607124978603</v>
          </cell>
          <cell r="AA25">
            <v>1.8602002262253501</v>
          </cell>
          <cell r="AF25">
            <v>6.2569774484027803E-4</v>
          </cell>
          <cell r="AG25">
            <v>-1.0489243380688399E-5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1.8789764613078801</v>
          </cell>
          <cell r="P26">
            <v>1.8626109127483801</v>
          </cell>
          <cell r="Q26">
            <v>1.8616312857631701</v>
          </cell>
          <cell r="U26">
            <v>6.0061512348656299E-3</v>
          </cell>
          <cell r="V26">
            <v>-3.0864216814567502E-3</v>
          </cell>
          <cell r="W26">
            <v>-3.6991902690060399E-3</v>
          </cell>
          <cell r="Y26">
            <v>1.8652915884207499</v>
          </cell>
          <cell r="Z26">
            <v>1.8610396975722101</v>
          </cell>
          <cell r="AA26">
            <v>1.8608456781750899</v>
          </cell>
          <cell r="AF26">
            <v>-2.0760365792160699E-3</v>
          </cell>
          <cell r="AG26">
            <v>-2.3513838803597901E-3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1.8789764613078801</v>
          </cell>
          <cell r="P27">
            <v>1.86371829143878</v>
          </cell>
          <cell r="Q27">
            <v>1.8623616290954501</v>
          </cell>
          <cell r="U27">
            <v>4.6037334156454196E-3</v>
          </cell>
          <cell r="V27">
            <v>-4.1442397254271802E-3</v>
          </cell>
          <cell r="W27">
            <v>-4.6703209820081297E-3</v>
          </cell>
          <cell r="Y27">
            <v>1.8652915884207499</v>
          </cell>
          <cell r="Z27">
            <v>1.8618341559121701</v>
          </cell>
          <cell r="AA27">
            <v>1.86141956133214</v>
          </cell>
          <cell r="AF27">
            <v>-3.31368855312763E-3</v>
          </cell>
          <cell r="AG27">
            <v>-3.4179472165288701E-3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1.8789764613078801</v>
          </cell>
          <cell r="P28">
            <v>1.86408839807371</v>
          </cell>
          <cell r="Q28">
            <v>1.8627751852723899</v>
          </cell>
          <cell r="U28">
            <v>6.8688595496077904E-3</v>
          </cell>
          <cell r="V28">
            <v>-1.28475991935192E-3</v>
          </cell>
          <cell r="W28">
            <v>-2.0129581503162699E-3</v>
          </cell>
          <cell r="Y28">
            <v>1.8652915884207499</v>
          </cell>
          <cell r="Z28">
            <v>1.8618934095194</v>
          </cell>
          <cell r="AA28">
            <v>1.8616776909952399</v>
          </cell>
          <cell r="AF28">
            <v>-6.2906040473782396E-4</v>
          </cell>
          <cell r="AG28">
            <v>-8.5176592696367605E-4</v>
          </cell>
          <cell r="AR28">
            <v>2.2651261339626198E-3</v>
          </cell>
          <cell r="BC28">
            <v>0</v>
          </cell>
          <cell r="BF28">
            <v>2.2651261339626198E-3</v>
          </cell>
        </row>
        <row r="29">
          <cell r="O29">
            <v>1.8789764613078801</v>
          </cell>
          <cell r="P29">
            <v>1.8648161851167</v>
          </cell>
          <cell r="Q29">
            <v>1.8630569055637201</v>
          </cell>
          <cell r="U29">
            <v>6.9772197640961802E-3</v>
          </cell>
          <cell r="V29">
            <v>-9.7783434621163999E-4</v>
          </cell>
          <cell r="W29">
            <v>-1.68256250505116E-3</v>
          </cell>
          <cell r="Y29">
            <v>1.8652915884207499</v>
          </cell>
          <cell r="Z29">
            <v>1.8623109175783099</v>
          </cell>
          <cell r="AA29">
            <v>1.86180427179452</v>
          </cell>
          <cell r="AF29">
            <v>-4.9177609315278201E-4</v>
          </cell>
          <cell r="AG29">
            <v>-6.0764256573229102E-4</v>
          </cell>
          <cell r="AR29">
            <v>2.2651261339626198E-3</v>
          </cell>
          <cell r="BC29">
            <v>0</v>
          </cell>
          <cell r="BF29">
            <v>2.2651261339626198E-3</v>
          </cell>
        </row>
        <row r="30">
          <cell r="O30">
            <v>1.8789764613078801</v>
          </cell>
          <cell r="P30">
            <v>1.86458540845052</v>
          </cell>
          <cell r="Q30">
            <v>1.8631437111192699</v>
          </cell>
          <cell r="U30">
            <v>9.5535121736639202E-3</v>
          </cell>
          <cell r="V30">
            <v>1.9888070444028698E-3</v>
          </cell>
          <cell r="W30">
            <v>1.0449553408736301E-3</v>
          </cell>
          <cell r="Y30">
            <v>1.8652915884207499</v>
          </cell>
          <cell r="Z30">
            <v>1.8617715989721699</v>
          </cell>
          <cell r="AA30">
            <v>1.8617368063801001</v>
          </cell>
          <cell r="AF30">
            <v>2.3036774420531199E-3</v>
          </cell>
          <cell r="AG30">
            <v>2.0315882282944801E-3</v>
          </cell>
          <cell r="AR30">
            <v>2.2651261339626198E-3</v>
          </cell>
          <cell r="BC30">
            <v>0</v>
          </cell>
          <cell r="BF30">
            <v>2.2651261339626198E-3</v>
          </cell>
        </row>
        <row r="31">
          <cell r="O31">
            <v>1.8789764613078801</v>
          </cell>
          <cell r="P31">
            <v>1.8649509230544099</v>
          </cell>
          <cell r="Q31">
            <v>1.86315722186264</v>
          </cell>
          <cell r="U31">
            <v>9.889842297784E-3</v>
          </cell>
          <cell r="V31">
            <v>2.20137647357605E-3</v>
          </cell>
          <cell r="W31">
            <v>1.42787745748215E-3</v>
          </cell>
          <cell r="Y31">
            <v>1.8652915884207499</v>
          </cell>
          <cell r="Z31">
            <v>1.8618292090608499</v>
          </cell>
          <cell r="AA31">
            <v>1.86159636486587</v>
          </cell>
          <cell r="AF31">
            <v>2.3474959824562E-3</v>
          </cell>
          <cell r="AG31">
            <v>2.3288079128805398E-3</v>
          </cell>
          <cell r="AR31">
            <v>2.2651261339626198E-3</v>
          </cell>
          <cell r="BC31">
            <v>-3.363301241200399E-4</v>
          </cell>
          <cell r="BF31">
            <v>1.9287960098425799E-3</v>
          </cell>
        </row>
        <row r="32">
          <cell r="O32">
            <v>1.8789764613078801</v>
          </cell>
          <cell r="P32">
            <v>1.8651369741687001</v>
          </cell>
          <cell r="Q32">
            <v>1.86338172445663</v>
          </cell>
          <cell r="U32">
            <v>8.7580675072786197E-3</v>
          </cell>
          <cell r="V32">
            <v>1.2656124321673401E-3</v>
          </cell>
          <cell r="W32">
            <v>3.0335422481592898E-4</v>
          </cell>
          <cell r="Y32">
            <v>1.8652915884207499</v>
          </cell>
          <cell r="Z32">
            <v>1.86202010298261</v>
          </cell>
          <cell r="AA32">
            <v>1.8616666741667101</v>
          </cell>
          <cell r="AF32">
            <v>1.2473817742622499E-3</v>
          </cell>
          <cell r="AG32">
            <v>1.1223118940311601E-3</v>
          </cell>
          <cell r="AR32">
            <v>2.2651261339626198E-3</v>
          </cell>
          <cell r="BC32">
            <v>7.9544466638522908E-4</v>
          </cell>
          <cell r="BF32">
            <v>3.0605708003478491E-3</v>
          </cell>
        </row>
        <row r="33">
          <cell r="O33">
            <v>1.8789764613078801</v>
          </cell>
          <cell r="P33">
            <v>1.8645290331261499</v>
          </cell>
          <cell r="Q33">
            <v>1.8631879748704301</v>
          </cell>
          <cell r="U33">
            <v>9.6771927784246592E-3</v>
          </cell>
          <cell r="V33">
            <v>2.2844946632414702E-3</v>
          </cell>
          <cell r="W33">
            <v>1.3429680229808099E-3</v>
          </cell>
          <cell r="Y33">
            <v>1.8652915884207499</v>
          </cell>
          <cell r="Z33">
            <v>1.8614163203724601</v>
          </cell>
          <cell r="AA33">
            <v>1.86131793394377</v>
          </cell>
          <cell r="AF33">
            <v>2.2791408949891902E-3</v>
          </cell>
          <cell r="AG33">
            <v>2.0893135340368401E-3</v>
          </cell>
          <cell r="AR33">
            <v>2.2651261339626198E-3</v>
          </cell>
          <cell r="BC33">
            <v>-1.2368060476064036E-4</v>
          </cell>
          <cell r="BF33">
            <v>2.1414455292019796E-3</v>
          </cell>
        </row>
        <row r="34">
          <cell r="O34">
            <v>1.8789764613078801</v>
          </cell>
          <cell r="P34">
            <v>1.8639933705973999</v>
          </cell>
          <cell r="Q34">
            <v>1.8630154486455099</v>
          </cell>
          <cell r="U34">
            <v>9.2409877551505298E-3</v>
          </cell>
          <cell r="V34">
            <v>1.52228669667522E-3</v>
          </cell>
          <cell r="W34">
            <v>8.0278019406476698E-4</v>
          </cell>
          <cell r="Y34">
            <v>1.8652915884207499</v>
          </cell>
          <cell r="Z34">
            <v>1.86088539210883</v>
          </cell>
          <cell r="AA34">
            <v>1.86099028192047</v>
          </cell>
          <cell r="AF34">
            <v>1.51934793299932E-3</v>
          </cell>
          <cell r="AG34">
            <v>1.4664908543107801E-3</v>
          </cell>
          <cell r="AR34">
            <v>2.2651261339626198E-3</v>
          </cell>
          <cell r="BC34">
            <v>3.1252441851356365E-4</v>
          </cell>
          <cell r="BF34">
            <v>2.5776505524761836E-3</v>
          </cell>
        </row>
        <row r="35">
          <cell r="O35">
            <v>1.8789764613078801</v>
          </cell>
          <cell r="P35">
            <v>1.8642101542021301</v>
          </cell>
          <cell r="Q35">
            <v>1.86308966111374</v>
          </cell>
          <cell r="U35">
            <v>7.3363677395159596E-3</v>
          </cell>
          <cell r="V35">
            <v>-6.6966565838835399E-4</v>
          </cell>
          <cell r="W35">
            <v>-1.19444143529746E-3</v>
          </cell>
          <cell r="Y35">
            <v>1.8652915884207499</v>
          </cell>
          <cell r="Z35">
            <v>1.8611057831818001</v>
          </cell>
          <cell r="AA35">
            <v>1.8609091405210501</v>
          </cell>
          <cell r="AF35">
            <v>-6.7126765895042799E-4</v>
          </cell>
          <cell r="AG35">
            <v>-6.1490370654973103E-4</v>
          </cell>
          <cell r="AR35">
            <v>2.2651261339626198E-3</v>
          </cell>
          <cell r="BC35">
            <v>2.2171444341479666E-3</v>
          </cell>
          <cell r="BF35">
            <v>4.4822705681105864E-3</v>
          </cell>
        </row>
        <row r="36">
          <cell r="O36">
            <v>1.8789764613078801</v>
          </cell>
          <cell r="P36">
            <v>1.86320773250556</v>
          </cell>
          <cell r="Q36">
            <v>1.86290932262697</v>
          </cell>
          <cell r="U36">
            <v>1.13876793896408E-2</v>
          </cell>
          <cell r="V36">
            <v>3.4979398601030199E-3</v>
          </cell>
          <cell r="W36">
            <v>2.8967040177195701E-3</v>
          </cell>
          <cell r="Y36">
            <v>1.8652915884207499</v>
          </cell>
          <cell r="Z36">
            <v>1.86011006334619</v>
          </cell>
          <cell r="AA36">
            <v>1.8605748804591999</v>
          </cell>
          <cell r="AF36">
            <v>3.4897982306035598E-3</v>
          </cell>
          <cell r="AG36">
            <v>3.3841336027268E-3</v>
          </cell>
          <cell r="AR36">
            <v>2.2651261339626198E-3</v>
          </cell>
          <cell r="BC36">
            <v>2.2171444341479666E-3</v>
          </cell>
          <cell r="BF36">
            <v>4.4822705681105864E-3</v>
          </cell>
        </row>
        <row r="37">
          <cell r="O37">
            <v>1.8789764613078801</v>
          </cell>
          <cell r="P37">
            <v>1.8620800449642601</v>
          </cell>
          <cell r="Q37">
            <v>1.8628991682015199</v>
          </cell>
          <cell r="U37">
            <v>1.06512819926086E-2</v>
          </cell>
          <cell r="V37">
            <v>2.2236785845362599E-3</v>
          </cell>
          <cell r="W37">
            <v>2.06350654763208E-3</v>
          </cell>
          <cell r="Y37">
            <v>1.8652915884207499</v>
          </cell>
          <cell r="Z37">
            <v>1.8589864235523601</v>
          </cell>
          <cell r="AA37">
            <v>1.8604102897322601</v>
          </cell>
          <cell r="AF37">
            <v>2.2225672780138198E-3</v>
          </cell>
          <cell r="AG37">
            <v>2.4724229483816299E-3</v>
          </cell>
          <cell r="AR37">
            <v>2.2651261339626198E-3</v>
          </cell>
          <cell r="BC37">
            <v>2.9535418311802866E-3</v>
          </cell>
          <cell r="BF37">
            <v>5.2186679651429063E-3</v>
          </cell>
        </row>
        <row r="38">
          <cell r="O38">
            <v>1.8789764613078801</v>
          </cell>
          <cell r="P38">
            <v>1.8617610470833199</v>
          </cell>
          <cell r="Q38">
            <v>1.8629247225785099</v>
          </cell>
          <cell r="U38">
            <v>8.5797453722750196E-3</v>
          </cell>
          <cell r="V38">
            <v>-4.5328110274725898E-4</v>
          </cell>
          <cell r="W38">
            <v>-1.34809301336635E-5</v>
          </cell>
          <cell r="Y38">
            <v>1.8652915884207499</v>
          </cell>
          <cell r="Z38">
            <v>1.8586686311278899</v>
          </cell>
          <cell r="AA38">
            <v>1.86028102032364</v>
          </cell>
          <cell r="AF38">
            <v>-4.5250054563515202E-4</v>
          </cell>
          <cell r="AG38">
            <v>3.1314311070068901E-4</v>
          </cell>
          <cell r="AR38">
            <v>2.2651261339626198E-3</v>
          </cell>
          <cell r="BC38">
            <v>5.0250784515139951E-3</v>
          </cell>
          <cell r="BF38">
            <v>7.2902045854766149E-3</v>
          </cell>
        </row>
        <row r="39">
          <cell r="O39">
            <v>1.8789764613078801</v>
          </cell>
          <cell r="P39">
            <v>1.8612749214925599</v>
          </cell>
          <cell r="Q39">
            <v>1.86304555330463</v>
          </cell>
          <cell r="U39">
            <v>9.5859168956830901E-3</v>
          </cell>
          <cell r="V39">
            <v>3.81563087493768E-4</v>
          </cell>
          <cell r="W39">
            <v>1.00640803013887E-3</v>
          </cell>
          <cell r="Y39">
            <v>1.8652915884207499</v>
          </cell>
          <cell r="Z39">
            <v>1.8581841188319299</v>
          </cell>
          <cell r="AA39">
            <v>1.8602475182051199</v>
          </cell>
          <cell r="AF39">
            <v>3.7909837816522599E-4</v>
          </cell>
          <cell r="AG39">
            <v>1.24621917726474E-3</v>
          </cell>
          <cell r="AR39">
            <v>2.2651261339626198E-3</v>
          </cell>
          <cell r="BC39">
            <v>4.0189069281060053E-3</v>
          </cell>
          <cell r="BF39">
            <v>6.284033062068625E-3</v>
          </cell>
        </row>
        <row r="40">
          <cell r="O40">
            <v>1.8789764613078801</v>
          </cell>
          <cell r="P40">
            <v>1.86183337182304</v>
          </cell>
          <cell r="Q40">
            <v>1.8632093901367801</v>
          </cell>
          <cell r="U40">
            <v>6.5573764329237196E-3</v>
          </cell>
          <cell r="V40">
            <v>-2.9081220956644598E-3</v>
          </cell>
          <cell r="W40">
            <v>-1.95727376912555E-3</v>
          </cell>
          <cell r="Y40">
            <v>1.8652915884207499</v>
          </cell>
          <cell r="Z40">
            <v>1.85874150918958</v>
          </cell>
          <cell r="AA40">
            <v>1.86025655408088</v>
          </cell>
          <cell r="AF40">
            <v>-2.9101531384289601E-3</v>
          </cell>
          <cell r="AG40">
            <v>-1.8003306184045499E-3</v>
          </cell>
          <cell r="AR40">
            <v>2.2651261339626198E-3</v>
          </cell>
          <cell r="BC40">
            <v>7.0474473908652153E-3</v>
          </cell>
          <cell r="BF40">
            <v>9.312573524827835E-3</v>
          </cell>
        </row>
        <row r="41">
          <cell r="O41">
            <v>1.8789764613078801</v>
          </cell>
          <cell r="P41">
            <v>1.86280069003038</v>
          </cell>
          <cell r="Q41">
            <v>1.8638758065423899</v>
          </cell>
          <cell r="U41">
            <v>4.7040328347503499E-3</v>
          </cell>
          <cell r="V41">
            <v>-4.46147424009597E-3</v>
          </cell>
          <cell r="W41">
            <v>-3.7226809084444099E-3</v>
          </cell>
          <cell r="Y41">
            <v>1.8652915884207499</v>
          </cell>
          <cell r="Z41">
            <v>1.8593667481598899</v>
          </cell>
          <cell r="AA41">
            <v>1.8605979786103699</v>
          </cell>
          <cell r="AF41">
            <v>-2.64190129517404E-3</v>
          </cell>
          <cell r="AG41">
            <v>-1.82714154035292E-3</v>
          </cell>
          <cell r="AR41">
            <v>2.2651261339626198E-3</v>
          </cell>
          <cell r="BC41">
            <v>7.0474473908652153E-3</v>
          </cell>
          <cell r="BF41">
            <v>9.312573524827835E-3</v>
          </cell>
        </row>
        <row r="42">
          <cell r="O42">
            <v>1.8789764613078801</v>
          </cell>
          <cell r="P42">
            <v>1.86386918013425</v>
          </cell>
          <cell r="Q42">
            <v>1.8645030771514799</v>
          </cell>
          <cell r="U42">
            <v>3.0378830888193298E-3</v>
          </cell>
          <cell r="V42">
            <v>-5.6082074672381696E-3</v>
          </cell>
          <cell r="W42">
            <v>-5.0312233674215303E-3</v>
          </cell>
          <cell r="Y42">
            <v>1.8652915884207499</v>
          </cell>
          <cell r="Z42">
            <v>1.8600859222848301</v>
          </cell>
          <cell r="AA42">
            <v>1.8610530126337199</v>
          </cell>
          <cell r="AF42">
            <v>-3.9361869681257301E-3</v>
          </cell>
          <cell r="AG42">
            <v>-3.2742288121360599E-3</v>
          </cell>
          <cell r="AR42">
            <v>2.2651261339626198E-3</v>
          </cell>
          <cell r="BC42">
            <v>7.0474473908652153E-3</v>
          </cell>
          <cell r="BF42">
            <v>9.312573524827835E-3</v>
          </cell>
        </row>
        <row r="43">
          <cell r="O43">
            <v>1.8789764613078801</v>
          </cell>
          <cell r="P43">
            <v>1.8648435582428899</v>
          </cell>
          <cell r="Q43">
            <v>1.86468629568452</v>
          </cell>
          <cell r="U43">
            <v>4.4547415177900304E-3</v>
          </cell>
          <cell r="V43">
            <v>-3.6179201216336898E-3</v>
          </cell>
          <cell r="W43">
            <v>-3.2778805657152602E-3</v>
          </cell>
          <cell r="Y43">
            <v>1.8652915884207499</v>
          </cell>
          <cell r="Z43">
            <v>1.86071583011334</v>
          </cell>
          <cell r="AA43">
            <v>1.8610660752429</v>
          </cell>
          <cell r="AF43">
            <v>-2.1450637030097901E-3</v>
          </cell>
          <cell r="AG43">
            <v>-1.62528178270263E-3</v>
          </cell>
          <cell r="AR43">
            <v>3.6819845629334101E-3</v>
          </cell>
          <cell r="BC43">
            <v>7.0474473908652153E-3</v>
          </cell>
          <cell r="BF43">
            <v>1.0729431953798624E-2</v>
          </cell>
        </row>
        <row r="44">
          <cell r="O44">
            <v>1.8789764613078801</v>
          </cell>
          <cell r="P44">
            <v>1.86563855948946</v>
          </cell>
          <cell r="Q44">
            <v>1.8648159650434299</v>
          </cell>
          <cell r="U44">
            <v>4.9797659671782001E-3</v>
          </cell>
          <cell r="V44">
            <v>-2.57026054362007E-3</v>
          </cell>
          <cell r="W44">
            <v>-2.65459426107065E-3</v>
          </cell>
          <cell r="Y44">
            <v>1.8652915884207499</v>
          </cell>
          <cell r="Z44">
            <v>1.8611620282021499</v>
          </cell>
          <cell r="AA44">
            <v>1.8610237101554901</v>
          </cell>
          <cell r="AF44">
            <v>-1.2549007904196401E-3</v>
          </cell>
          <cell r="AG44">
            <v>-1.06668711240202E-3</v>
          </cell>
          <cell r="AR44">
            <v>4.2070090123215902E-3</v>
          </cell>
          <cell r="BC44">
            <v>7.0474473908652153E-3</v>
          </cell>
          <cell r="BF44">
            <v>1.1254456403186805E-2</v>
          </cell>
        </row>
        <row r="45">
          <cell r="O45">
            <v>1.8789764613078801</v>
          </cell>
          <cell r="P45">
            <v>1.8661894895581801</v>
          </cell>
          <cell r="Q45">
            <v>1.86519982188016</v>
          </cell>
          <cell r="U45">
            <v>4.3870559413115703E-3</v>
          </cell>
          <cell r="V45">
            <v>-2.7367515267370402E-3</v>
          </cell>
          <cell r="W45">
            <v>-3.17776720134425E-3</v>
          </cell>
          <cell r="Y45">
            <v>1.8652915884207499</v>
          </cell>
          <cell r="Z45">
            <v>1.8613630449855401</v>
          </cell>
          <cell r="AA45">
            <v>1.8612344140836701</v>
          </cell>
          <cell r="AF45">
            <v>-1.6015344682422301E-3</v>
          </cell>
          <cell r="AG45">
            <v>-1.6758553412152999E-3</v>
          </cell>
          <cell r="AR45">
            <v>3.6142989864550103E-3</v>
          </cell>
          <cell r="BC45">
            <v>7.0474473908652153E-3</v>
          </cell>
          <cell r="BF45">
            <v>1.0661746377320225E-2</v>
          </cell>
        </row>
        <row r="46">
          <cell r="O46">
            <v>1.8789764613078801</v>
          </cell>
          <cell r="P46">
            <v>1.86712178949788</v>
          </cell>
          <cell r="Q46">
            <v>1.8651647610017199</v>
          </cell>
          <cell r="U46">
            <v>6.3816611646882503E-3</v>
          </cell>
          <cell r="V46">
            <v>-4.4688614373572202E-4</v>
          </cell>
          <cell r="W46">
            <v>-9.7734148818329593E-4</v>
          </cell>
          <cell r="Y46">
            <v>1.8652915884207499</v>
          </cell>
          <cell r="Z46">
            <v>1.8619453492420599</v>
          </cell>
          <cell r="AA46">
            <v>1.8610277062941201</v>
          </cell>
          <cell r="AF46">
            <v>4.9319207519600398E-4</v>
          </cell>
          <cell r="AG46">
            <v>4.24083930500926E-4</v>
          </cell>
          <cell r="AR46">
            <v>5.6089042098317349E-3</v>
          </cell>
          <cell r="BC46">
            <v>7.0474473908652153E-3</v>
          </cell>
          <cell r="BF46">
            <v>1.265635160069695E-2</v>
          </cell>
        </row>
        <row r="47">
          <cell r="O47">
            <v>1.8789764613078801</v>
          </cell>
          <cell r="P47">
            <v>1.8681286742513501</v>
          </cell>
          <cell r="Q47">
            <v>1.8651043596078001</v>
          </cell>
          <cell r="U47">
            <v>5.2498267836993198E-3</v>
          </cell>
          <cell r="V47">
            <v>-1.0792711676315999E-3</v>
          </cell>
          <cell r="W47">
            <v>-2.12797343045936E-3</v>
          </cell>
          <cell r="Y47">
            <v>1.8652915884207499</v>
          </cell>
          <cell r="Z47">
            <v>1.8626019365698001</v>
          </cell>
          <cell r="AA47">
            <v>1.8607941800610801</v>
          </cell>
          <cell r="AF47">
            <v>-3.2270632922928199E-4</v>
          </cell>
          <cell r="AG47">
            <v>-8.1566878306969998E-4</v>
          </cell>
          <cell r="AR47">
            <v>5.6089042098317349E-3</v>
          </cell>
          <cell r="BC47">
            <v>7.0474473908652153E-3</v>
          </cell>
          <cell r="BF47">
            <v>1.265635160069695E-2</v>
          </cell>
        </row>
        <row r="48">
          <cell r="O48">
            <v>1.8789764613078801</v>
          </cell>
          <cell r="P48">
            <v>1.8681917218159401</v>
          </cell>
          <cell r="Q48">
            <v>1.8649763844496301</v>
          </cell>
          <cell r="U48">
            <v>8.2413693099701504E-3</v>
          </cell>
          <cell r="V48">
            <v>2.4513970679504601E-3</v>
          </cell>
          <cell r="W48">
            <v>8.3118462596784397E-4</v>
          </cell>
          <cell r="Y48">
            <v>1.8652915884207499</v>
          </cell>
          <cell r="Z48">
            <v>1.8623141974556401</v>
          </cell>
          <cell r="AA48">
            <v>1.8604914142917599</v>
          </cell>
          <cell r="AF48">
            <v>3.0388204031507001E-3</v>
          </cell>
          <cell r="AG48">
            <v>2.06779470825321E-3</v>
          </cell>
          <cell r="AR48">
            <v>5.6089042098317349E-3</v>
          </cell>
          <cell r="BC48">
            <v>7.0474473908652153E-3</v>
          </cell>
          <cell r="BF48">
            <v>1.265635160069695E-2</v>
          </cell>
        </row>
        <row r="49">
          <cell r="O49">
            <v>1.8789764613078801</v>
          </cell>
          <cell r="P49">
            <v>1.8688107012956301</v>
          </cell>
          <cell r="Q49">
            <v>1.86504281139409</v>
          </cell>
          <cell r="U49">
            <v>6.2654680264392299E-3</v>
          </cell>
          <cell r="V49">
            <v>5.0924426308596095E-4</v>
          </cell>
          <cell r="W49">
            <v>-1.2133345599676601E-3</v>
          </cell>
          <cell r="Y49">
            <v>1.8652915884207499</v>
          </cell>
          <cell r="Z49">
            <v>1.86257382807877</v>
          </cell>
          <cell r="AA49">
            <v>1.86037897345535</v>
          </cell>
          <cell r="AF49">
            <v>9.4214557923165399E-4</v>
          </cell>
          <cell r="AG49">
            <v>-3.7106898407668003E-5</v>
          </cell>
          <cell r="AR49">
            <v>5.6089042098317349E-3</v>
          </cell>
          <cell r="BC49">
            <v>9.0233486743962858E-3</v>
          </cell>
          <cell r="BF49">
            <v>1.4632252884228021E-2</v>
          </cell>
        </row>
        <row r="50">
          <cell r="O50">
            <v>1.8789764613078801</v>
          </cell>
          <cell r="P50">
            <v>1.8684425097170401</v>
          </cell>
          <cell r="Q50">
            <v>1.8651379407700399</v>
          </cell>
          <cell r="U50">
            <v>8.5317485208593492E-3</v>
          </cell>
          <cell r="V50">
            <v>3.1067953403260701E-3</v>
          </cell>
          <cell r="W50">
            <v>1.08856341574926E-3</v>
          </cell>
          <cell r="Y50">
            <v>1.8652915884207499</v>
          </cell>
          <cell r="Z50">
            <v>1.8618435809513001</v>
          </cell>
          <cell r="AA50">
            <v>1.86029254507044</v>
          </cell>
          <cell r="AF50">
            <v>3.3755998023742399E-3</v>
          </cell>
          <cell r="AG50">
            <v>2.19650622009821E-3</v>
          </cell>
          <cell r="AR50">
            <v>5.6089042098317349E-3</v>
          </cell>
          <cell r="BC50">
            <v>9.0233486743962858E-3</v>
          </cell>
          <cell r="BF50">
            <v>1.4632252884228021E-2</v>
          </cell>
        </row>
        <row r="51">
          <cell r="O51">
            <v>1.8789764613078801</v>
          </cell>
          <cell r="P51">
            <v>1.86811747496803</v>
          </cell>
          <cell r="Q51">
            <v>1.8654590824992101</v>
          </cell>
          <cell r="U51">
            <v>6.4435513917868604E-3</v>
          </cell>
          <cell r="V51">
            <v>8.2155960616772596E-4</v>
          </cell>
          <cell r="W51">
            <v>-9.4862847669151598E-4</v>
          </cell>
          <cell r="Y51">
            <v>1.8652915884207499</v>
          </cell>
          <cell r="Z51">
            <v>1.86150123690299</v>
          </cell>
          <cell r="AA51">
            <v>1.8604339925314399</v>
          </cell>
          <cell r="AF51">
            <v>8.6425272495623397E-4</v>
          </cell>
          <cell r="AG51">
            <v>3.0840986039807099E-5</v>
          </cell>
          <cell r="AR51">
            <v>5.6089042098317349E-3</v>
          </cell>
          <cell r="BC51">
            <v>1.1111545803468827E-2</v>
          </cell>
          <cell r="BF51">
            <v>1.672045001330056E-2</v>
          </cell>
        </row>
        <row r="52">
          <cell r="O52">
            <v>1.8789764613078801</v>
          </cell>
          <cell r="P52">
            <v>1.8677933838758001</v>
          </cell>
          <cell r="Q52">
            <v>1.86583128200503</v>
          </cell>
          <cell r="U52">
            <v>4.7694570363757101E-3</v>
          </cell>
          <cell r="V52">
            <v>-1.02651014434607E-3</v>
          </cell>
          <cell r="W52">
            <v>-2.4505564319504602E-3</v>
          </cell>
          <cell r="Y52">
            <v>1.8652915884207499</v>
          </cell>
          <cell r="Z52">
            <v>1.8611685411611201</v>
          </cell>
          <cell r="AA52">
            <v>1.8606272317229799</v>
          </cell>
          <cell r="AF52">
            <v>-1.00502301844994E-3</v>
          </cell>
          <cell r="AG52">
            <v>-1.57851198857533E-3</v>
          </cell>
          <cell r="AR52">
            <v>5.6089042098317349E-3</v>
          </cell>
          <cell r="BC52">
            <v>1.2785640158879938E-2</v>
          </cell>
          <cell r="BF52">
            <v>1.8394544368711671E-2</v>
          </cell>
        </row>
        <row r="53">
          <cell r="O53">
            <v>1.8789764613078801</v>
          </cell>
          <cell r="P53">
            <v>1.86753109363388</v>
          </cell>
          <cell r="Q53">
            <v>1.8661873259383801</v>
          </cell>
          <cell r="U53">
            <v>5.8578786425248202E-3</v>
          </cell>
          <cell r="V53">
            <v>-1.11588980412248E-4</v>
          </cell>
          <cell r="W53">
            <v>-1.16263306062336E-3</v>
          </cell>
          <cell r="Y53">
            <v>1.8652915884207499</v>
          </cell>
          <cell r="Z53">
            <v>1.8608893847118699</v>
          </cell>
          <cell r="AA53">
            <v>1.8608026074126101</v>
          </cell>
          <cell r="AF53">
            <v>-6.4528287762242694E-5</v>
          </cell>
          <cell r="AG53">
            <v>-3.5541444863515102E-4</v>
          </cell>
          <cell r="AR53">
            <v>5.6089042098317349E-3</v>
          </cell>
          <cell r="BC53">
            <v>1.2785640158879938E-2</v>
          </cell>
          <cell r="BF53">
            <v>1.8394544368711671E-2</v>
          </cell>
        </row>
        <row r="54">
          <cell r="O54">
            <v>1.8789764613078801</v>
          </cell>
          <cell r="P54">
            <v>1.8675429232868801</v>
          </cell>
          <cell r="Q54">
            <v>1.8665907413881699</v>
          </cell>
          <cell r="U54">
            <v>4.9164957082462003E-3</v>
          </cell>
          <cell r="V54">
            <v>-1.19340964315603E-3</v>
          </cell>
          <cell r="W54">
            <v>-1.9132109792570401E-3</v>
          </cell>
          <cell r="Y54">
            <v>1.8652915884207499</v>
          </cell>
          <cell r="Z54">
            <v>1.86089495735385</v>
          </cell>
          <cell r="AA54">
            <v>1.8610284927780001</v>
          </cell>
          <cell r="AF54">
            <v>-1.19154302076941E-3</v>
          </cell>
          <cell r="AG54">
            <v>-1.2381762722398701E-3</v>
          </cell>
          <cell r="AR54">
            <v>5.6089042098317349E-3</v>
          </cell>
          <cell r="BC54">
            <v>1.2785640158879938E-2</v>
          </cell>
          <cell r="BF54">
            <v>1.8394544368711671E-2</v>
          </cell>
        </row>
        <row r="55">
          <cell r="O55">
            <v>1.8789764613078801</v>
          </cell>
          <cell r="P55">
            <v>1.86728348254938</v>
          </cell>
          <cell r="Q55">
            <v>1.8667364860537801</v>
          </cell>
          <cell r="U55">
            <v>5.7748448892565099E-3</v>
          </cell>
          <cell r="V55">
            <v>-3.2872610146460999E-4</v>
          </cell>
          <cell r="W55">
            <v>-8.3871422982523096E-4</v>
          </cell>
          <cell r="Y55">
            <v>1.8652915884207499</v>
          </cell>
          <cell r="Z55">
            <v>1.86062323823013</v>
          </cell>
          <cell r="AA55">
            <v>1.86099314160784</v>
          </cell>
          <cell r="AF55">
            <v>-2.8637111953536598E-4</v>
          </cell>
          <cell r="AG55">
            <v>-2.1461498269007099E-4</v>
          </cell>
          <cell r="AR55">
            <v>5.6089042098317349E-3</v>
          </cell>
          <cell r="BC55">
            <v>1.2785640158879938E-2</v>
          </cell>
          <cell r="BF55">
            <v>1.8394544368711671E-2</v>
          </cell>
        </row>
        <row r="56">
          <cell r="O56">
            <v>1.8789764613078801</v>
          </cell>
          <cell r="P56">
            <v>1.8671091464668499</v>
          </cell>
          <cell r="Q56">
            <v>1.86711546798237</v>
          </cell>
          <cell r="U56">
            <v>7.3158621195485102E-3</v>
          </cell>
          <cell r="V56">
            <v>1.0733605817411099E-3</v>
          </cell>
          <cell r="W56">
            <v>7.8038062763794401E-4</v>
          </cell>
          <cell r="Y56">
            <v>1.8652915884207499</v>
          </cell>
          <cell r="Z56">
            <v>1.8604409307544201</v>
          </cell>
          <cell r="AA56">
            <v>1.86119313999824</v>
          </cell>
          <cell r="AF56">
            <v>1.0760523324162101E-3</v>
          </cell>
          <cell r="AG56">
            <v>1.27483874195799E-3</v>
          </cell>
          <cell r="AR56">
            <v>5.6089042098317349E-3</v>
          </cell>
          <cell r="BC56">
            <v>1.2785640158879938E-2</v>
          </cell>
          <cell r="BF56">
            <v>1.8394544368711671E-2</v>
          </cell>
        </row>
        <row r="57">
          <cell r="O57">
            <v>1.8789764613078801</v>
          </cell>
          <cell r="P57">
            <v>1.8670470290114201</v>
          </cell>
          <cell r="Q57">
            <v>1.86758785163139</v>
          </cell>
          <cell r="U57">
            <v>5.5822141155282799E-3</v>
          </cell>
          <cell r="V57">
            <v>-7.5365526008908102E-4</v>
          </cell>
          <cell r="W57">
            <v>-7.5026954221447104E-4</v>
          </cell>
          <cell r="Y57">
            <v>1.8652915884207499</v>
          </cell>
          <cell r="Z57">
            <v>1.8603667848916401</v>
          </cell>
          <cell r="AA57">
            <v>1.8614843607307201</v>
          </cell>
          <cell r="AF57">
            <v>-7.3284705617054197E-4</v>
          </cell>
          <cell r="AG57">
            <v>-3.2861104598698102E-4</v>
          </cell>
          <cell r="AR57">
            <v>5.6089042098317349E-3</v>
          </cell>
          <cell r="BC57">
            <v>1.2785640158879938E-2</v>
          </cell>
          <cell r="BF57">
            <v>1.8394544368711671E-2</v>
          </cell>
        </row>
        <row r="58">
          <cell r="O58">
            <v>1.8789764613078801</v>
          </cell>
          <cell r="P58">
            <v>1.8677151467148301</v>
          </cell>
          <cell r="Q58">
            <v>1.8679534342653801</v>
          </cell>
          <cell r="U58">
            <v>4.6626019309208696E-3</v>
          </cell>
          <cell r="V58">
            <v>-1.7065373201478799E-3</v>
          </cell>
          <cell r="W58">
            <v>-1.4169118863210401E-3</v>
          </cell>
          <cell r="Y58">
            <v>1.8652915884207499</v>
          </cell>
          <cell r="Z58">
            <v>1.86102534323104</v>
          </cell>
          <cell r="AA58">
            <v>1.86166977034334</v>
          </cell>
          <cell r="AF58">
            <v>-1.70209298264431E-3</v>
          </cell>
          <cell r="AG58">
            <v>-1.10154458404132E-3</v>
          </cell>
          <cell r="AR58">
            <v>5.6089042098317349E-3</v>
          </cell>
          <cell r="BC58">
            <v>1.2785640158879938E-2</v>
          </cell>
          <cell r="BF58">
            <v>1.8394544368711671E-2</v>
          </cell>
        </row>
        <row r="59">
          <cell r="O59">
            <v>1.8789764613078801</v>
          </cell>
          <cell r="P59">
            <v>1.8676424630519199</v>
          </cell>
          <cell r="Q59">
            <v>1.86822658217378</v>
          </cell>
          <cell r="U59">
            <v>6.6548008899648898E-3</v>
          </cell>
          <cell r="V59">
            <v>6.43444908137547E-4</v>
          </cell>
          <cell r="W59">
            <v>7.7101915393051304E-4</v>
          </cell>
          <cell r="Y59">
            <v>1.8652915884207499</v>
          </cell>
          <cell r="Z59">
            <v>1.8609446791961399</v>
          </cell>
          <cell r="AA59">
            <v>1.8617592536374601</v>
          </cell>
          <cell r="AF59">
            <v>6.8347565805508602E-4</v>
          </cell>
          <cell r="AG59">
            <v>1.02969102035377E-3</v>
          </cell>
          <cell r="AR59">
            <v>5.6089042098317349E-3</v>
          </cell>
          <cell r="BC59">
            <v>1.2785640158879938E-2</v>
          </cell>
          <cell r="BF59">
            <v>1.8394544368711671E-2</v>
          </cell>
        </row>
        <row r="60">
          <cell r="O60">
            <v>1.8789764613078801</v>
          </cell>
          <cell r="P60">
            <v>1.8679034493785101</v>
          </cell>
          <cell r="Q60">
            <v>1.8681729795477799</v>
          </cell>
          <cell r="U60">
            <v>7.1318463530044701E-3</v>
          </cell>
          <cell r="V60">
            <v>1.0815737958397801E-3</v>
          </cell>
          <cell r="W60">
            <v>1.39428236219513E-3</v>
          </cell>
          <cell r="Y60">
            <v>1.8652915884207499</v>
          </cell>
          <cell r="Z60">
            <v>1.86119948179854</v>
          </cell>
          <cell r="AA60">
            <v>1.86152153137492</v>
          </cell>
          <cell r="AF60">
            <v>1.1288430143423301E-3</v>
          </cell>
          <cell r="AG60">
            <v>1.5664681755205301E-3</v>
          </cell>
          <cell r="AR60">
            <v>5.6089042098317349E-3</v>
          </cell>
          <cell r="BC60">
            <v>1.2785640158879938E-2</v>
          </cell>
          <cell r="BF60">
            <v>1.8394544368711671E-2</v>
          </cell>
        </row>
        <row r="61">
          <cell r="O61">
            <v>1.8789764613078801</v>
          </cell>
          <cell r="P61">
            <v>1.86795297054881</v>
          </cell>
          <cell r="Q61">
            <v>1.86803522275842</v>
          </cell>
          <cell r="U61">
            <v>6.1783288913271599E-3</v>
          </cell>
          <cell r="V61">
            <v>2.6778762545318199E-4</v>
          </cell>
          <cell r="W61">
            <v>4.1207277318067398E-4</v>
          </cell>
          <cell r="Y61">
            <v>1.8652915884207499</v>
          </cell>
          <cell r="Z61">
            <v>1.8612374969490599</v>
          </cell>
          <cell r="AA61">
            <v>1.8613693669260301</v>
          </cell>
          <cell r="AF61">
            <v>3.1391008409905902E-4</v>
          </cell>
          <cell r="AG61">
            <v>4.8692846288430301E-4</v>
          </cell>
          <cell r="AR61">
            <v>5.6089042098317349E-3</v>
          </cell>
          <cell r="BC61">
            <v>1.3739157620557363E-2</v>
          </cell>
          <cell r="BF61">
            <v>1.9348061830389097E-2</v>
          </cell>
        </row>
        <row r="62">
          <cell r="O62">
            <v>1.8789764613078801</v>
          </cell>
          <cell r="P62">
            <v>1.86801086385736</v>
          </cell>
          <cell r="Q62">
            <v>1.8679021238665801</v>
          </cell>
          <cell r="U62">
            <v>4.4599210389130199E-3</v>
          </cell>
          <cell r="V62">
            <v>-1.4241089456178699E-3</v>
          </cell>
          <cell r="W62">
            <v>-1.3800765743311001E-3</v>
          </cell>
          <cell r="Y62">
            <v>1.8652915884207499</v>
          </cell>
          <cell r="Z62">
            <v>1.8612888302500601</v>
          </cell>
          <cell r="AA62">
            <v>1.86122868570559</v>
          </cell>
          <cell r="AF62">
            <v>-1.4221623452671699E-3</v>
          </cell>
          <cell r="AG62">
            <v>-1.35131415643443E-3</v>
          </cell>
          <cell r="AR62">
            <v>5.6089042098317349E-3</v>
          </cell>
          <cell r="BC62">
            <v>1.5457565472971464E-2</v>
          </cell>
          <cell r="BF62">
            <v>2.10664696828032E-2</v>
          </cell>
        </row>
        <row r="63">
          <cell r="O63">
            <v>1.8789764613078801</v>
          </cell>
          <cell r="P63">
            <v>1.8686423757799799</v>
          </cell>
          <cell r="Q63">
            <v>1.8680867347069301</v>
          </cell>
          <cell r="U63">
            <v>2.4828987840012102E-3</v>
          </cell>
          <cell r="V63">
            <v>-3.3701387653109799E-3</v>
          </cell>
          <cell r="W63">
            <v>-3.4283521076281498E-3</v>
          </cell>
          <cell r="Y63">
            <v>1.8652915884207499</v>
          </cell>
          <cell r="Z63">
            <v>1.8615341814612201</v>
          </cell>
          <cell r="AA63">
            <v>1.86121178308655</v>
          </cell>
          <cell r="AF63">
            <v>-1.3172106654746199E-3</v>
          </cell>
          <cell r="AG63">
            <v>-1.3495245735826E-3</v>
          </cell>
          <cell r="AR63">
            <v>5.6089042098317349E-3</v>
          </cell>
          <cell r="BC63">
            <v>1.5457565472971464E-2</v>
          </cell>
          <cell r="BF63">
            <v>2.10664696828032E-2</v>
          </cell>
        </row>
        <row r="64">
          <cell r="O64">
            <v>1.8789764613078801</v>
          </cell>
          <cell r="P64">
            <v>1.8690062969757699</v>
          </cell>
          <cell r="Q64">
            <v>1.8682746101313199</v>
          </cell>
          <cell r="U64">
            <v>2.9720361460542398E-3</v>
          </cell>
          <cell r="V64">
            <v>-2.54299201992519E-3</v>
          </cell>
          <cell r="W64">
            <v>-2.84038637777876E-3</v>
          </cell>
          <cell r="Y64">
            <v>1.8652915884207499</v>
          </cell>
          <cell r="Z64">
            <v>1.8615026103835901</v>
          </cell>
          <cell r="AA64">
            <v>1.8611987838687201</v>
          </cell>
          <cell r="AF64">
            <v>-6.7563562187909201E-4</v>
          </cell>
          <cell r="AG64">
            <v>-8.4884022866767801E-4</v>
          </cell>
          <cell r="AR64">
            <v>5.6089042098317349E-3</v>
          </cell>
          <cell r="BC64">
            <v>1.5457565472971464E-2</v>
          </cell>
          <cell r="BF64">
            <v>2.10664696828032E-2</v>
          </cell>
        </row>
        <row r="65">
          <cell r="O65">
            <v>1.8789764613078801</v>
          </cell>
          <cell r="P65">
            <v>1.8692445834170199</v>
          </cell>
          <cell r="Q65">
            <v>1.8682640329832001</v>
          </cell>
          <cell r="U65">
            <v>4.5001414803617296E-3</v>
          </cell>
          <cell r="V65">
            <v>-8.2015399199064599E-4</v>
          </cell>
          <cell r="W65">
            <v>-1.21171506110951E-3</v>
          </cell>
          <cell r="Y65">
            <v>1.8652915884207499</v>
          </cell>
          <cell r="Z65">
            <v>1.8613536484058699</v>
          </cell>
          <cell r="AA65">
            <v>1.860988443318</v>
          </cell>
          <cell r="AF65">
            <v>8.4069049817626104E-4</v>
          </cell>
          <cell r="AG65">
            <v>6.7746144305139697E-4</v>
          </cell>
          <cell r="AR65">
            <v>5.6089042098317349E-3</v>
          </cell>
          <cell r="BC65">
            <v>1.5457565472971464E-2</v>
          </cell>
          <cell r="BF65">
            <v>2.10664696828032E-2</v>
          </cell>
        </row>
        <row r="66">
          <cell r="O66">
            <v>1.8789764613078801</v>
          </cell>
          <cell r="P66">
            <v>1.87013105516793</v>
          </cell>
          <cell r="Q66">
            <v>1.8686201008173899</v>
          </cell>
          <cell r="U66">
            <v>2.5746340361279501E-3</v>
          </cell>
          <cell r="V66">
            <v>-2.6181759093284098E-3</v>
          </cell>
          <cell r="W66">
            <v>-3.14288397395532E-3</v>
          </cell>
          <cell r="Y66">
            <v>1.8652915884207499</v>
          </cell>
          <cell r="Z66">
            <v>1.86184711060032</v>
          </cell>
          <cell r="AA66">
            <v>1.8611440206773699</v>
          </cell>
          <cell r="AF66">
            <v>-1.18293359617251E-3</v>
          </cell>
          <cell r="AG66">
            <v>-1.3791568771276499E-3</v>
          </cell>
          <cell r="AR66">
            <v>5.6089042098317349E-3</v>
          </cell>
          <cell r="BC66">
            <v>1.5457565472971464E-2</v>
          </cell>
          <cell r="BF66">
            <v>2.10664696828032E-2</v>
          </cell>
        </row>
        <row r="67">
          <cell r="O67">
            <v>1.8789764613078801</v>
          </cell>
          <cell r="P67">
            <v>1.8706052145160601</v>
          </cell>
          <cell r="Q67">
            <v>1.8688261217637401</v>
          </cell>
          <cell r="U67">
            <v>3.04780427565791E-3</v>
          </cell>
          <cell r="V67">
            <v>-1.6708774445613999E-3</v>
          </cell>
          <cell r="W67">
            <v>-2.4791443603068399E-3</v>
          </cell>
          <cell r="Y67">
            <v>1.8652915884207499</v>
          </cell>
          <cell r="Z67">
            <v>1.86194928548961</v>
          </cell>
          <cell r="AA67">
            <v>1.8611580351906301</v>
          </cell>
          <cell r="AF67">
            <v>-5.2594536664247104E-4</v>
          </cell>
          <cell r="AG67">
            <v>-9.0364700842137898E-4</v>
          </cell>
          <cell r="AR67">
            <v>5.6089042098317349E-3</v>
          </cell>
          <cell r="BC67">
            <v>1.5457565472971464E-2</v>
          </cell>
          <cell r="BF67">
            <v>2.10664696828032E-2</v>
          </cell>
        </row>
        <row r="68">
          <cell r="O68">
            <v>1.8789764613078801</v>
          </cell>
          <cell r="P68">
            <v>1.87125038792632</v>
          </cell>
          <cell r="Q68">
            <v>1.8694827673205701</v>
          </cell>
          <cell r="U68">
            <v>1.2188485152481599E-3</v>
          </cell>
          <cell r="V68">
            <v>-3.2463219620038398E-3</v>
          </cell>
          <cell r="W68">
            <v>-4.1978532118442302E-3</v>
          </cell>
          <cell r="Y68">
            <v>1.8652915884207499</v>
          </cell>
          <cell r="Z68">
            <v>1.86221795678994</v>
          </cell>
          <cell r="AA68">
            <v>1.8616216500104901</v>
          </cell>
          <cell r="AF68">
            <v>-2.2925057712097898E-3</v>
          </cell>
          <cell r="AG68">
            <v>-2.7175541207452099E-3</v>
          </cell>
          <cell r="AR68">
            <v>5.6089042098317349E-3</v>
          </cell>
          <cell r="BC68">
            <v>1.5457565472971464E-2</v>
          </cell>
          <cell r="BF68">
            <v>2.10664696828032E-2</v>
          </cell>
        </row>
        <row r="69">
          <cell r="O69">
            <v>1.8789764613078801</v>
          </cell>
          <cell r="P69">
            <v>1.8723301800249099</v>
          </cell>
          <cell r="Q69">
            <v>1.86998632153841</v>
          </cell>
          <cell r="U69">
            <v>8.8639577125208596E-4</v>
          </cell>
          <cell r="V69">
            <v>-3.2339332769317801E-3</v>
          </cell>
          <cell r="W69">
            <v>-4.1789997459621602E-3</v>
          </cell>
          <cell r="Y69">
            <v>1.8652915884207499</v>
          </cell>
          <cell r="Z69">
            <v>1.86292455236253</v>
          </cell>
          <cell r="AA69">
            <v>1.8619346157793399</v>
          </cell>
          <cell r="AF69">
            <v>-2.4680970809252498E-3</v>
          </cell>
          <cell r="AG69">
            <v>-2.7883615646363499E-3</v>
          </cell>
          <cell r="AR69">
            <v>5.6089042098317349E-3</v>
          </cell>
          <cell r="BC69">
            <v>1.5457565472971464E-2</v>
          </cell>
          <cell r="BF69">
            <v>2.10664696828032E-2</v>
          </cell>
        </row>
        <row r="70">
          <cell r="O70">
            <v>1.8789764613078801</v>
          </cell>
          <cell r="P70">
            <v>1.87347606336705</v>
          </cell>
          <cell r="Q70">
            <v>1.87068975637278</v>
          </cell>
          <cell r="U70">
            <v>1.00853912215064E-3</v>
          </cell>
          <cell r="V70">
            <v>-2.5349132653429002E-3</v>
          </cell>
          <cell r="W70">
            <v>-3.7875378319638599E-3</v>
          </cell>
          <cell r="Y70">
            <v>1.8652915884207499</v>
          </cell>
          <cell r="Z70">
            <v>1.8637010924034401</v>
          </cell>
          <cell r="AA70">
            <v>1.86245028710099</v>
          </cell>
          <cell r="AF70">
            <v>-1.97665348757739E-3</v>
          </cell>
          <cell r="AG70">
            <v>-2.5081831706145201E-3</v>
          </cell>
          <cell r="AR70">
            <v>5.6089042098317349E-3</v>
          </cell>
          <cell r="BC70">
            <v>1.5457565472971464E-2</v>
          </cell>
          <cell r="BF70">
            <v>2.10664696828032E-2</v>
          </cell>
        </row>
        <row r="71">
          <cell r="O71">
            <v>1.8789764613078801</v>
          </cell>
          <cell r="P71">
            <v>1.87431392669214</v>
          </cell>
          <cell r="Q71">
            <v>1.87113344862047</v>
          </cell>
          <cell r="U71">
            <v>1.7015815998123499E-3</v>
          </cell>
          <cell r="V71">
            <v>-1.23004876409979E-3</v>
          </cell>
          <cell r="W71">
            <v>-2.71839497672082E-3</v>
          </cell>
          <cell r="Y71">
            <v>1.8652915884207499</v>
          </cell>
          <cell r="Z71">
            <v>1.8641792007675899</v>
          </cell>
          <cell r="AA71">
            <v>1.86270834885833</v>
          </cell>
          <cell r="AF71">
            <v>-9.0923638158882597E-4</v>
          </cell>
          <cell r="AG71">
            <v>-1.58060220763195E-3</v>
          </cell>
          <cell r="AR71">
            <v>5.6089042098317349E-3</v>
          </cell>
          <cell r="BC71">
            <v>1.5457565472971464E-2</v>
          </cell>
          <cell r="BF71">
            <v>2.10664696828032E-2</v>
          </cell>
        </row>
        <row r="72">
          <cell r="O72">
            <v>1.8789764613078801</v>
          </cell>
          <cell r="P72">
            <v>1.8751217160237099</v>
          </cell>
          <cell r="Q72">
            <v>1.8715662899405401</v>
          </cell>
          <cell r="U72">
            <v>1.5090940407534099E-4</v>
          </cell>
          <cell r="V72">
            <v>-2.3335970061100198E-3</v>
          </cell>
          <cell r="W72">
            <v>-4.0319141989116902E-3</v>
          </cell>
          <cell r="Y72">
            <v>1.8652915884207499</v>
          </cell>
          <cell r="Z72">
            <v>1.8646178394856801</v>
          </cell>
          <cell r="AA72">
            <v>1.86295333486787</v>
          </cell>
          <cell r="AF72">
            <v>-2.19349106376035E-3</v>
          </cell>
          <cell r="AG72">
            <v>-2.9828102831066499E-3</v>
          </cell>
          <cell r="AR72">
            <v>5.6089042098317349E-3</v>
          </cell>
          <cell r="BC72">
            <v>1.5457565472971464E-2</v>
          </cell>
          <cell r="BF72">
            <v>2.10664696828032E-2</v>
          </cell>
        </row>
        <row r="73">
          <cell r="O73">
            <v>1.8789764613078801</v>
          </cell>
          <cell r="P73">
            <v>1.87565589540689</v>
          </cell>
          <cell r="Q73">
            <v>1.8721491355934401</v>
          </cell>
          <cell r="U73">
            <v>-3.6304264005733E-4</v>
          </cell>
          <cell r="V73">
            <v>-2.41666322045432E-3</v>
          </cell>
          <cell r="W73">
            <v>-4.31456725983447E-3</v>
          </cell>
          <cell r="Y73">
            <v>1.8652915884207499</v>
          </cell>
          <cell r="Z73">
            <v>1.8651636850551401</v>
          </cell>
          <cell r="AA73">
            <v>1.8633489332581801</v>
          </cell>
          <cell r="AF73">
            <v>-2.4547383532535299E-3</v>
          </cell>
          <cell r="AG73">
            <v>-3.3478157221834099E-3</v>
          </cell>
          <cell r="AR73">
            <v>5.6089042098317349E-3</v>
          </cell>
          <cell r="BC73">
            <v>1.5457565472971464E-2</v>
          </cell>
          <cell r="BF73">
            <v>2.10664696828032E-2</v>
          </cell>
        </row>
        <row r="74">
          <cell r="O74">
            <v>1.8789764613078801</v>
          </cell>
          <cell r="P74">
            <v>1.87622843689913</v>
          </cell>
          <cell r="Q74">
            <v>1.87261736693745</v>
          </cell>
          <cell r="U74">
            <v>-7.9465238391071097E-5</v>
          </cell>
          <cell r="V74">
            <v>-1.84824921042074E-3</v>
          </cell>
          <cell r="W74">
            <v>-3.7196170152264201E-3</v>
          </cell>
          <cell r="Y74">
            <v>1.8652915884207499</v>
          </cell>
          <cell r="Z74">
            <v>1.86575847114303</v>
          </cell>
          <cell r="AA74">
            <v>1.86363054076331</v>
          </cell>
          <cell r="AF74">
            <v>-1.9156905383644199E-3</v>
          </cell>
          <cell r="AG74">
            <v>-2.8891360519185099E-3</v>
          </cell>
          <cell r="AR74">
            <v>5.8924816114977047E-3</v>
          </cell>
          <cell r="BC74">
            <v>1.5457565472971464E-2</v>
          </cell>
          <cell r="BF74">
            <v>2.1350047084469172E-2</v>
          </cell>
        </row>
        <row r="75">
          <cell r="O75">
            <v>1.8789764613078801</v>
          </cell>
          <cell r="P75">
            <v>1.8767468401007099</v>
          </cell>
          <cell r="Q75">
            <v>1.87299571175887</v>
          </cell>
          <cell r="U75">
            <v>1.73256512294705E-3</v>
          </cell>
          <cell r="V75">
            <v>2.6898325523095701E-4</v>
          </cell>
          <cell r="W75">
            <v>-1.65751426826088E-3</v>
          </cell>
          <cell r="Y75">
            <v>1.8652915884207499</v>
          </cell>
          <cell r="Z75">
            <v>1.86630172059564</v>
          </cell>
          <cell r="AA75">
            <v>1.86382768450075</v>
          </cell>
          <cell r="AF75">
            <v>2.0779561786509401E-4</v>
          </cell>
          <cell r="AG75">
            <v>-9.3337287051309099E-4</v>
          </cell>
          <cell r="AR75">
            <v>7.7045119728358872E-3</v>
          </cell>
          <cell r="BC75">
            <v>1.5457565472971464E-2</v>
          </cell>
          <cell r="BF75">
            <v>2.3162077445807356E-2</v>
          </cell>
        </row>
        <row r="76">
          <cell r="O76">
            <v>1.8789764613078801</v>
          </cell>
          <cell r="P76">
            <v>1.8771021235893799</v>
          </cell>
          <cell r="Q76">
            <v>1.8736165893786501</v>
          </cell>
          <cell r="U76">
            <v>6.8071891651850104E-4</v>
          </cell>
          <cell r="V76">
            <v>-5.0660043060022405E-4</v>
          </cell>
          <cell r="W76">
            <v>-2.50734023674317E-3</v>
          </cell>
          <cell r="Y76">
            <v>1.8652915884207499</v>
          </cell>
          <cell r="Z76">
            <v>1.8666697011953599</v>
          </cell>
          <cell r="AA76">
            <v>1.86425840589784</v>
          </cell>
          <cell r="AF76">
            <v>-5.0080880254035995E-4</v>
          </cell>
          <cell r="AG76">
            <v>-1.82732388498689E-3</v>
          </cell>
          <cell r="AR76">
            <v>7.7045119728358872E-3</v>
          </cell>
          <cell r="BC76">
            <v>1.5457565472971464E-2</v>
          </cell>
          <cell r="BF76">
            <v>2.3162077445807356E-2</v>
          </cell>
        </row>
        <row r="77">
          <cell r="O77">
            <v>1.8789764613078801</v>
          </cell>
          <cell r="P77">
            <v>1.8773268426905001</v>
          </cell>
          <cell r="Q77">
            <v>1.87396602860328</v>
          </cell>
          <cell r="U77">
            <v>1.8489071173082301E-3</v>
          </cell>
          <cell r="V77">
            <v>8.5087801237269597E-4</v>
          </cell>
          <cell r="W77">
            <v>-1.0077178892816999E-3</v>
          </cell>
          <cell r="Y77">
            <v>1.8652915884207499</v>
          </cell>
          <cell r="Z77">
            <v>1.8668931688774699</v>
          </cell>
          <cell r="AA77">
            <v>1.8644212271835401</v>
          </cell>
          <cell r="AF77">
            <v>8.62027014736935E-4</v>
          </cell>
          <cell r="AG77">
            <v>-4.30571268608957E-4</v>
          </cell>
          <cell r="AR77">
            <v>7.7045119728358872E-3</v>
          </cell>
          <cell r="BC77">
            <v>1.5457565472971464E-2</v>
          </cell>
          <cell r="BF77">
            <v>2.3162077445807356E-2</v>
          </cell>
        </row>
        <row r="78">
          <cell r="O78">
            <v>1.8789764613078801</v>
          </cell>
          <cell r="P78">
            <v>1.87752456205649</v>
          </cell>
          <cell r="Q78">
            <v>1.8743874749914</v>
          </cell>
          <cell r="U78">
            <v>1.6584812388873501E-4</v>
          </cell>
          <cell r="V78">
            <v>-7.1247217663977596E-4</v>
          </cell>
          <cell r="W78">
            <v>-2.50428907909001E-3</v>
          </cell>
          <cell r="Y78">
            <v>1.8652915884207499</v>
          </cell>
          <cell r="Z78">
            <v>1.8670874362587</v>
          </cell>
          <cell r="AA78">
            <v>1.86465269652432</v>
          </cell>
          <cell r="AF78">
            <v>-6.8122975487989502E-4</v>
          </cell>
          <cell r="AG78">
            <v>-2.00620095439694E-3</v>
          </cell>
          <cell r="AR78">
            <v>7.7045119728358872E-3</v>
          </cell>
          <cell r="BC78">
            <v>1.5457565472971464E-2</v>
          </cell>
          <cell r="BF78">
            <v>2.3162077445807356E-2</v>
          </cell>
        </row>
        <row r="79">
          <cell r="O79">
            <v>1.8789764613078801</v>
          </cell>
          <cell r="P79">
            <v>1.87779339381111</v>
          </cell>
          <cell r="Q79">
            <v>1.87506178691801</v>
          </cell>
          <cell r="U79">
            <v>-5.4458373333773295E-4</v>
          </cell>
          <cell r="V79">
            <v>-1.31758995090921E-3</v>
          </cell>
          <cell r="W79">
            <v>-2.9898507956026199E-3</v>
          </cell>
          <cell r="Y79">
            <v>1.8652915884207499</v>
          </cell>
          <cell r="Z79">
            <v>1.8673585223051901</v>
          </cell>
          <cell r="AA79">
            <v>1.86514153733386</v>
          </cell>
          <cell r="AF79">
            <v>-1.3077025950454799E-3</v>
          </cell>
          <cell r="AG79">
            <v>-2.6125844963680398E-3</v>
          </cell>
          <cell r="AR79">
            <v>7.7045119728358872E-3</v>
          </cell>
          <cell r="BC79">
            <v>1.5457565472971464E-2</v>
          </cell>
          <cell r="BF79">
            <v>2.3162077445807356E-2</v>
          </cell>
        </row>
        <row r="80">
          <cell r="O80">
            <v>1.8789764613078801</v>
          </cell>
          <cell r="P80">
            <v>1.8780527072311499</v>
          </cell>
          <cell r="Q80">
            <v>1.8757643852990999</v>
          </cell>
          <cell r="U80">
            <v>-3.7197815583100502E-4</v>
          </cell>
          <cell r="V80">
            <v>-1.0018104753511099E-3</v>
          </cell>
          <cell r="W80">
            <v>-2.4575593619757001E-3</v>
          </cell>
          <cell r="Y80">
            <v>1.8652915884207499</v>
          </cell>
          <cell r="Z80">
            <v>1.86761544920959</v>
          </cell>
          <cell r="AA80">
            <v>1.8656582708065099</v>
          </cell>
          <cell r="AF80">
            <v>-9.7485809742452905E-4</v>
          </cell>
          <cell r="AG80">
            <v>-2.1627939027152299E-3</v>
          </cell>
          <cell r="AR80">
            <v>7.7045119728358872E-3</v>
          </cell>
          <cell r="BC80">
            <v>1.5457565472971464E-2</v>
          </cell>
          <cell r="BF80">
            <v>2.3162077445807356E-2</v>
          </cell>
        </row>
        <row r="81">
          <cell r="O81">
            <v>1.8789764613078801</v>
          </cell>
          <cell r="P81">
            <v>1.87845462990192</v>
          </cell>
          <cell r="Q81">
            <v>1.8763842782970299</v>
          </cell>
          <cell r="U81">
            <v>-4.3882009573913703E-4</v>
          </cell>
          <cell r="V81">
            <v>-9.30567193727825E-4</v>
          </cell>
          <cell r="W81">
            <v>-2.14976469808042E-3</v>
          </cell>
          <cell r="Y81">
            <v>1.8652915884207499</v>
          </cell>
          <cell r="Z81">
            <v>1.8680034548442099</v>
          </cell>
          <cell r="AA81">
            <v>1.8660913278058999</v>
          </cell>
          <cell r="AF81">
            <v>-8.8898214342732402E-4</v>
          </cell>
          <cell r="AG81">
            <v>-1.93748741208102E-3</v>
          </cell>
          <cell r="AR81">
            <v>7.7045119728358872E-3</v>
          </cell>
          <cell r="BC81">
            <v>1.5457565472971464E-2</v>
          </cell>
          <cell r="BF81">
            <v>2.3162077445807356E-2</v>
          </cell>
        </row>
        <row r="82">
          <cell r="O82">
            <v>1.8789764613078801</v>
          </cell>
          <cell r="P82">
            <v>1.8785289222308299</v>
          </cell>
          <cell r="Q82">
            <v>1.8768253191272699</v>
          </cell>
          <cell r="U82">
            <v>-2.4445932467773401E-4</v>
          </cell>
          <cell r="V82">
            <v>-5.2221899432664995E-4</v>
          </cell>
          <cell r="W82">
            <v>-1.6249836483213001E-3</v>
          </cell>
          <cell r="Y82">
            <v>1.8652915884207499</v>
          </cell>
          <cell r="Z82">
            <v>1.8680603578855901</v>
          </cell>
          <cell r="AA82">
            <v>1.8663390986856401</v>
          </cell>
          <cell r="AF82">
            <v>-4.4868045443113998E-4</v>
          </cell>
          <cell r="AG82">
            <v>-1.47282543024915E-3</v>
          </cell>
          <cell r="AR82">
            <v>7.7045119728358872E-3</v>
          </cell>
          <cell r="BC82">
            <v>1.5457565472971464E-2</v>
          </cell>
          <cell r="BF82">
            <v>2.3162077445807356E-2</v>
          </cell>
        </row>
        <row r="83">
          <cell r="O83">
            <v>1.8789764613078801</v>
          </cell>
          <cell r="P83">
            <v>1.87861872914596</v>
          </cell>
          <cell r="Q83">
            <v>1.8771373122764301</v>
          </cell>
          <cell r="U83">
            <v>-8.4071162453977196E-4</v>
          </cell>
          <cell r="V83">
            <v>-1.07892236995806E-3</v>
          </cell>
          <cell r="W83">
            <v>-1.9862153233954202E-3</v>
          </cell>
          <cell r="Y83">
            <v>1.8652915884207499</v>
          </cell>
          <cell r="Z83">
            <v>1.8681496651292999</v>
          </cell>
          <cell r="AA83">
            <v>1.86665667509222</v>
          </cell>
          <cell r="AF83">
            <v>-1.08787684573117E-3</v>
          </cell>
          <cell r="AG83">
            <v>-2.0097168052019502E-3</v>
          </cell>
          <cell r="AR83">
            <v>7.7045119728358872E-3</v>
          </cell>
          <cell r="BC83">
            <v>1.5457565472971464E-2</v>
          </cell>
          <cell r="BF83">
            <v>2.3162077445807356E-2</v>
          </cell>
        </row>
        <row r="84">
          <cell r="O84">
            <v>1.8789764613078801</v>
          </cell>
          <cell r="P84">
            <v>1.8788303076358599</v>
          </cell>
          <cell r="Q84">
            <v>1.8775293722674999</v>
          </cell>
          <cell r="U84">
            <v>-1.2047729158622101E-3</v>
          </cell>
          <cell r="V84">
            <v>-1.3951777598449999E-3</v>
          </cell>
          <cell r="W84">
            <v>-2.1840559138170102E-3</v>
          </cell>
          <cell r="Y84">
            <v>1.8652915884207499</v>
          </cell>
          <cell r="Z84">
            <v>1.86798607837112</v>
          </cell>
          <cell r="AA84">
            <v>1.8668722747570701</v>
          </cell>
          <cell r="AF84">
            <v>5.5971916393976397E-4</v>
          </cell>
          <cell r="AG84">
            <v>-2.3978152263050799E-4</v>
          </cell>
          <cell r="AR84">
            <v>7.7045119728358872E-3</v>
          </cell>
          <cell r="BC84">
            <v>1.5457565472971464E-2</v>
          </cell>
          <cell r="BF84">
            <v>2.3162077445807356E-2</v>
          </cell>
        </row>
        <row r="85">
          <cell r="O85">
            <v>1.8789764613078801</v>
          </cell>
          <cell r="P85">
            <v>1.8793736046346701</v>
          </cell>
          <cell r="Q85">
            <v>1.8780602223676901</v>
          </cell>
          <cell r="U85">
            <v>-1.15971403540568E-3</v>
          </cell>
          <cell r="V85">
            <v>-1.2375007237976599E-3</v>
          </cell>
          <cell r="W85">
            <v>-1.93015825994395E-3</v>
          </cell>
          <cell r="Y85">
            <v>1.8652915884207499</v>
          </cell>
          <cell r="Z85">
            <v>1.8681446761881999</v>
          </cell>
          <cell r="AA85">
            <v>1.8672231983919201</v>
          </cell>
          <cell r="AF85">
            <v>5.5116518515892796E-4</v>
          </cell>
          <cell r="AG85">
            <v>-4.52717030743557E-5</v>
          </cell>
          <cell r="AR85">
            <v>7.7045119728358872E-3</v>
          </cell>
          <cell r="BC85">
            <v>1.5457565472971464E-2</v>
          </cell>
          <cell r="BF85">
            <v>2.3162077445807356E-2</v>
          </cell>
        </row>
        <row r="86">
          <cell r="O86">
            <v>1.8789764613078801</v>
          </cell>
          <cell r="P86">
            <v>1.8803973134579399</v>
          </cell>
          <cell r="Q86">
            <v>1.8787497185236599</v>
          </cell>
          <cell r="U86">
            <v>-4.75640895694122E-3</v>
          </cell>
          <cell r="V86">
            <v>-4.5450697675094099E-3</v>
          </cell>
          <cell r="W86">
            <v>-5.2441545050918997E-3</v>
          </cell>
          <cell r="Y86">
            <v>1.8652915884207499</v>
          </cell>
          <cell r="Z86">
            <v>1.86878939042157</v>
          </cell>
          <cell r="AA86">
            <v>1.8677295458084699</v>
          </cell>
          <cell r="AF86">
            <v>-2.9606302360165198E-3</v>
          </cell>
          <cell r="AG86">
            <v>-3.4540101899669601E-3</v>
          </cell>
          <cell r="AR86">
            <v>7.7045119728358872E-3</v>
          </cell>
          <cell r="BC86">
            <v>1.5457565472971464E-2</v>
          </cell>
          <cell r="BF86">
            <v>2.3162077445807356E-2</v>
          </cell>
        </row>
        <row r="87">
          <cell r="O87">
            <v>1.8789764613078801</v>
          </cell>
          <cell r="P87">
            <v>1.88165606231372</v>
          </cell>
          <cell r="Q87">
            <v>1.87949145250211</v>
          </cell>
          <cell r="U87">
            <v>-4.8401883010537501E-3</v>
          </cell>
          <cell r="V87">
            <v>-4.0842899505074397E-3</v>
          </cell>
          <cell r="W87">
            <v>-4.9608691456078198E-3</v>
          </cell>
          <cell r="Y87">
            <v>1.8652915884207499</v>
          </cell>
          <cell r="Z87">
            <v>1.86968063422088</v>
          </cell>
          <cell r="AA87">
            <v>1.8682869015491701</v>
          </cell>
          <cell r="AF87">
            <v>-2.7703199922570702E-3</v>
          </cell>
          <cell r="AG87">
            <v>-3.3376098465916098E-3</v>
          </cell>
          <cell r="AR87">
            <v>7.6207326287235574E-3</v>
          </cell>
          <cell r="BC87">
            <v>1.5457565472971464E-2</v>
          </cell>
          <cell r="BF87">
            <v>2.3078298101695024E-2</v>
          </cell>
        </row>
        <row r="88">
          <cell r="O88">
            <v>1.8789764613078801</v>
          </cell>
          <cell r="P88">
            <v>1.88231490103744</v>
          </cell>
          <cell r="Q88">
            <v>1.87991973154696</v>
          </cell>
          <cell r="U88">
            <v>-3.3349687215924999E-3</v>
          </cell>
          <cell r="V88">
            <v>-1.9098885296282501E-3</v>
          </cell>
          <cell r="W88">
            <v>-3.0609255692926698E-3</v>
          </cell>
          <cell r="Y88">
            <v>1.8652915884207499</v>
          </cell>
          <cell r="Z88">
            <v>1.86997772339572</v>
          </cell>
          <cell r="AA88">
            <v>1.8685325798272101</v>
          </cell>
          <cell r="AF88">
            <v>-7.7824869563094395E-4</v>
          </cell>
          <cell r="AG88">
            <v>-1.52396557142302E-3</v>
          </cell>
          <cell r="AR88">
            <v>9.1259522081847382E-3</v>
          </cell>
          <cell r="BC88">
            <v>1.5457565472971464E-2</v>
          </cell>
          <cell r="BF88">
            <v>2.4583517681156204E-2</v>
          </cell>
        </row>
        <row r="89">
          <cell r="O89">
            <v>1.8789764613078801</v>
          </cell>
          <cell r="P89">
            <v>1.88310453926879</v>
          </cell>
          <cell r="Q89">
            <v>1.88044896653995</v>
          </cell>
          <cell r="U89">
            <v>-4.73599085951492E-3</v>
          </cell>
          <cell r="V89">
            <v>-2.9608342525855201E-3</v>
          </cell>
          <cell r="W89">
            <v>-4.2341040233330003E-3</v>
          </cell>
          <cell r="Y89">
            <v>1.8652915884207499</v>
          </cell>
          <cell r="Z89">
            <v>1.8704056357266701</v>
          </cell>
          <cell r="AA89">
            <v>1.86888207901593</v>
          </cell>
          <cell r="AF89">
            <v>-2.0471406339020899E-3</v>
          </cell>
          <cell r="AG89">
            <v>-2.8202526615686801E-3</v>
          </cell>
          <cell r="AR89">
            <v>7.7249300702623485E-3</v>
          </cell>
          <cell r="BC89">
            <v>1.5457565472971464E-2</v>
          </cell>
          <cell r="BF89">
            <v>2.3182495543233813E-2</v>
          </cell>
        </row>
        <row r="90">
          <cell r="O90">
            <v>1.8789764613078801</v>
          </cell>
          <cell r="P90">
            <v>1.8838763313147699</v>
          </cell>
          <cell r="Q90">
            <v>1.88096451927296</v>
          </cell>
          <cell r="U90">
            <v>-4.4695570961319304E-3</v>
          </cell>
          <cell r="V90">
            <v>-2.2749846682312601E-3</v>
          </cell>
          <cell r="W90">
            <v>-3.6861898845008401E-3</v>
          </cell>
          <cell r="Y90">
            <v>1.8652915884207499</v>
          </cell>
          <cell r="Z90">
            <v>1.8708124403155399</v>
          </cell>
          <cell r="AA90">
            <v>1.86921394476256</v>
          </cell>
          <cell r="AF90">
            <v>-1.5184258893862501E-3</v>
          </cell>
          <cell r="AG90">
            <v>-2.3333173399905801E-3</v>
          </cell>
          <cell r="AR90">
            <v>7.9913638336453485E-3</v>
          </cell>
          <cell r="BC90">
            <v>1.5457565472971464E-2</v>
          </cell>
          <cell r="BF90">
            <v>2.3448929306616812E-2</v>
          </cell>
        </row>
        <row r="91">
          <cell r="O91">
            <v>1.8789764613078801</v>
          </cell>
          <cell r="P91">
            <v>1.8842882644143599</v>
          </cell>
          <cell r="Q91">
            <v>1.88137144715814</v>
          </cell>
          <cell r="U91">
            <v>-2.6277878198428099E-3</v>
          </cell>
          <cell r="V91">
            <v>-2.3448481362440799E-5</v>
          </cell>
          <cell r="W91">
            <v>-1.5702934811727999E-3</v>
          </cell>
          <cell r="Y91">
            <v>1.8652915884207499</v>
          </cell>
          <cell r="Z91">
            <v>1.87085539499946</v>
          </cell>
          <cell r="AA91">
            <v>1.86942942492183</v>
          </cell>
          <cell r="AF91">
            <v>5.9159142313566597E-4</v>
          </cell>
          <cell r="AG91">
            <v>-2.6321305454612298E-4</v>
          </cell>
          <cell r="AR91">
            <v>9.8331331099344686E-3</v>
          </cell>
          <cell r="BC91">
            <v>1.5457565472971464E-2</v>
          </cell>
          <cell r="BF91">
            <v>2.5290698582905932E-2</v>
          </cell>
        </row>
        <row r="92">
          <cell r="O92">
            <v>1.8789764613078801</v>
          </cell>
          <cell r="P92">
            <v>1.8851280352845601</v>
          </cell>
          <cell r="Q92">
            <v>1.88182847875769</v>
          </cell>
          <cell r="U92">
            <v>-4.7027136711796404E-3</v>
          </cell>
          <cell r="V92">
            <v>-1.87973574047478E-3</v>
          </cell>
          <cell r="W92">
            <v>-3.4289027194249898E-3</v>
          </cell>
          <cell r="Y92">
            <v>1.8652915884207499</v>
          </cell>
          <cell r="Z92">
            <v>1.87132825294412</v>
          </cell>
          <cell r="AA92">
            <v>1.86969430541486</v>
          </cell>
          <cell r="AF92">
            <v>-1.4501366246615899E-3</v>
          </cell>
          <cell r="AG92">
            <v>-2.21262943757035E-3</v>
          </cell>
          <cell r="AR92">
            <v>9.8331331099344686E-3</v>
          </cell>
          <cell r="BC92">
            <v>1.5457565472971464E-2</v>
          </cell>
          <cell r="BF92">
            <v>2.5290698582905932E-2</v>
          </cell>
        </row>
        <row r="93">
          <cell r="O93">
            <v>1.8789764613078801</v>
          </cell>
          <cell r="P93">
            <v>1.8853716747250699</v>
          </cell>
          <cell r="Q93">
            <v>1.88199520193551</v>
          </cell>
          <cell r="U93">
            <v>-2.13544385625805E-3</v>
          </cell>
          <cell r="V93">
            <v>1.1331048564019099E-3</v>
          </cell>
          <cell r="W93">
            <v>-6.1873770318777695E-4</v>
          </cell>
          <cell r="Y93">
            <v>1.8652915884207499</v>
          </cell>
          <cell r="Z93">
            <v>1.87119169948055</v>
          </cell>
          <cell r="AA93">
            <v>1.8696706823049201</v>
          </cell>
          <cell r="AF93">
            <v>1.3904093526451501E-3</v>
          </cell>
          <cell r="AG93">
            <v>5.1687939783921495E-4</v>
          </cell>
          <cell r="AR93">
            <v>9.8331331099344686E-3</v>
          </cell>
          <cell r="BC93">
            <v>1.5457565472971464E-2</v>
          </cell>
          <cell r="BF93">
            <v>2.5290698582905932E-2</v>
          </cell>
        </row>
        <row r="94">
          <cell r="O94">
            <v>1.8789764613078801</v>
          </cell>
          <cell r="P94">
            <v>1.8852805305595</v>
          </cell>
          <cell r="Q94">
            <v>1.8820554190976799</v>
          </cell>
          <cell r="U94">
            <v>-7.2016608191016295E-4</v>
          </cell>
          <cell r="V94">
            <v>2.67761719358578E-3</v>
          </cell>
          <cell r="W94">
            <v>8.8513251973076597E-4</v>
          </cell>
          <cell r="Y94">
            <v>1.8652915884207499</v>
          </cell>
          <cell r="Z94">
            <v>1.87107423742606</v>
          </cell>
          <cell r="AA94">
            <v>1.8695301578985899</v>
          </cell>
          <cell r="AF94">
            <v>2.8160738734573599E-3</v>
          </cell>
          <cell r="AG94">
            <v>2.0028831681018302E-3</v>
          </cell>
          <cell r="AR94">
            <v>9.8331331099344686E-3</v>
          </cell>
          <cell r="BC94">
            <v>1.5457565472971464E-2</v>
          </cell>
          <cell r="BF94">
            <v>2.5290698582905932E-2</v>
          </cell>
        </row>
        <row r="95">
          <cell r="O95">
            <v>1.8789764613078801</v>
          </cell>
          <cell r="P95">
            <v>1.8856123390716699</v>
          </cell>
          <cell r="Q95">
            <v>1.88249297185317</v>
          </cell>
          <cell r="U95">
            <v>-2.9220138335153099E-3</v>
          </cell>
          <cell r="V95">
            <v>4.2742546294360098E-4</v>
          </cell>
          <cell r="W95">
            <v>-1.2847192954567801E-3</v>
          </cell>
          <cell r="Y95">
            <v>1.8652915884207499</v>
          </cell>
          <cell r="Z95">
            <v>1.87138871565742</v>
          </cell>
          <cell r="AA95">
            <v>1.8697666959228101</v>
          </cell>
          <cell r="AF95">
            <v>5.1997661994116601E-4</v>
          </cell>
          <cell r="AG95">
            <v>-3.0560098837258999E-4</v>
          </cell>
          <cell r="AR95">
            <v>9.8331331099344686E-3</v>
          </cell>
          <cell r="BC95">
            <v>1.7659413224576613E-2</v>
          </cell>
          <cell r="BF95">
            <v>2.7492546334511082E-2</v>
          </cell>
        </row>
        <row r="96">
          <cell r="O96">
            <v>1.8789764613078801</v>
          </cell>
          <cell r="P96">
            <v>1.8855492968577101</v>
          </cell>
          <cell r="Q96">
            <v>1.8829733051578199</v>
          </cell>
          <cell r="U96">
            <v>-4.4224316525112396E-3</v>
          </cell>
          <cell r="V96">
            <v>-8.9700829895938299E-4</v>
          </cell>
          <cell r="W96">
            <v>-2.5526774874167499E-3</v>
          </cell>
          <cell r="Y96">
            <v>1.8652915884207499</v>
          </cell>
          <cell r="Z96">
            <v>1.8713007886295301</v>
          </cell>
          <cell r="AA96">
            <v>1.87004508952555</v>
          </cell>
          <cell r="AF96">
            <v>-7.5624915481048796E-4</v>
          </cell>
          <cell r="AG96">
            <v>-1.6233715583452201E-3</v>
          </cell>
          <cell r="AR96">
            <v>9.8331331099344686E-3</v>
          </cell>
          <cell r="BC96">
            <v>1.7659413224576613E-2</v>
          </cell>
          <cell r="BF96">
            <v>2.7492546334511082E-2</v>
          </cell>
        </row>
        <row r="97">
          <cell r="O97">
            <v>1.8789764613078801</v>
          </cell>
          <cell r="P97">
            <v>1.8854415807372</v>
          </cell>
          <cell r="Q97">
            <v>1.8835488215254601</v>
          </cell>
          <cell r="U97">
            <v>-4.2695233377377101E-3</v>
          </cell>
          <cell r="V97">
            <v>-7.7753382768348995E-4</v>
          </cell>
          <cell r="W97">
            <v>-2.1446436333751998E-3</v>
          </cell>
          <cell r="Y97">
            <v>1.8652915884207499</v>
          </cell>
          <cell r="Z97">
            <v>1.87116899628727</v>
          </cell>
          <cell r="AA97">
            <v>1.8704248152540699</v>
          </cell>
          <cell r="AF97">
            <v>-7.2383362912845995E-4</v>
          </cell>
          <cell r="AG97">
            <v>-1.39508894313732E-3</v>
          </cell>
          <cell r="AR97">
            <v>9.8331331099344686E-3</v>
          </cell>
          <cell r="BC97">
            <v>1.7659413224576613E-2</v>
          </cell>
          <cell r="BF97">
            <v>2.7492546334511082E-2</v>
          </cell>
        </row>
        <row r="98">
          <cell r="O98">
            <v>1.8789764613078801</v>
          </cell>
          <cell r="P98">
            <v>1.8857494371746499</v>
          </cell>
          <cell r="Q98">
            <v>1.88403216910604</v>
          </cell>
          <cell r="U98">
            <v>-4.96660813370608E-3</v>
          </cell>
          <cell r="V98">
            <v>-1.53174743887949E-3</v>
          </cell>
          <cell r="W98">
            <v>-2.53613278818685E-3</v>
          </cell>
          <cell r="Y98">
            <v>1.8652915884207499</v>
          </cell>
          <cell r="Z98">
            <v>1.8714508830273</v>
          </cell>
          <cell r="AA98">
            <v>1.8707143032115101</v>
          </cell>
          <cell r="AF98">
            <v>-1.4878805671492601E-3</v>
          </cell>
          <cell r="AG98">
            <v>-1.8856688255718601E-3</v>
          </cell>
          <cell r="AR98">
            <v>9.8331331099344686E-3</v>
          </cell>
          <cell r="BC98">
            <v>1.7659413224576613E-2</v>
          </cell>
          <cell r="BF98">
            <v>2.7492546334511082E-2</v>
          </cell>
        </row>
        <row r="99">
          <cell r="O99">
            <v>1.8789764613078801</v>
          </cell>
          <cell r="P99">
            <v>1.8858790875889899</v>
          </cell>
          <cell r="Q99">
            <v>1.8844918134288899</v>
          </cell>
          <cell r="U99">
            <v>-5.4225005509934403E-3</v>
          </cell>
          <cell r="V99">
            <v>-1.8243723702892701E-3</v>
          </cell>
          <cell r="W99">
            <v>-2.7354427540644101E-3</v>
          </cell>
          <cell r="Y99">
            <v>1.8652915884207499</v>
          </cell>
          <cell r="Z99">
            <v>1.87155022309398</v>
          </cell>
          <cell r="AA99">
            <v>1.8709779294103199</v>
          </cell>
          <cell r="AF99">
            <v>-1.7896652456205E-3</v>
          </cell>
          <cell r="AG99">
            <v>-2.1833302970787399E-3</v>
          </cell>
          <cell r="AR99">
            <v>9.8331331099344686E-3</v>
          </cell>
          <cell r="BC99">
            <v>1.7659413224576613E-2</v>
          </cell>
          <cell r="BF99">
            <v>2.7492546334511082E-2</v>
          </cell>
        </row>
        <row r="100">
          <cell r="O100">
            <v>1.8789764613078801</v>
          </cell>
          <cell r="P100">
            <v>1.88625045039522</v>
          </cell>
          <cell r="Q100">
            <v>1.8850633908549901</v>
          </cell>
          <cell r="U100">
            <v>-6.4352200518775502E-3</v>
          </cell>
          <cell r="V100">
            <v>-2.7683415085449198E-3</v>
          </cell>
          <cell r="W100">
            <v>-3.5042236056230698E-3</v>
          </cell>
          <cell r="Y100">
            <v>1.8652915884207499</v>
          </cell>
          <cell r="Z100">
            <v>1.87190284754439</v>
          </cell>
          <cell r="AA100">
            <v>1.87135764392996</v>
          </cell>
          <cell r="AF100">
            <v>-2.78732025684087E-3</v>
          </cell>
          <cell r="AG100">
            <v>-3.0931529265204598E-3</v>
          </cell>
          <cell r="AR100">
            <v>9.8331331099344686E-3</v>
          </cell>
          <cell r="BC100">
            <v>1.7659413224576613E-2</v>
          </cell>
          <cell r="BF100">
            <v>2.7492546334511082E-2</v>
          </cell>
        </row>
        <row r="101">
          <cell r="O101">
            <v>1.8789764613078801</v>
          </cell>
          <cell r="P101">
            <v>1.8869691076120401</v>
          </cell>
          <cell r="Q101">
            <v>1.8856286860132001</v>
          </cell>
          <cell r="U101">
            <v>-6.4352200518775502E-3</v>
          </cell>
          <cell r="V101">
            <v>-2.5714432823858401E-3</v>
          </cell>
          <cell r="W101">
            <v>-3.2009637250743298E-3</v>
          </cell>
          <cell r="Y101">
            <v>1.8652915884207499</v>
          </cell>
          <cell r="Z101">
            <v>1.8726096574296101</v>
          </cell>
          <cell r="AA101">
            <v>1.8717325262145299</v>
          </cell>
          <cell r="AF101">
            <v>-2.5989249732368898E-3</v>
          </cell>
          <cell r="AG101">
            <v>-2.8902237591597701E-3</v>
          </cell>
          <cell r="AR101">
            <v>9.8331331099344686E-3</v>
          </cell>
          <cell r="BC101">
            <v>1.7659413224576613E-2</v>
          </cell>
          <cell r="BF101">
            <v>2.7492546334511082E-2</v>
          </cell>
        </row>
        <row r="102">
          <cell r="O102">
            <v>1.8789764613078801</v>
          </cell>
          <cell r="P102">
            <v>1.8878284472773501</v>
          </cell>
          <cell r="Q102">
            <v>1.88647824128095</v>
          </cell>
          <cell r="U102">
            <v>-9.2443732047961594E-3</v>
          </cell>
          <cell r="V102">
            <v>-4.9996712256993496E-3</v>
          </cell>
          <cell r="W102">
            <v>-5.71028058750765E-3</v>
          </cell>
          <cell r="Y102">
            <v>1.8652915884207499</v>
          </cell>
          <cell r="Z102">
            <v>1.87346250450246</v>
          </cell>
          <cell r="AA102">
            <v>1.8723953787232901</v>
          </cell>
          <cell r="AF102">
            <v>-5.0545561766015103E-3</v>
          </cell>
          <cell r="AG102">
            <v>-5.5230663650959102E-3</v>
          </cell>
          <cell r="AR102">
            <v>7.023979957015869E-3</v>
          </cell>
          <cell r="BC102">
            <v>1.7659413224576613E-2</v>
          </cell>
          <cell r="BF102">
            <v>2.4683393181592482E-2</v>
          </cell>
        </row>
        <row r="103">
          <cell r="O103">
            <v>1.8789764613078801</v>
          </cell>
          <cell r="P103">
            <v>1.88888411176236</v>
          </cell>
          <cell r="Q103">
            <v>1.8871278932437101</v>
          </cell>
          <cell r="U103">
            <v>-7.7260976557464098E-3</v>
          </cell>
          <cell r="V103">
            <v>-3.0260919589484999E-3</v>
          </cell>
          <cell r="W103">
            <v>-3.7415643174023299E-3</v>
          </cell>
          <cell r="Y103">
            <v>1.8652915884207499</v>
          </cell>
          <cell r="Z103">
            <v>1.8745178776109199</v>
          </cell>
          <cell r="AA103">
            <v>1.8728547885457301</v>
          </cell>
          <cell r="AF103">
            <v>-3.1013995698514298E-3</v>
          </cell>
          <cell r="AG103">
            <v>-3.6711626742216299E-3</v>
          </cell>
          <cell r="AR103">
            <v>8.5422555060656394E-3</v>
          </cell>
          <cell r="BC103">
            <v>1.7659413224576613E-2</v>
          </cell>
          <cell r="BF103">
            <v>2.6201668730642252E-2</v>
          </cell>
        </row>
        <row r="104">
          <cell r="O104">
            <v>1.8789764613078801</v>
          </cell>
          <cell r="P104">
            <v>1.89045618335911</v>
          </cell>
          <cell r="Q104">
            <v>1.88786835695931</v>
          </cell>
          <cell r="U104">
            <v>-9.04602458631199E-3</v>
          </cell>
          <cell r="V104">
            <v>-3.7869800450163402E-3</v>
          </cell>
          <cell r="W104">
            <v>-4.7171776412913702E-3</v>
          </cell>
          <cell r="Y104">
            <v>1.8652915884207499</v>
          </cell>
          <cell r="Z104">
            <v>1.8757114542565001</v>
          </cell>
          <cell r="AA104">
            <v>1.8733928458412801</v>
          </cell>
          <cell r="AF104">
            <v>-1.7842461290058099E-3</v>
          </cell>
          <cell r="AG104">
            <v>-2.6718488963481898E-3</v>
          </cell>
          <cell r="AR104">
            <v>8.5422555060656394E-3</v>
          </cell>
          <cell r="BC104">
            <v>1.7659413224576613E-2</v>
          </cell>
          <cell r="BF104">
            <v>2.6201668730642252E-2</v>
          </cell>
        </row>
        <row r="105">
          <cell r="O105">
            <v>1.8789764613078801</v>
          </cell>
          <cell r="P105">
            <v>1.89183612438409</v>
          </cell>
          <cell r="Q105">
            <v>1.8887242317278801</v>
          </cell>
          <cell r="U105">
            <v>-1.02180151276565E-2</v>
          </cell>
          <cell r="V105">
            <v>-4.1270414322422903E-3</v>
          </cell>
          <cell r="W105">
            <v>-5.49686913065654E-3</v>
          </cell>
          <cell r="Y105">
            <v>1.8652915884207499</v>
          </cell>
          <cell r="Z105">
            <v>1.8767072373372999</v>
          </cell>
          <cell r="AA105">
            <v>1.8740479764973601</v>
          </cell>
          <cell r="AF105">
            <v>-2.3153457047147899E-3</v>
          </cell>
          <cell r="AG105">
            <v>-3.5522324516433701E-3</v>
          </cell>
          <cell r="AR105">
            <v>8.5422555060656394E-3</v>
          </cell>
          <cell r="BC105">
            <v>1.7659413224576613E-2</v>
          </cell>
          <cell r="BF105">
            <v>2.6201668730642252E-2</v>
          </cell>
        </row>
        <row r="106">
          <cell r="O106">
            <v>1.8789764613078801</v>
          </cell>
          <cell r="P106">
            <v>1.8924615438625101</v>
          </cell>
          <cell r="Q106">
            <v>1.8890054203601101</v>
          </cell>
          <cell r="U106">
            <v>-7.73077693801237E-3</v>
          </cell>
          <cell r="V106">
            <v>-9.1011818712317396E-4</v>
          </cell>
          <cell r="W106">
            <v>-2.55637856436544E-3</v>
          </cell>
          <cell r="Y106">
            <v>1.8652915884207499</v>
          </cell>
          <cell r="Z106">
            <v>1.8769550083480699</v>
          </cell>
          <cell r="AA106">
            <v>1.8741278984887999</v>
          </cell>
          <cell r="AF106">
            <v>7.5961846934648203E-4</v>
          </cell>
          <cell r="AG106">
            <v>-6.5836864733291903E-4</v>
          </cell>
          <cell r="AR106">
            <v>1.1029493695709939E-2</v>
          </cell>
          <cell r="BC106">
            <v>1.7659413224576613E-2</v>
          </cell>
          <cell r="BF106">
            <v>2.8688906920286552E-2</v>
          </cell>
        </row>
        <row r="107">
          <cell r="O107">
            <v>1.8789764613078801</v>
          </cell>
          <cell r="P107">
            <v>1.8931808339623999</v>
          </cell>
          <cell r="Q107">
            <v>1.8893112073498</v>
          </cell>
          <cell r="U107">
            <v>-8.0740629096493106E-3</v>
          </cell>
          <cell r="V107">
            <v>-9.2287017917053898E-4</v>
          </cell>
          <cell r="W107">
            <v>-2.75079806929051E-3</v>
          </cell>
          <cell r="Y107">
            <v>1.8652915884207499</v>
          </cell>
          <cell r="Z107">
            <v>1.87728533860606</v>
          </cell>
          <cell r="AA107">
            <v>1.87422716744666</v>
          </cell>
          <cell r="AF107">
            <v>5.3074296719559104E-4</v>
          </cell>
          <cell r="AG107">
            <v>-9.7661395600920397E-4</v>
          </cell>
          <cell r="AR107">
            <v>1.1029493695709939E-2</v>
          </cell>
          <cell r="BC107">
            <v>1.7659413224576613E-2</v>
          </cell>
          <cell r="BF107">
            <v>2.8688906920286552E-2</v>
          </cell>
        </row>
        <row r="108">
          <cell r="O108">
            <v>1.8789764613078801</v>
          </cell>
          <cell r="P108">
            <v>1.89372207758157</v>
          </cell>
          <cell r="Q108">
            <v>1.8897357573781099</v>
          </cell>
          <cell r="U108">
            <v>-7.8287609802297608E-3</v>
          </cell>
          <cell r="V108">
            <v>-2.9755871014838602E-4</v>
          </cell>
          <cell r="W108">
            <v>-2.3436319974548701E-3</v>
          </cell>
          <cell r="Y108">
            <v>1.8652915884207499</v>
          </cell>
          <cell r="Z108">
            <v>1.87742393058474</v>
          </cell>
          <cell r="AA108">
            <v>1.8744374068060199</v>
          </cell>
          <cell r="AF108">
            <v>1.0362206603514001E-3</v>
          </cell>
          <cell r="AG108">
            <v>-5.9414673512989396E-4</v>
          </cell>
          <cell r="AR108">
            <v>1.1029493695709939E-2</v>
          </cell>
          <cell r="BC108">
            <v>1.7659413224576613E-2</v>
          </cell>
          <cell r="BF108">
            <v>2.8688906920286552E-2</v>
          </cell>
        </row>
        <row r="109">
          <cell r="O109">
            <v>1.8789764613078801</v>
          </cell>
          <cell r="P109">
            <v>1.89411154469625</v>
          </cell>
          <cell r="Q109">
            <v>1.88999531614262</v>
          </cell>
          <cell r="U109">
            <v>-7.4819314054233796E-3</v>
          </cell>
          <cell r="V109">
            <v>3.3512114151942603E-4</v>
          </cell>
          <cell r="W109">
            <v>-1.77211612789898E-3</v>
          </cell>
          <cell r="Y109">
            <v>1.8652915884207499</v>
          </cell>
          <cell r="Z109">
            <v>1.8774093325688399</v>
          </cell>
          <cell r="AA109">
            <v>1.87447977783141</v>
          </cell>
          <cell r="AF109">
            <v>1.4747862386590501E-3</v>
          </cell>
          <cell r="AG109">
            <v>-1.17236568658642E-4</v>
          </cell>
          <cell r="AR109">
            <v>1.1029493695709939E-2</v>
          </cell>
          <cell r="BC109">
            <v>1.7659413224576613E-2</v>
          </cell>
          <cell r="BF109">
            <v>2.8688906920286552E-2</v>
          </cell>
        </row>
        <row r="110">
          <cell r="O110">
            <v>1.8789764613078801</v>
          </cell>
          <cell r="P110">
            <v>1.8939356394634199</v>
          </cell>
          <cell r="Q110">
            <v>1.8900930449293201</v>
          </cell>
          <cell r="U110">
            <v>-5.5046165097440399E-3</v>
          </cell>
          <cell r="V110">
            <v>2.51807712647972E-3</v>
          </cell>
          <cell r="W110">
            <v>3.4254121879970001E-4</v>
          </cell>
          <cell r="Y110">
            <v>1.8652915884207499</v>
          </cell>
          <cell r="Z110">
            <v>1.87683401703305</v>
          </cell>
          <cell r="AA110">
            <v>1.87436843228872</v>
          </cell>
          <cell r="AF110">
            <v>3.4085650469173599E-3</v>
          </cell>
          <cell r="AG110">
            <v>1.8469222336083399E-3</v>
          </cell>
          <cell r="AR110">
            <v>1.1029493695709939E-2</v>
          </cell>
          <cell r="BC110">
            <v>1.7659413224576613E-2</v>
          </cell>
          <cell r="BF110">
            <v>2.8688906920286552E-2</v>
          </cell>
        </row>
        <row r="111">
          <cell r="O111">
            <v>1.8789764613078801</v>
          </cell>
          <cell r="P111">
            <v>1.89395936996514</v>
          </cell>
          <cell r="Q111">
            <v>1.8904642387885899</v>
          </cell>
          <cell r="U111">
            <v>-6.5606968861026101E-3</v>
          </cell>
          <cell r="V111">
            <v>1.36912291597876E-3</v>
          </cell>
          <cell r="W111">
            <v>-6.6183201349690498E-4</v>
          </cell>
          <cell r="Y111">
            <v>1.8652915884207499</v>
          </cell>
          <cell r="Z111">
            <v>1.87645138194298</v>
          </cell>
          <cell r="AA111">
            <v>1.8745305196863</v>
          </cell>
          <cell r="AF111">
            <v>2.0727923245581802E-3</v>
          </cell>
          <cell r="AG111">
            <v>7.5823512179432398E-4</v>
          </cell>
          <cell r="AR111">
            <v>1.1029493695709939E-2</v>
          </cell>
          <cell r="BC111">
            <v>1.8715493600935142E-2</v>
          </cell>
          <cell r="BF111">
            <v>2.9744987296645084E-2</v>
          </cell>
        </row>
        <row r="112">
          <cell r="O112">
            <v>1.8789764613078801</v>
          </cell>
          <cell r="P112">
            <v>1.8934689077160201</v>
          </cell>
          <cell r="Q112">
            <v>1.89064867749668</v>
          </cell>
          <cell r="U112">
            <v>-6.6547792810482198E-3</v>
          </cell>
          <cell r="V112">
            <v>1.2875701722813301E-3</v>
          </cell>
          <cell r="W112">
            <v>-5.5954449120306795E-4</v>
          </cell>
          <cell r="Y112">
            <v>1.8652915884207499</v>
          </cell>
          <cell r="Z112">
            <v>1.8755721678458701</v>
          </cell>
          <cell r="AA112">
            <v>1.8745173361741601</v>
          </cell>
          <cell r="AF112">
            <v>1.67727830854662E-3</v>
          </cell>
          <cell r="AG112">
            <v>6.5308652358417102E-4</v>
          </cell>
          <cell r="AR112">
            <v>1.1029493695709939E-2</v>
          </cell>
          <cell r="BC112">
            <v>1.880957599588064E-2</v>
          </cell>
          <cell r="BF112">
            <v>2.9839069691590583E-2</v>
          </cell>
        </row>
        <row r="113">
          <cell r="O113">
            <v>1.8789764613078801</v>
          </cell>
          <cell r="P113">
            <v>1.8932205780154201</v>
          </cell>
          <cell r="Q113">
            <v>1.8910523448888901</v>
          </cell>
          <cell r="U113">
            <v>-6.41378638917218E-3</v>
          </cell>
          <cell r="V113">
            <v>1.2695681916961199E-3</v>
          </cell>
          <cell r="W113">
            <v>-2.20993704431206E-4</v>
          </cell>
          <cell r="Y113">
            <v>1.8652915884207499</v>
          </cell>
          <cell r="Z113">
            <v>1.87492950882522</v>
          </cell>
          <cell r="AA113">
            <v>1.87472369321807</v>
          </cell>
          <cell r="AF113">
            <v>1.4496099025695199E-3</v>
          </cell>
          <cell r="AG113">
            <v>8.8704642327588304E-4</v>
          </cell>
          <cell r="AR113">
            <v>1.1029493695709939E-2</v>
          </cell>
          <cell r="BC113">
            <v>1.8568583104004641E-2</v>
          </cell>
          <cell r="BF113">
            <v>2.9598076799714584E-2</v>
          </cell>
        </row>
        <row r="114">
          <cell r="O114">
            <v>1.8789764613078801</v>
          </cell>
          <cell r="P114">
            <v>1.8926154940390301</v>
          </cell>
          <cell r="Q114">
            <v>1.8915358386990699</v>
          </cell>
          <cell r="U114">
            <v>-5.8496359630307799E-3</v>
          </cell>
          <cell r="V114">
            <v>1.7025593549057001E-3</v>
          </cell>
          <cell r="W114">
            <v>5.5664128400166905E-4</v>
          </cell>
          <cell r="Y114">
            <v>1.8652915884207499</v>
          </cell>
          <cell r="Z114">
            <v>1.87432778015197</v>
          </cell>
          <cell r="AA114">
            <v>1.8750196172042399</v>
          </cell>
          <cell r="AF114">
            <v>1.6447903030543799E-3</v>
          </cell>
          <cell r="AG114">
            <v>1.5350118268758501E-3</v>
          </cell>
          <cell r="AR114">
            <v>1.1029493695709939E-2</v>
          </cell>
          <cell r="BC114">
            <v>1.8004432677863422E-2</v>
          </cell>
          <cell r="BF114">
            <v>2.9033926373573365E-2</v>
          </cell>
        </row>
        <row r="115">
          <cell r="O115">
            <v>1.8789764613078801</v>
          </cell>
          <cell r="P115">
            <v>1.8919086446653</v>
          </cell>
          <cell r="Q115">
            <v>1.8918723845246901</v>
          </cell>
          <cell r="U115">
            <v>-6.4874231986951003E-3</v>
          </cell>
          <cell r="V115">
            <v>7.4511539347076896E-4</v>
          </cell>
          <cell r="W115">
            <v>1.7449584138797599E-4</v>
          </cell>
          <cell r="Y115">
            <v>1.8652915884207499</v>
          </cell>
          <cell r="Z115">
            <v>1.8736309723258799</v>
          </cell>
          <cell r="AA115">
            <v>1.8751691048315899</v>
          </cell>
          <cell r="AF115">
            <v>6.5989532688746E-4</v>
          </cell>
          <cell r="AG115">
            <v>1.0289393160385601E-3</v>
          </cell>
          <cell r="AR115">
            <v>1.1029493695709939E-2</v>
          </cell>
          <cell r="BC115">
            <v>1.8642219913527824E-2</v>
          </cell>
          <cell r="BF115">
            <v>2.9671713609237767E-2</v>
          </cell>
        </row>
        <row r="116">
          <cell r="O116">
            <v>1.8789764613078801</v>
          </cell>
          <cell r="P116">
            <v>1.89153311276796</v>
          </cell>
          <cell r="Q116">
            <v>1.89199732831524</v>
          </cell>
          <cell r="U116">
            <v>-5.7456007264443301E-3</v>
          </cell>
          <cell r="V116">
            <v>1.1133905683400099E-3</v>
          </cell>
          <cell r="W116">
            <v>1.0942244800655099E-3</v>
          </cell>
          <cell r="Y116">
            <v>1.8652915884207499</v>
          </cell>
          <cell r="Z116">
            <v>1.87325741309048</v>
          </cell>
          <cell r="AA116">
            <v>1.87510621071927</v>
          </cell>
          <cell r="AF116">
            <v>1.11309420290128E-3</v>
          </cell>
          <cell r="AG116">
            <v>1.9336941604138199E-3</v>
          </cell>
          <cell r="AR116">
            <v>1.1029493695709939E-2</v>
          </cell>
          <cell r="BC116">
            <v>1.7900397441276916E-2</v>
          </cell>
          <cell r="BF116">
            <v>2.8929891136986859E-2</v>
          </cell>
        </row>
        <row r="117">
          <cell r="O117">
            <v>1.8789764613078801</v>
          </cell>
          <cell r="P117">
            <v>1.89092982666849</v>
          </cell>
          <cell r="Q117">
            <v>1.8920553303154499</v>
          </cell>
          <cell r="U117">
            <v>-4.8840828420359198E-3</v>
          </cell>
          <cell r="V117">
            <v>1.77639507649047E-3</v>
          </cell>
          <cell r="W117">
            <v>2.0217825825947101E-3</v>
          </cell>
          <cell r="Y117">
            <v>1.8652915884207499</v>
          </cell>
          <cell r="Z117">
            <v>1.8726508572987499</v>
          </cell>
          <cell r="AA117">
            <v>1.8749680979523999</v>
          </cell>
          <cell r="AF117">
            <v>1.79735200209322E-3</v>
          </cell>
          <cell r="AG117">
            <v>2.7838079408796E-3</v>
          </cell>
          <cell r="AR117">
            <v>1.1029493695709939E-2</v>
          </cell>
          <cell r="BC117">
            <v>1.7038879556868506E-2</v>
          </cell>
          <cell r="BF117">
            <v>2.8068373252578448E-2</v>
          </cell>
        </row>
        <row r="118">
          <cell r="O118">
            <v>1.8789764613078801</v>
          </cell>
          <cell r="P118">
            <v>1.8904135968572799</v>
          </cell>
          <cell r="Q118">
            <v>1.8920678372194299</v>
          </cell>
          <cell r="U118">
            <v>-5.09906446997971E-3</v>
          </cell>
          <cell r="V118">
            <v>1.2424222968854201E-3</v>
          </cell>
          <cell r="W118">
            <v>1.8374569763554599E-3</v>
          </cell>
          <cell r="Y118">
            <v>1.8652915884207499</v>
          </cell>
          <cell r="Z118">
            <v>1.8721379706215999</v>
          </cell>
          <cell r="AA118">
            <v>1.8747809506031701</v>
          </cell>
          <cell r="AF118">
            <v>1.30309877985772E-3</v>
          </cell>
          <cell r="AG118">
            <v>2.5397458224933902E-3</v>
          </cell>
          <cell r="AR118">
            <v>1.1029493695709939E-2</v>
          </cell>
          <cell r="BC118">
            <v>1.7253861184812477E-2</v>
          </cell>
          <cell r="BF118">
            <v>2.8283354880522419E-2</v>
          </cell>
        </row>
        <row r="119">
          <cell r="O119">
            <v>1.8789764613078801</v>
          </cell>
          <cell r="P119">
            <v>1.8898911816599</v>
          </cell>
          <cell r="Q119">
            <v>1.8920013631780801</v>
          </cell>
          <cell r="U119">
            <v>-4.7185232845190998E-3</v>
          </cell>
          <cell r="V119">
            <v>1.3499230537999799E-3</v>
          </cell>
          <cell r="W119">
            <v>2.2246083610220901E-3</v>
          </cell>
          <cell r="Y119">
            <v>1.8652915884207499</v>
          </cell>
          <cell r="Z119">
            <v>1.8716181218012999</v>
          </cell>
          <cell r="AA119">
            <v>1.87451372718507</v>
          </cell>
          <cell r="AF119">
            <v>1.4321623798417399E-3</v>
          </cell>
          <cell r="AG119">
            <v>2.842911037862E-3</v>
          </cell>
          <cell r="AR119">
            <v>1.1029493695709939E-2</v>
          </cell>
          <cell r="BC119">
            <v>1.6873319999351835E-2</v>
          </cell>
          <cell r="BF119">
            <v>2.7902813695061777E-2</v>
          </cell>
        </row>
        <row r="120">
          <cell r="O120">
            <v>1.8789764613078801</v>
          </cell>
          <cell r="P120">
            <v>1.8901068869373101</v>
          </cell>
          <cell r="Q120">
            <v>1.8920212632003699</v>
          </cell>
          <cell r="U120">
            <v>-6.6456568774148897E-3</v>
          </cell>
          <cell r="V120">
            <v>-8.5359841325481796E-4</v>
          </cell>
          <cell r="W120">
            <v>2.6234113930712798E-4</v>
          </cell>
          <cell r="Y120">
            <v>1.8652915884207499</v>
          </cell>
          <cell r="Z120">
            <v>1.8718216687426601</v>
          </cell>
          <cell r="AA120">
            <v>1.87432784288786</v>
          </cell>
          <cell r="AF120">
            <v>-7.6818542747543396E-4</v>
          </cell>
          <cell r="AG120">
            <v>7.7773237636566102E-4</v>
          </cell>
          <cell r="AR120">
            <v>1.1029493695709939E-2</v>
          </cell>
          <cell r="BC120">
            <v>1.8800453592247565E-2</v>
          </cell>
          <cell r="BF120">
            <v>2.9829947287957508E-2</v>
          </cell>
        </row>
        <row r="121">
          <cell r="O121">
            <v>1.8789764613078801</v>
          </cell>
          <cell r="P121">
            <v>1.89008683977551</v>
          </cell>
          <cell r="Q121">
            <v>1.89202310487032</v>
          </cell>
          <cell r="U121">
            <v>-6.4546970243421001E-3</v>
          </cell>
          <cell r="V121">
            <v>-5.4850872533988902E-4</v>
          </cell>
          <cell r="W121">
            <v>4.6381891166979799E-4</v>
          </cell>
          <cell r="Y121">
            <v>1.8652915884207499</v>
          </cell>
          <cell r="Z121">
            <v>1.8717984557946099</v>
          </cell>
          <cell r="AA121">
            <v>1.8741249188688001</v>
          </cell>
          <cell r="AF121">
            <v>-4.7747462773510302E-4</v>
          </cell>
          <cell r="AG121">
            <v>8.6052563696601802E-4</v>
          </cell>
          <cell r="AR121">
            <v>1.1029493695709939E-2</v>
          </cell>
          <cell r="BC121">
            <v>1.8609493739174761E-2</v>
          </cell>
          <cell r="BF121">
            <v>2.9638987434884703E-2</v>
          </cell>
        </row>
        <row r="122">
          <cell r="O122">
            <v>1.8789764613078801</v>
          </cell>
          <cell r="P122">
            <v>1.8897979290072799</v>
          </cell>
          <cell r="Q122">
            <v>1.8916334183616501</v>
          </cell>
          <cell r="U122">
            <v>-5.1262134856555697E-3</v>
          </cell>
          <cell r="V122">
            <v>7.6936839301658996E-4</v>
          </cell>
          <cell r="W122">
            <v>1.79327583744169E-3</v>
          </cell>
          <cell r="Y122">
            <v>1.8652915884207499</v>
          </cell>
          <cell r="Z122">
            <v>1.87149492134924</v>
          </cell>
          <cell r="AA122">
            <v>1.8735335445975501</v>
          </cell>
          <cell r="AF122">
            <v>8.1618551846622197E-4</v>
          </cell>
          <cell r="AG122">
            <v>2.0583163047209899E-3</v>
          </cell>
          <cell r="AR122">
            <v>1.1029493695709939E-2</v>
          </cell>
          <cell r="BC122">
            <v>1.7281010200488302E-2</v>
          </cell>
          <cell r="BF122">
            <v>2.8310503896198245E-2</v>
          </cell>
        </row>
        <row r="123">
          <cell r="O123">
            <v>1.8789764613078801</v>
          </cell>
          <cell r="P123">
            <v>1.8899326538053201</v>
          </cell>
          <cell r="Q123">
            <v>1.89157661591037</v>
          </cell>
          <cell r="U123">
            <v>-7.1259603226354702E-3</v>
          </cell>
          <cell r="V123">
            <v>-1.38324594467537E-3</v>
          </cell>
          <cell r="W123">
            <v>-4.1245508274571701E-4</v>
          </cell>
          <cell r="Y123">
            <v>1.8652915884207499</v>
          </cell>
          <cell r="Z123">
            <v>1.8716125833488</v>
          </cell>
          <cell r="AA123">
            <v>1.8732710460870099</v>
          </cell>
          <cell r="AF123">
            <v>-1.35467649268458E-3</v>
          </cell>
          <cell r="AG123">
            <v>-2.6596730491051501E-4</v>
          </cell>
          <cell r="AR123">
            <v>1.1029493695709939E-2</v>
          </cell>
          <cell r="BC123">
            <v>1.9280757037468125E-2</v>
          </cell>
          <cell r="BF123">
            <v>3.0310250733178067E-2</v>
          </cell>
        </row>
        <row r="124">
          <cell r="O124">
            <v>1.8789764613078801</v>
          </cell>
          <cell r="P124">
            <v>1.8901854213329901</v>
          </cell>
          <cell r="Q124">
            <v>1.89140045768601</v>
          </cell>
          <cell r="U124">
            <v>-7.1861367741290899E-3</v>
          </cell>
          <cell r="V124">
            <v>-1.3721343532019799E-3</v>
          </cell>
          <cell r="W124">
            <v>-5.0266024042654503E-4</v>
          </cell>
          <cell r="Y124">
            <v>1.8652915884207499</v>
          </cell>
          <cell r="Z124">
            <v>1.8718363565002201</v>
          </cell>
          <cell r="AA124">
            <v>1.87308206832609</v>
          </cell>
          <cell r="AF124">
            <v>-1.32062217309191E-3</v>
          </cell>
          <cell r="AG124">
            <v>-4.3490020640693701E-4</v>
          </cell>
          <cell r="AR124">
            <v>1.1029493695709939E-2</v>
          </cell>
          <cell r="BC124">
            <v>1.9280757037468125E-2</v>
          </cell>
          <cell r="BF124">
            <v>3.0310250733178067E-2</v>
          </cell>
        </row>
        <row r="125">
          <cell r="O125">
            <v>1.8789764613078801</v>
          </cell>
          <cell r="P125">
            <v>1.8905043964469701</v>
          </cell>
          <cell r="Q125">
            <v>1.8912065205561399</v>
          </cell>
          <cell r="U125">
            <v>-8.1726254135198202E-3</v>
          </cell>
          <cell r="V125">
            <v>-2.2248877372237201E-3</v>
          </cell>
          <cell r="W125">
            <v>-1.5822809401289399E-3</v>
          </cell>
          <cell r="Y125">
            <v>1.8652915884207499</v>
          </cell>
          <cell r="Z125">
            <v>1.8717342549931</v>
          </cell>
          <cell r="AA125">
            <v>1.8726826136594901</v>
          </cell>
          <cell r="AF125">
            <v>-1.2497985004985001E-4</v>
          </cell>
          <cell r="AG125">
            <v>5.4030132860853695E-4</v>
          </cell>
          <cell r="AR125">
            <v>1.1029493695709939E-2</v>
          </cell>
          <cell r="BC125">
            <v>1.9280757037468125E-2</v>
          </cell>
          <cell r="BF125">
            <v>3.0310250733178067E-2</v>
          </cell>
        </row>
        <row r="126">
          <cell r="O126">
            <v>1.8789764613078801</v>
          </cell>
          <cell r="P126">
            <v>1.89082295107285</v>
          </cell>
          <cell r="Q126">
            <v>1.8911780319203999</v>
          </cell>
          <cell r="U126">
            <v>-7.4298311825483796E-3</v>
          </cell>
          <cell r="V126">
            <v>-1.31335439772513E-3</v>
          </cell>
          <cell r="W126">
            <v>-9.4202822677133004E-4</v>
          </cell>
          <cell r="Y126">
            <v>1.8652915884207499</v>
          </cell>
          <cell r="Z126">
            <v>1.8716567734204499</v>
          </cell>
          <cell r="AA126">
            <v>1.8724570932554601</v>
          </cell>
          <cell r="AF126">
            <v>5.1434301687689897E-4</v>
          </cell>
          <cell r="AG126">
            <v>1.0208884790606501E-3</v>
          </cell>
          <cell r="AR126">
            <v>1.1029493695709939E-2</v>
          </cell>
          <cell r="BC126">
            <v>1.9280757037468125E-2</v>
          </cell>
          <cell r="BF126">
            <v>3.0310250733178067E-2</v>
          </cell>
        </row>
        <row r="127">
          <cell r="O127">
            <v>1.8789764613078801</v>
          </cell>
          <cell r="P127">
            <v>1.8910685735823101</v>
          </cell>
          <cell r="Q127">
            <v>1.8909992001253999</v>
          </cell>
          <cell r="U127">
            <v>-6.1840829019916997E-3</v>
          </cell>
          <cell r="V127">
            <v>1.00882139653654E-4</v>
          </cell>
          <cell r="W127">
            <v>2.8865620433430098E-4</v>
          </cell>
          <cell r="Y127">
            <v>1.8652915884207499</v>
          </cell>
          <cell r="Z127">
            <v>1.87151068100054</v>
          </cell>
          <cell r="AA127">
            <v>1.8720807691496399</v>
          </cell>
          <cell r="AF127">
            <v>1.72411085203959E-3</v>
          </cell>
          <cell r="AG127">
            <v>2.1516191360822401E-3</v>
          </cell>
          <cell r="AR127">
            <v>1.1029493695709939E-2</v>
          </cell>
          <cell r="BC127">
            <v>1.9280757037468125E-2</v>
          </cell>
          <cell r="BF127">
            <v>3.0310250733178067E-2</v>
          </cell>
        </row>
        <row r="128">
          <cell r="O128">
            <v>1.8789764613078801</v>
          </cell>
          <cell r="P128">
            <v>1.89130550598073</v>
          </cell>
          <cell r="Q128">
            <v>1.8908595514190101</v>
          </cell>
          <cell r="U128">
            <v>-6.3528300285946703E-3</v>
          </cell>
          <cell r="V128">
            <v>6.2029013555613499E-5</v>
          </cell>
          <cell r="W128">
            <v>2.5343548849302701E-5</v>
          </cell>
          <cell r="Y128">
            <v>1.8652915884207499</v>
          </cell>
          <cell r="Z128">
            <v>1.8713520363219001</v>
          </cell>
          <cell r="AA128">
            <v>1.87174500347175</v>
          </cell>
          <cell r="AF128">
            <v>1.54268749701283E-3</v>
          </cell>
          <cell r="AG128">
            <v>1.8472550018279099E-3</v>
          </cell>
          <cell r="AR128">
            <v>1.1029493695709939E-2</v>
          </cell>
          <cell r="BC128">
            <v>1.9449504164071076E-2</v>
          </cell>
          <cell r="BF128">
            <v>3.0478997859781018E-2</v>
          </cell>
        </row>
        <row r="129">
          <cell r="O129">
            <v>1.8789764613078801</v>
          </cell>
          <cell r="P129">
            <v>1.8916354444875101</v>
          </cell>
          <cell r="Q129">
            <v>1.89076331307371</v>
          </cell>
          <cell r="U129">
            <v>-6.4646799580632399E-3</v>
          </cell>
          <cell r="V129">
            <v>7.5461456347825307E-5</v>
          </cell>
          <cell r="W129">
            <v>-1.6035826966803401E-4</v>
          </cell>
          <cell r="Y129">
            <v>1.8652915884207499</v>
          </cell>
          <cell r="Z129">
            <v>1.8712845136024301</v>
          </cell>
          <cell r="AA129">
            <v>1.8714513177018699</v>
          </cell>
          <cell r="AF129">
            <v>1.3735223391187501E-3</v>
          </cell>
          <cell r="AG129">
            <v>1.58349132849374E-3</v>
          </cell>
          <cell r="AR129">
            <v>1.1029493695709939E-2</v>
          </cell>
          <cell r="BC129">
            <v>1.9561354093539554E-2</v>
          </cell>
          <cell r="BF129">
            <v>3.0590847789249496E-2</v>
          </cell>
        </row>
        <row r="130">
          <cell r="O130">
            <v>1.8789764613078801</v>
          </cell>
          <cell r="P130">
            <v>1.89184367269842</v>
          </cell>
          <cell r="Q130">
            <v>1.8909752798178601</v>
          </cell>
          <cell r="U130">
            <v>-7.74591128476795E-3</v>
          </cell>
          <cell r="V130">
            <v>-1.0313349468759399E-3</v>
          </cell>
          <cell r="W130">
            <v>-1.49248750384229E-3</v>
          </cell>
          <cell r="Y130">
            <v>1.8652915884207499</v>
          </cell>
          <cell r="Z130">
            <v>1.87109886264923</v>
          </cell>
          <cell r="AA130">
            <v>1.87146026569595</v>
          </cell>
          <cell r="AF130">
            <v>4.5210179025643901E-5</v>
          </cell>
          <cell r="AG130">
            <v>1.34345029607881E-4</v>
          </cell>
          <cell r="AR130">
            <v>1.1029493695709939E-2</v>
          </cell>
          <cell r="BC130">
            <v>2.0842585420244236E-2</v>
          </cell>
          <cell r="BF130">
            <v>3.1872079115954181E-2</v>
          </cell>
        </row>
        <row r="131">
          <cell r="O131">
            <v>1.8789764613078801</v>
          </cell>
          <cell r="P131">
            <v>1.8918909304660401</v>
          </cell>
          <cell r="Q131">
            <v>1.8909888851207699</v>
          </cell>
          <cell r="U131">
            <v>-6.7045556612287003E-3</v>
          </cell>
          <cell r="V131">
            <v>1.2009302260256599E-4</v>
          </cell>
          <cell r="W131">
            <v>-3.39031723630922E-4</v>
          </cell>
          <cell r="Y131">
            <v>1.8652915884207499</v>
          </cell>
          <cell r="Z131">
            <v>1.87075969965199</v>
          </cell>
          <cell r="AA131">
            <v>1.8712790777232999</v>
          </cell>
          <cell r="AF131">
            <v>9.4901743379286103E-4</v>
          </cell>
          <cell r="AG131">
            <v>1.14214894377942E-3</v>
          </cell>
          <cell r="AR131">
            <v>1.1029493695709939E-2</v>
          </cell>
          <cell r="BC131">
            <v>1.9801229796705216E-2</v>
          </cell>
          <cell r="BF131">
            <v>3.0830723492415162E-2</v>
          </cell>
        </row>
        <row r="132">
          <cell r="O132">
            <v>1.8789764613078801</v>
          </cell>
          <cell r="P132">
            <v>1.8922117570546999</v>
          </cell>
          <cell r="Q132">
            <v>1.89100484303099</v>
          </cell>
          <cell r="U132">
            <v>-6.8234959151225903E-3</v>
          </cell>
          <cell r="V132">
            <v>2.61321991290378E-5</v>
          </cell>
          <cell r="W132">
            <v>-4.5077714313741303E-4</v>
          </cell>
          <cell r="Y132">
            <v>1.8652915884207499</v>
          </cell>
          <cell r="Z132">
            <v>1.87067282127315</v>
          </cell>
          <cell r="AA132">
            <v>1.8710838713111999</v>
          </cell>
          <cell r="AF132">
            <v>7.25711408272177E-4</v>
          </cell>
          <cell r="AG132">
            <v>1.00330237167226E-3</v>
          </cell>
          <cell r="AR132">
            <v>1.1029493695709939E-2</v>
          </cell>
          <cell r="BC132">
            <v>1.9920170050599054E-2</v>
          </cell>
          <cell r="BF132">
            <v>3.0949663746309003E-2</v>
          </cell>
        </row>
        <row r="133">
          <cell r="O133">
            <v>1.8789764613078801</v>
          </cell>
          <cell r="P133">
            <v>1.8919467556971099</v>
          </cell>
          <cell r="Q133">
            <v>1.89093970475121</v>
          </cell>
          <cell r="U133">
            <v>-5.7246437748797903E-3</v>
          </cell>
          <cell r="V133">
            <v>1.2945498168022199E-3</v>
          </cell>
          <cell r="W133">
            <v>6.5651388482542903E-4</v>
          </cell>
          <cell r="Y133">
            <v>1.8652915884207499</v>
          </cell>
          <cell r="Z133">
            <v>1.8700189427112699</v>
          </cell>
          <cell r="AA133">
            <v>1.8708157630300399</v>
          </cell>
          <cell r="AF133">
            <v>1.7012075808619199E-3</v>
          </cell>
          <cell r="AG133">
            <v>1.92091723783366E-3</v>
          </cell>
          <cell r="AR133">
            <v>1.1029493695709939E-2</v>
          </cell>
          <cell r="BC133">
            <v>1.8821317910356343E-2</v>
          </cell>
          <cell r="BF133">
            <v>2.9850811606066292E-2</v>
          </cell>
        </row>
        <row r="134">
          <cell r="O134">
            <v>1.8789764613078801</v>
          </cell>
          <cell r="P134">
            <v>1.8919830001731299</v>
          </cell>
          <cell r="Q134">
            <v>1.8910842107530601</v>
          </cell>
          <cell r="U134">
            <v>-7.3776320229429898E-3</v>
          </cell>
          <cell r="V134">
            <v>-4.9849670690081996E-4</v>
          </cell>
          <cell r="W134">
            <v>-1.03092134095488E-3</v>
          </cell>
          <cell r="Y134">
            <v>1.8652915884207499</v>
          </cell>
          <cell r="Z134">
            <v>1.8696757384409399</v>
          </cell>
          <cell r="AA134">
            <v>1.87075604747058</v>
          </cell>
          <cell r="AF134">
            <v>-3.3947038657187198E-4</v>
          </cell>
          <cell r="AG134">
            <v>8.6541663406596202E-5</v>
          </cell>
          <cell r="AR134">
            <v>1.1029493695709939E-2</v>
          </cell>
          <cell r="BC134">
            <v>2.0474306158419643E-2</v>
          </cell>
          <cell r="BF134">
            <v>3.1503799854129592E-2</v>
          </cell>
        </row>
        <row r="135">
          <cell r="O135">
            <v>1.8789764613078801</v>
          </cell>
          <cell r="P135">
            <v>1.8917514114746601</v>
          </cell>
          <cell r="Q135">
            <v>1.89112790396081</v>
          </cell>
          <cell r="U135">
            <v>-6.9493836707758003E-3</v>
          </cell>
          <cell r="V135">
            <v>-5.1091299313673899E-5</v>
          </cell>
          <cell r="W135">
            <v>-5.2625570262237998E-4</v>
          </cell>
          <cell r="Y135">
            <v>1.8652915884207499</v>
          </cell>
          <cell r="Z135">
            <v>1.86944687898948</v>
          </cell>
          <cell r="AA135">
            <v>1.8705905669912899</v>
          </cell>
          <cell r="AF135">
            <v>-5.6682014807495999E-5</v>
          </cell>
          <cell r="AG135">
            <v>5.20956675862711E-4</v>
          </cell>
          <cell r="AR135">
            <v>1.1029493695709939E-2</v>
          </cell>
          <cell r="BC135">
            <v>2.0046057806252262E-2</v>
          </cell>
          <cell r="BF135">
            <v>3.1075551501962211E-2</v>
          </cell>
        </row>
        <row r="136">
          <cell r="O136">
            <v>1.8789764613078801</v>
          </cell>
          <cell r="P136">
            <v>1.8915527040144799</v>
          </cell>
          <cell r="Q136">
            <v>1.89118782754367</v>
          </cell>
          <cell r="U136">
            <v>-6.3795776818455696E-3</v>
          </cell>
          <cell r="V136">
            <v>3.9630192298691303E-4</v>
          </cell>
          <cell r="W136">
            <v>6.6654864491358601E-5</v>
          </cell>
          <cell r="Y136">
            <v>1.8652915884207499</v>
          </cell>
          <cell r="Z136">
            <v>1.86923829666848</v>
          </cell>
          <cell r="AA136">
            <v>1.87044753504446</v>
          </cell>
          <cell r="AF136">
            <v>4.0710865661148902E-4</v>
          </cell>
          <cell r="AG136">
            <v>1.01870041416956E-3</v>
          </cell>
          <cell r="AR136">
            <v>1.1029493695709939E-2</v>
          </cell>
          <cell r="BC136">
            <v>1.9476251817322113E-2</v>
          </cell>
          <cell r="BF136">
            <v>3.0505745513032062E-2</v>
          </cell>
        </row>
        <row r="137">
          <cell r="O137">
            <v>1.8789764613078801</v>
          </cell>
          <cell r="P137">
            <v>1.8916108218837</v>
          </cell>
          <cell r="Q137">
            <v>1.8913396977329999</v>
          </cell>
          <cell r="U137">
            <v>-6.4914347922002897E-3</v>
          </cell>
          <cell r="V137">
            <v>1.7940041002035301E-4</v>
          </cell>
          <cell r="W137">
            <v>-1.3516058294708E-5</v>
          </cell>
          <cell r="Y137">
            <v>1.8652915884207499</v>
          </cell>
          <cell r="Z137">
            <v>1.8692794094738701</v>
          </cell>
          <cell r="AA137">
            <v>1.87039504523721</v>
          </cell>
          <cell r="AF137">
            <v>2.1110223902690199E-4</v>
          </cell>
          <cell r="AG137">
            <v>8.5780812425203005E-4</v>
          </cell>
          <cell r="AR137">
            <v>1.1029493695709939E-2</v>
          </cell>
          <cell r="BC137">
            <v>1.9588108927676724E-2</v>
          </cell>
          <cell r="BF137">
            <v>3.0617602623386673E-2</v>
          </cell>
        </row>
        <row r="138">
          <cell r="O138">
            <v>1.8789764613078801</v>
          </cell>
          <cell r="P138">
            <v>1.8916116868177599</v>
          </cell>
          <cell r="Q138">
            <v>1.8914585963992501</v>
          </cell>
          <cell r="U138">
            <v>-6.3574040865960199E-3</v>
          </cell>
          <cell r="V138">
            <v>3.44155597304542E-4</v>
          </cell>
          <cell r="W138">
            <v>2.00815551086586E-4</v>
          </cell>
          <cell r="Y138">
            <v>1.8652915884207499</v>
          </cell>
          <cell r="Z138">
            <v>1.86927101216776</v>
          </cell>
          <cell r="AA138">
            <v>1.87031152424483</v>
          </cell>
          <cell r="AF138">
            <v>3.9468545449353599E-4</v>
          </cell>
          <cell r="AG138">
            <v>9.91334071876068E-4</v>
          </cell>
          <cell r="AR138">
            <v>1.1029493695709939E-2</v>
          </cell>
          <cell r="BC138">
            <v>1.9454078222072405E-2</v>
          </cell>
          <cell r="BF138">
            <v>3.0483571917782355E-2</v>
          </cell>
        </row>
        <row r="139">
          <cell r="O139">
            <v>1.8789764613078801</v>
          </cell>
          <cell r="P139">
            <v>1.89145160532488</v>
          </cell>
          <cell r="Q139">
            <v>1.89154352490619</v>
          </cell>
          <cell r="U139">
            <v>-5.6178502503492402E-3</v>
          </cell>
          <cell r="V139">
            <v>1.0841666808094699E-3</v>
          </cell>
          <cell r="W139">
            <v>1.00323219789597E-3</v>
          </cell>
          <cell r="Y139">
            <v>1.8652915884207499</v>
          </cell>
          <cell r="Z139">
            <v>1.8691087066058101</v>
          </cell>
          <cell r="AA139">
            <v>1.8701966101041201</v>
          </cell>
          <cell r="AF139">
            <v>1.1297470115605699E-3</v>
          </cell>
          <cell r="AG139">
            <v>1.6862327121933199E-3</v>
          </cell>
          <cell r="AR139">
            <v>1.1029493695709939E-2</v>
          </cell>
          <cell r="BC139">
            <v>1.8714524385825649E-2</v>
          </cell>
          <cell r="BF139">
            <v>2.9744018081535598E-2</v>
          </cell>
        </row>
        <row r="140">
          <cell r="O140">
            <v>1.8789764613078801</v>
          </cell>
          <cell r="P140">
            <v>1.89099736364742</v>
          </cell>
          <cell r="Q140">
            <v>1.89142051817292</v>
          </cell>
          <cell r="U140">
            <v>-5.34418751544357E-3</v>
          </cell>
          <cell r="V140">
            <v>1.27319879729093E-3</v>
          </cell>
          <cell r="W140">
            <v>1.32179499060706E-3</v>
          </cell>
          <cell r="Y140">
            <v>1.8652915884207499</v>
          </cell>
          <cell r="Z140">
            <v>1.8686433051795801</v>
          </cell>
          <cell r="AA140">
            <v>1.8698710839144099</v>
          </cell>
          <cell r="AF140">
            <v>1.3720791309756401E-3</v>
          </cell>
          <cell r="AG140">
            <v>1.95395380386868E-3</v>
          </cell>
          <cell r="AR140">
            <v>1.1029493695709939E-2</v>
          </cell>
          <cell r="BC140">
            <v>1.8440861650920029E-2</v>
          </cell>
          <cell r="BF140">
            <v>2.9470355346629978E-2</v>
          </cell>
        </row>
        <row r="141">
          <cell r="O141">
            <v>1.8789764613078801</v>
          </cell>
          <cell r="P141">
            <v>1.89080767735271</v>
          </cell>
          <cell r="Q141">
            <v>1.8913493039093801</v>
          </cell>
          <cell r="U141">
            <v>-5.7012790159446302E-3</v>
          </cell>
          <cell r="V141">
            <v>6.7592339299261397E-4</v>
          </cell>
          <cell r="W141">
            <v>8.9967155646062703E-4</v>
          </cell>
          <cell r="Y141">
            <v>1.8652915884207499</v>
          </cell>
          <cell r="Z141">
            <v>1.86843631682827</v>
          </cell>
          <cell r="AA141">
            <v>1.86959800824013</v>
          </cell>
          <cell r="AF141">
            <v>7.4369773613848001E-4</v>
          </cell>
          <cell r="AG141">
            <v>1.4005248343828599E-3</v>
          </cell>
          <cell r="AR141">
            <v>1.1029493695709939E-2</v>
          </cell>
          <cell r="BC141">
            <v>1.8797953151421139E-2</v>
          </cell>
          <cell r="BF141">
            <v>2.9827446847131088E-2</v>
          </cell>
        </row>
        <row r="142">
          <cell r="O142">
            <v>1.8789764613078801</v>
          </cell>
          <cell r="P142">
            <v>1.8907559908551299</v>
          </cell>
          <cell r="Q142">
            <v>1.89148387395491</v>
          </cell>
          <cell r="U142">
            <v>-6.5502512503004097E-3</v>
          </cell>
          <cell r="V142">
            <v>-2.7336405741105102E-4</v>
          </cell>
          <cell r="W142">
            <v>1.3047407289814201E-5</v>
          </cell>
          <cell r="Y142">
            <v>1.8652915884207499</v>
          </cell>
          <cell r="Z142">
            <v>1.8683842094885901</v>
          </cell>
          <cell r="AA142">
            <v>1.8695285153808701</v>
          </cell>
          <cell r="AF142">
            <v>-2.3822982226480999E-4</v>
          </cell>
          <cell r="AG142">
            <v>3.83322227949348E-4</v>
          </cell>
          <cell r="AR142">
            <v>1.1029493695709939E-2</v>
          </cell>
          <cell r="BC142">
            <v>1.9646925385776979E-2</v>
          </cell>
          <cell r="BF142">
            <v>3.0676419081486928E-2</v>
          </cell>
        </row>
        <row r="143">
          <cell r="O143">
            <v>1.8789764613078801</v>
          </cell>
          <cell r="P143">
            <v>1.8911601438758301</v>
          </cell>
          <cell r="Q143">
            <v>1.8915534497864701</v>
          </cell>
          <cell r="U143">
            <v>-7.8610032009908005E-3</v>
          </cell>
          <cell r="V143">
            <v>-1.61145205325114E-3</v>
          </cell>
          <cell r="W143">
            <v>-1.22655678759508E-3</v>
          </cell>
          <cell r="Y143">
            <v>1.8652915884207499</v>
          </cell>
          <cell r="Z143">
            <v>1.86877127330628</v>
          </cell>
          <cell r="AA143">
            <v>1.8693951080087801</v>
          </cell>
          <cell r="AF143">
            <v>-1.59345135512114E-3</v>
          </cell>
          <cell r="AG143">
            <v>-9.8118134655947797E-4</v>
          </cell>
          <cell r="AR143">
            <v>1.1029493695709939E-2</v>
          </cell>
          <cell r="BC143">
            <v>2.0957677336467268E-2</v>
          </cell>
          <cell r="BF143">
            <v>3.1987171032177221E-2</v>
          </cell>
        </row>
        <row r="144">
          <cell r="O144">
            <v>1.8789764613078801</v>
          </cell>
          <cell r="P144">
            <v>1.8910804341977101</v>
          </cell>
          <cell r="Q144">
            <v>1.89153171718542</v>
          </cell>
          <cell r="U144">
            <v>-6.9564429382219101E-3</v>
          </cell>
          <cell r="V144">
            <v>-4.9316255491167705E-4</v>
          </cell>
          <cell r="W144">
            <v>-2.8521347163030402E-4</v>
          </cell>
          <cell r="Y144">
            <v>1.8652915884207499</v>
          </cell>
          <cell r="Z144">
            <v>1.8686761547959201</v>
          </cell>
          <cell r="AA144">
            <v>1.8691759466184299</v>
          </cell>
          <cell r="AF144">
            <v>-4.9828253354777796E-4</v>
          </cell>
          <cell r="AG144">
            <v>-1.6451744946449301E-4</v>
          </cell>
          <cell r="AR144">
            <v>1.1029493695709939E-2</v>
          </cell>
          <cell r="BC144">
            <v>2.0957677336467268E-2</v>
          </cell>
          <cell r="BF144">
            <v>3.1987171032177221E-2</v>
          </cell>
        </row>
        <row r="145">
          <cell r="O145">
            <v>1.8789764613078801</v>
          </cell>
          <cell r="P145">
            <v>1.89089405688962</v>
          </cell>
          <cell r="Q145">
            <v>1.8913227341821399</v>
          </cell>
          <cell r="U145">
            <v>-5.96385876810242E-3</v>
          </cell>
          <cell r="V145">
            <v>4.5727216623521E-4</v>
          </cell>
          <cell r="W145">
            <v>6.9588134517670805E-4</v>
          </cell>
          <cell r="Y145">
            <v>1.8652915884207499</v>
          </cell>
          <cell r="Z145">
            <v>1.8685101769994801</v>
          </cell>
          <cell r="AA145">
            <v>1.8689785279944799</v>
          </cell>
          <cell r="AF145">
            <v>2.9662524861772701E-4</v>
          </cell>
          <cell r="AG145">
            <v>5.6404718609732703E-4</v>
          </cell>
          <cell r="AR145">
            <v>1.1029493695709939E-2</v>
          </cell>
          <cell r="BC145">
            <v>2.0957677336467268E-2</v>
          </cell>
          <cell r="BF145">
            <v>3.1987171032177221E-2</v>
          </cell>
        </row>
        <row r="146">
          <cell r="O146">
            <v>1.8789764613078801</v>
          </cell>
          <cell r="P146">
            <v>1.8906060260569899</v>
          </cell>
          <cell r="Q146">
            <v>1.89107936503574</v>
          </cell>
          <cell r="U146">
            <v>-4.8552512297129298E-3</v>
          </cell>
          <cell r="V146">
            <v>1.46731885568964E-3</v>
          </cell>
          <cell r="W146">
            <v>1.6939993015944899E-3</v>
          </cell>
          <cell r="Y146">
            <v>1.8652915884207499</v>
          </cell>
          <cell r="Z146">
            <v>1.8682417668752</v>
          </cell>
          <cell r="AA146">
            <v>1.8687400317718399</v>
          </cell>
          <cell r="AF146">
            <v>1.3433148491028999E-3</v>
          </cell>
          <cell r="AG146">
            <v>1.5939382138368599E-3</v>
          </cell>
          <cell r="AR146">
            <v>1.1029493695709939E-2</v>
          </cell>
          <cell r="BC146">
            <v>2.0957677336467268E-2</v>
          </cell>
          <cell r="BF146">
            <v>3.1987171032177221E-2</v>
          </cell>
        </row>
        <row r="147">
          <cell r="O147">
            <v>1.8789764613078801</v>
          </cell>
          <cell r="P147">
            <v>1.8909196894416</v>
          </cell>
          <cell r="Q147">
            <v>1.8912652556626499</v>
          </cell>
          <cell r="U147">
            <v>-8.1485907937828596E-3</v>
          </cell>
          <cell r="V147">
            <v>-1.97835752015511E-3</v>
          </cell>
          <cell r="W147">
            <v>-1.72802523057288E-3</v>
          </cell>
          <cell r="Y147">
            <v>1.8652915884207499</v>
          </cell>
          <cell r="Z147">
            <v>1.8681925798928301</v>
          </cell>
          <cell r="AA147">
            <v>1.8687359946833499</v>
          </cell>
          <cell r="AF147">
            <v>-5.89313360117091E-5</v>
          </cell>
          <cell r="AG147">
            <v>2.0773568375958599E-4</v>
          </cell>
          <cell r="AR147">
            <v>1.1029493695709939E-2</v>
          </cell>
          <cell r="BC147">
            <v>2.0957677336467268E-2</v>
          </cell>
          <cell r="BF147">
            <v>3.1987171032177221E-2</v>
          </cell>
        </row>
        <row r="148">
          <cell r="O148">
            <v>1.8789764613078801</v>
          </cell>
          <cell r="P148">
            <v>1.89094618318618</v>
          </cell>
          <cell r="Q148">
            <v>1.8912789350019701</v>
          </cell>
          <cell r="U148">
            <v>-6.4975016550965197E-3</v>
          </cell>
          <cell r="V148">
            <v>-1.6137587726676699E-4</v>
          </cell>
          <cell r="W148">
            <v>2.13577685109931E-5</v>
          </cell>
          <cell r="Y148">
            <v>1.8652915884207499</v>
          </cell>
          <cell r="Z148">
            <v>1.8678782325283101</v>
          </cell>
          <cell r="AA148">
            <v>1.8685746223480399</v>
          </cell>
          <cell r="AF148">
            <v>1.49683052600209E-3</v>
          </cell>
          <cell r="AG148">
            <v>1.7876655170938199E-3</v>
          </cell>
          <cell r="AR148">
            <v>1.1029493695709939E-2</v>
          </cell>
          <cell r="BC148">
            <v>2.0957677336467268E-2</v>
          </cell>
          <cell r="BF148">
            <v>3.1987171032177221E-2</v>
          </cell>
        </row>
        <row r="149">
          <cell r="O149">
            <v>1.8789764613078801</v>
          </cell>
          <cell r="P149">
            <v>1.8912186483203799</v>
          </cell>
          <cell r="Q149">
            <v>1.8913351268226299</v>
          </cell>
          <cell r="U149">
            <v>-7.0587602917382402E-3</v>
          </cell>
          <cell r="V149">
            <v>-7.0862357567201605E-4</v>
          </cell>
          <cell r="W149">
            <v>-5.3266799066476898E-4</v>
          </cell>
          <cell r="Y149">
            <v>1.8652915884207499</v>
          </cell>
          <cell r="Z149">
            <v>1.86781023928106</v>
          </cell>
          <cell r="AA149">
            <v>1.8684594729434301</v>
          </cell>
          <cell r="AF149">
            <v>7.48596424367627E-4</v>
          </cell>
          <cell r="AG149">
            <v>1.12135093503983E-3</v>
          </cell>
          <cell r="AR149">
            <v>1.1029493695709939E-2</v>
          </cell>
          <cell r="BC149">
            <v>2.1518935973108999E-2</v>
          </cell>
          <cell r="BF149">
            <v>3.2548429668818948E-2</v>
          </cell>
        </row>
        <row r="150">
          <cell r="O150">
            <v>1.8789764613078801</v>
          </cell>
          <cell r="P150">
            <v>1.89110646866846</v>
          </cell>
          <cell r="Q150">
            <v>1.89105191615794</v>
          </cell>
          <cell r="U150">
            <v>-4.7501679075779802E-3</v>
          </cell>
          <cell r="V150">
            <v>1.7440477404300199E-3</v>
          </cell>
          <cell r="W150">
            <v>1.80563496916987E-3</v>
          </cell>
          <cell r="Y150">
            <v>1.8652915884207499</v>
          </cell>
          <cell r="Z150">
            <v>1.86736749039048</v>
          </cell>
          <cell r="AA150">
            <v>1.8680053977850299</v>
          </cell>
          <cell r="AF150">
            <v>3.0519792701128299E-3</v>
          </cell>
          <cell r="AG150">
            <v>3.3995096782032498E-3</v>
          </cell>
          <cell r="AR150">
            <v>1.1029493695709939E-2</v>
          </cell>
          <cell r="BC150">
            <v>1.9210343588948568E-2</v>
          </cell>
          <cell r="BF150">
            <v>3.0239837284658518E-2</v>
          </cell>
        </row>
        <row r="151">
          <cell r="O151">
            <v>1.8789764613078801</v>
          </cell>
          <cell r="P151">
            <v>1.8906292764018</v>
          </cell>
          <cell r="Q151">
            <v>1.89071847687725</v>
          </cell>
          <cell r="U151">
            <v>-3.1728839061141698E-3</v>
          </cell>
          <cell r="V151">
            <v>3.2620139156968402E-3</v>
          </cell>
          <cell r="W151">
            <v>3.23316662535517E-3</v>
          </cell>
          <cell r="Y151">
            <v>1.8652915884207499</v>
          </cell>
          <cell r="Z151">
            <v>1.86657546663872</v>
          </cell>
          <cell r="AA151">
            <v>1.8675058917334999</v>
          </cell>
          <cell r="AF151">
            <v>4.3113861512760502E-3</v>
          </cell>
          <cell r="AG151">
            <v>4.6529356671326603E-3</v>
          </cell>
          <cell r="AR151">
            <v>1.1029493695709939E-2</v>
          </cell>
          <cell r="BC151">
            <v>1.7633059587484869E-2</v>
          </cell>
          <cell r="BF151">
            <v>2.8662553283194819E-2</v>
          </cell>
        </row>
        <row r="152">
          <cell r="O152">
            <v>1.8789764613078801</v>
          </cell>
          <cell r="P152">
            <v>1.8905284796170201</v>
          </cell>
          <cell r="Q152">
            <v>1.8906422352360801</v>
          </cell>
          <cell r="U152">
            <v>-6.0171663829406297E-3</v>
          </cell>
          <cell r="V152">
            <v>1.65364641524373E-4</v>
          </cell>
          <cell r="W152">
            <v>2.1254383862217901E-4</v>
          </cell>
          <cell r="Y152">
            <v>1.8652915884207499</v>
          </cell>
          <cell r="Z152">
            <v>1.8661270522686499</v>
          </cell>
          <cell r="AA152">
            <v>1.8672556308786199</v>
          </cell>
          <cell r="AF152">
            <v>1.16759011311432E-3</v>
          </cell>
          <cell r="AG152">
            <v>1.6659322887296599E-3</v>
          </cell>
          <cell r="AR152">
            <v>1.1029493695709939E-2</v>
          </cell>
          <cell r="BC152">
            <v>2.047734206431135E-2</v>
          </cell>
          <cell r="BF152">
            <v>3.15068357600213E-2</v>
          </cell>
        </row>
        <row r="153">
          <cell r="O153">
            <v>1.8789764613078801</v>
          </cell>
          <cell r="P153">
            <v>1.89006228671045</v>
          </cell>
          <cell r="Q153">
            <v>1.89061121529314</v>
          </cell>
          <cell r="U153">
            <v>-5.3962954783866902E-3</v>
          </cell>
          <cell r="V153">
            <v>7.3292024356797695E-4</v>
          </cell>
          <cell r="W153">
            <v>7.9308976653740101E-4</v>
          </cell>
          <cell r="Y153">
            <v>1.8652915884207499</v>
          </cell>
          <cell r="Z153">
            <v>1.86531937271163</v>
          </cell>
          <cell r="AA153">
            <v>1.8670453230089601</v>
          </cell>
          <cell r="AF153">
            <v>1.52307374768633E-3</v>
          </cell>
          <cell r="AG153">
            <v>2.1276614581508301E-3</v>
          </cell>
          <cell r="AR153">
            <v>1.1029493695709939E-2</v>
          </cell>
          <cell r="BC153">
            <v>1.9856471159757302E-2</v>
          </cell>
          <cell r="BF153">
            <v>3.0885964855467251E-2</v>
          </cell>
        </row>
        <row r="154">
          <cell r="O154">
            <v>1.8789764613078801</v>
          </cell>
          <cell r="P154">
            <v>1.8894518854837701</v>
          </cell>
          <cell r="Q154">
            <v>1.89026615984074</v>
          </cell>
          <cell r="U154">
            <v>-3.7251644627648798E-3</v>
          </cell>
          <cell r="V154">
            <v>2.15742688868849E-3</v>
          </cell>
          <cell r="W154">
            <v>2.4478135545854501E-3</v>
          </cell>
          <cell r="Y154">
            <v>1.8652915884207499</v>
          </cell>
          <cell r="Z154">
            <v>1.8643678473462799</v>
          </cell>
          <cell r="AA154">
            <v>1.8665220010710999</v>
          </cell>
          <cell r="AF154">
            <v>2.7550335898561202E-3</v>
          </cell>
          <cell r="AG154">
            <v>3.6798898464426898E-3</v>
          </cell>
          <cell r="AR154">
            <v>1.1029493695709939E-2</v>
          </cell>
          <cell r="BC154">
            <v>1.8185340144135496E-2</v>
          </cell>
          <cell r="BF154">
            <v>2.9214833839845446E-2</v>
          </cell>
        </row>
        <row r="155">
          <cell r="O155">
            <v>1.8789764613078801</v>
          </cell>
          <cell r="P155">
            <v>1.88957367680944</v>
          </cell>
          <cell r="Q155">
            <v>1.89023386684953</v>
          </cell>
          <cell r="U155">
            <v>-6.6079762276263204E-3</v>
          </cell>
          <cell r="V155">
            <v>-1.0483900054977201E-3</v>
          </cell>
          <cell r="W155">
            <v>-6.1752486698456904E-4</v>
          </cell>
          <cell r="Y155">
            <v>1.8652915884207499</v>
          </cell>
          <cell r="Z155">
            <v>1.8641102576830899</v>
          </cell>
          <cell r="AA155">
            <v>1.86631021734129</v>
          </cell>
          <cell r="AF155">
            <v>-6.3175535055868301E-4</v>
          </cell>
          <cell r="AG155">
            <v>5.2301150224000803E-4</v>
          </cell>
          <cell r="AR155">
            <v>1.1029493695709939E-2</v>
          </cell>
          <cell r="BC155">
            <v>2.1068151908996802E-2</v>
          </cell>
          <cell r="BF155">
            <v>3.2097645604706751E-2</v>
          </cell>
        </row>
        <row r="156">
          <cell r="O156">
            <v>1.8789764613078801</v>
          </cell>
          <cell r="P156">
            <v>1.88992589309586</v>
          </cell>
          <cell r="Q156">
            <v>1.89026595957643</v>
          </cell>
          <cell r="U156">
            <v>-6.7189457421460803E-3</v>
          </cell>
          <cell r="V156">
            <v>-1.0949030490535101E-3</v>
          </cell>
          <cell r="W156">
            <v>-7.4557836033498201E-4</v>
          </cell>
          <cell r="Y156">
            <v>1.8652915884207499</v>
          </cell>
          <cell r="Z156">
            <v>1.8640795164877699</v>
          </cell>
          <cell r="AA156">
            <v>1.86616064168148</v>
          </cell>
          <cell r="AF156">
            <v>-8.4947884341298504E-4</v>
          </cell>
          <cell r="AG156">
            <v>3.2999136803600301E-4</v>
          </cell>
          <cell r="AR156">
            <v>1.1029493695709939E-2</v>
          </cell>
          <cell r="BC156">
            <v>2.1179121423516703E-2</v>
          </cell>
          <cell r="BF156">
            <v>3.2208615119226652E-2</v>
          </cell>
        </row>
        <row r="157">
          <cell r="O157">
            <v>1.8789764613078801</v>
          </cell>
          <cell r="P157">
            <v>1.8898340235506199</v>
          </cell>
          <cell r="Q157">
            <v>1.8903768564961101</v>
          </cell>
          <cell r="U157">
            <v>-7.6635071073366604E-3</v>
          </cell>
          <cell r="V157">
            <v>-1.8530819152252299E-3</v>
          </cell>
          <cell r="W157">
            <v>-1.6731616917351601E-3</v>
          </cell>
          <cell r="Y157">
            <v>1.8652915884207499</v>
          </cell>
          <cell r="Z157">
            <v>1.86398890776477</v>
          </cell>
          <cell r="AA157">
            <v>1.8660907438287999</v>
          </cell>
          <cell r="AF157">
            <v>-1.80423019002434E-3</v>
          </cell>
          <cell r="AG157">
            <v>-6.88417094139043E-4</v>
          </cell>
          <cell r="AR157">
            <v>1.1029493695709939E-2</v>
          </cell>
          <cell r="BC157">
            <v>2.2123682788707133E-2</v>
          </cell>
          <cell r="BF157">
            <v>3.3153176484417082E-2</v>
          </cell>
        </row>
        <row r="158">
          <cell r="O158">
            <v>1.8789764613078801</v>
          </cell>
          <cell r="P158">
            <v>1.8898099733243201</v>
          </cell>
          <cell r="Q158">
            <v>1.8903780782552499</v>
          </cell>
          <cell r="U158">
            <v>-6.3703261082035199E-3</v>
          </cell>
          <cell r="V158">
            <v>-6.0851222860392297E-4</v>
          </cell>
          <cell r="W158">
            <v>-3.2131505021993799E-4</v>
          </cell>
          <cell r="Y158">
            <v>1.8652915884207499</v>
          </cell>
          <cell r="Z158">
            <v>1.8639487849796501</v>
          </cell>
          <cell r="AA158">
            <v>1.86591350875398</v>
          </cell>
          <cell r="AF158">
            <v>-5.4071987620925798E-4</v>
          </cell>
          <cell r="AG158">
            <v>5.8624602414935798E-4</v>
          </cell>
          <cell r="AR158">
            <v>1.1029493695709939E-2</v>
          </cell>
          <cell r="BC158">
            <v>2.2123682788707133E-2</v>
          </cell>
          <cell r="BF158">
            <v>3.3153176484417082E-2</v>
          </cell>
        </row>
        <row r="159">
          <cell r="O159">
            <v>1.8789764613078801</v>
          </cell>
          <cell r="P159">
            <v>1.8895258056086801</v>
          </cell>
          <cell r="Q159">
            <v>1.89037222696453</v>
          </cell>
          <cell r="U159">
            <v>-5.5559155586666397E-3</v>
          </cell>
          <cell r="V159">
            <v>1.9317213491586101E-4</v>
          </cell>
          <cell r="W159">
            <v>4.9374180364817602E-4</v>
          </cell>
          <cell r="Y159">
            <v>1.8652915884207499</v>
          </cell>
          <cell r="Z159">
            <v>1.86367658723538</v>
          </cell>
          <cell r="AA159">
            <v>1.86574341325822</v>
          </cell>
          <cell r="AF159">
            <v>1.02096865633757E-4</v>
          </cell>
          <cell r="AG159">
            <v>1.15560704983055E-3</v>
          </cell>
          <cell r="AR159">
            <v>1.1029493695709939E-2</v>
          </cell>
          <cell r="BC159">
            <v>2.2123682788707133E-2</v>
          </cell>
          <cell r="BF159">
            <v>3.3153176484417082E-2</v>
          </cell>
        </row>
        <row r="160">
          <cell r="O160">
            <v>1.8789764613078801</v>
          </cell>
          <cell r="P160">
            <v>1.8897895784298799</v>
          </cell>
          <cell r="Q160">
            <v>1.8904480235491701</v>
          </cell>
          <cell r="U160">
            <v>-6.1463514693165296E-3</v>
          </cell>
          <cell r="V160">
            <v>-5.4764348941810002E-4</v>
          </cell>
          <cell r="W160">
            <v>-9.9789413618761003E-5</v>
          </cell>
          <cell r="Y160">
            <v>1.8652915884207499</v>
          </cell>
          <cell r="Z160">
            <v>1.8639448906538401</v>
          </cell>
          <cell r="AA160">
            <v>1.86565619052216</v>
          </cell>
          <cell r="AF160">
            <v>-6.0338734057630299E-4</v>
          </cell>
          <cell r="AG160">
            <v>5.0500282956197505E-4</v>
          </cell>
          <cell r="AR160">
            <v>1.1029493695709939E-2</v>
          </cell>
          <cell r="BC160">
            <v>2.2123682788707133E-2</v>
          </cell>
          <cell r="BF160">
            <v>3.3153176484417082E-2</v>
          </cell>
        </row>
        <row r="161">
          <cell r="O161">
            <v>1.8789764613078801</v>
          </cell>
          <cell r="P161">
            <v>1.89022923430923</v>
          </cell>
          <cell r="Q161">
            <v>1.89042925535552</v>
          </cell>
          <cell r="U161">
            <v>-5.5026245949264399E-3</v>
          </cell>
          <cell r="V161">
            <v>2.3567100591583701E-4</v>
          </cell>
          <cell r="W161">
            <v>5.8403277323079196E-4</v>
          </cell>
          <cell r="Y161">
            <v>1.8652915884207499</v>
          </cell>
          <cell r="Z161">
            <v>1.8643751126253201</v>
          </cell>
          <cell r="AA161">
            <v>1.8654752896320199</v>
          </cell>
          <cell r="AF161">
            <v>1.6567980252502699E-4</v>
          </cell>
          <cell r="AG161">
            <v>1.0833650729714999E-3</v>
          </cell>
          <cell r="AR161">
            <v>1.1029493695709939E-2</v>
          </cell>
          <cell r="BC161">
            <v>2.2123682788707133E-2</v>
          </cell>
          <cell r="BF161">
            <v>3.3153176484417082E-2</v>
          </cell>
        </row>
        <row r="162">
          <cell r="O162">
            <v>1.8789764613078801</v>
          </cell>
          <cell r="P162">
            <v>1.8901269533732701</v>
          </cell>
          <cell r="Q162">
            <v>1.89032771649515</v>
          </cell>
          <cell r="U162">
            <v>-5.4759416285893904E-3</v>
          </cell>
          <cell r="V162">
            <v>4.9497497395281002E-4</v>
          </cell>
          <cell r="W162">
            <v>6.0078778249715505E-4</v>
          </cell>
          <cell r="Y162">
            <v>1.8652915884207499</v>
          </cell>
          <cell r="Z162">
            <v>1.86429286019859</v>
          </cell>
          <cell r="AA162">
            <v>1.86520995623362</v>
          </cell>
          <cell r="AF162">
            <v>4.2934777349028398E-4</v>
          </cell>
          <cell r="AG162">
            <v>1.0192786929407E-3</v>
          </cell>
          <cell r="AR162">
            <v>1.1029493695709939E-2</v>
          </cell>
          <cell r="BC162">
            <v>2.2123682788707133E-2</v>
          </cell>
          <cell r="BF162">
            <v>3.3153176484417082E-2</v>
          </cell>
        </row>
        <row r="163">
          <cell r="O163">
            <v>1.8789764613078801</v>
          </cell>
          <cell r="P163">
            <v>1.89050481131365</v>
          </cell>
          <cell r="Q163">
            <v>1.89028354901205</v>
          </cell>
          <cell r="U163">
            <v>-7.3944527393377197E-3</v>
          </cell>
          <cell r="V163">
            <v>-1.4776479352111101E-3</v>
          </cell>
          <cell r="W163">
            <v>-1.3714368364973399E-3</v>
          </cell>
          <cell r="Y163">
            <v>1.8652915884207499</v>
          </cell>
          <cell r="Z163">
            <v>1.8646898973688699</v>
          </cell>
          <cell r="AA163">
            <v>1.86500463504025</v>
          </cell>
          <cell r="AF163">
            <v>-1.58887244966729E-3</v>
          </cell>
          <cell r="AG163">
            <v>-1.09706638400303E-3</v>
          </cell>
          <cell r="AR163">
            <v>1.1029493695709939E-2</v>
          </cell>
          <cell r="BC163">
            <v>2.2123682788707133E-2</v>
          </cell>
          <cell r="BF163">
            <v>3.3153176484417082E-2</v>
          </cell>
        </row>
        <row r="164">
          <cell r="O164">
            <v>1.8789764613078801</v>
          </cell>
          <cell r="P164">
            <v>1.8910987966716599</v>
          </cell>
          <cell r="Q164">
            <v>1.89027534107771</v>
          </cell>
          <cell r="U164">
            <v>-6.8696788064596297E-3</v>
          </cell>
          <cell r="V164">
            <v>-7.5298257404482298E-4</v>
          </cell>
          <cell r="W164">
            <v>-8.7002816388854099E-4</v>
          </cell>
          <cell r="Y164">
            <v>1.8652915884207499</v>
          </cell>
          <cell r="Z164">
            <v>1.8652862341157599</v>
          </cell>
          <cell r="AA164">
            <v>1.8648270407310199</v>
          </cell>
          <cell r="AF164">
            <v>-7.8314678404926602E-4</v>
          </cell>
          <cell r="AG164">
            <v>-6.1437281642569698E-4</v>
          </cell>
          <cell r="AR164">
            <v>1.1029493695709939E-2</v>
          </cell>
          <cell r="BC164">
            <v>2.2123682788707133E-2</v>
          </cell>
          <cell r="BF164">
            <v>3.3153176484417082E-2</v>
          </cell>
        </row>
        <row r="165">
          <cell r="O165">
            <v>1.8789764613078801</v>
          </cell>
          <cell r="P165">
            <v>1.8910015136751499</v>
          </cell>
          <cell r="Q165">
            <v>1.8902875952422999</v>
          </cell>
          <cell r="U165">
            <v>-6.09350925154282E-3</v>
          </cell>
          <cell r="V165">
            <v>3.37331679505903E-4</v>
          </cell>
          <cell r="W165">
            <v>-9.8200789360923104E-5</v>
          </cell>
          <cell r="Y165">
            <v>1.8652915884207499</v>
          </cell>
          <cell r="Z165">
            <v>1.86519960131447</v>
          </cell>
          <cell r="AA165">
            <v>1.86465492949878</v>
          </cell>
          <cell r="AF165">
            <v>3.2521385239319198E-4</v>
          </cell>
          <cell r="AG165">
            <v>7.9005036079581102E-5</v>
          </cell>
          <cell r="AR165">
            <v>1.1029493695709939E-2</v>
          </cell>
          <cell r="BC165">
            <v>2.2123682788707133E-2</v>
          </cell>
          <cell r="BF165">
            <v>3.3153176484417082E-2</v>
          </cell>
        </row>
        <row r="166">
          <cell r="O166">
            <v>1.8789764613078801</v>
          </cell>
          <cell r="P166">
            <v>1.8908279683806699</v>
          </cell>
          <cell r="Q166">
            <v>1.8903769307382701</v>
          </cell>
          <cell r="U166">
            <v>-5.8010934519173198E-3</v>
          </cell>
          <cell r="V166">
            <v>5.7830357836348596E-4</v>
          </cell>
          <cell r="W166">
            <v>2.0069772978946099E-4</v>
          </cell>
          <cell r="Y166">
            <v>1.8652915884207499</v>
          </cell>
          <cell r="Z166">
            <v>1.8650307825693799</v>
          </cell>
          <cell r="AA166">
            <v>1.8645551495285699</v>
          </cell>
          <cell r="AF166">
            <v>6.3999476843285799E-4</v>
          </cell>
          <cell r="AG166">
            <v>3.4793414512237602E-4</v>
          </cell>
          <cell r="AR166">
            <v>1.1029493695709939E-2</v>
          </cell>
          <cell r="BC166">
            <v>2.2123682788707133E-2</v>
          </cell>
          <cell r="BF166">
            <v>3.3153176484417082E-2</v>
          </cell>
        </row>
        <row r="167">
          <cell r="O167">
            <v>1.8789764613078801</v>
          </cell>
          <cell r="P167">
            <v>1.8903482636768401</v>
          </cell>
          <cell r="Q167">
            <v>1.89009114361373</v>
          </cell>
          <cell r="U167">
            <v>-5.1267718372811303E-3</v>
          </cell>
          <cell r="V167">
            <v>1.16084670566998E-3</v>
          </cell>
          <cell r="W167">
            <v>9.2227849443659595E-4</v>
          </cell>
          <cell r="Y167">
            <v>1.8652915884207499</v>
          </cell>
          <cell r="Z167">
            <v>1.86456351946706</v>
          </cell>
          <cell r="AA167">
            <v>1.8642762136159099</v>
          </cell>
          <cell r="AF167">
            <v>1.21124020298906E-3</v>
          </cell>
          <cell r="AG167">
            <v>9.5618076634002502E-4</v>
          </cell>
          <cell r="AR167">
            <v>1.1029493695709939E-2</v>
          </cell>
          <cell r="BC167">
            <v>2.2123682788707133E-2</v>
          </cell>
          <cell r="BF167">
            <v>3.3153176484417082E-2</v>
          </cell>
        </row>
        <row r="168">
          <cell r="O168">
            <v>1.8789764613078801</v>
          </cell>
          <cell r="P168">
            <v>1.8902567560207499</v>
          </cell>
          <cell r="Q168">
            <v>1.89003336467254</v>
          </cell>
          <cell r="U168">
            <v>-5.8862935264067896E-3</v>
          </cell>
          <cell r="V168">
            <v>1.4759195732471199E-4</v>
          </cell>
          <cell r="W168">
            <v>1.15654081285446E-5</v>
          </cell>
          <cell r="Y168">
            <v>1.8652915884207499</v>
          </cell>
          <cell r="Z168">
            <v>1.86408794425441</v>
          </cell>
          <cell r="AA168">
            <v>1.8640183646170301</v>
          </cell>
          <cell r="AF168">
            <v>2.3207644722370402E-3</v>
          </cell>
          <cell r="AG168">
            <v>2.1666651425387901E-3</v>
          </cell>
          <cell r="AR168">
            <v>1.1029493695709939E-2</v>
          </cell>
          <cell r="BC168">
            <v>2.2123682788707133E-2</v>
          </cell>
          <cell r="BF168">
            <v>3.3153176484417082E-2</v>
          </cell>
        </row>
        <row r="169">
          <cell r="O169">
            <v>1.8789764613078801</v>
          </cell>
          <cell r="P169">
            <v>1.89049273984666</v>
          </cell>
          <cell r="Q169">
            <v>1.8900092727276701</v>
          </cell>
          <cell r="U169">
            <v>-6.80409472106361E-3</v>
          </cell>
          <cell r="V169">
            <v>-8.1861823834251295E-4</v>
          </cell>
          <cell r="W169">
            <v>-9.3680564795420903E-4</v>
          </cell>
          <cell r="Y169">
            <v>1.8652915884207499</v>
          </cell>
          <cell r="Z169">
            <v>1.8639165095899599</v>
          </cell>
          <cell r="AA169">
            <v>1.86379654841267</v>
          </cell>
          <cell r="AF169">
            <v>1.0970087424351199E-3</v>
          </cell>
          <cell r="AG169">
            <v>1.05968167521973E-3</v>
          </cell>
          <cell r="AR169">
            <v>1.1029493695709939E-2</v>
          </cell>
          <cell r="BC169">
            <v>2.3041483983363871E-2</v>
          </cell>
          <cell r="BF169">
            <v>3.407097767907382E-2</v>
          </cell>
        </row>
        <row r="170">
          <cell r="O170">
            <v>1.8789764613078801</v>
          </cell>
          <cell r="P170">
            <v>1.88990520288789</v>
          </cell>
          <cell r="Q170">
            <v>1.88984739065889</v>
          </cell>
          <cell r="U170">
            <v>-3.0337735140959E-3</v>
          </cell>
          <cell r="V170">
            <v>3.07653738385266E-3</v>
          </cell>
          <cell r="W170">
            <v>2.8207686420206801E-3</v>
          </cell>
          <cell r="Y170">
            <v>1.8652915884207499</v>
          </cell>
          <cell r="Z170">
            <v>1.8629693175396</v>
          </cell>
          <cell r="AA170">
            <v>1.8634571040967201</v>
          </cell>
          <cell r="AF170">
            <v>4.6176025184814203E-3</v>
          </cell>
          <cell r="AG170">
            <v>4.5532407097995699E-3</v>
          </cell>
          <cell r="AR170">
            <v>1.1029493695709939E-2</v>
          </cell>
          <cell r="BC170">
            <v>1.9271162776396081E-2</v>
          </cell>
          <cell r="BF170">
            <v>3.030065647210603E-2</v>
          </cell>
        </row>
        <row r="171">
          <cell r="O171">
            <v>1.8789764613078801</v>
          </cell>
          <cell r="P171">
            <v>1.88966206712806</v>
          </cell>
          <cell r="Q171">
            <v>1.8899456507186401</v>
          </cell>
          <cell r="U171">
            <v>-4.2149167790800097E-3</v>
          </cell>
          <cell r="V171">
            <v>1.58456072386368E-3</v>
          </cell>
          <cell r="W171">
            <v>1.5539702407160101E-3</v>
          </cell>
          <cell r="Y171">
            <v>1.8652915884207499</v>
          </cell>
          <cell r="Z171">
            <v>1.86235661135734</v>
          </cell>
          <cell r="AA171">
            <v>1.86336586199133</v>
          </cell>
          <cell r="AF171">
            <v>2.93525968953593E-3</v>
          </cell>
          <cell r="AG171">
            <v>3.1970582626010698E-3</v>
          </cell>
          <cell r="AR171">
            <v>1.1029493695709939E-2</v>
          </cell>
          <cell r="BC171">
            <v>2.0452306041380191E-2</v>
          </cell>
          <cell r="BF171">
            <v>3.1481799737090137E-2</v>
          </cell>
        </row>
        <row r="172">
          <cell r="O172">
            <v>1.8789764613078801</v>
          </cell>
          <cell r="P172">
            <v>1.88896530369789</v>
          </cell>
          <cell r="Q172">
            <v>1.8895461285355799</v>
          </cell>
          <cell r="U172">
            <v>-1.7811674424198501E-3</v>
          </cell>
          <cell r="V172">
            <v>3.8896520725597902E-3</v>
          </cell>
          <cell r="W172">
            <v>4.0397118736239003E-3</v>
          </cell>
          <cell r="Y172">
            <v>1.8652915884207499</v>
          </cell>
          <cell r="Z172">
            <v>1.8613090075471299</v>
          </cell>
          <cell r="AA172">
            <v>1.8628009338728599</v>
          </cell>
          <cell r="AF172">
            <v>4.9834265278788804E-3</v>
          </cell>
          <cell r="AG172">
            <v>5.5252009976070196E-3</v>
          </cell>
          <cell r="AR172">
            <v>1.1029493695709939E-2</v>
          </cell>
          <cell r="BC172">
            <v>1.8018556704719971E-2</v>
          </cell>
          <cell r="BF172">
            <v>2.9048050400429917E-2</v>
          </cell>
        </row>
        <row r="173">
          <cell r="O173">
            <v>1.8789764613078801</v>
          </cell>
          <cell r="P173">
            <v>1.88742913864193</v>
          </cell>
          <cell r="Q173">
            <v>1.88896697497779</v>
          </cell>
          <cell r="U173">
            <v>7.5396672434906598E-4</v>
          </cell>
          <cell r="V173">
            <v>6.0559944164342502E-3</v>
          </cell>
          <cell r="W173">
            <v>6.3634302163162598E-3</v>
          </cell>
          <cell r="Y173">
            <v>1.8652915884207499</v>
          </cell>
          <cell r="Z173">
            <v>1.8594187361083401</v>
          </cell>
          <cell r="AA173">
            <v>1.8620543167385999</v>
          </cell>
          <cell r="AF173">
            <v>6.9841568685265303E-3</v>
          </cell>
          <cell r="AG173">
            <v>7.7853826266328901E-3</v>
          </cell>
          <cell r="AR173">
            <v>1.1029493695709939E-2</v>
          </cell>
          <cell r="BC173">
            <v>1.5483422537951212E-2</v>
          </cell>
          <cell r="BF173">
            <v>2.6512916233661157E-2</v>
          </cell>
        </row>
        <row r="174">
          <cell r="O174">
            <v>1.8789764613078801</v>
          </cell>
          <cell r="P174">
            <v>1.8862472765304501</v>
          </cell>
          <cell r="Q174">
            <v>1.88867303660106</v>
          </cell>
          <cell r="U174">
            <v>-6.0322214933531803E-4</v>
          </cell>
          <cell r="V174">
            <v>3.8852437370924201E-3</v>
          </cell>
          <cell r="W174">
            <v>4.6996903018067396E-3</v>
          </cell>
          <cell r="Y174">
            <v>1.8652915884207499</v>
          </cell>
          <cell r="Z174">
            <v>1.8578637000457101</v>
          </cell>
          <cell r="AA174">
            <v>1.86157496708073</v>
          </cell>
          <cell r="AF174">
            <v>4.7537857332773303E-3</v>
          </cell>
          <cell r="AG174">
            <v>6.17020392761756E-3</v>
          </cell>
          <cell r="AR174">
            <v>1.1029493695709939E-2</v>
          </cell>
          <cell r="BC174">
            <v>1.6840611411635599E-2</v>
          </cell>
          <cell r="BF174">
            <v>2.7870105107345548E-2</v>
          </cell>
        </row>
        <row r="175">
          <cell r="O175">
            <v>1.8789764613078801</v>
          </cell>
          <cell r="P175">
            <v>1.88516626843096</v>
          </cell>
          <cell r="Q175">
            <v>1.88808389105306</v>
          </cell>
          <cell r="U175">
            <v>-3.58872728449515E-4</v>
          </cell>
          <cell r="V175">
            <v>3.5032214079426002E-3</v>
          </cell>
          <cell r="W175">
            <v>4.7884196125560696E-3</v>
          </cell>
          <cell r="Y175">
            <v>1.8652915884207499</v>
          </cell>
          <cell r="Z175">
            <v>1.8564105581344501</v>
          </cell>
          <cell r="AA175">
            <v>1.86080507972446</v>
          </cell>
          <cell r="AF175">
            <v>4.1614830137651901E-3</v>
          </cell>
          <cell r="AG175">
            <v>6.1570896624169504E-3</v>
          </cell>
          <cell r="AR175">
            <v>1.1029493695709939E-2</v>
          </cell>
          <cell r="BC175">
            <v>1.6596261990749768E-2</v>
          </cell>
          <cell r="BF175">
            <v>2.7625755686459717E-2</v>
          </cell>
        </row>
        <row r="176">
          <cell r="O176">
            <v>1.8789764613078801</v>
          </cell>
          <cell r="P176">
            <v>1.8840849951194401</v>
          </cell>
          <cell r="Q176">
            <v>1.8874564817500601</v>
          </cell>
          <cell r="U176">
            <v>-6.3363585479341505E-5</v>
          </cell>
          <cell r="V176">
            <v>3.2254663802212002E-3</v>
          </cell>
          <cell r="W176">
            <v>4.7719438626336102E-3</v>
          </cell>
          <cell r="Y176">
            <v>1.8652915884207499</v>
          </cell>
          <cell r="Z176">
            <v>1.8549566999162099</v>
          </cell>
          <cell r="AA176">
            <v>1.8599937412428</v>
          </cell>
          <cell r="AF176">
            <v>3.7469569992818101E-3</v>
          </cell>
          <cell r="AG176">
            <v>6.1113738453413297E-3</v>
          </cell>
          <cell r="AR176">
            <v>1.1029493695709939E-2</v>
          </cell>
          <cell r="BC176">
            <v>1.6300752847779498E-2</v>
          </cell>
          <cell r="BF176">
            <v>2.7330246543489447E-2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DF4C2-2DDE-480E-97E1-750B36BEDB71}">
  <dimension ref="A1:DZ179"/>
  <sheetViews>
    <sheetView tabSelected="1" topLeftCell="BO10" workbookViewId="0">
      <selection activeCell="BO10" sqref="A1:XFD1048576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85546875" style="15" bestFit="1" customWidth="1"/>
    <col min="5" max="5" width="10.28515625" style="15" bestFit="1" customWidth="1"/>
    <col min="6" max="6" width="10.28515625" style="33" bestFit="1" customWidth="1"/>
    <col min="7" max="7" width="18.7109375" style="33" bestFit="1" customWidth="1"/>
    <col min="8" max="8" width="9" style="33" bestFit="1" customWidth="1"/>
    <col min="9" max="9" width="17" style="33" bestFit="1" customWidth="1"/>
    <col min="10" max="10" width="21.42578125" style="33" bestFit="1" customWidth="1"/>
    <col min="11" max="11" width="19.7109375" style="33" bestFit="1" customWidth="1"/>
    <col min="12" max="13" width="11" style="33" bestFit="1" customWidth="1"/>
    <col min="14" max="14" width="11" style="34" bestFit="1" customWidth="1"/>
    <col min="15" max="15" width="14.5703125" style="34" bestFit="1" customWidth="1"/>
    <col min="16" max="17" width="18" style="34" bestFit="1" customWidth="1"/>
    <col min="18" max="18" width="12" style="33" bestFit="1" customWidth="1"/>
    <col min="19" max="20" width="15.42578125" style="33" bestFit="1" customWidth="1"/>
    <col min="21" max="21" width="22.42578125" style="15" bestFit="1" customWidth="1"/>
    <col min="22" max="23" width="25.85546875" style="15" bestFit="1" customWidth="1"/>
    <col min="24" max="24" width="13.140625" style="34" bestFit="1" customWidth="1"/>
    <col min="25" max="25" width="16.5703125" style="34" bestFit="1" customWidth="1"/>
    <col min="26" max="27" width="20" style="34" bestFit="1" customWidth="1"/>
    <col min="28" max="28" width="13.140625" style="33" bestFit="1" customWidth="1"/>
    <col min="29" max="30" width="16.42578125" style="33" bestFit="1" customWidth="1"/>
    <col min="31" max="31" width="24.42578125" style="15" bestFit="1" customWidth="1"/>
    <col min="32" max="33" width="27.85546875" style="15" bestFit="1" customWidth="1"/>
    <col min="34" max="34" width="1.7109375" style="9" customWidth="1"/>
    <col min="35" max="35" width="7.7109375" style="15" bestFit="1" customWidth="1"/>
    <col min="36" max="36" width="8.140625" style="15" bestFit="1" customWidth="1"/>
    <col min="37" max="38" width="7.42578125" style="15" bestFit="1" customWidth="1"/>
    <col min="39" max="39" width="7.85546875" style="15" bestFit="1" customWidth="1"/>
    <col min="40" max="40" width="8.42578125" style="15" bestFit="1" customWidth="1"/>
    <col min="41" max="41" width="11.85546875" style="15" bestFit="1" customWidth="1"/>
    <col min="42" max="42" width="10.28515625" style="15" bestFit="1" customWidth="1"/>
    <col min="43" max="43" width="7.4257812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9" width="7.42578125" style="15" bestFit="1" customWidth="1"/>
    <col min="50" max="50" width="7.85546875" style="15" bestFit="1" customWidth="1"/>
    <col min="51" max="51" width="8.42578125" style="15" bestFit="1" customWidth="1"/>
    <col min="52" max="52" width="11.85546875" style="15" bestFit="1" customWidth="1"/>
    <col min="53" max="53" width="10.28515625" style="15" bestFit="1" customWidth="1"/>
    <col min="54" max="54" width="7.42578125" style="15" bestFit="1" customWidth="1"/>
    <col min="55" max="55" width="8.7109375" style="15" bestFit="1" customWidth="1"/>
    <col min="56" max="56" width="1.7109375" style="9" customWidth="1"/>
    <col min="57" max="57" width="7.14062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3.1000980648318164</v>
      </c>
      <c r="AJ1" s="4">
        <v>0</v>
      </c>
      <c r="AK1" s="4">
        <f t="shared" ref="AK1:AQ1" si="0">AJ1-$AK12</f>
        <v>-1E-3</v>
      </c>
      <c r="AL1" s="4">
        <f t="shared" si="0"/>
        <v>-2E-3</v>
      </c>
      <c r="AM1" s="4">
        <f t="shared" si="0"/>
        <v>-3.0000000000000001E-3</v>
      </c>
      <c r="AN1" s="4">
        <f t="shared" si="0"/>
        <v>-4.0000000000000001E-3</v>
      </c>
      <c r="AO1" s="4">
        <f t="shared" si="0"/>
        <v>-5.0000000000000001E-3</v>
      </c>
      <c r="AP1" s="4">
        <f t="shared" si="0"/>
        <v>-6.0000000000000001E-3</v>
      </c>
      <c r="AQ1" s="4">
        <f t="shared" si="0"/>
        <v>-7.0000000000000001E-3</v>
      </c>
      <c r="AR1" s="5" t="s">
        <v>33</v>
      </c>
      <c r="AS1" s="2"/>
      <c r="AT1" s="3">
        <f>BB16</f>
        <v>2.5753580131692062</v>
      </c>
      <c r="AU1" s="4">
        <v>0</v>
      </c>
      <c r="AV1" s="6">
        <f>AU1+$AV12</f>
        <v>1E-3</v>
      </c>
      <c r="AW1" s="6">
        <f t="shared" ref="AW1:BB1" si="1">AV1+$AV12</f>
        <v>2E-3</v>
      </c>
      <c r="AX1" s="6">
        <f t="shared" si="1"/>
        <v>3.0000000000000001E-3</v>
      </c>
      <c r="AY1" s="6">
        <f t="shared" si="1"/>
        <v>4.0000000000000001E-3</v>
      </c>
      <c r="AZ1" s="6">
        <f t="shared" si="1"/>
        <v>5.0000000000000001E-3</v>
      </c>
      <c r="BA1" s="6">
        <f t="shared" si="1"/>
        <v>6.0000000000000001E-3</v>
      </c>
      <c r="BB1" s="6">
        <f t="shared" si="1"/>
        <v>7.0000000000000001E-3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90.55</v>
      </c>
      <c r="C2" s="33">
        <v>100.03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90.55</v>
      </c>
      <c r="M2" s="33">
        <v>100.03</v>
      </c>
      <c r="N2" s="34">
        <v>1.1046935394809401</v>
      </c>
      <c r="O2" s="34">
        <v>1.1144210713463301</v>
      </c>
      <c r="X2" s="34">
        <v>1.1046935394809401</v>
      </c>
      <c r="Y2" s="34">
        <v>1.1139962285470999</v>
      </c>
      <c r="AI2" s="4">
        <v>0</v>
      </c>
      <c r="AJ2" s="10">
        <f t="dataTable" ref="AJ2:AQ9" dt2D="1" dtr="1" r1="AI21" r2="AI22"/>
        <v>2.4700574677783838</v>
      </c>
      <c r="AK2" s="10">
        <v>2.4357011813423886</v>
      </c>
      <c r="AL2" s="10">
        <v>1.2726072142250175</v>
      </c>
      <c r="AM2" s="10">
        <v>1.0550136211006544</v>
      </c>
      <c r="AN2" s="10">
        <v>1.6863013235548723</v>
      </c>
      <c r="AO2" s="10">
        <v>2.1059003892619041</v>
      </c>
      <c r="AP2" s="10">
        <v>1.9177820071599434</v>
      </c>
      <c r="AQ2" s="10">
        <v>1.4451080141727306</v>
      </c>
      <c r="AR2"/>
      <c r="AT2" s="4">
        <v>0</v>
      </c>
      <c r="AU2" s="10">
        <f t="dataTable" ref="AU2:BB9" dt2D="1" dtr="1" r1="AT21" r2="AT22"/>
        <v>3.1480463897514657</v>
      </c>
      <c r="AV2" s="11">
        <v>2.8355616748409682</v>
      </c>
      <c r="AW2" s="11">
        <v>2.2752698749574205</v>
      </c>
      <c r="AX2" s="11">
        <v>2.0106104216825709</v>
      </c>
      <c r="AY2" s="11">
        <v>1.2870642610793939</v>
      </c>
      <c r="AZ2" s="11">
        <v>0.10027732893331937</v>
      </c>
      <c r="BA2" s="11">
        <v>0.46708959484871959</v>
      </c>
      <c r="BB2" s="11">
        <v>1.2431463151320372</v>
      </c>
      <c r="BC2"/>
    </row>
    <row r="3" spans="1:130" x14ac:dyDescent="0.25">
      <c r="A3" s="1">
        <v>46027</v>
      </c>
      <c r="B3" s="33">
        <v>91.53</v>
      </c>
      <c r="C3" s="33">
        <v>100.93</v>
      </c>
      <c r="D3" s="15">
        <v>1.0764603067265699E-2</v>
      </c>
      <c r="E3" s="15">
        <v>8.9570662536787408E-3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91.53</v>
      </c>
      <c r="M3" s="33">
        <v>100.93</v>
      </c>
      <c r="N3" s="34">
        <v>1.10269856877526</v>
      </c>
      <c r="O3" s="34">
        <v>1.1144210713463301</v>
      </c>
      <c r="R3" s="33">
        <v>102.00296066033</v>
      </c>
      <c r="U3" s="15">
        <v>1.05746316939213E-2</v>
      </c>
      <c r="X3" s="34">
        <v>1.10269856877526</v>
      </c>
      <c r="Y3" s="34">
        <v>1.1139962285470999</v>
      </c>
      <c r="AB3" s="33">
        <v>101.964074798916</v>
      </c>
      <c r="AE3" s="15">
        <v>1.0193336139991399E-2</v>
      </c>
      <c r="AI3" s="4">
        <f t="shared" ref="AI3:AI9" si="2">AI2-AK$12</f>
        <v>-1E-3</v>
      </c>
      <c r="AJ3" s="10">
        <v>2.4700574677783838</v>
      </c>
      <c r="AK3" s="10">
        <v>2.3385182913827554</v>
      </c>
      <c r="AL3" s="10">
        <v>1.2227176331775638</v>
      </c>
      <c r="AM3" s="10">
        <v>1.1218070818657782</v>
      </c>
      <c r="AN3" s="10">
        <v>1.8640781524097745</v>
      </c>
      <c r="AO3" s="11">
        <v>1.9989146379816061</v>
      </c>
      <c r="AP3" s="10">
        <v>1.5863377875731743</v>
      </c>
      <c r="AQ3" s="10">
        <v>1.2750711555097243</v>
      </c>
      <c r="AR3"/>
      <c r="AT3" s="4">
        <f>AT2+AV$12</f>
        <v>1E-3</v>
      </c>
      <c r="AU3" s="10">
        <v>3.1480463897514657</v>
      </c>
      <c r="AV3" s="11">
        <v>2.979429355027952</v>
      </c>
      <c r="AW3" s="11">
        <v>2.7199077818110062</v>
      </c>
      <c r="AX3" s="11">
        <v>2.5753580131692062</v>
      </c>
      <c r="AY3" s="11">
        <v>0.98402333058333624</v>
      </c>
      <c r="AZ3" s="11">
        <v>-9.8599345746407802E-2</v>
      </c>
      <c r="BA3" s="11">
        <v>0.3112012784918996</v>
      </c>
      <c r="BB3" s="11">
        <v>1.2824816072874969</v>
      </c>
      <c r="BC3"/>
    </row>
    <row r="4" spans="1:130" x14ac:dyDescent="0.25">
      <c r="A4" s="1">
        <v>46028</v>
      </c>
      <c r="B4" s="33">
        <v>92.69</v>
      </c>
      <c r="C4" s="33">
        <v>102.18</v>
      </c>
      <c r="D4" s="15">
        <v>1.25938044910532E-2</v>
      </c>
      <c r="E4" s="15">
        <v>1.2308756651883799E-2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92.69</v>
      </c>
      <c r="M4" s="33">
        <v>102.18</v>
      </c>
      <c r="N4" s="34">
        <v>1.1023842917251001</v>
      </c>
      <c r="O4" s="34">
        <v>1.1144210713463301</v>
      </c>
      <c r="R4" s="33">
        <v>103.29568910309099</v>
      </c>
      <c r="U4" s="15">
        <v>1.08596795330909E-2</v>
      </c>
      <c r="X4" s="34">
        <v>1.1023842917251001</v>
      </c>
      <c r="Y4" s="34">
        <v>1.1139962285470999</v>
      </c>
      <c r="AB4" s="33">
        <v>103.256310424031</v>
      </c>
      <c r="AE4" s="15">
        <v>1.0478383979161E-2</v>
      </c>
      <c r="AG4"/>
      <c r="AI4" s="4">
        <f t="shared" si="2"/>
        <v>-2E-3</v>
      </c>
      <c r="AJ4" s="10">
        <v>2.4700574677783838</v>
      </c>
      <c r="AK4" s="11">
        <v>2.3385182913827554</v>
      </c>
      <c r="AL4" s="11">
        <v>1.6912105369791457</v>
      </c>
      <c r="AM4" s="11">
        <v>1.5321601090756449</v>
      </c>
      <c r="AN4" s="10">
        <v>2.5253050970819753</v>
      </c>
      <c r="AO4" s="11">
        <v>2.7535655509952557</v>
      </c>
      <c r="AP4" s="11">
        <v>1.5693964636595608</v>
      </c>
      <c r="AQ4" s="11">
        <v>1.2750711555097243</v>
      </c>
      <c r="AR4"/>
      <c r="AT4" s="4">
        <f t="shared" ref="AT4:AT9" si="3">AT3+AV$12</f>
        <v>2E-3</v>
      </c>
      <c r="AU4" s="10">
        <v>3.1480463897514657</v>
      </c>
      <c r="AV4" s="11">
        <v>2.979429355027952</v>
      </c>
      <c r="AW4" s="11">
        <v>2.4395233286170925</v>
      </c>
      <c r="AX4" s="11">
        <v>2.2592915583295361</v>
      </c>
      <c r="AY4" s="11">
        <v>0.98402333058333624</v>
      </c>
      <c r="AZ4" s="11">
        <v>-9.8599345746407802E-2</v>
      </c>
      <c r="BA4" s="11">
        <v>0.3112012784918996</v>
      </c>
      <c r="BB4" s="11">
        <v>1.2824816072874969</v>
      </c>
      <c r="BC4"/>
      <c r="BE4" s="8"/>
      <c r="BF4" s="8"/>
    </row>
    <row r="5" spans="1:130" x14ac:dyDescent="0.25">
      <c r="A5" s="1">
        <v>46029</v>
      </c>
      <c r="B5" s="33">
        <v>92.1</v>
      </c>
      <c r="C5" s="33">
        <v>101.62</v>
      </c>
      <c r="D5" s="15">
        <v>-6.3856486264802096E-3</v>
      </c>
      <c r="E5" s="15">
        <v>-5.4955977370661499E-3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92.1</v>
      </c>
      <c r="M5" s="33">
        <v>101.62</v>
      </c>
      <c r="N5" s="34">
        <v>1.10336590662323</v>
      </c>
      <c r="O5" s="34">
        <v>1.1144210713463301</v>
      </c>
      <c r="R5" s="33">
        <v>102.638180670997</v>
      </c>
      <c r="U5" s="15">
        <v>9.96962864367687E-3</v>
      </c>
      <c r="X5" s="34">
        <v>1.10336590662323</v>
      </c>
      <c r="Y5" s="34">
        <v>1.1139962285470999</v>
      </c>
      <c r="AB5" s="33">
        <v>102.599052649188</v>
      </c>
      <c r="AE5" s="15">
        <v>9.5883330897468099E-3</v>
      </c>
      <c r="AG5" s="29"/>
      <c r="AI5" s="4">
        <f t="shared" si="2"/>
        <v>-3.0000000000000001E-3</v>
      </c>
      <c r="AJ5" s="10">
        <v>2.4700574677783838</v>
      </c>
      <c r="AK5" s="11">
        <v>2.3385182913827554</v>
      </c>
      <c r="AL5" s="11">
        <v>1.6912105369791457</v>
      </c>
      <c r="AM5" s="11">
        <v>1.6273655188581813</v>
      </c>
      <c r="AN5" s="11">
        <v>2.9099061543818632</v>
      </c>
      <c r="AO5" s="11">
        <v>3.1000980648318164</v>
      </c>
      <c r="AP5" s="10">
        <v>1.5693964636595608</v>
      </c>
      <c r="AQ5" s="11">
        <v>1.2750711555097243</v>
      </c>
      <c r="AR5"/>
      <c r="AT5" s="4">
        <f t="shared" si="3"/>
        <v>3.0000000000000001E-3</v>
      </c>
      <c r="AU5" s="10">
        <v>3.1480463897514657</v>
      </c>
      <c r="AV5" s="11">
        <v>2.979429355027952</v>
      </c>
      <c r="AW5" s="11">
        <v>2.4395233286170925</v>
      </c>
      <c r="AX5" s="11">
        <v>1.9361121748595689</v>
      </c>
      <c r="AY5" s="11">
        <v>0.62014917592742536</v>
      </c>
      <c r="AZ5" s="11">
        <v>-9.8599345746407802E-2</v>
      </c>
      <c r="BA5" s="11">
        <v>0.3112012784918996</v>
      </c>
      <c r="BB5" s="11">
        <v>1.2824816072874969</v>
      </c>
      <c r="BC5"/>
    </row>
    <row r="6" spans="1:130" x14ac:dyDescent="0.25">
      <c r="A6" s="1">
        <v>46030</v>
      </c>
      <c r="B6" s="33">
        <v>91.83</v>
      </c>
      <c r="C6" s="33">
        <v>101.2</v>
      </c>
      <c r="D6" s="15">
        <v>-2.9359016358303102E-3</v>
      </c>
      <c r="E6" s="15">
        <v>-4.1416093122206999E-3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91.83</v>
      </c>
      <c r="M6" s="33">
        <v>101.2</v>
      </c>
      <c r="N6" s="34">
        <v>1.1020363715561301</v>
      </c>
      <c r="O6" s="34">
        <v>1.1144210713463301</v>
      </c>
      <c r="R6" s="33">
        <v>102.337286981733</v>
      </c>
      <c r="U6" s="15">
        <v>1.1175336320067101E-2</v>
      </c>
      <c r="X6" s="34">
        <v>1.1020363715561301</v>
      </c>
      <c r="Y6" s="34">
        <v>1.1139962285470999</v>
      </c>
      <c r="AB6" s="33">
        <v>102.29827366748</v>
      </c>
      <c r="AE6" s="15">
        <v>1.0794040766137301E-2</v>
      </c>
      <c r="AG6" s="29"/>
      <c r="AI6" s="4">
        <f t="shared" si="2"/>
        <v>-4.0000000000000001E-3</v>
      </c>
      <c r="AJ6" s="10">
        <v>2.4700574677783838</v>
      </c>
      <c r="AK6" s="11">
        <v>2.3385182913827554</v>
      </c>
      <c r="AL6" s="11">
        <v>1.6912105369791457</v>
      </c>
      <c r="AM6" s="11">
        <v>1.6273655188581813</v>
      </c>
      <c r="AN6" s="11">
        <v>2.9262498520059625</v>
      </c>
      <c r="AO6" s="11">
        <v>3.2665581553043186</v>
      </c>
      <c r="AP6" s="11">
        <v>1.6701167883831081</v>
      </c>
      <c r="AQ6" s="11">
        <v>1.2750711555097243</v>
      </c>
      <c r="AR6"/>
      <c r="AT6" s="4">
        <f t="shared" si="3"/>
        <v>4.0000000000000001E-3</v>
      </c>
      <c r="AU6" s="10">
        <v>3.1480463897514657</v>
      </c>
      <c r="AV6" s="11">
        <v>2.979429355027952</v>
      </c>
      <c r="AW6" s="11">
        <v>2.4395233286170925</v>
      </c>
      <c r="AX6" s="11">
        <v>1.9361121748595689</v>
      </c>
      <c r="AY6" s="11">
        <v>1.6827890156839078</v>
      </c>
      <c r="AZ6" s="11">
        <v>0.94574160789685924</v>
      </c>
      <c r="BA6" s="11">
        <v>1.6061277423491602</v>
      </c>
      <c r="BB6" s="11">
        <v>1.2824816072874969</v>
      </c>
      <c r="BC6"/>
    </row>
    <row r="7" spans="1:130" x14ac:dyDescent="0.25">
      <c r="A7" s="1">
        <v>46031</v>
      </c>
      <c r="B7" s="33">
        <v>92.3</v>
      </c>
      <c r="C7" s="33">
        <v>101.65</v>
      </c>
      <c r="D7" s="15">
        <v>5.1050998833755204E-3</v>
      </c>
      <c r="E7" s="15">
        <v>4.4367832209904999E-3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92.3</v>
      </c>
      <c r="M7" s="33">
        <v>101.65</v>
      </c>
      <c r="N7" s="34">
        <v>1.1013001083423599</v>
      </c>
      <c r="O7" s="34">
        <v>1.1144210713463301</v>
      </c>
      <c r="R7" s="33">
        <v>102.861064885266</v>
      </c>
      <c r="U7" s="15">
        <v>1.18436529824524E-2</v>
      </c>
      <c r="X7" s="34">
        <v>1.1013001083423599</v>
      </c>
      <c r="Y7" s="34">
        <v>1.1139962285470999</v>
      </c>
      <c r="AB7" s="33">
        <v>102.82185189489699</v>
      </c>
      <c r="AE7" s="15">
        <v>1.14623574285223E-2</v>
      </c>
      <c r="AG7"/>
      <c r="AI7" s="4">
        <f t="shared" si="2"/>
        <v>-5.0000000000000001E-3</v>
      </c>
      <c r="AJ7" s="10">
        <v>2.4700574677783838</v>
      </c>
      <c r="AK7" s="11">
        <v>2.3385182913827554</v>
      </c>
      <c r="AL7" s="11">
        <v>1.6912105369791457</v>
      </c>
      <c r="AM7" s="11">
        <v>1.6273655188581813</v>
      </c>
      <c r="AN7" s="11">
        <v>2.9262498520059625</v>
      </c>
      <c r="AO7" s="11">
        <v>3.2665581553043186</v>
      </c>
      <c r="AP7" s="11">
        <v>1.6701167883831081</v>
      </c>
      <c r="AQ7" s="11">
        <v>1.2750711555097243</v>
      </c>
      <c r="AR7"/>
      <c r="AT7" s="4">
        <f t="shared" si="3"/>
        <v>5.0000000000000001E-3</v>
      </c>
      <c r="AU7" s="10">
        <v>3.1480463897514657</v>
      </c>
      <c r="AV7" s="11">
        <v>2.979429355027952</v>
      </c>
      <c r="AW7" s="11">
        <v>2.4395233286170925</v>
      </c>
      <c r="AX7" s="11">
        <v>1.9361121748595689</v>
      </c>
      <c r="AY7" s="11">
        <v>1.6827890156839078</v>
      </c>
      <c r="AZ7" s="11">
        <v>1.1082693745100918</v>
      </c>
      <c r="BA7" s="11">
        <v>2.3854299461812287</v>
      </c>
      <c r="BB7" s="11">
        <v>2.2066586007256852</v>
      </c>
      <c r="BC7"/>
    </row>
    <row r="8" spans="1:130" x14ac:dyDescent="0.25">
      <c r="A8" s="1">
        <v>46034</v>
      </c>
      <c r="B8" s="33">
        <v>93.13</v>
      </c>
      <c r="C8" s="33">
        <v>102.63</v>
      </c>
      <c r="D8" s="15">
        <v>8.9522250247599106E-3</v>
      </c>
      <c r="E8" s="15">
        <v>9.5947475832672303E-3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93.13</v>
      </c>
      <c r="M8" s="33">
        <v>102.63</v>
      </c>
      <c r="N8" s="34">
        <v>1.1020079458820999</v>
      </c>
      <c r="O8" s="34">
        <v>1.1144210713463301</v>
      </c>
      <c r="R8" s="33">
        <v>103.786034374484</v>
      </c>
      <c r="U8" s="15">
        <v>1.1201130423945001E-2</v>
      </c>
      <c r="X8" s="34">
        <v>1.1020079458820999</v>
      </c>
      <c r="Y8" s="34">
        <v>1.1139962285470999</v>
      </c>
      <c r="AB8" s="33">
        <v>103.746468764592</v>
      </c>
      <c r="AE8" s="15">
        <v>1.08198348700151E-2</v>
      </c>
      <c r="AG8"/>
      <c r="AI8" s="4">
        <f t="shared" si="2"/>
        <v>-6.0000000000000001E-3</v>
      </c>
      <c r="AJ8" s="10">
        <v>2.4700574677783838</v>
      </c>
      <c r="AK8" s="11">
        <v>2.3385182913827554</v>
      </c>
      <c r="AL8" s="11">
        <v>1.6912105369791457</v>
      </c>
      <c r="AM8" s="11">
        <v>1.6273655188581813</v>
      </c>
      <c r="AN8" s="11">
        <v>2.9262498520059625</v>
      </c>
      <c r="AO8" s="11">
        <v>3.2665581553043186</v>
      </c>
      <c r="AP8" s="11">
        <v>1.6701167883831081</v>
      </c>
      <c r="AQ8" s="11">
        <v>1.2750711555097243</v>
      </c>
      <c r="AR8"/>
      <c r="AT8" s="4">
        <f t="shared" si="3"/>
        <v>6.0000000000000001E-3</v>
      </c>
      <c r="AU8" s="10">
        <v>3.1480463897514657</v>
      </c>
      <c r="AV8" s="11">
        <v>2.979429355027952</v>
      </c>
      <c r="AW8" s="11">
        <v>2.4395233286170925</v>
      </c>
      <c r="AX8" s="11">
        <v>1.9361121748595689</v>
      </c>
      <c r="AY8" s="11">
        <v>1.6827890156839078</v>
      </c>
      <c r="AZ8" s="11">
        <v>1.1082693745100918</v>
      </c>
      <c r="BA8" s="11">
        <v>2.1734784062213328</v>
      </c>
      <c r="BB8" s="11">
        <v>1.807576295063035</v>
      </c>
      <c r="BC8"/>
    </row>
    <row r="9" spans="1:130" x14ac:dyDescent="0.25">
      <c r="A9" s="1">
        <v>46035</v>
      </c>
      <c r="B9" s="33">
        <v>93.34</v>
      </c>
      <c r="C9" s="33">
        <v>102.88</v>
      </c>
      <c r="D9" s="15">
        <v>2.25237398810308E-3</v>
      </c>
      <c r="E9" s="15">
        <v>2.4329728316863498E-3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93.34</v>
      </c>
      <c r="M9" s="33">
        <v>102.88</v>
      </c>
      <c r="N9" s="34">
        <v>1.10220698521534</v>
      </c>
      <c r="O9" s="34">
        <v>1.1144210713463301</v>
      </c>
      <c r="R9" s="33">
        <v>104.020062799466</v>
      </c>
      <c r="U9" s="15">
        <v>1.1020531580362E-2</v>
      </c>
      <c r="X9" s="34">
        <v>1.10220698521534</v>
      </c>
      <c r="Y9" s="34">
        <v>1.1139962285470999</v>
      </c>
      <c r="AB9" s="33">
        <v>103.98040797258599</v>
      </c>
      <c r="AE9" s="15">
        <v>1.06392360264319E-2</v>
      </c>
      <c r="AF9"/>
      <c r="AI9" s="4">
        <f t="shared" si="2"/>
        <v>-7.0000000000000001E-3</v>
      </c>
      <c r="AJ9" s="10">
        <v>2.4700574677783838</v>
      </c>
      <c r="AK9" s="11">
        <v>2.3385182913827554</v>
      </c>
      <c r="AL9" s="11">
        <v>1.6912105369791457</v>
      </c>
      <c r="AM9" s="11">
        <v>1.6273655188581813</v>
      </c>
      <c r="AN9" s="11">
        <v>2.9262498520059625</v>
      </c>
      <c r="AO9" s="11">
        <v>3.2665581553043186</v>
      </c>
      <c r="AP9" s="11">
        <v>1.6701167883831081</v>
      </c>
      <c r="AQ9" s="11">
        <v>1.2750711555097243</v>
      </c>
      <c r="AR9"/>
      <c r="AT9" s="4">
        <f t="shared" si="3"/>
        <v>7.0000000000000001E-3</v>
      </c>
      <c r="AU9" s="10">
        <v>3.1480463897514657</v>
      </c>
      <c r="AV9" s="10">
        <v>2.979429355027952</v>
      </c>
      <c r="AW9" s="10">
        <v>2.4395233286170925</v>
      </c>
      <c r="AX9" s="10">
        <v>1.9361121748595689</v>
      </c>
      <c r="AY9" s="10">
        <v>1.6827890156839078</v>
      </c>
      <c r="AZ9" s="10">
        <v>1.1082693745100918</v>
      </c>
      <c r="BA9" s="10">
        <v>2.1734784062213328</v>
      </c>
      <c r="BB9" s="10">
        <v>1.2750711555097229</v>
      </c>
      <c r="BC9"/>
    </row>
    <row r="10" spans="1:130" x14ac:dyDescent="0.25">
      <c r="A10" s="1">
        <v>46036</v>
      </c>
      <c r="B10" s="33">
        <v>93.42</v>
      </c>
      <c r="C10" s="33">
        <v>102.73</v>
      </c>
      <c r="D10" s="15">
        <v>8.5671455229239905E-4</v>
      </c>
      <c r="E10" s="15">
        <v>-1.45907326113683E-3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93.42</v>
      </c>
      <c r="M10" s="33">
        <v>102.73</v>
      </c>
      <c r="N10" s="34">
        <v>1.0996574609291301</v>
      </c>
      <c r="O10" s="34">
        <v>1.1144210713463301</v>
      </c>
      <c r="R10" s="33">
        <v>104.109216485174</v>
      </c>
      <c r="U10" s="15">
        <v>1.33363193937911E-2</v>
      </c>
      <c r="X10" s="34">
        <v>1.0996574609291301</v>
      </c>
      <c r="Y10" s="34">
        <v>1.1139962285470999</v>
      </c>
      <c r="AB10" s="33">
        <v>104.06952767087</v>
      </c>
      <c r="AE10" s="15">
        <v>1.2955023839861199E-2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93.62</v>
      </c>
      <c r="C11" s="33">
        <v>103.12</v>
      </c>
      <c r="D11" s="15">
        <v>2.1385807979625898E-3</v>
      </c>
      <c r="E11" s="15">
        <v>3.7891714027595601E-3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93.62</v>
      </c>
      <c r="M11" s="33">
        <v>103.12</v>
      </c>
      <c r="N11" s="34">
        <v>1.10147404400769</v>
      </c>
      <c r="O11" s="34">
        <v>1.1144210713463301</v>
      </c>
      <c r="P11" s="34">
        <v>1.10218252225373</v>
      </c>
      <c r="R11" s="33">
        <v>104.332100699443</v>
      </c>
      <c r="U11" s="15">
        <v>1.16857287889941E-2</v>
      </c>
      <c r="X11" s="34">
        <v>1.10147404400769</v>
      </c>
      <c r="Y11" s="34">
        <v>1.1139962285470999</v>
      </c>
      <c r="Z11" s="34">
        <v>1.10218252225373</v>
      </c>
      <c r="AB11" s="33">
        <v>104.29232691658</v>
      </c>
      <c r="AE11" s="15">
        <v>1.13044332350642E-2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93.89</v>
      </c>
      <c r="C12" s="33">
        <v>103.52</v>
      </c>
      <c r="D12" s="15">
        <v>2.8798483985314799E-3</v>
      </c>
      <c r="E12" s="15">
        <v>3.8714721216583999E-3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93.89</v>
      </c>
      <c r="M12" s="33">
        <v>103.52</v>
      </c>
      <c r="N12" s="34">
        <v>1.1025668335285901</v>
      </c>
      <c r="O12" s="34">
        <v>1.1144210713463301</v>
      </c>
      <c r="P12" s="34">
        <v>1.1019698516584899</v>
      </c>
      <c r="R12" s="33">
        <v>104.632994388707</v>
      </c>
      <c r="S12" s="33">
        <v>103.483917014402</v>
      </c>
      <c r="U12" s="15">
        <v>1.06941050658673E-2</v>
      </c>
      <c r="V12" s="15">
        <v>-3.4862128681375598E-4</v>
      </c>
      <c r="X12" s="34">
        <v>1.1025668335285901</v>
      </c>
      <c r="Y12" s="34">
        <v>1.1139962285470999</v>
      </c>
      <c r="Z12" s="34">
        <v>1.1019698516584899</v>
      </c>
      <c r="AB12" s="33">
        <v>104.59310589828701</v>
      </c>
      <c r="AC12" s="33">
        <v>103.483917014402</v>
      </c>
      <c r="AE12" s="15">
        <v>1.03128095119374E-2</v>
      </c>
      <c r="AF12" s="15">
        <v>-3.4862128681375598E-4</v>
      </c>
      <c r="AK12" s="17">
        <v>1E-3</v>
      </c>
      <c r="AL12" s="18" t="s">
        <v>37</v>
      </c>
      <c r="AM12" s="19" t="s">
        <v>38</v>
      </c>
      <c r="AV12" s="17">
        <v>1E-3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93.11</v>
      </c>
      <c r="C13" s="33">
        <v>102.81</v>
      </c>
      <c r="D13" s="15">
        <v>-8.3422943700177006E-3</v>
      </c>
      <c r="E13" s="15">
        <v>-6.8822061979632301E-3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93.11</v>
      </c>
      <c r="M13" s="33">
        <v>102.81</v>
      </c>
      <c r="N13" s="34">
        <v>1.1041778541509999</v>
      </c>
      <c r="O13" s="34">
        <v>1.1144210713463301</v>
      </c>
      <c r="P13" s="34">
        <v>1.10211778019607</v>
      </c>
      <c r="R13" s="33">
        <v>103.763745953057</v>
      </c>
      <c r="S13" s="33">
        <v>102.604412887922</v>
      </c>
      <c r="U13" s="15">
        <v>9.2340168938129501E-3</v>
      </c>
      <c r="V13" s="15">
        <v>-2.0016821393526799E-3</v>
      </c>
      <c r="X13" s="34">
        <v>1.1041778541509999</v>
      </c>
      <c r="Y13" s="34">
        <v>1.1139962285470999</v>
      </c>
      <c r="Z13" s="34">
        <v>1.10211778019607</v>
      </c>
      <c r="AB13" s="33">
        <v>103.724188840021</v>
      </c>
      <c r="AC13" s="33">
        <v>102.604412887922</v>
      </c>
      <c r="AE13" s="15">
        <v>8.8527213398829508E-3</v>
      </c>
      <c r="AF13" s="15">
        <v>-2.0016821393526799E-3</v>
      </c>
    </row>
    <row r="14" spans="1:130" x14ac:dyDescent="0.25">
      <c r="A14" s="1">
        <v>46043</v>
      </c>
      <c r="B14" s="33">
        <v>93.84</v>
      </c>
      <c r="C14" s="33">
        <v>103.55</v>
      </c>
      <c r="D14" s="15">
        <v>7.8096144447816302E-3</v>
      </c>
      <c r="E14" s="15">
        <v>7.1719632869658798E-3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v>0</v>
      </c>
      <c r="L14" s="33">
        <v>93.84</v>
      </c>
      <c r="M14" s="33">
        <v>103.55</v>
      </c>
      <c r="N14" s="34">
        <v>1.1034739982949699</v>
      </c>
      <c r="O14" s="34">
        <v>1.1144210713463301</v>
      </c>
      <c r="P14" s="34">
        <v>1.1022267508530501</v>
      </c>
      <c r="R14" s="33">
        <v>104.57727333514001</v>
      </c>
      <c r="S14" s="33">
        <v>103.422732493599</v>
      </c>
      <c r="U14" s="15">
        <v>9.8716680516285401E-3</v>
      </c>
      <c r="V14" s="15">
        <v>-1.22979989593216E-3</v>
      </c>
      <c r="X14" s="34">
        <v>1.1034739982949699</v>
      </c>
      <c r="Y14" s="34">
        <v>1.1139962285470999</v>
      </c>
      <c r="Z14" s="34">
        <v>1.1022267508530501</v>
      </c>
      <c r="AB14" s="33">
        <v>104.53740608686</v>
      </c>
      <c r="AC14" s="33">
        <v>103.422732493599</v>
      </c>
      <c r="AE14" s="15">
        <v>9.4903724976985408E-3</v>
      </c>
      <c r="AF14" s="15">
        <v>-1.22979989593216E-3</v>
      </c>
      <c r="AQ14" s="20">
        <f>AVERAGE(AQ22:AQ176)</f>
        <v>2.0028362900325909E-4</v>
      </c>
      <c r="AR14" s="21" t="s">
        <v>41</v>
      </c>
      <c r="BB14" s="20">
        <f>AVERAGE(BB22:BB176)</f>
        <v>1.447815901757451E-4</v>
      </c>
      <c r="BC14" s="21" t="s">
        <v>41</v>
      </c>
      <c r="BD14" s="22"/>
      <c r="BE14" s="20">
        <f>AVERAGE(BE22:BE176)</f>
        <v>3.4506521917900408E-4</v>
      </c>
      <c r="BF14" s="21" t="s">
        <v>41</v>
      </c>
    </row>
    <row r="15" spans="1:130" x14ac:dyDescent="0.25">
      <c r="A15" s="1">
        <v>46044</v>
      </c>
      <c r="B15" s="33">
        <v>94.22</v>
      </c>
      <c r="C15" s="33">
        <v>103.93</v>
      </c>
      <c r="D15" s="15">
        <v>4.0412689266750299E-3</v>
      </c>
      <c r="E15" s="15">
        <v>3.6630077587372399E-3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94.22</v>
      </c>
      <c r="M15" s="33">
        <v>103.93</v>
      </c>
      <c r="N15" s="34">
        <v>1.10305667586499</v>
      </c>
      <c r="O15" s="34">
        <v>1.1144210713463301</v>
      </c>
      <c r="P15" s="34">
        <v>1.1021958277772299</v>
      </c>
      <c r="R15" s="33">
        <v>105.000753342251</v>
      </c>
      <c r="S15" s="33">
        <v>103.851804465375</v>
      </c>
      <c r="U15" s="15">
        <v>1.02499292195662E-2</v>
      </c>
      <c r="V15" s="15">
        <v>-7.52669739467281E-4</v>
      </c>
      <c r="X15" s="34">
        <v>1.10305667586499</v>
      </c>
      <c r="Y15" s="34">
        <v>1.1139962285470999</v>
      </c>
      <c r="Z15" s="34">
        <v>1.1021958277772299</v>
      </c>
      <c r="AB15" s="33">
        <v>104.960724653708</v>
      </c>
      <c r="AC15" s="33">
        <v>103.851804465375</v>
      </c>
      <c r="AE15" s="15">
        <v>9.8686336656362908E-3</v>
      </c>
      <c r="AF15" s="15">
        <v>-7.52669739467281E-4</v>
      </c>
      <c r="AQ15" s="20">
        <f>STDEV(AQ22:AQ176)</f>
        <v>1.0255817647153581E-3</v>
      </c>
      <c r="AR15" s="21" t="s">
        <v>42</v>
      </c>
      <c r="BB15" s="20">
        <f>STDEV(BB22:BB176)</f>
        <v>8.9243378217720363E-4</v>
      </c>
      <c r="BC15" s="21" t="s">
        <v>42</v>
      </c>
      <c r="BD15" s="22"/>
      <c r="BE15" s="20">
        <f>STDEV(BE22:BE176)</f>
        <v>1.3378657098979791E-3</v>
      </c>
      <c r="BF15" s="21" t="s">
        <v>42</v>
      </c>
    </row>
    <row r="16" spans="1:130" x14ac:dyDescent="0.25">
      <c r="A16" s="1">
        <v>46045</v>
      </c>
      <c r="B16" s="33">
        <v>93.89</v>
      </c>
      <c r="C16" s="33">
        <v>103.78</v>
      </c>
      <c r="D16" s="15">
        <v>-3.50858900143895E-3</v>
      </c>
      <c r="E16" s="15">
        <v>-1.4443216607367699E-3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93.89</v>
      </c>
      <c r="M16" s="33">
        <v>103.78</v>
      </c>
      <c r="N16" s="34">
        <v>1.1053360315262499</v>
      </c>
      <c r="O16" s="34">
        <v>1.1144210713463301</v>
      </c>
      <c r="P16" s="34">
        <v>1.1025257937742401</v>
      </c>
      <c r="R16" s="33">
        <v>104.632994388707</v>
      </c>
      <c r="S16" s="33">
        <v>103.485166270004</v>
      </c>
      <c r="U16" s="15">
        <v>8.1856618788641294E-3</v>
      </c>
      <c r="V16" s="15">
        <v>-2.84499256837346E-3</v>
      </c>
      <c r="X16" s="34">
        <v>1.1053360315262499</v>
      </c>
      <c r="Y16" s="34">
        <v>1.1139962285470999</v>
      </c>
      <c r="Z16" s="34">
        <v>1.1025257937742401</v>
      </c>
      <c r="AB16" s="33">
        <v>104.59310589828701</v>
      </c>
      <c r="AC16" s="33">
        <v>103.485166270004</v>
      </c>
      <c r="AE16" s="15">
        <v>7.8043663249341604E-3</v>
      </c>
      <c r="AF16" s="15">
        <v>-2.84499256837346E-3</v>
      </c>
      <c r="AQ16" s="23">
        <f>SQRT(252)*AQ14/AQ15</f>
        <v>3.1000980648318164</v>
      </c>
      <c r="AR16" s="21" t="s">
        <v>43</v>
      </c>
      <c r="BB16" s="23">
        <f>SQRT(252)*BB14/BB15</f>
        <v>2.5753580131692062</v>
      </c>
      <c r="BC16" s="21" t="s">
        <v>43</v>
      </c>
      <c r="BD16" s="22"/>
      <c r="BE16" s="23">
        <f>SQRT(252)*BE14/BE15</f>
        <v>4.0943874230034307</v>
      </c>
      <c r="BF16" s="21" t="s">
        <v>43</v>
      </c>
    </row>
    <row r="17" spans="1:124" x14ac:dyDescent="0.25">
      <c r="A17" s="1">
        <v>46048</v>
      </c>
      <c r="B17" s="33">
        <v>93.7</v>
      </c>
      <c r="C17" s="33">
        <v>103.64</v>
      </c>
      <c r="D17" s="15">
        <v>-2.0256950260795501E-3</v>
      </c>
      <c r="E17" s="15">
        <v>-1.34991824568439E-3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93.7</v>
      </c>
      <c r="M17" s="33">
        <v>103.64</v>
      </c>
      <c r="N17" s="34">
        <v>1.1060832443970099</v>
      </c>
      <c r="O17" s="34">
        <v>1.1144210713463301</v>
      </c>
      <c r="P17" s="34">
        <v>1.1030041073797101</v>
      </c>
      <c r="R17" s="33">
        <v>104.421254385151</v>
      </c>
      <c r="S17" s="33">
        <v>103.30666687664601</v>
      </c>
      <c r="U17" s="15">
        <v>7.5098850984687696E-3</v>
      </c>
      <c r="V17" s="15">
        <v>-3.22144267074281E-3</v>
      </c>
      <c r="X17" s="34">
        <v>1.1060832443970099</v>
      </c>
      <c r="Y17" s="34">
        <v>1.1139962285470999</v>
      </c>
      <c r="Z17" s="34">
        <v>1.1030041073797101</v>
      </c>
      <c r="AB17" s="33">
        <v>104.38144661486299</v>
      </c>
      <c r="AC17" s="33">
        <v>103.30666687664601</v>
      </c>
      <c r="AE17" s="15">
        <v>7.1285895445390201E-3</v>
      </c>
      <c r="AF17" s="15">
        <v>-3.22144267074281E-3</v>
      </c>
    </row>
    <row r="18" spans="1:124" x14ac:dyDescent="0.25">
      <c r="A18" s="1">
        <v>46049</v>
      </c>
      <c r="B18" s="33">
        <v>94.91</v>
      </c>
      <c r="C18" s="33">
        <v>105</v>
      </c>
      <c r="D18" s="15">
        <v>1.2830884898024199E-2</v>
      </c>
      <c r="E18" s="15">
        <v>1.30369944636141E-2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94.91</v>
      </c>
      <c r="M18" s="33">
        <v>105</v>
      </c>
      <c r="N18" s="34">
        <v>1.1063112422294801</v>
      </c>
      <c r="O18" s="34">
        <v>1.1144210713463301</v>
      </c>
      <c r="P18" s="34">
        <v>1.10343443701444</v>
      </c>
      <c r="R18" s="33">
        <v>105.76970388148</v>
      </c>
      <c r="S18" s="33">
        <v>104.68611983140801</v>
      </c>
      <c r="U18" s="15">
        <v>7.3037755328790198E-3</v>
      </c>
      <c r="V18" s="15">
        <v>-2.9938119250238499E-3</v>
      </c>
      <c r="X18" s="34">
        <v>1.1063112422294801</v>
      </c>
      <c r="Y18" s="34">
        <v>1.1139962285470999</v>
      </c>
      <c r="Z18" s="34">
        <v>1.10343443701444</v>
      </c>
      <c r="AB18" s="33">
        <v>105.729382051405</v>
      </c>
      <c r="AC18" s="33">
        <v>104.68611983140801</v>
      </c>
      <c r="AE18" s="15">
        <v>6.9224799789491601E-3</v>
      </c>
      <c r="AF18" s="15">
        <v>-2.9938119250238499E-3</v>
      </c>
      <c r="BE18" s="24">
        <f>SUM(BE22:BE176)</f>
        <v>5.3485108972745631E-2</v>
      </c>
      <c r="BF18" s="20">
        <f>BF176</f>
        <v>5.3485108972745631E-2</v>
      </c>
    </row>
    <row r="19" spans="1:124" x14ac:dyDescent="0.25">
      <c r="A19" s="1">
        <v>46050</v>
      </c>
      <c r="B19" s="33">
        <v>95.73</v>
      </c>
      <c r="C19" s="33">
        <v>105.91</v>
      </c>
      <c r="D19" s="15">
        <v>8.6026548158611195E-3</v>
      </c>
      <c r="E19" s="15">
        <v>8.6293266980544195E-3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v>0</v>
      </c>
      <c r="L19" s="33">
        <v>95.73</v>
      </c>
      <c r="M19" s="33">
        <v>105.91</v>
      </c>
      <c r="N19" s="34">
        <v>1.10634075002611</v>
      </c>
      <c r="O19" s="34">
        <v>1.1144210713463301</v>
      </c>
      <c r="P19" s="34">
        <v>1.1038478134955201</v>
      </c>
      <c r="R19" s="33">
        <v>106.683529159984</v>
      </c>
      <c r="S19" s="33">
        <v>105.63177865539301</v>
      </c>
      <c r="U19" s="15">
        <v>7.2771036506855697E-3</v>
      </c>
      <c r="V19" s="15">
        <v>-2.63041661836424E-3</v>
      </c>
      <c r="X19" s="34">
        <v>1.10634075002611</v>
      </c>
      <c r="Y19" s="34">
        <v>1.1139962285470999</v>
      </c>
      <c r="Z19" s="34">
        <v>1.1038478134955201</v>
      </c>
      <c r="AB19" s="33">
        <v>106.642858958814</v>
      </c>
      <c r="AC19" s="33">
        <v>105.63177865539301</v>
      </c>
      <c r="AE19" s="15">
        <v>6.89580809675588E-3</v>
      </c>
      <c r="AF19" s="15">
        <v>-2.63041661836424E-3</v>
      </c>
      <c r="AI19" s="12"/>
      <c r="AJ19"/>
      <c r="AK19"/>
      <c r="AL19"/>
      <c r="AM19"/>
      <c r="AN19"/>
      <c r="AO19"/>
      <c r="AP19"/>
      <c r="AQ19" s="24">
        <f>SUM(AQ22:AQ176)</f>
        <v>3.1043962495505159E-2</v>
      </c>
      <c r="AR19" s="24">
        <f>AR176</f>
        <v>3.1043962495505159E-2</v>
      </c>
      <c r="AU19"/>
      <c r="AV19"/>
      <c r="AW19"/>
      <c r="AX19"/>
      <c r="AY19"/>
      <c r="AZ19"/>
      <c r="BA19"/>
      <c r="BB19" s="24">
        <f>SUM(BB22:BB176)</f>
        <v>2.2441146477240492E-2</v>
      </c>
      <c r="BC19" s="24">
        <f>BC176</f>
        <v>2.2441146477240492E-2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94.82</v>
      </c>
      <c r="C20" s="33">
        <v>105.08</v>
      </c>
      <c r="D20" s="15">
        <v>-9.5513714842896807E-3</v>
      </c>
      <c r="E20" s="15">
        <v>-7.8677120382387201E-3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94.82</v>
      </c>
      <c r="M20" s="33">
        <v>105.08</v>
      </c>
      <c r="N20" s="34">
        <v>1.1082050200379601</v>
      </c>
      <c r="O20" s="34">
        <v>1.1144210713463301</v>
      </c>
      <c r="P20" s="34">
        <v>1.1047025694064001</v>
      </c>
      <c r="R20" s="33">
        <v>105.669405985059</v>
      </c>
      <c r="S20" s="33">
        <v>104.666849675645</v>
      </c>
      <c r="U20" s="15">
        <v>5.5934442046346898E-3</v>
      </c>
      <c r="V20" s="15">
        <v>-3.93951908529347E-3</v>
      </c>
      <c r="X20" s="34">
        <v>1.1082050200379601</v>
      </c>
      <c r="Y20" s="34">
        <v>1.1139962285470999</v>
      </c>
      <c r="Z20" s="34">
        <v>1.1047025694064001</v>
      </c>
      <c r="AB20" s="33">
        <v>105.629122390836</v>
      </c>
      <c r="AC20" s="33">
        <v>104.666849675645</v>
      </c>
      <c r="AE20" s="15">
        <v>5.2121486507047104E-3</v>
      </c>
      <c r="AF20" s="15">
        <v>-3.93951908529347E-3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CWB log rtn</v>
      </c>
      <c r="AP20" s="7" t="str">
        <f>E1</f>
        <v>ICVT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CWB log rtn</v>
      </c>
      <c r="BA20" s="24" t="str">
        <f>E1</f>
        <v>ICVT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93.4</v>
      </c>
      <c r="C21" s="33">
        <v>103.52</v>
      </c>
      <c r="D21" s="15">
        <v>-1.50890122391751E-2</v>
      </c>
      <c r="E21" s="15">
        <v>-1.4957134064748599E-2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v>0</v>
      </c>
      <c r="L21" s="33">
        <v>93.4</v>
      </c>
      <c r="M21" s="33">
        <v>103.52</v>
      </c>
      <c r="N21" s="34">
        <v>1.10835117773019</v>
      </c>
      <c r="O21" s="34">
        <v>1.1144210713463301</v>
      </c>
      <c r="P21" s="34">
        <v>1.1053902827786499</v>
      </c>
      <c r="Q21" s="34">
        <v>1.1037864025161901</v>
      </c>
      <c r="R21" s="33">
        <v>104.086928063747</v>
      </c>
      <c r="S21" s="33">
        <v>103.179219982558</v>
      </c>
      <c r="U21" s="15">
        <v>5.46156603020831E-3</v>
      </c>
      <c r="V21" s="15">
        <v>-3.2973547382751998E-3</v>
      </c>
      <c r="X21" s="34">
        <v>1.10835117773019</v>
      </c>
      <c r="Y21" s="34">
        <v>1.1139962285470999</v>
      </c>
      <c r="Z21" s="34">
        <v>1.1053902827786499</v>
      </c>
      <c r="AA21" s="34">
        <v>1.1037864025161901</v>
      </c>
      <c r="AB21" s="33">
        <v>104.04724774629901</v>
      </c>
      <c r="AC21" s="33">
        <v>103.179219982558</v>
      </c>
      <c r="AE21" s="15">
        <v>5.0802704762783297E-3</v>
      </c>
      <c r="AF21" s="15">
        <v>-3.2973547382751998E-3</v>
      </c>
      <c r="AI21" s="26">
        <v>-5.0000000000000001E-3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3.0000000000000001E-3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93.82</v>
      </c>
      <c r="C22" s="33">
        <v>103.98</v>
      </c>
      <c r="D22" s="15">
        <v>4.4867076655148398E-3</v>
      </c>
      <c r="E22" s="15">
        <v>4.4337422029793903E-3</v>
      </c>
      <c r="F22" s="33">
        <v>8.6249999999999993E-2</v>
      </c>
      <c r="G22" s="33">
        <v>8.6249999999999993E-2</v>
      </c>
      <c r="H22" s="33">
        <v>0.107402</v>
      </c>
      <c r="I22" s="33">
        <v>0.107402</v>
      </c>
      <c r="J22" s="33">
        <v>8.6249999999999993E-2</v>
      </c>
      <c r="K22" s="33">
        <v>0.107402</v>
      </c>
      <c r="L22" s="33">
        <v>93.90625</v>
      </c>
      <c r="M22" s="33">
        <v>104.087402</v>
      </c>
      <c r="N22" s="34">
        <v>1.10829247495203</v>
      </c>
      <c r="O22" s="34">
        <v>1.1144210713463301</v>
      </c>
      <c r="P22" s="34">
        <v>1.1059628469210001</v>
      </c>
      <c r="Q22" s="34">
        <v>1.10396634928975</v>
      </c>
      <c r="R22" s="33">
        <v>104.554984913713</v>
      </c>
      <c r="S22" s="33">
        <v>103.707716330293</v>
      </c>
      <c r="T22" s="33">
        <v>103.557240284069</v>
      </c>
      <c r="U22" s="15">
        <v>5.5145314927438497E-3</v>
      </c>
      <c r="V22" s="15">
        <v>-2.6220503601897798E-3</v>
      </c>
      <c r="W22" s="15">
        <v>-4.0740669009533999E-3</v>
      </c>
      <c r="X22" s="34">
        <v>1.10841825757071</v>
      </c>
      <c r="Y22" s="34">
        <v>1.1139962285470999</v>
      </c>
      <c r="Z22" s="34">
        <v>1.10597542518287</v>
      </c>
      <c r="AA22" s="34">
        <v>1.1039726384206801</v>
      </c>
      <c r="AB22" s="33">
        <v>104.611208337001</v>
      </c>
      <c r="AC22" s="33">
        <v>103.803056242183</v>
      </c>
      <c r="AD22" s="33">
        <v>103.65244186128599</v>
      </c>
      <c r="AE22" s="15">
        <v>5.0197501177103501E-3</v>
      </c>
      <c r="AF22" s="15">
        <v>-2.73553618129315E-3</v>
      </c>
      <c r="AG22" s="15">
        <v>-4.1875527220567397E-3</v>
      </c>
      <c r="AI22" s="26">
        <v>-3.0000000000000001E-3</v>
      </c>
      <c r="AJ22">
        <f t="shared" ref="AJ22:AJ85" si="6">IF($AG22&lt;AI$21,1,0)</f>
        <v>0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1E-3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93.85</v>
      </c>
      <c r="C23" s="33">
        <v>104.31</v>
      </c>
      <c r="D23" s="15">
        <v>3.1971013220578599E-4</v>
      </c>
      <c r="E23" s="15">
        <v>3.16866173231003E-3</v>
      </c>
      <c r="F23" s="33">
        <v>0</v>
      </c>
      <c r="G23" s="33">
        <v>8.6249999999999993E-2</v>
      </c>
      <c r="H23" s="33">
        <v>0</v>
      </c>
      <c r="I23" s="33">
        <v>0.107402</v>
      </c>
      <c r="J23" s="33">
        <v>8.6249999999999993E-2</v>
      </c>
      <c r="K23" s="33">
        <v>0.107402</v>
      </c>
      <c r="L23" s="33">
        <v>93.936250000000001</v>
      </c>
      <c r="M23" s="33">
        <v>104.417402</v>
      </c>
      <c r="N23" s="34">
        <v>1.1114544485881701</v>
      </c>
      <c r="O23" s="34">
        <v>1.1144210713463301</v>
      </c>
      <c r="P23" s="34">
        <v>1.1066905063647099</v>
      </c>
      <c r="Q23" s="34">
        <v>1.1044041432803899</v>
      </c>
      <c r="R23" s="33">
        <v>104.58841754585301</v>
      </c>
      <c r="S23" s="33">
        <v>103.794613183536</v>
      </c>
      <c r="T23" s="33">
        <v>103.60724188084301</v>
      </c>
      <c r="U23" s="15">
        <v>2.66557989263968E-3</v>
      </c>
      <c r="V23" s="15">
        <v>-4.9531614151102797E-3</v>
      </c>
      <c r="W23" s="15">
        <v>-6.7600049808109602E-3</v>
      </c>
      <c r="X23" s="34">
        <v>1.1115772877882599</v>
      </c>
      <c r="Y23" s="34">
        <v>1.1139962285470999</v>
      </c>
      <c r="Z23" s="34">
        <v>1.10671536854659</v>
      </c>
      <c r="AA23" s="34">
        <v>1.1044165743713299</v>
      </c>
      <c r="AB23" s="33">
        <v>104.64462822385801</v>
      </c>
      <c r="AC23" s="33">
        <v>103.89118403383399</v>
      </c>
      <c r="AD23" s="33">
        <v>103.70304975584401</v>
      </c>
      <c r="AE23" s="15">
        <v>2.1737693170815601E-3</v>
      </c>
      <c r="AF23" s="15">
        <v>-5.0523033690297496E-3</v>
      </c>
      <c r="AG23" s="15">
        <v>-6.86482316845171E-3</v>
      </c>
      <c r="AI23" s="12"/>
      <c r="AJ23">
        <f t="shared" si="6"/>
        <v>1</v>
      </c>
      <c r="AK23">
        <f t="shared" si="7"/>
        <v>0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1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92.81</v>
      </c>
      <c r="C24" s="33">
        <v>102.8</v>
      </c>
      <c r="D24" s="15">
        <v>-1.11433704252162E-2</v>
      </c>
      <c r="E24" s="15">
        <v>-1.45818816668149E-2</v>
      </c>
      <c r="F24" s="33">
        <v>0</v>
      </c>
      <c r="G24" s="33">
        <v>8.6249999999999993E-2</v>
      </c>
      <c r="H24" s="33">
        <v>0</v>
      </c>
      <c r="I24" s="33">
        <v>0.107402</v>
      </c>
      <c r="J24" s="33">
        <v>8.6249999999999993E-2</v>
      </c>
      <c r="K24" s="33">
        <v>0.107402</v>
      </c>
      <c r="L24" s="33">
        <v>92.896249999999995</v>
      </c>
      <c r="M24" s="33">
        <v>102.907401999999</v>
      </c>
      <c r="N24" s="34">
        <v>1.1076392630104499</v>
      </c>
      <c r="O24" s="34">
        <v>1.1144210713463301</v>
      </c>
      <c r="P24" s="34">
        <v>1.10710703283626</v>
      </c>
      <c r="Q24" s="34">
        <v>1.10466689184466</v>
      </c>
      <c r="R24" s="33">
        <v>103.429419631653</v>
      </c>
      <c r="S24" s="33">
        <v>102.71194589570899</v>
      </c>
      <c r="T24" s="33">
        <v>102.49974853785299</v>
      </c>
      <c r="U24" s="15">
        <v>6.1040911342382601E-3</v>
      </c>
      <c r="V24" s="15">
        <v>-8.5692448966800797E-4</v>
      </c>
      <c r="W24" s="15">
        <v>-2.9250077348453498E-3</v>
      </c>
      <c r="X24" s="34">
        <v>1.1077670196590199</v>
      </c>
      <c r="Y24" s="34">
        <v>1.1139962285470999</v>
      </c>
      <c r="Z24" s="34">
        <v>1.1071446706829999</v>
      </c>
      <c r="AA24" s="34">
        <v>1.1046857107680199</v>
      </c>
      <c r="AB24" s="33">
        <v>103.48607214616899</v>
      </c>
      <c r="AC24" s="33">
        <v>102.80970755534599</v>
      </c>
      <c r="AD24" s="33">
        <v>102.59615819694299</v>
      </c>
      <c r="AE24" s="15">
        <v>5.6074608448989103E-3</v>
      </c>
      <c r="AF24" s="15">
        <v>-9.4979413436858896E-4</v>
      </c>
      <c r="AG24" s="15">
        <v>-3.0290866079398199E-3</v>
      </c>
      <c r="AI24" s="12"/>
      <c r="AJ24">
        <f t="shared" si="6"/>
        <v>0</v>
      </c>
      <c r="AK24">
        <f t="shared" si="7"/>
        <v>0</v>
      </c>
      <c r="AL24">
        <f t="shared" si="14"/>
        <v>1</v>
      </c>
      <c r="AM24">
        <f t="shared" si="4"/>
        <v>1</v>
      </c>
      <c r="AN24">
        <f t="shared" si="15"/>
        <v>1</v>
      </c>
      <c r="AO24" s="28">
        <f t="shared" si="8"/>
        <v>-1.11433704252162E-2</v>
      </c>
      <c r="AP24" s="28">
        <f t="shared" si="9"/>
        <v>1.45818816668149E-2</v>
      </c>
      <c r="AQ24" s="28">
        <f t="shared" si="16"/>
        <v>3.4385112415986994E-3</v>
      </c>
      <c r="AR24" s="29">
        <f t="shared" si="17"/>
        <v>3.4385112415986994E-3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3.4385112415986994E-3</v>
      </c>
      <c r="BF24" s="29">
        <f t="shared" si="23"/>
        <v>3.4385112415986994E-3</v>
      </c>
      <c r="BH24" s="29"/>
    </row>
    <row r="25" spans="1:124" x14ac:dyDescent="0.25">
      <c r="A25" s="1">
        <v>46058</v>
      </c>
      <c r="B25" s="33">
        <v>91.26</v>
      </c>
      <c r="C25" s="33">
        <v>101.29</v>
      </c>
      <c r="D25" s="15">
        <v>-1.6841817108044801E-2</v>
      </c>
      <c r="E25" s="15">
        <v>-1.47976633223588E-2</v>
      </c>
      <c r="F25" s="33">
        <v>0</v>
      </c>
      <c r="G25" s="33">
        <v>8.6249999999999993E-2</v>
      </c>
      <c r="H25" s="33">
        <v>0</v>
      </c>
      <c r="I25" s="33">
        <v>0.107402</v>
      </c>
      <c r="J25" s="33">
        <v>8.6249999999999993E-2</v>
      </c>
      <c r="K25" s="33">
        <v>0.107402</v>
      </c>
      <c r="L25" s="33">
        <v>91.346249999999998</v>
      </c>
      <c r="M25" s="33">
        <v>101.397402</v>
      </c>
      <c r="N25" s="34">
        <v>1.1099057637519101</v>
      </c>
      <c r="O25" s="34">
        <v>1.1144210713463301</v>
      </c>
      <c r="P25" s="34">
        <v>1.10779194162496</v>
      </c>
      <c r="Q25" s="34">
        <v>1.1049938847010901</v>
      </c>
      <c r="R25" s="33">
        <v>101.702066971066</v>
      </c>
      <c r="S25" s="33">
        <v>101.034587816637</v>
      </c>
      <c r="T25" s="33">
        <v>100.811900549743</v>
      </c>
      <c r="U25" s="15">
        <v>4.0599373485521303E-3</v>
      </c>
      <c r="V25" s="15">
        <v>-2.52477785122995E-3</v>
      </c>
      <c r="W25" s="15">
        <v>-4.7312800207258802E-3</v>
      </c>
      <c r="X25" s="34">
        <v>1.1100335481752099</v>
      </c>
      <c r="Y25" s="34">
        <v>1.1139962285470999</v>
      </c>
      <c r="Z25" s="34">
        <v>1.10784235791402</v>
      </c>
      <c r="AA25" s="34">
        <v>1.1050190928456201</v>
      </c>
      <c r="AB25" s="33">
        <v>101.759377991921</v>
      </c>
      <c r="AC25" s="33">
        <v>101.133513874377</v>
      </c>
      <c r="AD25" s="33">
        <v>100.908897107244</v>
      </c>
      <c r="AE25" s="15">
        <v>3.5635175452797801E-3</v>
      </c>
      <c r="AF25" s="15">
        <v>-2.6059061039310901E-3</v>
      </c>
      <c r="AG25" s="15">
        <v>-4.8293685797532399E-3</v>
      </c>
      <c r="AI25" s="12"/>
      <c r="AJ25">
        <f t="shared" si="6"/>
        <v>0</v>
      </c>
      <c r="AK25">
        <f t="shared" si="7"/>
        <v>0</v>
      </c>
      <c r="AL25">
        <f t="shared" si="14"/>
        <v>1</v>
      </c>
      <c r="AM25">
        <f t="shared" si="4"/>
        <v>1</v>
      </c>
      <c r="AN25">
        <f t="shared" si="15"/>
        <v>1</v>
      </c>
      <c r="AO25" s="28">
        <f t="shared" si="8"/>
        <v>-1.6841817108044801E-2</v>
      </c>
      <c r="AP25" s="28">
        <f t="shared" si="9"/>
        <v>1.47976633223588E-2</v>
      </c>
      <c r="AQ25" s="28">
        <f t="shared" si="16"/>
        <v>-2.0441537856860006E-3</v>
      </c>
      <c r="AR25" s="29">
        <f t="shared" si="17"/>
        <v>1.3943574559126988E-3</v>
      </c>
      <c r="AT25" s="12"/>
      <c r="AU25">
        <f t="shared" si="10"/>
        <v>0</v>
      </c>
      <c r="AV25">
        <f t="shared" si="11"/>
        <v>1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-2.0441537856860006E-3</v>
      </c>
      <c r="BF25" s="29">
        <f t="shared" si="23"/>
        <v>1.3943574559126988E-3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93.95</v>
      </c>
      <c r="C26" s="33">
        <v>104.41</v>
      </c>
      <c r="D26" s="15">
        <v>2.90501503602177E-2</v>
      </c>
      <c r="E26" s="15">
        <v>3.0337766603312999E-2</v>
      </c>
      <c r="F26" s="33">
        <v>0</v>
      </c>
      <c r="G26" s="33">
        <v>8.6249999999999993E-2</v>
      </c>
      <c r="H26" s="33">
        <v>0</v>
      </c>
      <c r="I26" s="33">
        <v>0.107402</v>
      </c>
      <c r="J26" s="33">
        <v>8.6249999999999993E-2</v>
      </c>
      <c r="K26" s="33">
        <v>0.107402</v>
      </c>
      <c r="L26" s="33">
        <v>94.036249999999995</v>
      </c>
      <c r="M26" s="33">
        <v>104.517401999999</v>
      </c>
      <c r="N26" s="34">
        <v>1.1113358169238901</v>
      </c>
      <c r="O26" s="34">
        <v>1.1144210713463301</v>
      </c>
      <c r="P26" s="34">
        <v>1.1083919201647201</v>
      </c>
      <c r="Q26" s="34">
        <v>1.1054588569694801</v>
      </c>
      <c r="R26" s="33">
        <v>104.699859652988</v>
      </c>
      <c r="S26" s="33">
        <v>104.077052915664</v>
      </c>
      <c r="T26" s="33">
        <v>103.81417546766799</v>
      </c>
      <c r="U26" s="15">
        <v>2.7723211054568502E-3</v>
      </c>
      <c r="V26" s="15">
        <v>-3.1939380668311798E-3</v>
      </c>
      <c r="W26" s="15">
        <v>-5.7229296952945596E-3</v>
      </c>
      <c r="X26" s="34">
        <v>1.11145863430326</v>
      </c>
      <c r="Y26" s="34">
        <v>1.1139962285470999</v>
      </c>
      <c r="Z26" s="34">
        <v>1.1084546181917201</v>
      </c>
      <c r="AA26" s="34">
        <v>1.1054902059829801</v>
      </c>
      <c r="AB26" s="33">
        <v>104.756027846712</v>
      </c>
      <c r="AC26" s="33">
        <v>104.177340929392</v>
      </c>
      <c r="AD26" s="33">
        <v>103.911851669604</v>
      </c>
      <c r="AE26" s="15">
        <v>2.2805183659238E-3</v>
      </c>
      <c r="AF26" s="15">
        <v>-3.25893567616277E-3</v>
      </c>
      <c r="AG26" s="15">
        <v>-5.81062421437581E-3</v>
      </c>
      <c r="AI26" s="12"/>
      <c r="AJ26">
        <f t="shared" si="6"/>
        <v>1</v>
      </c>
      <c r="AK26">
        <f t="shared" si="7"/>
        <v>0</v>
      </c>
      <c r="AL26">
        <f t="shared" si="14"/>
        <v>1</v>
      </c>
      <c r="AM26">
        <f t="shared" si="4"/>
        <v>1</v>
      </c>
      <c r="AN26">
        <f t="shared" si="15"/>
        <v>1</v>
      </c>
      <c r="AO26" s="28">
        <f t="shared" si="8"/>
        <v>2.90501503602177E-2</v>
      </c>
      <c r="AP26" s="28">
        <f t="shared" si="9"/>
        <v>-3.0337766603312999E-2</v>
      </c>
      <c r="AQ26" s="28">
        <f t="shared" si="16"/>
        <v>-1.2876162430952992E-3</v>
      </c>
      <c r="AR26" s="29">
        <f t="shared" si="17"/>
        <v>1.0674121281739959E-4</v>
      </c>
      <c r="AT26" s="12"/>
      <c r="AU26">
        <f t="shared" si="10"/>
        <v>0</v>
      </c>
      <c r="AV26">
        <f t="shared" si="11"/>
        <v>1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-1.2876162430952992E-3</v>
      </c>
      <c r="BF26" s="29">
        <f t="shared" si="23"/>
        <v>1.0674121281739959E-4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95.02</v>
      </c>
      <c r="C27" s="33">
        <v>105.17</v>
      </c>
      <c r="D27" s="15">
        <v>1.13246698993009E-2</v>
      </c>
      <c r="E27" s="15">
        <v>7.2526322299182001E-3</v>
      </c>
      <c r="F27" s="33">
        <v>0</v>
      </c>
      <c r="G27" s="33">
        <v>8.6249999999999993E-2</v>
      </c>
      <c r="H27" s="33">
        <v>0</v>
      </c>
      <c r="I27" s="33">
        <v>0.107402</v>
      </c>
      <c r="J27" s="33">
        <v>8.6249999999999993E-2</v>
      </c>
      <c r="K27" s="33">
        <v>0.107402</v>
      </c>
      <c r="L27" s="33">
        <v>95.106250000000003</v>
      </c>
      <c r="M27" s="33">
        <v>105.277402</v>
      </c>
      <c r="N27" s="34">
        <v>1.10681961692275</v>
      </c>
      <c r="O27" s="34">
        <v>1.1144210713463301</v>
      </c>
      <c r="P27" s="34">
        <v>1.1084655574172899</v>
      </c>
      <c r="Q27" s="34">
        <v>1.1057348323984999</v>
      </c>
      <c r="R27" s="33">
        <v>105.892290199328</v>
      </c>
      <c r="S27" s="33">
        <v>105.319400254052</v>
      </c>
      <c r="T27" s="33">
        <v>105.04070058924</v>
      </c>
      <c r="U27" s="15">
        <v>6.8443587748397896E-3</v>
      </c>
      <c r="V27" s="15">
        <v>1.4195515684884601E-3</v>
      </c>
      <c r="W27" s="15">
        <v>-1.2301888220109501E-3</v>
      </c>
      <c r="X27" s="34">
        <v>1.1069451481895201</v>
      </c>
      <c r="Y27" s="34">
        <v>1.1139962285470999</v>
      </c>
      <c r="Z27" s="34">
        <v>1.10854080857097</v>
      </c>
      <c r="AA27" s="34">
        <v>1.1057724579753401</v>
      </c>
      <c r="AB27" s="33">
        <v>105.948003811258</v>
      </c>
      <c r="AC27" s="33">
        <v>105.420962031396</v>
      </c>
      <c r="AD27" s="33">
        <v>105.139027902769</v>
      </c>
      <c r="AE27" s="15">
        <v>6.3496534595074003E-3</v>
      </c>
      <c r="AF27" s="15">
        <v>1.36270686554398E-3</v>
      </c>
      <c r="AG27" s="15">
        <v>-1.3152406135010599E-3</v>
      </c>
      <c r="AI27" s="12"/>
      <c r="AJ27">
        <f t="shared" si="6"/>
        <v>0</v>
      </c>
      <c r="AK27">
        <f t="shared" si="7"/>
        <v>1</v>
      </c>
      <c r="AL27">
        <f t="shared" si="14"/>
        <v>1</v>
      </c>
      <c r="AM27">
        <f t="shared" si="4"/>
        <v>1</v>
      </c>
      <c r="AN27">
        <f t="shared" si="15"/>
        <v>1</v>
      </c>
      <c r="AO27" s="28">
        <f t="shared" si="8"/>
        <v>1.13246698993009E-2</v>
      </c>
      <c r="AP27" s="28">
        <f t="shared" si="9"/>
        <v>-7.2526322299182001E-3</v>
      </c>
      <c r="AQ27" s="28">
        <f t="shared" si="16"/>
        <v>4.0720376693827E-3</v>
      </c>
      <c r="AR27" s="29">
        <f t="shared" si="17"/>
        <v>4.1787788822000996E-3</v>
      </c>
      <c r="AT27" s="12"/>
      <c r="AU27">
        <f t="shared" si="10"/>
        <v>0</v>
      </c>
      <c r="AV27">
        <f t="shared" si="11"/>
        <v>1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4.0720376693827E-3</v>
      </c>
      <c r="BF27" s="29">
        <f t="shared" si="23"/>
        <v>4.1787788822000996E-3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94.59</v>
      </c>
      <c r="C28" s="33">
        <v>104.68</v>
      </c>
      <c r="D28" s="15">
        <v>-4.5356335336960403E-3</v>
      </c>
      <c r="E28" s="15">
        <v>-4.6700108699919496E-3</v>
      </c>
      <c r="F28" s="33">
        <v>0</v>
      </c>
      <c r="G28" s="33">
        <v>8.6249999999999993E-2</v>
      </c>
      <c r="H28" s="33">
        <v>0</v>
      </c>
      <c r="I28" s="33">
        <v>0.107402</v>
      </c>
      <c r="J28" s="33">
        <v>8.6249999999999993E-2</v>
      </c>
      <c r="K28" s="33">
        <v>0.107402</v>
      </c>
      <c r="L28" s="33">
        <v>94.676249999999996</v>
      </c>
      <c r="M28" s="33">
        <v>104.787402</v>
      </c>
      <c r="N28" s="34">
        <v>1.1066708954434901</v>
      </c>
      <c r="O28" s="34">
        <v>1.1144210713463301</v>
      </c>
      <c r="P28" s="34">
        <v>1.1085015227386901</v>
      </c>
      <c r="Q28" s="34">
        <v>1.10596797987657</v>
      </c>
      <c r="R28" s="33">
        <v>105.413089138649</v>
      </c>
      <c r="S28" s="33">
        <v>104.84975707610199</v>
      </c>
      <c r="T28" s="33">
        <v>104.59145779657401</v>
      </c>
      <c r="U28" s="15">
        <v>6.9787361111354604E-3</v>
      </c>
      <c r="V28" s="15">
        <v>1.6203628125535301E-3</v>
      </c>
      <c r="W28" s="15">
        <v>-8.46194790642671E-4</v>
      </c>
      <c r="X28" s="34">
        <v>1.1067971323325501</v>
      </c>
      <c r="Y28" s="34">
        <v>1.1139962285470999</v>
      </c>
      <c r="Z28" s="34">
        <v>1.1085893975812799</v>
      </c>
      <c r="AA28" s="34">
        <v>1.10601191729786</v>
      </c>
      <c r="AB28" s="33">
        <v>105.468985432983</v>
      </c>
      <c r="AC28" s="33">
        <v>104.952486727467</v>
      </c>
      <c r="AD28" s="33">
        <v>104.690389674388</v>
      </c>
      <c r="AE28" s="15">
        <v>6.4833780203955296E-3</v>
      </c>
      <c r="AF28" s="15">
        <v>1.5741856502383101E-3</v>
      </c>
      <c r="AG28" s="15">
        <v>-9.26230239225705E-4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4.1787788822000996E-3</v>
      </c>
      <c r="AT28" s="12"/>
      <c r="AU28">
        <f t="shared" si="10"/>
        <v>0</v>
      </c>
      <c r="AV28">
        <f t="shared" si="11"/>
        <v>1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4.1787788822000996E-3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94.5</v>
      </c>
      <c r="C29" s="33">
        <v>104.4</v>
      </c>
      <c r="D29" s="15">
        <v>-9.5192772538206895E-4</v>
      </c>
      <c r="E29" s="15">
        <v>-2.6784022134067301E-3</v>
      </c>
      <c r="F29" s="33">
        <v>0</v>
      </c>
      <c r="G29" s="33">
        <v>8.6249999999999993E-2</v>
      </c>
      <c r="H29" s="33">
        <v>0</v>
      </c>
      <c r="I29" s="33">
        <v>0.107402</v>
      </c>
      <c r="J29" s="33">
        <v>8.6249999999999993E-2</v>
      </c>
      <c r="K29" s="33">
        <v>0.107402</v>
      </c>
      <c r="L29" s="33">
        <v>94.586250000000007</v>
      </c>
      <c r="M29" s="33">
        <v>104.507402</v>
      </c>
      <c r="N29" s="34">
        <v>1.1047619047618999</v>
      </c>
      <c r="O29" s="34">
        <v>1.1144210713463301</v>
      </c>
      <c r="P29" s="34">
        <v>1.10834363821227</v>
      </c>
      <c r="Q29" s="34">
        <v>1.1060957258538999</v>
      </c>
      <c r="R29" s="33">
        <v>105.312791242228</v>
      </c>
      <c r="S29" s="33">
        <v>104.753393898807</v>
      </c>
      <c r="T29" s="33">
        <v>104.51397409833601</v>
      </c>
      <c r="U29" s="15">
        <v>8.7052105991603096E-3</v>
      </c>
      <c r="V29" s="15">
        <v>3.3792828174521502E-3</v>
      </c>
      <c r="W29" s="15">
        <v>1.0911104452012599E-3</v>
      </c>
      <c r="X29" s="34">
        <v>1.1048900025109301</v>
      </c>
      <c r="Y29" s="34">
        <v>1.1139962285470999</v>
      </c>
      <c r="Z29" s="34">
        <v>1.10844432282976</v>
      </c>
      <c r="AA29" s="34">
        <v>1.1061460681626401</v>
      </c>
      <c r="AB29" s="33">
        <v>105.368725772413</v>
      </c>
      <c r="AC29" s="33">
        <v>104.857313906972</v>
      </c>
      <c r="AD29" s="33">
        <v>104.613519712515</v>
      </c>
      <c r="AE29" s="15">
        <v>8.2079712182839392E-3</v>
      </c>
      <c r="AF29" s="15">
        <v>3.3426093910330201E-3</v>
      </c>
      <c r="AG29" s="15">
        <v>1.0148933999981301E-3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4.1787788822000996E-3</v>
      </c>
      <c r="AT29" s="12"/>
      <c r="AU29">
        <f t="shared" si="10"/>
        <v>0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4.1787788822000996E-3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93.91</v>
      </c>
      <c r="C30" s="33">
        <v>103.84</v>
      </c>
      <c r="D30" s="15">
        <v>-6.2629576831748799E-3</v>
      </c>
      <c r="E30" s="15">
        <v>-5.3784224927584997E-3</v>
      </c>
      <c r="F30" s="33">
        <v>0</v>
      </c>
      <c r="G30" s="33">
        <v>8.6249999999999993E-2</v>
      </c>
      <c r="H30" s="33">
        <v>0</v>
      </c>
      <c r="I30" s="33">
        <v>0.107402</v>
      </c>
      <c r="J30" s="33">
        <v>8.6249999999999993E-2</v>
      </c>
      <c r="K30" s="33">
        <v>0.107402</v>
      </c>
      <c r="L30" s="33">
        <v>93.996250000000003</v>
      </c>
      <c r="M30" s="33">
        <v>103.947402</v>
      </c>
      <c r="N30" s="34">
        <v>1.10573953785539</v>
      </c>
      <c r="O30" s="34">
        <v>1.1144210713463301</v>
      </c>
      <c r="P30" s="34">
        <v>1.1080970899940199</v>
      </c>
      <c r="Q30" s="34">
        <v>1.10639982970021</v>
      </c>
      <c r="R30" s="33">
        <v>104.655282810134</v>
      </c>
      <c r="S30" s="33">
        <v>104.084551064515</v>
      </c>
      <c r="T30" s="33">
        <v>103.87344961493901</v>
      </c>
      <c r="U30" s="15">
        <v>7.8206754087438799E-3</v>
      </c>
      <c r="V30" s="15">
        <v>2.3523068923657201E-3</v>
      </c>
      <c r="W30" s="15">
        <v>3.2207462050344598E-4</v>
      </c>
      <c r="X30" s="34">
        <v>1.1058675425881299</v>
      </c>
      <c r="Y30" s="34">
        <v>1.1139962285470999</v>
      </c>
      <c r="Z30" s="34">
        <v>1.1082105750847799</v>
      </c>
      <c r="AA30" s="34">
        <v>1.1064565722455899</v>
      </c>
      <c r="AB30" s="33">
        <v>104.71146799757101</v>
      </c>
      <c r="AC30" s="33">
        <v>104.189609679787</v>
      </c>
      <c r="AD30" s="33">
        <v>103.973582359533</v>
      </c>
      <c r="AE30" s="15">
        <v>7.3236226445786397E-3</v>
      </c>
      <c r="AF30" s="15">
        <v>2.3273879754857701E-3</v>
      </c>
      <c r="AG30" s="15">
        <v>2.5182989347688901E-4</v>
      </c>
      <c r="AI30" s="12"/>
      <c r="AJ30">
        <f t="shared" si="6"/>
        <v>0</v>
      </c>
      <c r="AK30">
        <f t="shared" si="7"/>
        <v>1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4.1787788822000996E-3</v>
      </c>
      <c r="AT30" s="12"/>
      <c r="AU30">
        <f t="shared" si="10"/>
        <v>0</v>
      </c>
      <c r="AV30">
        <f t="shared" si="11"/>
        <v>1</v>
      </c>
      <c r="AW30">
        <f t="shared" si="18"/>
        <v>0</v>
      </c>
      <c r="AX30">
        <f t="shared" si="5"/>
        <v>1</v>
      </c>
      <c r="AY30">
        <f t="shared" si="19"/>
        <v>0</v>
      </c>
      <c r="AZ30" s="28">
        <f t="shared" si="12"/>
        <v>0</v>
      </c>
      <c r="BA30" s="28">
        <f t="shared" si="13"/>
        <v>0</v>
      </c>
      <c r="BB30" s="28">
        <f t="shared" si="20"/>
        <v>0</v>
      </c>
      <c r="BC30" s="29">
        <f t="shared" si="21"/>
        <v>0</v>
      </c>
      <c r="BE30" s="29">
        <f t="shared" si="22"/>
        <v>0</v>
      </c>
      <c r="BF30" s="29">
        <f t="shared" si="23"/>
        <v>4.1787788822000996E-3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94.51</v>
      </c>
      <c r="C31" s="33">
        <v>104.73</v>
      </c>
      <c r="D31" s="15">
        <v>6.3687721904426902E-3</v>
      </c>
      <c r="E31" s="15">
        <v>8.53435682927455E-3</v>
      </c>
      <c r="F31" s="33">
        <v>0</v>
      </c>
      <c r="G31" s="33">
        <v>8.6249999999999993E-2</v>
      </c>
      <c r="H31" s="33">
        <v>0</v>
      </c>
      <c r="I31" s="33">
        <v>0.107402</v>
      </c>
      <c r="J31" s="33">
        <v>8.6249999999999993E-2</v>
      </c>
      <c r="K31" s="33">
        <v>0.107402</v>
      </c>
      <c r="L31" s="33">
        <v>94.596249999999998</v>
      </c>
      <c r="M31" s="33">
        <v>104.837402</v>
      </c>
      <c r="N31" s="34">
        <v>1.1081367051105699</v>
      </c>
      <c r="O31" s="34">
        <v>1.1144210713463301</v>
      </c>
      <c r="P31" s="34">
        <v>1.1080756427320499</v>
      </c>
      <c r="Q31" s="34">
        <v>1.1067329627553499</v>
      </c>
      <c r="R31" s="33">
        <v>105.323935452942</v>
      </c>
      <c r="S31" s="33">
        <v>104.726255975334</v>
      </c>
      <c r="T31" s="33">
        <v>104.565847904967</v>
      </c>
      <c r="U31" s="15">
        <v>5.6550907699120696E-3</v>
      </c>
      <c r="V31" s="15">
        <v>-3.5749943567257801E-5</v>
      </c>
      <c r="W31" s="15">
        <v>-1.5686133321277801E-3</v>
      </c>
      <c r="X31" s="34">
        <v>1.1082617122771701</v>
      </c>
      <c r="Y31" s="34">
        <v>1.1139962285470999</v>
      </c>
      <c r="Z31" s="34">
        <v>1.10820162853948</v>
      </c>
      <c r="AA31" s="34">
        <v>1.1067959556590601</v>
      </c>
      <c r="AB31" s="33">
        <v>105.379865734699</v>
      </c>
      <c r="AC31" s="33">
        <v>104.832564613363</v>
      </c>
      <c r="AD31" s="33">
        <v>104.66664252228701</v>
      </c>
      <c r="AE31" s="15">
        <v>5.1609931441530098E-3</v>
      </c>
      <c r="AF31" s="15">
        <v>-4.6142866479113401E-5</v>
      </c>
      <c r="AG31" s="15">
        <v>-1.6301309687418301E-3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4.1787788822000996E-3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0</v>
      </c>
      <c r="BE31" s="29">
        <f t="shared" si="22"/>
        <v>0</v>
      </c>
      <c r="BF31" s="29">
        <f t="shared" si="23"/>
        <v>4.1787788822000996E-3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94.78</v>
      </c>
      <c r="C32" s="33">
        <v>104.81</v>
      </c>
      <c r="D32" s="15">
        <v>2.8527675324774302E-3</v>
      </c>
      <c r="E32" s="15">
        <v>7.6357739703159096E-4</v>
      </c>
      <c r="F32" s="33">
        <v>0</v>
      </c>
      <c r="G32" s="33">
        <v>8.6249999999999993E-2</v>
      </c>
      <c r="H32" s="33">
        <v>0</v>
      </c>
      <c r="I32" s="33">
        <v>0.107402</v>
      </c>
      <c r="J32" s="33">
        <v>8.6249999999999993E-2</v>
      </c>
      <c r="K32" s="33">
        <v>0.107402</v>
      </c>
      <c r="L32" s="33">
        <v>94.866249999999994</v>
      </c>
      <c r="M32" s="33">
        <v>104.917402</v>
      </c>
      <c r="N32" s="34">
        <v>1.10582401350495</v>
      </c>
      <c r="O32" s="34">
        <v>1.1144210713463301</v>
      </c>
      <c r="P32" s="34">
        <v>1.1078287965873499</v>
      </c>
      <c r="Q32" s="34">
        <v>1.10689582175417</v>
      </c>
      <c r="R32" s="33">
        <v>105.624829142205</v>
      </c>
      <c r="S32" s="33">
        <v>105.023409418144</v>
      </c>
      <c r="T32" s="33">
        <v>104.896150209952</v>
      </c>
      <c r="U32" s="15">
        <v>7.7442809053578903E-3</v>
      </c>
      <c r="V32" s="15">
        <v>2.0340849659554899E-3</v>
      </c>
      <c r="W32" s="15">
        <v>8.2162792758470405E-4</v>
      </c>
      <c r="X32" s="34">
        <v>1.1059507675279601</v>
      </c>
      <c r="Y32" s="34">
        <v>1.1139962285470999</v>
      </c>
      <c r="Z32" s="34">
        <v>1.1079548795352001</v>
      </c>
      <c r="AA32" s="34">
        <v>1.10696515235903</v>
      </c>
      <c r="AB32" s="33">
        <v>105.680644716407</v>
      </c>
      <c r="AC32" s="33">
        <v>105.13093274343299</v>
      </c>
      <c r="AD32" s="33">
        <v>104.997581828542</v>
      </c>
      <c r="AE32" s="15">
        <v>7.2483678738857402E-3</v>
      </c>
      <c r="AF32" s="15">
        <v>2.0331588655624002E-3</v>
      </c>
      <c r="AG32" s="15">
        <v>7.6392671908580897E-4</v>
      </c>
      <c r="AI32" s="12"/>
      <c r="AJ32">
        <f t="shared" si="6"/>
        <v>0</v>
      </c>
      <c r="AK32">
        <f t="shared" si="7"/>
        <v>1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4.1787788822000996E-3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0</v>
      </c>
      <c r="BE32" s="29">
        <f t="shared" si="22"/>
        <v>0</v>
      </c>
      <c r="BF32" s="29">
        <f t="shared" si="23"/>
        <v>4.1787788822000996E-3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94.91</v>
      </c>
      <c r="C33" s="33">
        <v>105.1</v>
      </c>
      <c r="D33" s="15">
        <v>1.3706576029584401E-3</v>
      </c>
      <c r="E33" s="15">
        <v>2.7630907008194799E-3</v>
      </c>
      <c r="F33" s="33">
        <v>0</v>
      </c>
      <c r="G33" s="33">
        <v>8.6249999999999993E-2</v>
      </c>
      <c r="H33" s="33">
        <v>0</v>
      </c>
      <c r="I33" s="33">
        <v>0.107402</v>
      </c>
      <c r="J33" s="33">
        <v>8.6249999999999993E-2</v>
      </c>
      <c r="K33" s="33">
        <v>0.107402</v>
      </c>
      <c r="L33" s="33">
        <v>94.996250000000003</v>
      </c>
      <c r="M33" s="33">
        <v>105.20740199999901</v>
      </c>
      <c r="N33" s="34">
        <v>1.1073648719839799</v>
      </c>
      <c r="O33" s="34">
        <v>1.1144210713463301</v>
      </c>
      <c r="P33" s="34">
        <v>1.1074198389269301</v>
      </c>
      <c r="Q33" s="34">
        <v>1.10705517264582</v>
      </c>
      <c r="R33" s="33">
        <v>105.76970388148</v>
      </c>
      <c r="S33" s="33">
        <v>105.14403108410499</v>
      </c>
      <c r="T33" s="33">
        <v>105.055482442688</v>
      </c>
      <c r="U33" s="15">
        <v>6.3518478074971602E-3</v>
      </c>
      <c r="V33" s="15">
        <v>4.18856930417296E-4</v>
      </c>
      <c r="W33" s="15">
        <v>-4.2366306564551502E-4</v>
      </c>
      <c r="X33" s="34">
        <v>1.1074900535547401</v>
      </c>
      <c r="Y33" s="34">
        <v>1.1139962285470999</v>
      </c>
      <c r="Z33" s="34">
        <v>1.10754615611185</v>
      </c>
      <c r="AA33" s="34">
        <v>1.1071307623292199</v>
      </c>
      <c r="AB33" s="33">
        <v>105.825464226118</v>
      </c>
      <c r="AC33" s="33">
        <v>105.251558725046</v>
      </c>
      <c r="AD33" s="33">
        <v>105.15753835478699</v>
      </c>
      <c r="AE33" s="15">
        <v>5.8575140861905498E-3</v>
      </c>
      <c r="AF33" s="15">
        <v>4.1962314687948898E-4</v>
      </c>
      <c r="AG33" s="15">
        <v>-4.7406802732875901E-4</v>
      </c>
      <c r="AI33" s="12"/>
      <c r="AJ33">
        <f t="shared" si="6"/>
        <v>0</v>
      </c>
      <c r="AK33">
        <f t="shared" si="7"/>
        <v>1</v>
      </c>
      <c r="AL33">
        <f t="shared" si="14"/>
        <v>0</v>
      </c>
      <c r="AM33">
        <f t="shared" si="4"/>
        <v>1</v>
      </c>
      <c r="AN33">
        <f t="shared" si="15"/>
        <v>0</v>
      </c>
      <c r="AO33" s="28">
        <f t="shared" si="8"/>
        <v>0</v>
      </c>
      <c r="AP33" s="28">
        <f t="shared" si="9"/>
        <v>0</v>
      </c>
      <c r="AQ33" s="28">
        <f t="shared" si="16"/>
        <v>0</v>
      </c>
      <c r="AR33" s="29">
        <f t="shared" si="17"/>
        <v>4.1787788822000996E-3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0</v>
      </c>
      <c r="BE33" s="29">
        <f t="shared" si="22"/>
        <v>0</v>
      </c>
      <c r="BF33" s="29">
        <f t="shared" si="23"/>
        <v>4.1787788822000996E-3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94.98</v>
      </c>
      <c r="C34" s="33">
        <v>105.26</v>
      </c>
      <c r="D34" s="15">
        <v>7.3726897857510399E-4</v>
      </c>
      <c r="E34" s="15">
        <v>1.52120204272754E-3</v>
      </c>
      <c r="F34" s="33">
        <v>0</v>
      </c>
      <c r="G34" s="33">
        <v>8.6249999999999993E-2</v>
      </c>
      <c r="H34" s="33">
        <v>0</v>
      </c>
      <c r="I34" s="33">
        <v>0.107402</v>
      </c>
      <c r="J34" s="33">
        <v>8.6249999999999993E-2</v>
      </c>
      <c r="K34" s="33">
        <v>0.107402</v>
      </c>
      <c r="L34" s="33">
        <v>95.066249999999997</v>
      </c>
      <c r="M34" s="33">
        <v>105.367402</v>
      </c>
      <c r="N34" s="34">
        <v>1.10823331227626</v>
      </c>
      <c r="O34" s="34">
        <v>1.1144210713463301</v>
      </c>
      <c r="P34" s="34">
        <v>1.1074792438535099</v>
      </c>
      <c r="Q34" s="34">
        <v>1.1072931383448901</v>
      </c>
      <c r="R34" s="33">
        <v>105.847713356474</v>
      </c>
      <c r="S34" s="33">
        <v>105.18273630128</v>
      </c>
      <c r="T34" s="33">
        <v>105.1481002979</v>
      </c>
      <c r="U34" s="15">
        <v>5.5679147433445502E-3</v>
      </c>
      <c r="V34" s="15">
        <v>-7.3429668849226597E-4</v>
      </c>
      <c r="W34" s="15">
        <v>-1.06364453165758E-3</v>
      </c>
      <c r="X34" s="34">
        <v>1.1083576137693401</v>
      </c>
      <c r="Y34" s="34">
        <v>1.1139962285470999</v>
      </c>
      <c r="Z34" s="34">
        <v>1.1076052155228799</v>
      </c>
      <c r="AA34" s="34">
        <v>1.10737494310294</v>
      </c>
      <c r="AB34" s="33">
        <v>105.903443962116</v>
      </c>
      <c r="AC34" s="33">
        <v>105.290259763468</v>
      </c>
      <c r="AD34" s="33">
        <v>105.25076983428001</v>
      </c>
      <c r="AE34" s="15">
        <v>5.0744636340110602E-3</v>
      </c>
      <c r="AF34" s="15">
        <v>-7.3239434382719396E-4</v>
      </c>
      <c r="AG34" s="15">
        <v>-1.10752245758602E-3</v>
      </c>
      <c r="AI34" s="12"/>
      <c r="AJ34">
        <f t="shared" si="6"/>
        <v>0</v>
      </c>
      <c r="AK34">
        <f t="shared" si="7"/>
        <v>1</v>
      </c>
      <c r="AL34">
        <f t="shared" si="14"/>
        <v>0</v>
      </c>
      <c r="AM34">
        <f t="shared" si="4"/>
        <v>1</v>
      </c>
      <c r="AN34">
        <f t="shared" si="15"/>
        <v>0</v>
      </c>
      <c r="AO34" s="28">
        <f t="shared" si="8"/>
        <v>0</v>
      </c>
      <c r="AP34" s="28">
        <f t="shared" si="9"/>
        <v>0</v>
      </c>
      <c r="AQ34" s="28">
        <f t="shared" si="16"/>
        <v>0</v>
      </c>
      <c r="AR34" s="29">
        <f t="shared" si="17"/>
        <v>4.1787788822000996E-3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0</v>
      </c>
      <c r="BE34" s="29">
        <f t="shared" si="22"/>
        <v>0</v>
      </c>
      <c r="BF34" s="29">
        <f t="shared" si="23"/>
        <v>4.1787788822000996E-3</v>
      </c>
      <c r="BH34" s="29"/>
    </row>
    <row r="35" spans="1:124" x14ac:dyDescent="0.25">
      <c r="A35" s="1">
        <v>46073</v>
      </c>
      <c r="B35" s="33">
        <v>94.64</v>
      </c>
      <c r="C35" s="33">
        <v>105.05</v>
      </c>
      <c r="D35" s="15">
        <v>-3.5861234508444799E-3</v>
      </c>
      <c r="E35" s="15">
        <v>-1.99705263462352E-3</v>
      </c>
      <c r="F35" s="33">
        <v>0</v>
      </c>
      <c r="G35" s="33">
        <v>8.6249999999999993E-2</v>
      </c>
      <c r="H35" s="33">
        <v>0</v>
      </c>
      <c r="I35" s="33">
        <v>0.107402</v>
      </c>
      <c r="J35" s="33">
        <v>8.6249999999999993E-2</v>
      </c>
      <c r="K35" s="33">
        <v>0.107402</v>
      </c>
      <c r="L35" s="33">
        <v>94.726249999999993</v>
      </c>
      <c r="M35" s="33">
        <v>105.157401999999</v>
      </c>
      <c r="N35" s="34">
        <v>1.10999577345731</v>
      </c>
      <c r="O35" s="34">
        <v>1.1144210713463301</v>
      </c>
      <c r="P35" s="34">
        <v>1.1074882448240499</v>
      </c>
      <c r="Q35" s="34">
        <v>1.1076400932245001</v>
      </c>
      <c r="R35" s="33">
        <v>105.46881019221701</v>
      </c>
      <c r="S35" s="33">
        <v>104.811835638296</v>
      </c>
      <c r="T35" s="33">
        <v>104.79422261296</v>
      </c>
      <c r="U35" s="15">
        <v>3.9788439271234198E-3</v>
      </c>
      <c r="V35" s="15">
        <v>-2.2697263008695399E-3</v>
      </c>
      <c r="W35" s="15">
        <v>-2.4377846625839202E-3</v>
      </c>
      <c r="X35" s="34">
        <v>1.1101189163510601</v>
      </c>
      <c r="Y35" s="34">
        <v>1.1139962285470999</v>
      </c>
      <c r="Z35" s="34">
        <v>1.1076137523404701</v>
      </c>
      <c r="AA35" s="34">
        <v>1.1077280551272399</v>
      </c>
      <c r="AB35" s="33">
        <v>105.52468524440999</v>
      </c>
      <c r="AC35" s="33">
        <v>104.91928854692399</v>
      </c>
      <c r="AD35" s="33">
        <v>104.89747570410501</v>
      </c>
      <c r="AE35" s="15">
        <v>3.4866145602299699E-3</v>
      </c>
      <c r="AF35" s="15">
        <v>-2.2669202796935998E-3</v>
      </c>
      <c r="AG35" s="15">
        <v>-2.4748430638997202E-3</v>
      </c>
      <c r="AI35" s="12"/>
      <c r="AJ35">
        <f t="shared" si="6"/>
        <v>0</v>
      </c>
      <c r="AK35">
        <f t="shared" si="7"/>
        <v>1</v>
      </c>
      <c r="AL35">
        <f t="shared" si="14"/>
        <v>0</v>
      </c>
      <c r="AM35">
        <f t="shared" si="4"/>
        <v>1</v>
      </c>
      <c r="AN35">
        <f t="shared" si="15"/>
        <v>0</v>
      </c>
      <c r="AO35" s="28">
        <f t="shared" si="8"/>
        <v>0</v>
      </c>
      <c r="AP35" s="28">
        <f t="shared" si="9"/>
        <v>0</v>
      </c>
      <c r="AQ35" s="28">
        <f t="shared" si="16"/>
        <v>0</v>
      </c>
      <c r="AR35" s="29">
        <f t="shared" si="17"/>
        <v>4.1787788822000996E-3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1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0</v>
      </c>
      <c r="BE35" s="29">
        <f t="shared" si="22"/>
        <v>0</v>
      </c>
      <c r="BF35" s="29">
        <f t="shared" si="23"/>
        <v>4.1787788822000996E-3</v>
      </c>
      <c r="BH35" s="29"/>
    </row>
    <row r="36" spans="1:124" x14ac:dyDescent="0.25">
      <c r="A36" s="1">
        <v>46076</v>
      </c>
      <c r="B36" s="33">
        <v>94.13</v>
      </c>
      <c r="C36" s="33">
        <v>104.37</v>
      </c>
      <c r="D36" s="15">
        <v>-5.4034141110024898E-3</v>
      </c>
      <c r="E36" s="15">
        <v>-6.4941494590490404E-3</v>
      </c>
      <c r="F36" s="33">
        <v>0</v>
      </c>
      <c r="G36" s="33">
        <v>8.6249999999999993E-2</v>
      </c>
      <c r="H36" s="33">
        <v>0</v>
      </c>
      <c r="I36" s="33">
        <v>0.107402</v>
      </c>
      <c r="J36" s="33">
        <v>8.6249999999999993E-2</v>
      </c>
      <c r="K36" s="33">
        <v>0.107402</v>
      </c>
      <c r="L36" s="33">
        <v>94.216250000000002</v>
      </c>
      <c r="M36" s="33">
        <v>104.477402</v>
      </c>
      <c r="N36" s="34">
        <v>1.108785721874</v>
      </c>
      <c r="O36" s="34">
        <v>1.1144210713463301</v>
      </c>
      <c r="P36" s="34">
        <v>1.1072332353190599</v>
      </c>
      <c r="Q36" s="34">
        <v>1.1078125777418899</v>
      </c>
      <c r="R36" s="33">
        <v>104.90045544583</v>
      </c>
      <c r="S36" s="33">
        <v>104.247868485288</v>
      </c>
      <c r="T36" s="33">
        <v>104.262161975222</v>
      </c>
      <c r="U36" s="15">
        <v>5.0695792751700598E-3</v>
      </c>
      <c r="V36" s="15">
        <v>-1.1708635463621401E-3</v>
      </c>
      <c r="W36" s="15">
        <v>-1.03376232465588E-3</v>
      </c>
      <c r="X36" s="34">
        <v>1.1089106390882599</v>
      </c>
      <c r="Y36" s="34">
        <v>1.1139962285470999</v>
      </c>
      <c r="Z36" s="34">
        <v>1.10735895281897</v>
      </c>
      <c r="AA36" s="34">
        <v>1.1079067855053399</v>
      </c>
      <c r="AB36" s="33">
        <v>104.956547167851</v>
      </c>
      <c r="AC36" s="33">
        <v>104.35521419394701</v>
      </c>
      <c r="AD36" s="33">
        <v>104.365983373882</v>
      </c>
      <c r="AE36" s="15">
        <v>4.5756287910210603E-3</v>
      </c>
      <c r="AF36" s="15">
        <v>-1.17019862339824E-3</v>
      </c>
      <c r="AG36" s="15">
        <v>-1.0670066134858701E-3</v>
      </c>
      <c r="AI36" s="12"/>
      <c r="AJ36">
        <f t="shared" si="6"/>
        <v>0</v>
      </c>
      <c r="AK36">
        <f t="shared" si="7"/>
        <v>1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4.1787788822000996E-3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0</v>
      </c>
      <c r="BE36" s="29">
        <f t="shared" si="22"/>
        <v>0</v>
      </c>
      <c r="BF36" s="29">
        <f t="shared" si="23"/>
        <v>4.1787788822000996E-3</v>
      </c>
      <c r="BH36" s="29"/>
    </row>
    <row r="37" spans="1:124" x14ac:dyDescent="0.25">
      <c r="A37" s="1">
        <v>46077</v>
      </c>
      <c r="B37" s="33">
        <v>94.91</v>
      </c>
      <c r="C37" s="33">
        <v>104.9</v>
      </c>
      <c r="D37" s="15">
        <v>8.2522685832720297E-3</v>
      </c>
      <c r="E37" s="15">
        <v>5.0652375702911296E-3</v>
      </c>
      <c r="F37" s="33">
        <v>0</v>
      </c>
      <c r="G37" s="33">
        <v>8.6249999999999993E-2</v>
      </c>
      <c r="H37" s="33">
        <v>0</v>
      </c>
      <c r="I37" s="33">
        <v>0.107402</v>
      </c>
      <c r="J37" s="33">
        <v>8.6249999999999993E-2</v>
      </c>
      <c r="K37" s="33">
        <v>0.107402</v>
      </c>
      <c r="L37" s="33">
        <v>94.996250000000003</v>
      </c>
      <c r="M37" s="33">
        <v>105.007402</v>
      </c>
      <c r="N37" s="34">
        <v>1.10525761247497</v>
      </c>
      <c r="O37" s="34">
        <v>1.1144210713463301</v>
      </c>
      <c r="P37" s="34">
        <v>1.10707703487428</v>
      </c>
      <c r="Q37" s="34">
        <v>1.10777129614579</v>
      </c>
      <c r="R37" s="33">
        <v>105.76970388148</v>
      </c>
      <c r="S37" s="33">
        <v>105.087506364132</v>
      </c>
      <c r="T37" s="33">
        <v>105.142491753483</v>
      </c>
      <c r="U37" s="15">
        <v>8.2566102881507994E-3</v>
      </c>
      <c r="V37" s="15">
        <v>1.7858816194796601E-3</v>
      </c>
      <c r="W37" s="15">
        <v>2.3089790945967099E-3</v>
      </c>
      <c r="X37" s="34">
        <v>1.1053847072910701</v>
      </c>
      <c r="Y37" s="34">
        <v>1.1139962285470999</v>
      </c>
      <c r="Z37" s="34">
        <v>1.10720290872912</v>
      </c>
      <c r="AA37" s="34">
        <v>1.10787185865005</v>
      </c>
      <c r="AB37" s="33">
        <v>105.825464226118</v>
      </c>
      <c r="AC37" s="33">
        <v>105.194947921729</v>
      </c>
      <c r="AD37" s="33">
        <v>105.24698997256201</v>
      </c>
      <c r="AE37" s="15">
        <v>7.7603302203496502E-3</v>
      </c>
      <c r="AF37" s="15">
        <v>1.78443268178854E-3</v>
      </c>
      <c r="AG37" s="15">
        <v>2.2790304070788299E-3</v>
      </c>
      <c r="AI37" s="12"/>
      <c r="AJ37">
        <f t="shared" si="6"/>
        <v>0</v>
      </c>
      <c r="AK37">
        <f t="shared" si="7"/>
        <v>1</v>
      </c>
      <c r="AL37">
        <f t="shared" si="14"/>
        <v>0</v>
      </c>
      <c r="AM37">
        <f t="shared" si="4"/>
        <v>1</v>
      </c>
      <c r="AN37">
        <f t="shared" si="15"/>
        <v>0</v>
      </c>
      <c r="AO37" s="28">
        <f t="shared" si="8"/>
        <v>0</v>
      </c>
      <c r="AP37" s="28">
        <f t="shared" si="9"/>
        <v>0</v>
      </c>
      <c r="AQ37" s="28">
        <f t="shared" si="16"/>
        <v>0</v>
      </c>
      <c r="AR37" s="29">
        <f t="shared" si="17"/>
        <v>4.1787788822000996E-3</v>
      </c>
      <c r="AT37" s="12"/>
      <c r="AU37">
        <f t="shared" si="10"/>
        <v>0</v>
      </c>
      <c r="AV37">
        <f t="shared" si="11"/>
        <v>0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0</v>
      </c>
      <c r="BE37" s="29">
        <f t="shared" si="22"/>
        <v>0</v>
      </c>
      <c r="BF37" s="29">
        <f t="shared" si="23"/>
        <v>4.1787788822000996E-3</v>
      </c>
      <c r="BH37" s="29"/>
    </row>
    <row r="38" spans="1:124" x14ac:dyDescent="0.25">
      <c r="A38" s="1">
        <v>46078</v>
      </c>
      <c r="B38" s="33">
        <v>95.62</v>
      </c>
      <c r="C38" s="33">
        <v>105.69</v>
      </c>
      <c r="D38" s="15">
        <v>7.4529290555566102E-3</v>
      </c>
      <c r="E38" s="15">
        <v>7.5027656190043302E-3</v>
      </c>
      <c r="F38" s="33">
        <v>0</v>
      </c>
      <c r="G38" s="33">
        <v>8.6249999999999993E-2</v>
      </c>
      <c r="H38" s="33">
        <v>0</v>
      </c>
      <c r="I38" s="33">
        <v>0.107402</v>
      </c>
      <c r="J38" s="33">
        <v>8.6249999999999993E-2</v>
      </c>
      <c r="K38" s="33">
        <v>0.107402</v>
      </c>
      <c r="L38" s="33">
        <v>95.706249999999997</v>
      </c>
      <c r="M38" s="33">
        <v>105.797401999999</v>
      </c>
      <c r="N38" s="34">
        <v>1.1053126960886801</v>
      </c>
      <c r="O38" s="34">
        <v>1.1144210713463301</v>
      </c>
      <c r="P38" s="34">
        <v>1.1069412149388</v>
      </c>
      <c r="Q38" s="34">
        <v>1.1077213688387499</v>
      </c>
      <c r="R38" s="33">
        <v>106.560942842136</v>
      </c>
      <c r="S38" s="33">
        <v>105.85870607467901</v>
      </c>
      <c r="T38" s="33">
        <v>105.92509133746</v>
      </c>
      <c r="U38" s="15">
        <v>8.2067737247030394E-3</v>
      </c>
      <c r="V38" s="15">
        <v>1.5949623476692501E-3</v>
      </c>
      <c r="W38" s="15">
        <v>2.2218777752593499E-3</v>
      </c>
      <c r="X38" s="34">
        <v>1.1054387984065801</v>
      </c>
      <c r="Y38" s="34">
        <v>1.1139962285470999</v>
      </c>
      <c r="Z38" s="34">
        <v>1.1070670753365199</v>
      </c>
      <c r="AA38" s="34">
        <v>1.1078282364589001</v>
      </c>
      <c r="AB38" s="33">
        <v>106.61640154838599</v>
      </c>
      <c r="AC38" s="33">
        <v>105.966238383557</v>
      </c>
      <c r="AD38" s="33">
        <v>106.03026107192601</v>
      </c>
      <c r="AE38" s="15">
        <v>7.7113972183467799E-3</v>
      </c>
      <c r="AF38" s="15">
        <v>1.59457420571143E-3</v>
      </c>
      <c r="AG38" s="15">
        <v>2.1985718234104798E-3</v>
      </c>
      <c r="AI38" s="12"/>
      <c r="AJ38">
        <f t="shared" si="6"/>
        <v>0</v>
      </c>
      <c r="AK38">
        <f t="shared" si="7"/>
        <v>1</v>
      </c>
      <c r="AL38">
        <f t="shared" si="14"/>
        <v>0</v>
      </c>
      <c r="AM38">
        <f t="shared" si="4"/>
        <v>1</v>
      </c>
      <c r="AN38">
        <f t="shared" si="15"/>
        <v>0</v>
      </c>
      <c r="AO38" s="28">
        <f t="shared" si="8"/>
        <v>0</v>
      </c>
      <c r="AP38" s="28">
        <f t="shared" si="9"/>
        <v>0</v>
      </c>
      <c r="AQ38" s="28">
        <f t="shared" si="16"/>
        <v>0</v>
      </c>
      <c r="AR38" s="29">
        <f t="shared" si="17"/>
        <v>4.1787788822000996E-3</v>
      </c>
      <c r="AT38" s="12"/>
      <c r="AU38">
        <f t="shared" si="10"/>
        <v>0</v>
      </c>
      <c r="AV38">
        <f t="shared" si="11"/>
        <v>0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0</v>
      </c>
      <c r="BE38" s="29">
        <f t="shared" si="22"/>
        <v>0</v>
      </c>
      <c r="BF38" s="29">
        <f t="shared" si="23"/>
        <v>4.1787788822000996E-3</v>
      </c>
      <c r="BH38" s="29"/>
    </row>
    <row r="39" spans="1:124" x14ac:dyDescent="0.25">
      <c r="A39" s="1">
        <v>46079</v>
      </c>
      <c r="B39" s="33">
        <v>95.07</v>
      </c>
      <c r="C39" s="33">
        <v>105.39</v>
      </c>
      <c r="D39" s="15">
        <v>-5.7685408270183999E-3</v>
      </c>
      <c r="E39" s="15">
        <v>-2.8425260754105998E-3</v>
      </c>
      <c r="F39" s="33">
        <v>0</v>
      </c>
      <c r="G39" s="33">
        <v>8.6249999999999993E-2</v>
      </c>
      <c r="H39" s="33">
        <v>0</v>
      </c>
      <c r="I39" s="33">
        <v>0.107402</v>
      </c>
      <c r="J39" s="33">
        <v>8.6249999999999993E-2</v>
      </c>
      <c r="K39" s="33">
        <v>0.107402</v>
      </c>
      <c r="L39" s="33">
        <v>95.15625</v>
      </c>
      <c r="M39" s="33">
        <v>105.49740199999999</v>
      </c>
      <c r="N39" s="34">
        <v>1.10855159356263</v>
      </c>
      <c r="O39" s="34">
        <v>1.1144210713463301</v>
      </c>
      <c r="P39" s="34">
        <v>1.10732018381887</v>
      </c>
      <c r="Q39" s="34">
        <v>1.1078319110155701</v>
      </c>
      <c r="R39" s="33">
        <v>105.94801125289599</v>
      </c>
      <c r="S39" s="33">
        <v>105.23690130423201</v>
      </c>
      <c r="T39" s="33">
        <v>105.31107053549999</v>
      </c>
      <c r="U39" s="15">
        <v>5.2807589730952797E-3</v>
      </c>
      <c r="V39" s="15">
        <v>-1.4537432947317301E-3</v>
      </c>
      <c r="W39" s="15">
        <v>-7.4920804143233002E-4</v>
      </c>
      <c r="X39" s="34">
        <v>1.1086754889983499</v>
      </c>
      <c r="Y39" s="34">
        <v>1.1139962285470999</v>
      </c>
      <c r="Z39" s="34">
        <v>1.1074456239852699</v>
      </c>
      <c r="AA39" s="34">
        <v>1.10794497340751</v>
      </c>
      <c r="AB39" s="33">
        <v>106.00370362268499</v>
      </c>
      <c r="AC39" s="33">
        <v>105.344351387491</v>
      </c>
      <c r="AD39" s="33">
        <v>105.416780625542</v>
      </c>
      <c r="AE39" s="15">
        <v>4.7877063178535101E-3</v>
      </c>
      <c r="AF39" s="15">
        <v>-1.4518057920873499E-3</v>
      </c>
      <c r="AG39" s="15">
        <v>-7.6449461463612802E-4</v>
      </c>
      <c r="AI39" s="12"/>
      <c r="AJ39">
        <f t="shared" si="6"/>
        <v>0</v>
      </c>
      <c r="AK39">
        <f t="shared" si="7"/>
        <v>1</v>
      </c>
      <c r="AL39">
        <f t="shared" si="14"/>
        <v>0</v>
      </c>
      <c r="AM39">
        <f t="shared" si="4"/>
        <v>1</v>
      </c>
      <c r="AN39">
        <f t="shared" si="15"/>
        <v>0</v>
      </c>
      <c r="AO39" s="28">
        <f t="shared" si="8"/>
        <v>0</v>
      </c>
      <c r="AP39" s="28">
        <f t="shared" si="9"/>
        <v>0</v>
      </c>
      <c r="AQ39" s="28">
        <f t="shared" si="16"/>
        <v>0</v>
      </c>
      <c r="AR39" s="29">
        <f t="shared" si="17"/>
        <v>4.1787788822000996E-3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0</v>
      </c>
      <c r="BE39" s="29">
        <f t="shared" si="22"/>
        <v>0</v>
      </c>
      <c r="BF39" s="29">
        <f t="shared" si="23"/>
        <v>4.1787788822000996E-3</v>
      </c>
      <c r="BH39" s="29"/>
    </row>
    <row r="40" spans="1:124" x14ac:dyDescent="0.25">
      <c r="A40" s="1">
        <v>46080</v>
      </c>
      <c r="B40" s="33">
        <v>94.38</v>
      </c>
      <c r="C40" s="33">
        <v>104.78</v>
      </c>
      <c r="D40" s="15">
        <v>-7.2842760726976102E-3</v>
      </c>
      <c r="E40" s="15">
        <v>-5.8048409657716999E-3</v>
      </c>
      <c r="F40" s="33">
        <v>0</v>
      </c>
      <c r="G40" s="33">
        <v>8.6249999999999993E-2</v>
      </c>
      <c r="H40" s="33">
        <v>0</v>
      </c>
      <c r="I40" s="33">
        <v>0.107402</v>
      </c>
      <c r="J40" s="33">
        <v>8.6249999999999993E-2</v>
      </c>
      <c r="K40" s="33">
        <v>0.107402</v>
      </c>
      <c r="L40" s="33">
        <v>94.466250000000002</v>
      </c>
      <c r="M40" s="33">
        <v>104.88740199999999</v>
      </c>
      <c r="N40" s="34">
        <v>1.1101928374655601</v>
      </c>
      <c r="O40" s="34">
        <v>1.1144210713463301</v>
      </c>
      <c r="P40" s="34">
        <v>1.1077655137798901</v>
      </c>
      <c r="Q40" s="34">
        <v>1.1079313018869501</v>
      </c>
      <c r="R40" s="33">
        <v>105.179060713667</v>
      </c>
      <c r="S40" s="33">
        <v>104.508878948825</v>
      </c>
      <c r="T40" s="33">
        <v>104.55717576165</v>
      </c>
      <c r="U40" s="15">
        <v>3.8013238661691899E-3</v>
      </c>
      <c r="V40" s="15">
        <v>-2.5908801671436698E-3</v>
      </c>
      <c r="W40" s="15">
        <v>-2.1288557246723198E-3</v>
      </c>
      <c r="X40" s="34">
        <v>1.1103161393619401</v>
      </c>
      <c r="Y40" s="34">
        <v>1.1139962285470999</v>
      </c>
      <c r="Z40" s="34">
        <v>1.10789048366265</v>
      </c>
      <c r="AA40" s="34">
        <v>1.10805052937371</v>
      </c>
      <c r="AB40" s="33">
        <v>105.235046224988</v>
      </c>
      <c r="AC40" s="33">
        <v>104.616235176798</v>
      </c>
      <c r="AD40" s="33">
        <v>104.663406844157</v>
      </c>
      <c r="AE40" s="15">
        <v>3.3089709845815899E-3</v>
      </c>
      <c r="AF40" s="15">
        <v>-2.5886612593775298E-3</v>
      </c>
      <c r="AG40" s="15">
        <v>-2.1378609072493998E-3</v>
      </c>
      <c r="AI40" s="12"/>
      <c r="AJ40">
        <f t="shared" si="6"/>
        <v>0</v>
      </c>
      <c r="AK40">
        <f t="shared" si="7"/>
        <v>1</v>
      </c>
      <c r="AL40">
        <f t="shared" si="14"/>
        <v>0</v>
      </c>
      <c r="AM40">
        <f t="shared" si="4"/>
        <v>0</v>
      </c>
      <c r="AN40">
        <f t="shared" si="15"/>
        <v>0</v>
      </c>
      <c r="AO40" s="28">
        <f t="shared" si="8"/>
        <v>0</v>
      </c>
      <c r="AP40" s="28">
        <f t="shared" si="9"/>
        <v>0</v>
      </c>
      <c r="AQ40" s="28">
        <f t="shared" si="16"/>
        <v>0</v>
      </c>
      <c r="AR40" s="29">
        <f t="shared" si="17"/>
        <v>4.1787788822000996E-3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0</v>
      </c>
      <c r="BE40" s="29">
        <f t="shared" si="22"/>
        <v>0</v>
      </c>
      <c r="BF40" s="29">
        <f t="shared" si="23"/>
        <v>4.1787788822000996E-3</v>
      </c>
      <c r="BH40" s="29"/>
    </row>
    <row r="41" spans="1:124" x14ac:dyDescent="0.25">
      <c r="A41" s="1">
        <v>46083</v>
      </c>
      <c r="B41" s="33">
        <v>94.74</v>
      </c>
      <c r="C41" s="33">
        <v>105.61</v>
      </c>
      <c r="D41" s="15">
        <v>3.8071111973643299E-3</v>
      </c>
      <c r="E41" s="15">
        <v>7.8901497783093692E-3</v>
      </c>
      <c r="F41" s="33">
        <v>0.14646999999999999</v>
      </c>
      <c r="G41" s="33">
        <v>0.23271999999999901</v>
      </c>
      <c r="H41" s="33">
        <v>0.129662</v>
      </c>
      <c r="I41" s="33">
        <v>0.237064</v>
      </c>
      <c r="J41" s="33">
        <v>0.23271999999999901</v>
      </c>
      <c r="K41" s="33">
        <v>0.237064</v>
      </c>
      <c r="L41" s="33">
        <v>94.972719999999995</v>
      </c>
      <c r="M41" s="33">
        <v>105.847064</v>
      </c>
      <c r="N41" s="34">
        <v>1.11473506438674</v>
      </c>
      <c r="O41" s="34">
        <v>1.1144210713463301</v>
      </c>
      <c r="P41" s="34">
        <v>1.1084253497075101</v>
      </c>
      <c r="Q41" s="34">
        <v>1.1082504962197799</v>
      </c>
      <c r="R41" s="33">
        <v>105.580252299351</v>
      </c>
      <c r="S41" s="33">
        <v>104.949704775507</v>
      </c>
      <c r="T41" s="33">
        <v>104.96541154077001</v>
      </c>
      <c r="U41" s="15">
        <v>-2.8171471477579299E-4</v>
      </c>
      <c r="V41" s="15">
        <v>-6.27183049705688E-3</v>
      </c>
      <c r="W41" s="15">
        <v>-6.1221817669601299E-3</v>
      </c>
      <c r="X41" s="34">
        <v>1.1144996584282301</v>
      </c>
      <c r="Y41" s="34">
        <v>1.1139962285470999</v>
      </c>
      <c r="Z41" s="34">
        <v>1.10851427827775</v>
      </c>
      <c r="AA41" s="34">
        <v>1.1083579534086101</v>
      </c>
      <c r="AB41" s="33">
        <v>105.79925189486001</v>
      </c>
      <c r="AC41" s="33">
        <v>105.219372695557</v>
      </c>
      <c r="AD41" s="33">
        <v>105.23457267206101</v>
      </c>
      <c r="AE41" s="15">
        <v>-4.5181136983900701E-4</v>
      </c>
      <c r="AF41" s="15">
        <v>-5.9478253836574803E-3</v>
      </c>
      <c r="AG41" s="15">
        <v>-5.8033759507517303E-3</v>
      </c>
      <c r="AI41" s="12"/>
      <c r="AJ41">
        <f t="shared" si="6"/>
        <v>1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4.1787788822000996E-3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0</v>
      </c>
      <c r="BE41" s="29">
        <f t="shared" si="22"/>
        <v>0</v>
      </c>
      <c r="BF41" s="29">
        <f t="shared" si="23"/>
        <v>4.1787788822000996E-3</v>
      </c>
      <c r="BH41" s="29"/>
    </row>
    <row r="42" spans="1:124" x14ac:dyDescent="0.25">
      <c r="A42" s="1">
        <v>46084</v>
      </c>
      <c r="B42" s="33">
        <v>93.08</v>
      </c>
      <c r="C42" s="33">
        <v>103.31</v>
      </c>
      <c r="D42" s="15">
        <v>-1.7676959061514699E-2</v>
      </c>
      <c r="E42" s="15">
        <v>-2.2018886897029001E-2</v>
      </c>
      <c r="F42" s="33">
        <v>0</v>
      </c>
      <c r="G42" s="33">
        <v>0.23271999999999901</v>
      </c>
      <c r="H42" s="33">
        <v>0</v>
      </c>
      <c r="I42" s="33">
        <v>0.237064</v>
      </c>
      <c r="J42" s="33">
        <v>0.23271999999999901</v>
      </c>
      <c r="K42" s="33">
        <v>0.237064</v>
      </c>
      <c r="L42" s="33">
        <v>93.312719999999999</v>
      </c>
      <c r="M42" s="33">
        <v>103.54706400000001</v>
      </c>
      <c r="N42" s="34">
        <v>1.1099054576708201</v>
      </c>
      <c r="O42" s="34">
        <v>1.1144210713463301</v>
      </c>
      <c r="P42" s="34">
        <v>1.10883349412409</v>
      </c>
      <c r="Q42" s="34">
        <v>1.1083311453557201</v>
      </c>
      <c r="R42" s="33">
        <v>103.730313320916</v>
      </c>
      <c r="S42" s="33">
        <v>103.172231550775</v>
      </c>
      <c r="T42" s="33">
        <v>103.155956188137</v>
      </c>
      <c r="U42" s="15">
        <v>4.0602131207383603E-3</v>
      </c>
      <c r="V42" s="15">
        <v>-1.3344341412216301E-3</v>
      </c>
      <c r="W42" s="15">
        <v>-1.4921960335717199E-3</v>
      </c>
      <c r="X42" s="34">
        <v>1.10967790886387</v>
      </c>
      <c r="Y42" s="34">
        <v>1.1139962285470999</v>
      </c>
      <c r="Z42" s="34">
        <v>1.10888699241134</v>
      </c>
      <c r="AA42" s="34">
        <v>1.10842093597327</v>
      </c>
      <c r="AB42" s="33">
        <v>103.95001815547199</v>
      </c>
      <c r="AC42" s="33">
        <v>103.438482464934</v>
      </c>
      <c r="AD42" s="33">
        <v>103.423895366191</v>
      </c>
      <c r="AE42" s="15">
        <v>3.8839549726361298E-3</v>
      </c>
      <c r="AF42" s="15">
        <v>-1.04917031048892E-3</v>
      </c>
      <c r="AG42" s="15">
        <v>-1.1902022266847901E-3</v>
      </c>
      <c r="AI42" s="12"/>
      <c r="AJ42">
        <f t="shared" si="6"/>
        <v>0</v>
      </c>
      <c r="AK42">
        <f t="shared" si="7"/>
        <v>1</v>
      </c>
      <c r="AL42">
        <f t="shared" si="14"/>
        <v>1</v>
      </c>
      <c r="AM42">
        <f t="shared" si="4"/>
        <v>1</v>
      </c>
      <c r="AN42">
        <f t="shared" si="15"/>
        <v>1</v>
      </c>
      <c r="AO42" s="28">
        <f t="shared" si="8"/>
        <v>-1.7676959061514699E-2</v>
      </c>
      <c r="AP42" s="28">
        <f t="shared" si="9"/>
        <v>2.2018886897029001E-2</v>
      </c>
      <c r="AQ42" s="28">
        <f t="shared" si="16"/>
        <v>4.3419278355143025E-3</v>
      </c>
      <c r="AR42" s="29">
        <f t="shared" si="17"/>
        <v>8.5207067177144012E-3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0</v>
      </c>
      <c r="BE42" s="29">
        <f t="shared" si="22"/>
        <v>4.3419278355143025E-3</v>
      </c>
      <c r="BF42" s="29">
        <f t="shared" si="23"/>
        <v>8.5207067177144012E-3</v>
      </c>
      <c r="BH42" s="29"/>
    </row>
    <row r="43" spans="1:124" x14ac:dyDescent="0.25">
      <c r="A43" s="1">
        <v>46085</v>
      </c>
      <c r="B43" s="33">
        <v>93.99</v>
      </c>
      <c r="C43" s="33">
        <v>104.42</v>
      </c>
      <c r="D43" s="15">
        <v>9.7290551981189296E-3</v>
      </c>
      <c r="E43" s="15">
        <v>1.06870511210523E-2</v>
      </c>
      <c r="F43" s="33">
        <v>0</v>
      </c>
      <c r="G43" s="33">
        <v>0.23271999999999901</v>
      </c>
      <c r="H43" s="33">
        <v>0</v>
      </c>
      <c r="I43" s="33">
        <v>0.237064</v>
      </c>
      <c r="J43" s="33">
        <v>0.23271999999999901</v>
      </c>
      <c r="K43" s="33">
        <v>0.237064</v>
      </c>
      <c r="L43" s="33">
        <v>94.222719999999995</v>
      </c>
      <c r="M43" s="33">
        <v>104.65706400000001</v>
      </c>
      <c r="N43" s="34">
        <v>1.1109692520480901</v>
      </c>
      <c r="O43" s="34">
        <v>1.1144210713463301</v>
      </c>
      <c r="P43" s="34">
        <v>1.10919393213051</v>
      </c>
      <c r="Q43" s="34">
        <v>1.1083068855287199</v>
      </c>
      <c r="R43" s="33">
        <v>104.744436495842</v>
      </c>
      <c r="S43" s="33">
        <v>104.219260112724</v>
      </c>
      <c r="T43" s="33">
        <v>104.172044351984</v>
      </c>
      <c r="U43" s="15">
        <v>3.1022171978052101E-3</v>
      </c>
      <c r="V43" s="15">
        <v>-1.9242778095531099E-3</v>
      </c>
      <c r="W43" s="15">
        <v>-2.3774230275721299E-3</v>
      </c>
      <c r="X43" s="34">
        <v>1.1107412734423201</v>
      </c>
      <c r="Y43" s="34">
        <v>1.1139962285470999</v>
      </c>
      <c r="Z43" s="34">
        <v>1.1092121144000999</v>
      </c>
      <c r="AA43" s="34">
        <v>1.10837913525598</v>
      </c>
      <c r="AB43" s="33">
        <v>104.96375472344999</v>
      </c>
      <c r="AC43" s="33">
        <v>104.482348597616</v>
      </c>
      <c r="AD43" s="33">
        <v>104.438435492347</v>
      </c>
      <c r="AE43" s="15">
        <v>2.9261496463047201E-3</v>
      </c>
      <c r="AF43" s="15">
        <v>-1.6708036123632801E-3</v>
      </c>
      <c r="AG43" s="15">
        <v>-2.0911840556645002E-3</v>
      </c>
      <c r="AI43" s="12"/>
      <c r="AJ43">
        <f t="shared" si="6"/>
        <v>0</v>
      </c>
      <c r="AK43">
        <f t="shared" si="7"/>
        <v>1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8.5207067177144012E-3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0</v>
      </c>
      <c r="BE43" s="29">
        <f t="shared" si="22"/>
        <v>0</v>
      </c>
      <c r="BF43" s="29">
        <f t="shared" si="23"/>
        <v>8.5207067177144012E-3</v>
      </c>
      <c r="BH43" s="29"/>
    </row>
    <row r="44" spans="1:124" x14ac:dyDescent="0.25">
      <c r="A44" s="1">
        <v>46086</v>
      </c>
      <c r="B44" s="33">
        <v>93.04</v>
      </c>
      <c r="C44" s="33">
        <v>103.31</v>
      </c>
      <c r="D44" s="15">
        <v>-1.0158885421800899E-2</v>
      </c>
      <c r="E44" s="15">
        <v>-1.0687051121052201E-2</v>
      </c>
      <c r="F44" s="33">
        <v>0</v>
      </c>
      <c r="G44" s="33">
        <v>0.23271999999999901</v>
      </c>
      <c r="H44" s="33">
        <v>0</v>
      </c>
      <c r="I44" s="33">
        <v>0.237064</v>
      </c>
      <c r="J44" s="33">
        <v>0.23271999999999901</v>
      </c>
      <c r="K44" s="33">
        <v>0.237064</v>
      </c>
      <c r="L44" s="33">
        <v>93.272720000000007</v>
      </c>
      <c r="M44" s="33">
        <v>103.54706400000001</v>
      </c>
      <c r="N44" s="34">
        <v>1.11038263112639</v>
      </c>
      <c r="O44" s="34">
        <v>1.1144210713463301</v>
      </c>
      <c r="P44" s="34">
        <v>1.10940886401552</v>
      </c>
      <c r="Q44" s="34">
        <v>1.10844405393451</v>
      </c>
      <c r="R44" s="33">
        <v>103.68573647806301</v>
      </c>
      <c r="S44" s="33">
        <v>103.19940344542201</v>
      </c>
      <c r="T44" s="33">
        <v>103.116872629592</v>
      </c>
      <c r="U44" s="15">
        <v>3.6303828970565498E-3</v>
      </c>
      <c r="V44" s="15">
        <v>-1.0711043982089699E-3</v>
      </c>
      <c r="W44" s="15">
        <v>-1.8711461768084899E-3</v>
      </c>
      <c r="X44" s="34">
        <v>1.11015379416403</v>
      </c>
      <c r="Y44" s="34">
        <v>1.1139962285470999</v>
      </c>
      <c r="Z44" s="34">
        <v>1.1093917324395699</v>
      </c>
      <c r="AA44" s="34">
        <v>1.10849847398123</v>
      </c>
      <c r="AB44" s="33">
        <v>103.90545830633</v>
      </c>
      <c r="AC44" s="33">
        <v>103.459230967049</v>
      </c>
      <c r="AD44" s="33">
        <v>103.381536736573</v>
      </c>
      <c r="AE44" s="15">
        <v>3.4551969665153502E-3</v>
      </c>
      <c r="AF44" s="15">
        <v>-8.4860258221382604E-4</v>
      </c>
      <c r="AG44" s="15">
        <v>-1.59984939871474E-3</v>
      </c>
      <c r="AI44" s="12"/>
      <c r="AJ44">
        <f t="shared" si="6"/>
        <v>0</v>
      </c>
      <c r="AK44">
        <f t="shared" si="7"/>
        <v>1</v>
      </c>
      <c r="AL44">
        <f t="shared" si="14"/>
        <v>0</v>
      </c>
      <c r="AM44">
        <f t="shared" si="4"/>
        <v>1</v>
      </c>
      <c r="AN44">
        <f t="shared" si="15"/>
        <v>0</v>
      </c>
      <c r="AO44" s="28">
        <f t="shared" si="8"/>
        <v>0</v>
      </c>
      <c r="AP44" s="28">
        <f t="shared" si="9"/>
        <v>0</v>
      </c>
      <c r="AQ44" s="28">
        <f t="shared" si="16"/>
        <v>0</v>
      </c>
      <c r="AR44" s="29">
        <f t="shared" si="17"/>
        <v>8.5207067177144012E-3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0</v>
      </c>
      <c r="BE44" s="29">
        <f t="shared" si="22"/>
        <v>0</v>
      </c>
      <c r="BF44" s="29">
        <f t="shared" si="23"/>
        <v>8.5207067177144012E-3</v>
      </c>
      <c r="BH44" s="29"/>
    </row>
    <row r="45" spans="1:124" x14ac:dyDescent="0.25">
      <c r="A45" s="1">
        <v>46087</v>
      </c>
      <c r="B45" s="33">
        <v>91.34</v>
      </c>
      <c r="C45" s="33">
        <v>101.28</v>
      </c>
      <c r="D45" s="15">
        <v>-1.8440700453555999E-2</v>
      </c>
      <c r="E45" s="15">
        <v>-1.9845218465488E-2</v>
      </c>
      <c r="F45" s="33">
        <v>0</v>
      </c>
      <c r="G45" s="33">
        <v>0.23271999999999901</v>
      </c>
      <c r="H45" s="33">
        <v>0</v>
      </c>
      <c r="I45" s="33">
        <v>0.237064</v>
      </c>
      <c r="J45" s="33">
        <v>0.23271999999999901</v>
      </c>
      <c r="K45" s="33">
        <v>0.237064</v>
      </c>
      <c r="L45" s="33">
        <v>91.572720000000004</v>
      </c>
      <c r="M45" s="33">
        <v>101.517064</v>
      </c>
      <c r="N45" s="34">
        <v>1.10882417341799</v>
      </c>
      <c r="O45" s="34">
        <v>1.1144210713463301</v>
      </c>
      <c r="P45" s="34">
        <v>1.1092917040115899</v>
      </c>
      <c r="Q45" s="34">
        <v>1.1083899744178201</v>
      </c>
      <c r="R45" s="33">
        <v>101.791220656774</v>
      </c>
      <c r="S45" s="33">
        <v>101.333405639177</v>
      </c>
      <c r="T45" s="33">
        <v>101.245279886378</v>
      </c>
      <c r="U45" s="15">
        <v>5.0349009089885001E-3</v>
      </c>
      <c r="V45" s="15">
        <v>5.2716788650975302E-4</v>
      </c>
      <c r="W45" s="15">
        <v>-3.4287190202318799E-4</v>
      </c>
      <c r="X45" s="34">
        <v>1.10859504883113</v>
      </c>
      <c r="Y45" s="34">
        <v>1.1139962285470999</v>
      </c>
      <c r="Z45" s="34">
        <v>1.10923934568758</v>
      </c>
      <c r="AA45" s="34">
        <v>1.1084265490140199</v>
      </c>
      <c r="AB45" s="33">
        <v>102.0116647178</v>
      </c>
      <c r="AC45" s="33">
        <v>101.59001848500399</v>
      </c>
      <c r="AD45" s="33">
        <v>101.50822037831</v>
      </c>
      <c r="AE45" s="15">
        <v>4.8602641459435398E-3</v>
      </c>
      <c r="AF45" s="15">
        <v>7.1838448220650495E-4</v>
      </c>
      <c r="AG45" s="15">
        <v>-8.7118426871101294E-5</v>
      </c>
      <c r="AI45" s="12"/>
      <c r="AJ45">
        <f t="shared" si="6"/>
        <v>0</v>
      </c>
      <c r="AK45">
        <f t="shared" si="7"/>
        <v>1</v>
      </c>
      <c r="AL45">
        <f t="shared" si="14"/>
        <v>0</v>
      </c>
      <c r="AM45">
        <f t="shared" si="4"/>
        <v>1</v>
      </c>
      <c r="AN45">
        <f t="shared" si="15"/>
        <v>0</v>
      </c>
      <c r="AO45" s="28">
        <f t="shared" si="8"/>
        <v>0</v>
      </c>
      <c r="AP45" s="28">
        <f t="shared" si="9"/>
        <v>0</v>
      </c>
      <c r="AQ45" s="28">
        <f t="shared" si="16"/>
        <v>0</v>
      </c>
      <c r="AR45" s="29">
        <f t="shared" si="17"/>
        <v>8.5207067177144012E-3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0</v>
      </c>
      <c r="BE45" s="29">
        <f t="shared" si="22"/>
        <v>0</v>
      </c>
      <c r="BF45" s="29">
        <f t="shared" si="23"/>
        <v>8.5207067177144012E-3</v>
      </c>
      <c r="BH45" s="29"/>
    </row>
    <row r="46" spans="1:124" x14ac:dyDescent="0.25">
      <c r="A46" s="1">
        <v>46090</v>
      </c>
      <c r="B46" s="33">
        <v>92.87</v>
      </c>
      <c r="C46" s="33">
        <v>103.18</v>
      </c>
      <c r="D46" s="15">
        <v>1.6611858031063999E-2</v>
      </c>
      <c r="E46" s="15">
        <v>1.8586077420637701E-2</v>
      </c>
      <c r="F46" s="33">
        <v>0</v>
      </c>
      <c r="G46" s="33">
        <v>0.23271999999999901</v>
      </c>
      <c r="H46" s="33">
        <v>0</v>
      </c>
      <c r="I46" s="33">
        <v>0.237064</v>
      </c>
      <c r="J46" s="33">
        <v>0.23271999999999901</v>
      </c>
      <c r="K46" s="33">
        <v>0.237064</v>
      </c>
      <c r="L46" s="33">
        <v>93.102720000000005</v>
      </c>
      <c r="M46" s="33">
        <v>103.417064</v>
      </c>
      <c r="N46" s="34">
        <v>1.11101539786798</v>
      </c>
      <c r="O46" s="34">
        <v>1.1144210713463301</v>
      </c>
      <c r="P46" s="34">
        <v>1.10951467161099</v>
      </c>
      <c r="Q46" s="34">
        <v>1.1083739534650201</v>
      </c>
      <c r="R46" s="33">
        <v>103.496284895934</v>
      </c>
      <c r="S46" s="33">
        <v>103.019920551556</v>
      </c>
      <c r="T46" s="33">
        <v>102.936176924183</v>
      </c>
      <c r="U46" s="15">
        <v>3.0606815194148202E-3</v>
      </c>
      <c r="V46" s="15">
        <v>-1.5526628737270801E-3</v>
      </c>
      <c r="W46" s="15">
        <v>-2.3658811567965599E-3</v>
      </c>
      <c r="X46" s="34">
        <v>1.1107845613962699</v>
      </c>
      <c r="Y46" s="34">
        <v>1.1139962285470999</v>
      </c>
      <c r="Z46" s="34">
        <v>1.10942673791838</v>
      </c>
      <c r="AA46" s="34">
        <v>1.10839284536867</v>
      </c>
      <c r="AB46" s="33">
        <v>103.716078947477</v>
      </c>
      <c r="AC46" s="33">
        <v>103.273200214534</v>
      </c>
      <c r="AD46" s="33">
        <v>103.197526633419</v>
      </c>
      <c r="AE46" s="15">
        <v>2.88717827512341E-3</v>
      </c>
      <c r="AF46" s="15">
        <v>-1.3920714576932699E-3</v>
      </c>
      <c r="AG46" s="15">
        <v>-2.12509144225667E-3</v>
      </c>
      <c r="AI46" s="12"/>
      <c r="AJ46">
        <f t="shared" si="6"/>
        <v>0</v>
      </c>
      <c r="AK46">
        <f t="shared" si="7"/>
        <v>1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8.5207067177144012E-3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0</v>
      </c>
      <c r="BE46" s="29">
        <f t="shared" si="22"/>
        <v>0</v>
      </c>
      <c r="BF46" s="29">
        <f t="shared" si="23"/>
        <v>8.5207067177144012E-3</v>
      </c>
      <c r="BH46" s="29"/>
    </row>
    <row r="47" spans="1:124" x14ac:dyDescent="0.25">
      <c r="A47" s="1">
        <v>46091</v>
      </c>
      <c r="B47" s="33">
        <v>93.01</v>
      </c>
      <c r="C47" s="33">
        <v>103.5</v>
      </c>
      <c r="D47" s="15">
        <v>1.5063484664587399E-3</v>
      </c>
      <c r="E47" s="15">
        <v>3.09657688891993E-3</v>
      </c>
      <c r="F47" s="33">
        <v>0</v>
      </c>
      <c r="G47" s="33">
        <v>0.23271999999999901</v>
      </c>
      <c r="H47" s="33">
        <v>0</v>
      </c>
      <c r="I47" s="33">
        <v>0.237064</v>
      </c>
      <c r="J47" s="33">
        <v>0.23271999999999901</v>
      </c>
      <c r="K47" s="33">
        <v>0.237064</v>
      </c>
      <c r="L47" s="33">
        <v>93.242720000000006</v>
      </c>
      <c r="M47" s="33">
        <v>103.737064</v>
      </c>
      <c r="N47" s="34">
        <v>1.11278357165896</v>
      </c>
      <c r="O47" s="34">
        <v>1.1144210713463301</v>
      </c>
      <c r="P47" s="34">
        <v>1.1102672675293801</v>
      </c>
      <c r="Q47" s="34">
        <v>1.10867215120183</v>
      </c>
      <c r="R47" s="33">
        <v>103.65230384592201</v>
      </c>
      <c r="S47" s="33">
        <v>103.195959606538</v>
      </c>
      <c r="T47" s="33">
        <v>103.089861411782</v>
      </c>
      <c r="U47" s="15">
        <v>1.47045309695348E-3</v>
      </c>
      <c r="V47" s="15">
        <v>-2.9419115238217999E-3</v>
      </c>
      <c r="W47" s="15">
        <v>-3.9705639400440798E-3</v>
      </c>
      <c r="X47" s="34">
        <v>1.1125486686788999</v>
      </c>
      <c r="Y47" s="34">
        <v>1.1139962285470999</v>
      </c>
      <c r="Z47" s="34">
        <v>1.1101431340571599</v>
      </c>
      <c r="AA47" s="34">
        <v>1.1086730213931399</v>
      </c>
      <c r="AB47" s="33">
        <v>103.872038419473</v>
      </c>
      <c r="AC47" s="33">
        <v>103.44596668423701</v>
      </c>
      <c r="AD47" s="33">
        <v>103.349563730714</v>
      </c>
      <c r="AE47" s="15">
        <v>1.3002747655847999E-3</v>
      </c>
      <c r="AF47" s="15">
        <v>-2.8100516374613802E-3</v>
      </c>
      <c r="AG47" s="15">
        <v>-3.7424021608242698E-3</v>
      </c>
      <c r="AI47" s="12"/>
      <c r="AJ47">
        <f t="shared" si="6"/>
        <v>0</v>
      </c>
      <c r="AK47">
        <f t="shared" si="7"/>
        <v>0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8.5207067177144012E-3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0</v>
      </c>
      <c r="BE47" s="29">
        <f t="shared" si="22"/>
        <v>0</v>
      </c>
      <c r="BF47" s="29">
        <f t="shared" si="23"/>
        <v>8.5207067177144012E-3</v>
      </c>
      <c r="BH47" s="29"/>
    </row>
    <row r="48" spans="1:124" x14ac:dyDescent="0.25">
      <c r="A48" s="1">
        <v>46092</v>
      </c>
      <c r="B48" s="33">
        <v>93.45</v>
      </c>
      <c r="C48" s="33">
        <v>104.1</v>
      </c>
      <c r="D48" s="15">
        <v>4.71951964719619E-3</v>
      </c>
      <c r="E48" s="15">
        <v>5.7803629154993203E-3</v>
      </c>
      <c r="F48" s="33">
        <v>0</v>
      </c>
      <c r="G48" s="33">
        <v>0.23271999999999901</v>
      </c>
      <c r="H48" s="33">
        <v>0</v>
      </c>
      <c r="I48" s="33">
        <v>0.237064</v>
      </c>
      <c r="J48" s="33">
        <v>0.23271999999999901</v>
      </c>
      <c r="K48" s="33">
        <v>0.237064</v>
      </c>
      <c r="L48" s="33">
        <v>93.682720000000003</v>
      </c>
      <c r="M48" s="33">
        <v>104.337064</v>
      </c>
      <c r="N48" s="34">
        <v>1.1139646869983899</v>
      </c>
      <c r="O48" s="34">
        <v>1.1144210713463301</v>
      </c>
      <c r="P48" s="34">
        <v>1.1111324666203499</v>
      </c>
      <c r="Q48" s="34">
        <v>1.1090368407795801</v>
      </c>
      <c r="R48" s="33">
        <v>104.142649117315</v>
      </c>
      <c r="S48" s="33">
        <v>103.754476150621</v>
      </c>
      <c r="T48" s="33">
        <v>103.60541252981101</v>
      </c>
      <c r="U48" s="15">
        <v>4.0960982865027298E-4</v>
      </c>
      <c r="V48" s="15">
        <v>-3.3246738203276298E-3</v>
      </c>
      <c r="W48" s="15">
        <v>-4.7624026639844202E-3</v>
      </c>
      <c r="X48" s="34">
        <v>1.11372795324473</v>
      </c>
      <c r="Y48" s="34">
        <v>1.1139962285470999</v>
      </c>
      <c r="Z48" s="34">
        <v>1.1109720495409801</v>
      </c>
      <c r="AA48" s="34">
        <v>1.10901956243875</v>
      </c>
      <c r="AB48" s="33">
        <v>104.362196760034</v>
      </c>
      <c r="AC48" s="33">
        <v>104.0012283878</v>
      </c>
      <c r="AD48" s="33">
        <v>103.863504234728</v>
      </c>
      <c r="AE48" s="15">
        <v>2.4085145356657101E-4</v>
      </c>
      <c r="AF48" s="15">
        <v>-3.2239479284966802E-3</v>
      </c>
      <c r="AG48" s="15">
        <v>-4.5490805903732603E-3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8.5207067177144012E-3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0</v>
      </c>
      <c r="BE48" s="29">
        <f t="shared" si="22"/>
        <v>0</v>
      </c>
      <c r="BF48" s="29">
        <f t="shared" si="23"/>
        <v>8.5207067177144012E-3</v>
      </c>
      <c r="BH48" s="29"/>
    </row>
    <row r="49" spans="1:60" x14ac:dyDescent="0.25">
      <c r="A49" s="1">
        <v>46093</v>
      </c>
      <c r="B49" s="33">
        <v>92.03</v>
      </c>
      <c r="C49" s="33">
        <v>102.03</v>
      </c>
      <c r="D49" s="15">
        <v>-1.53119230508063E-2</v>
      </c>
      <c r="E49" s="15">
        <v>-2.0085087933709299E-2</v>
      </c>
      <c r="F49" s="33">
        <v>0</v>
      </c>
      <c r="G49" s="33">
        <v>0.23271999999999901</v>
      </c>
      <c r="H49" s="33">
        <v>0</v>
      </c>
      <c r="I49" s="33">
        <v>0.237064</v>
      </c>
      <c r="J49" s="33">
        <v>0.23271999999999901</v>
      </c>
      <c r="K49" s="33">
        <v>0.237064</v>
      </c>
      <c r="L49" s="33">
        <v>92.262720000000002</v>
      </c>
      <c r="M49" s="33">
        <v>102.267064</v>
      </c>
      <c r="N49" s="34">
        <v>1.1086602194936399</v>
      </c>
      <c r="O49" s="34">
        <v>1.1144210713463301</v>
      </c>
      <c r="P49" s="34">
        <v>1.11114332921346</v>
      </c>
      <c r="Q49" s="34">
        <v>1.10923175651616</v>
      </c>
      <c r="R49" s="33">
        <v>102.560171196003</v>
      </c>
      <c r="S49" s="33">
        <v>102.257520903071</v>
      </c>
      <c r="T49" s="33">
        <v>102.06466045694501</v>
      </c>
      <c r="U49" s="15">
        <v>5.1827747115534102E-3</v>
      </c>
      <c r="V49" s="15">
        <v>2.2274585950007499E-3</v>
      </c>
      <c r="W49" s="15">
        <v>3.39650799296794E-4</v>
      </c>
      <c r="X49" s="34">
        <v>1.10843322199909</v>
      </c>
      <c r="Y49" s="34">
        <v>1.1139962285470999</v>
      </c>
      <c r="Z49" s="34">
        <v>1.1109478228410501</v>
      </c>
      <c r="AA49" s="34">
        <v>1.1091967234131599</v>
      </c>
      <c r="AB49" s="33">
        <v>102.780322115497</v>
      </c>
      <c r="AC49" s="33">
        <v>102.501303134625</v>
      </c>
      <c r="AD49" s="33">
        <v>102.321161363809</v>
      </c>
      <c r="AE49" s="15">
        <v>5.00624950342569E-3</v>
      </c>
      <c r="AF49" s="15">
        <v>2.2878459214723998E-3</v>
      </c>
      <c r="AG49" s="15">
        <v>5.2884143233621799E-4</v>
      </c>
      <c r="AI49" s="12"/>
      <c r="AJ49">
        <f t="shared" si="6"/>
        <v>0</v>
      </c>
      <c r="AK49">
        <f t="shared" si="7"/>
        <v>1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8.5207067177144012E-3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0</v>
      </c>
      <c r="BE49" s="29">
        <f t="shared" si="22"/>
        <v>0</v>
      </c>
      <c r="BF49" s="29">
        <f t="shared" si="23"/>
        <v>8.5207067177144012E-3</v>
      </c>
      <c r="BH49" s="29"/>
    </row>
    <row r="50" spans="1:60" x14ac:dyDescent="0.25">
      <c r="A50" s="1">
        <v>46094</v>
      </c>
      <c r="B50" s="33">
        <v>92.05</v>
      </c>
      <c r="C50" s="33">
        <v>102.4</v>
      </c>
      <c r="D50" s="15">
        <v>2.17296828321313E-4</v>
      </c>
      <c r="E50" s="15">
        <v>3.6198249181936901E-3</v>
      </c>
      <c r="F50" s="33">
        <v>0</v>
      </c>
      <c r="G50" s="33">
        <v>0.23271999999999901</v>
      </c>
      <c r="H50" s="33">
        <v>0</v>
      </c>
      <c r="I50" s="33">
        <v>0.237064</v>
      </c>
      <c r="J50" s="33">
        <v>0.23271999999999901</v>
      </c>
      <c r="K50" s="33">
        <v>0.237064</v>
      </c>
      <c r="L50" s="33">
        <v>92.282719999999998</v>
      </c>
      <c r="M50" s="33">
        <v>102.637064</v>
      </c>
      <c r="N50" s="34">
        <v>1.11243889190657</v>
      </c>
      <c r="O50" s="34">
        <v>1.1144210713463301</v>
      </c>
      <c r="P50" s="34">
        <v>1.11136793465756</v>
      </c>
      <c r="Q50" s="34">
        <v>1.1095667242187199</v>
      </c>
      <c r="R50" s="33">
        <v>102.58245961743</v>
      </c>
      <c r="S50" s="33">
        <v>102.280743454099</v>
      </c>
      <c r="T50" s="33">
        <v>102.104783187313</v>
      </c>
      <c r="U50" s="15">
        <v>1.7802466216809E-3</v>
      </c>
      <c r="V50" s="15">
        <v>-1.1652933967645101E-3</v>
      </c>
      <c r="W50" s="15">
        <v>-2.8871404683295E-3</v>
      </c>
      <c r="X50" s="34">
        <v>1.1122024144931999</v>
      </c>
      <c r="Y50" s="34">
        <v>1.1139962285470999</v>
      </c>
      <c r="Z50" s="34">
        <v>1.1111364503541801</v>
      </c>
      <c r="AA50" s="34">
        <v>1.1095134670084099</v>
      </c>
      <c r="AB50" s="33">
        <v>102.802602040068</v>
      </c>
      <c r="AC50" s="33">
        <v>102.52128686985</v>
      </c>
      <c r="AD50" s="33">
        <v>102.35969065165401</v>
      </c>
      <c r="AE50" s="15">
        <v>1.6115493087187299E-3</v>
      </c>
      <c r="AF50" s="15">
        <v>-1.1286612701735101E-3</v>
      </c>
      <c r="AG50" s="15">
        <v>-2.7061259392781901E-3</v>
      </c>
      <c r="AI50" s="12"/>
      <c r="AJ50">
        <f t="shared" si="6"/>
        <v>0</v>
      </c>
      <c r="AK50">
        <f t="shared" si="7"/>
        <v>1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8.5207067177144012E-3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0</v>
      </c>
      <c r="BE50" s="29">
        <f t="shared" si="22"/>
        <v>0</v>
      </c>
      <c r="BF50" s="29">
        <f t="shared" si="23"/>
        <v>8.5207067177144012E-3</v>
      </c>
      <c r="BH50" s="29"/>
    </row>
    <row r="51" spans="1:60" x14ac:dyDescent="0.25">
      <c r="A51" s="1">
        <v>46097</v>
      </c>
      <c r="B51" s="33">
        <v>93.22</v>
      </c>
      <c r="C51" s="33">
        <v>103.76</v>
      </c>
      <c r="D51" s="15">
        <v>1.2630383265507901E-2</v>
      </c>
      <c r="E51" s="15">
        <v>1.3193827402780901E-2</v>
      </c>
      <c r="F51" s="33">
        <v>0</v>
      </c>
      <c r="G51" s="33">
        <v>0.23271999999999901</v>
      </c>
      <c r="H51" s="33">
        <v>0</v>
      </c>
      <c r="I51" s="33">
        <v>0.237064</v>
      </c>
      <c r="J51" s="33">
        <v>0.23271999999999901</v>
      </c>
      <c r="K51" s="33">
        <v>0.237064</v>
      </c>
      <c r="L51" s="33">
        <v>93.452719999999999</v>
      </c>
      <c r="M51" s="33">
        <v>103.99706399999999</v>
      </c>
      <c r="N51" s="34">
        <v>1.11306586569405</v>
      </c>
      <c r="O51" s="34">
        <v>1.1144210713463301</v>
      </c>
      <c r="P51" s="34">
        <v>1.11120101478829</v>
      </c>
      <c r="Q51" s="34">
        <v>1.1098131822479</v>
      </c>
      <c r="R51" s="33">
        <v>103.886332270905</v>
      </c>
      <c r="S51" s="33">
        <v>103.601718868777</v>
      </c>
      <c r="T51" s="33">
        <v>103.433810031669</v>
      </c>
      <c r="U51" s="15">
        <v>1.2168024844079401E-3</v>
      </c>
      <c r="V51" s="15">
        <v>-1.5266189229718699E-3</v>
      </c>
      <c r="W51" s="15">
        <v>-3.1486484829557002E-3</v>
      </c>
      <c r="X51" s="34">
        <v>1.1128307875897001</v>
      </c>
      <c r="Y51" s="34">
        <v>1.1139962285470999</v>
      </c>
      <c r="Z51" s="34">
        <v>1.11096956327032</v>
      </c>
      <c r="AA51" s="34">
        <v>1.10974192077404</v>
      </c>
      <c r="AB51" s="33">
        <v>104.10597762746799</v>
      </c>
      <c r="AC51" s="33">
        <v>103.83872357674301</v>
      </c>
      <c r="AD51" s="33">
        <v>103.687051368566</v>
      </c>
      <c r="AE51" s="15">
        <v>1.0467279724623399E-3</v>
      </c>
      <c r="AF51" s="15">
        <v>-1.5237073050567099E-3</v>
      </c>
      <c r="AG51" s="15">
        <v>-2.9854267972204401E-3</v>
      </c>
      <c r="AI51" s="12"/>
      <c r="AJ51">
        <f t="shared" si="6"/>
        <v>0</v>
      </c>
      <c r="AK51">
        <f t="shared" si="7"/>
        <v>1</v>
      </c>
      <c r="AL51">
        <f t="shared" si="14"/>
        <v>0</v>
      </c>
      <c r="AM51">
        <f t="shared" si="4"/>
        <v>1</v>
      </c>
      <c r="AN51">
        <f t="shared" si="15"/>
        <v>0</v>
      </c>
      <c r="AO51" s="28">
        <f t="shared" si="8"/>
        <v>0</v>
      </c>
      <c r="AP51" s="28">
        <f t="shared" si="9"/>
        <v>0</v>
      </c>
      <c r="AQ51" s="28">
        <f t="shared" si="16"/>
        <v>0</v>
      </c>
      <c r="AR51" s="29">
        <f t="shared" si="17"/>
        <v>8.5207067177144012E-3</v>
      </c>
      <c r="AT51" s="12"/>
      <c r="AU51">
        <f t="shared" si="10"/>
        <v>0</v>
      </c>
      <c r="AV51">
        <f t="shared" si="11"/>
        <v>1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0</v>
      </c>
      <c r="BE51" s="29">
        <f t="shared" si="22"/>
        <v>0</v>
      </c>
      <c r="BF51" s="29">
        <f t="shared" si="23"/>
        <v>8.5207067177144012E-3</v>
      </c>
      <c r="BH51" s="29"/>
    </row>
    <row r="52" spans="1:60" x14ac:dyDescent="0.25">
      <c r="A52" s="1">
        <v>46098</v>
      </c>
      <c r="B52" s="33">
        <v>93.91</v>
      </c>
      <c r="C52" s="33">
        <v>104.42</v>
      </c>
      <c r="D52" s="15">
        <v>7.3745858719273302E-3</v>
      </c>
      <c r="E52" s="15">
        <v>6.3406879742177596E-3</v>
      </c>
      <c r="F52" s="33">
        <v>0</v>
      </c>
      <c r="G52" s="33">
        <v>0.23271999999999901</v>
      </c>
      <c r="H52" s="33">
        <v>0</v>
      </c>
      <c r="I52" s="33">
        <v>0.237064</v>
      </c>
      <c r="J52" s="33">
        <v>0.23271999999999901</v>
      </c>
      <c r="K52" s="33">
        <v>0.237064</v>
      </c>
      <c r="L52" s="33">
        <v>94.142719999999997</v>
      </c>
      <c r="M52" s="33">
        <v>104.65706400000001</v>
      </c>
      <c r="N52" s="34">
        <v>1.1119156639335499</v>
      </c>
      <c r="O52" s="34">
        <v>1.1144210713463301</v>
      </c>
      <c r="P52" s="34">
        <v>1.11140203541456</v>
      </c>
      <c r="Q52" s="34">
        <v>1.1101177647693301</v>
      </c>
      <c r="R52" s="33">
        <v>104.655282810134</v>
      </c>
      <c r="S52" s="33">
        <v>104.352887298768</v>
      </c>
      <c r="T52" s="33">
        <v>104.22255594489999</v>
      </c>
      <c r="U52" s="15">
        <v>2.2507003821174202E-3</v>
      </c>
      <c r="V52" s="15">
        <v>-6.4292547190009802E-4</v>
      </c>
      <c r="W52" s="15">
        <v>-1.8926542875647499E-3</v>
      </c>
      <c r="X52" s="34">
        <v>1.11168515207548</v>
      </c>
      <c r="Y52" s="34">
        <v>1.1139962285470999</v>
      </c>
      <c r="Z52" s="34">
        <v>1.1111702875914899</v>
      </c>
      <c r="AA52" s="34">
        <v>1.1100286400014101</v>
      </c>
      <c r="AB52" s="33">
        <v>104.874635025166</v>
      </c>
      <c r="AC52" s="33">
        <v>104.58969652348</v>
      </c>
      <c r="AD52" s="33">
        <v>104.47412291969199</v>
      </c>
      <c r="AE52" s="15">
        <v>2.0767368791856301E-3</v>
      </c>
      <c r="AF52" s="15">
        <v>-6.4390462894852102E-4</v>
      </c>
      <c r="AG52" s="15">
        <v>-1.7495346310118099E-3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8.5207067177144012E-3</v>
      </c>
      <c r="AT52" s="12"/>
      <c r="AU52">
        <f t="shared" si="10"/>
        <v>0</v>
      </c>
      <c r="AV52">
        <f t="shared" si="11"/>
        <v>1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0</v>
      </c>
      <c r="BE52" s="29">
        <f t="shared" si="22"/>
        <v>0</v>
      </c>
      <c r="BF52" s="29">
        <f t="shared" si="23"/>
        <v>8.5207067177144012E-3</v>
      </c>
      <c r="BH52" s="29"/>
    </row>
    <row r="53" spans="1:60" x14ac:dyDescent="0.25">
      <c r="A53" s="1">
        <v>46099</v>
      </c>
      <c r="B53" s="33">
        <v>93.63</v>
      </c>
      <c r="C53" s="33">
        <v>104.23</v>
      </c>
      <c r="D53" s="15">
        <v>-2.98603186572452E-3</v>
      </c>
      <c r="E53" s="15">
        <v>-1.8212322311754101E-3</v>
      </c>
      <c r="F53" s="33">
        <v>0</v>
      </c>
      <c r="G53" s="33">
        <v>0.23271999999999901</v>
      </c>
      <c r="H53" s="33">
        <v>0</v>
      </c>
      <c r="I53" s="33">
        <v>0.237064</v>
      </c>
      <c r="J53" s="33">
        <v>0.23271999999999901</v>
      </c>
      <c r="K53" s="33">
        <v>0.237064</v>
      </c>
      <c r="L53" s="33">
        <v>93.862719999999996</v>
      </c>
      <c r="M53" s="33">
        <v>104.46706399999999</v>
      </c>
      <c r="N53" s="34">
        <v>1.11321157748584</v>
      </c>
      <c r="O53" s="34">
        <v>1.1144210713463301</v>
      </c>
      <c r="P53" s="34">
        <v>1.11162626795834</v>
      </c>
      <c r="Q53" s="34">
        <v>1.11041010004442</v>
      </c>
      <c r="R53" s="33">
        <v>104.343244910157</v>
      </c>
      <c r="S53" s="33">
        <v>104.060572575865</v>
      </c>
      <c r="T53" s="33">
        <v>103.940326315352</v>
      </c>
      <c r="U53" s="15">
        <v>1.08590074756842E-3</v>
      </c>
      <c r="V53" s="15">
        <v>-1.6268375414806599E-3</v>
      </c>
      <c r="W53" s="15">
        <v>-2.7830467170157601E-3</v>
      </c>
      <c r="X53" s="34">
        <v>1.1129771649489799</v>
      </c>
      <c r="Y53" s="34">
        <v>1.1139962285470999</v>
      </c>
      <c r="Z53" s="34">
        <v>1.1113938767421501</v>
      </c>
      <c r="AA53" s="34">
        <v>1.1103029955711301</v>
      </c>
      <c r="AB53" s="33">
        <v>104.56271608117299</v>
      </c>
      <c r="AC53" s="33">
        <v>104.297465576519</v>
      </c>
      <c r="AD53" s="33">
        <v>104.190307428434</v>
      </c>
      <c r="AE53" s="15">
        <v>9.1520057871580197E-4</v>
      </c>
      <c r="AF53" s="15">
        <v>-1.62478234338922E-3</v>
      </c>
      <c r="AG53" s="15">
        <v>-2.6527386208934E-3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8.5207067177144012E-3</v>
      </c>
      <c r="AT53" s="12"/>
      <c r="AU53">
        <f t="shared" si="10"/>
        <v>0</v>
      </c>
      <c r="AV53">
        <f t="shared" si="11"/>
        <v>1</v>
      </c>
      <c r="AW53">
        <f t="shared" si="18"/>
        <v>0</v>
      </c>
      <c r="AX53">
        <f t="shared" si="5"/>
        <v>1</v>
      </c>
      <c r="AY53">
        <f t="shared" si="19"/>
        <v>0</v>
      </c>
      <c r="AZ53" s="28">
        <f t="shared" si="12"/>
        <v>0</v>
      </c>
      <c r="BA53" s="28">
        <f t="shared" si="13"/>
        <v>0</v>
      </c>
      <c r="BB53" s="28">
        <f t="shared" si="20"/>
        <v>0</v>
      </c>
      <c r="BC53" s="29">
        <f t="shared" si="21"/>
        <v>0</v>
      </c>
      <c r="BE53" s="29">
        <f t="shared" si="22"/>
        <v>0</v>
      </c>
      <c r="BF53" s="29">
        <f t="shared" si="23"/>
        <v>8.5207067177144012E-3</v>
      </c>
      <c r="BH53" s="29"/>
    </row>
    <row r="54" spans="1:60" x14ac:dyDescent="0.25">
      <c r="A54" s="1">
        <v>46100</v>
      </c>
      <c r="B54" s="33">
        <v>94.11</v>
      </c>
      <c r="C54" s="33">
        <v>104.79</v>
      </c>
      <c r="D54" s="15">
        <v>5.1134659198987702E-3</v>
      </c>
      <c r="E54" s="15">
        <v>5.3583517356194299E-3</v>
      </c>
      <c r="F54" s="33">
        <v>0</v>
      </c>
      <c r="G54" s="33">
        <v>0.23271999999999901</v>
      </c>
      <c r="H54" s="33">
        <v>0</v>
      </c>
      <c r="I54" s="33">
        <v>0.237064</v>
      </c>
      <c r="J54" s="33">
        <v>0.23271999999999901</v>
      </c>
      <c r="K54" s="33">
        <v>0.237064</v>
      </c>
      <c r="L54" s="33">
        <v>94.34272</v>
      </c>
      <c r="M54" s="33">
        <v>105.027064</v>
      </c>
      <c r="N54" s="34">
        <v>1.1134842205929201</v>
      </c>
      <c r="O54" s="34">
        <v>1.1144210713463301</v>
      </c>
      <c r="P54" s="34">
        <v>1.1119364269049901</v>
      </c>
      <c r="Q54" s="34">
        <v>1.11067264546025</v>
      </c>
      <c r="R54" s="33">
        <v>104.878167024403</v>
      </c>
      <c r="S54" s="33">
        <v>104.615148077559</v>
      </c>
      <c r="T54" s="33">
        <v>104.50069451518</v>
      </c>
      <c r="U54" s="15">
        <v>8.4101493184777598E-4</v>
      </c>
      <c r="V54" s="15">
        <v>-1.6699872441735999E-3</v>
      </c>
      <c r="W54" s="15">
        <v>-2.7646300257833899E-3</v>
      </c>
      <c r="X54" s="34">
        <v>1.11325032816522</v>
      </c>
      <c r="Y54" s="34">
        <v>1.1139962285470999</v>
      </c>
      <c r="Z54" s="34">
        <v>1.11170353014227</v>
      </c>
      <c r="AA54" s="34">
        <v>1.1105476312909199</v>
      </c>
      <c r="AB54" s="33">
        <v>105.097434270875</v>
      </c>
      <c r="AC54" s="33">
        <v>104.85192132319899</v>
      </c>
      <c r="AD54" s="33">
        <v>104.749004626328</v>
      </c>
      <c r="AE54" s="15">
        <v>6.69795993190981E-4</v>
      </c>
      <c r="AF54" s="15">
        <v>-1.6689876519639601E-3</v>
      </c>
      <c r="AG54" s="15">
        <v>-2.6510129428911301E-3</v>
      </c>
      <c r="AI54" s="12"/>
      <c r="AJ54">
        <f t="shared" si="6"/>
        <v>0</v>
      </c>
      <c r="AK54">
        <f t="shared" si="7"/>
        <v>1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8.5207067177144012E-3</v>
      </c>
      <c r="AT54" s="12"/>
      <c r="AU54">
        <f t="shared" si="10"/>
        <v>0</v>
      </c>
      <c r="AV54">
        <f t="shared" si="11"/>
        <v>1</v>
      </c>
      <c r="AW54">
        <f t="shared" si="18"/>
        <v>0</v>
      </c>
      <c r="AX54">
        <f t="shared" si="5"/>
        <v>1</v>
      </c>
      <c r="AY54">
        <f t="shared" si="19"/>
        <v>0</v>
      </c>
      <c r="AZ54" s="28">
        <f t="shared" si="12"/>
        <v>0</v>
      </c>
      <c r="BA54" s="28">
        <f t="shared" si="13"/>
        <v>0</v>
      </c>
      <c r="BB54" s="28">
        <f t="shared" si="20"/>
        <v>0</v>
      </c>
      <c r="BC54" s="29">
        <f t="shared" si="21"/>
        <v>0</v>
      </c>
      <c r="BE54" s="29">
        <f t="shared" si="22"/>
        <v>0</v>
      </c>
      <c r="BF54" s="29">
        <f t="shared" si="23"/>
        <v>8.5207067177144012E-3</v>
      </c>
      <c r="BH54" s="29"/>
    </row>
    <row r="55" spans="1:60" x14ac:dyDescent="0.25">
      <c r="A55" s="1">
        <v>46101</v>
      </c>
      <c r="B55" s="33">
        <v>91.98</v>
      </c>
      <c r="C55" s="33">
        <v>102.46</v>
      </c>
      <c r="D55" s="15">
        <v>-2.28931487589186E-2</v>
      </c>
      <c r="E55" s="15">
        <v>-2.2485868975794101E-2</v>
      </c>
      <c r="F55" s="33">
        <v>0</v>
      </c>
      <c r="G55" s="33">
        <v>0.23271999999999901</v>
      </c>
      <c r="H55" s="33">
        <v>0</v>
      </c>
      <c r="I55" s="33">
        <v>0.237064</v>
      </c>
      <c r="J55" s="33">
        <v>0.23271999999999901</v>
      </c>
      <c r="K55" s="33">
        <v>0.237064</v>
      </c>
      <c r="L55" s="33">
        <v>92.212720000000004</v>
      </c>
      <c r="M55" s="33">
        <v>102.697064</v>
      </c>
      <c r="N55" s="34">
        <v>1.11393781256794</v>
      </c>
      <c r="O55" s="34">
        <v>1.1144210713463301</v>
      </c>
      <c r="P55" s="34">
        <v>1.1124477908199799</v>
      </c>
      <c r="Q55" s="34">
        <v>1.11086974741579</v>
      </c>
      <c r="R55" s="33">
        <v>102.504450142435</v>
      </c>
      <c r="S55" s="33">
        <v>102.275912546721</v>
      </c>
      <c r="T55" s="33">
        <v>102.159669929434</v>
      </c>
      <c r="U55" s="15">
        <v>4.33735148723212E-4</v>
      </c>
      <c r="V55" s="15">
        <v>-1.7982922546230999E-3</v>
      </c>
      <c r="W55" s="15">
        <v>-2.9354977098206099E-3</v>
      </c>
      <c r="X55" s="34">
        <v>1.1136973727702599</v>
      </c>
      <c r="Y55" s="34">
        <v>1.1139962285470999</v>
      </c>
      <c r="Z55" s="34">
        <v>1.1122137625361801</v>
      </c>
      <c r="AA55" s="34">
        <v>1.11072655411188</v>
      </c>
      <c r="AB55" s="33">
        <v>102.72462230407</v>
      </c>
      <c r="AC55" s="33">
        <v>102.513206348021</v>
      </c>
      <c r="AD55" s="33">
        <v>102.40661777089301</v>
      </c>
      <c r="AE55" s="15">
        <v>2.6830959020510299E-4</v>
      </c>
      <c r="AF55" s="15">
        <v>-1.79189570641502E-3</v>
      </c>
      <c r="AG55" s="15">
        <v>-2.8321912190499799E-3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1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8.5207067177144012E-3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1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0</v>
      </c>
      <c r="BE55" s="29">
        <f t="shared" si="22"/>
        <v>0</v>
      </c>
      <c r="BF55" s="29">
        <f t="shared" si="23"/>
        <v>8.5207067177144012E-3</v>
      </c>
      <c r="BH55" s="29"/>
    </row>
    <row r="56" spans="1:60" x14ac:dyDescent="0.25">
      <c r="A56" s="1">
        <v>46104</v>
      </c>
      <c r="B56" s="33">
        <v>92.72</v>
      </c>
      <c r="C56" s="33">
        <v>103.16</v>
      </c>
      <c r="D56" s="15">
        <v>8.0130369197184501E-3</v>
      </c>
      <c r="E56" s="15">
        <v>6.8087025020877202E-3</v>
      </c>
      <c r="F56" s="33">
        <v>0</v>
      </c>
      <c r="G56" s="33">
        <v>0.23271999999999901</v>
      </c>
      <c r="H56" s="33">
        <v>0</v>
      </c>
      <c r="I56" s="33">
        <v>0.237064</v>
      </c>
      <c r="J56" s="33">
        <v>0.23271999999999901</v>
      </c>
      <c r="K56" s="33">
        <v>0.237064</v>
      </c>
      <c r="L56" s="33">
        <v>92.952719999999999</v>
      </c>
      <c r="M56" s="33">
        <v>103.397064</v>
      </c>
      <c r="N56" s="34">
        <v>1.1125970664365801</v>
      </c>
      <c r="O56" s="34">
        <v>1.1144210713463301</v>
      </c>
      <c r="P56" s="34">
        <v>1.1126059576768399</v>
      </c>
      <c r="Q56" s="34">
        <v>1.11106031464391</v>
      </c>
      <c r="R56" s="33">
        <v>103.32912173523199</v>
      </c>
      <c r="S56" s="33">
        <v>103.146159164829</v>
      </c>
      <c r="T56" s="33">
        <v>102.999842980392</v>
      </c>
      <c r="U56" s="15">
        <v>1.63806956635382E-3</v>
      </c>
      <c r="V56" s="15">
        <v>-1.3417762462734599E-4</v>
      </c>
      <c r="W56" s="15">
        <v>-1.5537172468830501E-3</v>
      </c>
      <c r="X56" s="34">
        <v>1.1123618975324201</v>
      </c>
      <c r="Y56" s="34">
        <v>1.1139962285470999</v>
      </c>
      <c r="Z56" s="34">
        <v>1.1123714961497999</v>
      </c>
      <c r="AA56" s="34">
        <v>1.1108991170340901</v>
      </c>
      <c r="AB56" s="33">
        <v>103.54897951319499</v>
      </c>
      <c r="AC56" s="33">
        <v>103.383294449172</v>
      </c>
      <c r="AD56" s="33">
        <v>103.24505438092601</v>
      </c>
      <c r="AE56" s="15">
        <v>1.4681656909622601E-3</v>
      </c>
      <c r="AF56" s="15">
        <v>-1.3318045244656399E-4</v>
      </c>
      <c r="AG56" s="15">
        <v>-1.47123585146399E-3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8.5207067177144012E-3</v>
      </c>
      <c r="AT56" s="12"/>
      <c r="AU56">
        <f t="shared" si="10"/>
        <v>0</v>
      </c>
      <c r="AV56">
        <f t="shared" si="11"/>
        <v>1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0</v>
      </c>
      <c r="BE56" s="29">
        <f t="shared" si="22"/>
        <v>0</v>
      </c>
      <c r="BF56" s="29">
        <f t="shared" si="23"/>
        <v>8.5207067177144012E-3</v>
      </c>
      <c r="BH56" s="29"/>
    </row>
    <row r="57" spans="1:60" x14ac:dyDescent="0.25">
      <c r="A57" s="1">
        <v>46105</v>
      </c>
      <c r="B57" s="33">
        <v>92.97</v>
      </c>
      <c r="C57" s="33">
        <v>103.66</v>
      </c>
      <c r="D57" s="15">
        <v>2.6926614362703201E-3</v>
      </c>
      <c r="E57" s="15">
        <v>4.8351317484165704E-3</v>
      </c>
      <c r="F57" s="33">
        <v>0</v>
      </c>
      <c r="G57" s="33">
        <v>0.23271999999999901</v>
      </c>
      <c r="H57" s="33">
        <v>0</v>
      </c>
      <c r="I57" s="33">
        <v>0.237064</v>
      </c>
      <c r="J57" s="33">
        <v>0.23271999999999901</v>
      </c>
      <c r="K57" s="33">
        <v>0.237064</v>
      </c>
      <c r="L57" s="33">
        <v>93.202719999999999</v>
      </c>
      <c r="M57" s="33">
        <v>103.897064</v>
      </c>
      <c r="N57" s="34">
        <v>1.1149833279552499</v>
      </c>
      <c r="O57" s="34">
        <v>1.1144210713463301</v>
      </c>
      <c r="P57" s="34">
        <v>1.1128259333064701</v>
      </c>
      <c r="Q57" s="34">
        <v>1.11154660041793</v>
      </c>
      <c r="R57" s="33">
        <v>103.60772700306801</v>
      </c>
      <c r="S57" s="33">
        <v>103.438975885216</v>
      </c>
      <c r="T57" s="33">
        <v>103.29527745244501</v>
      </c>
      <c r="U57" s="15">
        <v>-5.0440074579227397E-4</v>
      </c>
      <c r="V57" s="15">
        <v>-2.1344789152540201E-3</v>
      </c>
      <c r="W57" s="15">
        <v>-3.5246545014858302E-3</v>
      </c>
      <c r="X57" s="34">
        <v>1.1147428315396799</v>
      </c>
      <c r="Y57" s="34">
        <v>1.1139962285470999</v>
      </c>
      <c r="Z57" s="34">
        <v>1.1125909124358699</v>
      </c>
      <c r="AA57" s="34">
        <v>1.11136702324652</v>
      </c>
      <c r="AB57" s="33">
        <v>103.827478570332</v>
      </c>
      <c r="AC57" s="33">
        <v>103.676049091631</v>
      </c>
      <c r="AD57" s="33">
        <v>103.538819353175</v>
      </c>
      <c r="AE57" s="15">
        <v>-6.6997795647859998E-4</v>
      </c>
      <c r="AF57" s="15">
        <v>-2.1295146428090901E-3</v>
      </c>
      <c r="AG57" s="15">
        <v>-3.45403116565872E-3</v>
      </c>
      <c r="AI57" s="12"/>
      <c r="AJ57">
        <f t="shared" si="6"/>
        <v>0</v>
      </c>
      <c r="AK57">
        <f t="shared" si="7"/>
        <v>0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8.5207067177144012E-3</v>
      </c>
      <c r="AT57" s="12"/>
      <c r="AU57">
        <f t="shared" si="10"/>
        <v>0</v>
      </c>
      <c r="AV57">
        <f t="shared" si="11"/>
        <v>1</v>
      </c>
      <c r="AW57">
        <f t="shared" si="18"/>
        <v>0</v>
      </c>
      <c r="AX57">
        <f t="shared" si="5"/>
        <v>1</v>
      </c>
      <c r="AY57">
        <f t="shared" si="19"/>
        <v>0</v>
      </c>
      <c r="AZ57" s="28">
        <f t="shared" si="12"/>
        <v>0</v>
      </c>
      <c r="BA57" s="28">
        <f t="shared" si="13"/>
        <v>0</v>
      </c>
      <c r="BB57" s="28">
        <f t="shared" si="20"/>
        <v>0</v>
      </c>
      <c r="BC57" s="29">
        <f t="shared" si="21"/>
        <v>0</v>
      </c>
      <c r="BE57" s="29">
        <f t="shared" si="22"/>
        <v>0</v>
      </c>
      <c r="BF57" s="29">
        <f t="shared" si="23"/>
        <v>8.5207067177144012E-3</v>
      </c>
      <c r="BH57" s="29"/>
    </row>
    <row r="58" spans="1:60" x14ac:dyDescent="0.25">
      <c r="A58" s="1">
        <v>46106</v>
      </c>
      <c r="B58" s="33">
        <v>93.49</v>
      </c>
      <c r="C58" s="33">
        <v>104.32</v>
      </c>
      <c r="D58" s="15">
        <v>5.5776182354575904E-3</v>
      </c>
      <c r="E58" s="15">
        <v>6.3467854167822196E-3</v>
      </c>
      <c r="F58" s="33">
        <v>0</v>
      </c>
      <c r="G58" s="33">
        <v>0.23271999999999901</v>
      </c>
      <c r="H58" s="33">
        <v>0</v>
      </c>
      <c r="I58" s="33">
        <v>0.237064</v>
      </c>
      <c r="J58" s="33">
        <v>0.23271999999999901</v>
      </c>
      <c r="K58" s="33">
        <v>0.237064</v>
      </c>
      <c r="L58" s="33">
        <v>93.722719999999995</v>
      </c>
      <c r="M58" s="33">
        <v>104.557064</v>
      </c>
      <c r="N58" s="34">
        <v>1.1158412664456001</v>
      </c>
      <c r="O58" s="34">
        <v>1.1144210713463301</v>
      </c>
      <c r="P58" s="34">
        <v>1.11301359125119</v>
      </c>
      <c r="Q58" s="34">
        <v>1.1120730289357701</v>
      </c>
      <c r="R58" s="33">
        <v>104.18722596016801</v>
      </c>
      <c r="S58" s="33">
        <v>104.03809650482199</v>
      </c>
      <c r="T58" s="33">
        <v>103.918491673072</v>
      </c>
      <c r="U58" s="15">
        <v>-1.27356792711696E-3</v>
      </c>
      <c r="V58" s="15">
        <v>-2.7059535666596698E-3</v>
      </c>
      <c r="W58" s="15">
        <v>-3.85624022971772E-3</v>
      </c>
      <c r="X58" s="34">
        <v>1.11559997405111</v>
      </c>
      <c r="Y58" s="34">
        <v>1.1139962285470999</v>
      </c>
      <c r="Z58" s="34">
        <v>1.1127781145165101</v>
      </c>
      <c r="AA58" s="34">
        <v>1.11187508202875</v>
      </c>
      <c r="AB58" s="33">
        <v>104.406756609176</v>
      </c>
      <c r="AC58" s="33">
        <v>104.275046560772</v>
      </c>
      <c r="AD58" s="33">
        <v>104.160340336967</v>
      </c>
      <c r="AE58" s="15">
        <v>-1.4385975170996899E-3</v>
      </c>
      <c r="AF58" s="15">
        <v>-2.7009027482448799E-3</v>
      </c>
      <c r="AG58" s="15">
        <v>-3.8015434512657501E-3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8.5207067177144012E-3</v>
      </c>
      <c r="AT58" s="12"/>
      <c r="AU58">
        <f t="shared" si="10"/>
        <v>0</v>
      </c>
      <c r="AV58">
        <f t="shared" si="11"/>
        <v>1</v>
      </c>
      <c r="AW58">
        <f t="shared" si="18"/>
        <v>0</v>
      </c>
      <c r="AX58">
        <f t="shared" si="5"/>
        <v>1</v>
      </c>
      <c r="AY58">
        <f t="shared" si="19"/>
        <v>0</v>
      </c>
      <c r="AZ58" s="28">
        <f t="shared" si="12"/>
        <v>0</v>
      </c>
      <c r="BA58" s="28">
        <f t="shared" si="13"/>
        <v>0</v>
      </c>
      <c r="BB58" s="28">
        <f t="shared" si="20"/>
        <v>0</v>
      </c>
      <c r="BC58" s="29">
        <f t="shared" si="21"/>
        <v>0</v>
      </c>
      <c r="BE58" s="29">
        <f t="shared" si="22"/>
        <v>0</v>
      </c>
      <c r="BF58" s="29">
        <f t="shared" si="23"/>
        <v>8.5207067177144012E-3</v>
      </c>
      <c r="BH58" s="29"/>
    </row>
    <row r="59" spans="1:60" x14ac:dyDescent="0.25">
      <c r="A59" s="1">
        <v>46107</v>
      </c>
      <c r="B59" s="33">
        <v>91.43</v>
      </c>
      <c r="C59" s="33">
        <v>102</v>
      </c>
      <c r="D59" s="15">
        <v>-2.2280826526889001E-2</v>
      </c>
      <c r="E59" s="15">
        <v>-2.2490284894071601E-2</v>
      </c>
      <c r="F59" s="33">
        <v>0</v>
      </c>
      <c r="G59" s="33">
        <v>0.23271999999999901</v>
      </c>
      <c r="H59" s="33">
        <v>0</v>
      </c>
      <c r="I59" s="33">
        <v>0.237064</v>
      </c>
      <c r="J59" s="33">
        <v>0.23271999999999901</v>
      </c>
      <c r="K59" s="33">
        <v>0.237064</v>
      </c>
      <c r="L59" s="33">
        <v>91.662719999999993</v>
      </c>
      <c r="M59" s="33">
        <v>102.237064</v>
      </c>
      <c r="N59" s="34">
        <v>1.1156075686317399</v>
      </c>
      <c r="O59" s="34">
        <v>1.1144210713463301</v>
      </c>
      <c r="P59" s="34">
        <v>1.113708326165</v>
      </c>
      <c r="Q59" s="34">
        <v>1.11242582768923</v>
      </c>
      <c r="R59" s="33">
        <v>101.891518553195</v>
      </c>
      <c r="S59" s="33">
        <v>101.762832648097</v>
      </c>
      <c r="T59" s="33">
        <v>101.676837035598</v>
      </c>
      <c r="U59" s="15">
        <v>-1.0641095599341699E-3</v>
      </c>
      <c r="V59" s="15">
        <v>-2.32787752232996E-3</v>
      </c>
      <c r="W59" s="15">
        <v>-3.1732939325564199E-3</v>
      </c>
      <c r="X59" s="34">
        <v>1.11536144683465</v>
      </c>
      <c r="Y59" s="34">
        <v>1.1139962285470999</v>
      </c>
      <c r="Z59" s="34">
        <v>1.1134709370000699</v>
      </c>
      <c r="AA59" s="34">
        <v>1.1122093799205599</v>
      </c>
      <c r="AB59" s="33">
        <v>102.111924378369</v>
      </c>
      <c r="AC59" s="33">
        <v>102.00026873305499</v>
      </c>
      <c r="AD59" s="33">
        <v>101.917494318978</v>
      </c>
      <c r="AE59" s="15">
        <v>-1.2247639517718901E-3</v>
      </c>
      <c r="AF59" s="15">
        <v>-2.3188255533781099E-3</v>
      </c>
      <c r="AG59" s="15">
        <v>-3.13066673272923E-3</v>
      </c>
      <c r="AI59" s="12"/>
      <c r="AJ59">
        <f t="shared" si="6"/>
        <v>0</v>
      </c>
      <c r="AK59">
        <f t="shared" si="7"/>
        <v>0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8.5207067177144012E-3</v>
      </c>
      <c r="AT59" s="12"/>
      <c r="AU59">
        <f t="shared" si="10"/>
        <v>0</v>
      </c>
      <c r="AV59">
        <f t="shared" si="11"/>
        <v>1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0</v>
      </c>
      <c r="BE59" s="29">
        <f t="shared" si="22"/>
        <v>0</v>
      </c>
      <c r="BF59" s="29">
        <f t="shared" si="23"/>
        <v>8.5207067177144012E-3</v>
      </c>
      <c r="BH59" s="29"/>
    </row>
    <row r="60" spans="1:60" x14ac:dyDescent="0.25">
      <c r="A60" s="1">
        <v>46108</v>
      </c>
      <c r="B60" s="33">
        <v>89.81</v>
      </c>
      <c r="C60" s="33">
        <v>100.84</v>
      </c>
      <c r="D60" s="15">
        <v>-1.7877324493476801E-2</v>
      </c>
      <c r="E60" s="15">
        <v>-1.14377109645519E-2</v>
      </c>
      <c r="F60" s="33">
        <v>0</v>
      </c>
      <c r="G60" s="33">
        <v>0.23271999999999901</v>
      </c>
      <c r="H60" s="33">
        <v>0</v>
      </c>
      <c r="I60" s="33">
        <v>0.237064</v>
      </c>
      <c r="J60" s="33">
        <v>0.23271999999999901</v>
      </c>
      <c r="K60" s="33">
        <v>0.237064</v>
      </c>
      <c r="L60" s="33">
        <v>90.042720000000003</v>
      </c>
      <c r="M60" s="33">
        <v>101.07706399999999</v>
      </c>
      <c r="N60" s="34">
        <v>1.1228148313105399</v>
      </c>
      <c r="O60" s="34">
        <v>1.1144210713463301</v>
      </c>
      <c r="P60" s="34">
        <v>1.1147459201054</v>
      </c>
      <c r="Q60" s="34">
        <v>1.1130569273814801</v>
      </c>
      <c r="R60" s="33">
        <v>100.08615641761401</v>
      </c>
      <c r="S60" s="33">
        <v>100.022144772879</v>
      </c>
      <c r="T60" s="33">
        <v>99.906963584770097</v>
      </c>
      <c r="U60" s="15">
        <v>-7.5037230888590403E-3</v>
      </c>
      <c r="V60" s="15">
        <v>-8.14349311876204E-3</v>
      </c>
      <c r="W60" s="15">
        <v>-9.2957135412755597E-3</v>
      </c>
      <c r="X60" s="34">
        <v>1.1225456538851699</v>
      </c>
      <c r="Y60" s="34">
        <v>1.1139962285470999</v>
      </c>
      <c r="Z60" s="34">
        <v>1.11450526093927</v>
      </c>
      <c r="AA60" s="34">
        <v>1.1128208556467201</v>
      </c>
      <c r="AB60" s="33">
        <v>100.307250488123</v>
      </c>
      <c r="AC60" s="33">
        <v>100.25995180843501</v>
      </c>
      <c r="AD60" s="33">
        <v>100.14635777756099</v>
      </c>
      <c r="AE60" s="15">
        <v>-7.6452554257637603E-3</v>
      </c>
      <c r="AF60" s="15">
        <v>-8.1169046288552295E-3</v>
      </c>
      <c r="AG60" s="15">
        <v>-9.2505420205541405E-3</v>
      </c>
      <c r="AI60" s="12"/>
      <c r="AJ60">
        <f t="shared" si="6"/>
        <v>1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8.5207067177144012E-3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0</v>
      </c>
      <c r="BE60" s="29">
        <f t="shared" si="22"/>
        <v>0</v>
      </c>
      <c r="BF60" s="29">
        <f t="shared" si="23"/>
        <v>8.5207067177144012E-3</v>
      </c>
      <c r="BH60" s="29"/>
    </row>
    <row r="61" spans="1:60" x14ac:dyDescent="0.25">
      <c r="A61" s="1">
        <v>46111</v>
      </c>
      <c r="B61" s="33">
        <v>89.04</v>
      </c>
      <c r="C61" s="33">
        <v>99.15</v>
      </c>
      <c r="D61" s="15">
        <v>-8.6106207155689403E-3</v>
      </c>
      <c r="E61" s="15">
        <v>-1.6901247353914E-2</v>
      </c>
      <c r="F61" s="33">
        <v>0</v>
      </c>
      <c r="G61" s="33">
        <v>0.23271999999999901</v>
      </c>
      <c r="H61" s="33">
        <v>0</v>
      </c>
      <c r="I61" s="33">
        <v>0.237064</v>
      </c>
      <c r="J61" s="33">
        <v>0.23271999999999901</v>
      </c>
      <c r="K61" s="33">
        <v>0.237064</v>
      </c>
      <c r="L61" s="33">
        <v>89.272720000000007</v>
      </c>
      <c r="M61" s="33">
        <v>99.387063999999995</v>
      </c>
      <c r="N61" s="34">
        <v>1.1135444743935301</v>
      </c>
      <c r="O61" s="34">
        <v>1.1144210713463301</v>
      </c>
      <c r="P61" s="34">
        <v>1.1147937809753501</v>
      </c>
      <c r="Q61" s="34">
        <v>1.1129973978818199</v>
      </c>
      <c r="R61" s="33">
        <v>99.228052192677595</v>
      </c>
      <c r="S61" s="33">
        <v>99.2569767261853</v>
      </c>
      <c r="T61" s="33">
        <v>99.106588814047299</v>
      </c>
      <c r="U61" s="15">
        <v>7.8690354948596903E-4</v>
      </c>
      <c r="V61" s="15">
        <v>1.0783566013357899E-3</v>
      </c>
      <c r="W61" s="15">
        <v>-4.3792932084794602E-4</v>
      </c>
      <c r="X61" s="34">
        <v>1.1132971416127999</v>
      </c>
      <c r="Y61" s="34">
        <v>1.1139962285470999</v>
      </c>
      <c r="Z61" s="34">
        <v>1.1145518963415799</v>
      </c>
      <c r="AA61" s="34">
        <v>1.1127607298059501</v>
      </c>
      <c r="AB61" s="33">
        <v>99.449473392141897</v>
      </c>
      <c r="AC61" s="33">
        <v>99.494916098358502</v>
      </c>
      <c r="AD61" s="33">
        <v>99.344544656310603</v>
      </c>
      <c r="AE61" s="15">
        <v>6.2774573536527201E-4</v>
      </c>
      <c r="AF61" s="15">
        <v>1.08458402191663E-3</v>
      </c>
      <c r="AG61" s="15">
        <v>-4.2790721240205601E-4</v>
      </c>
      <c r="AI61" s="12"/>
      <c r="AJ61">
        <f t="shared" si="6"/>
        <v>0</v>
      </c>
      <c r="AK61">
        <f t="shared" si="7"/>
        <v>1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-8.6106207155689403E-3</v>
      </c>
      <c r="AP61" s="28">
        <f t="shared" si="9"/>
        <v>1.6901247353914E-2</v>
      </c>
      <c r="AQ61" s="28">
        <f t="shared" si="16"/>
        <v>8.2906266383450597E-3</v>
      </c>
      <c r="AR61" s="29">
        <f t="shared" si="17"/>
        <v>1.6811333356059461E-2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0</v>
      </c>
      <c r="BE61" s="29">
        <f t="shared" si="22"/>
        <v>8.2906266383450597E-3</v>
      </c>
      <c r="BF61" s="29">
        <f t="shared" si="23"/>
        <v>1.6811333356059461E-2</v>
      </c>
      <c r="BH61" s="29"/>
    </row>
    <row r="62" spans="1:60" x14ac:dyDescent="0.25">
      <c r="A62" s="1">
        <v>46112</v>
      </c>
      <c r="B62" s="33">
        <v>91.52</v>
      </c>
      <c r="C62" s="33">
        <v>101.79</v>
      </c>
      <c r="D62" s="15">
        <v>2.7471820664198301E-2</v>
      </c>
      <c r="E62" s="15">
        <v>2.6278012498443502E-2</v>
      </c>
      <c r="F62" s="33">
        <v>0</v>
      </c>
      <c r="G62" s="33">
        <v>0.23271999999999901</v>
      </c>
      <c r="H62" s="33">
        <v>0</v>
      </c>
      <c r="I62" s="33">
        <v>0.237064</v>
      </c>
      <c r="J62" s="33">
        <v>0.23271999999999901</v>
      </c>
      <c r="K62" s="33">
        <v>0.237064</v>
      </c>
      <c r="L62" s="33">
        <v>91.752719999999997</v>
      </c>
      <c r="M62" s="33">
        <v>102.027064</v>
      </c>
      <c r="N62" s="34">
        <v>1.1122159090909001</v>
      </c>
      <c r="O62" s="34">
        <v>1.1144210713463301</v>
      </c>
      <c r="P62" s="34">
        <v>1.11482380549108</v>
      </c>
      <c r="Q62" s="34">
        <v>1.1131129204528201</v>
      </c>
      <c r="R62" s="33">
        <v>101.991816449616</v>
      </c>
      <c r="S62" s="33">
        <v>102.02592683486399</v>
      </c>
      <c r="T62" s="33">
        <v>101.861521854144</v>
      </c>
      <c r="U62" s="15">
        <v>1.9807117152407898E-3</v>
      </c>
      <c r="V62" s="15">
        <v>2.3150981761094502E-3</v>
      </c>
      <c r="W62" s="15">
        <v>7.0239452603889296E-4</v>
      </c>
      <c r="X62" s="34">
        <v>1.11197863126019</v>
      </c>
      <c r="Y62" s="34">
        <v>1.1139962285470999</v>
      </c>
      <c r="Z62" s="34">
        <v>1.11458124426005</v>
      </c>
      <c r="AA62" s="34">
        <v>1.11287576592577</v>
      </c>
      <c r="AB62" s="33">
        <v>102.21218403893801</v>
      </c>
      <c r="AC62" s="33">
        <v>102.263168070498</v>
      </c>
      <c r="AD62" s="33">
        <v>102.098823668881</v>
      </c>
      <c r="AE62" s="15">
        <v>1.8127768429497301E-3</v>
      </c>
      <c r="AF62" s="15">
        <v>2.3114582936968201E-3</v>
      </c>
      <c r="AG62" s="15">
        <v>7.0309231873588805E-4</v>
      </c>
      <c r="AI62" s="12"/>
      <c r="AJ62">
        <f t="shared" si="6"/>
        <v>0</v>
      </c>
      <c r="AK62">
        <f t="shared" si="7"/>
        <v>1</v>
      </c>
      <c r="AL62">
        <f t="shared" si="14"/>
        <v>0</v>
      </c>
      <c r="AM62">
        <f t="shared" si="4"/>
        <v>0</v>
      </c>
      <c r="AN62">
        <f t="shared" si="15"/>
        <v>0</v>
      </c>
      <c r="AO62" s="28">
        <f t="shared" si="8"/>
        <v>0</v>
      </c>
      <c r="AP62" s="28">
        <f t="shared" si="9"/>
        <v>0</v>
      </c>
      <c r="AQ62" s="28">
        <f t="shared" si="16"/>
        <v>0</v>
      </c>
      <c r="AR62" s="29">
        <f t="shared" si="17"/>
        <v>1.6811333356059461E-2</v>
      </c>
      <c r="AT62" s="12"/>
      <c r="AU62">
        <f t="shared" si="10"/>
        <v>0</v>
      </c>
      <c r="AV62">
        <f t="shared" si="11"/>
        <v>1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0</v>
      </c>
      <c r="BE62" s="29">
        <f t="shared" si="22"/>
        <v>0</v>
      </c>
      <c r="BF62" s="29">
        <f t="shared" si="23"/>
        <v>1.6811333356059461E-2</v>
      </c>
      <c r="BH62" s="29"/>
    </row>
    <row r="63" spans="1:60" x14ac:dyDescent="0.25">
      <c r="A63" s="1">
        <v>46113</v>
      </c>
      <c r="B63" s="33">
        <v>92.47</v>
      </c>
      <c r="C63" s="33">
        <v>102.82</v>
      </c>
      <c r="D63" s="15">
        <v>1.0326739958059499E-2</v>
      </c>
      <c r="E63" s="15">
        <v>1.006801916311E-2</v>
      </c>
      <c r="F63" s="33">
        <v>0.10198</v>
      </c>
      <c r="G63" s="33">
        <v>0.3347</v>
      </c>
      <c r="H63" s="33">
        <v>0.133766</v>
      </c>
      <c r="I63" s="33">
        <v>0.37082999999999999</v>
      </c>
      <c r="J63" s="33">
        <v>0.3347</v>
      </c>
      <c r="K63" s="33">
        <v>0.37082999999999999</v>
      </c>
      <c r="L63" s="33">
        <v>92.804699999999997</v>
      </c>
      <c r="M63" s="33">
        <v>103.190829999999</v>
      </c>
      <c r="N63" s="34">
        <v>1.1119281929274301</v>
      </c>
      <c r="O63" s="34">
        <v>1.1144210713463301</v>
      </c>
      <c r="P63" s="34">
        <v>1.11469546703524</v>
      </c>
      <c r="Q63" s="34">
        <v>1.1131608674967901</v>
      </c>
      <c r="R63" s="33">
        <v>103.050516467395</v>
      </c>
      <c r="S63" s="33">
        <v>103.087757293761</v>
      </c>
      <c r="T63" s="33">
        <v>102.929551754272</v>
      </c>
      <c r="U63" s="15">
        <v>2.2394325101902802E-3</v>
      </c>
      <c r="V63" s="15">
        <v>2.60075140639646E-3</v>
      </c>
      <c r="W63" s="15">
        <v>1.064904041751E-3</v>
      </c>
      <c r="X63" s="34">
        <v>1.1119138362604399</v>
      </c>
      <c r="Y63" s="34">
        <v>1.1139962285470999</v>
      </c>
      <c r="Z63" s="34">
        <v>1.11447491139119</v>
      </c>
      <c r="AA63" s="34">
        <v>1.1129343940666701</v>
      </c>
      <c r="AB63" s="33">
        <v>103.384085791445</v>
      </c>
      <c r="AC63" s="33">
        <v>103.43837799918001</v>
      </c>
      <c r="AD63" s="33">
        <v>103.280101594011</v>
      </c>
      <c r="AE63" s="15">
        <v>1.87104854512304E-3</v>
      </c>
      <c r="AF63" s="15">
        <v>2.3960612346266299E-3</v>
      </c>
      <c r="AG63" s="15">
        <v>8.64737703124867E-4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1.6811333356059461E-2</v>
      </c>
      <c r="AT63" s="12"/>
      <c r="AU63">
        <f t="shared" si="10"/>
        <v>0</v>
      </c>
      <c r="AV63">
        <f t="shared" si="11"/>
        <v>1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0</v>
      </c>
      <c r="BE63" s="29">
        <f t="shared" si="22"/>
        <v>0</v>
      </c>
      <c r="BF63" s="29">
        <f t="shared" si="23"/>
        <v>1.6811333356059461E-2</v>
      </c>
      <c r="BH63" s="29"/>
    </row>
    <row r="64" spans="1:60" x14ac:dyDescent="0.25">
      <c r="A64" s="1">
        <v>46114</v>
      </c>
      <c r="B64" s="33">
        <v>93.3</v>
      </c>
      <c r="C64" s="33">
        <v>103.89</v>
      </c>
      <c r="D64" s="15">
        <v>8.9358402637509503E-3</v>
      </c>
      <c r="E64" s="15">
        <v>1.03527604550816E-2</v>
      </c>
      <c r="F64" s="33">
        <v>0</v>
      </c>
      <c r="G64" s="33">
        <v>0.3347</v>
      </c>
      <c r="H64" s="33">
        <v>0</v>
      </c>
      <c r="I64" s="33">
        <v>0.37082999999999999</v>
      </c>
      <c r="J64" s="33">
        <v>0.3347</v>
      </c>
      <c r="K64" s="33">
        <v>0.37082999999999999</v>
      </c>
      <c r="L64" s="33">
        <v>93.634699999999995</v>
      </c>
      <c r="M64" s="33">
        <v>104.26083</v>
      </c>
      <c r="N64" s="34">
        <v>1.11350482315112</v>
      </c>
      <c r="O64" s="34">
        <v>1.1144210713463301</v>
      </c>
      <c r="P64" s="34">
        <v>1.11469752729106</v>
      </c>
      <c r="Q64" s="34">
        <v>1.11331697709803</v>
      </c>
      <c r="R64" s="33">
        <v>103.975485956613</v>
      </c>
      <c r="S64" s="33">
        <v>104.001087074388</v>
      </c>
      <c r="T64" s="33">
        <v>103.85790893745001</v>
      </c>
      <c r="U64" s="15">
        <v>8.2251231885944001E-4</v>
      </c>
      <c r="V64" s="15">
        <v>1.0687046426561099E-3</v>
      </c>
      <c r="W64" s="15">
        <v>-3.0894234236536E-4</v>
      </c>
      <c r="X64" s="34">
        <v>1.1134849580337201</v>
      </c>
      <c r="Y64" s="34">
        <v>1.1139962285470999</v>
      </c>
      <c r="Z64" s="34">
        <v>1.1144983743780399</v>
      </c>
      <c r="AA64" s="34">
        <v>1.11310095226016</v>
      </c>
      <c r="AB64" s="33">
        <v>104.30870266113899</v>
      </c>
      <c r="AC64" s="33">
        <v>104.353523985641</v>
      </c>
      <c r="AD64" s="33">
        <v>104.209278108115</v>
      </c>
      <c r="AE64" s="15">
        <v>4.5905709592103898E-4</v>
      </c>
      <c r="AF64" s="15">
        <v>8.8866360315820896E-4</v>
      </c>
      <c r="AG64" s="15">
        <v>-4.9457347533929798E-4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1.6811333356059461E-2</v>
      </c>
      <c r="AT64" s="12"/>
      <c r="AU64">
        <f t="shared" si="10"/>
        <v>0</v>
      </c>
      <c r="AV64">
        <f t="shared" si="11"/>
        <v>1</v>
      </c>
      <c r="AW64">
        <f t="shared" si="18"/>
        <v>0</v>
      </c>
      <c r="AX64">
        <f t="shared" si="5"/>
        <v>1</v>
      </c>
      <c r="AY64">
        <f t="shared" si="19"/>
        <v>0</v>
      </c>
      <c r="AZ64" s="28">
        <f t="shared" si="12"/>
        <v>0</v>
      </c>
      <c r="BA64" s="28">
        <f t="shared" si="13"/>
        <v>0</v>
      </c>
      <c r="BB64" s="28">
        <f t="shared" si="20"/>
        <v>0</v>
      </c>
      <c r="BC64" s="29">
        <f t="shared" si="21"/>
        <v>0</v>
      </c>
      <c r="BE64" s="29">
        <f t="shared" si="22"/>
        <v>0</v>
      </c>
      <c r="BF64" s="29">
        <f t="shared" si="23"/>
        <v>1.6811333356059461E-2</v>
      </c>
      <c r="BH64" s="29"/>
    </row>
    <row r="65" spans="1:60" x14ac:dyDescent="0.25">
      <c r="A65" s="1">
        <v>46118</v>
      </c>
      <c r="B65" s="33">
        <v>93.22</v>
      </c>
      <c r="C65" s="33">
        <v>103.94</v>
      </c>
      <c r="D65" s="15">
        <v>-8.5781690870326104E-4</v>
      </c>
      <c r="E65" s="15">
        <v>4.81162497855546E-4</v>
      </c>
      <c r="F65" s="33">
        <v>0</v>
      </c>
      <c r="G65" s="33">
        <v>0.3347</v>
      </c>
      <c r="H65" s="33">
        <v>0</v>
      </c>
      <c r="I65" s="33">
        <v>0.37082999999999999</v>
      </c>
      <c r="J65" s="33">
        <v>0.3347</v>
      </c>
      <c r="K65" s="33">
        <v>0.37082999999999999</v>
      </c>
      <c r="L65" s="33">
        <v>93.554699999999997</v>
      </c>
      <c r="M65" s="33">
        <v>104.31083</v>
      </c>
      <c r="N65" s="34">
        <v>1.1149967818064701</v>
      </c>
      <c r="O65" s="34">
        <v>1.1144210713463301</v>
      </c>
      <c r="P65" s="34">
        <v>1.1148034242149201</v>
      </c>
      <c r="Q65" s="34">
        <v>1.11362560751745</v>
      </c>
      <c r="R65" s="33">
        <v>103.886332270905</v>
      </c>
      <c r="S65" s="33">
        <v>103.91210349407299</v>
      </c>
      <c r="T65" s="33">
        <v>103.78340860507799</v>
      </c>
      <c r="U65" s="15">
        <v>-5.1646708769930902E-4</v>
      </c>
      <c r="V65" s="15">
        <v>-2.6842649773713899E-4</v>
      </c>
      <c r="W65" s="15">
        <v>-1.5076916524320099E-3</v>
      </c>
      <c r="X65" s="34">
        <v>1.11497156209148</v>
      </c>
      <c r="Y65" s="34">
        <v>1.1139962285470999</v>
      </c>
      <c r="Z65" s="34">
        <v>1.11462579331017</v>
      </c>
      <c r="AA65" s="34">
        <v>1.11341977792317</v>
      </c>
      <c r="AB65" s="33">
        <v>104.21958296285599</v>
      </c>
      <c r="AC65" s="33">
        <v>104.26656106542499</v>
      </c>
      <c r="AD65" s="33">
        <v>104.135825658413</v>
      </c>
      <c r="AE65" s="15">
        <v>-8.7514374206762696E-4</v>
      </c>
      <c r="AF65" s="15">
        <v>-4.2448450440957599E-4</v>
      </c>
      <c r="AG65" s="15">
        <v>-1.6791287166669001E-3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1.6811333356059461E-2</v>
      </c>
      <c r="AT65" s="12"/>
      <c r="AU65">
        <f t="shared" si="10"/>
        <v>0</v>
      </c>
      <c r="AV65">
        <f t="shared" si="11"/>
        <v>1</v>
      </c>
      <c r="AW65">
        <f t="shared" si="18"/>
        <v>0</v>
      </c>
      <c r="AX65">
        <f t="shared" si="5"/>
        <v>1</v>
      </c>
      <c r="AY65">
        <f t="shared" si="19"/>
        <v>0</v>
      </c>
      <c r="AZ65" s="28">
        <f t="shared" si="12"/>
        <v>0</v>
      </c>
      <c r="BA65" s="28">
        <f t="shared" si="13"/>
        <v>0</v>
      </c>
      <c r="BB65" s="28">
        <f t="shared" si="20"/>
        <v>0</v>
      </c>
      <c r="BC65" s="29">
        <f t="shared" si="21"/>
        <v>0</v>
      </c>
      <c r="BE65" s="29">
        <f t="shared" si="22"/>
        <v>0</v>
      </c>
      <c r="BF65" s="29">
        <f t="shared" si="23"/>
        <v>1.6811333356059461E-2</v>
      </c>
      <c r="BH65" s="29"/>
    </row>
    <row r="66" spans="1:60" x14ac:dyDescent="0.25">
      <c r="A66" s="1">
        <v>46119</v>
      </c>
      <c r="B66" s="33">
        <v>93.84</v>
      </c>
      <c r="C66" s="33">
        <v>104.53</v>
      </c>
      <c r="D66" s="15">
        <v>6.6289134006252198E-3</v>
      </c>
      <c r="E66" s="15">
        <v>5.6603019643200799E-3</v>
      </c>
      <c r="F66" s="33">
        <v>0</v>
      </c>
      <c r="G66" s="33">
        <v>0.3347</v>
      </c>
      <c r="H66" s="33">
        <v>0</v>
      </c>
      <c r="I66" s="33">
        <v>0.37082999999999999</v>
      </c>
      <c r="J66" s="33">
        <v>0.3347</v>
      </c>
      <c r="K66" s="33">
        <v>0.37082999999999999</v>
      </c>
      <c r="L66" s="33">
        <v>94.174700000000001</v>
      </c>
      <c r="M66" s="33">
        <v>104.90083</v>
      </c>
      <c r="N66" s="34">
        <v>1.11391730605285</v>
      </c>
      <c r="O66" s="34">
        <v>1.1144210713463301</v>
      </c>
      <c r="P66" s="34">
        <v>1.1149354481765399</v>
      </c>
      <c r="Q66" s="34">
        <v>1.1137707029266899</v>
      </c>
      <c r="R66" s="33">
        <v>104.57727333514001</v>
      </c>
      <c r="S66" s="33">
        <v>104.613153328328</v>
      </c>
      <c r="T66" s="33">
        <v>104.50262700943701</v>
      </c>
      <c r="U66" s="15">
        <v>4.5214434860591798E-4</v>
      </c>
      <c r="V66" s="15">
        <v>7.9518101727428904E-4</v>
      </c>
      <c r="W66" s="15">
        <v>-2.6190160942911198E-4</v>
      </c>
      <c r="X66" s="34">
        <v>1.1138960888646301</v>
      </c>
      <c r="Y66" s="34">
        <v>1.1139962285470999</v>
      </c>
      <c r="Z66" s="34">
        <v>1.11477921244339</v>
      </c>
      <c r="AA66" s="34">
        <v>1.11357535429659</v>
      </c>
      <c r="AB66" s="33">
        <v>104.91026062455499</v>
      </c>
      <c r="AC66" s="33">
        <v>104.969549697247</v>
      </c>
      <c r="AD66" s="33">
        <v>104.855973559981</v>
      </c>
      <c r="AE66" s="15">
        <v>8.9896339926934401E-5</v>
      </c>
      <c r="AF66" s="15">
        <v>6.5487754682075697E-4</v>
      </c>
      <c r="AG66" s="15">
        <v>-4.2769950667161598E-4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1.6811333356059461E-2</v>
      </c>
      <c r="AT66" s="12"/>
      <c r="AU66">
        <f t="shared" si="10"/>
        <v>0</v>
      </c>
      <c r="AV66">
        <f t="shared" si="11"/>
        <v>1</v>
      </c>
      <c r="AW66">
        <f t="shared" si="18"/>
        <v>0</v>
      </c>
      <c r="AX66">
        <f t="shared" si="5"/>
        <v>1</v>
      </c>
      <c r="AY66">
        <f t="shared" si="19"/>
        <v>0</v>
      </c>
      <c r="AZ66" s="28">
        <f t="shared" si="12"/>
        <v>0</v>
      </c>
      <c r="BA66" s="28">
        <f t="shared" si="13"/>
        <v>0</v>
      </c>
      <c r="BB66" s="28">
        <f t="shared" si="20"/>
        <v>0</v>
      </c>
      <c r="BC66" s="29">
        <f t="shared" si="21"/>
        <v>0</v>
      </c>
      <c r="BE66" s="29">
        <f t="shared" si="22"/>
        <v>0</v>
      </c>
      <c r="BF66" s="29">
        <f t="shared" si="23"/>
        <v>1.6811333356059461E-2</v>
      </c>
      <c r="BH66" s="29"/>
    </row>
    <row r="67" spans="1:60" x14ac:dyDescent="0.25">
      <c r="A67" s="1">
        <v>46120</v>
      </c>
      <c r="B67" s="33">
        <v>96.39</v>
      </c>
      <c r="C67" s="33">
        <v>107.39</v>
      </c>
      <c r="D67" s="15">
        <v>2.6811257450656701E-2</v>
      </c>
      <c r="E67" s="15">
        <v>2.6992956325509399E-2</v>
      </c>
      <c r="F67" s="33">
        <v>0</v>
      </c>
      <c r="G67" s="33">
        <v>0.3347</v>
      </c>
      <c r="H67" s="33">
        <v>0</v>
      </c>
      <c r="I67" s="33">
        <v>0.37082999999999999</v>
      </c>
      <c r="J67" s="33">
        <v>0.3347</v>
      </c>
      <c r="K67" s="33">
        <v>0.37082999999999999</v>
      </c>
      <c r="L67" s="33">
        <v>96.724699999999999</v>
      </c>
      <c r="M67" s="33">
        <v>107.76083</v>
      </c>
      <c r="N67" s="34">
        <v>1.11411972196285</v>
      </c>
      <c r="O67" s="34">
        <v>1.1144210713463301</v>
      </c>
      <c r="P67" s="34">
        <v>1.1148490875773001</v>
      </c>
      <c r="Q67" s="34">
        <v>1.1138375104418901</v>
      </c>
      <c r="R67" s="33">
        <v>107.419047067073</v>
      </c>
      <c r="S67" s="33">
        <v>107.468627849737</v>
      </c>
      <c r="T67" s="33">
        <v>107.356358055104</v>
      </c>
      <c r="U67" s="15">
        <v>2.7044547375317597E-4</v>
      </c>
      <c r="V67" s="15">
        <v>7.3190314984659304E-4</v>
      </c>
      <c r="W67" s="15">
        <v>-3.1331795775653301E-4</v>
      </c>
      <c r="X67" s="34">
        <v>1.1140983637064701</v>
      </c>
      <c r="Y67" s="34">
        <v>1.1139962285470999</v>
      </c>
      <c r="Z67" s="34">
        <v>1.11471476566007</v>
      </c>
      <c r="AA67" s="34">
        <v>1.1136528390479701</v>
      </c>
      <c r="AB67" s="33">
        <v>107.75095100735</v>
      </c>
      <c r="AC67" s="33">
        <v>107.826684889823</v>
      </c>
      <c r="AD67" s="33">
        <v>107.710242071732</v>
      </c>
      <c r="AE67" s="15">
        <v>-9.1679374652854395E-5</v>
      </c>
      <c r="AF67" s="15">
        <v>6.1093418981368998E-4</v>
      </c>
      <c r="AG67" s="15">
        <v>-4.6955657398513702E-4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1.6811333356059461E-2</v>
      </c>
      <c r="AT67" s="12"/>
      <c r="AU67">
        <f t="shared" si="10"/>
        <v>0</v>
      </c>
      <c r="AV67">
        <f t="shared" si="11"/>
        <v>1</v>
      </c>
      <c r="AW67">
        <f t="shared" si="18"/>
        <v>0</v>
      </c>
      <c r="AX67">
        <f t="shared" si="5"/>
        <v>1</v>
      </c>
      <c r="AY67">
        <f t="shared" si="19"/>
        <v>0</v>
      </c>
      <c r="AZ67" s="28">
        <f t="shared" si="12"/>
        <v>0</v>
      </c>
      <c r="BA67" s="28">
        <f t="shared" si="13"/>
        <v>0</v>
      </c>
      <c r="BB67" s="28">
        <f t="shared" si="20"/>
        <v>0</v>
      </c>
      <c r="BC67" s="29">
        <f t="shared" si="21"/>
        <v>0</v>
      </c>
      <c r="BE67" s="29">
        <f t="shared" si="22"/>
        <v>0</v>
      </c>
      <c r="BF67" s="29">
        <f t="shared" si="23"/>
        <v>1.6811333356059461E-2</v>
      </c>
      <c r="BH67" s="29"/>
    </row>
    <row r="68" spans="1:60" x14ac:dyDescent="0.25">
      <c r="A68" s="1">
        <v>46121</v>
      </c>
      <c r="B68" s="33">
        <v>96.51</v>
      </c>
      <c r="C68" s="33">
        <v>107.56</v>
      </c>
      <c r="D68" s="15">
        <v>1.24416812316803E-3</v>
      </c>
      <c r="E68" s="15">
        <v>1.58176353053883E-3</v>
      </c>
      <c r="F68" s="33">
        <v>0</v>
      </c>
      <c r="G68" s="33">
        <v>0.3347</v>
      </c>
      <c r="H68" s="33">
        <v>0</v>
      </c>
      <c r="I68" s="33">
        <v>0.37082999999999999</v>
      </c>
      <c r="J68" s="33">
        <v>0.3347</v>
      </c>
      <c r="K68" s="33">
        <v>0.37082999999999999</v>
      </c>
      <c r="L68" s="33">
        <v>96.844700000000003</v>
      </c>
      <c r="M68" s="33">
        <v>107.93083</v>
      </c>
      <c r="N68" s="34">
        <v>1.1144959071598699</v>
      </c>
      <c r="O68" s="34">
        <v>1.1144210713463301</v>
      </c>
      <c r="P68" s="34">
        <v>1.11471455164873</v>
      </c>
      <c r="Q68" s="34">
        <v>1.1138640714499599</v>
      </c>
      <c r="R68" s="33">
        <v>107.552777595634</v>
      </c>
      <c r="S68" s="33">
        <v>107.594085442086</v>
      </c>
      <c r="T68" s="33">
        <v>107.49645813274699</v>
      </c>
      <c r="U68" s="15">
        <v>-6.7149933617641195E-5</v>
      </c>
      <c r="V68" s="15">
        <v>3.1684680587147201E-4</v>
      </c>
      <c r="W68" s="15">
        <v>-5.9093197808254697E-4</v>
      </c>
      <c r="X68" s="34">
        <v>1.11447327525409</v>
      </c>
      <c r="Y68" s="34">
        <v>1.1139962285470999</v>
      </c>
      <c r="Z68" s="34">
        <v>1.11460209578036</v>
      </c>
      <c r="AA68" s="34">
        <v>1.11369010514844</v>
      </c>
      <c r="AB68" s="33">
        <v>107.884630554776</v>
      </c>
      <c r="AC68" s="33">
        <v>107.954217065919</v>
      </c>
      <c r="AD68" s="33">
        <v>107.851375101749</v>
      </c>
      <c r="AE68" s="15">
        <v>-4.2813842725552301E-4</v>
      </c>
      <c r="AF68" s="15">
        <v>2.1666221286922499E-4</v>
      </c>
      <c r="AG68" s="15">
        <v>-7.3643609123412196E-4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1.6811333356059461E-2</v>
      </c>
      <c r="AT68" s="12"/>
      <c r="AU68">
        <f t="shared" si="10"/>
        <v>0</v>
      </c>
      <c r="AV68">
        <f t="shared" si="11"/>
        <v>1</v>
      </c>
      <c r="AW68">
        <f t="shared" si="18"/>
        <v>0</v>
      </c>
      <c r="AX68">
        <f t="shared" si="5"/>
        <v>1</v>
      </c>
      <c r="AY68">
        <f t="shared" si="19"/>
        <v>0</v>
      </c>
      <c r="AZ68" s="28">
        <f t="shared" si="12"/>
        <v>0</v>
      </c>
      <c r="BA68" s="28">
        <f t="shared" si="13"/>
        <v>0</v>
      </c>
      <c r="BB68" s="28">
        <f t="shared" si="20"/>
        <v>0</v>
      </c>
      <c r="BC68" s="29">
        <f t="shared" si="21"/>
        <v>0</v>
      </c>
      <c r="BE68" s="29">
        <f t="shared" si="22"/>
        <v>0</v>
      </c>
      <c r="BF68" s="29">
        <f t="shared" si="23"/>
        <v>1.6811333356059461E-2</v>
      </c>
      <c r="BH68" s="29"/>
    </row>
    <row r="69" spans="1:60" x14ac:dyDescent="0.25">
      <c r="A69" s="1">
        <v>46122</v>
      </c>
      <c r="B69" s="33">
        <v>96.5</v>
      </c>
      <c r="C69" s="33">
        <v>107.64</v>
      </c>
      <c r="D69" s="15">
        <v>-1.0362157410451699E-4</v>
      </c>
      <c r="E69" s="15">
        <v>7.4349445804120699E-4</v>
      </c>
      <c r="F69" s="33">
        <v>0</v>
      </c>
      <c r="G69" s="33">
        <v>0.3347</v>
      </c>
      <c r="H69" s="33">
        <v>0</v>
      </c>
      <c r="I69" s="33">
        <v>0.37082999999999999</v>
      </c>
      <c r="J69" s="33">
        <v>0.3347</v>
      </c>
      <c r="K69" s="33">
        <v>0.37082999999999999</v>
      </c>
      <c r="L69" s="33">
        <v>96.834699999999998</v>
      </c>
      <c r="M69" s="33">
        <v>108.01083</v>
      </c>
      <c r="N69" s="34">
        <v>1.1154404145077701</v>
      </c>
      <c r="O69" s="34">
        <v>1.1144210713463301</v>
      </c>
      <c r="P69" s="34">
        <v>1.11469783623633</v>
      </c>
      <c r="Q69" s="34">
        <v>1.11420308120067</v>
      </c>
      <c r="R69" s="33">
        <v>107.541633384921</v>
      </c>
      <c r="S69" s="33">
        <v>107.56995423410299</v>
      </c>
      <c r="T69" s="33">
        <v>107.487882894921</v>
      </c>
      <c r="U69" s="15">
        <v>-9.1426596576321597E-4</v>
      </c>
      <c r="V69" s="15">
        <v>-6.5095286711700905E-4</v>
      </c>
      <c r="W69" s="15">
        <v>-1.41420190059557E-3</v>
      </c>
      <c r="X69" s="34">
        <v>1.11541451566432</v>
      </c>
      <c r="Y69" s="34">
        <v>1.1139962285470999</v>
      </c>
      <c r="Z69" s="34">
        <v>1.1146074026633299</v>
      </c>
      <c r="AA69" s="34">
        <v>1.1140391698317</v>
      </c>
      <c r="AB69" s="33">
        <v>107.87349059249</v>
      </c>
      <c r="AC69" s="33">
        <v>107.932159564263</v>
      </c>
      <c r="AD69" s="33">
        <v>107.843847225017</v>
      </c>
      <c r="AE69" s="15">
        <v>-1.27234275893893E-3</v>
      </c>
      <c r="AF69" s="15">
        <v>-7.2862230328411002E-4</v>
      </c>
      <c r="AG69" s="15">
        <v>-1.5471780406937901E-3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1.6811333356059461E-2</v>
      </c>
      <c r="AT69" s="12"/>
      <c r="AU69">
        <f t="shared" si="10"/>
        <v>0</v>
      </c>
      <c r="AV69">
        <f t="shared" si="11"/>
        <v>1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0</v>
      </c>
      <c r="BE69" s="29">
        <f t="shared" si="22"/>
        <v>0</v>
      </c>
      <c r="BF69" s="29">
        <f t="shared" si="23"/>
        <v>1.6811333356059461E-2</v>
      </c>
      <c r="BH69" s="29"/>
    </row>
    <row r="70" spans="1:60" x14ac:dyDescent="0.25">
      <c r="A70" s="1">
        <v>46125</v>
      </c>
      <c r="B70" s="33">
        <v>97.88</v>
      </c>
      <c r="C70" s="33">
        <v>108.59</v>
      </c>
      <c r="D70" s="15">
        <v>1.4199230229530501E-2</v>
      </c>
      <c r="E70" s="15">
        <v>8.78699637010401E-3</v>
      </c>
      <c r="F70" s="33">
        <v>0</v>
      </c>
      <c r="G70" s="33">
        <v>0.3347</v>
      </c>
      <c r="H70" s="33">
        <v>0</v>
      </c>
      <c r="I70" s="33">
        <v>0.37082999999999999</v>
      </c>
      <c r="J70" s="33">
        <v>0.3347</v>
      </c>
      <c r="K70" s="33">
        <v>0.37082999999999999</v>
      </c>
      <c r="L70" s="33">
        <v>98.214699999999993</v>
      </c>
      <c r="M70" s="33">
        <v>108.96083</v>
      </c>
      <c r="N70" s="34">
        <v>1.1094196975888799</v>
      </c>
      <c r="O70" s="34">
        <v>1.1144210713463301</v>
      </c>
      <c r="P70" s="34">
        <v>1.1133583228641699</v>
      </c>
      <c r="Q70" s="34">
        <v>1.1140521214847801</v>
      </c>
      <c r="R70" s="33">
        <v>109.07953446337901</v>
      </c>
      <c r="S70" s="33">
        <v>109.106624210812</v>
      </c>
      <c r="T70" s="33">
        <v>109.058197587921</v>
      </c>
      <c r="U70" s="15">
        <v>4.4979678936632904E-3</v>
      </c>
      <c r="V70" s="15">
        <v>4.7462856397332501E-3</v>
      </c>
      <c r="W70" s="15">
        <v>4.3023403392307199E-3</v>
      </c>
      <c r="X70" s="34">
        <v>1.1094146802871601</v>
      </c>
      <c r="Y70" s="34">
        <v>1.1139962285470999</v>
      </c>
      <c r="Z70" s="34">
        <v>1.11329430530353</v>
      </c>
      <c r="AA70" s="34">
        <v>1.1138997831213999</v>
      </c>
      <c r="AB70" s="33">
        <v>109.41080538788501</v>
      </c>
      <c r="AC70" s="33">
        <v>109.470831670358</v>
      </c>
      <c r="AD70" s="33">
        <v>109.41502285326899</v>
      </c>
      <c r="AE70" s="15">
        <v>4.1211948059143603E-3</v>
      </c>
      <c r="AF70" s="15">
        <v>4.6696764856448397E-3</v>
      </c>
      <c r="AG70" s="15">
        <v>4.1597411276055596E-3</v>
      </c>
      <c r="AI70" s="12"/>
      <c r="AJ70">
        <f t="shared" si="6"/>
        <v>0</v>
      </c>
      <c r="AK70">
        <f t="shared" si="7"/>
        <v>1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1.6811333356059461E-2</v>
      </c>
      <c r="AT70" s="12"/>
      <c r="AU70">
        <f t="shared" si="10"/>
        <v>1</v>
      </c>
      <c r="AV70">
        <f t="shared" si="11"/>
        <v>0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0</v>
      </c>
      <c r="BE70" s="29">
        <f t="shared" si="22"/>
        <v>0</v>
      </c>
      <c r="BF70" s="29">
        <f t="shared" si="23"/>
        <v>1.6811333356059461E-2</v>
      </c>
      <c r="BH70" s="29"/>
    </row>
    <row r="71" spans="1:60" x14ac:dyDescent="0.25">
      <c r="A71" s="1">
        <v>46126</v>
      </c>
      <c r="B71" s="33">
        <v>98.84</v>
      </c>
      <c r="C71" s="33">
        <v>109.8</v>
      </c>
      <c r="D71" s="15">
        <v>9.7601425459384397E-3</v>
      </c>
      <c r="E71" s="15">
        <v>1.1081206846621E-2</v>
      </c>
      <c r="F71" s="33">
        <v>0</v>
      </c>
      <c r="G71" s="33">
        <v>0.3347</v>
      </c>
      <c r="H71" s="33">
        <v>0</v>
      </c>
      <c r="I71" s="33">
        <v>0.37082999999999999</v>
      </c>
      <c r="J71" s="33">
        <v>0.3347</v>
      </c>
      <c r="K71" s="33">
        <v>0.37082999999999999</v>
      </c>
      <c r="L71" s="33">
        <v>99.174700000000001</v>
      </c>
      <c r="M71" s="33">
        <v>110.17083</v>
      </c>
      <c r="N71" s="34">
        <v>1.11088628085795</v>
      </c>
      <c r="O71" s="34">
        <v>1.1144210713463301</v>
      </c>
      <c r="P71" s="34">
        <v>1.1130925035106101</v>
      </c>
      <c r="Q71" s="34">
        <v>1.11394314224298</v>
      </c>
      <c r="R71" s="33">
        <v>110.14937869187099</v>
      </c>
      <c r="S71" s="33">
        <v>110.044336631894</v>
      </c>
      <c r="T71" s="33">
        <v>110.11291168755599</v>
      </c>
      <c r="U71" s="15">
        <v>3.1769035929806498E-3</v>
      </c>
      <c r="V71" s="15">
        <v>2.22281579996073E-3</v>
      </c>
      <c r="W71" s="15">
        <v>2.8457801438828501E-3</v>
      </c>
      <c r="X71" s="34">
        <v>1.1108763626207001</v>
      </c>
      <c r="Y71" s="34">
        <v>1.1139962285470999</v>
      </c>
      <c r="Z71" s="34">
        <v>1.11305222740432</v>
      </c>
      <c r="AA71" s="34">
        <v>1.1138020618729501</v>
      </c>
      <c r="AB71" s="33">
        <v>110.48024176729</v>
      </c>
      <c r="AC71" s="33">
        <v>110.410628740186</v>
      </c>
      <c r="AD71" s="33">
        <v>110.47067682113</v>
      </c>
      <c r="AE71" s="15">
        <v>2.8045362990273899E-3</v>
      </c>
      <c r="AF71" s="15">
        <v>2.1742428944237901E-3</v>
      </c>
      <c r="AG71" s="15">
        <v>2.71795647190841E-3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1.6811333356059461E-2</v>
      </c>
      <c r="AT71" s="12"/>
      <c r="AU71">
        <f t="shared" si="10"/>
        <v>0</v>
      </c>
      <c r="AV71">
        <f t="shared" si="11"/>
        <v>0</v>
      </c>
      <c r="AW71">
        <f t="shared" si="18"/>
        <v>1</v>
      </c>
      <c r="AX71">
        <f t="shared" si="5"/>
        <v>1</v>
      </c>
      <c r="AY71">
        <f t="shared" si="19"/>
        <v>1</v>
      </c>
      <c r="AZ71" s="28">
        <f t="shared" si="12"/>
        <v>-9.7601425459384397E-3</v>
      </c>
      <c r="BA71" s="28">
        <f t="shared" si="13"/>
        <v>1.1081206846621E-2</v>
      </c>
      <c r="BB71" s="28">
        <f t="shared" si="20"/>
        <v>1.3210643006825607E-3</v>
      </c>
      <c r="BC71" s="29">
        <f t="shared" si="21"/>
        <v>1.3210643006825607E-3</v>
      </c>
      <c r="BE71" s="29">
        <f t="shared" si="22"/>
        <v>1.3210643006825607E-3</v>
      </c>
      <c r="BF71" s="29">
        <f t="shared" si="23"/>
        <v>1.8132397656742023E-2</v>
      </c>
      <c r="BH71" s="29"/>
    </row>
    <row r="72" spans="1:60" x14ac:dyDescent="0.25">
      <c r="A72" s="1">
        <v>46127</v>
      </c>
      <c r="B72" s="33">
        <v>99.03</v>
      </c>
      <c r="C72" s="33">
        <v>110.31</v>
      </c>
      <c r="D72" s="15">
        <v>1.9204534128019299E-3</v>
      </c>
      <c r="E72" s="15">
        <v>4.63405490586008E-3</v>
      </c>
      <c r="F72" s="33">
        <v>0</v>
      </c>
      <c r="G72" s="33">
        <v>0.3347</v>
      </c>
      <c r="H72" s="33">
        <v>0</v>
      </c>
      <c r="I72" s="33">
        <v>0.37082999999999999</v>
      </c>
      <c r="J72" s="33">
        <v>0.3347</v>
      </c>
      <c r="K72" s="33">
        <v>0.37082999999999999</v>
      </c>
      <c r="L72" s="33">
        <v>99.364699999999999</v>
      </c>
      <c r="M72" s="33">
        <v>110.68083</v>
      </c>
      <c r="N72" s="34">
        <v>1.1139048773099001</v>
      </c>
      <c r="O72" s="34">
        <v>1.1144210713463301</v>
      </c>
      <c r="P72" s="34">
        <v>1.1132614003325101</v>
      </c>
      <c r="Q72" s="34">
        <v>1.1140426029118</v>
      </c>
      <c r="R72" s="33">
        <v>110.361118695427</v>
      </c>
      <c r="S72" s="33">
        <v>110.22955062265601</v>
      </c>
      <c r="T72" s="33">
        <v>110.31378937632201</v>
      </c>
      <c r="U72" s="15">
        <v>4.6330209992246902E-4</v>
      </c>
      <c r="V72" s="15">
        <v>-7.2956873889535201E-4</v>
      </c>
      <c r="W72" s="15">
        <v>3.4351475276990097E-5</v>
      </c>
      <c r="X72" s="34">
        <v>1.1138848101991901</v>
      </c>
      <c r="Y72" s="34">
        <v>1.1139962285470999</v>
      </c>
      <c r="Z72" s="34">
        <v>1.1132428452982199</v>
      </c>
      <c r="AA72" s="34">
        <v>1.11391204477913</v>
      </c>
      <c r="AB72" s="33">
        <v>110.69190105071399</v>
      </c>
      <c r="AC72" s="33">
        <v>110.59810066036199</v>
      </c>
      <c r="AD72" s="33">
        <v>110.672607737387</v>
      </c>
      <c r="AE72" s="15">
        <v>1.00021810919707E-4</v>
      </c>
      <c r="AF72" s="15">
        <v>-7.4773809910577802E-4</v>
      </c>
      <c r="AG72" s="15">
        <v>-7.4290805694479797E-5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1.6811333356059461E-2</v>
      </c>
      <c r="AT72" s="12"/>
      <c r="AU72">
        <f t="shared" si="10"/>
        <v>0</v>
      </c>
      <c r="AV72">
        <f t="shared" si="11"/>
        <v>1</v>
      </c>
      <c r="AW72">
        <f t="shared" si="18"/>
        <v>1</v>
      </c>
      <c r="AX72">
        <f t="shared" si="5"/>
        <v>1</v>
      </c>
      <c r="AY72">
        <f t="shared" si="19"/>
        <v>1</v>
      </c>
      <c r="AZ72" s="28">
        <f t="shared" si="12"/>
        <v>-1.9204534128019299E-3</v>
      </c>
      <c r="BA72" s="28">
        <f t="shared" si="13"/>
        <v>4.63405490586008E-3</v>
      </c>
      <c r="BB72" s="28">
        <f t="shared" si="20"/>
        <v>2.7136014930581502E-3</v>
      </c>
      <c r="BC72" s="29">
        <f t="shared" si="21"/>
        <v>4.034665793740711E-3</v>
      </c>
      <c r="BE72" s="29">
        <f t="shared" si="22"/>
        <v>2.7136014930581502E-3</v>
      </c>
      <c r="BF72" s="29">
        <f t="shared" si="23"/>
        <v>2.0845999149800173E-2</v>
      </c>
      <c r="BH72" s="29"/>
    </row>
    <row r="73" spans="1:60" x14ac:dyDescent="0.25">
      <c r="A73" s="1">
        <v>46128</v>
      </c>
      <c r="B73" s="33">
        <v>100.14</v>
      </c>
      <c r="C73" s="33">
        <v>111.2</v>
      </c>
      <c r="D73" s="15">
        <v>1.1146372368587299E-2</v>
      </c>
      <c r="E73" s="15">
        <v>8.0357978351915903E-3</v>
      </c>
      <c r="F73" s="33">
        <v>0</v>
      </c>
      <c r="G73" s="33">
        <v>0.3347</v>
      </c>
      <c r="H73" s="33">
        <v>0</v>
      </c>
      <c r="I73" s="33">
        <v>0.37082999999999999</v>
      </c>
      <c r="J73" s="33">
        <v>0.3347</v>
      </c>
      <c r="K73" s="33">
        <v>0.37082999999999999</v>
      </c>
      <c r="L73" s="33">
        <v>100.4747</v>
      </c>
      <c r="M73" s="33">
        <v>111.57083</v>
      </c>
      <c r="N73" s="34">
        <v>1.1104453764729301</v>
      </c>
      <c r="O73" s="34">
        <v>1.1144210713463301</v>
      </c>
      <c r="P73" s="34">
        <v>1.11311311868706</v>
      </c>
      <c r="Q73" s="34">
        <v>1.11390429286115</v>
      </c>
      <c r="R73" s="33">
        <v>111.598126084621</v>
      </c>
      <c r="S73" s="33">
        <v>111.481996629298</v>
      </c>
      <c r="T73" s="33">
        <v>111.560226255587</v>
      </c>
      <c r="U73" s="15">
        <v>3.5738766333183402E-3</v>
      </c>
      <c r="V73" s="15">
        <v>2.5327308386922198E-3</v>
      </c>
      <c r="W73" s="15">
        <v>3.2342090474891802E-3</v>
      </c>
      <c r="X73" s="34">
        <v>1.1104370552984899</v>
      </c>
      <c r="Y73" s="34">
        <v>1.1139962285470999</v>
      </c>
      <c r="Z73" s="34">
        <v>1.11309516720202</v>
      </c>
      <c r="AA73" s="34">
        <v>1.11378503929661</v>
      </c>
      <c r="AB73" s="33">
        <v>111.928436864402</v>
      </c>
      <c r="AC73" s="33">
        <v>111.852740908485</v>
      </c>
      <c r="AD73" s="33">
        <v>111.91997852557</v>
      </c>
      <c r="AE73" s="15">
        <v>3.2000746543033201E-3</v>
      </c>
      <c r="AF73" s="15">
        <v>2.5235569993613698E-3</v>
      </c>
      <c r="AG73" s="15">
        <v>3.1245026309694199E-3</v>
      </c>
      <c r="AI73" s="12"/>
      <c r="AJ73">
        <f t="shared" si="6"/>
        <v>0</v>
      </c>
      <c r="AK73">
        <f t="shared" si="7"/>
        <v>1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1.6811333356059461E-2</v>
      </c>
      <c r="AT73" s="12"/>
      <c r="AU73">
        <f t="shared" si="10"/>
        <v>1</v>
      </c>
      <c r="AV73">
        <f t="shared" si="11"/>
        <v>0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4.034665793740711E-3</v>
      </c>
      <c r="BE73" s="29">
        <f t="shared" si="22"/>
        <v>0</v>
      </c>
      <c r="BF73" s="29">
        <f t="shared" si="23"/>
        <v>2.0845999149800173E-2</v>
      </c>
      <c r="BH73" s="29"/>
    </row>
    <row r="74" spans="1:60" x14ac:dyDescent="0.25">
      <c r="A74" s="1">
        <v>46129</v>
      </c>
      <c r="B74" s="33">
        <v>100.51</v>
      </c>
      <c r="C74" s="33">
        <v>112.06</v>
      </c>
      <c r="D74" s="15">
        <v>3.6880181348499098E-3</v>
      </c>
      <c r="E74" s="15">
        <v>7.7040603206564298E-3</v>
      </c>
      <c r="F74" s="33">
        <v>0</v>
      </c>
      <c r="G74" s="33">
        <v>0.3347</v>
      </c>
      <c r="H74" s="33">
        <v>0</v>
      </c>
      <c r="I74" s="33">
        <v>0.37082999999999999</v>
      </c>
      <c r="J74" s="33">
        <v>0.3347</v>
      </c>
      <c r="K74" s="33">
        <v>0.37082999999999999</v>
      </c>
      <c r="L74" s="33">
        <v>100.8447</v>
      </c>
      <c r="M74" s="33">
        <v>112.43083</v>
      </c>
      <c r="N74" s="34">
        <v>1.1149139389115501</v>
      </c>
      <c r="O74" s="34">
        <v>1.1144210713463301</v>
      </c>
      <c r="P74" s="34">
        <v>1.1132540302631</v>
      </c>
      <c r="Q74" s="34">
        <v>1.1139757787770801</v>
      </c>
      <c r="R74" s="33">
        <v>112.01046188102001</v>
      </c>
      <c r="S74" s="33">
        <v>111.87899955923599</v>
      </c>
      <c r="T74" s="33">
        <v>111.958520475474</v>
      </c>
      <c r="U74" s="15">
        <v>-4.4216555248836198E-4</v>
      </c>
      <c r="V74" s="15">
        <v>-1.61651593098132E-3</v>
      </c>
      <c r="W74" s="15">
        <v>-9.0599233716158998E-4</v>
      </c>
      <c r="X74" s="34">
        <v>1.1148908172665399</v>
      </c>
      <c r="Y74" s="34">
        <v>1.1139962285470999</v>
      </c>
      <c r="Z74" s="34">
        <v>1.1132357531253101</v>
      </c>
      <c r="AA74" s="34">
        <v>1.1138670637516801</v>
      </c>
      <c r="AB74" s="33">
        <v>112.340615468964</v>
      </c>
      <c r="AC74" s="33">
        <v>112.249748207938</v>
      </c>
      <c r="AD74" s="33">
        <v>112.319318152355</v>
      </c>
      <c r="AE74" s="15">
        <v>-8.0272238932799103E-4</v>
      </c>
      <c r="AF74" s="15">
        <v>-1.6119046222291399E-3</v>
      </c>
      <c r="AG74" s="15">
        <v>-9.9231842747933389E-4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1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1.6811333356059461E-2</v>
      </c>
      <c r="AT74" s="12"/>
      <c r="AU74">
        <f t="shared" si="10"/>
        <v>0</v>
      </c>
      <c r="AV74">
        <f t="shared" si="11"/>
        <v>1</v>
      </c>
      <c r="AW74">
        <f t="shared" si="18"/>
        <v>1</v>
      </c>
      <c r="AX74">
        <f t="shared" si="5"/>
        <v>1</v>
      </c>
      <c r="AY74">
        <f t="shared" si="19"/>
        <v>1</v>
      </c>
      <c r="AZ74" s="28">
        <f t="shared" si="12"/>
        <v>-3.6880181348499098E-3</v>
      </c>
      <c r="BA74" s="28">
        <f t="shared" si="13"/>
        <v>7.7040603206564298E-3</v>
      </c>
      <c r="BB74" s="28">
        <f t="shared" si="20"/>
        <v>4.0160421858065204E-3</v>
      </c>
      <c r="BC74" s="29">
        <f t="shared" si="21"/>
        <v>8.0507079795472322E-3</v>
      </c>
      <c r="BE74" s="29">
        <f t="shared" si="22"/>
        <v>4.0160421858065204E-3</v>
      </c>
      <c r="BF74" s="29">
        <f t="shared" si="23"/>
        <v>2.4862041335606693E-2</v>
      </c>
      <c r="BH74" s="29"/>
    </row>
    <row r="75" spans="1:60" x14ac:dyDescent="0.25">
      <c r="A75" s="1">
        <v>46132</v>
      </c>
      <c r="B75" s="33">
        <v>100.89</v>
      </c>
      <c r="C75" s="33">
        <v>112.35</v>
      </c>
      <c r="D75" s="15">
        <v>3.7735893836394799E-3</v>
      </c>
      <c r="E75" s="15">
        <v>2.5845564941995502E-3</v>
      </c>
      <c r="F75" s="33">
        <v>0</v>
      </c>
      <c r="G75" s="33">
        <v>0.3347</v>
      </c>
      <c r="H75" s="33">
        <v>0</v>
      </c>
      <c r="I75" s="33">
        <v>0.37082999999999999</v>
      </c>
      <c r="J75" s="33">
        <v>0.3347</v>
      </c>
      <c r="K75" s="33">
        <v>0.37082999999999999</v>
      </c>
      <c r="L75" s="33">
        <v>101.2247</v>
      </c>
      <c r="M75" s="33">
        <v>112.720829999999</v>
      </c>
      <c r="N75" s="34">
        <v>1.11358905738923</v>
      </c>
      <c r="O75" s="34">
        <v>1.1144210713463301</v>
      </c>
      <c r="P75" s="34">
        <v>1.11311325782138</v>
      </c>
      <c r="Q75" s="34">
        <v>1.1139583410181499</v>
      </c>
      <c r="R75" s="33">
        <v>112.433941888131</v>
      </c>
      <c r="S75" s="33">
        <v>112.316199113244</v>
      </c>
      <c r="T75" s="33">
        <v>112.38901632082001</v>
      </c>
      <c r="U75" s="15">
        <v>7.4686733695136104E-4</v>
      </c>
      <c r="V75" s="15">
        <v>-3.00898730147365E-4</v>
      </c>
      <c r="W75" s="15">
        <v>3.4721448772983199E-4</v>
      </c>
      <c r="X75" s="34">
        <v>1.11357040327113</v>
      </c>
      <c r="Y75" s="34">
        <v>1.1139962285470999</v>
      </c>
      <c r="Z75" s="34">
        <v>1.1130956372432701</v>
      </c>
      <c r="AA75" s="34">
        <v>1.1138607152767199</v>
      </c>
      <c r="AB75" s="33">
        <v>112.763934035812</v>
      </c>
      <c r="AC75" s="33">
        <v>112.686955139383</v>
      </c>
      <c r="AD75" s="33">
        <v>112.75085936814401</v>
      </c>
      <c r="AE75" s="15">
        <v>3.82323271567692E-4</v>
      </c>
      <c r="AF75" s="15">
        <v>-3.0056513664994497E-4</v>
      </c>
      <c r="AG75" s="15">
        <v>2.6636930256252199E-4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1.6811333356059461E-2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8.0507079795472322E-3</v>
      </c>
      <c r="BE75" s="29">
        <f t="shared" si="22"/>
        <v>0</v>
      </c>
      <c r="BF75" s="29">
        <f t="shared" si="23"/>
        <v>2.4862041335606693E-2</v>
      </c>
      <c r="BH75" s="29"/>
    </row>
    <row r="76" spans="1:60" x14ac:dyDescent="0.25">
      <c r="A76" s="1">
        <v>46133</v>
      </c>
      <c r="B76" s="33">
        <v>99.9</v>
      </c>
      <c r="C76" s="33">
        <v>111.32</v>
      </c>
      <c r="D76" s="15">
        <v>-9.8611287657800698E-3</v>
      </c>
      <c r="E76" s="15">
        <v>-9.2100619736481797E-3</v>
      </c>
      <c r="F76" s="33">
        <v>0</v>
      </c>
      <c r="G76" s="33">
        <v>0.3347</v>
      </c>
      <c r="H76" s="33">
        <v>0</v>
      </c>
      <c r="I76" s="33">
        <v>0.37082999999999999</v>
      </c>
      <c r="J76" s="33">
        <v>0.3347</v>
      </c>
      <c r="K76" s="33">
        <v>0.37082999999999999</v>
      </c>
      <c r="L76" s="33">
        <v>100.2347</v>
      </c>
      <c r="M76" s="33">
        <v>111.690829999999</v>
      </c>
      <c r="N76" s="34">
        <v>1.1143143143143099</v>
      </c>
      <c r="O76" s="34">
        <v>1.1144210713463301</v>
      </c>
      <c r="P76" s="34">
        <v>1.11315295864752</v>
      </c>
      <c r="Q76" s="34">
        <v>1.1140442034120299</v>
      </c>
      <c r="R76" s="33">
        <v>111.330665027498</v>
      </c>
      <c r="S76" s="33">
        <v>111.200014456356</v>
      </c>
      <c r="T76" s="33">
        <v>111.284438267713</v>
      </c>
      <c r="U76" s="15">
        <v>9.5800544819486398E-5</v>
      </c>
      <c r="V76" s="15">
        <v>-1.07842483801312E-3</v>
      </c>
      <c r="W76" s="15">
        <v>-3.1950605177353799E-4</v>
      </c>
      <c r="X76" s="34">
        <v>1.1142930542017799</v>
      </c>
      <c r="Y76" s="34">
        <v>1.1139962285470999</v>
      </c>
      <c r="Z76" s="34">
        <v>1.11313533377699</v>
      </c>
      <c r="AA76" s="34">
        <v>1.1139572731101901</v>
      </c>
      <c r="AB76" s="33">
        <v>111.66107776955</v>
      </c>
      <c r="AC76" s="33">
        <v>111.570807270388</v>
      </c>
      <c r="AD76" s="33">
        <v>111.647494637547</v>
      </c>
      <c r="AE76" s="15">
        <v>-2.6641572863517698E-4</v>
      </c>
      <c r="AF76" s="15">
        <v>-1.07517567855175E-3</v>
      </c>
      <c r="AG76" s="15">
        <v>-3.8806920456939902E-4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1.6811333356059461E-2</v>
      </c>
      <c r="AT76" s="12"/>
      <c r="AU76">
        <f t="shared" si="10"/>
        <v>0</v>
      </c>
      <c r="AV76">
        <f t="shared" si="11"/>
        <v>1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8.0507079795472322E-3</v>
      </c>
      <c r="BE76" s="29">
        <f t="shared" si="22"/>
        <v>0</v>
      </c>
      <c r="BF76" s="29">
        <f t="shared" si="23"/>
        <v>2.4862041335606693E-2</v>
      </c>
      <c r="BH76" s="29"/>
    </row>
    <row r="77" spans="1:60" x14ac:dyDescent="0.25">
      <c r="A77" s="1">
        <v>46134</v>
      </c>
      <c r="B77" s="33">
        <v>101</v>
      </c>
      <c r="C77" s="33">
        <v>112.33</v>
      </c>
      <c r="D77" s="15">
        <v>1.09508311867514E-2</v>
      </c>
      <c r="E77" s="15">
        <v>9.0320309957878098E-3</v>
      </c>
      <c r="F77" s="33">
        <v>0</v>
      </c>
      <c r="G77" s="33">
        <v>0.3347</v>
      </c>
      <c r="H77" s="33">
        <v>0</v>
      </c>
      <c r="I77" s="33">
        <v>0.37082999999999999</v>
      </c>
      <c r="J77" s="33">
        <v>0.3347</v>
      </c>
      <c r="K77" s="33">
        <v>0.37082999999999999</v>
      </c>
      <c r="L77" s="33">
        <v>101.3347</v>
      </c>
      <c r="M77" s="33">
        <v>112.70083</v>
      </c>
      <c r="N77" s="34">
        <v>1.1121782178217801</v>
      </c>
      <c r="O77" s="34">
        <v>1.1144210713463301</v>
      </c>
      <c r="P77" s="34">
        <v>1.1129588082334201</v>
      </c>
      <c r="Q77" s="34">
        <v>1.1139039479053601</v>
      </c>
      <c r="R77" s="33">
        <v>112.55652820597901</v>
      </c>
      <c r="S77" s="33">
        <v>112.4284488234</v>
      </c>
      <c r="T77" s="33">
        <v>112.518464544615</v>
      </c>
      <c r="U77" s="15">
        <v>2.0146007357832599E-3</v>
      </c>
      <c r="V77" s="15">
        <v>8.7604119188422697E-4</v>
      </c>
      <c r="W77" s="15">
        <v>1.67636980873425E-3</v>
      </c>
      <c r="X77" s="34">
        <v>1.1121642438374999</v>
      </c>
      <c r="Y77" s="34">
        <v>1.1139962285470999</v>
      </c>
      <c r="Z77" s="34">
        <v>1.11294192179009</v>
      </c>
      <c r="AA77" s="34">
        <v>1.11382834372508</v>
      </c>
      <c r="AB77" s="33">
        <v>112.886473620952</v>
      </c>
      <c r="AC77" s="33">
        <v>112.799235107691</v>
      </c>
      <c r="AD77" s="33">
        <v>112.882526083439</v>
      </c>
      <c r="AE77" s="15">
        <v>1.64586977972654E-3</v>
      </c>
      <c r="AF77" s="15">
        <v>8.7277237717047602E-4</v>
      </c>
      <c r="AG77" s="15">
        <v>1.6109000760141799E-3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1.6811333356059461E-2</v>
      </c>
      <c r="AT77" s="12"/>
      <c r="AU77">
        <f t="shared" si="10"/>
        <v>0</v>
      </c>
      <c r="AV77">
        <f t="shared" si="11"/>
        <v>0</v>
      </c>
      <c r="AW77">
        <f t="shared" si="18"/>
        <v>0</v>
      </c>
      <c r="AX77">
        <f t="shared" si="5"/>
        <v>1</v>
      </c>
      <c r="AY77">
        <f t="shared" si="19"/>
        <v>0</v>
      </c>
      <c r="AZ77" s="28">
        <f t="shared" si="12"/>
        <v>0</v>
      </c>
      <c r="BA77" s="28">
        <f t="shared" si="13"/>
        <v>0</v>
      </c>
      <c r="BB77" s="28">
        <f t="shared" si="20"/>
        <v>0</v>
      </c>
      <c r="BC77" s="29">
        <f t="shared" si="21"/>
        <v>8.0507079795472322E-3</v>
      </c>
      <c r="BE77" s="29">
        <f t="shared" si="22"/>
        <v>0</v>
      </c>
      <c r="BF77" s="29">
        <f t="shared" si="23"/>
        <v>2.4862041335606693E-2</v>
      </c>
      <c r="BH77" s="29"/>
    </row>
    <row r="78" spans="1:60" x14ac:dyDescent="0.25">
      <c r="A78" s="1">
        <v>46135</v>
      </c>
      <c r="B78" s="33">
        <v>100.92</v>
      </c>
      <c r="C78" s="33">
        <v>112.01</v>
      </c>
      <c r="D78" s="15">
        <v>-7.9239306840245499E-4</v>
      </c>
      <c r="E78" s="15">
        <v>-2.8528146298296901E-3</v>
      </c>
      <c r="F78" s="33">
        <v>0</v>
      </c>
      <c r="G78" s="33">
        <v>0.3347</v>
      </c>
      <c r="H78" s="33">
        <v>0</v>
      </c>
      <c r="I78" s="33">
        <v>0.37082999999999999</v>
      </c>
      <c r="J78" s="33">
        <v>0.3347</v>
      </c>
      <c r="K78" s="33">
        <v>0.37082999999999999</v>
      </c>
      <c r="L78" s="33">
        <v>101.2547</v>
      </c>
      <c r="M78" s="33">
        <v>112.38083</v>
      </c>
      <c r="N78" s="34">
        <v>1.10988902100673</v>
      </c>
      <c r="O78" s="34">
        <v>1.1144210713463301</v>
      </c>
      <c r="P78" s="34">
        <v>1.1124981196181001</v>
      </c>
      <c r="Q78" s="34">
        <v>1.11360633563342</v>
      </c>
      <c r="R78" s="33">
        <v>112.467374520272</v>
      </c>
      <c r="S78" s="33">
        <v>112.319802926916</v>
      </c>
      <c r="T78" s="33">
        <v>112.415186422609</v>
      </c>
      <c r="U78" s="15">
        <v>4.0750222972104899E-3</v>
      </c>
      <c r="V78" s="15">
        <v>2.7620326842660099E-3</v>
      </c>
      <c r="W78" s="15">
        <v>3.6108858307744101E-3</v>
      </c>
      <c r="X78" s="34">
        <v>1.1098826029804001</v>
      </c>
      <c r="Y78" s="34">
        <v>1.1139962285470999</v>
      </c>
      <c r="Z78" s="34">
        <v>1.1124828545627199</v>
      </c>
      <c r="AA78" s="34">
        <v>1.1135424751715399</v>
      </c>
      <c r="AB78" s="33">
        <v>112.79735392266799</v>
      </c>
      <c r="AC78" s="33">
        <v>112.690600408279</v>
      </c>
      <c r="AD78" s="33">
        <v>112.78035479538001</v>
      </c>
      <c r="AE78" s="15">
        <v>3.6995093438541198E-3</v>
      </c>
      <c r="AF78" s="15">
        <v>2.7526426016217199E-3</v>
      </c>
      <c r="AG78" s="15">
        <v>3.5487929683987699E-3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1.6811333356059461E-2</v>
      </c>
      <c r="AT78" s="12"/>
      <c r="AU78">
        <f t="shared" si="10"/>
        <v>1</v>
      </c>
      <c r="AV78">
        <f t="shared" si="11"/>
        <v>0</v>
      </c>
      <c r="AW78">
        <f t="shared" si="18"/>
        <v>0</v>
      </c>
      <c r="AX78">
        <f t="shared" si="5"/>
        <v>1</v>
      </c>
      <c r="AY78">
        <f t="shared" si="19"/>
        <v>0</v>
      </c>
      <c r="AZ78" s="28">
        <f t="shared" si="12"/>
        <v>0</v>
      </c>
      <c r="BA78" s="28">
        <f t="shared" si="13"/>
        <v>0</v>
      </c>
      <c r="BB78" s="28">
        <f t="shared" si="20"/>
        <v>0</v>
      </c>
      <c r="BC78" s="29">
        <f t="shared" si="21"/>
        <v>8.0507079795472322E-3</v>
      </c>
      <c r="BE78" s="29">
        <f t="shared" si="22"/>
        <v>0</v>
      </c>
      <c r="BF78" s="29">
        <f t="shared" si="23"/>
        <v>2.4862041335606693E-2</v>
      </c>
      <c r="BH78" s="29"/>
    </row>
    <row r="79" spans="1:60" x14ac:dyDescent="0.25">
      <c r="A79" s="1">
        <v>46136</v>
      </c>
      <c r="B79" s="33">
        <v>100.78</v>
      </c>
      <c r="C79" s="33">
        <v>112.19</v>
      </c>
      <c r="D79" s="15">
        <v>-1.3882005204049299E-3</v>
      </c>
      <c r="E79" s="15">
        <v>1.6057095332252099E-3</v>
      </c>
      <c r="F79" s="33">
        <v>0</v>
      </c>
      <c r="G79" s="33">
        <v>0.3347</v>
      </c>
      <c r="H79" s="33">
        <v>0</v>
      </c>
      <c r="I79" s="33">
        <v>0.37082999999999999</v>
      </c>
      <c r="J79" s="33">
        <v>0.3347</v>
      </c>
      <c r="K79" s="33">
        <v>0.37082999999999999</v>
      </c>
      <c r="L79" s="33">
        <v>101.1147</v>
      </c>
      <c r="M79" s="33">
        <v>112.56083</v>
      </c>
      <c r="N79" s="34">
        <v>1.1132169081166801</v>
      </c>
      <c r="O79" s="34">
        <v>1.1144210713463301</v>
      </c>
      <c r="P79" s="34">
        <v>1.1122757689789899</v>
      </c>
      <c r="Q79" s="34">
        <v>1.1134868026076601</v>
      </c>
      <c r="R79" s="33">
        <v>112.311355570283</v>
      </c>
      <c r="S79" s="33">
        <v>112.117560495112</v>
      </c>
      <c r="T79" s="33">
        <v>112.229246505136</v>
      </c>
      <c r="U79" s="15">
        <v>1.0811122435804099E-3</v>
      </c>
      <c r="V79" s="15">
        <v>-6.4589447850609796E-4</v>
      </c>
      <c r="W79" s="15">
        <v>3.4976060340202302E-4</v>
      </c>
      <c r="X79" s="34">
        <v>1.11319946555743</v>
      </c>
      <c r="Y79" s="34">
        <v>1.1139962285470999</v>
      </c>
      <c r="Z79" s="34">
        <v>1.1122613495520299</v>
      </c>
      <c r="AA79" s="34">
        <v>1.1134343761076799</v>
      </c>
      <c r="AB79" s="33">
        <v>112.641394450672</v>
      </c>
      <c r="AC79" s="33">
        <v>112.488370094253</v>
      </c>
      <c r="AD79" s="33">
        <v>112.595513314228</v>
      </c>
      <c r="AE79" s="15">
        <v>7.15485420320041E-4</v>
      </c>
      <c r="AF79" s="15">
        <v>-6.43947263262835E-4</v>
      </c>
      <c r="AG79" s="15">
        <v>3.0808205527152899E-4</v>
      </c>
      <c r="AI79" s="12"/>
      <c r="AJ79">
        <f t="shared" si="6"/>
        <v>0</v>
      </c>
      <c r="AK79">
        <f t="shared" si="7"/>
        <v>1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1.6811333356059461E-2</v>
      </c>
      <c r="AT79" s="12"/>
      <c r="AU79">
        <f t="shared" si="10"/>
        <v>0</v>
      </c>
      <c r="AV79">
        <f t="shared" si="11"/>
        <v>1</v>
      </c>
      <c r="AW79">
        <f t="shared" si="18"/>
        <v>1</v>
      </c>
      <c r="AX79">
        <f t="shared" si="5"/>
        <v>1</v>
      </c>
      <c r="AY79">
        <f t="shared" si="19"/>
        <v>1</v>
      </c>
      <c r="AZ79" s="28">
        <f t="shared" si="12"/>
        <v>1.3882005204049299E-3</v>
      </c>
      <c r="BA79" s="28">
        <f t="shared" si="13"/>
        <v>1.6057095332252099E-3</v>
      </c>
      <c r="BB79" s="28">
        <f t="shared" si="20"/>
        <v>2.9939100536301401E-3</v>
      </c>
      <c r="BC79" s="29">
        <f t="shared" si="21"/>
        <v>1.1044618033177373E-2</v>
      </c>
      <c r="BE79" s="29">
        <f t="shared" si="22"/>
        <v>2.9939100536301401E-3</v>
      </c>
      <c r="BF79" s="29">
        <f t="shared" si="23"/>
        <v>2.7855951389236834E-2</v>
      </c>
      <c r="BH79" s="29"/>
    </row>
    <row r="80" spans="1:60" x14ac:dyDescent="0.25">
      <c r="A80" s="1">
        <v>46139</v>
      </c>
      <c r="B80" s="33">
        <v>100.71</v>
      </c>
      <c r="C80" s="33">
        <v>111.95</v>
      </c>
      <c r="D80" s="15">
        <v>-6.9482359239888603E-4</v>
      </c>
      <c r="E80" s="15">
        <v>-2.14151951210945E-3</v>
      </c>
      <c r="F80" s="33">
        <v>0</v>
      </c>
      <c r="G80" s="33">
        <v>0.3347</v>
      </c>
      <c r="H80" s="33">
        <v>0</v>
      </c>
      <c r="I80" s="33">
        <v>0.37082999999999999</v>
      </c>
      <c r="J80" s="33">
        <v>0.3347</v>
      </c>
      <c r="K80" s="33">
        <v>0.37082999999999999</v>
      </c>
      <c r="L80" s="33">
        <v>101.044699999999</v>
      </c>
      <c r="M80" s="33">
        <v>112.32083</v>
      </c>
      <c r="N80" s="34">
        <v>1.11160758613841</v>
      </c>
      <c r="O80" s="34">
        <v>1.1144210713463301</v>
      </c>
      <c r="P80" s="34">
        <v>1.11249455783395</v>
      </c>
      <c r="Q80" s="34">
        <v>1.11292644034906</v>
      </c>
      <c r="R80" s="33">
        <v>112.23334609528899</v>
      </c>
      <c r="S80" s="33">
        <v>112.017292693874</v>
      </c>
      <c r="T80" s="33">
        <v>112.139255890618</v>
      </c>
      <c r="U80" s="15">
        <v>2.5278081632910299E-3</v>
      </c>
      <c r="V80" s="15">
        <v>6.0091538447900803E-4</v>
      </c>
      <c r="W80" s="15">
        <v>1.68911208940676E-3</v>
      </c>
      <c r="X80" s="34">
        <v>1.11159546220633</v>
      </c>
      <c r="Y80" s="34">
        <v>1.1139962285470999</v>
      </c>
      <c r="Z80" s="34">
        <v>1.11247942774395</v>
      </c>
      <c r="AA80" s="34">
        <v>1.1128868665237399</v>
      </c>
      <c r="AB80" s="33">
        <v>112.563414714673</v>
      </c>
      <c r="AC80" s="33">
        <v>112.38811438707999</v>
      </c>
      <c r="AD80" s="33">
        <v>112.506642503488</v>
      </c>
      <c r="AE80" s="15">
        <v>2.1574193343188602E-3</v>
      </c>
      <c r="AF80" s="15">
        <v>5.9885812979308597E-4</v>
      </c>
      <c r="AG80" s="15">
        <v>1.65293452553282E-3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1.6811333356059461E-2</v>
      </c>
      <c r="AT80" s="12"/>
      <c r="AU80">
        <f t="shared" si="10"/>
        <v>0</v>
      </c>
      <c r="AV80">
        <f t="shared" si="11"/>
        <v>0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1.1044618033177373E-2</v>
      </c>
      <c r="BE80" s="29">
        <f t="shared" si="22"/>
        <v>0</v>
      </c>
      <c r="BF80" s="29">
        <f t="shared" si="23"/>
        <v>2.7855951389236834E-2</v>
      </c>
      <c r="BH80" s="29"/>
    </row>
    <row r="81" spans="1:60" x14ac:dyDescent="0.25">
      <c r="A81" s="1">
        <v>46140</v>
      </c>
      <c r="B81" s="33">
        <v>99.17</v>
      </c>
      <c r="C81" s="33">
        <v>110.1</v>
      </c>
      <c r="D81" s="15">
        <v>-1.5409550462019399E-2</v>
      </c>
      <c r="E81" s="15">
        <v>-1.6663299316129501E-2</v>
      </c>
      <c r="F81" s="33">
        <v>0</v>
      </c>
      <c r="G81" s="33">
        <v>0.3347</v>
      </c>
      <c r="H81" s="33">
        <v>0</v>
      </c>
      <c r="I81" s="33">
        <v>0.37082999999999999</v>
      </c>
      <c r="J81" s="33">
        <v>0.3347</v>
      </c>
      <c r="K81" s="33">
        <v>0.37082999999999999</v>
      </c>
      <c r="L81" s="33">
        <v>99.5047</v>
      </c>
      <c r="M81" s="33">
        <v>110.470829999999</v>
      </c>
      <c r="N81" s="34">
        <v>1.11021478269638</v>
      </c>
      <c r="O81" s="34">
        <v>1.1144210713463301</v>
      </c>
      <c r="P81" s="34">
        <v>1.1124274080177901</v>
      </c>
      <c r="Q81" s="34">
        <v>1.1127599557642001</v>
      </c>
      <c r="R81" s="33">
        <v>110.517137645416</v>
      </c>
      <c r="S81" s="33">
        <v>110.326085300393</v>
      </c>
      <c r="T81" s="33">
        <v>110.36891508941601</v>
      </c>
      <c r="U81" s="15">
        <v>3.7815570174011401E-3</v>
      </c>
      <c r="V81" s="15">
        <v>2.0513486810430702E-3</v>
      </c>
      <c r="W81" s="15">
        <v>2.4394842480976501E-3</v>
      </c>
      <c r="X81" s="34">
        <v>1.11020715604388</v>
      </c>
      <c r="Y81" s="34">
        <v>1.1139962285470999</v>
      </c>
      <c r="Z81" s="34">
        <v>1.11241250708627</v>
      </c>
      <c r="AA81" s="34">
        <v>1.11273236724529</v>
      </c>
      <c r="AB81" s="33">
        <v>110.847860522711</v>
      </c>
      <c r="AC81" s="33">
        <v>110.696931713833</v>
      </c>
      <c r="AD81" s="33">
        <v>110.737473787385</v>
      </c>
      <c r="AE81" s="15">
        <v>3.40713101593027E-3</v>
      </c>
      <c r="AF81" s="15">
        <v>2.0446179935928702E-3</v>
      </c>
      <c r="AG81" s="15">
        <v>2.4107948206543799E-3</v>
      </c>
      <c r="AI81" s="12"/>
      <c r="AJ81">
        <f t="shared" si="6"/>
        <v>0</v>
      </c>
      <c r="AK81">
        <f t="shared" si="7"/>
        <v>1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1.6811333356059461E-2</v>
      </c>
      <c r="AT81" s="12"/>
      <c r="AU81">
        <f t="shared" si="10"/>
        <v>0</v>
      </c>
      <c r="AV81">
        <f t="shared" si="11"/>
        <v>0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1.1044618033177373E-2</v>
      </c>
      <c r="BE81" s="29">
        <f t="shared" si="22"/>
        <v>0</v>
      </c>
      <c r="BF81" s="29">
        <f t="shared" si="23"/>
        <v>2.7855951389236834E-2</v>
      </c>
      <c r="BH81" s="29"/>
    </row>
    <row r="82" spans="1:60" x14ac:dyDescent="0.25">
      <c r="A82" s="1">
        <v>46141</v>
      </c>
      <c r="B82" s="33">
        <v>99.75</v>
      </c>
      <c r="C82" s="33">
        <v>111.18</v>
      </c>
      <c r="D82" s="15">
        <v>5.8315065719391204E-3</v>
      </c>
      <c r="E82" s="15">
        <v>9.7614657966892705E-3</v>
      </c>
      <c r="F82" s="33">
        <v>0</v>
      </c>
      <c r="G82" s="33">
        <v>0.3347</v>
      </c>
      <c r="H82" s="33">
        <v>0</v>
      </c>
      <c r="I82" s="33">
        <v>0.37082999999999999</v>
      </c>
      <c r="J82" s="33">
        <v>0.3347</v>
      </c>
      <c r="K82" s="33">
        <v>0.37082999999999999</v>
      </c>
      <c r="L82" s="33">
        <v>100.0847</v>
      </c>
      <c r="M82" s="33">
        <v>111.55083</v>
      </c>
      <c r="N82" s="34">
        <v>1.1145864661654099</v>
      </c>
      <c r="O82" s="34">
        <v>1.1144210713463301</v>
      </c>
      <c r="P82" s="34">
        <v>1.1124955669033401</v>
      </c>
      <c r="Q82" s="34">
        <v>1.11287848361793</v>
      </c>
      <c r="R82" s="33">
        <v>111.163501866796</v>
      </c>
      <c r="S82" s="33">
        <v>110.96463394977501</v>
      </c>
      <c r="T82" s="33">
        <v>110.99780558747899</v>
      </c>
      <c r="U82" s="15">
        <v>-1.4840220734905701E-4</v>
      </c>
      <c r="V82" s="15">
        <v>-1.9389720460053501E-3</v>
      </c>
      <c r="W82" s="15">
        <v>-1.64007789057519E-3</v>
      </c>
      <c r="X82" s="34">
        <v>1.11456426406833</v>
      </c>
      <c r="Y82" s="34">
        <v>1.1139962285470999</v>
      </c>
      <c r="Z82" s="34">
        <v>1.1124804524731799</v>
      </c>
      <c r="AA82" s="34">
        <v>1.1128616488856999</v>
      </c>
      <c r="AB82" s="33">
        <v>111.493978335268</v>
      </c>
      <c r="AC82" s="33">
        <v>111.33547204797701</v>
      </c>
      <c r="AD82" s="33">
        <v>111.367485156035</v>
      </c>
      <c r="AE82" s="15">
        <v>-5.0977798036948904E-4</v>
      </c>
      <c r="AF82" s="15">
        <v>-1.9324473245982601E-3</v>
      </c>
      <c r="AG82" s="15">
        <v>-1.64495129239017E-3</v>
      </c>
      <c r="AI82" s="12"/>
      <c r="AJ82">
        <f t="shared" si="6"/>
        <v>0</v>
      </c>
      <c r="AK82">
        <f t="shared" si="7"/>
        <v>1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1.6811333356059461E-2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1.1044618033177373E-2</v>
      </c>
      <c r="BE82" s="29">
        <f t="shared" si="22"/>
        <v>0</v>
      </c>
      <c r="BF82" s="29">
        <f t="shared" si="23"/>
        <v>2.7855951389236834E-2</v>
      </c>
      <c r="BH82" s="29"/>
    </row>
    <row r="83" spans="1:60" x14ac:dyDescent="0.25">
      <c r="A83" s="1">
        <v>46142</v>
      </c>
      <c r="B83" s="33">
        <v>101.04</v>
      </c>
      <c r="C83" s="33">
        <v>112.71</v>
      </c>
      <c r="D83" s="15">
        <v>1.28494222722628E-2</v>
      </c>
      <c r="E83" s="15">
        <v>1.3667638728663599E-2</v>
      </c>
      <c r="F83" s="33">
        <v>0</v>
      </c>
      <c r="G83" s="33">
        <v>0.3347</v>
      </c>
      <c r="H83" s="33">
        <v>0</v>
      </c>
      <c r="I83" s="33">
        <v>0.37082999999999999</v>
      </c>
      <c r="J83" s="33">
        <v>0.3347</v>
      </c>
      <c r="K83" s="33">
        <v>0.37082999999999999</v>
      </c>
      <c r="L83" s="33">
        <v>101.3747</v>
      </c>
      <c r="M83" s="33">
        <v>113.080829999999</v>
      </c>
      <c r="N83" s="34">
        <v>1.1154988123515399</v>
      </c>
      <c r="O83" s="34">
        <v>1.1144210713463301</v>
      </c>
      <c r="P83" s="34">
        <v>1.1130009104912</v>
      </c>
      <c r="Q83" s="34">
        <v>1.1130570145891301</v>
      </c>
      <c r="R83" s="33">
        <v>112.60110504883301</v>
      </c>
      <c r="S83" s="33">
        <v>112.40655207991399</v>
      </c>
      <c r="T83" s="33">
        <v>112.445241984755</v>
      </c>
      <c r="U83" s="15">
        <v>-9.6661866374981003E-4</v>
      </c>
      <c r="V83" s="15">
        <v>-2.69591996741359E-3</v>
      </c>
      <c r="W83" s="15">
        <v>-2.3517830181454999E-3</v>
      </c>
      <c r="X83" s="34">
        <v>1.11547388056388</v>
      </c>
      <c r="Y83" s="34">
        <v>1.1139962285470999</v>
      </c>
      <c r="Z83" s="34">
        <v>1.11298413499972</v>
      </c>
      <c r="AA83" s="34">
        <v>1.11303965110087</v>
      </c>
      <c r="AB83" s="33">
        <v>112.93103347009399</v>
      </c>
      <c r="AC83" s="33">
        <v>112.777372125333</v>
      </c>
      <c r="AD83" s="33">
        <v>112.81601579729301</v>
      </c>
      <c r="AE83" s="15">
        <v>-1.32556361900513E-3</v>
      </c>
      <c r="AF83" s="15">
        <v>-2.6871555198062099E-3</v>
      </c>
      <c r="AG83" s="15">
        <v>-2.3445597310374098E-3</v>
      </c>
      <c r="AI83" s="12"/>
      <c r="AJ83">
        <f t="shared" si="6"/>
        <v>0</v>
      </c>
      <c r="AK83">
        <f t="shared" si="7"/>
        <v>1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1.6811333356059461E-2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1.1044618033177373E-2</v>
      </c>
      <c r="BE83" s="29">
        <f t="shared" si="22"/>
        <v>0</v>
      </c>
      <c r="BF83" s="29">
        <f t="shared" si="23"/>
        <v>2.7855951389236834E-2</v>
      </c>
      <c r="BH83" s="29"/>
    </row>
    <row r="84" spans="1:60" x14ac:dyDescent="0.25">
      <c r="A84" s="1">
        <v>46143</v>
      </c>
      <c r="B84" s="33">
        <v>101.87</v>
      </c>
      <c r="C84" s="33">
        <v>113.59</v>
      </c>
      <c r="D84" s="15">
        <v>8.1810125597394107E-3</v>
      </c>
      <c r="E84" s="15">
        <v>7.7773259893430197E-3</v>
      </c>
      <c r="F84" s="33">
        <v>0.12466000000000001</v>
      </c>
      <c r="G84" s="33">
        <v>0.45935999999999999</v>
      </c>
      <c r="H84" s="33">
        <v>0.12153</v>
      </c>
      <c r="I84" s="33">
        <v>0.49236000000000002</v>
      </c>
      <c r="J84" s="33">
        <v>0.45935999999999999</v>
      </c>
      <c r="K84" s="33">
        <v>0.49236000000000002</v>
      </c>
      <c r="L84" s="33">
        <v>102.32935999999999</v>
      </c>
      <c r="M84" s="33">
        <v>114.08235999999999</v>
      </c>
      <c r="N84" s="34">
        <v>1.1150485913418999</v>
      </c>
      <c r="O84" s="34">
        <v>1.1144210713463301</v>
      </c>
      <c r="P84" s="34">
        <v>1.1130143757342399</v>
      </c>
      <c r="Q84" s="34">
        <v>1.1131342029986699</v>
      </c>
      <c r="R84" s="33">
        <v>113.52607453805101</v>
      </c>
      <c r="S84" s="33">
        <v>113.381402751739</v>
      </c>
      <c r="T84" s="33">
        <v>113.38711807619499</v>
      </c>
      <c r="U84" s="15">
        <v>-5.6293209335356298E-4</v>
      </c>
      <c r="V84" s="15">
        <v>-1.83809329688336E-3</v>
      </c>
      <c r="W84" s="15">
        <v>-1.78768661401225E-3</v>
      </c>
      <c r="X84" s="34">
        <v>1.1148546223683899</v>
      </c>
      <c r="Y84" s="34">
        <v>1.1139962285470999</v>
      </c>
      <c r="Z84" s="34">
        <v>1.11298051550991</v>
      </c>
      <c r="AA84" s="34">
        <v>1.1131081343176099</v>
      </c>
      <c r="AB84" s="33">
        <v>113.994521109639</v>
      </c>
      <c r="AC84" s="33">
        <v>113.890954224675</v>
      </c>
      <c r="AD84" s="33">
        <v>113.896635151776</v>
      </c>
      <c r="AE84" s="15">
        <v>-7.7025689124035602E-4</v>
      </c>
      <c r="AF84" s="15">
        <v>-1.6791949614890899E-3</v>
      </c>
      <c r="AG84" s="15">
        <v>-1.629315798912E-3</v>
      </c>
      <c r="AI84" s="12"/>
      <c r="AJ84">
        <f t="shared" si="6"/>
        <v>0</v>
      </c>
      <c r="AK84">
        <f t="shared" si="7"/>
        <v>1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1.6811333356059461E-2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1.1044618033177373E-2</v>
      </c>
      <c r="BE84" s="29">
        <f t="shared" si="22"/>
        <v>0</v>
      </c>
      <c r="BF84" s="29">
        <f t="shared" si="23"/>
        <v>2.7855951389236834E-2</v>
      </c>
      <c r="BH84" s="29"/>
    </row>
    <row r="85" spans="1:60" x14ac:dyDescent="0.25">
      <c r="A85" s="1">
        <v>46146</v>
      </c>
      <c r="B85" s="33">
        <v>102.42</v>
      </c>
      <c r="C85" s="33">
        <v>114.62</v>
      </c>
      <c r="D85" s="15">
        <v>5.3845154324291796E-3</v>
      </c>
      <c r="E85" s="15">
        <v>9.0268348802612208E-3</v>
      </c>
      <c r="F85" s="33">
        <v>0</v>
      </c>
      <c r="G85" s="33">
        <v>0.45935999999999999</v>
      </c>
      <c r="H85" s="33">
        <v>0</v>
      </c>
      <c r="I85" s="33">
        <v>0.49236000000000002</v>
      </c>
      <c r="J85" s="33">
        <v>0.45935999999999999</v>
      </c>
      <c r="K85" s="33">
        <v>0.49236000000000002</v>
      </c>
      <c r="L85" s="33">
        <v>102.87936000000001</v>
      </c>
      <c r="M85" s="33">
        <v>115.11236</v>
      </c>
      <c r="N85" s="34">
        <v>1.1191173598906401</v>
      </c>
      <c r="O85" s="34">
        <v>1.1144210713463301</v>
      </c>
      <c r="P85" s="34">
        <v>1.11356720598438</v>
      </c>
      <c r="Q85" s="34">
        <v>1.11334023190288</v>
      </c>
      <c r="R85" s="33">
        <v>114.139006127291</v>
      </c>
      <c r="S85" s="33">
        <v>113.99493236270099</v>
      </c>
      <c r="T85" s="33">
        <v>114.00720507112401</v>
      </c>
      <c r="U85" s="15">
        <v>-4.2052515411856199E-3</v>
      </c>
      <c r="V85" s="15">
        <v>-5.46831467592045E-3</v>
      </c>
      <c r="W85" s="15">
        <v>-5.3606603479990304E-3</v>
      </c>
      <c r="X85" s="34">
        <v>1.1189062606921301</v>
      </c>
      <c r="Y85" s="34">
        <v>1.1139962285470999</v>
      </c>
      <c r="Z85" s="34">
        <v>1.113514101252</v>
      </c>
      <c r="AA85" s="34">
        <v>1.1133048692476399</v>
      </c>
      <c r="AB85" s="33">
        <v>114.60721903533999</v>
      </c>
      <c r="AC85" s="33">
        <v>114.50272312812901</v>
      </c>
      <c r="AD85" s="33">
        <v>114.515852469389</v>
      </c>
      <c r="AE85" s="15">
        <v>-4.3978992209858202E-3</v>
      </c>
      <c r="AF85" s="15">
        <v>-5.3100893552906004E-3</v>
      </c>
      <c r="AG85" s="15">
        <v>-5.1954319198366699E-3</v>
      </c>
      <c r="AI85" s="12"/>
      <c r="AJ85">
        <f t="shared" si="6"/>
        <v>1</v>
      </c>
      <c r="AK85">
        <f t="shared" si="7"/>
        <v>0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1.6811333356059461E-2</v>
      </c>
      <c r="AT85" s="12"/>
      <c r="AU85">
        <f t="shared" si="10"/>
        <v>0</v>
      </c>
      <c r="AV85">
        <f t="shared" si="11"/>
        <v>1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1.1044618033177373E-2</v>
      </c>
      <c r="BE85" s="29">
        <f t="shared" si="22"/>
        <v>0</v>
      </c>
      <c r="BF85" s="29">
        <f t="shared" si="23"/>
        <v>2.7855951389236834E-2</v>
      </c>
      <c r="BH85" s="29"/>
    </row>
    <row r="86" spans="1:60" x14ac:dyDescent="0.25">
      <c r="A86" s="1">
        <v>46147</v>
      </c>
      <c r="B86" s="33">
        <v>103.9</v>
      </c>
      <c r="C86" s="33">
        <v>115.91</v>
      </c>
      <c r="D86" s="15">
        <v>1.43468920707774E-2</v>
      </c>
      <c r="E86" s="15">
        <v>1.1191718777062201E-2</v>
      </c>
      <c r="F86" s="33">
        <v>0</v>
      </c>
      <c r="G86" s="33">
        <v>0.45935999999999999</v>
      </c>
      <c r="H86" s="33">
        <v>0</v>
      </c>
      <c r="I86" s="33">
        <v>0.49236000000000002</v>
      </c>
      <c r="J86" s="33">
        <v>0.45935999999999999</v>
      </c>
      <c r="K86" s="33">
        <v>0.49236000000000002</v>
      </c>
      <c r="L86" s="33">
        <v>104.35936</v>
      </c>
      <c r="M86" s="33">
        <v>116.40236</v>
      </c>
      <c r="N86" s="34">
        <v>1.1155919153031699</v>
      </c>
      <c r="O86" s="34">
        <v>1.1144210713463301</v>
      </c>
      <c r="P86" s="34">
        <v>1.11369496608326</v>
      </c>
      <c r="Q86" s="34">
        <v>1.1134239623653901</v>
      </c>
      <c r="R86" s="33">
        <v>115.78834931288399</v>
      </c>
      <c r="S86" s="33">
        <v>115.69963270177701</v>
      </c>
      <c r="T86" s="33">
        <v>115.676050094709</v>
      </c>
      <c r="U86" s="15">
        <v>-1.05007824747027E-3</v>
      </c>
      <c r="V86" s="15">
        <v>-1.81656828015479E-3</v>
      </c>
      <c r="W86" s="15">
        <v>-2.02041517421459E-3</v>
      </c>
      <c r="X86" s="34">
        <v>1.11539932786096</v>
      </c>
      <c r="Y86" s="34">
        <v>1.1139962285470999</v>
      </c>
      <c r="Z86" s="34">
        <v>1.1136247286179199</v>
      </c>
      <c r="AA86" s="34">
        <v>1.11338003119746</v>
      </c>
      <c r="AB86" s="33">
        <v>116.25593345358899</v>
      </c>
      <c r="AC86" s="33">
        <v>116.205618957634</v>
      </c>
      <c r="AD86" s="33">
        <v>116.183783639567</v>
      </c>
      <c r="AE86" s="15">
        <v>-1.25872637995984E-3</v>
      </c>
      <c r="AF86" s="15">
        <v>-1.6916108395077199E-3</v>
      </c>
      <c r="AG86" s="15">
        <v>-1.87953092439436E-3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1</v>
      </c>
      <c r="AM86">
        <f t="shared" si="24"/>
        <v>1</v>
      </c>
      <c r="AN86">
        <f t="shared" si="15"/>
        <v>1</v>
      </c>
      <c r="AO86" s="28">
        <f t="shared" ref="AO86:AO149" si="28">AN86*D86</f>
        <v>1.43468920707774E-2</v>
      </c>
      <c r="AP86" s="28">
        <f t="shared" ref="AP86:AP149" si="29">-AN86*$E86</f>
        <v>-1.1191718777062201E-2</v>
      </c>
      <c r="AQ86" s="28">
        <f t="shared" si="16"/>
        <v>3.1551732937151987E-3</v>
      </c>
      <c r="AR86" s="29">
        <f t="shared" si="17"/>
        <v>1.996650664977466E-2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1.1044618033177373E-2</v>
      </c>
      <c r="BE86" s="29">
        <f t="shared" si="22"/>
        <v>3.1551732937151987E-3</v>
      </c>
      <c r="BF86" s="29">
        <f t="shared" si="23"/>
        <v>3.1011124682952033E-2</v>
      </c>
      <c r="BH86" s="29"/>
    </row>
    <row r="87" spans="1:60" x14ac:dyDescent="0.25">
      <c r="A87" s="1">
        <v>46148</v>
      </c>
      <c r="B87" s="33">
        <v>105.65</v>
      </c>
      <c r="C87" s="33">
        <v>118.29</v>
      </c>
      <c r="D87" s="15">
        <v>1.6702845956883899E-2</v>
      </c>
      <c r="E87" s="15">
        <v>2.0325208656991899E-2</v>
      </c>
      <c r="F87" s="33">
        <v>0</v>
      </c>
      <c r="G87" s="33">
        <v>0.45935999999999999</v>
      </c>
      <c r="H87" s="33">
        <v>0</v>
      </c>
      <c r="I87" s="33">
        <v>0.49236000000000002</v>
      </c>
      <c r="J87" s="33">
        <v>0.45935999999999999</v>
      </c>
      <c r="K87" s="33">
        <v>0.49236000000000002</v>
      </c>
      <c r="L87" s="33">
        <v>106.10936</v>
      </c>
      <c r="M87" s="33">
        <v>118.78236</v>
      </c>
      <c r="N87" s="34">
        <v>1.1196403218173201</v>
      </c>
      <c r="O87" s="34">
        <v>1.1144210713463301</v>
      </c>
      <c r="P87" s="34">
        <v>1.1144411764828199</v>
      </c>
      <c r="Q87" s="34">
        <v>1.1136999923581199</v>
      </c>
      <c r="R87" s="33">
        <v>117.73858618774</v>
      </c>
      <c r="S87" s="33">
        <v>117.66187316669701</v>
      </c>
      <c r="T87" s="33">
        <v>117.633241623904</v>
      </c>
      <c r="U87" s="15">
        <v>-4.6724409475781799E-3</v>
      </c>
      <c r="V87" s="15">
        <v>-5.3242070823503601E-3</v>
      </c>
      <c r="W87" s="15">
        <v>-5.5675741659360596E-3</v>
      </c>
      <c r="X87" s="34">
        <v>1.11943338457606</v>
      </c>
      <c r="Y87" s="34">
        <v>1.1139962285470999</v>
      </c>
      <c r="Z87" s="34">
        <v>1.1143516426917801</v>
      </c>
      <c r="AA87" s="34">
        <v>1.1136467822409299</v>
      </c>
      <c r="AB87" s="33">
        <v>118.205426853547</v>
      </c>
      <c r="AC87" s="33">
        <v>118.16600723382101</v>
      </c>
      <c r="AD87" s="33">
        <v>118.140042547142</v>
      </c>
      <c r="AE87" s="15">
        <v>-4.86889467048136E-3</v>
      </c>
      <c r="AF87" s="15">
        <v>-5.2024342984234298E-3</v>
      </c>
      <c r="AG87" s="15">
        <v>-5.4221890343509899E-3</v>
      </c>
      <c r="AI87" s="12"/>
      <c r="AJ87">
        <f t="shared" si="26"/>
        <v>1</v>
      </c>
      <c r="AK87">
        <f t="shared" si="27"/>
        <v>0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1.996650664977466E-2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1.1044618033177373E-2</v>
      </c>
      <c r="BE87" s="29">
        <f t="shared" ref="BE87:BE150" si="42">AQ87+BB87</f>
        <v>0</v>
      </c>
      <c r="BF87" s="29">
        <f t="shared" ref="BF87:BF150" si="43">BF86+BE87</f>
        <v>3.1011124682952033E-2</v>
      </c>
      <c r="BH87" s="29"/>
    </row>
    <row r="88" spans="1:60" x14ac:dyDescent="0.25">
      <c r="A88" s="1">
        <v>46149</v>
      </c>
      <c r="B88" s="33">
        <v>104.28</v>
      </c>
      <c r="C88" s="33">
        <v>116.45</v>
      </c>
      <c r="D88" s="15">
        <v>-1.30521549967647E-2</v>
      </c>
      <c r="E88" s="15">
        <v>-1.56772402272955E-2</v>
      </c>
      <c r="F88" s="33">
        <v>0</v>
      </c>
      <c r="G88" s="33">
        <v>0.45935999999999999</v>
      </c>
      <c r="H88" s="33">
        <v>0</v>
      </c>
      <c r="I88" s="33">
        <v>0.49236000000000002</v>
      </c>
      <c r="J88" s="33">
        <v>0.45935999999999999</v>
      </c>
      <c r="K88" s="33">
        <v>0.49236000000000002</v>
      </c>
      <c r="L88" s="33">
        <v>104.73936</v>
      </c>
      <c r="M88" s="33">
        <v>116.94235999999999</v>
      </c>
      <c r="N88" s="34">
        <v>1.11670502493287</v>
      </c>
      <c r="O88" s="34">
        <v>1.1144210713463301</v>
      </c>
      <c r="P88" s="34">
        <v>1.1151227768754299</v>
      </c>
      <c r="Q88" s="34">
        <v>1.1138104482467699</v>
      </c>
      <c r="R88" s="33">
        <v>116.211829319995</v>
      </c>
      <c r="S88" s="33">
        <v>116.21392588362799</v>
      </c>
      <c r="T88" s="33">
        <v>116.136635203105</v>
      </c>
      <c r="U88" s="15">
        <v>-2.0473557170474E-3</v>
      </c>
      <c r="V88" s="15">
        <v>-2.0293150000776101E-3</v>
      </c>
      <c r="W88" s="15">
        <v>-2.69460870983364E-3</v>
      </c>
      <c r="X88" s="34">
        <v>1.11650825439452</v>
      </c>
      <c r="Y88" s="34">
        <v>1.1139962285470999</v>
      </c>
      <c r="Z88" s="34">
        <v>1.1150142078331899</v>
      </c>
      <c r="AA88" s="34">
        <v>1.11374853119796</v>
      </c>
      <c r="AB88" s="33">
        <v>116.679252020437</v>
      </c>
      <c r="AC88" s="33">
        <v>116.716477870486</v>
      </c>
      <c r="AD88" s="33">
        <v>116.642651237975</v>
      </c>
      <c r="AE88" s="15">
        <v>-2.2524293752218399E-3</v>
      </c>
      <c r="AF88" s="15">
        <v>-1.93343596106321E-3</v>
      </c>
      <c r="AG88" s="15">
        <v>-2.56616573903017E-3</v>
      </c>
      <c r="AI88" s="12"/>
      <c r="AJ88">
        <f t="shared" si="26"/>
        <v>0</v>
      </c>
      <c r="AK88">
        <f t="shared" si="27"/>
        <v>1</v>
      </c>
      <c r="AL88">
        <f t="shared" si="34"/>
        <v>1</v>
      </c>
      <c r="AM88">
        <f t="shared" si="24"/>
        <v>1</v>
      </c>
      <c r="AN88">
        <f t="shared" si="35"/>
        <v>1</v>
      </c>
      <c r="AO88" s="28">
        <f t="shared" si="28"/>
        <v>-1.30521549967647E-2</v>
      </c>
      <c r="AP88" s="28">
        <f t="shared" si="29"/>
        <v>1.56772402272955E-2</v>
      </c>
      <c r="AQ88" s="28">
        <f t="shared" si="36"/>
        <v>2.6250852305308003E-3</v>
      </c>
      <c r="AR88" s="29">
        <f t="shared" si="37"/>
        <v>2.2591591880305462E-2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1.1044618033177373E-2</v>
      </c>
      <c r="BE88" s="29">
        <f t="shared" si="42"/>
        <v>2.6250852305308003E-3</v>
      </c>
      <c r="BF88" s="29">
        <f t="shared" si="43"/>
        <v>3.3636209913482831E-2</v>
      </c>
      <c r="BH88" s="29"/>
    </row>
    <row r="89" spans="1:60" x14ac:dyDescent="0.25">
      <c r="A89" s="1">
        <v>46150</v>
      </c>
      <c r="B89" s="33">
        <v>104.68</v>
      </c>
      <c r="C89" s="33">
        <v>116.76</v>
      </c>
      <c r="D89" s="15">
        <v>3.8284885966442402E-3</v>
      </c>
      <c r="E89" s="15">
        <v>2.65854965556412E-3</v>
      </c>
      <c r="F89" s="33">
        <v>0</v>
      </c>
      <c r="G89" s="33">
        <v>0.45935999999999999</v>
      </c>
      <c r="H89" s="33">
        <v>0</v>
      </c>
      <c r="I89" s="33">
        <v>0.49236000000000002</v>
      </c>
      <c r="J89" s="33">
        <v>0.45935999999999999</v>
      </c>
      <c r="K89" s="33">
        <v>0.49236000000000002</v>
      </c>
      <c r="L89" s="33">
        <v>105.13936</v>
      </c>
      <c r="M89" s="33">
        <v>117.25236</v>
      </c>
      <c r="N89" s="34">
        <v>1.11539931218953</v>
      </c>
      <c r="O89" s="34">
        <v>1.1144210713463301</v>
      </c>
      <c r="P89" s="34">
        <v>1.1153410172827201</v>
      </c>
      <c r="Q89" s="34">
        <v>1.11380839313086</v>
      </c>
      <c r="R89" s="33">
        <v>116.657597748534</v>
      </c>
      <c r="S89" s="33">
        <v>116.73105228332</v>
      </c>
      <c r="T89" s="33">
        <v>116.59367772247199</v>
      </c>
      <c r="U89" s="15">
        <v>-8.7741677596738996E-4</v>
      </c>
      <c r="V89" s="15">
        <v>-2.4795568433561401E-4</v>
      </c>
      <c r="W89" s="15">
        <v>-1.4254954737857599E-3</v>
      </c>
      <c r="X89" s="34">
        <v>1.1152089949948301</v>
      </c>
      <c r="Y89" s="34">
        <v>1.1139962285470999</v>
      </c>
      <c r="Z89" s="34">
        <v>1.1152151607769301</v>
      </c>
      <c r="AA89" s="34">
        <v>1.1137382551644801</v>
      </c>
      <c r="AB89" s="33">
        <v>117.124850511856</v>
      </c>
      <c r="AC89" s="33">
        <v>117.23188020248899</v>
      </c>
      <c r="AD89" s="33">
        <v>117.09880777109301</v>
      </c>
      <c r="AE89" s="15">
        <v>-1.0880708106799099E-3</v>
      </c>
      <c r="AF89" s="15">
        <v>-1.7467952255727199E-4</v>
      </c>
      <c r="AG89" s="15">
        <v>-1.3104457924481799E-3</v>
      </c>
      <c r="AI89" s="12"/>
      <c r="AJ89">
        <f t="shared" si="26"/>
        <v>0</v>
      </c>
      <c r="AK89">
        <f t="shared" si="27"/>
        <v>1</v>
      </c>
      <c r="AL89">
        <f t="shared" si="34"/>
        <v>0</v>
      </c>
      <c r="AM89">
        <f t="shared" si="24"/>
        <v>1</v>
      </c>
      <c r="AN89">
        <f t="shared" si="35"/>
        <v>0</v>
      </c>
      <c r="AO89" s="28">
        <f t="shared" si="28"/>
        <v>0</v>
      </c>
      <c r="AP89" s="28">
        <f t="shared" si="29"/>
        <v>0</v>
      </c>
      <c r="AQ89" s="28">
        <f t="shared" si="36"/>
        <v>0</v>
      </c>
      <c r="AR89" s="29">
        <f t="shared" si="37"/>
        <v>2.2591591880305462E-2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1.1044618033177373E-2</v>
      </c>
      <c r="BE89" s="29">
        <f t="shared" si="42"/>
        <v>0</v>
      </c>
      <c r="BF89" s="29">
        <f t="shared" si="43"/>
        <v>3.3636209913482831E-2</v>
      </c>
      <c r="BH89" s="29"/>
    </row>
    <row r="90" spans="1:60" x14ac:dyDescent="0.25">
      <c r="A90" s="1">
        <v>46153</v>
      </c>
      <c r="B90" s="33">
        <v>106</v>
      </c>
      <c r="C90" s="33">
        <v>118.47</v>
      </c>
      <c r="D90" s="15">
        <v>1.2531016450121999E-2</v>
      </c>
      <c r="E90" s="15">
        <v>1.4539217980753701E-2</v>
      </c>
      <c r="F90" s="33">
        <v>0</v>
      </c>
      <c r="G90" s="33">
        <v>0.45935999999999999</v>
      </c>
      <c r="H90" s="33">
        <v>0</v>
      </c>
      <c r="I90" s="33">
        <v>0.49236000000000002</v>
      </c>
      <c r="J90" s="33">
        <v>0.45935999999999999</v>
      </c>
      <c r="K90" s="33">
        <v>0.49236000000000002</v>
      </c>
      <c r="L90" s="33">
        <v>106.45936</v>
      </c>
      <c r="M90" s="33">
        <v>118.96236</v>
      </c>
      <c r="N90" s="34">
        <v>1.11764150943396</v>
      </c>
      <c r="O90" s="34">
        <v>1.1144210713463301</v>
      </c>
      <c r="P90" s="34">
        <v>1.1159444096122699</v>
      </c>
      <c r="Q90" s="34">
        <v>1.1142194837231101</v>
      </c>
      <c r="R90" s="33">
        <v>118.128633562711</v>
      </c>
      <c r="S90" s="33">
        <v>118.22614783196801</v>
      </c>
      <c r="T90" s="33">
        <v>118.063689671871</v>
      </c>
      <c r="U90" s="15">
        <v>-2.88561830659903E-3</v>
      </c>
      <c r="V90" s="15">
        <v>-2.0604666069854302E-3</v>
      </c>
      <c r="W90" s="15">
        <v>-3.4355421278953599E-3</v>
      </c>
      <c r="X90" s="34">
        <v>1.1174438771752899</v>
      </c>
      <c r="Y90" s="34">
        <v>1.1139962285470999</v>
      </c>
      <c r="Z90" s="34">
        <v>1.1158000022738299</v>
      </c>
      <c r="AA90" s="34">
        <v>1.1141397150088901</v>
      </c>
      <c r="AB90" s="33">
        <v>118.595325533538</v>
      </c>
      <c r="AC90" s="33">
        <v>118.725092278609</v>
      </c>
      <c r="AD90" s="33">
        <v>118.567861852327</v>
      </c>
      <c r="AE90" s="15">
        <v>-3.0900684832818799E-3</v>
      </c>
      <c r="AF90" s="15">
        <v>-1.9964688747845798E-3</v>
      </c>
      <c r="AG90" s="15">
        <v>-3.3216700369316601E-3</v>
      </c>
      <c r="AI90" s="12"/>
      <c r="AJ90">
        <f t="shared" si="26"/>
        <v>0</v>
      </c>
      <c r="AK90">
        <f t="shared" si="27"/>
        <v>0</v>
      </c>
      <c r="AL90">
        <f t="shared" si="34"/>
        <v>0</v>
      </c>
      <c r="AM90">
        <f t="shared" si="24"/>
        <v>1</v>
      </c>
      <c r="AN90">
        <f t="shared" si="35"/>
        <v>0</v>
      </c>
      <c r="AO90" s="28">
        <f t="shared" si="28"/>
        <v>0</v>
      </c>
      <c r="AP90" s="28">
        <f t="shared" si="29"/>
        <v>0</v>
      </c>
      <c r="AQ90" s="28">
        <f t="shared" si="36"/>
        <v>0</v>
      </c>
      <c r="AR90" s="29">
        <f t="shared" si="37"/>
        <v>2.2591591880305462E-2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1.1044618033177373E-2</v>
      </c>
      <c r="BE90" s="29">
        <f t="shared" si="42"/>
        <v>0</v>
      </c>
      <c r="BF90" s="29">
        <f t="shared" si="43"/>
        <v>3.3636209913482831E-2</v>
      </c>
      <c r="BH90" s="29"/>
    </row>
    <row r="91" spans="1:60" x14ac:dyDescent="0.25">
      <c r="A91" s="1">
        <v>46154</v>
      </c>
      <c r="B91" s="33">
        <v>104.81</v>
      </c>
      <c r="C91" s="33">
        <v>116.96</v>
      </c>
      <c r="D91" s="15">
        <v>-1.12899069299811E-2</v>
      </c>
      <c r="E91" s="15">
        <v>-1.28277679651994E-2</v>
      </c>
      <c r="F91" s="33">
        <v>0</v>
      </c>
      <c r="G91" s="33">
        <v>0.45935999999999999</v>
      </c>
      <c r="H91" s="33">
        <v>0</v>
      </c>
      <c r="I91" s="33">
        <v>0.49236000000000002</v>
      </c>
      <c r="J91" s="33">
        <v>0.45935999999999999</v>
      </c>
      <c r="K91" s="33">
        <v>0.49236000000000002</v>
      </c>
      <c r="L91" s="33">
        <v>105.26936000000001</v>
      </c>
      <c r="M91" s="33">
        <v>117.45236</v>
      </c>
      <c r="N91" s="34">
        <v>1.1159240530483701</v>
      </c>
      <c r="O91" s="34">
        <v>1.1144210713463301</v>
      </c>
      <c r="P91" s="34">
        <v>1.11651533664747</v>
      </c>
      <c r="Q91" s="34">
        <v>1.1144713723326301</v>
      </c>
      <c r="R91" s="33">
        <v>116.802472487809</v>
      </c>
      <c r="S91" s="33">
        <v>116.962133571462</v>
      </c>
      <c r="T91" s="33">
        <v>116.781344089019</v>
      </c>
      <c r="U91" s="15">
        <v>-1.34775727138071E-3</v>
      </c>
      <c r="V91" s="15">
        <v>1.8241723688572298E-5</v>
      </c>
      <c r="W91" s="15">
        <v>-1.5286636300237101E-3</v>
      </c>
      <c r="X91" s="34">
        <v>1.1157316810893501</v>
      </c>
      <c r="Y91" s="34">
        <v>1.1139962285470999</v>
      </c>
      <c r="Z91" s="34">
        <v>1.1163524547783701</v>
      </c>
      <c r="AA91" s="34">
        <v>1.11438248093232</v>
      </c>
      <c r="AB91" s="33">
        <v>117.26967002156699</v>
      </c>
      <c r="AC91" s="33">
        <v>117.45955212736401</v>
      </c>
      <c r="AD91" s="33">
        <v>117.284774749568</v>
      </c>
      <c r="AE91" s="15">
        <v>-1.55664992592358E-3</v>
      </c>
      <c r="AF91" s="15">
        <v>6.1232547144415494E-5</v>
      </c>
      <c r="AG91" s="15">
        <v>-1.4278548563056599E-3</v>
      </c>
      <c r="AI91" s="12"/>
      <c r="AJ91">
        <f t="shared" si="26"/>
        <v>0</v>
      </c>
      <c r="AK91">
        <f t="shared" si="27"/>
        <v>1</v>
      </c>
      <c r="AL91">
        <f t="shared" si="34"/>
        <v>0</v>
      </c>
      <c r="AM91">
        <f t="shared" si="24"/>
        <v>1</v>
      </c>
      <c r="AN91">
        <f t="shared" si="35"/>
        <v>0</v>
      </c>
      <c r="AO91" s="28">
        <f t="shared" si="28"/>
        <v>0</v>
      </c>
      <c r="AP91" s="28">
        <f t="shared" si="29"/>
        <v>0</v>
      </c>
      <c r="AQ91" s="28">
        <f t="shared" si="36"/>
        <v>0</v>
      </c>
      <c r="AR91" s="29">
        <f t="shared" si="37"/>
        <v>2.2591591880305462E-2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1.1044618033177373E-2</v>
      </c>
      <c r="BE91" s="29">
        <f t="shared" si="42"/>
        <v>0</v>
      </c>
      <c r="BF91" s="29">
        <f t="shared" si="43"/>
        <v>3.3636209913482831E-2</v>
      </c>
      <c r="BH91" s="29"/>
    </row>
    <row r="92" spans="1:60" x14ac:dyDescent="0.25">
      <c r="A92" s="1">
        <v>46155</v>
      </c>
      <c r="B92" s="33">
        <v>106.04</v>
      </c>
      <c r="C92" s="33">
        <v>118.62</v>
      </c>
      <c r="D92" s="15">
        <v>1.16671942387388E-2</v>
      </c>
      <c r="E92" s="15">
        <v>1.40931104091123E-2</v>
      </c>
      <c r="F92" s="33">
        <v>0</v>
      </c>
      <c r="G92" s="33">
        <v>0.45935999999999999</v>
      </c>
      <c r="H92" s="33">
        <v>0</v>
      </c>
      <c r="I92" s="33">
        <v>0.49236000000000002</v>
      </c>
      <c r="J92" s="33">
        <v>0.45935999999999999</v>
      </c>
      <c r="K92" s="33">
        <v>0.49236000000000002</v>
      </c>
      <c r="L92" s="33">
        <v>106.49936</v>
      </c>
      <c r="M92" s="33">
        <v>119.11236</v>
      </c>
      <c r="N92" s="34">
        <v>1.1186344775556301</v>
      </c>
      <c r="O92" s="34">
        <v>1.1144210713463301</v>
      </c>
      <c r="P92" s="34">
        <v>1.1169201377864899</v>
      </c>
      <c r="Q92" s="34">
        <v>1.1147078523449201</v>
      </c>
      <c r="R92" s="33">
        <v>118.173210405565</v>
      </c>
      <c r="S92" s="33">
        <v>118.395286298098</v>
      </c>
      <c r="T92" s="33">
        <v>118.17854432215201</v>
      </c>
      <c r="U92" s="15">
        <v>-3.7736734417541402E-3</v>
      </c>
      <c r="V92" s="15">
        <v>-1.89619642464856E-3</v>
      </c>
      <c r="W92" s="15">
        <v>-3.72853803250534E-3</v>
      </c>
      <c r="X92" s="34">
        <v>1.11843263659049</v>
      </c>
      <c r="Y92" s="34">
        <v>1.1139962285470999</v>
      </c>
      <c r="Z92" s="34">
        <v>1.1167392920305901</v>
      </c>
      <c r="AA92" s="34">
        <v>1.11460987225189</v>
      </c>
      <c r="AB92" s="33">
        <v>118.63988538268001</v>
      </c>
      <c r="AC92" s="33">
        <v>118.89082196832599</v>
      </c>
      <c r="AD92" s="33">
        <v>118.681021014504</v>
      </c>
      <c r="AE92" s="15">
        <v>-3.9745175783631199E-3</v>
      </c>
      <c r="AF92" s="15">
        <v>-1.86163977997017E-3</v>
      </c>
      <c r="AG92" s="15">
        <v>-3.6278508403950502E-3</v>
      </c>
      <c r="AI92" s="12"/>
      <c r="AJ92">
        <f t="shared" si="26"/>
        <v>0</v>
      </c>
      <c r="AK92">
        <f t="shared" si="27"/>
        <v>0</v>
      </c>
      <c r="AL92">
        <f t="shared" si="34"/>
        <v>0</v>
      </c>
      <c r="AM92">
        <f t="shared" si="24"/>
        <v>1</v>
      </c>
      <c r="AN92">
        <f t="shared" si="35"/>
        <v>0</v>
      </c>
      <c r="AO92" s="28">
        <f t="shared" si="28"/>
        <v>0</v>
      </c>
      <c r="AP92" s="28">
        <f t="shared" si="29"/>
        <v>0</v>
      </c>
      <c r="AQ92" s="28">
        <f t="shared" si="36"/>
        <v>0</v>
      </c>
      <c r="AR92" s="29">
        <f t="shared" si="37"/>
        <v>2.2591591880305462E-2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1.1044618033177373E-2</v>
      </c>
      <c r="BE92" s="29">
        <f t="shared" si="42"/>
        <v>0</v>
      </c>
      <c r="BF92" s="29">
        <f t="shared" si="43"/>
        <v>3.3636209913482831E-2</v>
      </c>
      <c r="BH92" s="29"/>
    </row>
    <row r="93" spans="1:60" x14ac:dyDescent="0.25">
      <c r="A93" s="1">
        <v>46156</v>
      </c>
      <c r="B93" s="33">
        <v>106.57</v>
      </c>
      <c r="C93" s="33">
        <v>119.18</v>
      </c>
      <c r="D93" s="15">
        <v>4.9856648120398901E-3</v>
      </c>
      <c r="E93" s="15">
        <v>4.7098489082522598E-3</v>
      </c>
      <c r="F93" s="33">
        <v>0</v>
      </c>
      <c r="G93" s="33">
        <v>0.45935999999999999</v>
      </c>
      <c r="H93" s="33">
        <v>0</v>
      </c>
      <c r="I93" s="33">
        <v>0.49236000000000002</v>
      </c>
      <c r="J93" s="33">
        <v>0.45935999999999999</v>
      </c>
      <c r="K93" s="33">
        <v>0.49236000000000002</v>
      </c>
      <c r="L93" s="33">
        <v>107.02936</v>
      </c>
      <c r="M93" s="33">
        <v>119.67236</v>
      </c>
      <c r="N93" s="34">
        <v>1.11832598292202</v>
      </c>
      <c r="O93" s="34">
        <v>1.1144210713463301</v>
      </c>
      <c r="P93" s="34">
        <v>1.11720285484354</v>
      </c>
      <c r="Q93" s="34">
        <v>1.11510188266737</v>
      </c>
      <c r="R93" s="33">
        <v>118.763853573378</v>
      </c>
      <c r="S93" s="33">
        <v>119.030179083907</v>
      </c>
      <c r="T93" s="33">
        <v>118.794415824398</v>
      </c>
      <c r="U93" s="15">
        <v>-3.4978575379665E-3</v>
      </c>
      <c r="V93" s="15">
        <v>-1.25788861268746E-3</v>
      </c>
      <c r="W93" s="15">
        <v>-3.24055434018313E-3</v>
      </c>
      <c r="X93" s="34">
        <v>1.1181264654857299</v>
      </c>
      <c r="Y93" s="34">
        <v>1.1139962285470999</v>
      </c>
      <c r="Z93" s="34">
        <v>1.1170045505227699</v>
      </c>
      <c r="AA93" s="34">
        <v>1.1149943427612501</v>
      </c>
      <c r="AB93" s="33">
        <v>119.23030338381</v>
      </c>
      <c r="AC93" s="33">
        <v>119.52389171288701</v>
      </c>
      <c r="AD93" s="33">
        <v>119.295981276801</v>
      </c>
      <c r="AE93" s="15">
        <v>-3.7007299495110798E-3</v>
      </c>
      <c r="AF93" s="15">
        <v>-1.24139325023498E-3</v>
      </c>
      <c r="AG93" s="15">
        <v>-3.1500326144627399E-3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2.2591591880305462E-2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1.1044618033177373E-2</v>
      </c>
      <c r="BE93" s="29">
        <f t="shared" si="42"/>
        <v>0</v>
      </c>
      <c r="BF93" s="29">
        <f t="shared" si="43"/>
        <v>3.3636209913482831E-2</v>
      </c>
      <c r="BH93" s="29"/>
    </row>
    <row r="94" spans="1:60" x14ac:dyDescent="0.25">
      <c r="A94" s="1">
        <v>46157</v>
      </c>
      <c r="B94" s="33">
        <v>104.5</v>
      </c>
      <c r="C94" s="33">
        <v>117.19</v>
      </c>
      <c r="D94" s="15">
        <v>-1.9614974827999E-2</v>
      </c>
      <c r="E94" s="15">
        <v>-1.6838406048321899E-2</v>
      </c>
      <c r="F94" s="33">
        <v>0</v>
      </c>
      <c r="G94" s="33">
        <v>0.45935999999999999</v>
      </c>
      <c r="H94" s="33">
        <v>0</v>
      </c>
      <c r="I94" s="33">
        <v>0.49236000000000002</v>
      </c>
      <c r="J94" s="33">
        <v>0.45935999999999999</v>
      </c>
      <c r="K94" s="33">
        <v>0.49236000000000002</v>
      </c>
      <c r="L94" s="33">
        <v>104.95936</v>
      </c>
      <c r="M94" s="33">
        <v>117.68236</v>
      </c>
      <c r="N94" s="34">
        <v>1.1214354066985599</v>
      </c>
      <c r="O94" s="34">
        <v>1.1144210713463301</v>
      </c>
      <c r="P94" s="34">
        <v>1.11784153637921</v>
      </c>
      <c r="Q94" s="34">
        <v>1.11542795605672</v>
      </c>
      <c r="R94" s="33">
        <v>116.45700195569199</v>
      </c>
      <c r="S94" s="33">
        <v>116.74769833115</v>
      </c>
      <c r="T94" s="33">
        <v>116.52814673874001</v>
      </c>
      <c r="U94" s="15">
        <v>-6.2744263176436601E-3</v>
      </c>
      <c r="V94" s="15">
        <v>-3.7813674241849999E-3</v>
      </c>
      <c r="W94" s="15">
        <v>-5.6637025383919296E-3</v>
      </c>
      <c r="X94" s="34">
        <v>1.1212183458435701</v>
      </c>
      <c r="Y94" s="34">
        <v>1.1139962285470999</v>
      </c>
      <c r="Z94" s="34">
        <v>1.1176409228702899</v>
      </c>
      <c r="AA94" s="34">
        <v>1.1153107191900999</v>
      </c>
      <c r="AB94" s="33">
        <v>116.92433119071799</v>
      </c>
      <c r="AC94" s="33">
        <v>117.240082739958</v>
      </c>
      <c r="AD94" s="33">
        <v>117.02909261984099</v>
      </c>
      <c r="AE94" s="15">
        <v>-6.4621468665830304E-3</v>
      </c>
      <c r="AF94" s="15">
        <v>-3.76530890294695E-3</v>
      </c>
      <c r="AG94" s="15">
        <v>-5.56657171816925E-3</v>
      </c>
      <c r="AI94" s="12"/>
      <c r="AJ94">
        <f t="shared" si="26"/>
        <v>1</v>
      </c>
      <c r="AK94">
        <f t="shared" si="27"/>
        <v>0</v>
      </c>
      <c r="AL94">
        <f t="shared" si="34"/>
        <v>0</v>
      </c>
      <c r="AM94">
        <f t="shared" si="24"/>
        <v>1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2.2591591880305462E-2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1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1.1044618033177373E-2</v>
      </c>
      <c r="BE94" s="29">
        <f t="shared" si="42"/>
        <v>0</v>
      </c>
      <c r="BF94" s="29">
        <f t="shared" si="43"/>
        <v>3.3636209913482831E-2</v>
      </c>
      <c r="BH94" s="29"/>
    </row>
    <row r="95" spans="1:60" x14ac:dyDescent="0.25">
      <c r="A95" s="1">
        <v>46160</v>
      </c>
      <c r="B95" s="33">
        <v>102.86</v>
      </c>
      <c r="C95" s="33">
        <v>115.36</v>
      </c>
      <c r="D95" s="15">
        <v>-1.5818231058095499E-2</v>
      </c>
      <c r="E95" s="15">
        <v>-1.5738875733872001E-2</v>
      </c>
      <c r="F95" s="33">
        <v>0</v>
      </c>
      <c r="G95" s="33">
        <v>0.45935999999999999</v>
      </c>
      <c r="H95" s="33">
        <v>0</v>
      </c>
      <c r="I95" s="33">
        <v>0.49236000000000002</v>
      </c>
      <c r="J95" s="33">
        <v>0.45935999999999999</v>
      </c>
      <c r="K95" s="33">
        <v>0.49236000000000002</v>
      </c>
      <c r="L95" s="33">
        <v>103.31936</v>
      </c>
      <c r="M95" s="33">
        <v>115.85236</v>
      </c>
      <c r="N95" s="34">
        <v>1.12152440209994</v>
      </c>
      <c r="O95" s="34">
        <v>1.1144210713463301</v>
      </c>
      <c r="P95" s="34">
        <v>1.1180822406001401</v>
      </c>
      <c r="Q95" s="34">
        <v>1.11582472329226</v>
      </c>
      <c r="R95" s="33">
        <v>114.62935139868399</v>
      </c>
      <c r="S95" s="33">
        <v>114.981180431965</v>
      </c>
      <c r="T95" s="33">
        <v>114.732919559994</v>
      </c>
      <c r="U95" s="15">
        <v>-6.3537816418672496E-3</v>
      </c>
      <c r="V95" s="15">
        <v>-3.2892069829422799E-3</v>
      </c>
      <c r="W95" s="15">
        <v>-5.4506848254899098E-3</v>
      </c>
      <c r="X95" s="34">
        <v>1.12130350013782</v>
      </c>
      <c r="Y95" s="34">
        <v>1.1139962285470999</v>
      </c>
      <c r="Z95" s="34">
        <v>1.1178806468148601</v>
      </c>
      <c r="AA95" s="34">
        <v>1.1156973740334299</v>
      </c>
      <c r="AB95" s="33">
        <v>115.0973773759</v>
      </c>
      <c r="AC95" s="33">
        <v>115.473944860768</v>
      </c>
      <c r="AD95" s="33">
        <v>115.233189707861</v>
      </c>
      <c r="AE95" s="15">
        <v>-6.5380919856430804E-3</v>
      </c>
      <c r="AF95" s="15">
        <v>-3.2717029479802599E-3</v>
      </c>
      <c r="AG95" s="15">
        <v>-5.3588099700650899E-3</v>
      </c>
      <c r="AI95" s="12"/>
      <c r="AJ95">
        <f t="shared" si="26"/>
        <v>1</v>
      </c>
      <c r="AK95">
        <f t="shared" si="27"/>
        <v>0</v>
      </c>
      <c r="AL95">
        <f t="shared" si="34"/>
        <v>1</v>
      </c>
      <c r="AM95">
        <f t="shared" si="24"/>
        <v>1</v>
      </c>
      <c r="AN95">
        <f t="shared" si="35"/>
        <v>1</v>
      </c>
      <c r="AO95" s="28">
        <f t="shared" si="28"/>
        <v>-1.5818231058095499E-2</v>
      </c>
      <c r="AP95" s="28">
        <f t="shared" si="29"/>
        <v>1.5738875733872001E-2</v>
      </c>
      <c r="AQ95" s="28">
        <f t="shared" si="36"/>
        <v>-7.9355324223498447E-5</v>
      </c>
      <c r="AR95" s="29">
        <f t="shared" si="37"/>
        <v>2.2512236556081963E-2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1.1044618033177373E-2</v>
      </c>
      <c r="BE95" s="29">
        <f t="shared" si="42"/>
        <v>-7.9355324223498447E-5</v>
      </c>
      <c r="BF95" s="29">
        <f t="shared" si="43"/>
        <v>3.3556854589259333E-2</v>
      </c>
      <c r="BH95" s="29"/>
    </row>
    <row r="96" spans="1:60" x14ac:dyDescent="0.25">
      <c r="A96" s="1">
        <v>46161</v>
      </c>
      <c r="B96" s="33">
        <v>102.44</v>
      </c>
      <c r="C96" s="33">
        <v>114.64</v>
      </c>
      <c r="D96" s="15">
        <v>-4.0915790154456497E-3</v>
      </c>
      <c r="E96" s="15">
        <v>-6.2608900167225303E-3</v>
      </c>
      <c r="F96" s="33">
        <v>0</v>
      </c>
      <c r="G96" s="33">
        <v>0.45935999999999999</v>
      </c>
      <c r="H96" s="33">
        <v>0</v>
      </c>
      <c r="I96" s="33">
        <v>0.49236000000000002</v>
      </c>
      <c r="J96" s="33">
        <v>0.45935999999999999</v>
      </c>
      <c r="K96" s="33">
        <v>0.49236000000000002</v>
      </c>
      <c r="L96" s="33">
        <v>102.89936</v>
      </c>
      <c r="M96" s="33">
        <v>115.13236000000001</v>
      </c>
      <c r="N96" s="34">
        <v>1.1190941038656701</v>
      </c>
      <c r="O96" s="34">
        <v>1.1144210713463301</v>
      </c>
      <c r="P96" s="34">
        <v>1.1184324594563899</v>
      </c>
      <c r="Q96" s="34">
        <v>1.1160637127698201</v>
      </c>
      <c r="R96" s="33">
        <v>114.161294548718</v>
      </c>
      <c r="S96" s="33">
        <v>114.536344727078</v>
      </c>
      <c r="T96" s="33">
        <v>114.305084654059</v>
      </c>
      <c r="U96" s="15">
        <v>-4.1844706405904496E-3</v>
      </c>
      <c r="V96" s="15">
        <v>-9.0458969588090403E-4</v>
      </c>
      <c r="W96" s="15">
        <v>-2.92572854621334E-3</v>
      </c>
      <c r="X96" s="34">
        <v>1.11888314951618</v>
      </c>
      <c r="Y96" s="34">
        <v>1.1139962285470999</v>
      </c>
      <c r="Z96" s="34">
        <v>1.11822902898038</v>
      </c>
      <c r="AA96" s="34">
        <v>1.1159268787991501</v>
      </c>
      <c r="AB96" s="33">
        <v>114.629498959911</v>
      </c>
      <c r="AC96" s="33">
        <v>115.02920311363501</v>
      </c>
      <c r="AD96" s="33">
        <v>114.804545741721</v>
      </c>
      <c r="AE96" s="15">
        <v>-4.3772438582936604E-3</v>
      </c>
      <c r="AF96" s="15">
        <v>-8.9638679783159104E-4</v>
      </c>
      <c r="AG96" s="15">
        <v>-2.8513428874726299E-3</v>
      </c>
      <c r="AI96" s="12"/>
      <c r="AJ96">
        <f t="shared" si="26"/>
        <v>0</v>
      </c>
      <c r="AK96">
        <f t="shared" si="27"/>
        <v>1</v>
      </c>
      <c r="AL96">
        <f t="shared" si="34"/>
        <v>1</v>
      </c>
      <c r="AM96">
        <f t="shared" si="24"/>
        <v>1</v>
      </c>
      <c r="AN96">
        <f t="shared" si="35"/>
        <v>1</v>
      </c>
      <c r="AO96" s="28">
        <f t="shared" si="28"/>
        <v>-4.0915790154456497E-3</v>
      </c>
      <c r="AP96" s="28">
        <f t="shared" si="29"/>
        <v>6.2608900167225303E-3</v>
      </c>
      <c r="AQ96" s="28">
        <f t="shared" si="36"/>
        <v>2.1693110012768807E-3</v>
      </c>
      <c r="AR96" s="29">
        <f t="shared" si="37"/>
        <v>2.4681547557358845E-2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1.1044618033177373E-2</v>
      </c>
      <c r="BE96" s="29">
        <f t="shared" si="42"/>
        <v>2.1693110012768807E-3</v>
      </c>
      <c r="BF96" s="29">
        <f t="shared" si="43"/>
        <v>3.5726165590536214E-2</v>
      </c>
      <c r="BH96" s="29"/>
    </row>
    <row r="97" spans="1:60" x14ac:dyDescent="0.25">
      <c r="A97" s="1">
        <v>46162</v>
      </c>
      <c r="B97" s="33">
        <v>103.11</v>
      </c>
      <c r="C97" s="33">
        <v>115.57</v>
      </c>
      <c r="D97" s="15">
        <v>6.5191181985277697E-3</v>
      </c>
      <c r="E97" s="15">
        <v>8.0796234674335304E-3</v>
      </c>
      <c r="F97" s="33">
        <v>0</v>
      </c>
      <c r="G97" s="33">
        <v>0.45935999999999999</v>
      </c>
      <c r="H97" s="33">
        <v>0</v>
      </c>
      <c r="I97" s="33">
        <v>0.49236000000000002</v>
      </c>
      <c r="J97" s="33">
        <v>0.45935999999999999</v>
      </c>
      <c r="K97" s="33">
        <v>0.49236000000000002</v>
      </c>
      <c r="L97" s="33">
        <v>103.56936</v>
      </c>
      <c r="M97" s="33">
        <v>116.06236</v>
      </c>
      <c r="N97" s="34">
        <v>1.12084181941615</v>
      </c>
      <c r="O97" s="34">
        <v>1.1144210713463301</v>
      </c>
      <c r="P97" s="34">
        <v>1.1185526092162701</v>
      </c>
      <c r="Q97" s="34">
        <v>1.11649689284954</v>
      </c>
      <c r="R97" s="33">
        <v>114.90795666651999</v>
      </c>
      <c r="S97" s="33">
        <v>115.321570894548</v>
      </c>
      <c r="T97" s="33">
        <v>115.07732942369699</v>
      </c>
      <c r="U97" s="15">
        <v>-5.7449759094961696E-3</v>
      </c>
      <c r="V97" s="15">
        <v>-2.1519122621612599E-3</v>
      </c>
      <c r="W97" s="15">
        <v>-4.2720748324209298E-3</v>
      </c>
      <c r="X97" s="34">
        <v>1.1206244781275001</v>
      </c>
      <c r="Y97" s="34">
        <v>1.1139962285470999</v>
      </c>
      <c r="Z97" s="34">
        <v>1.11834813833553</v>
      </c>
      <c r="AA97" s="34">
        <v>1.11634989051365</v>
      </c>
      <c r="AB97" s="33">
        <v>115.37587643303701</v>
      </c>
      <c r="AC97" s="33">
        <v>115.81426486492001</v>
      </c>
      <c r="AD97" s="33">
        <v>115.57583264402599</v>
      </c>
      <c r="AE97" s="15">
        <v>-5.9323436853738901E-3</v>
      </c>
      <c r="AF97" s="15">
        <v>-2.1398899513564102E-3</v>
      </c>
      <c r="AG97" s="15">
        <v>-4.2007586561925098E-3</v>
      </c>
      <c r="AI97" s="12"/>
      <c r="AJ97">
        <f t="shared" si="26"/>
        <v>0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2.4681547557358845E-2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1.1044618033177373E-2</v>
      </c>
      <c r="BE97" s="29">
        <f t="shared" si="42"/>
        <v>0</v>
      </c>
      <c r="BF97" s="29">
        <f t="shared" si="43"/>
        <v>3.5726165590536214E-2</v>
      </c>
      <c r="BH97" s="29"/>
    </row>
    <row r="98" spans="1:60" x14ac:dyDescent="0.25">
      <c r="A98" s="1">
        <v>46163</v>
      </c>
      <c r="B98" s="33">
        <v>105.37</v>
      </c>
      <c r="C98" s="33">
        <v>117.99</v>
      </c>
      <c r="D98" s="15">
        <v>2.1681586081583999E-2</v>
      </c>
      <c r="E98" s="15">
        <v>2.0723468124477899E-2</v>
      </c>
      <c r="F98" s="33">
        <v>0</v>
      </c>
      <c r="G98" s="33">
        <v>0.45935999999999999</v>
      </c>
      <c r="H98" s="33">
        <v>0</v>
      </c>
      <c r="I98" s="33">
        <v>0.49236000000000002</v>
      </c>
      <c r="J98" s="33">
        <v>0.45935999999999999</v>
      </c>
      <c r="K98" s="33">
        <v>0.49236000000000002</v>
      </c>
      <c r="L98" s="33">
        <v>105.82935999999999</v>
      </c>
      <c r="M98" s="33">
        <v>118.48236</v>
      </c>
      <c r="N98" s="34">
        <v>1.11976843503843</v>
      </c>
      <c r="O98" s="34">
        <v>1.1144210713463301</v>
      </c>
      <c r="P98" s="34">
        <v>1.11885895022683</v>
      </c>
      <c r="Q98" s="34">
        <v>1.1169908635511301</v>
      </c>
      <c r="R98" s="33">
        <v>117.426548287763</v>
      </c>
      <c r="S98" s="33">
        <v>117.861888433118</v>
      </c>
      <c r="T98" s="33">
        <v>117.645277599556</v>
      </c>
      <c r="U98" s="15">
        <v>-4.78685795238984E-3</v>
      </c>
      <c r="V98" s="15">
        <v>-1.08637314996378E-3</v>
      </c>
      <c r="W98" s="15">
        <v>-2.9259001443445801E-3</v>
      </c>
      <c r="X98" s="34">
        <v>1.1195603942043999</v>
      </c>
      <c r="Y98" s="34">
        <v>1.1139962285470999</v>
      </c>
      <c r="Z98" s="34">
        <v>1.1186533523165101</v>
      </c>
      <c r="AA98" s="34">
        <v>1.11683378007485</v>
      </c>
      <c r="AB98" s="33">
        <v>117.893507909554</v>
      </c>
      <c r="AC98" s="33">
        <v>118.35406773724</v>
      </c>
      <c r="AD98" s="33">
        <v>118.14259444913</v>
      </c>
      <c r="AE98" s="15">
        <v>-4.9823470879753603E-3</v>
      </c>
      <c r="AF98" s="15">
        <v>-1.0833829620987799E-3</v>
      </c>
      <c r="AG98" s="15">
        <v>-2.87176629502623E-3</v>
      </c>
      <c r="AI98" s="12"/>
      <c r="AJ98">
        <f t="shared" si="26"/>
        <v>0</v>
      </c>
      <c r="AK98">
        <f t="shared" si="27"/>
        <v>1</v>
      </c>
      <c r="AL98">
        <f t="shared" si="34"/>
        <v>0</v>
      </c>
      <c r="AM98">
        <f t="shared" si="24"/>
        <v>1</v>
      </c>
      <c r="AN98">
        <f t="shared" si="35"/>
        <v>0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2.4681547557358845E-2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1.1044618033177373E-2</v>
      </c>
      <c r="BE98" s="29">
        <f t="shared" si="42"/>
        <v>0</v>
      </c>
      <c r="BF98" s="29">
        <f t="shared" si="43"/>
        <v>3.5726165590536214E-2</v>
      </c>
      <c r="BH98" s="29"/>
    </row>
    <row r="99" spans="1:60" x14ac:dyDescent="0.25">
      <c r="A99" s="1">
        <v>46164</v>
      </c>
      <c r="B99" s="33">
        <v>105.65</v>
      </c>
      <c r="C99" s="33">
        <v>118.38</v>
      </c>
      <c r="D99" s="15">
        <v>2.6537784506294299E-3</v>
      </c>
      <c r="E99" s="15">
        <v>3.29991415075114E-3</v>
      </c>
      <c r="F99" s="33">
        <v>0</v>
      </c>
      <c r="G99" s="33">
        <v>0.45935999999999999</v>
      </c>
      <c r="H99" s="33">
        <v>0</v>
      </c>
      <c r="I99" s="33">
        <v>0.49236000000000002</v>
      </c>
      <c r="J99" s="33">
        <v>0.45935999999999999</v>
      </c>
      <c r="K99" s="33">
        <v>0.49236000000000002</v>
      </c>
      <c r="L99" s="33">
        <v>106.10936</v>
      </c>
      <c r="M99" s="33">
        <v>118.87236</v>
      </c>
      <c r="N99" s="34">
        <v>1.12049219119734</v>
      </c>
      <c r="O99" s="34">
        <v>1.1144210713463301</v>
      </c>
      <c r="P99" s="34">
        <v>1.11936823812761</v>
      </c>
      <c r="Q99" s="34">
        <v>1.11735462770516</v>
      </c>
      <c r="R99" s="33">
        <v>117.73858618774</v>
      </c>
      <c r="S99" s="33">
        <v>118.207448091464</v>
      </c>
      <c r="T99" s="33">
        <v>118.010084734177</v>
      </c>
      <c r="U99" s="15">
        <v>-5.4329936525115497E-3</v>
      </c>
      <c r="V99" s="15">
        <v>-1.4586736576485499E-3</v>
      </c>
      <c r="W99" s="15">
        <v>-3.1297045997808999E-3</v>
      </c>
      <c r="X99" s="34">
        <v>1.12028156611254</v>
      </c>
      <c r="Y99" s="34">
        <v>1.1139962285470999</v>
      </c>
      <c r="Z99" s="34">
        <v>1.11916060942829</v>
      </c>
      <c r="AA99" s="34">
        <v>1.11718788510261</v>
      </c>
      <c r="AB99" s="33">
        <v>118.205426853547</v>
      </c>
      <c r="AC99" s="33">
        <v>118.69959127616001</v>
      </c>
      <c r="AD99" s="33">
        <v>118.506517630123</v>
      </c>
      <c r="AE99" s="15">
        <v>-5.6262960324438699E-3</v>
      </c>
      <c r="AF99" s="15">
        <v>-1.45445414215173E-3</v>
      </c>
      <c r="AG99" s="15">
        <v>-3.082352256283E-3</v>
      </c>
      <c r="AI99" s="12"/>
      <c r="AJ99">
        <f t="shared" si="26"/>
        <v>0</v>
      </c>
      <c r="AK99">
        <f t="shared" si="27"/>
        <v>0</v>
      </c>
      <c r="AL99">
        <f t="shared" si="34"/>
        <v>0</v>
      </c>
      <c r="AM99">
        <f t="shared" si="24"/>
        <v>1</v>
      </c>
      <c r="AN99">
        <f t="shared" si="35"/>
        <v>0</v>
      </c>
      <c r="AO99" s="28">
        <f t="shared" si="28"/>
        <v>0</v>
      </c>
      <c r="AP99" s="28">
        <f t="shared" si="29"/>
        <v>0</v>
      </c>
      <c r="AQ99" s="28">
        <f t="shared" si="36"/>
        <v>0</v>
      </c>
      <c r="AR99" s="29">
        <f t="shared" si="37"/>
        <v>2.4681547557358845E-2</v>
      </c>
      <c r="AT99" s="12"/>
      <c r="AU99">
        <f t="shared" si="30"/>
        <v>0</v>
      </c>
      <c r="AV99">
        <f t="shared" si="31"/>
        <v>1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1.1044618033177373E-2</v>
      </c>
      <c r="BE99" s="29">
        <f t="shared" si="42"/>
        <v>0</v>
      </c>
      <c r="BF99" s="29">
        <f t="shared" si="43"/>
        <v>3.5726165590536214E-2</v>
      </c>
      <c r="BH99" s="29"/>
    </row>
    <row r="100" spans="1:60" x14ac:dyDescent="0.25">
      <c r="A100" s="1">
        <v>46168</v>
      </c>
      <c r="B100" s="33">
        <v>106.75</v>
      </c>
      <c r="C100" s="33">
        <v>119.9</v>
      </c>
      <c r="D100" s="15">
        <v>1.0357908046668E-2</v>
      </c>
      <c r="E100" s="15">
        <v>1.27582727708897E-2</v>
      </c>
      <c r="F100" s="33">
        <v>0</v>
      </c>
      <c r="G100" s="33">
        <v>0.45935999999999999</v>
      </c>
      <c r="H100" s="33">
        <v>0</v>
      </c>
      <c r="I100" s="33">
        <v>0.49236000000000002</v>
      </c>
      <c r="J100" s="33">
        <v>0.45935999999999999</v>
      </c>
      <c r="K100" s="33">
        <v>0.49236000000000002</v>
      </c>
      <c r="L100" s="33">
        <v>107.20936</v>
      </c>
      <c r="M100" s="33">
        <v>120.39236</v>
      </c>
      <c r="N100" s="34">
        <v>1.1231850117096001</v>
      </c>
      <c r="O100" s="34">
        <v>1.1144210713463301</v>
      </c>
      <c r="P100" s="34">
        <v>1.11992258835517</v>
      </c>
      <c r="Q100" s="34">
        <v>1.11793349898372</v>
      </c>
      <c r="R100" s="33">
        <v>118.964449366221</v>
      </c>
      <c r="S100" s="33">
        <v>119.49255942012201</v>
      </c>
      <c r="T100" s="33">
        <v>119.277606507526</v>
      </c>
      <c r="U100" s="15">
        <v>-7.83335837673306E-3</v>
      </c>
      <c r="V100" s="15">
        <v>-3.4039568671593401E-3</v>
      </c>
      <c r="W100" s="15">
        <v>-5.2044579459316603E-3</v>
      </c>
      <c r="X100" s="34">
        <v>1.12296500977153</v>
      </c>
      <c r="Y100" s="34">
        <v>1.1139962285470999</v>
      </c>
      <c r="Z100" s="34">
        <v>1.11971272268791</v>
      </c>
      <c r="AA100" s="34">
        <v>1.11775636248087</v>
      </c>
      <c r="AB100" s="33">
        <v>119.43082270494899</v>
      </c>
      <c r="AC100" s="33">
        <v>119.98449267401701</v>
      </c>
      <c r="AD100" s="33">
        <v>119.77299816160399</v>
      </c>
      <c r="AE100" s="15">
        <v>-8.01876145984271E-3</v>
      </c>
      <c r="AF100" s="15">
        <v>-3.3935689969551599E-3</v>
      </c>
      <c r="AG100" s="15">
        <v>-5.1578064064492597E-3</v>
      </c>
      <c r="AI100" s="12"/>
      <c r="AJ100">
        <f t="shared" si="26"/>
        <v>1</v>
      </c>
      <c r="AK100">
        <f t="shared" si="27"/>
        <v>0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2.4681547557358845E-2</v>
      </c>
      <c r="AT100" s="12"/>
      <c r="AU100">
        <f t="shared" si="30"/>
        <v>0</v>
      </c>
      <c r="AV100">
        <f t="shared" si="31"/>
        <v>1</v>
      </c>
      <c r="AW100">
        <f t="shared" si="38"/>
        <v>0</v>
      </c>
      <c r="AX100">
        <f t="shared" si="25"/>
        <v>1</v>
      </c>
      <c r="AY100">
        <f t="shared" si="39"/>
        <v>0</v>
      </c>
      <c r="AZ100" s="28">
        <f t="shared" si="32"/>
        <v>0</v>
      </c>
      <c r="BA100" s="28">
        <f t="shared" si="33"/>
        <v>0</v>
      </c>
      <c r="BB100" s="28">
        <f t="shared" si="40"/>
        <v>0</v>
      </c>
      <c r="BC100" s="29">
        <f t="shared" si="41"/>
        <v>1.1044618033177373E-2</v>
      </c>
      <c r="BE100" s="29">
        <f t="shared" si="42"/>
        <v>0</v>
      </c>
      <c r="BF100" s="29">
        <f t="shared" si="43"/>
        <v>3.5726165590536214E-2</v>
      </c>
      <c r="BH100" s="29"/>
    </row>
    <row r="101" spans="1:60" x14ac:dyDescent="0.25">
      <c r="A101" s="1">
        <v>46169</v>
      </c>
      <c r="B101" s="33">
        <v>106.91</v>
      </c>
      <c r="C101" s="33">
        <v>119.94</v>
      </c>
      <c r="D101" s="15">
        <v>1.4977069166745101E-3</v>
      </c>
      <c r="E101" s="15">
        <v>3.3355570689512498E-4</v>
      </c>
      <c r="F101" s="33">
        <v>0</v>
      </c>
      <c r="G101" s="33">
        <v>0.45935999999999999</v>
      </c>
      <c r="H101" s="33">
        <v>0</v>
      </c>
      <c r="I101" s="33">
        <v>0.49236000000000002</v>
      </c>
      <c r="J101" s="33">
        <v>0.45935999999999999</v>
      </c>
      <c r="K101" s="33">
        <v>0.49236000000000002</v>
      </c>
      <c r="L101" s="33">
        <v>107.36936</v>
      </c>
      <c r="M101" s="33">
        <v>120.43236</v>
      </c>
      <c r="N101" s="34">
        <v>1.1218782153212901</v>
      </c>
      <c r="O101" s="34">
        <v>1.1144210713463301</v>
      </c>
      <c r="P101" s="34">
        <v>1.1205180045824601</v>
      </c>
      <c r="Q101" s="34">
        <v>1.1185166706149701</v>
      </c>
      <c r="R101" s="33">
        <v>119.14275673763601</v>
      </c>
      <c r="S101" s="33">
        <v>119.730923921051</v>
      </c>
      <c r="T101" s="33">
        <v>119.51827037635</v>
      </c>
      <c r="U101" s="15">
        <v>-6.66920716695366E-3</v>
      </c>
      <c r="V101" s="15">
        <v>-1.7446933367003001E-3</v>
      </c>
      <c r="W101" s="15">
        <v>-3.5223678766484298E-3</v>
      </c>
      <c r="X101" s="34">
        <v>1.12166413211366</v>
      </c>
      <c r="Y101" s="34">
        <v>1.1139962285470999</v>
      </c>
      <c r="Z101" s="34">
        <v>1.12030596779034</v>
      </c>
      <c r="AA101" s="34">
        <v>1.1183292112843599</v>
      </c>
      <c r="AB101" s="33">
        <v>119.609062101516</v>
      </c>
      <c r="AC101" s="33">
        <v>120.222838418858</v>
      </c>
      <c r="AD101" s="33">
        <v>120.012785275499</v>
      </c>
      <c r="AE101" s="15">
        <v>-6.8596588007546304E-3</v>
      </c>
      <c r="AF101" s="15">
        <v>-1.74125998903405E-3</v>
      </c>
      <c r="AG101" s="15">
        <v>-3.48998645731283E-3</v>
      </c>
      <c r="AI101" s="12"/>
      <c r="AJ101">
        <f t="shared" si="26"/>
        <v>0</v>
      </c>
      <c r="AK101">
        <f t="shared" si="27"/>
        <v>0</v>
      </c>
      <c r="AL101">
        <f t="shared" si="34"/>
        <v>1</v>
      </c>
      <c r="AM101">
        <f t="shared" si="24"/>
        <v>1</v>
      </c>
      <c r="AN101">
        <f t="shared" si="35"/>
        <v>1</v>
      </c>
      <c r="AO101" s="28">
        <f t="shared" si="28"/>
        <v>1.4977069166745101E-3</v>
      </c>
      <c r="AP101" s="28">
        <f t="shared" si="29"/>
        <v>-3.3355570689512498E-4</v>
      </c>
      <c r="AQ101" s="28">
        <f t="shared" si="36"/>
        <v>1.164151209779385E-3</v>
      </c>
      <c r="AR101" s="29">
        <f t="shared" si="37"/>
        <v>2.5845698767138228E-2</v>
      </c>
      <c r="AT101" s="12"/>
      <c r="AU101">
        <f t="shared" si="30"/>
        <v>0</v>
      </c>
      <c r="AV101">
        <f t="shared" si="31"/>
        <v>1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1.1044618033177373E-2</v>
      </c>
      <c r="BE101" s="29">
        <f t="shared" si="42"/>
        <v>1.164151209779385E-3</v>
      </c>
      <c r="BF101" s="29">
        <f t="shared" si="43"/>
        <v>3.6890316800315598E-2</v>
      </c>
      <c r="BH101" s="29"/>
    </row>
    <row r="102" spans="1:60" x14ac:dyDescent="0.25">
      <c r="A102" s="1">
        <v>46170</v>
      </c>
      <c r="B102" s="33">
        <v>107.72</v>
      </c>
      <c r="C102" s="33">
        <v>120.41</v>
      </c>
      <c r="D102" s="15">
        <v>7.5479089179896998E-3</v>
      </c>
      <c r="E102" s="15">
        <v>3.9109681637638704E-3</v>
      </c>
      <c r="F102" s="33">
        <v>0</v>
      </c>
      <c r="G102" s="33">
        <v>0.45935999999999999</v>
      </c>
      <c r="H102" s="33">
        <v>0</v>
      </c>
      <c r="I102" s="33">
        <v>0.49236000000000002</v>
      </c>
      <c r="J102" s="33">
        <v>0.45935999999999999</v>
      </c>
      <c r="K102" s="33">
        <v>0.49236000000000002</v>
      </c>
      <c r="L102" s="33">
        <v>108.17936</v>
      </c>
      <c r="M102" s="33">
        <v>120.90236</v>
      </c>
      <c r="N102" s="34">
        <v>1.11780542146305</v>
      </c>
      <c r="O102" s="34">
        <v>1.1144210713463301</v>
      </c>
      <c r="P102" s="34">
        <v>1.1204350989732099</v>
      </c>
      <c r="Q102" s="34">
        <v>1.1186776183798499</v>
      </c>
      <c r="R102" s="33">
        <v>120.045437805427</v>
      </c>
      <c r="S102" s="33">
        <v>120.702199453623</v>
      </c>
      <c r="T102" s="33">
        <v>120.48661575864401</v>
      </c>
      <c r="U102" s="15">
        <v>-3.0322664127279001E-3</v>
      </c>
      <c r="V102" s="15">
        <v>2.4237645157130202E-3</v>
      </c>
      <c r="W102" s="15">
        <v>6.3608831520336302E-4</v>
      </c>
      <c r="X102" s="34">
        <v>1.11761023544602</v>
      </c>
      <c r="Y102" s="34">
        <v>1.1139962285470999</v>
      </c>
      <c r="Z102" s="34">
        <v>1.1202237276758999</v>
      </c>
      <c r="AA102" s="34">
        <v>1.1184815098532399</v>
      </c>
      <c r="AB102" s="33">
        <v>120.511399046639</v>
      </c>
      <c r="AC102" s="33">
        <v>121.19398259974</v>
      </c>
      <c r="AD102" s="33">
        <v>120.980138346047</v>
      </c>
      <c r="AE102" s="15">
        <v>-3.2389313408742498E-3</v>
      </c>
      <c r="AF102" s="15">
        <v>2.4091461907814801E-3</v>
      </c>
      <c r="AG102" s="15">
        <v>6.4310852798098801E-4</v>
      </c>
      <c r="AI102" s="12"/>
      <c r="AJ102">
        <f t="shared" si="26"/>
        <v>0</v>
      </c>
      <c r="AK102">
        <f t="shared" si="27"/>
        <v>1</v>
      </c>
      <c r="AL102">
        <f t="shared" si="34"/>
        <v>1</v>
      </c>
      <c r="AM102">
        <f t="shared" si="24"/>
        <v>1</v>
      </c>
      <c r="AN102">
        <f t="shared" si="35"/>
        <v>1</v>
      </c>
      <c r="AO102" s="28">
        <f t="shared" si="28"/>
        <v>7.5479089179896998E-3</v>
      </c>
      <c r="AP102" s="28">
        <f t="shared" si="29"/>
        <v>-3.9109681637638704E-3</v>
      </c>
      <c r="AQ102" s="28">
        <f t="shared" si="36"/>
        <v>3.6369407542258293E-3</v>
      </c>
      <c r="AR102" s="29">
        <f t="shared" si="37"/>
        <v>2.9482639521364058E-2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1.1044618033177373E-2</v>
      </c>
      <c r="BE102" s="29">
        <f t="shared" si="42"/>
        <v>3.6369407542258293E-3</v>
      </c>
      <c r="BF102" s="29">
        <f t="shared" si="43"/>
        <v>4.0527257554541424E-2</v>
      </c>
      <c r="BH102" s="29"/>
    </row>
    <row r="103" spans="1:60" x14ac:dyDescent="0.25">
      <c r="A103" s="1">
        <v>46171</v>
      </c>
      <c r="B103" s="33">
        <v>108.1</v>
      </c>
      <c r="C103" s="33">
        <v>120.68</v>
      </c>
      <c r="D103" s="15">
        <v>3.52145670176446E-3</v>
      </c>
      <c r="E103" s="15">
        <v>2.2398283867328399E-3</v>
      </c>
      <c r="F103" s="33">
        <v>0</v>
      </c>
      <c r="G103" s="33">
        <v>0.45935999999999999</v>
      </c>
      <c r="H103" s="33">
        <v>0</v>
      </c>
      <c r="I103" s="33">
        <v>0.49236000000000002</v>
      </c>
      <c r="J103" s="33">
        <v>0.45935999999999999</v>
      </c>
      <c r="K103" s="33">
        <v>0.49236000000000002</v>
      </c>
      <c r="L103" s="33">
        <v>108.55936</v>
      </c>
      <c r="M103" s="33">
        <v>121.17236</v>
      </c>
      <c r="N103" s="34">
        <v>1.1163737280296</v>
      </c>
      <c r="O103" s="34">
        <v>1.1144210713463301</v>
      </c>
      <c r="P103" s="34">
        <v>1.12023987348396</v>
      </c>
      <c r="Q103" s="34">
        <v>1.1187213641637499</v>
      </c>
      <c r="R103" s="33">
        <v>120.468917812538</v>
      </c>
      <c r="S103" s="33">
        <v>121.11903419900401</v>
      </c>
      <c r="T103" s="33">
        <v>120.929050546862</v>
      </c>
      <c r="U103" s="15">
        <v>-1.75063809769628E-3</v>
      </c>
      <c r="V103" s="15">
        <v>3.6314014480915298E-3</v>
      </c>
      <c r="W103" s="15">
        <v>2.0616002133025798E-3</v>
      </c>
      <c r="X103" s="34">
        <v>1.1161852833325401</v>
      </c>
      <c r="Y103" s="34">
        <v>1.1139962285470999</v>
      </c>
      <c r="Z103" s="34">
        <v>1.1200296094605799</v>
      </c>
      <c r="AA103" s="34">
        <v>1.1185170799916799</v>
      </c>
      <c r="AB103" s="33">
        <v>120.934717613487</v>
      </c>
      <c r="AC103" s="33">
        <v>121.61077093330999</v>
      </c>
      <c r="AD103" s="33">
        <v>121.421636881502</v>
      </c>
      <c r="AE103" s="15">
        <v>-1.9631186760367902E-3</v>
      </c>
      <c r="AF103" s="15">
        <v>3.6115475416333398E-3</v>
      </c>
      <c r="AG103" s="15">
        <v>2.0550959416967001E-3</v>
      </c>
      <c r="AI103" s="12"/>
      <c r="AJ103">
        <f t="shared" si="26"/>
        <v>0</v>
      </c>
      <c r="AK103">
        <f t="shared" si="27"/>
        <v>1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2.9482639521364058E-2</v>
      </c>
      <c r="AT103" s="12"/>
      <c r="AU103">
        <f t="shared" si="30"/>
        <v>0</v>
      </c>
      <c r="AV103">
        <f t="shared" si="31"/>
        <v>0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1.1044618033177373E-2</v>
      </c>
      <c r="BE103" s="29">
        <f t="shared" si="42"/>
        <v>0</v>
      </c>
      <c r="BF103" s="29">
        <f t="shared" si="43"/>
        <v>4.0527257554541424E-2</v>
      </c>
      <c r="BH103" s="29"/>
    </row>
    <row r="104" spans="1:60" x14ac:dyDescent="0.25">
      <c r="A104" s="1">
        <v>46174</v>
      </c>
      <c r="B104" s="33">
        <v>109.43</v>
      </c>
      <c r="C104" s="33">
        <v>122.63</v>
      </c>
      <c r="D104" s="15">
        <v>1.2228350785189201E-2</v>
      </c>
      <c r="E104" s="15">
        <v>1.60292774830741E-2</v>
      </c>
      <c r="F104" s="33">
        <v>0.15523000000000001</v>
      </c>
      <c r="G104" s="33">
        <v>0.61458999999999997</v>
      </c>
      <c r="H104" s="33">
        <v>0.12951599999999999</v>
      </c>
      <c r="I104" s="33">
        <v>0.62187599999999998</v>
      </c>
      <c r="J104" s="33">
        <v>0.61458999999999997</v>
      </c>
      <c r="K104" s="33">
        <v>0.62187599999999998</v>
      </c>
      <c r="L104" s="33">
        <v>110.04459</v>
      </c>
      <c r="M104" s="33">
        <v>123.251876</v>
      </c>
      <c r="N104" s="34">
        <v>1.1206250571141301</v>
      </c>
      <c r="O104" s="34">
        <v>1.1144210713463301</v>
      </c>
      <c r="P104" s="34">
        <v>1.1201588385255199</v>
      </c>
      <c r="Q104" s="34">
        <v>1.1190001874523601</v>
      </c>
      <c r="R104" s="33">
        <v>121.951097837429</v>
      </c>
      <c r="S104" s="33">
        <v>122.58784935535</v>
      </c>
      <c r="T104" s="33">
        <v>122.421678880439</v>
      </c>
      <c r="U104" s="15">
        <v>-5.5515647955813102E-3</v>
      </c>
      <c r="V104" s="15">
        <v>-3.43781214746613E-4</v>
      </c>
      <c r="W104" s="15">
        <v>-1.7002223424516299E-3</v>
      </c>
      <c r="X104" s="34">
        <v>1.12001758559871</v>
      </c>
      <c r="Y104" s="34">
        <v>1.1139962285470999</v>
      </c>
      <c r="Z104" s="34">
        <v>1.11990953343609</v>
      </c>
      <c r="AA104" s="34">
        <v>1.11877522815319</v>
      </c>
      <c r="AB104" s="33">
        <v>122.589258232012</v>
      </c>
      <c r="AC104" s="33">
        <v>123.25319916094899</v>
      </c>
      <c r="AD104" s="33">
        <v>123.08675347568099</v>
      </c>
      <c r="AE104" s="15">
        <v>-5.3906306170853104E-3</v>
      </c>
      <c r="AF104" s="15">
        <v>1.07353647708127E-5</v>
      </c>
      <c r="AG104" s="15">
        <v>-1.3406143356426499E-3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2.9482639521364058E-2</v>
      </c>
      <c r="AT104" s="12"/>
      <c r="AU104">
        <f t="shared" si="30"/>
        <v>0</v>
      </c>
      <c r="AV104">
        <f t="shared" si="31"/>
        <v>1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1.1044618033177373E-2</v>
      </c>
      <c r="BE104" s="29">
        <f t="shared" si="42"/>
        <v>0</v>
      </c>
      <c r="BF104" s="29">
        <f t="shared" si="43"/>
        <v>4.0527257554541424E-2</v>
      </c>
      <c r="BH104" s="29"/>
    </row>
    <row r="105" spans="1:60" x14ac:dyDescent="0.25">
      <c r="A105" s="1">
        <v>46175</v>
      </c>
      <c r="B105" s="33">
        <v>110.74</v>
      </c>
      <c r="C105" s="33">
        <v>123.9</v>
      </c>
      <c r="D105" s="15">
        <v>1.19000359644694E-2</v>
      </c>
      <c r="E105" s="15">
        <v>1.0303096861162099E-2</v>
      </c>
      <c r="F105" s="33">
        <v>0</v>
      </c>
      <c r="G105" s="33">
        <v>0.61458999999999997</v>
      </c>
      <c r="H105" s="33">
        <v>0</v>
      </c>
      <c r="I105" s="33">
        <v>0.62187599999999998</v>
      </c>
      <c r="J105" s="33">
        <v>0.61458999999999997</v>
      </c>
      <c r="K105" s="33">
        <v>0.62187599999999998</v>
      </c>
      <c r="L105" s="33">
        <v>111.35459</v>
      </c>
      <c r="M105" s="33">
        <v>124.52187600000001</v>
      </c>
      <c r="N105" s="34">
        <v>1.1188369152970901</v>
      </c>
      <c r="O105" s="34">
        <v>1.1144210713463301</v>
      </c>
      <c r="P105" s="34">
        <v>1.11989008984524</v>
      </c>
      <c r="Q105" s="34">
        <v>1.11898616522269</v>
      </c>
      <c r="R105" s="33">
        <v>123.410989440893</v>
      </c>
      <c r="S105" s="33">
        <v>124.046389778316</v>
      </c>
      <c r="T105" s="33">
        <v>123.918080758475</v>
      </c>
      <c r="U105" s="15">
        <v>-3.9546256922740703E-3</v>
      </c>
      <c r="V105" s="15">
        <v>1.18081812328241E-3</v>
      </c>
      <c r="W105" s="15">
        <v>1.4591960725389799E-4</v>
      </c>
      <c r="X105" s="34">
        <v>1.1182464593511501</v>
      </c>
      <c r="Y105" s="34">
        <v>1.1139962285470999</v>
      </c>
      <c r="Z105" s="34">
        <v>1.11960382935742</v>
      </c>
      <c r="AA105" s="34">
        <v>1.11874223808614</v>
      </c>
      <c r="AB105" s="33">
        <v>124.04859329140901</v>
      </c>
      <c r="AC105" s="33">
        <v>124.70706693286699</v>
      </c>
      <c r="AD105" s="33">
        <v>124.58075683315499</v>
      </c>
      <c r="AE105" s="15">
        <v>-3.80804109087708E-3</v>
      </c>
      <c r="AF105" s="15">
        <v>1.48611124191028E-3</v>
      </c>
      <c r="AG105" s="15">
        <v>4.7274357225754102E-4</v>
      </c>
      <c r="AI105" s="12"/>
      <c r="AJ105">
        <f t="shared" si="26"/>
        <v>0</v>
      </c>
      <c r="AK105">
        <f t="shared" si="27"/>
        <v>1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2.9482639521364058E-2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1.1044618033177373E-2</v>
      </c>
      <c r="BE105" s="29">
        <f t="shared" si="42"/>
        <v>0</v>
      </c>
      <c r="BF105" s="29">
        <f t="shared" si="43"/>
        <v>4.0527257554541424E-2</v>
      </c>
      <c r="BH105" s="29"/>
    </row>
    <row r="106" spans="1:60" x14ac:dyDescent="0.25">
      <c r="A106" s="1">
        <v>46176</v>
      </c>
      <c r="B106" s="33">
        <v>109.46</v>
      </c>
      <c r="C106" s="33">
        <v>122.7</v>
      </c>
      <c r="D106" s="15">
        <v>-1.1625925679049E-2</v>
      </c>
      <c r="E106" s="15">
        <v>-9.7324369182310005E-3</v>
      </c>
      <c r="F106" s="33">
        <v>0</v>
      </c>
      <c r="G106" s="33">
        <v>0.61458999999999997</v>
      </c>
      <c r="H106" s="33">
        <v>0</v>
      </c>
      <c r="I106" s="33">
        <v>0.62187599999999998</v>
      </c>
      <c r="J106" s="33">
        <v>0.61458999999999997</v>
      </c>
      <c r="K106" s="33">
        <v>0.62187599999999998</v>
      </c>
      <c r="L106" s="33">
        <v>110.07459</v>
      </c>
      <c r="M106" s="33">
        <v>123.321876</v>
      </c>
      <c r="N106" s="34">
        <v>1.1209574273707199</v>
      </c>
      <c r="O106" s="34">
        <v>1.1144210713463301</v>
      </c>
      <c r="P106" s="34">
        <v>1.12007642219574</v>
      </c>
      <c r="Q106" s="34">
        <v>1.1192544408260601</v>
      </c>
      <c r="R106" s="33">
        <v>121.98453046956899</v>
      </c>
      <c r="S106" s="33">
        <v>122.58316923446</v>
      </c>
      <c r="T106" s="33">
        <v>122.484225645275</v>
      </c>
      <c r="U106" s="15">
        <v>-5.8481144530921304E-3</v>
      </c>
      <c r="V106" s="15">
        <v>-9.5261957630285595E-4</v>
      </c>
      <c r="W106" s="15">
        <v>-1.76010026633105E-3</v>
      </c>
      <c r="X106" s="34">
        <v>1.1203482656624</v>
      </c>
      <c r="Y106" s="34">
        <v>1.1139962285470999</v>
      </c>
      <c r="Z106" s="34">
        <v>1.11975034097205</v>
      </c>
      <c r="AA106" s="34">
        <v>1.11898968497621</v>
      </c>
      <c r="AB106" s="33">
        <v>122.622678118869</v>
      </c>
      <c r="AC106" s="33">
        <v>123.23993247894801</v>
      </c>
      <c r="AD106" s="33">
        <v>123.145093173015</v>
      </c>
      <c r="AE106" s="15">
        <v>-5.6858324618261798E-3</v>
      </c>
      <c r="AF106" s="15">
        <v>-6.6468951192008899E-4</v>
      </c>
      <c r="AG106" s="15">
        <v>-1.43453589659367E-3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2.9482639521364058E-2</v>
      </c>
      <c r="AT106" s="12"/>
      <c r="AU106">
        <f t="shared" si="30"/>
        <v>0</v>
      </c>
      <c r="AV106">
        <f t="shared" si="31"/>
        <v>1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1.1044618033177373E-2</v>
      </c>
      <c r="BE106" s="29">
        <f t="shared" si="42"/>
        <v>0</v>
      </c>
      <c r="BF106" s="29">
        <f t="shared" si="43"/>
        <v>4.0527257554541424E-2</v>
      </c>
      <c r="BH106" s="29"/>
    </row>
    <row r="107" spans="1:60" x14ac:dyDescent="0.25">
      <c r="A107" s="1">
        <v>46177</v>
      </c>
      <c r="B107" s="33">
        <v>109.66</v>
      </c>
      <c r="C107" s="33">
        <v>122.8</v>
      </c>
      <c r="D107" s="15">
        <v>1.82548426013036E-3</v>
      </c>
      <c r="E107" s="15">
        <v>8.1466399617628304E-4</v>
      </c>
      <c r="F107" s="33">
        <v>0</v>
      </c>
      <c r="G107" s="33">
        <v>0.61458999999999997</v>
      </c>
      <c r="H107" s="33">
        <v>0</v>
      </c>
      <c r="I107" s="33">
        <v>0.62187599999999998</v>
      </c>
      <c r="J107" s="33">
        <v>0.61458999999999997</v>
      </c>
      <c r="K107" s="33">
        <v>0.62187599999999998</v>
      </c>
      <c r="L107" s="33">
        <v>110.27459</v>
      </c>
      <c r="M107" s="33">
        <v>123.421876</v>
      </c>
      <c r="N107" s="34">
        <v>1.11982491336859</v>
      </c>
      <c r="O107" s="34">
        <v>1.1144210713463301</v>
      </c>
      <c r="P107" s="34">
        <v>1.11997473159098</v>
      </c>
      <c r="Q107" s="34">
        <v>1.1192636704036301</v>
      </c>
      <c r="R107" s="33">
        <v>122.207414683839</v>
      </c>
      <c r="S107" s="33">
        <v>122.82758045798499</v>
      </c>
      <c r="T107" s="33">
        <v>122.73744198098601</v>
      </c>
      <c r="U107" s="15">
        <v>-4.8372941891380097E-3</v>
      </c>
      <c r="V107" s="15">
        <v>2.2457134536705401E-4</v>
      </c>
      <c r="W107" s="15">
        <v>-5.0955992586930801E-4</v>
      </c>
      <c r="X107" s="34">
        <v>1.11922316827475</v>
      </c>
      <c r="Y107" s="34">
        <v>1.1139962285470999</v>
      </c>
      <c r="Z107" s="34">
        <v>1.11961020998677</v>
      </c>
      <c r="AA107" s="34">
        <v>1.1189791741611499</v>
      </c>
      <c r="AB107" s="33">
        <v>122.845477364578</v>
      </c>
      <c r="AC107" s="33">
        <v>123.480009753053</v>
      </c>
      <c r="AD107" s="33">
        <v>123.396128724981</v>
      </c>
      <c r="AE107" s="15">
        <v>-4.6810889066580298E-3</v>
      </c>
      <c r="AF107" s="15">
        <v>4.7090571179754401E-4</v>
      </c>
      <c r="AG107" s="15">
        <v>-2.0863368651230399E-4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2.9482639521364058E-2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1.1044618033177373E-2</v>
      </c>
      <c r="BE107" s="29">
        <f t="shared" si="42"/>
        <v>0</v>
      </c>
      <c r="BF107" s="29">
        <f t="shared" si="43"/>
        <v>4.0527257554541424E-2</v>
      </c>
      <c r="BH107" s="29"/>
    </row>
    <row r="108" spans="1:60" x14ac:dyDescent="0.25">
      <c r="A108" s="1">
        <v>46178</v>
      </c>
      <c r="B108" s="33">
        <v>105.23</v>
      </c>
      <c r="C108" s="33">
        <v>117.65</v>
      </c>
      <c r="D108" s="15">
        <v>-4.1236239223181502E-2</v>
      </c>
      <c r="E108" s="15">
        <v>-4.2842900539670499E-2</v>
      </c>
      <c r="F108" s="33">
        <v>0</v>
      </c>
      <c r="G108" s="33">
        <v>0.61458999999999997</v>
      </c>
      <c r="H108" s="33">
        <v>0</v>
      </c>
      <c r="I108" s="33">
        <v>0.62187599999999998</v>
      </c>
      <c r="J108" s="33">
        <v>0.61458999999999997</v>
      </c>
      <c r="K108" s="33">
        <v>0.62187599999999998</v>
      </c>
      <c r="L108" s="33">
        <v>105.84459</v>
      </c>
      <c r="M108" s="33">
        <v>118.27187600000001</v>
      </c>
      <c r="N108" s="34">
        <v>1.1180271785612399</v>
      </c>
      <c r="O108" s="34">
        <v>1.1144210713463301</v>
      </c>
      <c r="P108" s="34">
        <v>1.1198006059432699</v>
      </c>
      <c r="Q108" s="34">
        <v>1.11932977808505</v>
      </c>
      <c r="R108" s="33">
        <v>117.27052933777399</v>
      </c>
      <c r="S108" s="33">
        <v>117.85494100531901</v>
      </c>
      <c r="T108" s="33">
        <v>117.780116036574</v>
      </c>
      <c r="U108" s="15">
        <v>-3.2306328726491298E-3</v>
      </c>
      <c r="V108" s="15">
        <v>1.7404395523735799E-3</v>
      </c>
      <c r="W108" s="15">
        <v>1.10534754017491E-3</v>
      </c>
      <c r="X108" s="34">
        <v>1.11741068674364</v>
      </c>
      <c r="Y108" s="34">
        <v>1.1139962285470999</v>
      </c>
      <c r="Z108" s="34">
        <v>1.1193952392406901</v>
      </c>
      <c r="AA108" s="34">
        <v>1.1190242957786001</v>
      </c>
      <c r="AB108" s="33">
        <v>117.910474072114</v>
      </c>
      <c r="AC108" s="33">
        <v>118.504683635864</v>
      </c>
      <c r="AD108" s="33">
        <v>118.437891907625</v>
      </c>
      <c r="AE108" s="15">
        <v>-3.0603659405042498E-3</v>
      </c>
      <c r="AF108" s="15">
        <v>1.9664759995248701E-3</v>
      </c>
      <c r="AG108" s="15">
        <v>1.40269610598543E-3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2.9482639521364058E-2</v>
      </c>
      <c r="AT108" s="12"/>
      <c r="AU108">
        <f t="shared" si="30"/>
        <v>0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1.1044618033177373E-2</v>
      </c>
      <c r="BE108" s="29">
        <f t="shared" si="42"/>
        <v>0</v>
      </c>
      <c r="BF108" s="29">
        <f t="shared" si="43"/>
        <v>4.0527257554541424E-2</v>
      </c>
      <c r="BH108" s="29"/>
    </row>
    <row r="109" spans="1:60" x14ac:dyDescent="0.25">
      <c r="A109" s="1">
        <v>46181</v>
      </c>
      <c r="B109" s="33">
        <v>105.56</v>
      </c>
      <c r="C109" s="33">
        <v>118.25</v>
      </c>
      <c r="D109" s="15">
        <v>3.1310808824024199E-3</v>
      </c>
      <c r="E109" s="15">
        <v>5.08691219867088E-3</v>
      </c>
      <c r="F109" s="33">
        <v>0</v>
      </c>
      <c r="G109" s="33">
        <v>0.61458999999999997</v>
      </c>
      <c r="H109" s="33">
        <v>0</v>
      </c>
      <c r="I109" s="33">
        <v>0.62187599999999998</v>
      </c>
      <c r="J109" s="33">
        <v>0.61458999999999997</v>
      </c>
      <c r="K109" s="33">
        <v>0.62187599999999998</v>
      </c>
      <c r="L109" s="33">
        <v>106.17458999999999</v>
      </c>
      <c r="M109" s="33">
        <v>118.871876</v>
      </c>
      <c r="N109" s="34">
        <v>1.1202159909056399</v>
      </c>
      <c r="O109" s="34">
        <v>1.1144210713463301</v>
      </c>
      <c r="P109" s="34">
        <v>1.1197729859140999</v>
      </c>
      <c r="Q109" s="34">
        <v>1.11957061202085</v>
      </c>
      <c r="R109" s="33">
        <v>117.638288291319</v>
      </c>
      <c r="S109" s="33">
        <v>118.206151963371</v>
      </c>
      <c r="T109" s="33">
        <v>118.156451374657</v>
      </c>
      <c r="U109" s="15">
        <v>-5.1864641889174104E-3</v>
      </c>
      <c r="V109" s="15">
        <v>-3.7087668700434698E-4</v>
      </c>
      <c r="W109" s="15">
        <v>-7.9142197415466497E-4</v>
      </c>
      <c r="X109" s="34">
        <v>1.1195887452920701</v>
      </c>
      <c r="Y109" s="34">
        <v>1.1139962285470999</v>
      </c>
      <c r="Z109" s="34">
        <v>1.11932595715865</v>
      </c>
      <c r="AA109" s="34">
        <v>1.11924328329347</v>
      </c>
      <c r="AB109" s="33">
        <v>118.278092827535</v>
      </c>
      <c r="AC109" s="33">
        <v>118.85133057433301</v>
      </c>
      <c r="AD109" s="33">
        <v>118.811945804332</v>
      </c>
      <c r="AE109" s="15">
        <v>-5.0076701780419099E-3</v>
      </c>
      <c r="AF109" s="15">
        <v>-1.7285166235152499E-4</v>
      </c>
      <c r="AG109" s="15">
        <v>-5.0428503280088195E-4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2.9482639521364058E-2</v>
      </c>
      <c r="AT109" s="12"/>
      <c r="AU109">
        <f t="shared" si="30"/>
        <v>0</v>
      </c>
      <c r="AV109">
        <f t="shared" si="31"/>
        <v>1</v>
      </c>
      <c r="AW109">
        <f t="shared" si="38"/>
        <v>0</v>
      </c>
      <c r="AX109">
        <f t="shared" si="25"/>
        <v>1</v>
      </c>
      <c r="AY109">
        <f t="shared" si="39"/>
        <v>0</v>
      </c>
      <c r="AZ109" s="28">
        <f t="shared" si="32"/>
        <v>0</v>
      </c>
      <c r="BA109" s="28">
        <f t="shared" si="33"/>
        <v>0</v>
      </c>
      <c r="BB109" s="28">
        <f t="shared" si="40"/>
        <v>0</v>
      </c>
      <c r="BC109" s="29">
        <f t="shared" si="41"/>
        <v>1.1044618033177373E-2</v>
      </c>
      <c r="BE109" s="29">
        <f t="shared" si="42"/>
        <v>0</v>
      </c>
      <c r="BF109" s="29">
        <f t="shared" si="43"/>
        <v>4.0527257554541424E-2</v>
      </c>
      <c r="BH109" s="29"/>
    </row>
    <row r="110" spans="1:60" x14ac:dyDescent="0.25">
      <c r="A110" s="1">
        <v>46182</v>
      </c>
      <c r="B110" s="33">
        <v>104.68</v>
      </c>
      <c r="C110" s="33">
        <v>117.37</v>
      </c>
      <c r="D110" s="15">
        <v>-8.3714339731781207E-3</v>
      </c>
      <c r="E110" s="15">
        <v>-7.4696892600097098E-3</v>
      </c>
      <c r="F110" s="33">
        <v>0</v>
      </c>
      <c r="G110" s="33">
        <v>0.61458999999999997</v>
      </c>
      <c r="H110" s="33">
        <v>0</v>
      </c>
      <c r="I110" s="33">
        <v>0.62187599999999998</v>
      </c>
      <c r="J110" s="33">
        <v>0.61458999999999997</v>
      </c>
      <c r="K110" s="33">
        <v>0.62187599999999998</v>
      </c>
      <c r="L110" s="33">
        <v>105.29459</v>
      </c>
      <c r="M110" s="33">
        <v>117.991876</v>
      </c>
      <c r="N110" s="34">
        <v>1.1212265953381699</v>
      </c>
      <c r="O110" s="34">
        <v>1.1144210713463301</v>
      </c>
      <c r="P110" s="34">
        <v>1.11957714427695</v>
      </c>
      <c r="Q110" s="34">
        <v>1.1197498663160601</v>
      </c>
      <c r="R110" s="33">
        <v>116.657597748534</v>
      </c>
      <c r="S110" s="33">
        <v>117.217836165488</v>
      </c>
      <c r="T110" s="33">
        <v>117.196651666343</v>
      </c>
      <c r="U110" s="15">
        <v>-6.0882089020859098E-3</v>
      </c>
      <c r="V110" s="15">
        <v>-1.2972868358360401E-3</v>
      </c>
      <c r="W110" s="15">
        <v>-1.47803077703523E-3</v>
      </c>
      <c r="X110" s="34">
        <v>1.12058820875792</v>
      </c>
      <c r="Y110" s="34">
        <v>1.1139962285470999</v>
      </c>
      <c r="Z110" s="34">
        <v>1.1190882770572901</v>
      </c>
      <c r="AA110" s="34">
        <v>1.1194004998725999</v>
      </c>
      <c r="AB110" s="33">
        <v>117.297776146413</v>
      </c>
      <c r="AC110" s="33">
        <v>117.85896773537701</v>
      </c>
      <c r="AD110" s="33">
        <v>117.850262624639</v>
      </c>
      <c r="AE110" s="15">
        <v>-5.8999778418289302E-3</v>
      </c>
      <c r="AF110" s="15">
        <v>-1.12705366312064E-3</v>
      </c>
      <c r="AG110" s="15">
        <v>-1.2009167929487299E-3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2.9482639521364058E-2</v>
      </c>
      <c r="AT110" s="12"/>
      <c r="AU110">
        <f t="shared" si="30"/>
        <v>0</v>
      </c>
      <c r="AV110">
        <f t="shared" si="31"/>
        <v>1</v>
      </c>
      <c r="AW110">
        <f t="shared" si="38"/>
        <v>0</v>
      </c>
      <c r="AX110">
        <f t="shared" si="25"/>
        <v>1</v>
      </c>
      <c r="AY110">
        <f t="shared" si="39"/>
        <v>0</v>
      </c>
      <c r="AZ110" s="28">
        <f t="shared" si="32"/>
        <v>0</v>
      </c>
      <c r="BA110" s="28">
        <f t="shared" si="33"/>
        <v>0</v>
      </c>
      <c r="BB110" s="28">
        <f t="shared" si="40"/>
        <v>0</v>
      </c>
      <c r="BC110" s="29">
        <f t="shared" si="41"/>
        <v>1.1044618033177373E-2</v>
      </c>
      <c r="BE110" s="29">
        <f t="shared" si="42"/>
        <v>0</v>
      </c>
      <c r="BF110" s="29">
        <f t="shared" si="43"/>
        <v>4.0527257554541424E-2</v>
      </c>
      <c r="BH110" s="29"/>
    </row>
    <row r="111" spans="1:60" x14ac:dyDescent="0.25">
      <c r="A111" s="1">
        <v>46183</v>
      </c>
      <c r="B111" s="33">
        <v>103.36</v>
      </c>
      <c r="C111" s="33">
        <v>115.55</v>
      </c>
      <c r="D111" s="15">
        <v>-1.2690037627653399E-2</v>
      </c>
      <c r="E111" s="15">
        <v>-1.5628001391642801E-2</v>
      </c>
      <c r="F111" s="33">
        <v>0</v>
      </c>
      <c r="G111" s="33">
        <v>0.61458999999999997</v>
      </c>
      <c r="H111" s="33">
        <v>0</v>
      </c>
      <c r="I111" s="33">
        <v>0.62187599999999998</v>
      </c>
      <c r="J111" s="33">
        <v>0.61458999999999997</v>
      </c>
      <c r="K111" s="33">
        <v>0.62187599999999998</v>
      </c>
      <c r="L111" s="33">
        <v>103.97459000000001</v>
      </c>
      <c r="M111" s="33">
        <v>116.171876</v>
      </c>
      <c r="N111" s="34">
        <v>1.1179373065015401</v>
      </c>
      <c r="O111" s="34">
        <v>1.1144210713463301</v>
      </c>
      <c r="P111" s="34">
        <v>1.11918305339498</v>
      </c>
      <c r="Q111" s="34">
        <v>1.11985052898872</v>
      </c>
      <c r="R111" s="33">
        <v>115.186561934357</v>
      </c>
      <c r="S111" s="33">
        <v>115.719493632466</v>
      </c>
      <c r="T111" s="33">
        <v>115.737346182428</v>
      </c>
      <c r="U111" s="15">
        <v>-3.1502451380963801E-3</v>
      </c>
      <c r="V111" s="15">
        <v>1.46576757833608E-3</v>
      </c>
      <c r="W111" s="15">
        <v>1.62003003186371E-3</v>
      </c>
      <c r="X111" s="34">
        <v>1.1173102582082699</v>
      </c>
      <c r="Y111" s="34">
        <v>1.1139962285470999</v>
      </c>
      <c r="Z111" s="34">
        <v>1.11865288966675</v>
      </c>
      <c r="AA111" s="34">
        <v>1.1194794287285399</v>
      </c>
      <c r="AB111" s="33">
        <v>115.82730112473099</v>
      </c>
      <c r="AC111" s="33">
        <v>116.356744780838</v>
      </c>
      <c r="AD111" s="33">
        <v>116.389208020048</v>
      </c>
      <c r="AE111" s="15">
        <v>-2.97048578283676E-3</v>
      </c>
      <c r="AF111" s="15">
        <v>1.59007367925974E-3</v>
      </c>
      <c r="AG111" s="15">
        <v>1.86903225216376E-3</v>
      </c>
      <c r="AI111" s="12"/>
      <c r="AJ111">
        <f t="shared" si="26"/>
        <v>0</v>
      </c>
      <c r="AK111">
        <f t="shared" si="27"/>
        <v>1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2.9482639521364058E-2</v>
      </c>
      <c r="AT111" s="12"/>
      <c r="AU111">
        <f t="shared" si="30"/>
        <v>0</v>
      </c>
      <c r="AV111">
        <f t="shared" si="31"/>
        <v>0</v>
      </c>
      <c r="AW111">
        <f t="shared" si="38"/>
        <v>0</v>
      </c>
      <c r="AX111">
        <f t="shared" si="25"/>
        <v>1</v>
      </c>
      <c r="AY111">
        <f t="shared" si="39"/>
        <v>0</v>
      </c>
      <c r="AZ111" s="28">
        <f t="shared" si="32"/>
        <v>0</v>
      </c>
      <c r="BA111" s="28">
        <f t="shared" si="33"/>
        <v>0</v>
      </c>
      <c r="BB111" s="28">
        <f t="shared" si="40"/>
        <v>0</v>
      </c>
      <c r="BC111" s="29">
        <f t="shared" si="41"/>
        <v>1.1044618033177373E-2</v>
      </c>
      <c r="BE111" s="29">
        <f t="shared" si="42"/>
        <v>0</v>
      </c>
      <c r="BF111" s="29">
        <f t="shared" si="43"/>
        <v>4.0527257554541424E-2</v>
      </c>
      <c r="BH111" s="29"/>
    </row>
    <row r="112" spans="1:60" x14ac:dyDescent="0.25">
      <c r="A112" s="1">
        <v>46184</v>
      </c>
      <c r="B112" s="33">
        <v>105.62</v>
      </c>
      <c r="C112" s="33">
        <v>118.15</v>
      </c>
      <c r="D112" s="15">
        <v>2.1629707244495401E-2</v>
      </c>
      <c r="E112" s="15">
        <v>2.2251666912527002E-2</v>
      </c>
      <c r="F112" s="33">
        <v>0</v>
      </c>
      <c r="G112" s="33">
        <v>0.61458999999999997</v>
      </c>
      <c r="H112" s="33">
        <v>0</v>
      </c>
      <c r="I112" s="33">
        <v>0.62187599999999998</v>
      </c>
      <c r="J112" s="33">
        <v>0.61458999999999997</v>
      </c>
      <c r="K112" s="33">
        <v>0.62187599999999998</v>
      </c>
      <c r="L112" s="33">
        <v>106.23459</v>
      </c>
      <c r="M112" s="33">
        <v>118.77187600000001</v>
      </c>
      <c r="N112" s="34">
        <v>1.11863283469039</v>
      </c>
      <c r="O112" s="34">
        <v>1.1144210713463301</v>
      </c>
      <c r="P112" s="34">
        <v>1.11926579471771</v>
      </c>
      <c r="Q112" s="34">
        <v>1.11985044684546</v>
      </c>
      <c r="R112" s="33">
        <v>117.705153555599</v>
      </c>
      <c r="S112" s="33">
        <v>118.208114099578</v>
      </c>
      <c r="T112" s="33">
        <v>118.27861287178899</v>
      </c>
      <c r="U112" s="15">
        <v>-3.77220480612809E-3</v>
      </c>
      <c r="V112" s="15">
        <v>4.9174618752121496E-4</v>
      </c>
      <c r="W112" s="15">
        <v>1.0879637867278599E-3</v>
      </c>
      <c r="X112" s="34">
        <v>1.1180151022374101</v>
      </c>
      <c r="Y112" s="34">
        <v>1.1139962285470999</v>
      </c>
      <c r="Z112" s="34">
        <v>1.1186933763458899</v>
      </c>
      <c r="AA112" s="34">
        <v>1.11945855201089</v>
      </c>
      <c r="AB112" s="33">
        <v>118.344932601248</v>
      </c>
      <c r="AC112" s="33">
        <v>118.839631086062</v>
      </c>
      <c r="AD112" s="33">
        <v>118.927438124411</v>
      </c>
      <c r="AE112" s="15">
        <v>-3.60112691004738E-3</v>
      </c>
      <c r="AF112" s="15">
        <v>5.7030140273921399E-4</v>
      </c>
      <c r="AG112" s="15">
        <v>1.30889857376331E-3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2.9482639521364058E-2</v>
      </c>
      <c r="AT112" s="12"/>
      <c r="AU112">
        <f t="shared" si="30"/>
        <v>0</v>
      </c>
      <c r="AV112">
        <f t="shared" si="31"/>
        <v>0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1.1044618033177373E-2</v>
      </c>
      <c r="BE112" s="29">
        <f t="shared" si="42"/>
        <v>0</v>
      </c>
      <c r="BF112" s="29">
        <f t="shared" si="43"/>
        <v>4.0527257554541424E-2</v>
      </c>
      <c r="BH112" s="29"/>
    </row>
    <row r="113" spans="1:60" x14ac:dyDescent="0.25">
      <c r="A113" s="1">
        <v>46185</v>
      </c>
      <c r="B113" s="33">
        <v>106.88</v>
      </c>
      <c r="C113" s="33">
        <v>119.75</v>
      </c>
      <c r="D113" s="15">
        <v>1.18589625095483E-2</v>
      </c>
      <c r="E113" s="15">
        <v>1.34512326581078E-2</v>
      </c>
      <c r="F113" s="33">
        <v>0</v>
      </c>
      <c r="G113" s="33">
        <v>0.61458999999999997</v>
      </c>
      <c r="H113" s="33">
        <v>0</v>
      </c>
      <c r="I113" s="33">
        <v>0.62187599999999998</v>
      </c>
      <c r="J113" s="33">
        <v>0.61458999999999997</v>
      </c>
      <c r="K113" s="33">
        <v>0.62187599999999998</v>
      </c>
      <c r="L113" s="33">
        <v>107.49459</v>
      </c>
      <c r="M113" s="33">
        <v>120.371876</v>
      </c>
      <c r="N113" s="34">
        <v>1.12041541916167</v>
      </c>
      <c r="O113" s="34">
        <v>1.1144210713463301</v>
      </c>
      <c r="P113" s="34">
        <v>1.11966996383092</v>
      </c>
      <c r="Q113" s="34">
        <v>1.11995491865744</v>
      </c>
      <c r="R113" s="33">
        <v>119.109324105496</v>
      </c>
      <c r="S113" s="33">
        <v>119.627128139429</v>
      </c>
      <c r="T113" s="33">
        <v>119.689615758843</v>
      </c>
      <c r="U113" s="15">
        <v>-5.3644749546874699E-3</v>
      </c>
      <c r="V113" s="15">
        <v>-1.0265965868726001E-3</v>
      </c>
      <c r="W113" s="15">
        <v>-5.04379713821646E-4</v>
      </c>
      <c r="X113" s="34">
        <v>1.1197947357164599</v>
      </c>
      <c r="Y113" s="34">
        <v>1.1139962285470999</v>
      </c>
      <c r="Z113" s="34">
        <v>1.1190543215842801</v>
      </c>
      <c r="AA113" s="34">
        <v>1.1195419655224299</v>
      </c>
      <c r="AB113" s="33">
        <v>119.748567849217</v>
      </c>
      <c r="AC113" s="33">
        <v>120.253485826017</v>
      </c>
      <c r="AD113" s="33">
        <v>120.33573807040401</v>
      </c>
      <c r="AE113" s="15">
        <v>-5.1916408348988202E-3</v>
      </c>
      <c r="AF113" s="15">
        <v>-9.840208250478761E-4</v>
      </c>
      <c r="AG113" s="15">
        <v>-3.0026411923972601E-4</v>
      </c>
      <c r="AI113" s="12"/>
      <c r="AJ113">
        <f t="shared" si="26"/>
        <v>0</v>
      </c>
      <c r="AK113">
        <f t="shared" si="27"/>
        <v>1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2.9482639521364058E-2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1.1044618033177373E-2</v>
      </c>
      <c r="BE113" s="29">
        <f t="shared" si="42"/>
        <v>0</v>
      </c>
      <c r="BF113" s="29">
        <f t="shared" si="43"/>
        <v>4.0527257554541424E-2</v>
      </c>
      <c r="BH113" s="29"/>
    </row>
    <row r="114" spans="1:60" x14ac:dyDescent="0.25">
      <c r="A114" s="1">
        <v>46188</v>
      </c>
      <c r="B114" s="33">
        <v>109.77</v>
      </c>
      <c r="C114" s="33">
        <v>123.18</v>
      </c>
      <c r="D114" s="15">
        <v>2.66805579108895E-2</v>
      </c>
      <c r="E114" s="15">
        <v>2.8240463967872598E-2</v>
      </c>
      <c r="F114" s="33">
        <v>0</v>
      </c>
      <c r="G114" s="33">
        <v>0.61458999999999997</v>
      </c>
      <c r="H114" s="33">
        <v>0</v>
      </c>
      <c r="I114" s="33">
        <v>0.62187599999999998</v>
      </c>
      <c r="J114" s="33">
        <v>0.61458999999999997</v>
      </c>
      <c r="K114" s="33">
        <v>0.62187599999999998</v>
      </c>
      <c r="L114" s="33">
        <v>110.38459</v>
      </c>
      <c r="M114" s="33">
        <v>123.80187599999999</v>
      </c>
      <c r="N114" s="34">
        <v>1.1221645258267201</v>
      </c>
      <c r="O114" s="34">
        <v>1.1144210713463301</v>
      </c>
      <c r="P114" s="34">
        <v>1.1198239107021799</v>
      </c>
      <c r="Q114" s="34">
        <v>1.1199913746138499</v>
      </c>
      <c r="R114" s="33">
        <v>122.33000100168699</v>
      </c>
      <c r="S114" s="33">
        <v>122.90617192972</v>
      </c>
      <c r="T114" s="33">
        <v>122.93745142102701</v>
      </c>
      <c r="U114" s="15">
        <v>-6.9243810116705598E-3</v>
      </c>
      <c r="V114" s="15">
        <v>-2.2254658288826698E-3</v>
      </c>
      <c r="W114" s="15">
        <v>-1.9709992614788899E-3</v>
      </c>
      <c r="X114" s="34">
        <v>1.12155035408475</v>
      </c>
      <c r="Y114" s="34">
        <v>1.1139962285470999</v>
      </c>
      <c r="Z114" s="34">
        <v>1.11920759843288</v>
      </c>
      <c r="AA114" s="34">
        <v>1.11955856593449</v>
      </c>
      <c r="AB114" s="33">
        <v>122.96801694971801</v>
      </c>
      <c r="AC114" s="33">
        <v>123.52635247580901</v>
      </c>
      <c r="AD114" s="33">
        <v>123.580180851987</v>
      </c>
      <c r="AE114" s="15">
        <v>-6.7582168479539302E-3</v>
      </c>
      <c r="AF114" s="15">
        <v>-2.22799993242316E-3</v>
      </c>
      <c r="AG114" s="15">
        <v>-1.79233053667645E-3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2.9482639521364058E-2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1.1044618033177373E-2</v>
      </c>
      <c r="BE114" s="29">
        <f t="shared" si="42"/>
        <v>0</v>
      </c>
      <c r="BF114" s="29">
        <f t="shared" si="43"/>
        <v>4.0527257554541424E-2</v>
      </c>
      <c r="BH114" s="29"/>
    </row>
    <row r="115" spans="1:60" x14ac:dyDescent="0.25">
      <c r="A115" s="1">
        <v>46189</v>
      </c>
      <c r="B115" s="33">
        <v>109.48</v>
      </c>
      <c r="C115" s="33">
        <v>122.76</v>
      </c>
      <c r="D115" s="15">
        <v>-2.6453835267467802E-3</v>
      </c>
      <c r="E115" s="15">
        <v>-3.4154705073617701E-3</v>
      </c>
      <c r="F115" s="33">
        <v>0</v>
      </c>
      <c r="G115" s="33">
        <v>0.61458999999999997</v>
      </c>
      <c r="H115" s="33">
        <v>0</v>
      </c>
      <c r="I115" s="33">
        <v>0.62187599999999998</v>
      </c>
      <c r="J115" s="33">
        <v>0.61458999999999997</v>
      </c>
      <c r="K115" s="33">
        <v>0.62187599999999998</v>
      </c>
      <c r="L115" s="33">
        <v>110.09459</v>
      </c>
      <c r="M115" s="33">
        <v>123.38187600000001</v>
      </c>
      <c r="N115" s="34">
        <v>1.12130069419071</v>
      </c>
      <c r="O115" s="34">
        <v>1.1144210713463301</v>
      </c>
      <c r="P115" s="34">
        <v>1.1200702885915399</v>
      </c>
      <c r="Q115" s="34">
        <v>1.11998018921839</v>
      </c>
      <c r="R115" s="33">
        <v>122.006818890996</v>
      </c>
      <c r="S115" s="33">
        <v>122.598321743675</v>
      </c>
      <c r="T115" s="33">
        <v>122.616655692724</v>
      </c>
      <c r="U115" s="15">
        <v>-6.1542940310555299E-3</v>
      </c>
      <c r="V115" s="15">
        <v>-1.3178952201567901E-3</v>
      </c>
      <c r="W115" s="15">
        <v>-1.1683615393386501E-3</v>
      </c>
      <c r="X115" s="34">
        <v>1.12068972689757</v>
      </c>
      <c r="Y115" s="34">
        <v>1.1139962285470999</v>
      </c>
      <c r="Z115" s="34">
        <v>1.1194519251875199</v>
      </c>
      <c r="AA115" s="34">
        <v>1.1195278772724699</v>
      </c>
      <c r="AB115" s="33">
        <v>122.64495804344</v>
      </c>
      <c r="AC115" s="33">
        <v>123.218701674353</v>
      </c>
      <c r="AD115" s="33">
        <v>123.257341297545</v>
      </c>
      <c r="AE115" s="15">
        <v>-5.9905673560529896E-3</v>
      </c>
      <c r="AF115" s="15">
        <v>-1.32338983955512E-3</v>
      </c>
      <c r="AG115" s="15">
        <v>-1.0098532942338599E-3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2.9482639521364058E-2</v>
      </c>
      <c r="AT115" s="12"/>
      <c r="AU115">
        <f t="shared" si="30"/>
        <v>0</v>
      </c>
      <c r="AV115">
        <f t="shared" si="31"/>
        <v>1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1.1044618033177373E-2</v>
      </c>
      <c r="BE115" s="29">
        <f t="shared" si="42"/>
        <v>0</v>
      </c>
      <c r="BF115" s="29">
        <f t="shared" si="43"/>
        <v>4.0527257554541424E-2</v>
      </c>
      <c r="BH115" s="29"/>
    </row>
    <row r="116" spans="1:60" x14ac:dyDescent="0.25">
      <c r="A116" s="1">
        <v>46190</v>
      </c>
      <c r="B116" s="33">
        <v>109.54</v>
      </c>
      <c r="C116" s="33">
        <v>122.97</v>
      </c>
      <c r="D116" s="15">
        <v>5.4789518309695498E-4</v>
      </c>
      <c r="E116" s="15">
        <v>1.70919343282045E-3</v>
      </c>
      <c r="F116" s="33">
        <v>0</v>
      </c>
      <c r="G116" s="33">
        <v>0.61458999999999997</v>
      </c>
      <c r="H116" s="33">
        <v>0</v>
      </c>
      <c r="I116" s="33">
        <v>0.62187599999999998</v>
      </c>
      <c r="J116" s="33">
        <v>0.61458999999999997</v>
      </c>
      <c r="K116" s="33">
        <v>0.62187599999999998</v>
      </c>
      <c r="L116" s="33">
        <v>110.15459</v>
      </c>
      <c r="M116" s="33">
        <v>123.591876</v>
      </c>
      <c r="N116" s="34">
        <v>1.1226036151177601</v>
      </c>
      <c r="O116" s="34">
        <v>1.1144210713463301</v>
      </c>
      <c r="P116" s="34">
        <v>1.1202349073662401</v>
      </c>
      <c r="Q116" s="34">
        <v>1.12015566478099</v>
      </c>
      <c r="R116" s="33">
        <v>122.07368415527699</v>
      </c>
      <c r="S116" s="33">
        <v>122.69249941231701</v>
      </c>
      <c r="T116" s="33">
        <v>122.682629926982</v>
      </c>
      <c r="U116" s="15">
        <v>-7.31559228077898E-3</v>
      </c>
      <c r="V116" s="15">
        <v>-2.2592028199341502E-3</v>
      </c>
      <c r="W116" s="15">
        <v>-2.3396468760785299E-3</v>
      </c>
      <c r="X116" s="34">
        <v>1.1219857111719</v>
      </c>
      <c r="Y116" s="34">
        <v>1.1139962285470999</v>
      </c>
      <c r="Z116" s="34">
        <v>1.11961566973847</v>
      </c>
      <c r="AA116" s="34">
        <v>1.11968300535526</v>
      </c>
      <c r="AB116" s="33">
        <v>122.711797817152</v>
      </c>
      <c r="AC116" s="33">
        <v>123.31276784374199</v>
      </c>
      <c r="AD116" s="33">
        <v>123.32113431451999</v>
      </c>
      <c r="AE116" s="15">
        <v>-7.1463158844386303E-3</v>
      </c>
      <c r="AF116" s="15">
        <v>-2.2608588546577301E-3</v>
      </c>
      <c r="AG116" s="15">
        <v>-2.1930135932616201E-3</v>
      </c>
      <c r="AI116" s="12"/>
      <c r="AJ116">
        <f t="shared" si="26"/>
        <v>0</v>
      </c>
      <c r="AK116">
        <f t="shared" si="27"/>
        <v>1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2.9482639521364058E-2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1.1044618033177373E-2</v>
      </c>
      <c r="BE116" s="29">
        <f t="shared" si="42"/>
        <v>0</v>
      </c>
      <c r="BF116" s="29">
        <f t="shared" si="43"/>
        <v>4.0527257554541424E-2</v>
      </c>
      <c r="BH116" s="29"/>
    </row>
    <row r="117" spans="1:60" x14ac:dyDescent="0.25">
      <c r="A117" s="1">
        <v>46191</v>
      </c>
      <c r="B117" s="33">
        <v>110.58</v>
      </c>
      <c r="C117" s="33">
        <v>124.25</v>
      </c>
      <c r="D117" s="15">
        <v>9.4494615542115804E-3</v>
      </c>
      <c r="E117" s="15">
        <v>1.03552417923821E-2</v>
      </c>
      <c r="F117" s="33">
        <v>0</v>
      </c>
      <c r="G117" s="33">
        <v>0.61458999999999997</v>
      </c>
      <c r="H117" s="33">
        <v>0</v>
      </c>
      <c r="I117" s="33">
        <v>0.62187599999999998</v>
      </c>
      <c r="J117" s="33">
        <v>0.61458999999999997</v>
      </c>
      <c r="K117" s="33">
        <v>0.62187599999999998</v>
      </c>
      <c r="L117" s="33">
        <v>111.19459000000001</v>
      </c>
      <c r="M117" s="33">
        <v>124.871876</v>
      </c>
      <c r="N117" s="34">
        <v>1.12362090793995</v>
      </c>
      <c r="O117" s="34">
        <v>1.1144210713463301</v>
      </c>
      <c r="P117" s="34">
        <v>1.1206145068233799</v>
      </c>
      <c r="Q117" s="34">
        <v>1.1202946192071801</v>
      </c>
      <c r="R117" s="33">
        <v>123.23268206947699</v>
      </c>
      <c r="S117" s="33">
        <v>123.875576056559</v>
      </c>
      <c r="T117" s="33">
        <v>123.866813411482</v>
      </c>
      <c r="U117" s="15">
        <v>-8.2213725189496396E-3</v>
      </c>
      <c r="V117" s="15">
        <v>-3.0180220321723702E-3</v>
      </c>
      <c r="W117" s="15">
        <v>-3.0887620060595501E-3</v>
      </c>
      <c r="X117" s="34">
        <v>1.12300316049548</v>
      </c>
      <c r="Y117" s="34">
        <v>1.1139962285470999</v>
      </c>
      <c r="Z117" s="34">
        <v>1.1199936689605501</v>
      </c>
      <c r="AA117" s="34">
        <v>1.11980193947366</v>
      </c>
      <c r="AB117" s="33">
        <v>123.870353894841</v>
      </c>
      <c r="AC117" s="33">
        <v>124.495205354145</v>
      </c>
      <c r="AD117" s="33">
        <v>124.502692710446</v>
      </c>
      <c r="AE117" s="15">
        <v>-8.0527340908549301E-3</v>
      </c>
      <c r="AF117" s="15">
        <v>-3.02101568726492E-3</v>
      </c>
      <c r="AG117" s="15">
        <v>-2.9608757715362099E-3</v>
      </c>
      <c r="AI117" s="12"/>
      <c r="AJ117">
        <f t="shared" si="26"/>
        <v>0</v>
      </c>
      <c r="AK117">
        <f t="shared" si="27"/>
        <v>1</v>
      </c>
      <c r="AL117">
        <f t="shared" si="34"/>
        <v>0</v>
      </c>
      <c r="AM117">
        <f t="shared" si="24"/>
        <v>1</v>
      </c>
      <c r="AN117">
        <f t="shared" si="35"/>
        <v>0</v>
      </c>
      <c r="AO117" s="28">
        <f t="shared" si="28"/>
        <v>0</v>
      </c>
      <c r="AP117" s="28">
        <f t="shared" si="29"/>
        <v>0</v>
      </c>
      <c r="AQ117" s="28">
        <f t="shared" si="36"/>
        <v>0</v>
      </c>
      <c r="AR117" s="29">
        <f t="shared" si="37"/>
        <v>2.9482639521364058E-2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1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1.1044618033177373E-2</v>
      </c>
      <c r="BE117" s="29">
        <f t="shared" si="42"/>
        <v>0</v>
      </c>
      <c r="BF117" s="29">
        <f t="shared" si="43"/>
        <v>4.0527257554541424E-2</v>
      </c>
      <c r="BH117" s="29"/>
    </row>
    <row r="118" spans="1:60" x14ac:dyDescent="0.25">
      <c r="A118" s="1">
        <v>46195</v>
      </c>
      <c r="B118" s="33">
        <v>110.42</v>
      </c>
      <c r="C118" s="33">
        <v>124.27</v>
      </c>
      <c r="D118" s="15">
        <v>-1.44796405388838E-3</v>
      </c>
      <c r="E118" s="15">
        <v>1.60952841165038E-4</v>
      </c>
      <c r="F118" s="33">
        <v>0</v>
      </c>
      <c r="G118" s="33">
        <v>0.61458999999999997</v>
      </c>
      <c r="H118" s="33">
        <v>0</v>
      </c>
      <c r="I118" s="33">
        <v>0.62187599999999998</v>
      </c>
      <c r="J118" s="33">
        <v>0.61458999999999997</v>
      </c>
      <c r="K118" s="33">
        <v>0.62187599999999998</v>
      </c>
      <c r="L118" s="33">
        <v>111.03458999999999</v>
      </c>
      <c r="M118" s="33">
        <v>124.891876</v>
      </c>
      <c r="N118" s="34">
        <v>1.1254301756928</v>
      </c>
      <c r="O118" s="34">
        <v>1.1144210713463301</v>
      </c>
      <c r="P118" s="34">
        <v>1.12135480653654</v>
      </c>
      <c r="Q118" s="34">
        <v>1.1205777062399001</v>
      </c>
      <c r="R118" s="33">
        <v>123.05437469806201</v>
      </c>
      <c r="S118" s="33">
        <v>123.738253843438</v>
      </c>
      <c r="T118" s="33">
        <v>123.70293185285701</v>
      </c>
      <c r="U118" s="15">
        <v>-9.8302894140029906E-3</v>
      </c>
      <c r="V118" s="15">
        <v>-4.2881393110059101E-3</v>
      </c>
      <c r="W118" s="15">
        <v>-4.5736373837792898E-3</v>
      </c>
      <c r="X118" s="34">
        <v>1.1248015235612601</v>
      </c>
      <c r="Y118" s="34">
        <v>1.1139962285470999</v>
      </c>
      <c r="Z118" s="34">
        <v>1.1207327526423101</v>
      </c>
      <c r="AA118" s="34">
        <v>1.1200639959415</v>
      </c>
      <c r="AB118" s="33">
        <v>123.69211449827399</v>
      </c>
      <c r="AC118" s="33">
        <v>124.35803783563</v>
      </c>
      <c r="AD118" s="33">
        <v>124.336749230663</v>
      </c>
      <c r="AE118" s="15">
        <v>-9.6528405967542304E-3</v>
      </c>
      <c r="AF118" s="15">
        <v>-4.283564013592E-3</v>
      </c>
      <c r="AG118" s="15">
        <v>-4.4547666774729698E-3</v>
      </c>
      <c r="AI118" s="12"/>
      <c r="AJ118">
        <f t="shared" si="26"/>
        <v>0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2.9482639521364058E-2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1.1044618033177373E-2</v>
      </c>
      <c r="BE118" s="29">
        <f t="shared" si="42"/>
        <v>0</v>
      </c>
      <c r="BF118" s="29">
        <f t="shared" si="43"/>
        <v>4.0527257554541424E-2</v>
      </c>
      <c r="BH118" s="29"/>
    </row>
    <row r="119" spans="1:60" x14ac:dyDescent="0.25">
      <c r="A119" s="1">
        <v>46196</v>
      </c>
      <c r="B119" s="33">
        <v>108.24</v>
      </c>
      <c r="C119" s="33">
        <v>121.85</v>
      </c>
      <c r="D119" s="15">
        <v>-1.9940292993365898E-2</v>
      </c>
      <c r="E119" s="15">
        <v>-1.9665837746688002E-2</v>
      </c>
      <c r="F119" s="33">
        <v>0</v>
      </c>
      <c r="G119" s="33">
        <v>0.61458999999999997</v>
      </c>
      <c r="H119" s="33">
        <v>0</v>
      </c>
      <c r="I119" s="33">
        <v>0.62187599999999998</v>
      </c>
      <c r="J119" s="33">
        <v>0.61458999999999997</v>
      </c>
      <c r="K119" s="33">
        <v>0.62187599999999998</v>
      </c>
      <c r="L119" s="33">
        <v>108.85459</v>
      </c>
      <c r="M119" s="33">
        <v>122.47187599999999</v>
      </c>
      <c r="N119" s="34">
        <v>1.1257390983000699</v>
      </c>
      <c r="O119" s="34">
        <v>1.1144210713463301</v>
      </c>
      <c r="P119" s="34">
        <v>1.12190711727598</v>
      </c>
      <c r="Q119" s="34">
        <v>1.1208400515950401</v>
      </c>
      <c r="R119" s="33">
        <v>120.624936762527</v>
      </c>
      <c r="S119" s="33">
        <v>121.37544425951501</v>
      </c>
      <c r="T119" s="33">
        <v>121.291330923407</v>
      </c>
      <c r="U119" s="15">
        <v>-1.0104744660681101E-2</v>
      </c>
      <c r="V119" s="15">
        <v>-3.9021932438477098E-3</v>
      </c>
      <c r="W119" s="15">
        <v>-4.5954347427144904E-3</v>
      </c>
      <c r="X119" s="34">
        <v>1.1250961121620999</v>
      </c>
      <c r="Y119" s="34">
        <v>1.1139962285470999</v>
      </c>
      <c r="Z119" s="34">
        <v>1.12128348932931</v>
      </c>
      <c r="AA119" s="34">
        <v>1.12030472324398</v>
      </c>
      <c r="AB119" s="33">
        <v>121.26360272004101</v>
      </c>
      <c r="AC119" s="33">
        <v>121.99690428845</v>
      </c>
      <c r="AD119" s="33">
        <v>121.924107051974</v>
      </c>
      <c r="AE119" s="15">
        <v>-9.9147090461005494E-3</v>
      </c>
      <c r="AF119" s="15">
        <v>-3.8857502264647999E-3</v>
      </c>
      <c r="AG119" s="15">
        <v>-4.4826421320648098E-3</v>
      </c>
      <c r="AI119" s="12"/>
      <c r="AJ119">
        <f t="shared" si="26"/>
        <v>0</v>
      </c>
      <c r="AK119">
        <f t="shared" si="27"/>
        <v>0</v>
      </c>
      <c r="AL119">
        <f t="shared" si="34"/>
        <v>0</v>
      </c>
      <c r="AM119">
        <f t="shared" si="24"/>
        <v>1</v>
      </c>
      <c r="AN119">
        <f t="shared" si="35"/>
        <v>0</v>
      </c>
      <c r="AO119" s="28">
        <f t="shared" si="28"/>
        <v>0</v>
      </c>
      <c r="AP119" s="28">
        <f t="shared" si="29"/>
        <v>0</v>
      </c>
      <c r="AQ119" s="28">
        <f t="shared" si="36"/>
        <v>0</v>
      </c>
      <c r="AR119" s="29">
        <f t="shared" si="37"/>
        <v>2.9482639521364058E-2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1.1044618033177373E-2</v>
      </c>
      <c r="BE119" s="29">
        <f t="shared" si="42"/>
        <v>0</v>
      </c>
      <c r="BF119" s="29">
        <f t="shared" si="43"/>
        <v>4.0527257554541424E-2</v>
      </c>
      <c r="BH119" s="29"/>
    </row>
    <row r="120" spans="1:60" x14ac:dyDescent="0.25">
      <c r="A120" s="1">
        <v>46197</v>
      </c>
      <c r="B120" s="33">
        <v>107.13</v>
      </c>
      <c r="C120" s="33">
        <v>120.56</v>
      </c>
      <c r="D120" s="15">
        <v>-1.0307933588065799E-2</v>
      </c>
      <c r="E120" s="15">
        <v>-1.06432257529751E-2</v>
      </c>
      <c r="F120" s="33">
        <v>0</v>
      </c>
      <c r="G120" s="33">
        <v>0.61458999999999997</v>
      </c>
      <c r="H120" s="33">
        <v>0</v>
      </c>
      <c r="I120" s="33">
        <v>0.62187599999999998</v>
      </c>
      <c r="J120" s="33">
        <v>0.61458999999999997</v>
      </c>
      <c r="K120" s="33">
        <v>0.62187599999999998</v>
      </c>
      <c r="L120" s="33">
        <v>107.74459</v>
      </c>
      <c r="M120" s="33">
        <v>121.181876</v>
      </c>
      <c r="N120" s="34">
        <v>1.12536171007187</v>
      </c>
      <c r="O120" s="34">
        <v>1.1144210713463301</v>
      </c>
      <c r="P120" s="34">
        <v>1.1223206287493499</v>
      </c>
      <c r="Q120" s="34">
        <v>1.1209488865131501</v>
      </c>
      <c r="R120" s="33">
        <v>119.387929373332</v>
      </c>
      <c r="S120" s="33">
        <v>120.189909473776</v>
      </c>
      <c r="T120" s="33">
        <v>120.075594727376</v>
      </c>
      <c r="U120" s="15">
        <v>-9.7694524957717896E-3</v>
      </c>
      <c r="V120" s="15">
        <v>-3.0744835464691501E-3</v>
      </c>
      <c r="W120" s="15">
        <v>-4.0260538137475502E-3</v>
      </c>
      <c r="X120" s="34">
        <v>1.1247142524742999</v>
      </c>
      <c r="Y120" s="34">
        <v>1.1139962285470999</v>
      </c>
      <c r="Z120" s="34">
        <v>1.1216960937009499</v>
      </c>
      <c r="AA120" s="34">
        <v>1.1203921853791201</v>
      </c>
      <c r="AB120" s="33">
        <v>120.02706690635399</v>
      </c>
      <c r="AC120" s="33">
        <v>120.812229831556</v>
      </c>
      <c r="AD120" s="33">
        <v>120.706773080986</v>
      </c>
      <c r="AE120" s="15">
        <v>-9.5752495987854094E-3</v>
      </c>
      <c r="AF120" s="15">
        <v>-3.0550037957899198E-3</v>
      </c>
      <c r="AG120" s="15">
        <v>-3.92828296637479E-3</v>
      </c>
      <c r="AI120" s="12"/>
      <c r="AJ120">
        <f t="shared" si="26"/>
        <v>0</v>
      </c>
      <c r="AK120">
        <f t="shared" si="27"/>
        <v>0</v>
      </c>
      <c r="AL120">
        <f t="shared" si="34"/>
        <v>0</v>
      </c>
      <c r="AM120">
        <f t="shared" si="24"/>
        <v>1</v>
      </c>
      <c r="AN120">
        <f t="shared" si="35"/>
        <v>0</v>
      </c>
      <c r="AO120" s="28">
        <f t="shared" si="28"/>
        <v>0</v>
      </c>
      <c r="AP120" s="28">
        <f t="shared" si="29"/>
        <v>0</v>
      </c>
      <c r="AQ120" s="28">
        <f t="shared" si="36"/>
        <v>0</v>
      </c>
      <c r="AR120" s="29">
        <f t="shared" si="37"/>
        <v>2.9482639521364058E-2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1.1044618033177373E-2</v>
      </c>
      <c r="BE120" s="29">
        <f t="shared" si="42"/>
        <v>0</v>
      </c>
      <c r="BF120" s="29">
        <f t="shared" si="43"/>
        <v>4.0527257554541424E-2</v>
      </c>
      <c r="BH120" s="29"/>
    </row>
    <row r="121" spans="1:60" x14ac:dyDescent="0.25">
      <c r="A121" s="1">
        <v>46198</v>
      </c>
      <c r="B121" s="33">
        <v>107.52</v>
      </c>
      <c r="C121" s="33">
        <v>121.04</v>
      </c>
      <c r="D121" s="15">
        <v>3.6338265003726701E-3</v>
      </c>
      <c r="E121" s="15">
        <v>3.9735151618605297E-3</v>
      </c>
      <c r="F121" s="33">
        <v>0</v>
      </c>
      <c r="G121" s="33">
        <v>0.61458999999999997</v>
      </c>
      <c r="H121" s="33">
        <v>0</v>
      </c>
      <c r="I121" s="33">
        <v>0.62187599999999998</v>
      </c>
      <c r="J121" s="33">
        <v>0.61458999999999997</v>
      </c>
      <c r="K121" s="33">
        <v>0.62187599999999998</v>
      </c>
      <c r="L121" s="33">
        <v>108.13459</v>
      </c>
      <c r="M121" s="33">
        <v>121.66187600000001</v>
      </c>
      <c r="N121" s="34">
        <v>1.1257440476190399</v>
      </c>
      <c r="O121" s="34">
        <v>1.1144210713463301</v>
      </c>
      <c r="P121" s="34">
        <v>1.1231013028611001</v>
      </c>
      <c r="Q121" s="34">
        <v>1.12114217812804</v>
      </c>
      <c r="R121" s="33">
        <v>119.822553591157</v>
      </c>
      <c r="S121" s="33">
        <v>120.67191400313</v>
      </c>
      <c r="T121" s="33">
        <v>120.524424277894</v>
      </c>
      <c r="U121" s="15">
        <v>-1.0109141157259499E-2</v>
      </c>
      <c r="V121" s="15">
        <v>-3.0456610541474702E-3</v>
      </c>
      <c r="W121" s="15">
        <v>-4.2686459855978296E-3</v>
      </c>
      <c r="X121" s="34">
        <v>1.1250967521123401</v>
      </c>
      <c r="Y121" s="34">
        <v>1.1139962285470999</v>
      </c>
      <c r="Z121" s="34">
        <v>1.12247474309136</v>
      </c>
      <c r="AA121" s="34">
        <v>1.1205638163790499</v>
      </c>
      <c r="AB121" s="33">
        <v>120.461525435487</v>
      </c>
      <c r="AC121" s="33">
        <v>121.294147196954</v>
      </c>
      <c r="AD121" s="33">
        <v>121.153149605175</v>
      </c>
      <c r="AE121" s="15">
        <v>-9.9152778420017705E-3</v>
      </c>
      <c r="AF121" s="15">
        <v>-3.0271246541926301E-3</v>
      </c>
      <c r="AG121" s="15">
        <v>-4.1902443056327197E-3</v>
      </c>
      <c r="AI121" s="12"/>
      <c r="AJ121">
        <f t="shared" si="26"/>
        <v>0</v>
      </c>
      <c r="AK121">
        <f t="shared" si="27"/>
        <v>0</v>
      </c>
      <c r="AL121">
        <f t="shared" si="34"/>
        <v>0</v>
      </c>
      <c r="AM121">
        <f t="shared" si="24"/>
        <v>1</v>
      </c>
      <c r="AN121">
        <f t="shared" si="35"/>
        <v>0</v>
      </c>
      <c r="AO121" s="28">
        <f t="shared" si="28"/>
        <v>0</v>
      </c>
      <c r="AP121" s="28">
        <f t="shared" si="29"/>
        <v>0</v>
      </c>
      <c r="AQ121" s="28">
        <f t="shared" si="36"/>
        <v>0</v>
      </c>
      <c r="AR121" s="29">
        <f t="shared" si="37"/>
        <v>2.9482639521364058E-2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1.1044618033177373E-2</v>
      </c>
      <c r="BE121" s="29">
        <f t="shared" si="42"/>
        <v>0</v>
      </c>
      <c r="BF121" s="29">
        <f t="shared" si="43"/>
        <v>4.0527257554541424E-2</v>
      </c>
      <c r="BH121" s="29"/>
    </row>
    <row r="122" spans="1:60" x14ac:dyDescent="0.25">
      <c r="A122" s="1">
        <v>46199</v>
      </c>
      <c r="B122" s="33">
        <v>105.5</v>
      </c>
      <c r="C122" s="33">
        <v>118.81</v>
      </c>
      <c r="D122" s="15">
        <v>-1.8965923858718099E-2</v>
      </c>
      <c r="E122" s="15">
        <v>-1.8595491009904399E-2</v>
      </c>
      <c r="F122" s="33">
        <v>0</v>
      </c>
      <c r="G122" s="33">
        <v>0.61458999999999997</v>
      </c>
      <c r="H122" s="33">
        <v>0</v>
      </c>
      <c r="I122" s="33">
        <v>0.62187599999999998</v>
      </c>
      <c r="J122" s="33">
        <v>0.61458999999999997</v>
      </c>
      <c r="K122" s="33">
        <v>0.62187599999999998</v>
      </c>
      <c r="L122" s="33">
        <v>106.11459000000001</v>
      </c>
      <c r="M122" s="33">
        <v>119.431876</v>
      </c>
      <c r="N122" s="34">
        <v>1.1261611374407501</v>
      </c>
      <c r="O122" s="34">
        <v>1.1144210713463301</v>
      </c>
      <c r="P122" s="34">
        <v>1.12385413313614</v>
      </c>
      <c r="Q122" s="34">
        <v>1.12155996392692</v>
      </c>
      <c r="R122" s="33">
        <v>117.57142302703799</v>
      </c>
      <c r="S122" s="33">
        <v>118.487187451846</v>
      </c>
      <c r="T122" s="33">
        <v>118.280499792508</v>
      </c>
      <c r="U122" s="15">
        <v>-1.0479574006073199E-2</v>
      </c>
      <c r="V122" s="15">
        <v>-2.72074650992559E-3</v>
      </c>
      <c r="W122" s="15">
        <v>-4.4666579917309697E-3</v>
      </c>
      <c r="X122" s="34">
        <v>1.1254991043173199</v>
      </c>
      <c r="Y122" s="34">
        <v>1.1139962285470999</v>
      </c>
      <c r="Z122" s="34">
        <v>1.12322314329935</v>
      </c>
      <c r="AA122" s="34">
        <v>1.12095825982262</v>
      </c>
      <c r="AB122" s="33">
        <v>118.21125305382201</v>
      </c>
      <c r="AC122" s="33">
        <v>119.110947148495</v>
      </c>
      <c r="AD122" s="33">
        <v>118.908169943898</v>
      </c>
      <c r="AE122" s="15">
        <v>-1.02728295615749E-2</v>
      </c>
      <c r="AF122" s="15">
        <v>-2.6907457612769699E-3</v>
      </c>
      <c r="AG122" s="15">
        <v>-4.3946194343806302E-3</v>
      </c>
      <c r="AI122" s="12"/>
      <c r="AJ122">
        <f t="shared" si="26"/>
        <v>0</v>
      </c>
      <c r="AK122">
        <f t="shared" si="27"/>
        <v>0</v>
      </c>
      <c r="AL122">
        <f t="shared" si="34"/>
        <v>0</v>
      </c>
      <c r="AM122">
        <f t="shared" si="24"/>
        <v>1</v>
      </c>
      <c r="AN122">
        <f t="shared" si="35"/>
        <v>0</v>
      </c>
      <c r="AO122" s="28">
        <f t="shared" si="28"/>
        <v>0</v>
      </c>
      <c r="AP122" s="28">
        <f t="shared" si="29"/>
        <v>0</v>
      </c>
      <c r="AQ122" s="28">
        <f t="shared" si="36"/>
        <v>0</v>
      </c>
      <c r="AR122" s="29">
        <f t="shared" si="37"/>
        <v>2.9482639521364058E-2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1.1044618033177373E-2</v>
      </c>
      <c r="BE122" s="29">
        <f t="shared" si="42"/>
        <v>0</v>
      </c>
      <c r="BF122" s="29">
        <f t="shared" si="43"/>
        <v>4.0527257554541424E-2</v>
      </c>
      <c r="BH122" s="29"/>
    </row>
    <row r="123" spans="1:60" x14ac:dyDescent="0.25">
      <c r="A123" s="1">
        <v>46202</v>
      </c>
      <c r="B123" s="33">
        <v>107.14</v>
      </c>
      <c r="C123" s="33">
        <v>120.81</v>
      </c>
      <c r="D123" s="15">
        <v>1.54254375366931E-2</v>
      </c>
      <c r="E123" s="15">
        <v>1.6693485061276499E-2</v>
      </c>
      <c r="F123" s="33">
        <v>0</v>
      </c>
      <c r="G123" s="33">
        <v>0.61458999999999997</v>
      </c>
      <c r="H123" s="33">
        <v>0</v>
      </c>
      <c r="I123" s="33">
        <v>0.62187599999999998</v>
      </c>
      <c r="J123" s="33">
        <v>0.61458999999999997</v>
      </c>
      <c r="K123" s="33">
        <v>0.62187599999999998</v>
      </c>
      <c r="L123" s="33">
        <v>107.75458999999999</v>
      </c>
      <c r="M123" s="33">
        <v>121.431876</v>
      </c>
      <c r="N123" s="34">
        <v>1.1275900690684999</v>
      </c>
      <c r="O123" s="34">
        <v>1.1144210713463301</v>
      </c>
      <c r="P123" s="34">
        <v>1.1245715981268201</v>
      </c>
      <c r="Q123" s="34">
        <v>1.12212078097887</v>
      </c>
      <c r="R123" s="33">
        <v>119.39907358404599</v>
      </c>
      <c r="S123" s="33">
        <v>120.40973182420601</v>
      </c>
      <c r="T123" s="33">
        <v>120.16393453513101</v>
      </c>
      <c r="U123" s="15">
        <v>-1.1747621530656701E-2</v>
      </c>
      <c r="V123" s="15">
        <v>-3.3187048185459702E-3</v>
      </c>
      <c r="W123" s="15">
        <v>-5.3621319178108499E-3</v>
      </c>
      <c r="X123" s="34">
        <v>1.1269299618698301</v>
      </c>
      <c r="Y123" s="34">
        <v>1.1139962285470999</v>
      </c>
      <c r="Z123" s="34">
        <v>1.1239366659146801</v>
      </c>
      <c r="AA123" s="34">
        <v>1.1214954937494801</v>
      </c>
      <c r="AB123" s="33">
        <v>120.03820686863899</v>
      </c>
      <c r="AC123" s="33">
        <v>121.032449284732</v>
      </c>
      <c r="AD123" s="33">
        <v>120.7883976943</v>
      </c>
      <c r="AE123" s="15">
        <v>-1.1543331497875901E-2</v>
      </c>
      <c r="AF123" s="15">
        <v>-3.2947286255047602E-3</v>
      </c>
      <c r="AG123" s="15">
        <v>-5.3131788653417696E-3</v>
      </c>
      <c r="AI123" s="12"/>
      <c r="AJ123">
        <f t="shared" si="26"/>
        <v>1</v>
      </c>
      <c r="AK123">
        <f t="shared" si="27"/>
        <v>0</v>
      </c>
      <c r="AL123">
        <f t="shared" si="34"/>
        <v>0</v>
      </c>
      <c r="AM123">
        <f t="shared" si="24"/>
        <v>1</v>
      </c>
      <c r="AN123">
        <f t="shared" si="35"/>
        <v>0</v>
      </c>
      <c r="AO123" s="28">
        <f t="shared" si="28"/>
        <v>0</v>
      </c>
      <c r="AP123" s="28">
        <f t="shared" si="29"/>
        <v>0</v>
      </c>
      <c r="AQ123" s="28">
        <f t="shared" si="36"/>
        <v>0</v>
      </c>
      <c r="AR123" s="29">
        <f t="shared" si="37"/>
        <v>2.9482639521364058E-2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1.1044618033177373E-2</v>
      </c>
      <c r="BE123" s="29">
        <f t="shared" si="42"/>
        <v>0</v>
      </c>
      <c r="BF123" s="29">
        <f t="shared" si="43"/>
        <v>4.0527257554541424E-2</v>
      </c>
      <c r="BH123" s="29"/>
    </row>
    <row r="124" spans="1:60" x14ac:dyDescent="0.25">
      <c r="A124" s="1">
        <v>46203</v>
      </c>
      <c r="B124" s="33">
        <v>107.82</v>
      </c>
      <c r="C124" s="33">
        <v>121.74</v>
      </c>
      <c r="D124" s="15">
        <v>6.3267795707082197E-3</v>
      </c>
      <c r="E124" s="15">
        <v>7.66855953430592E-3</v>
      </c>
      <c r="F124" s="33">
        <v>0</v>
      </c>
      <c r="G124" s="33">
        <v>0.61458999999999997</v>
      </c>
      <c r="H124" s="33">
        <v>0</v>
      </c>
      <c r="I124" s="33">
        <v>0.62187599999999998</v>
      </c>
      <c r="J124" s="33">
        <v>0.61458999999999997</v>
      </c>
      <c r="K124" s="33">
        <v>0.62187599999999998</v>
      </c>
      <c r="L124" s="33">
        <v>108.43459</v>
      </c>
      <c r="M124" s="33">
        <v>122.361876</v>
      </c>
      <c r="N124" s="34">
        <v>1.12910406232609</v>
      </c>
      <c r="O124" s="34">
        <v>1.1144210713463301</v>
      </c>
      <c r="P124" s="34">
        <v>1.12526555177676</v>
      </c>
      <c r="Q124" s="34">
        <v>1.1225447312394701</v>
      </c>
      <c r="R124" s="33">
        <v>120.156879912561</v>
      </c>
      <c r="S124" s="33">
        <v>121.25130971003399</v>
      </c>
      <c r="T124" s="33">
        <v>120.987062605142</v>
      </c>
      <c r="U124" s="15">
        <v>-1.30894014942541E-2</v>
      </c>
      <c r="V124" s="15">
        <v>-4.0222915742837897E-3</v>
      </c>
      <c r="W124" s="15">
        <v>-6.2040038041137301E-3</v>
      </c>
      <c r="X124" s="34">
        <v>1.12843951362752</v>
      </c>
      <c r="Y124" s="34">
        <v>1.1139962285470999</v>
      </c>
      <c r="Z124" s="34">
        <v>1.1246255818689599</v>
      </c>
      <c r="AA124" s="34">
        <v>1.12191659015092</v>
      </c>
      <c r="AB124" s="33">
        <v>120.79572430405101</v>
      </c>
      <c r="AC124" s="33">
        <v>121.87361155442601</v>
      </c>
      <c r="AD124" s="33">
        <v>121.60890405157301</v>
      </c>
      <c r="AE124" s="15">
        <v>-1.2881960932657E-2</v>
      </c>
      <c r="AF124" s="15">
        <v>-3.9983140937728803E-3</v>
      </c>
      <c r="AG124" s="15">
        <v>-6.1726600133078201E-3</v>
      </c>
      <c r="AI124" s="12"/>
      <c r="AJ124">
        <f t="shared" si="26"/>
        <v>1</v>
      </c>
      <c r="AK124">
        <f t="shared" si="27"/>
        <v>0</v>
      </c>
      <c r="AL124">
        <f t="shared" si="34"/>
        <v>1</v>
      </c>
      <c r="AM124">
        <f t="shared" si="24"/>
        <v>0</v>
      </c>
      <c r="AN124">
        <f t="shared" si="35"/>
        <v>1</v>
      </c>
      <c r="AO124" s="28">
        <f t="shared" si="28"/>
        <v>6.3267795707082197E-3</v>
      </c>
      <c r="AP124" s="28">
        <f t="shared" si="29"/>
        <v>-7.66855953430592E-3</v>
      </c>
      <c r="AQ124" s="28">
        <f t="shared" si="36"/>
        <v>-1.3417799635977003E-3</v>
      </c>
      <c r="AR124" s="29">
        <f t="shared" si="37"/>
        <v>2.8140859557766358E-2</v>
      </c>
      <c r="AT124" s="12"/>
      <c r="AU124">
        <f t="shared" si="30"/>
        <v>0</v>
      </c>
      <c r="AV124">
        <f t="shared" si="31"/>
        <v>1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1.1044618033177373E-2</v>
      </c>
      <c r="BE124" s="29">
        <f t="shared" si="42"/>
        <v>-1.3417799635977003E-3</v>
      </c>
      <c r="BF124" s="29">
        <f t="shared" si="43"/>
        <v>3.9185477590943721E-2</v>
      </c>
      <c r="BH124" s="29"/>
    </row>
    <row r="125" spans="1:60" x14ac:dyDescent="0.25">
      <c r="A125" s="1">
        <v>46204</v>
      </c>
      <c r="B125" s="33">
        <v>105.85</v>
      </c>
      <c r="C125" s="33">
        <v>119.43</v>
      </c>
      <c r="D125" s="15">
        <v>-1.8440172442648499E-2</v>
      </c>
      <c r="E125" s="15">
        <v>-1.9157197385442699E-2</v>
      </c>
      <c r="F125" s="33">
        <v>9.1050000000000006E-2</v>
      </c>
      <c r="G125" s="33">
        <v>0.70563999999999905</v>
      </c>
      <c r="H125" s="33">
        <v>0.12010999999999999</v>
      </c>
      <c r="I125" s="33">
        <v>0.74198600000000003</v>
      </c>
      <c r="J125" s="33">
        <v>0.70563999999999905</v>
      </c>
      <c r="K125" s="33">
        <v>0.74198600000000003</v>
      </c>
      <c r="L125" s="33">
        <v>106.55564</v>
      </c>
      <c r="M125" s="33">
        <v>120.171986</v>
      </c>
      <c r="N125" s="34">
        <v>1.12829475673122</v>
      </c>
      <c r="O125" s="34">
        <v>1.1144210713463301</v>
      </c>
      <c r="P125" s="34">
        <v>1.12596495803081</v>
      </c>
      <c r="Q125" s="34">
        <v>1.1230176233111699</v>
      </c>
      <c r="R125" s="33">
        <v>117.961470402009</v>
      </c>
      <c r="S125" s="33">
        <v>119.10935865557001</v>
      </c>
      <c r="T125" s="33">
        <v>118.82135980169799</v>
      </c>
      <c r="U125" s="15">
        <v>-1.23723765514597E-2</v>
      </c>
      <c r="V125" s="15">
        <v>-2.6883742737697299E-3</v>
      </c>
      <c r="W125" s="15">
        <v>-5.1092386026201199E-3</v>
      </c>
      <c r="X125" s="34">
        <v>1.1277862532663601</v>
      </c>
      <c r="Y125" s="34">
        <v>1.1139962285470999</v>
      </c>
      <c r="Z125" s="34">
        <v>1.1253352345058401</v>
      </c>
      <c r="AA125" s="34">
        <v>1.12239357984668</v>
      </c>
      <c r="AB125" s="33">
        <v>118.702581090423</v>
      </c>
      <c r="AC125" s="33">
        <v>119.83519863642</v>
      </c>
      <c r="AD125" s="33">
        <v>119.546540290149</v>
      </c>
      <c r="AE125" s="15">
        <v>-1.23028873408246E-2</v>
      </c>
      <c r="AF125" s="15">
        <v>-2.8064791905622602E-3</v>
      </c>
      <c r="AG125" s="15">
        <v>-5.2181793267131599E-3</v>
      </c>
      <c r="AI125" s="12"/>
      <c r="AJ125">
        <f t="shared" si="26"/>
        <v>1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2.8140859557766358E-2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1.1044618033177373E-2</v>
      </c>
      <c r="BE125" s="29">
        <f t="shared" si="42"/>
        <v>0</v>
      </c>
      <c r="BF125" s="29">
        <f t="shared" si="43"/>
        <v>3.9185477590943721E-2</v>
      </c>
      <c r="BH125" s="29"/>
    </row>
    <row r="126" spans="1:60" x14ac:dyDescent="0.25">
      <c r="A126" s="1">
        <v>46205</v>
      </c>
      <c r="B126" s="33">
        <v>104.38</v>
      </c>
      <c r="C126" s="33">
        <v>117.43</v>
      </c>
      <c r="D126" s="15">
        <v>-1.39849113656069E-2</v>
      </c>
      <c r="E126" s="15">
        <v>-1.6888014303345699E-2</v>
      </c>
      <c r="F126" s="33">
        <v>0</v>
      </c>
      <c r="G126" s="33">
        <v>0.70563999999999905</v>
      </c>
      <c r="H126" s="33">
        <v>0</v>
      </c>
      <c r="I126" s="33">
        <v>0.74198600000000003</v>
      </c>
      <c r="J126" s="33">
        <v>0.70563999999999905</v>
      </c>
      <c r="K126" s="33">
        <v>0.74198600000000003</v>
      </c>
      <c r="L126" s="33">
        <v>105.08564</v>
      </c>
      <c r="M126" s="33">
        <v>118.171986</v>
      </c>
      <c r="N126" s="34">
        <v>1.1250239509484501</v>
      </c>
      <c r="O126" s="34">
        <v>1.1144210713463301</v>
      </c>
      <c r="P126" s="34">
        <v>1.1262069916138799</v>
      </c>
      <c r="Q126" s="34">
        <v>1.12322094949006</v>
      </c>
      <c r="R126" s="33">
        <v>116.32327142713</v>
      </c>
      <c r="S126" s="33">
        <v>117.528222319256</v>
      </c>
      <c r="T126" s="33">
        <v>117.22057952122</v>
      </c>
      <c r="U126" s="15">
        <v>-9.4692736137211402E-3</v>
      </c>
      <c r="V126" s="15">
        <v>8.3608331735108004E-4</v>
      </c>
      <c r="W126" s="15">
        <v>-1.7849564642782099E-3</v>
      </c>
      <c r="X126" s="34">
        <v>1.12453029738411</v>
      </c>
      <c r="Y126" s="34">
        <v>1.1139962285470999</v>
      </c>
      <c r="Z126" s="34">
        <v>1.1255896931270599</v>
      </c>
      <c r="AA126" s="34">
        <v>1.1226026814327701</v>
      </c>
      <c r="AB126" s="33">
        <v>117.065006634459</v>
      </c>
      <c r="AC126" s="33">
        <v>118.25657333259601</v>
      </c>
      <c r="AD126" s="33">
        <v>117.94744767008</v>
      </c>
      <c r="AE126" s="15">
        <v>-9.4116790429669191E-3</v>
      </c>
      <c r="AF126" s="15">
        <v>7.1554245768569197E-4</v>
      </c>
      <c r="AG126" s="15">
        <v>-1.9019052698360801E-3</v>
      </c>
      <c r="AI126" s="12"/>
      <c r="AJ126">
        <f t="shared" si="26"/>
        <v>0</v>
      </c>
      <c r="AK126">
        <f t="shared" si="27"/>
        <v>1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-1.39849113656069E-2</v>
      </c>
      <c r="AP126" s="28">
        <f t="shared" si="29"/>
        <v>1.6888014303345699E-2</v>
      </c>
      <c r="AQ126" s="28">
        <f t="shared" si="36"/>
        <v>2.9031029377387992E-3</v>
      </c>
      <c r="AR126" s="29">
        <f t="shared" si="37"/>
        <v>3.1043962495505159E-2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1.1044618033177373E-2</v>
      </c>
      <c r="BE126" s="29">
        <f t="shared" si="42"/>
        <v>2.9031029377387992E-3</v>
      </c>
      <c r="BF126" s="29">
        <f t="shared" si="43"/>
        <v>4.2088580528682522E-2</v>
      </c>
      <c r="BH126" s="29"/>
    </row>
    <row r="127" spans="1:60" x14ac:dyDescent="0.25">
      <c r="A127" s="1">
        <v>46209</v>
      </c>
      <c r="B127" s="33">
        <v>105.33</v>
      </c>
      <c r="C127" s="33">
        <v>118.19</v>
      </c>
      <c r="D127" s="15">
        <v>9.0601926331833303E-3</v>
      </c>
      <c r="E127" s="15">
        <v>6.4510876471593403E-3</v>
      </c>
      <c r="F127" s="33">
        <v>0</v>
      </c>
      <c r="G127" s="33">
        <v>0.70563999999999905</v>
      </c>
      <c r="H127" s="33">
        <v>0</v>
      </c>
      <c r="I127" s="33">
        <v>0.74198600000000003</v>
      </c>
      <c r="J127" s="33">
        <v>0.70563999999999905</v>
      </c>
      <c r="K127" s="33">
        <v>0.74198600000000003</v>
      </c>
      <c r="L127" s="33">
        <v>106.03564</v>
      </c>
      <c r="M127" s="33">
        <v>118.93198599999999</v>
      </c>
      <c r="N127" s="34">
        <v>1.1220924712807301</v>
      </c>
      <c r="O127" s="34">
        <v>1.1144210713463301</v>
      </c>
      <c r="P127" s="34">
        <v>1.12605414794795</v>
      </c>
      <c r="Q127" s="34">
        <v>1.12333432738567</v>
      </c>
      <c r="R127" s="33">
        <v>117.381971444909</v>
      </c>
      <c r="S127" s="33">
        <v>118.62338242669</v>
      </c>
      <c r="T127" s="33">
        <v>118.30886260978799</v>
      </c>
      <c r="U127" s="15">
        <v>-6.8601686276970504E-3</v>
      </c>
      <c r="V127" s="15">
        <v>3.6601217892836299E-3</v>
      </c>
      <c r="W127" s="15">
        <v>1.00518555129727E-3</v>
      </c>
      <c r="X127" s="34">
        <v>1.1216227487286301</v>
      </c>
      <c r="Y127" s="34">
        <v>1.1139962285470999</v>
      </c>
      <c r="Z127" s="34">
        <v>1.1254516519503801</v>
      </c>
      <c r="AA127" s="34">
        <v>1.1227226604554601</v>
      </c>
      <c r="AB127" s="33">
        <v>118.12330305157801</v>
      </c>
      <c r="AC127" s="33">
        <v>119.352623488132</v>
      </c>
      <c r="AD127" s="33">
        <v>119.03589379144</v>
      </c>
      <c r="AE127" s="15">
        <v>-6.8227634884417201E-3</v>
      </c>
      <c r="AF127" s="15">
        <v>3.5305505123926001E-3</v>
      </c>
      <c r="AG127" s="15">
        <v>8.7329263205597495E-4</v>
      </c>
      <c r="AI127" s="12"/>
      <c r="AJ127">
        <f t="shared" si="26"/>
        <v>0</v>
      </c>
      <c r="AK127">
        <f t="shared" si="27"/>
        <v>1</v>
      </c>
      <c r="AL127">
        <f t="shared" si="34"/>
        <v>0</v>
      </c>
      <c r="AM127">
        <f t="shared" si="24"/>
        <v>1</v>
      </c>
      <c r="AN127">
        <f t="shared" si="35"/>
        <v>0</v>
      </c>
      <c r="AO127" s="28">
        <f t="shared" si="28"/>
        <v>0</v>
      </c>
      <c r="AP127" s="28">
        <f t="shared" si="29"/>
        <v>0</v>
      </c>
      <c r="AQ127" s="28">
        <f t="shared" si="36"/>
        <v>0</v>
      </c>
      <c r="AR127" s="29">
        <f t="shared" si="37"/>
        <v>3.1043962495505159E-2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1.1044618033177373E-2</v>
      </c>
      <c r="BE127" s="29">
        <f t="shared" si="42"/>
        <v>0</v>
      </c>
      <c r="BF127" s="29">
        <f t="shared" si="43"/>
        <v>4.2088580528682522E-2</v>
      </c>
      <c r="BH127" s="29"/>
    </row>
    <row r="128" spans="1:60" x14ac:dyDescent="0.25">
      <c r="A128" s="1">
        <v>46210</v>
      </c>
      <c r="B128" s="33">
        <v>103.85</v>
      </c>
      <c r="C128" s="33">
        <v>116.3</v>
      </c>
      <c r="D128" s="15">
        <v>-1.41507285263292E-2</v>
      </c>
      <c r="E128" s="15">
        <v>-1.61204394995304E-2</v>
      </c>
      <c r="F128" s="33">
        <v>0</v>
      </c>
      <c r="G128" s="33">
        <v>0.70563999999999905</v>
      </c>
      <c r="H128" s="33">
        <v>0</v>
      </c>
      <c r="I128" s="33">
        <v>0.74198600000000003</v>
      </c>
      <c r="J128" s="33">
        <v>0.70563999999999905</v>
      </c>
      <c r="K128" s="33">
        <v>0.74198600000000003</v>
      </c>
      <c r="L128" s="33">
        <v>104.55564</v>
      </c>
      <c r="M128" s="33">
        <v>117.04198599999999</v>
      </c>
      <c r="N128" s="34">
        <v>1.11988444872412</v>
      </c>
      <c r="O128" s="34">
        <v>1.1144210713463301</v>
      </c>
      <c r="P128" s="34">
        <v>1.1254995752510899</v>
      </c>
      <c r="Q128" s="34">
        <v>1.12342719089381</v>
      </c>
      <c r="R128" s="33">
        <v>115.732628259316</v>
      </c>
      <c r="S128" s="33">
        <v>116.940723264395</v>
      </c>
      <c r="T128" s="33">
        <v>116.65826989900199</v>
      </c>
      <c r="U128" s="15">
        <v>-4.8904576544958698E-3</v>
      </c>
      <c r="V128" s="15">
        <v>5.4941081225028396E-3</v>
      </c>
      <c r="W128" s="15">
        <v>3.0758314063332802E-3</v>
      </c>
      <c r="X128" s="34">
        <v>1.1194229789995001</v>
      </c>
      <c r="Y128" s="34">
        <v>1.1139962285470999</v>
      </c>
      <c r="Z128" s="34">
        <v>1.1249137974942001</v>
      </c>
      <c r="AA128" s="34">
        <v>1.1228232750682501</v>
      </c>
      <c r="AB128" s="33">
        <v>116.47458863332901</v>
      </c>
      <c r="AC128" s="33">
        <v>117.67231775872899</v>
      </c>
      <c r="AD128" s="33">
        <v>117.38698630642401</v>
      </c>
      <c r="AE128" s="15">
        <v>-4.8595992313220796E-3</v>
      </c>
      <c r="AF128" s="15">
        <v>5.3710682644530399E-3</v>
      </c>
      <c r="AG128" s="15">
        <v>2.9433269454384701E-3</v>
      </c>
      <c r="AI128" s="12"/>
      <c r="AJ128">
        <f t="shared" si="26"/>
        <v>0</v>
      </c>
      <c r="AK128">
        <f t="shared" si="27"/>
        <v>1</v>
      </c>
      <c r="AL128">
        <f t="shared" si="34"/>
        <v>0</v>
      </c>
      <c r="AM128">
        <f t="shared" si="24"/>
        <v>1</v>
      </c>
      <c r="AN128">
        <f t="shared" si="35"/>
        <v>0</v>
      </c>
      <c r="AO128" s="28">
        <f t="shared" si="28"/>
        <v>0</v>
      </c>
      <c r="AP128" s="28">
        <f t="shared" si="29"/>
        <v>0</v>
      </c>
      <c r="AQ128" s="28">
        <f t="shared" si="36"/>
        <v>0</v>
      </c>
      <c r="AR128" s="29">
        <f t="shared" si="37"/>
        <v>3.1043962495505159E-2</v>
      </c>
      <c r="AT128" s="12"/>
      <c r="AU128">
        <f t="shared" si="30"/>
        <v>0</v>
      </c>
      <c r="AV128">
        <f t="shared" si="31"/>
        <v>0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1.1044618033177373E-2</v>
      </c>
      <c r="BE128" s="29">
        <f t="shared" si="42"/>
        <v>0</v>
      </c>
      <c r="BF128" s="29">
        <f t="shared" si="43"/>
        <v>4.2088580528682522E-2</v>
      </c>
      <c r="BH128" s="29"/>
    </row>
    <row r="129" spans="1:60" x14ac:dyDescent="0.25">
      <c r="A129" s="1">
        <v>46211</v>
      </c>
      <c r="B129" s="33">
        <v>104.65</v>
      </c>
      <c r="C129" s="33">
        <v>117.08</v>
      </c>
      <c r="D129" s="15">
        <v>7.6738985698875904E-3</v>
      </c>
      <c r="E129" s="15">
        <v>6.6844022990664E-3</v>
      </c>
      <c r="F129" s="33">
        <v>0</v>
      </c>
      <c r="G129" s="33">
        <v>0.70563999999999905</v>
      </c>
      <c r="H129" s="33">
        <v>0</v>
      </c>
      <c r="I129" s="33">
        <v>0.74198600000000003</v>
      </c>
      <c r="J129" s="33">
        <v>0.70563999999999905</v>
      </c>
      <c r="K129" s="33">
        <v>0.74198600000000003</v>
      </c>
      <c r="L129" s="33">
        <v>105.35563999999999</v>
      </c>
      <c r="M129" s="33">
        <v>117.821986</v>
      </c>
      <c r="N129" s="34">
        <v>1.11877687529861</v>
      </c>
      <c r="O129" s="34">
        <v>1.1144210713463301</v>
      </c>
      <c r="P129" s="34">
        <v>1.12480335295094</v>
      </c>
      <c r="Q129" s="34">
        <v>1.1233552351134599</v>
      </c>
      <c r="R129" s="33">
        <v>116.624165116393</v>
      </c>
      <c r="S129" s="33">
        <v>117.783530550026</v>
      </c>
      <c r="T129" s="33">
        <v>117.566655527037</v>
      </c>
      <c r="U129" s="15">
        <v>-3.90096138367476E-3</v>
      </c>
      <c r="V129" s="15">
        <v>5.9909910460433802E-3</v>
      </c>
      <c r="W129" s="15">
        <v>4.1479919986152696E-3</v>
      </c>
      <c r="X129" s="34">
        <v>1.1183263278548701</v>
      </c>
      <c r="Y129" s="34">
        <v>1.1139962285470999</v>
      </c>
      <c r="Z129" s="34">
        <v>1.1242368190634799</v>
      </c>
      <c r="AA129" s="34">
        <v>1.1227601541964001</v>
      </c>
      <c r="AB129" s="33">
        <v>117.36578561616599</v>
      </c>
      <c r="AC129" s="33">
        <v>118.51601307983201</v>
      </c>
      <c r="AD129" s="33">
        <v>118.295764751712</v>
      </c>
      <c r="AE129" s="15">
        <v>-3.8794615286152699E-3</v>
      </c>
      <c r="AF129" s="15">
        <v>5.8731907482988399E-3</v>
      </c>
      <c r="AG129" s="15">
        <v>4.0130772552788296E-3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3.1043962495505159E-2</v>
      </c>
      <c r="AT129" s="12"/>
      <c r="AU129">
        <f t="shared" si="30"/>
        <v>1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1.1044618033177373E-2</v>
      </c>
      <c r="BE129" s="29">
        <f t="shared" si="42"/>
        <v>0</v>
      </c>
      <c r="BF129" s="29">
        <f t="shared" si="43"/>
        <v>4.2088580528682522E-2</v>
      </c>
      <c r="BH129" s="29"/>
    </row>
    <row r="130" spans="1:60" x14ac:dyDescent="0.25">
      <c r="A130" s="1">
        <v>46212</v>
      </c>
      <c r="B130" s="33">
        <v>105.62</v>
      </c>
      <c r="C130" s="33">
        <v>118.56</v>
      </c>
      <c r="D130" s="15">
        <v>9.2262983867784192E-3</v>
      </c>
      <c r="E130" s="15">
        <v>1.25616997240916E-2</v>
      </c>
      <c r="F130" s="33">
        <v>0</v>
      </c>
      <c r="G130" s="33">
        <v>0.70563999999999905</v>
      </c>
      <c r="H130" s="33">
        <v>0</v>
      </c>
      <c r="I130" s="33">
        <v>0.74198600000000003</v>
      </c>
      <c r="J130" s="33">
        <v>0.70563999999999905</v>
      </c>
      <c r="K130" s="33">
        <v>0.74198600000000003</v>
      </c>
      <c r="L130" s="33">
        <v>106.32564000000001</v>
      </c>
      <c r="M130" s="33">
        <v>119.301986</v>
      </c>
      <c r="N130" s="34">
        <v>1.1225146752508901</v>
      </c>
      <c r="O130" s="34">
        <v>1.1144210713463301</v>
      </c>
      <c r="P130" s="34">
        <v>1.1245186494688399</v>
      </c>
      <c r="Q130" s="34">
        <v>1.1234196391091</v>
      </c>
      <c r="R130" s="33">
        <v>117.705153555599</v>
      </c>
      <c r="S130" s="33">
        <v>118.801730138678</v>
      </c>
      <c r="T130" s="33">
        <v>118.64877993268399</v>
      </c>
      <c r="U130" s="15">
        <v>-7.2363627209880103E-3</v>
      </c>
      <c r="V130" s="15">
        <v>2.0368087316134601E-3</v>
      </c>
      <c r="W130" s="15">
        <v>7.4853837075224399E-4</v>
      </c>
      <c r="X130" s="34">
        <v>1.12204343185707</v>
      </c>
      <c r="Y130" s="34">
        <v>1.1139962285470999</v>
      </c>
      <c r="Z130" s="34">
        <v>1.1239697370017601</v>
      </c>
      <c r="AA130" s="34">
        <v>1.1228329153513501</v>
      </c>
      <c r="AB130" s="33">
        <v>118.44636195785699</v>
      </c>
      <c r="AC130" s="33">
        <v>119.535199298489</v>
      </c>
      <c r="AD130" s="33">
        <v>119.37819196143001</v>
      </c>
      <c r="AE130" s="15">
        <v>-7.1977596772785602E-3</v>
      </c>
      <c r="AF130" s="15">
        <v>1.95290672444918E-3</v>
      </c>
      <c r="AG130" s="15">
        <v>6.3856131389957804E-4</v>
      </c>
      <c r="AI130" s="12"/>
      <c r="AJ130">
        <f t="shared" si="26"/>
        <v>0</v>
      </c>
      <c r="AK130">
        <f t="shared" si="27"/>
        <v>1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3.1043962495505159E-2</v>
      </c>
      <c r="AT130" s="12"/>
      <c r="AU130">
        <f t="shared" si="30"/>
        <v>0</v>
      </c>
      <c r="AV130">
        <f t="shared" si="31"/>
        <v>1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-9.2262983867784192E-3</v>
      </c>
      <c r="BA130" s="28">
        <f t="shared" si="33"/>
        <v>1.25616997240916E-2</v>
      </c>
      <c r="BB130" s="28">
        <f t="shared" si="40"/>
        <v>3.3354013373131809E-3</v>
      </c>
      <c r="BC130" s="29">
        <f t="shared" si="41"/>
        <v>1.4380019370490554E-2</v>
      </c>
      <c r="BE130" s="29">
        <f t="shared" si="42"/>
        <v>3.3354013373131809E-3</v>
      </c>
      <c r="BF130" s="29">
        <f t="shared" si="43"/>
        <v>4.5423981865995701E-2</v>
      </c>
      <c r="BH130" s="29"/>
    </row>
    <row r="131" spans="1:60" x14ac:dyDescent="0.25">
      <c r="A131" s="1">
        <v>46213</v>
      </c>
      <c r="B131" s="33">
        <v>105.24</v>
      </c>
      <c r="C131" s="33">
        <v>117.92</v>
      </c>
      <c r="D131" s="15">
        <v>-3.6042911066952298E-3</v>
      </c>
      <c r="E131" s="15">
        <v>-5.4127331067503302E-3</v>
      </c>
      <c r="F131" s="33">
        <v>0</v>
      </c>
      <c r="G131" s="33">
        <v>0.70563999999999905</v>
      </c>
      <c r="H131" s="33">
        <v>0</v>
      </c>
      <c r="I131" s="33">
        <v>0.74198600000000003</v>
      </c>
      <c r="J131" s="33">
        <v>0.70563999999999905</v>
      </c>
      <c r="K131" s="33">
        <v>0.74198600000000003</v>
      </c>
      <c r="L131" s="33">
        <v>105.94564</v>
      </c>
      <c r="M131" s="33">
        <v>118.661986</v>
      </c>
      <c r="N131" s="34">
        <v>1.12048650703154</v>
      </c>
      <c r="O131" s="34">
        <v>1.1144210713463301</v>
      </c>
      <c r="P131" s="34">
        <v>1.12399289541009</v>
      </c>
      <c r="Q131" s="34">
        <v>1.1235470991356</v>
      </c>
      <c r="R131" s="33">
        <v>117.281673548488</v>
      </c>
      <c r="S131" s="33">
        <v>118.344342670101</v>
      </c>
      <c r="T131" s="33">
        <v>118.228682819841</v>
      </c>
      <c r="U131" s="15">
        <v>-5.4279207209329298E-3</v>
      </c>
      <c r="V131" s="15">
        <v>3.5921046873833599E-3</v>
      </c>
      <c r="W131" s="15">
        <v>2.6143105433966301E-3</v>
      </c>
      <c r="X131" s="34">
        <v>1.1200270818128899</v>
      </c>
      <c r="Y131" s="34">
        <v>1.1139962285470999</v>
      </c>
      <c r="Z131" s="34">
        <v>1.12346276997181</v>
      </c>
      <c r="AA131" s="34">
        <v>1.12296875653158</v>
      </c>
      <c r="AB131" s="33">
        <v>118.023043391009</v>
      </c>
      <c r="AC131" s="33">
        <v>119.07969312728299</v>
      </c>
      <c r="AD131" s="33">
        <v>118.959251829965</v>
      </c>
      <c r="AE131" s="15">
        <v>-5.3991092106843303E-3</v>
      </c>
      <c r="AF131" s="15">
        <v>3.51396152861764E-3</v>
      </c>
      <c r="AG131" s="15">
        <v>2.5020152891701798E-3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3.1043962495505159E-2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1.4380019370490554E-2</v>
      </c>
      <c r="BE131" s="29">
        <f t="shared" si="42"/>
        <v>0</v>
      </c>
      <c r="BF131" s="29">
        <f t="shared" si="43"/>
        <v>4.5423981865995701E-2</v>
      </c>
      <c r="BH131" s="29"/>
    </row>
    <row r="132" spans="1:60" x14ac:dyDescent="0.25">
      <c r="A132" s="1">
        <v>46216</v>
      </c>
      <c r="B132" s="33">
        <v>103.86</v>
      </c>
      <c r="C132" s="33">
        <v>116.38</v>
      </c>
      <c r="D132" s="15">
        <v>-1.3199617755919E-2</v>
      </c>
      <c r="E132" s="15">
        <v>-1.3145729212502601E-2</v>
      </c>
      <c r="F132" s="33">
        <v>0</v>
      </c>
      <c r="G132" s="33">
        <v>0.70563999999999905</v>
      </c>
      <c r="H132" s="33">
        <v>0</v>
      </c>
      <c r="I132" s="33">
        <v>0.74198600000000003</v>
      </c>
      <c r="J132" s="33">
        <v>0.70563999999999905</v>
      </c>
      <c r="K132" s="33">
        <v>0.74198600000000003</v>
      </c>
      <c r="L132" s="33">
        <v>104.56564</v>
      </c>
      <c r="M132" s="33">
        <v>117.121985999999</v>
      </c>
      <c r="N132" s="34">
        <v>1.1205468900442901</v>
      </c>
      <c r="O132" s="34">
        <v>1.1144210713463301</v>
      </c>
      <c r="P132" s="34">
        <v>1.12343147067044</v>
      </c>
      <c r="Q132" s="34">
        <v>1.12364280190329</v>
      </c>
      <c r="R132" s="33">
        <v>115.74377247003</v>
      </c>
      <c r="S132" s="33">
        <v>116.73790211729199</v>
      </c>
      <c r="T132" s="33">
        <v>116.691601716223</v>
      </c>
      <c r="U132" s="15">
        <v>-5.48180926434932E-3</v>
      </c>
      <c r="V132" s="15">
        <v>3.0705698296491302E-3</v>
      </c>
      <c r="W132" s="15">
        <v>2.6738727462393501E-3</v>
      </c>
      <c r="X132" s="34">
        <v>1.12008099410093</v>
      </c>
      <c r="Y132" s="34">
        <v>1.1139962285470999</v>
      </c>
      <c r="Z132" s="34">
        <v>1.1229209589501701</v>
      </c>
      <c r="AA132" s="34">
        <v>1.1230720511247601</v>
      </c>
      <c r="AB132" s="33">
        <v>116.48572859561401</v>
      </c>
      <c r="AC132" s="33">
        <v>117.475603558275</v>
      </c>
      <c r="AD132" s="33">
        <v>117.423946726729</v>
      </c>
      <c r="AE132" s="15">
        <v>-5.4472428597886298E-3</v>
      </c>
      <c r="AF132" s="15">
        <v>3.01467569855106E-3</v>
      </c>
      <c r="AG132" s="15">
        <v>2.5748550831770898E-3</v>
      </c>
      <c r="AI132" s="12"/>
      <c r="AJ132">
        <f t="shared" si="26"/>
        <v>0</v>
      </c>
      <c r="AK132">
        <f t="shared" si="27"/>
        <v>1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3.1043962495505159E-2</v>
      </c>
      <c r="AT132" s="12"/>
      <c r="AU132">
        <f t="shared" si="30"/>
        <v>0</v>
      </c>
      <c r="AV132">
        <f t="shared" si="31"/>
        <v>0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1.4380019370490554E-2</v>
      </c>
      <c r="BE132" s="29">
        <f t="shared" si="42"/>
        <v>0</v>
      </c>
      <c r="BF132" s="29">
        <f t="shared" si="43"/>
        <v>4.5423981865995701E-2</v>
      </c>
      <c r="BH132" s="29"/>
    </row>
    <row r="133" spans="1:60" x14ac:dyDescent="0.25">
      <c r="A133" s="1">
        <v>46217</v>
      </c>
      <c r="B133" s="33">
        <v>104.14</v>
      </c>
      <c r="C133" s="33">
        <v>116.57</v>
      </c>
      <c r="D133" s="15">
        <v>2.69230931858015E-3</v>
      </c>
      <c r="E133" s="15">
        <v>1.63125170321701E-3</v>
      </c>
      <c r="F133" s="33">
        <v>0</v>
      </c>
      <c r="G133" s="33">
        <v>0.70563999999999905</v>
      </c>
      <c r="H133" s="33">
        <v>0</v>
      </c>
      <c r="I133" s="33">
        <v>0.74198600000000003</v>
      </c>
      <c r="J133" s="33">
        <v>0.70563999999999905</v>
      </c>
      <c r="K133" s="33">
        <v>0.74198600000000003</v>
      </c>
      <c r="L133" s="33">
        <v>104.84564</v>
      </c>
      <c r="M133" s="33">
        <v>117.311985999999</v>
      </c>
      <c r="N133" s="34">
        <v>1.1193585557902801</v>
      </c>
      <c r="O133" s="34">
        <v>1.1144210713463301</v>
      </c>
      <c r="P133" s="34">
        <v>1.12260831934262</v>
      </c>
      <c r="Q133" s="34">
        <v>1.12358995873472</v>
      </c>
      <c r="R133" s="33">
        <v>116.05581037000699</v>
      </c>
      <c r="S133" s="33">
        <v>116.99415335562</v>
      </c>
      <c r="T133" s="33">
        <v>117.01616139020901</v>
      </c>
      <c r="U133" s="15">
        <v>-4.4207516489862897E-3</v>
      </c>
      <c r="V133" s="15">
        <v>3.6320112979255801E-3</v>
      </c>
      <c r="W133" s="15">
        <v>3.8201058669818798E-3</v>
      </c>
      <c r="X133" s="34">
        <v>1.1189019018816599</v>
      </c>
      <c r="Y133" s="34">
        <v>1.1139962285470999</v>
      </c>
      <c r="Z133" s="34">
        <v>1.12211815295135</v>
      </c>
      <c r="AA133" s="34">
        <v>1.1230274094330199</v>
      </c>
      <c r="AB133" s="33">
        <v>116.797647539607</v>
      </c>
      <c r="AC133" s="33">
        <v>117.733366610544</v>
      </c>
      <c r="AD133" s="33">
        <v>117.749207966288</v>
      </c>
      <c r="AE133" s="15">
        <v>-4.3940036140730698E-3</v>
      </c>
      <c r="AF133" s="15">
        <v>3.5855298333258702E-3</v>
      </c>
      <c r="AG133" s="15">
        <v>3.7200735956064101E-3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3.1043962495505159E-2</v>
      </c>
      <c r="AT133" s="12"/>
      <c r="AU133">
        <f t="shared" si="30"/>
        <v>1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1.4380019370490554E-2</v>
      </c>
      <c r="BE133" s="29">
        <f t="shared" si="42"/>
        <v>0</v>
      </c>
      <c r="BF133" s="29">
        <f t="shared" si="43"/>
        <v>4.5423981865995701E-2</v>
      </c>
      <c r="BH133" s="29"/>
    </row>
    <row r="134" spans="1:60" x14ac:dyDescent="0.25">
      <c r="A134" s="1">
        <v>46218</v>
      </c>
      <c r="B134" s="33">
        <v>103.59</v>
      </c>
      <c r="C134" s="33">
        <v>116</v>
      </c>
      <c r="D134" s="15">
        <v>-5.2953476647423503E-3</v>
      </c>
      <c r="E134" s="15">
        <v>-4.9017598253762997E-3</v>
      </c>
      <c r="F134" s="33">
        <v>0</v>
      </c>
      <c r="G134" s="33">
        <v>0.70563999999999905</v>
      </c>
      <c r="H134" s="33">
        <v>0</v>
      </c>
      <c r="I134" s="33">
        <v>0.74198600000000003</v>
      </c>
      <c r="J134" s="33">
        <v>0.70563999999999905</v>
      </c>
      <c r="K134" s="33">
        <v>0.74198600000000003</v>
      </c>
      <c r="L134" s="33">
        <v>104.29564000000001</v>
      </c>
      <c r="M134" s="33">
        <v>116.741986</v>
      </c>
      <c r="N134" s="34">
        <v>1.1197992084177999</v>
      </c>
      <c r="O134" s="34">
        <v>1.1144210713463301</v>
      </c>
      <c r="P134" s="34">
        <v>1.1216778339517901</v>
      </c>
      <c r="Q134" s="34">
        <v>1.1234716928642701</v>
      </c>
      <c r="R134" s="33">
        <v>115.44287878076599</v>
      </c>
      <c r="S134" s="33">
        <v>116.29099580070201</v>
      </c>
      <c r="T134" s="33">
        <v>116.39268382533</v>
      </c>
      <c r="U134" s="15">
        <v>-4.81433948835229E-3</v>
      </c>
      <c r="V134" s="15">
        <v>2.5054432430383E-3</v>
      </c>
      <c r="W134" s="15">
        <v>3.3794884813179802E-3</v>
      </c>
      <c r="X134" s="34">
        <v>1.11933716500517</v>
      </c>
      <c r="Y134" s="34">
        <v>1.1139962285470999</v>
      </c>
      <c r="Z134" s="34">
        <v>1.1212079180891199</v>
      </c>
      <c r="AA134" s="34">
        <v>1.12291674997904</v>
      </c>
      <c r="AB134" s="33">
        <v>116.184949613906</v>
      </c>
      <c r="AC134" s="33">
        <v>117.03203091767899</v>
      </c>
      <c r="AD134" s="33">
        <v>117.126862404359</v>
      </c>
      <c r="AE134" s="15">
        <v>-4.7829371604817001E-3</v>
      </c>
      <c r="AF134" s="15">
        <v>2.4814140624471299E-3</v>
      </c>
      <c r="AG134" s="15">
        <v>3.2913896351756599E-3</v>
      </c>
      <c r="AI134" s="12"/>
      <c r="AJ134">
        <f t="shared" si="26"/>
        <v>0</v>
      </c>
      <c r="AK134">
        <f t="shared" si="27"/>
        <v>1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3.1043962495505159E-2</v>
      </c>
      <c r="AT134" s="12"/>
      <c r="AU134">
        <f t="shared" si="30"/>
        <v>1</v>
      </c>
      <c r="AV134">
        <f t="shared" si="31"/>
        <v>0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5.2953476647423503E-3</v>
      </c>
      <c r="BA134" s="28">
        <f t="shared" si="33"/>
        <v>-4.9017598253762997E-3</v>
      </c>
      <c r="BB134" s="28">
        <f t="shared" si="40"/>
        <v>3.9358783936605055E-4</v>
      </c>
      <c r="BC134" s="29">
        <f t="shared" si="41"/>
        <v>1.4773607209856605E-2</v>
      </c>
      <c r="BE134" s="29">
        <f t="shared" si="42"/>
        <v>3.9358783936605055E-4</v>
      </c>
      <c r="BF134" s="29">
        <f t="shared" si="43"/>
        <v>4.5817569705361751E-2</v>
      </c>
      <c r="BH134" s="29"/>
    </row>
    <row r="135" spans="1:60" x14ac:dyDescent="0.25">
      <c r="A135" s="1">
        <v>46219</v>
      </c>
      <c r="B135" s="33">
        <v>101.54</v>
      </c>
      <c r="C135" s="33">
        <v>113.65</v>
      </c>
      <c r="D135" s="15">
        <v>-1.9987990550762301E-2</v>
      </c>
      <c r="E135" s="15">
        <v>-2.0466640807812301E-2</v>
      </c>
      <c r="F135" s="33">
        <v>0</v>
      </c>
      <c r="G135" s="33">
        <v>0.70563999999999905</v>
      </c>
      <c r="H135" s="33">
        <v>0</v>
      </c>
      <c r="I135" s="33">
        <v>0.74198600000000003</v>
      </c>
      <c r="J135" s="33">
        <v>0.70563999999999905</v>
      </c>
      <c r="K135" s="33">
        <v>0.74198600000000003</v>
      </c>
      <c r="L135" s="33">
        <v>102.24563999999999</v>
      </c>
      <c r="M135" s="33">
        <v>114.391986</v>
      </c>
      <c r="N135" s="34">
        <v>1.1192633444947799</v>
      </c>
      <c r="O135" s="34">
        <v>1.1144210713463301</v>
      </c>
      <c r="P135" s="34">
        <v>1.1207746927281499</v>
      </c>
      <c r="Q135" s="34">
        <v>1.1233698253794799</v>
      </c>
      <c r="R135" s="33">
        <v>113.158315584506</v>
      </c>
      <c r="S135" s="33">
        <v>113.895167259465</v>
      </c>
      <c r="T135" s="33">
        <v>114.077315693438</v>
      </c>
      <c r="U135" s="15">
        <v>-4.3356892313023403E-3</v>
      </c>
      <c r="V135" s="15">
        <v>2.1548895745733699E-3</v>
      </c>
      <c r="W135" s="15">
        <v>3.7528760541227701E-3</v>
      </c>
      <c r="X135" s="34">
        <v>1.1187957354465099</v>
      </c>
      <c r="Y135" s="34">
        <v>1.1139962285470999</v>
      </c>
      <c r="Z135" s="34">
        <v>1.1203088663071299</v>
      </c>
      <c r="AA135" s="34">
        <v>1.1228220504064901</v>
      </c>
      <c r="AB135" s="33">
        <v>113.90125734538501</v>
      </c>
      <c r="AC135" s="33">
        <v>114.63862115809</v>
      </c>
      <c r="AD135" s="33">
        <v>114.81334176832701</v>
      </c>
      <c r="AE135" s="15">
        <v>-4.2991146233075398E-3</v>
      </c>
      <c r="AF135" s="15">
        <v>2.15373182201628E-3</v>
      </c>
      <c r="AG135" s="15">
        <v>3.67667058252001E-3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3.1043962495505159E-2</v>
      </c>
      <c r="AT135" s="12"/>
      <c r="AU135">
        <f t="shared" si="30"/>
        <v>1</v>
      </c>
      <c r="AV135">
        <f t="shared" si="31"/>
        <v>0</v>
      </c>
      <c r="AW135">
        <f t="shared" si="38"/>
        <v>1</v>
      </c>
      <c r="AX135">
        <f t="shared" si="25"/>
        <v>1</v>
      </c>
      <c r="AY135">
        <f t="shared" si="39"/>
        <v>1</v>
      </c>
      <c r="AZ135" s="28">
        <f t="shared" si="32"/>
        <v>1.9987990550762301E-2</v>
      </c>
      <c r="BA135" s="28">
        <f t="shared" si="33"/>
        <v>-2.0466640807812301E-2</v>
      </c>
      <c r="BB135" s="28">
        <f t="shared" si="40"/>
        <v>-4.7865025704999994E-4</v>
      </c>
      <c r="BC135" s="29">
        <f t="shared" si="41"/>
        <v>1.4294956952806605E-2</v>
      </c>
      <c r="BE135" s="29">
        <f t="shared" si="42"/>
        <v>-4.7865025704999994E-4</v>
      </c>
      <c r="BF135" s="29">
        <f t="shared" si="43"/>
        <v>4.5338919448311754E-2</v>
      </c>
      <c r="BH135" s="29"/>
    </row>
    <row r="136" spans="1:60" x14ac:dyDescent="0.25">
      <c r="A136" s="1">
        <v>46220</v>
      </c>
      <c r="B136" s="33">
        <v>101.49</v>
      </c>
      <c r="C136" s="33">
        <v>113.74</v>
      </c>
      <c r="D136" s="15">
        <v>-4.9253805852153196E-4</v>
      </c>
      <c r="E136" s="15">
        <v>7.9159158010132897E-4</v>
      </c>
      <c r="F136" s="33">
        <v>0</v>
      </c>
      <c r="G136" s="33">
        <v>0.70563999999999905</v>
      </c>
      <c r="H136" s="33">
        <v>0</v>
      </c>
      <c r="I136" s="33">
        <v>0.74198600000000003</v>
      </c>
      <c r="J136" s="33">
        <v>0.70563999999999905</v>
      </c>
      <c r="K136" s="33">
        <v>0.74198600000000003</v>
      </c>
      <c r="L136" s="33">
        <v>102.19564</v>
      </c>
      <c r="M136" s="33">
        <v>114.481985999999</v>
      </c>
      <c r="N136" s="34">
        <v>1.12070154695043</v>
      </c>
      <c r="O136" s="34">
        <v>1.1144210713463301</v>
      </c>
      <c r="P136" s="34">
        <v>1.1203424523283501</v>
      </c>
      <c r="Q136" s="34">
        <v>1.1232747219711099</v>
      </c>
      <c r="R136" s="33">
        <v>113.102594530939</v>
      </c>
      <c r="S136" s="33">
        <v>113.74742356498</v>
      </c>
      <c r="T136" s="33">
        <v>114.010803577763</v>
      </c>
      <c r="U136" s="15">
        <v>-5.6198188699252798E-3</v>
      </c>
      <c r="V136" s="15">
        <v>6.5265717696166595E-5</v>
      </c>
      <c r="W136" s="15">
        <v>2.37807025161417E-3</v>
      </c>
      <c r="X136" s="34">
        <v>1.12022377862695</v>
      </c>
      <c r="Y136" s="34">
        <v>1.1139962285470999</v>
      </c>
      <c r="Z136" s="34">
        <v>1.1198782144314201</v>
      </c>
      <c r="AA136" s="34">
        <v>1.12273395377924</v>
      </c>
      <c r="AB136" s="33">
        <v>113.84555753395701</v>
      </c>
      <c r="AC136" s="33">
        <v>114.490681589932</v>
      </c>
      <c r="AD136" s="33">
        <v>114.74751804740301</v>
      </c>
      <c r="AE136" s="15">
        <v>-5.5747117005968804E-3</v>
      </c>
      <c r="AF136" s="15">
        <v>7.5953082332459504E-5</v>
      </c>
      <c r="AG136" s="15">
        <v>2.3167363841083799E-3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1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3.1043962495505159E-2</v>
      </c>
      <c r="AT136" s="12"/>
      <c r="AU136">
        <f t="shared" si="30"/>
        <v>0</v>
      </c>
      <c r="AV136">
        <f t="shared" si="31"/>
        <v>0</v>
      </c>
      <c r="AW136">
        <f t="shared" si="38"/>
        <v>1</v>
      </c>
      <c r="AX136">
        <f t="shared" si="25"/>
        <v>1</v>
      </c>
      <c r="AY136">
        <f t="shared" si="39"/>
        <v>1</v>
      </c>
      <c r="AZ136" s="28">
        <f t="shared" si="32"/>
        <v>4.9253805852153196E-4</v>
      </c>
      <c r="BA136" s="28">
        <f t="shared" si="33"/>
        <v>7.9159158010132897E-4</v>
      </c>
      <c r="BB136" s="28">
        <f t="shared" si="40"/>
        <v>1.2841296386228609E-3</v>
      </c>
      <c r="BC136" s="29">
        <f t="shared" si="41"/>
        <v>1.5579086591429467E-2</v>
      </c>
      <c r="BE136" s="29">
        <f t="shared" si="42"/>
        <v>1.2841296386228609E-3</v>
      </c>
      <c r="BF136" s="29">
        <f t="shared" si="43"/>
        <v>4.6623049086934612E-2</v>
      </c>
      <c r="BH136" s="29"/>
    </row>
    <row r="137" spans="1:60" x14ac:dyDescent="0.25">
      <c r="A137" s="1">
        <v>46223</v>
      </c>
      <c r="B137" s="33">
        <v>101.82</v>
      </c>
      <c r="C137" s="33">
        <v>114.16</v>
      </c>
      <c r="D137" s="15">
        <v>3.2462770134631101E-3</v>
      </c>
      <c r="E137" s="15">
        <v>3.6858312899272902E-3</v>
      </c>
      <c r="F137" s="33">
        <v>0</v>
      </c>
      <c r="G137" s="33">
        <v>0.70563999999999905</v>
      </c>
      <c r="H137" s="33">
        <v>0</v>
      </c>
      <c r="I137" s="33">
        <v>0.74198600000000003</v>
      </c>
      <c r="J137" s="33">
        <v>0.70563999999999905</v>
      </c>
      <c r="K137" s="33">
        <v>0.74198600000000003</v>
      </c>
      <c r="L137" s="33">
        <v>102.52564</v>
      </c>
      <c r="M137" s="33">
        <v>114.90198599999999</v>
      </c>
      <c r="N137" s="34">
        <v>1.1211942643881301</v>
      </c>
      <c r="O137" s="34">
        <v>1.1144210713463301</v>
      </c>
      <c r="P137" s="34">
        <v>1.1202526316390899</v>
      </c>
      <c r="Q137" s="34">
        <v>1.12315338979352</v>
      </c>
      <c r="R137" s="33">
        <v>113.470353484483</v>
      </c>
      <c r="S137" s="33">
        <v>114.073268496072</v>
      </c>
      <c r="T137" s="33">
        <v>114.371832191099</v>
      </c>
      <c r="U137" s="15">
        <v>-6.0593731463894698E-3</v>
      </c>
      <c r="V137" s="15">
        <v>-7.6002511530191504E-4</v>
      </c>
      <c r="W137" s="15">
        <v>1.85385335369948E-3</v>
      </c>
      <c r="X137" s="34">
        <v>1.12071464269815</v>
      </c>
      <c r="Y137" s="34">
        <v>1.1139962285470999</v>
      </c>
      <c r="Z137" s="34">
        <v>1.1197874038283699</v>
      </c>
      <c r="AA137" s="34">
        <v>1.12261952788937</v>
      </c>
      <c r="AB137" s="33">
        <v>114.213176289378</v>
      </c>
      <c r="AC137" s="33">
        <v>114.816230656638</v>
      </c>
      <c r="AD137" s="33">
        <v>115.109017160947</v>
      </c>
      <c r="AE137" s="15">
        <v>-6.0127996680149299E-3</v>
      </c>
      <c r="AF137" s="15">
        <v>-7.4661338219321797E-4</v>
      </c>
      <c r="AG137" s="15">
        <v>1.8001853303732801E-3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3.1043962495505159E-2</v>
      </c>
      <c r="AT137" s="12"/>
      <c r="AU137">
        <f t="shared" si="30"/>
        <v>0</v>
      </c>
      <c r="AV137">
        <f t="shared" si="31"/>
        <v>0</v>
      </c>
      <c r="AW137">
        <f t="shared" si="38"/>
        <v>1</v>
      </c>
      <c r="AX137">
        <f t="shared" si="25"/>
        <v>1</v>
      </c>
      <c r="AY137">
        <f t="shared" si="39"/>
        <v>1</v>
      </c>
      <c r="AZ137" s="28">
        <f t="shared" si="32"/>
        <v>-3.2462770134631101E-3</v>
      </c>
      <c r="BA137" s="28">
        <f t="shared" si="33"/>
        <v>3.6858312899272902E-3</v>
      </c>
      <c r="BB137" s="28">
        <f t="shared" si="40"/>
        <v>4.3955427646418009E-4</v>
      </c>
      <c r="BC137" s="29">
        <f t="shared" si="41"/>
        <v>1.6018640867893646E-2</v>
      </c>
      <c r="BE137" s="29">
        <f t="shared" si="42"/>
        <v>4.3955427646418009E-4</v>
      </c>
      <c r="BF137" s="29">
        <f t="shared" si="43"/>
        <v>4.7062603363398792E-2</v>
      </c>
      <c r="BH137" s="29"/>
    </row>
    <row r="138" spans="1:60" x14ac:dyDescent="0.25">
      <c r="A138" s="1">
        <v>46224</v>
      </c>
      <c r="B138" s="33">
        <v>103.69</v>
      </c>
      <c r="C138" s="33">
        <v>116.72</v>
      </c>
      <c r="D138" s="15">
        <v>1.8199130095996802E-2</v>
      </c>
      <c r="E138" s="15">
        <v>2.21769310459492E-2</v>
      </c>
      <c r="F138" s="33">
        <v>0</v>
      </c>
      <c r="G138" s="33">
        <v>0.70563999999999905</v>
      </c>
      <c r="H138" s="33">
        <v>0</v>
      </c>
      <c r="I138" s="33">
        <v>0.74198600000000003</v>
      </c>
      <c r="J138" s="33">
        <v>0.70563999999999905</v>
      </c>
      <c r="K138" s="33">
        <v>0.74198600000000003</v>
      </c>
      <c r="L138" s="33">
        <v>104.39564</v>
      </c>
      <c r="M138" s="33">
        <v>117.461986</v>
      </c>
      <c r="N138" s="34">
        <v>1.1256630340437801</v>
      </c>
      <c r="O138" s="34">
        <v>1.1144210713463301</v>
      </c>
      <c r="P138" s="34">
        <v>1.12083049017105</v>
      </c>
      <c r="Q138" s="34">
        <v>1.12316503271107</v>
      </c>
      <c r="R138" s="33">
        <v>115.554320887901</v>
      </c>
      <c r="S138" s="33">
        <v>116.158995374657</v>
      </c>
      <c r="T138" s="33">
        <v>116.45977498769</v>
      </c>
      <c r="U138" s="15">
        <v>-1.00371740963418E-2</v>
      </c>
      <c r="V138" s="15">
        <v>-4.8180018095920199E-3</v>
      </c>
      <c r="W138" s="15">
        <v>-2.2319699069367799E-3</v>
      </c>
      <c r="X138" s="34">
        <v>1.1251617979448101</v>
      </c>
      <c r="Y138" s="34">
        <v>1.1139962285470999</v>
      </c>
      <c r="Z138" s="34">
        <v>1.1203612857228999</v>
      </c>
      <c r="AA138" s="34">
        <v>1.1226375416085499</v>
      </c>
      <c r="AB138" s="33">
        <v>116.296349236761</v>
      </c>
      <c r="AC138" s="33">
        <v>116.90092268660101</v>
      </c>
      <c r="AD138" s="33">
        <v>117.19658409050901</v>
      </c>
      <c r="AE138" s="15">
        <v>-9.9730897165442901E-3</v>
      </c>
      <c r="AF138" s="15">
        <v>-4.7879964317108599E-3</v>
      </c>
      <c r="AG138" s="15">
        <v>-2.26202710222568E-3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3.1043962495505159E-2</v>
      </c>
      <c r="AT138" s="12"/>
      <c r="AU138">
        <f t="shared" si="30"/>
        <v>0</v>
      </c>
      <c r="AV138">
        <f t="shared" si="31"/>
        <v>1</v>
      </c>
      <c r="AW138">
        <f t="shared" si="38"/>
        <v>1</v>
      </c>
      <c r="AX138">
        <f t="shared" si="25"/>
        <v>1</v>
      </c>
      <c r="AY138">
        <f t="shared" si="39"/>
        <v>1</v>
      </c>
      <c r="AZ138" s="28">
        <f t="shared" si="32"/>
        <v>-1.8199130095996802E-2</v>
      </c>
      <c r="BA138" s="28">
        <f t="shared" si="33"/>
        <v>2.21769310459492E-2</v>
      </c>
      <c r="BB138" s="28">
        <f t="shared" si="40"/>
        <v>3.9778009499523981E-3</v>
      </c>
      <c r="BC138" s="29">
        <f t="shared" si="41"/>
        <v>1.9996441817846045E-2</v>
      </c>
      <c r="BE138" s="29">
        <f t="shared" si="42"/>
        <v>3.9778009499523981E-3</v>
      </c>
      <c r="BF138" s="29">
        <f t="shared" si="43"/>
        <v>5.104040431335119E-2</v>
      </c>
      <c r="BH138" s="29"/>
    </row>
    <row r="139" spans="1:60" x14ac:dyDescent="0.25">
      <c r="A139" s="1">
        <v>46225</v>
      </c>
      <c r="B139" s="33">
        <v>104</v>
      </c>
      <c r="C139" s="33">
        <v>116.51</v>
      </c>
      <c r="D139" s="15">
        <v>2.9852205711858098E-3</v>
      </c>
      <c r="E139" s="15">
        <v>-1.8007979826804299E-3</v>
      </c>
      <c r="F139" s="33">
        <v>0</v>
      </c>
      <c r="G139" s="33">
        <v>0.70563999999999905</v>
      </c>
      <c r="H139" s="33">
        <v>0</v>
      </c>
      <c r="I139" s="33">
        <v>0.74198600000000003</v>
      </c>
      <c r="J139" s="33">
        <v>0.70563999999999905</v>
      </c>
      <c r="K139" s="33">
        <v>0.74198600000000003</v>
      </c>
      <c r="L139" s="33">
        <v>104.70564</v>
      </c>
      <c r="M139" s="33">
        <v>117.251986</v>
      </c>
      <c r="N139" s="34">
        <v>1.1202884615384601</v>
      </c>
      <c r="O139" s="34">
        <v>1.1144210713463301</v>
      </c>
      <c r="P139" s="34">
        <v>1.1209816487950399</v>
      </c>
      <c r="Q139" s="34">
        <v>1.12289250087299</v>
      </c>
      <c r="R139" s="33">
        <v>115.899791420018</v>
      </c>
      <c r="S139" s="33">
        <v>116.56637097778901</v>
      </c>
      <c r="T139" s="33">
        <v>116.809163401951</v>
      </c>
      <c r="U139" s="15">
        <v>-5.2511555424755501E-3</v>
      </c>
      <c r="V139" s="15">
        <v>4.8371251579582702E-4</v>
      </c>
      <c r="W139" s="15">
        <v>2.5644148687723402E-3</v>
      </c>
      <c r="X139" s="34">
        <v>1.1198249301565799</v>
      </c>
      <c r="Y139" s="34">
        <v>1.1139962285470999</v>
      </c>
      <c r="Z139" s="34">
        <v>1.1205111459530701</v>
      </c>
      <c r="AA139" s="34">
        <v>1.1223739825082799</v>
      </c>
      <c r="AB139" s="33">
        <v>116.641688067611</v>
      </c>
      <c r="AC139" s="33">
        <v>117.308145452839</v>
      </c>
      <c r="AD139" s="33">
        <v>117.54648228215</v>
      </c>
      <c r="AE139" s="15">
        <v>-5.2186047346847297E-3</v>
      </c>
      <c r="AF139" s="15">
        <v>4.7884909993021498E-4</v>
      </c>
      <c r="AG139" s="15">
        <v>2.5085038989722001E-3</v>
      </c>
      <c r="AI139" s="12"/>
      <c r="AJ139">
        <f t="shared" si="26"/>
        <v>0</v>
      </c>
      <c r="AK139">
        <f t="shared" si="27"/>
        <v>1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3.1043962495505159E-2</v>
      </c>
      <c r="AT139" s="12"/>
      <c r="AU139">
        <f t="shared" si="30"/>
        <v>0</v>
      </c>
      <c r="AV139">
        <f t="shared" si="31"/>
        <v>0</v>
      </c>
      <c r="AW139">
        <f t="shared" si="38"/>
        <v>0</v>
      </c>
      <c r="AX139">
        <f t="shared" si="25"/>
        <v>1</v>
      </c>
      <c r="AY139">
        <f t="shared" si="39"/>
        <v>0</v>
      </c>
      <c r="AZ139" s="28">
        <f t="shared" si="32"/>
        <v>0</v>
      </c>
      <c r="BA139" s="28">
        <f t="shared" si="33"/>
        <v>0</v>
      </c>
      <c r="BB139" s="28">
        <f t="shared" si="40"/>
        <v>0</v>
      </c>
      <c r="BC139" s="29">
        <f t="shared" si="41"/>
        <v>1.9996441817846045E-2</v>
      </c>
      <c r="BE139" s="29">
        <f t="shared" si="42"/>
        <v>0</v>
      </c>
      <c r="BF139" s="29">
        <f t="shared" si="43"/>
        <v>5.104040431335119E-2</v>
      </c>
      <c r="BH139" s="29"/>
    </row>
    <row r="140" spans="1:60" x14ac:dyDescent="0.25">
      <c r="A140" s="1">
        <v>46226</v>
      </c>
      <c r="B140" s="33">
        <v>103.17</v>
      </c>
      <c r="C140" s="33">
        <v>115.9</v>
      </c>
      <c r="D140" s="15">
        <v>-8.0127860290880801E-3</v>
      </c>
      <c r="E140" s="15">
        <v>-5.2493558861436704E-3</v>
      </c>
      <c r="F140" s="33">
        <v>0</v>
      </c>
      <c r="G140" s="33">
        <v>0.70563999999999905</v>
      </c>
      <c r="H140" s="33">
        <v>0</v>
      </c>
      <c r="I140" s="33">
        <v>0.74198600000000003</v>
      </c>
      <c r="J140" s="33">
        <v>0.70563999999999905</v>
      </c>
      <c r="K140" s="33">
        <v>0.74198600000000003</v>
      </c>
      <c r="L140" s="33">
        <v>103.87564</v>
      </c>
      <c r="M140" s="33">
        <v>116.641986</v>
      </c>
      <c r="N140" s="34">
        <v>1.1233885819521101</v>
      </c>
      <c r="O140" s="34">
        <v>1.1144210713463301</v>
      </c>
      <c r="P140" s="34">
        <v>1.1210690394651599</v>
      </c>
      <c r="Q140" s="34">
        <v>1.122793844467</v>
      </c>
      <c r="R140" s="33">
        <v>114.974821930801</v>
      </c>
      <c r="S140" s="33">
        <v>115.65167670618401</v>
      </c>
      <c r="T140" s="33">
        <v>115.848819315066</v>
      </c>
      <c r="U140" s="15">
        <v>-8.0145856854199199E-3</v>
      </c>
      <c r="V140" s="15">
        <v>-2.14486366540368E-3</v>
      </c>
      <c r="W140" s="15">
        <v>-4.4169101630489301E-4</v>
      </c>
      <c r="X140" s="34">
        <v>1.12290028730508</v>
      </c>
      <c r="Y140" s="34">
        <v>1.1139962285470999</v>
      </c>
      <c r="Z140" s="34">
        <v>1.12059683149787</v>
      </c>
      <c r="AA140" s="34">
        <v>1.1222832842498101</v>
      </c>
      <c r="AB140" s="33">
        <v>115.71707119791699</v>
      </c>
      <c r="AC140" s="33">
        <v>116.393812413009</v>
      </c>
      <c r="AD140" s="33">
        <v>116.58731575239599</v>
      </c>
      <c r="AE140" s="15">
        <v>-7.9611244621579993E-3</v>
      </c>
      <c r="AF140" s="15">
        <v>-2.12991894380073E-3</v>
      </c>
      <c r="AG140" s="15">
        <v>-4.6881115017830498E-4</v>
      </c>
      <c r="AI140" s="12"/>
      <c r="AJ140">
        <f t="shared" si="26"/>
        <v>0</v>
      </c>
      <c r="AK140">
        <f t="shared" si="27"/>
        <v>1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3.1043962495505159E-2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1.9996441817846045E-2</v>
      </c>
      <c r="BE140" s="29">
        <f t="shared" si="42"/>
        <v>0</v>
      </c>
      <c r="BF140" s="29">
        <f t="shared" si="43"/>
        <v>5.104040431335119E-2</v>
      </c>
      <c r="BH140" s="29"/>
    </row>
    <row r="141" spans="1:60" x14ac:dyDescent="0.25">
      <c r="A141" s="1">
        <v>46227</v>
      </c>
      <c r="B141" s="33">
        <v>101.48</v>
      </c>
      <c r="C141" s="33">
        <v>113.75</v>
      </c>
      <c r="D141" s="15">
        <v>-1.65163783812034E-2</v>
      </c>
      <c r="E141" s="15">
        <v>-1.8724692514646198E-2</v>
      </c>
      <c r="F141" s="33">
        <v>0</v>
      </c>
      <c r="G141" s="33">
        <v>0.70563999999999905</v>
      </c>
      <c r="H141" s="33">
        <v>0</v>
      </c>
      <c r="I141" s="33">
        <v>0.74198600000000003</v>
      </c>
      <c r="J141" s="33">
        <v>0.70563999999999905</v>
      </c>
      <c r="K141" s="33">
        <v>0.74198600000000003</v>
      </c>
      <c r="L141" s="33">
        <v>102.18564000000001</v>
      </c>
      <c r="M141" s="33">
        <v>114.491986</v>
      </c>
      <c r="N141" s="34">
        <v>1.1209105242412201</v>
      </c>
      <c r="O141" s="34">
        <v>1.1144210713463301</v>
      </c>
      <c r="P141" s="34">
        <v>1.12111144118613</v>
      </c>
      <c r="Q141" s="34">
        <v>1.1225521682981101</v>
      </c>
      <c r="R141" s="33">
        <v>113.091450320226</v>
      </c>
      <c r="S141" s="33">
        <v>113.766086124924</v>
      </c>
      <c r="T141" s="33">
        <v>113.94111933651099</v>
      </c>
      <c r="U141" s="15">
        <v>-5.8062715519770196E-3</v>
      </c>
      <c r="V141" s="15">
        <v>1.4140648448772699E-4</v>
      </c>
      <c r="W141" s="15">
        <v>1.6787600847459601E-3</v>
      </c>
      <c r="X141" s="34">
        <v>1.12043126607613</v>
      </c>
      <c r="Y141" s="34">
        <v>1.1139962285470999</v>
      </c>
      <c r="Z141" s="34">
        <v>1.1206372499242001</v>
      </c>
      <c r="AA141" s="34">
        <v>1.122050009948</v>
      </c>
      <c r="AB141" s="33">
        <v>113.83441757167201</v>
      </c>
      <c r="AC141" s="33">
        <v>114.508904408582</v>
      </c>
      <c r="AD141" s="33">
        <v>114.68123566236901</v>
      </c>
      <c r="AE141" s="15">
        <v>-5.7599141932892202E-3</v>
      </c>
      <c r="AF141" s="15">
        <v>1.4775845267194599E-4</v>
      </c>
      <c r="AG141" s="15">
        <v>1.65158655112988E-3</v>
      </c>
      <c r="AI141" s="12"/>
      <c r="AJ141">
        <f t="shared" si="26"/>
        <v>0</v>
      </c>
      <c r="AK141">
        <f t="shared" si="27"/>
        <v>1</v>
      </c>
      <c r="AL141">
        <f t="shared" si="34"/>
        <v>0</v>
      </c>
      <c r="AM141">
        <f t="shared" si="24"/>
        <v>1</v>
      </c>
      <c r="AN141">
        <f t="shared" si="35"/>
        <v>0</v>
      </c>
      <c r="AO141" s="28">
        <f t="shared" si="28"/>
        <v>0</v>
      </c>
      <c r="AP141" s="28">
        <f t="shared" si="29"/>
        <v>0</v>
      </c>
      <c r="AQ141" s="28">
        <f t="shared" si="36"/>
        <v>0</v>
      </c>
      <c r="AR141" s="29">
        <f t="shared" si="37"/>
        <v>3.1043962495505159E-2</v>
      </c>
      <c r="AT141" s="12"/>
      <c r="AU141">
        <f t="shared" si="30"/>
        <v>0</v>
      </c>
      <c r="AV141">
        <f t="shared" si="31"/>
        <v>0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1.9996441817846045E-2</v>
      </c>
      <c r="BE141" s="29">
        <f t="shared" si="42"/>
        <v>0</v>
      </c>
      <c r="BF141" s="29">
        <f t="shared" si="43"/>
        <v>5.104040431335119E-2</v>
      </c>
      <c r="BH141" s="29"/>
    </row>
    <row r="142" spans="1:60" x14ac:dyDescent="0.25">
      <c r="A142" s="1">
        <v>46230</v>
      </c>
      <c r="B142" s="33">
        <v>101.34</v>
      </c>
      <c r="C142" s="33">
        <v>113.44</v>
      </c>
      <c r="D142" s="15">
        <v>-1.3805346833174099E-3</v>
      </c>
      <c r="E142" s="15">
        <v>-2.7289950472424301E-3</v>
      </c>
      <c r="F142" s="33">
        <v>0</v>
      </c>
      <c r="G142" s="33">
        <v>0.70563999999999905</v>
      </c>
      <c r="H142" s="33">
        <v>0</v>
      </c>
      <c r="I142" s="33">
        <v>0.74198600000000003</v>
      </c>
      <c r="J142" s="33">
        <v>0.70563999999999905</v>
      </c>
      <c r="K142" s="33">
        <v>0.74198600000000003</v>
      </c>
      <c r="L142" s="33">
        <v>102.04564000000001</v>
      </c>
      <c r="M142" s="33">
        <v>114.18198599999999</v>
      </c>
      <c r="N142" s="34">
        <v>1.1194000394710799</v>
      </c>
      <c r="O142" s="34">
        <v>1.1144210713463301</v>
      </c>
      <c r="P142" s="34">
        <v>1.1209967561288099</v>
      </c>
      <c r="Q142" s="34">
        <v>1.12221411339963</v>
      </c>
      <c r="R142" s="33">
        <v>112.935431370237</v>
      </c>
      <c r="S142" s="33">
        <v>113.613433449802</v>
      </c>
      <c r="T142" s="33">
        <v>113.75943673533</v>
      </c>
      <c r="U142" s="15">
        <v>-4.45781118805204E-3</v>
      </c>
      <c r="V142" s="15">
        <v>1.5276887109603799E-3</v>
      </c>
      <c r="W142" s="15">
        <v>2.8119519168274699E-3</v>
      </c>
      <c r="X142" s="34">
        <v>1.11893056871415</v>
      </c>
      <c r="Y142" s="34">
        <v>1.1139962285470999</v>
      </c>
      <c r="Z142" s="34">
        <v>1.1205222073855201</v>
      </c>
      <c r="AA142" s="34">
        <v>1.12172158316785</v>
      </c>
      <c r="AB142" s="33">
        <v>113.678458099675</v>
      </c>
      <c r="AC142" s="33">
        <v>114.356145376355</v>
      </c>
      <c r="AD142" s="33">
        <v>114.50031137715</v>
      </c>
      <c r="AE142" s="15">
        <v>-4.4196237915193901E-3</v>
      </c>
      <c r="AF142" s="15">
        <v>1.5241168641716501E-3</v>
      </c>
      <c r="AG142" s="15">
        <v>2.7839984677802102E-3</v>
      </c>
      <c r="AI142" s="12"/>
      <c r="AJ142">
        <f t="shared" si="26"/>
        <v>0</v>
      </c>
      <c r="AK142">
        <f t="shared" si="27"/>
        <v>1</v>
      </c>
      <c r="AL142">
        <f t="shared" si="34"/>
        <v>0</v>
      </c>
      <c r="AM142">
        <f t="shared" si="24"/>
        <v>1</v>
      </c>
      <c r="AN142">
        <f t="shared" si="35"/>
        <v>0</v>
      </c>
      <c r="AO142" s="28">
        <f t="shared" si="28"/>
        <v>0</v>
      </c>
      <c r="AP142" s="28">
        <f t="shared" si="29"/>
        <v>0</v>
      </c>
      <c r="AQ142" s="28">
        <f t="shared" si="36"/>
        <v>0</v>
      </c>
      <c r="AR142" s="29">
        <f t="shared" si="37"/>
        <v>3.1043962495505159E-2</v>
      </c>
      <c r="AT142" s="12"/>
      <c r="AU142">
        <f t="shared" si="30"/>
        <v>0</v>
      </c>
      <c r="AV142">
        <f t="shared" si="31"/>
        <v>0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1.9996441817846045E-2</v>
      </c>
      <c r="BE142" s="29">
        <f t="shared" si="42"/>
        <v>0</v>
      </c>
      <c r="BF142" s="29">
        <f t="shared" si="43"/>
        <v>5.104040431335119E-2</v>
      </c>
      <c r="BH142" s="29"/>
    </row>
    <row r="143" spans="1:60" x14ac:dyDescent="0.25">
      <c r="A143" s="1">
        <v>46231</v>
      </c>
      <c r="B143" s="33">
        <v>100.31</v>
      </c>
      <c r="C143" s="33">
        <v>111.86</v>
      </c>
      <c r="D143" s="15">
        <v>-1.0215809152369901E-2</v>
      </c>
      <c r="E143" s="15">
        <v>-1.4025973390375399E-2</v>
      </c>
      <c r="F143" s="33">
        <v>0</v>
      </c>
      <c r="G143" s="33">
        <v>0.70563999999999905</v>
      </c>
      <c r="H143" s="33">
        <v>0</v>
      </c>
      <c r="I143" s="33">
        <v>0.74198600000000003</v>
      </c>
      <c r="J143" s="33">
        <v>0.70563999999999905</v>
      </c>
      <c r="K143" s="33">
        <v>0.74198600000000003</v>
      </c>
      <c r="L143" s="33">
        <v>101.01564</v>
      </c>
      <c r="M143" s="33">
        <v>112.601986</v>
      </c>
      <c r="N143" s="34">
        <v>1.11514305652477</v>
      </c>
      <c r="O143" s="34">
        <v>1.1144210713463301</v>
      </c>
      <c r="P143" s="34">
        <v>1.12057520620226</v>
      </c>
      <c r="Q143" s="34">
        <v>1.1215917627724401</v>
      </c>
      <c r="R143" s="33">
        <v>111.78757766675</v>
      </c>
      <c r="S143" s="33">
        <v>112.447184607281</v>
      </c>
      <c r="T143" s="33">
        <v>112.56929771511599</v>
      </c>
      <c r="U143" s="15">
        <v>-6.4764695004649404E-4</v>
      </c>
      <c r="V143" s="15">
        <v>5.2355518579143999E-3</v>
      </c>
      <c r="W143" s="15">
        <v>6.3209223033436502E-3</v>
      </c>
      <c r="X143" s="34">
        <v>1.1146985357910899</v>
      </c>
      <c r="Y143" s="34">
        <v>1.1139962285470999</v>
      </c>
      <c r="Z143" s="34">
        <v>1.1201018707764601</v>
      </c>
      <c r="AA143" s="34">
        <v>1.1211100118639099</v>
      </c>
      <c r="AB143" s="33">
        <v>112.53104198427199</v>
      </c>
      <c r="AC143" s="33">
        <v>113.190267913261</v>
      </c>
      <c r="AD143" s="33">
        <v>113.311423625513</v>
      </c>
      <c r="AE143" s="15">
        <v>-6.3024087323971904E-4</v>
      </c>
      <c r="AF143" s="15">
        <v>5.2108363700795997E-3</v>
      </c>
      <c r="AG143" s="15">
        <v>6.2806360963775596E-3</v>
      </c>
      <c r="AI143" s="12"/>
      <c r="AJ143">
        <f t="shared" si="26"/>
        <v>0</v>
      </c>
      <c r="AK143">
        <f t="shared" si="27"/>
        <v>1</v>
      </c>
      <c r="AL143">
        <f t="shared" si="34"/>
        <v>0</v>
      </c>
      <c r="AM143">
        <f t="shared" si="24"/>
        <v>1</v>
      </c>
      <c r="AN143">
        <f t="shared" si="35"/>
        <v>0</v>
      </c>
      <c r="AO143" s="28">
        <f t="shared" si="28"/>
        <v>0</v>
      </c>
      <c r="AP143" s="28">
        <f t="shared" si="29"/>
        <v>0</v>
      </c>
      <c r="AQ143" s="28">
        <f t="shared" si="36"/>
        <v>0</v>
      </c>
      <c r="AR143" s="29">
        <f t="shared" si="37"/>
        <v>3.1043962495505159E-2</v>
      </c>
      <c r="AT143" s="12"/>
      <c r="AU143">
        <f t="shared" si="30"/>
        <v>1</v>
      </c>
      <c r="AV143">
        <f t="shared" si="31"/>
        <v>0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1.9996441817846045E-2</v>
      </c>
      <c r="BE143" s="29">
        <f t="shared" si="42"/>
        <v>0</v>
      </c>
      <c r="BF143" s="29">
        <f t="shared" si="43"/>
        <v>5.104040431335119E-2</v>
      </c>
      <c r="BH143" s="29"/>
    </row>
    <row r="144" spans="1:60" x14ac:dyDescent="0.25">
      <c r="A144" s="1">
        <v>46232</v>
      </c>
      <c r="B144" s="33">
        <v>98.39</v>
      </c>
      <c r="C144" s="33">
        <v>109.68</v>
      </c>
      <c r="D144" s="15">
        <v>-1.9326218017719599E-2</v>
      </c>
      <c r="E144" s="15">
        <v>-1.96810541393828E-2</v>
      </c>
      <c r="F144" s="33">
        <v>0</v>
      </c>
      <c r="G144" s="33">
        <v>0.70563999999999905</v>
      </c>
      <c r="H144" s="33">
        <v>0</v>
      </c>
      <c r="I144" s="33">
        <v>0.74198600000000003</v>
      </c>
      <c r="J144" s="33">
        <v>0.70563999999999905</v>
      </c>
      <c r="K144" s="33">
        <v>0.74198600000000003</v>
      </c>
      <c r="L144" s="33">
        <v>99.095640000000003</v>
      </c>
      <c r="M144" s="33">
        <v>110.421986</v>
      </c>
      <c r="N144" s="34">
        <v>1.11474743368228</v>
      </c>
      <c r="O144" s="34">
        <v>1.1144210713463301</v>
      </c>
      <c r="P144" s="34">
        <v>1.1200700287287</v>
      </c>
      <c r="Q144" s="34">
        <v>1.12087393134025</v>
      </c>
      <c r="R144" s="33">
        <v>109.647889209765</v>
      </c>
      <c r="S144" s="33">
        <v>110.25339453824</v>
      </c>
      <c r="T144" s="33">
        <v>110.35341353918</v>
      </c>
      <c r="U144" s="15">
        <v>-2.9281082838339601E-4</v>
      </c>
      <c r="V144" s="15">
        <v>5.2142680614091202E-3</v>
      </c>
      <c r="W144" s="15">
        <v>6.1210307190541404E-3</v>
      </c>
      <c r="X144" s="34">
        <v>1.1142971174110099</v>
      </c>
      <c r="Y144" s="34">
        <v>1.1139962285470999</v>
      </c>
      <c r="Z144" s="34">
        <v>1.11959786601705</v>
      </c>
      <c r="AA144" s="34">
        <v>1.12040289205308</v>
      </c>
      <c r="AB144" s="33">
        <v>110.392169225461</v>
      </c>
      <c r="AC144" s="33">
        <v>110.99721174979101</v>
      </c>
      <c r="AD144" s="33">
        <v>111.097114136062</v>
      </c>
      <c r="AE144" s="15">
        <v>-2.7006216778905002E-4</v>
      </c>
      <c r="AF144" s="15">
        <v>5.1958190593087497E-3</v>
      </c>
      <c r="AG144" s="15">
        <v>6.0954583689602701E-3</v>
      </c>
      <c r="AI144" s="12"/>
      <c r="AJ144">
        <f t="shared" si="26"/>
        <v>0</v>
      </c>
      <c r="AK144">
        <f t="shared" si="27"/>
        <v>1</v>
      </c>
      <c r="AL144">
        <f t="shared" si="34"/>
        <v>0</v>
      </c>
      <c r="AM144">
        <f t="shared" si="24"/>
        <v>1</v>
      </c>
      <c r="AN144">
        <f t="shared" si="35"/>
        <v>0</v>
      </c>
      <c r="AO144" s="28">
        <f t="shared" si="28"/>
        <v>0</v>
      </c>
      <c r="AP144" s="28">
        <f t="shared" si="29"/>
        <v>0</v>
      </c>
      <c r="AQ144" s="28">
        <f t="shared" si="36"/>
        <v>0</v>
      </c>
      <c r="AR144" s="29">
        <f t="shared" si="37"/>
        <v>3.1043962495505159E-2</v>
      </c>
      <c r="AT144" s="12"/>
      <c r="AU144">
        <f t="shared" si="30"/>
        <v>1</v>
      </c>
      <c r="AV144">
        <f t="shared" si="31"/>
        <v>0</v>
      </c>
      <c r="AW144">
        <f t="shared" si="38"/>
        <v>1</v>
      </c>
      <c r="AX144">
        <f t="shared" si="25"/>
        <v>1</v>
      </c>
      <c r="AY144">
        <f t="shared" si="39"/>
        <v>1</v>
      </c>
      <c r="AZ144" s="28">
        <f t="shared" si="32"/>
        <v>1.9326218017719599E-2</v>
      </c>
      <c r="BA144" s="28">
        <f t="shared" si="33"/>
        <v>-1.96810541393828E-2</v>
      </c>
      <c r="BB144" s="28">
        <f t="shared" si="40"/>
        <v>-3.5483612166320108E-4</v>
      </c>
      <c r="BC144" s="29">
        <f t="shared" si="41"/>
        <v>1.9641605696182843E-2</v>
      </c>
      <c r="BE144" s="29">
        <f t="shared" si="42"/>
        <v>-3.5483612166320108E-4</v>
      </c>
      <c r="BF144" s="29">
        <f t="shared" si="43"/>
        <v>5.0685568191687985E-2</v>
      </c>
      <c r="BH144" s="29"/>
    </row>
    <row r="145" spans="1:60" x14ac:dyDescent="0.25">
      <c r="A145" s="1">
        <v>46233</v>
      </c>
      <c r="B145" s="33">
        <v>101.49</v>
      </c>
      <c r="C145" s="33">
        <v>113.38</v>
      </c>
      <c r="D145" s="15">
        <v>3.10210985830526E-2</v>
      </c>
      <c r="E145" s="15">
        <v>3.3177973642098499E-2</v>
      </c>
      <c r="F145" s="33">
        <v>0</v>
      </c>
      <c r="G145" s="33">
        <v>0.70563999999999905</v>
      </c>
      <c r="H145" s="33">
        <v>0</v>
      </c>
      <c r="I145" s="33">
        <v>0.74198600000000003</v>
      </c>
      <c r="J145" s="33">
        <v>0.70563999999999905</v>
      </c>
      <c r="K145" s="33">
        <v>0.74198600000000003</v>
      </c>
      <c r="L145" s="33">
        <v>102.19564</v>
      </c>
      <c r="M145" s="33">
        <v>114.121985999999</v>
      </c>
      <c r="N145" s="34">
        <v>1.11715439944822</v>
      </c>
      <c r="O145" s="34">
        <v>1.1144210713463301</v>
      </c>
      <c r="P145" s="34">
        <v>1.11985913422405</v>
      </c>
      <c r="Q145" s="34">
        <v>1.1203169134761</v>
      </c>
      <c r="R145" s="33">
        <v>113.102594530939</v>
      </c>
      <c r="S145" s="33">
        <v>113.67590721567601</v>
      </c>
      <c r="T145" s="33">
        <v>113.75749529172199</v>
      </c>
      <c r="U145" s="15">
        <v>-2.4496858874293102E-3</v>
      </c>
      <c r="V145" s="15">
        <v>2.6064715675588501E-3</v>
      </c>
      <c r="W145" s="15">
        <v>3.3239394385571599E-3</v>
      </c>
      <c r="X145" s="34">
        <v>1.11670112345301</v>
      </c>
      <c r="Y145" s="34">
        <v>1.1139962285470999</v>
      </c>
      <c r="Z145" s="34">
        <v>1.1193884048177001</v>
      </c>
      <c r="AA145" s="34">
        <v>1.11984863556242</v>
      </c>
      <c r="AB145" s="33">
        <v>113.84555753395701</v>
      </c>
      <c r="AC145" s="33">
        <v>114.418020460246</v>
      </c>
      <c r="AD145" s="33">
        <v>114.500290611216</v>
      </c>
      <c r="AE145" s="15">
        <v>-2.4251575223282499E-3</v>
      </c>
      <c r="AF145" s="15">
        <v>2.59065911830458E-3</v>
      </c>
      <c r="AG145" s="15">
        <v>3.3094321524604702E-3</v>
      </c>
      <c r="AI145" s="12"/>
      <c r="AJ145">
        <f t="shared" si="26"/>
        <v>0</v>
      </c>
      <c r="AK145">
        <f t="shared" si="27"/>
        <v>1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3.1043962495505159E-2</v>
      </c>
      <c r="AT145" s="12"/>
      <c r="AU145">
        <f t="shared" si="30"/>
        <v>1</v>
      </c>
      <c r="AV145">
        <f t="shared" si="31"/>
        <v>0</v>
      </c>
      <c r="AW145">
        <f t="shared" si="38"/>
        <v>1</v>
      </c>
      <c r="AX145">
        <f t="shared" si="25"/>
        <v>1</v>
      </c>
      <c r="AY145">
        <f t="shared" si="39"/>
        <v>1</v>
      </c>
      <c r="AZ145" s="28">
        <f t="shared" si="32"/>
        <v>-3.10210985830526E-2</v>
      </c>
      <c r="BA145" s="28">
        <f t="shared" si="33"/>
        <v>3.3177973642098499E-2</v>
      </c>
      <c r="BB145" s="28">
        <f t="shared" si="40"/>
        <v>2.1568750590458992E-3</v>
      </c>
      <c r="BC145" s="29">
        <f t="shared" si="41"/>
        <v>2.1798480755228743E-2</v>
      </c>
      <c r="BE145" s="29">
        <f t="shared" si="42"/>
        <v>2.1568750590458992E-3</v>
      </c>
      <c r="BF145" s="29">
        <f t="shared" si="43"/>
        <v>5.2842443250733881E-2</v>
      </c>
      <c r="BH145" s="29"/>
    </row>
    <row r="146" spans="1:60" x14ac:dyDescent="0.25">
      <c r="A146" s="1">
        <v>46234</v>
      </c>
      <c r="B146" s="33">
        <v>101.85</v>
      </c>
      <c r="C146" s="33">
        <v>113.23</v>
      </c>
      <c r="D146" s="15">
        <v>3.5408712120879099E-3</v>
      </c>
      <c r="E146" s="15">
        <v>-1.32386057020944E-3</v>
      </c>
      <c r="F146" s="33">
        <v>0</v>
      </c>
      <c r="G146" s="33">
        <v>0.70563999999999905</v>
      </c>
      <c r="H146" s="33">
        <v>0</v>
      </c>
      <c r="I146" s="33">
        <v>0.74198600000000003</v>
      </c>
      <c r="J146" s="33">
        <v>0.70563999999999905</v>
      </c>
      <c r="K146" s="33">
        <v>0.74198600000000003</v>
      </c>
      <c r="L146" s="33">
        <v>102.55564</v>
      </c>
      <c r="M146" s="33">
        <v>113.971986</v>
      </c>
      <c r="N146" s="34">
        <v>1.11173294059892</v>
      </c>
      <c r="O146" s="34">
        <v>1.1144210713463301</v>
      </c>
      <c r="P146" s="34">
        <v>1.1189622735889</v>
      </c>
      <c r="Q146" s="34">
        <v>1.1196523629586199</v>
      </c>
      <c r="R146" s="33">
        <v>113.503786116624</v>
      </c>
      <c r="S146" s="33">
        <v>114.057652820719</v>
      </c>
      <c r="T146" s="33">
        <v>114.104277637541</v>
      </c>
      <c r="U146" s="15">
        <v>2.4150458948681099E-3</v>
      </c>
      <c r="V146" s="15">
        <v>7.2828987295430704E-3</v>
      </c>
      <c r="W146" s="15">
        <v>7.6915980894811898E-3</v>
      </c>
      <c r="X146" s="34">
        <v>1.11131855839425</v>
      </c>
      <c r="Y146" s="34">
        <v>1.1139962285470999</v>
      </c>
      <c r="Z146" s="34">
        <v>1.1184978827944301</v>
      </c>
      <c r="AA146" s="34">
        <v>1.11918804861292</v>
      </c>
      <c r="AB146" s="33">
        <v>114.24659617623399</v>
      </c>
      <c r="AC146" s="33">
        <v>114.799594264658</v>
      </c>
      <c r="AD146" s="33">
        <v>114.84679352323001</v>
      </c>
      <c r="AE146" s="15">
        <v>2.4065552081703901E-3</v>
      </c>
      <c r="AF146" s="15">
        <v>7.2352682450966101E-3</v>
      </c>
      <c r="AG146" s="15">
        <v>7.6463285686799399E-3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3.1043962495505159E-2</v>
      </c>
      <c r="AT146" s="12"/>
      <c r="AU146">
        <f t="shared" si="30"/>
        <v>1</v>
      </c>
      <c r="AV146">
        <f t="shared" si="31"/>
        <v>0</v>
      </c>
      <c r="AW146">
        <f t="shared" si="38"/>
        <v>1</v>
      </c>
      <c r="AX146">
        <f t="shared" si="25"/>
        <v>0</v>
      </c>
      <c r="AY146">
        <f t="shared" si="39"/>
        <v>1</v>
      </c>
      <c r="AZ146" s="28">
        <f t="shared" si="32"/>
        <v>-3.5408712120879099E-3</v>
      </c>
      <c r="BA146" s="28">
        <f t="shared" si="33"/>
        <v>-1.32386057020944E-3</v>
      </c>
      <c r="BB146" s="28">
        <f t="shared" si="40"/>
        <v>-4.8647317822973499E-3</v>
      </c>
      <c r="BC146" s="29">
        <f t="shared" si="41"/>
        <v>1.6933748972931394E-2</v>
      </c>
      <c r="BE146" s="29">
        <f t="shared" si="42"/>
        <v>-4.8647317822973499E-3</v>
      </c>
      <c r="BF146" s="29">
        <f t="shared" si="43"/>
        <v>4.7977711468436532E-2</v>
      </c>
      <c r="BH146" s="29"/>
    </row>
    <row r="147" spans="1:60" x14ac:dyDescent="0.25">
      <c r="A147" s="1">
        <v>46237</v>
      </c>
      <c r="B147" s="33">
        <v>103.3</v>
      </c>
      <c r="C147" s="33">
        <v>115.11</v>
      </c>
      <c r="D147" s="15">
        <v>1.41362334527779E-2</v>
      </c>
      <c r="E147" s="15">
        <v>1.6467044601022499E-2</v>
      </c>
      <c r="F147" s="33">
        <v>0.21054</v>
      </c>
      <c r="G147" s="33">
        <v>0.91617999999999999</v>
      </c>
      <c r="H147" s="33">
        <v>0.13896</v>
      </c>
      <c r="I147" s="33">
        <v>0.88094600000000001</v>
      </c>
      <c r="J147" s="33">
        <v>0.91617999999999999</v>
      </c>
      <c r="K147" s="33">
        <v>0.88094600000000001</v>
      </c>
      <c r="L147" s="33">
        <v>104.21617999999999</v>
      </c>
      <c r="M147" s="33">
        <v>115.99094599999999</v>
      </c>
      <c r="N147" s="34">
        <v>1.1143272023233299</v>
      </c>
      <c r="O147" s="34">
        <v>1.1144210713463301</v>
      </c>
      <c r="P147" s="34">
        <v>1.1182755673824201</v>
      </c>
      <c r="Q147" s="34">
        <v>1.1192640995107499</v>
      </c>
      <c r="R147" s="33">
        <v>115.119696670076</v>
      </c>
      <c r="S147" s="33">
        <v>115.588802861733</v>
      </c>
      <c r="T147" s="33">
        <v>115.660089093626</v>
      </c>
      <c r="U147" s="15">
        <v>8.4234746623799102E-5</v>
      </c>
      <c r="V147" s="15">
        <v>4.1508975623030398E-3</v>
      </c>
      <c r="W147" s="15">
        <v>4.7674301090998997E-3</v>
      </c>
      <c r="X147" s="34">
        <v>1.1129840491178999</v>
      </c>
      <c r="Y147" s="34">
        <v>1.1139962285470999</v>
      </c>
      <c r="Z147" s="34">
        <v>1.1177248234363999</v>
      </c>
      <c r="AA147" s="34">
        <v>1.11875611363239</v>
      </c>
      <c r="AB147" s="33">
        <v>116.09643147358599</v>
      </c>
      <c r="AC147" s="33">
        <v>116.56557668292299</v>
      </c>
      <c r="AD147" s="33">
        <v>116.637503128093</v>
      </c>
      <c r="AE147" s="15">
        <v>9.0901523381729603E-4</v>
      </c>
      <c r="AF147" s="15">
        <v>4.9418682887562198E-3</v>
      </c>
      <c r="AG147" s="15">
        <v>5.5587250430425301E-3</v>
      </c>
      <c r="AI147" s="12"/>
      <c r="AJ147">
        <f t="shared" si="26"/>
        <v>0</v>
      </c>
      <c r="AK147">
        <f t="shared" si="27"/>
        <v>1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3.1043962495505159E-2</v>
      </c>
      <c r="AT147" s="12"/>
      <c r="AU147">
        <f t="shared" si="30"/>
        <v>1</v>
      </c>
      <c r="AV147">
        <f t="shared" si="31"/>
        <v>0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1.6933748972931394E-2</v>
      </c>
      <c r="BE147" s="29">
        <f t="shared" si="42"/>
        <v>0</v>
      </c>
      <c r="BF147" s="29">
        <f t="shared" si="43"/>
        <v>4.7977711468436532E-2</v>
      </c>
      <c r="BH147" s="29"/>
    </row>
    <row r="148" spans="1:60" x14ac:dyDescent="0.25">
      <c r="A148" s="1">
        <v>46238</v>
      </c>
      <c r="B148" s="33">
        <v>105.35</v>
      </c>
      <c r="C148" s="33">
        <v>117.12</v>
      </c>
      <c r="D148" s="15">
        <v>1.9650764124605199E-2</v>
      </c>
      <c r="E148" s="15">
        <v>1.7310857286030799E-2</v>
      </c>
      <c r="F148" s="33">
        <v>0</v>
      </c>
      <c r="G148" s="33">
        <v>0.91617999999999999</v>
      </c>
      <c r="H148" s="33">
        <v>0</v>
      </c>
      <c r="I148" s="33">
        <v>0.88094600000000001</v>
      </c>
      <c r="J148" s="33">
        <v>0.91617999999999999</v>
      </c>
      <c r="K148" s="33">
        <v>0.88094600000000001</v>
      </c>
      <c r="L148" s="33">
        <v>106.266179999999</v>
      </c>
      <c r="M148" s="33">
        <v>118.000946</v>
      </c>
      <c r="N148" s="34">
        <v>1.1117228286663501</v>
      </c>
      <c r="O148" s="34">
        <v>1.1144210713463301</v>
      </c>
      <c r="P148" s="34">
        <v>1.11688154684467</v>
      </c>
      <c r="Q148" s="34">
        <v>1.11885601850786</v>
      </c>
      <c r="R148" s="33">
        <v>117.40425986633601</v>
      </c>
      <c r="S148" s="33">
        <v>117.810331023738</v>
      </c>
      <c r="T148" s="33">
        <v>117.914472883458</v>
      </c>
      <c r="U148" s="15">
        <v>2.4241415851981602E-3</v>
      </c>
      <c r="V148" s="15">
        <v>5.8769168512653597E-3</v>
      </c>
      <c r="W148" s="15">
        <v>6.7605053813601301E-3</v>
      </c>
      <c r="X148" s="34">
        <v>1.11042804022879</v>
      </c>
      <c r="Y148" s="34">
        <v>1.1139962285470999</v>
      </c>
      <c r="Z148" s="34">
        <v>1.1162514476648</v>
      </c>
      <c r="AA148" s="34">
        <v>1.11830636669385</v>
      </c>
      <c r="AB148" s="33">
        <v>118.380123742108</v>
      </c>
      <c r="AC148" s="33">
        <v>118.776347277761</v>
      </c>
      <c r="AD148" s="33">
        <v>118.88593854736</v>
      </c>
      <c r="AE148" s="15">
        <v>3.20819317507666E-3</v>
      </c>
      <c r="AF148" s="15">
        <v>6.5496487348849202E-3</v>
      </c>
      <c r="AG148" s="15">
        <v>7.4718924723451404E-3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3.1043962495505159E-2</v>
      </c>
      <c r="AT148" s="12"/>
      <c r="AU148">
        <f t="shared" si="30"/>
        <v>1</v>
      </c>
      <c r="AV148">
        <f t="shared" si="31"/>
        <v>0</v>
      </c>
      <c r="AW148">
        <f t="shared" si="38"/>
        <v>1</v>
      </c>
      <c r="AX148">
        <f t="shared" si="25"/>
        <v>1</v>
      </c>
      <c r="AY148">
        <f t="shared" si="39"/>
        <v>1</v>
      </c>
      <c r="AZ148" s="28">
        <f t="shared" si="32"/>
        <v>-1.9650764124605199E-2</v>
      </c>
      <c r="BA148" s="28">
        <f t="shared" si="33"/>
        <v>1.7310857286030799E-2</v>
      </c>
      <c r="BB148" s="28">
        <f t="shared" si="40"/>
        <v>-2.3399068385744001E-3</v>
      </c>
      <c r="BC148" s="29">
        <f t="shared" si="41"/>
        <v>1.4593842134356994E-2</v>
      </c>
      <c r="BE148" s="29">
        <f t="shared" si="42"/>
        <v>-2.3399068385744001E-3</v>
      </c>
      <c r="BF148" s="29">
        <f t="shared" si="43"/>
        <v>4.5637804629862132E-2</v>
      </c>
      <c r="BH148" s="29"/>
    </row>
    <row r="149" spans="1:60" x14ac:dyDescent="0.25">
      <c r="A149" s="1">
        <v>46239</v>
      </c>
      <c r="B149" s="33">
        <v>104.34</v>
      </c>
      <c r="C149" s="33">
        <v>116.09</v>
      </c>
      <c r="D149" s="15">
        <v>-9.6333426559512599E-3</v>
      </c>
      <c r="E149" s="15">
        <v>-8.8332978630570602E-3</v>
      </c>
      <c r="F149" s="33">
        <v>0</v>
      </c>
      <c r="G149" s="33">
        <v>0.91617999999999999</v>
      </c>
      <c r="H149" s="33">
        <v>0</v>
      </c>
      <c r="I149" s="33">
        <v>0.88094600000000001</v>
      </c>
      <c r="J149" s="33">
        <v>0.91617999999999999</v>
      </c>
      <c r="K149" s="33">
        <v>0.88094600000000001</v>
      </c>
      <c r="L149" s="33">
        <v>105.25618</v>
      </c>
      <c r="M149" s="33">
        <v>116.970946</v>
      </c>
      <c r="N149" s="34">
        <v>1.1126126126126099</v>
      </c>
      <c r="O149" s="34">
        <v>1.1144210713463301</v>
      </c>
      <c r="P149" s="34">
        <v>1.1161139619520899</v>
      </c>
      <c r="Q149" s="34">
        <v>1.11854780537356</v>
      </c>
      <c r="R149" s="33">
        <v>116.278694584276</v>
      </c>
      <c r="S149" s="33">
        <v>116.535420597773</v>
      </c>
      <c r="T149" s="33">
        <v>116.74143697111001</v>
      </c>
      <c r="U149" s="15">
        <v>1.62409679230381E-3</v>
      </c>
      <c r="V149" s="15">
        <v>3.8295139110472499E-3</v>
      </c>
      <c r="W149" s="15">
        <v>5.59579650799478E-3</v>
      </c>
      <c r="X149" s="34">
        <v>1.1112976549215401</v>
      </c>
      <c r="Y149" s="34">
        <v>1.1139962285470999</v>
      </c>
      <c r="Z149" s="34">
        <v>1.11539872014129</v>
      </c>
      <c r="AA149" s="34">
        <v>1.1179549330471801</v>
      </c>
      <c r="AB149" s="33">
        <v>117.25498755127499</v>
      </c>
      <c r="AC149" s="33">
        <v>117.49236330066699</v>
      </c>
      <c r="AD149" s="33">
        <v>117.708656227874</v>
      </c>
      <c r="AE149" s="15">
        <v>2.4253649987081801E-3</v>
      </c>
      <c r="AF149" s="15">
        <v>4.44775911252658E-3</v>
      </c>
      <c r="AG149" s="15">
        <v>6.2869772299687801E-3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3.1043962495505159E-2</v>
      </c>
      <c r="AT149" s="12"/>
      <c r="AU149">
        <f t="shared" si="30"/>
        <v>1</v>
      </c>
      <c r="AV149">
        <f t="shared" si="31"/>
        <v>0</v>
      </c>
      <c r="AW149">
        <f t="shared" si="38"/>
        <v>1</v>
      </c>
      <c r="AX149">
        <f t="shared" ref="AX149:AX176" si="45">IF(F150+H150&gt;0,0,1)</f>
        <v>1</v>
      </c>
      <c r="AY149">
        <f t="shared" si="39"/>
        <v>1</v>
      </c>
      <c r="AZ149" s="28">
        <f t="shared" si="32"/>
        <v>9.6333426559512599E-3</v>
      </c>
      <c r="BA149" s="28">
        <f t="shared" si="33"/>
        <v>-8.8332978630570602E-3</v>
      </c>
      <c r="BB149" s="28">
        <f t="shared" si="40"/>
        <v>8.0004479289419971E-4</v>
      </c>
      <c r="BC149" s="29">
        <f t="shared" si="41"/>
        <v>1.5393886927251193E-2</v>
      </c>
      <c r="BE149" s="29">
        <f t="shared" si="42"/>
        <v>8.0004479289419971E-4</v>
      </c>
      <c r="BF149" s="29">
        <f t="shared" si="43"/>
        <v>4.6437849422756333E-2</v>
      </c>
      <c r="BH149" s="29"/>
    </row>
    <row r="150" spans="1:60" x14ac:dyDescent="0.25">
      <c r="A150" s="1">
        <v>46240</v>
      </c>
      <c r="B150" s="33">
        <v>102.88</v>
      </c>
      <c r="C150" s="33">
        <v>114.55</v>
      </c>
      <c r="D150" s="15">
        <v>-1.40915371049374E-2</v>
      </c>
      <c r="E150" s="15">
        <v>-1.33543434504399E-2</v>
      </c>
      <c r="F150" s="33">
        <v>0</v>
      </c>
      <c r="G150" s="33">
        <v>0.91617999999999999</v>
      </c>
      <c r="H150" s="33">
        <v>0</v>
      </c>
      <c r="I150" s="33">
        <v>0.88094600000000001</v>
      </c>
      <c r="J150" s="33">
        <v>0.91617999999999999</v>
      </c>
      <c r="K150" s="33">
        <v>0.88094600000000001</v>
      </c>
      <c r="L150" s="33">
        <v>103.796179999999</v>
      </c>
      <c r="M150" s="33">
        <v>115.430945999999</v>
      </c>
      <c r="N150" s="34">
        <v>1.1134331259720001</v>
      </c>
      <c r="O150" s="34">
        <v>1.1144210713463301</v>
      </c>
      <c r="P150" s="34">
        <v>1.1151184163540799</v>
      </c>
      <c r="Q150" s="34">
        <v>1.1180937279096199</v>
      </c>
      <c r="R150" s="33">
        <v>114.65163982011001</v>
      </c>
      <c r="S150" s="33">
        <v>114.825804405631</v>
      </c>
      <c r="T150" s="33">
        <v>115.076198216832</v>
      </c>
      <c r="U150" s="15">
        <v>8.8690313780619005E-4</v>
      </c>
      <c r="V150" s="15">
        <v>2.4048267799222098E-3</v>
      </c>
      <c r="W150" s="15">
        <v>4.58309323564462E-3</v>
      </c>
      <c r="X150" s="34">
        <v>1.1120924296057899</v>
      </c>
      <c r="Y150" s="34">
        <v>1.1139962285470999</v>
      </c>
      <c r="Z150" s="34">
        <v>1.1143179343713601</v>
      </c>
      <c r="AA150" s="34">
        <v>1.1174573829346199</v>
      </c>
      <c r="AB150" s="33">
        <v>115.62855305759599</v>
      </c>
      <c r="AC150" s="33">
        <v>115.774126327555</v>
      </c>
      <c r="AD150" s="33">
        <v>116.039451462453</v>
      </c>
      <c r="AE150" s="15">
        <v>1.71044347087685E-3</v>
      </c>
      <c r="AF150" s="15">
        <v>2.9686250057651001E-3</v>
      </c>
      <c r="AG150" s="15">
        <v>5.2577510637657901E-3</v>
      </c>
      <c r="AI150" s="12"/>
      <c r="AJ150">
        <f t="shared" ref="AJ150:AJ176" si="46">IF($AG150&lt;AI$21,1,0)</f>
        <v>0</v>
      </c>
      <c r="AK150">
        <f t="shared" ref="AK150:AK176" si="47">IF($AG150&gt;AI$22,1,0)</f>
        <v>1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3.1043962495505159E-2</v>
      </c>
      <c r="AT150" s="12"/>
      <c r="AU150">
        <f t="shared" ref="AU150:AU176" si="50">IF($AG150&gt;AT$21,1,0)</f>
        <v>1</v>
      </c>
      <c r="AV150">
        <f t="shared" ref="AV150:AV176" si="51">IF($AG150&lt;AT$22,1,0)</f>
        <v>0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1.40915371049374E-2</v>
      </c>
      <c r="BA150" s="28">
        <f t="shared" ref="BA150:BA176" si="53">AY150*$E150</f>
        <v>-1.33543434504399E-2</v>
      </c>
      <c r="BB150" s="28">
        <f t="shared" si="40"/>
        <v>7.3719365449750017E-4</v>
      </c>
      <c r="BC150" s="29">
        <f t="shared" si="41"/>
        <v>1.6131080581748693E-2</v>
      </c>
      <c r="BE150" s="29">
        <f t="shared" si="42"/>
        <v>7.3719365449750017E-4</v>
      </c>
      <c r="BF150" s="29">
        <f t="shared" si="43"/>
        <v>4.7175043077253835E-2</v>
      </c>
      <c r="BH150" s="29"/>
    </row>
    <row r="151" spans="1:60" x14ac:dyDescent="0.25">
      <c r="A151" s="1">
        <v>46241</v>
      </c>
      <c r="B151" s="33">
        <v>103.86</v>
      </c>
      <c r="C151" s="33">
        <v>115.71</v>
      </c>
      <c r="D151" s="15">
        <v>9.4805779268636904E-3</v>
      </c>
      <c r="E151" s="15">
        <v>1.00756519887416E-2</v>
      </c>
      <c r="F151" s="33">
        <v>0</v>
      </c>
      <c r="G151" s="33">
        <v>0.91617999999999999</v>
      </c>
      <c r="H151" s="33">
        <v>0</v>
      </c>
      <c r="I151" s="33">
        <v>0.88094600000000001</v>
      </c>
      <c r="J151" s="33">
        <v>0.91617999999999999</v>
      </c>
      <c r="K151" s="33">
        <v>0.88094600000000001</v>
      </c>
      <c r="L151" s="33">
        <v>104.77618</v>
      </c>
      <c r="M151" s="33">
        <v>116.59094599999899</v>
      </c>
      <c r="N151" s="34">
        <v>1.11409589832466</v>
      </c>
      <c r="O151" s="34">
        <v>1.1144210713463301</v>
      </c>
      <c r="P151" s="34">
        <v>1.1144369537624199</v>
      </c>
      <c r="Q151" s="34">
        <v>1.1177741974742701</v>
      </c>
      <c r="R151" s="33">
        <v>115.74377247003</v>
      </c>
      <c r="S151" s="33">
        <v>115.816198722534</v>
      </c>
      <c r="T151" s="33">
        <v>116.125214580693</v>
      </c>
      <c r="U151" s="15">
        <v>2.9182907592849999E-4</v>
      </c>
      <c r="V151" s="15">
        <v>9.17379809013546E-4</v>
      </c>
      <c r="W151" s="15">
        <v>3.5819840864037699E-3</v>
      </c>
      <c r="X151" s="34">
        <v>1.11276194646531</v>
      </c>
      <c r="Y151" s="34">
        <v>1.1139962285470999</v>
      </c>
      <c r="Z151" s="34">
        <v>1.1135510024102799</v>
      </c>
      <c r="AA151" s="34">
        <v>1.11709412616724</v>
      </c>
      <c r="AB151" s="33">
        <v>116.72026936157199</v>
      </c>
      <c r="AC151" s="33">
        <v>116.753976468922</v>
      </c>
      <c r="AD151" s="33">
        <v>117.082915896687</v>
      </c>
      <c r="AE151" s="15">
        <v>1.1085911546689299E-3</v>
      </c>
      <c r="AF151" s="15">
        <v>1.3973348442715399E-3</v>
      </c>
      <c r="AG151" s="15">
        <v>4.2107458625862898E-3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0</v>
      </c>
      <c r="AM151">
        <f t="shared" si="44"/>
        <v>1</v>
      </c>
      <c r="AN151">
        <f t="shared" ref="AN151:AN176" si="55">IF(AJ150,1,IF(AK150,0,AL150))*AM150</f>
        <v>0</v>
      </c>
      <c r="AO151" s="28">
        <f t="shared" si="48"/>
        <v>0</v>
      </c>
      <c r="AP151" s="28">
        <f t="shared" si="49"/>
        <v>0</v>
      </c>
      <c r="AQ151" s="28">
        <f t="shared" ref="AQ151:AQ176" si="56">AO151+AP151</f>
        <v>0</v>
      </c>
      <c r="AR151" s="29">
        <f t="shared" ref="AR151:AR176" si="57">AR150+AQ151</f>
        <v>3.1043962495505159E-2</v>
      </c>
      <c r="AT151" s="12"/>
      <c r="AU151">
        <f t="shared" si="50"/>
        <v>1</v>
      </c>
      <c r="AV151">
        <f t="shared" si="51"/>
        <v>0</v>
      </c>
      <c r="AW151">
        <f t="shared" ref="AW151:AW176" si="58">AY151</f>
        <v>1</v>
      </c>
      <c r="AX151">
        <f t="shared" si="45"/>
        <v>1</v>
      </c>
      <c r="AY151">
        <f t="shared" ref="AY151:AY176" si="59">IF(AU150,1,IF(AV150,0,AW150))*AX150</f>
        <v>1</v>
      </c>
      <c r="AZ151" s="28">
        <f t="shared" si="52"/>
        <v>-9.4805779268636904E-3</v>
      </c>
      <c r="BA151" s="28">
        <f t="shared" si="53"/>
        <v>1.00756519887416E-2</v>
      </c>
      <c r="BB151" s="28">
        <f t="shared" ref="BB151:BB176" si="60">AZ151+BA151</f>
        <v>5.9507406187791004E-4</v>
      </c>
      <c r="BC151" s="29">
        <f t="shared" ref="BC151:BC176" si="61">BC150+BB151</f>
        <v>1.6726154643626603E-2</v>
      </c>
      <c r="BE151" s="29">
        <f t="shared" ref="BE151:BE176" si="62">AQ151+BB151</f>
        <v>5.9507406187791004E-4</v>
      </c>
      <c r="BF151" s="29">
        <f t="shared" ref="BF151:BF176" si="63">BF150+BE151</f>
        <v>4.7770117139131749E-2</v>
      </c>
      <c r="BH151" s="29"/>
    </row>
    <row r="152" spans="1:60" x14ac:dyDescent="0.25">
      <c r="A152" s="1">
        <v>46244</v>
      </c>
      <c r="B152" s="33">
        <v>103.61</v>
      </c>
      <c r="C152" s="33">
        <v>115.14</v>
      </c>
      <c r="D152" s="15">
        <v>-2.4099881525124702E-3</v>
      </c>
      <c r="E152" s="15">
        <v>-4.9382816405825602E-3</v>
      </c>
      <c r="F152" s="33">
        <v>0</v>
      </c>
      <c r="G152" s="33">
        <v>0.91617999999999999</v>
      </c>
      <c r="H152" s="33">
        <v>0</v>
      </c>
      <c r="I152" s="33">
        <v>0.88094600000000001</v>
      </c>
      <c r="J152" s="33">
        <v>0.91617999999999999</v>
      </c>
      <c r="K152" s="33">
        <v>0.88094600000000001</v>
      </c>
      <c r="L152" s="33">
        <v>104.52618</v>
      </c>
      <c r="M152" s="33">
        <v>116.020946</v>
      </c>
      <c r="N152" s="34">
        <v>1.1112826947205801</v>
      </c>
      <c r="O152" s="34">
        <v>1.1144210713463301</v>
      </c>
      <c r="P152" s="34">
        <v>1.1136252192873699</v>
      </c>
      <c r="Q152" s="34">
        <v>1.11731098770809</v>
      </c>
      <c r="R152" s="33">
        <v>115.465167202193</v>
      </c>
      <c r="S152" s="33">
        <v>115.466812779324</v>
      </c>
      <c r="T152" s="33">
        <v>115.81258460031</v>
      </c>
      <c r="U152" s="15">
        <v>2.8201225639984898E-3</v>
      </c>
      <c r="V152" s="15">
        <v>2.8343741815639598E-3</v>
      </c>
      <c r="W152" s="15">
        <v>5.82445529142059E-3</v>
      </c>
      <c r="X152" s="34">
        <v>1.1099702103339</v>
      </c>
      <c r="Y152" s="34">
        <v>1.1139962285470999</v>
      </c>
      <c r="Z152" s="34">
        <v>1.11265496657226</v>
      </c>
      <c r="AA152" s="34">
        <v>1.1165885869788901</v>
      </c>
      <c r="AB152" s="33">
        <v>116.44177030443601</v>
      </c>
      <c r="AC152" s="33">
        <v>116.395232517118</v>
      </c>
      <c r="AD152" s="33">
        <v>116.7655817087</v>
      </c>
      <c r="AE152" s="15">
        <v>3.6205785669812E-3</v>
      </c>
      <c r="AF152" s="15">
        <v>3.2208329305602598E-3</v>
      </c>
      <c r="AG152" s="15">
        <v>6.3976060454751203E-3</v>
      </c>
      <c r="AI152" s="12"/>
      <c r="AJ152">
        <f t="shared" si="46"/>
        <v>0</v>
      </c>
      <c r="AK152">
        <f t="shared" si="47"/>
        <v>1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3.1043962495505159E-2</v>
      </c>
      <c r="AT152" s="12"/>
      <c r="AU152">
        <f t="shared" si="50"/>
        <v>1</v>
      </c>
      <c r="AV152">
        <f t="shared" si="51"/>
        <v>0</v>
      </c>
      <c r="AW152">
        <f t="shared" si="58"/>
        <v>1</v>
      </c>
      <c r="AX152">
        <f t="shared" si="45"/>
        <v>1</v>
      </c>
      <c r="AY152">
        <f t="shared" si="59"/>
        <v>1</v>
      </c>
      <c r="AZ152" s="28">
        <f t="shared" si="52"/>
        <v>2.4099881525124702E-3</v>
      </c>
      <c r="BA152" s="28">
        <f t="shared" si="53"/>
        <v>-4.9382816405825602E-3</v>
      </c>
      <c r="BB152" s="28">
        <f t="shared" si="60"/>
        <v>-2.52829348807009E-3</v>
      </c>
      <c r="BC152" s="29">
        <f t="shared" si="61"/>
        <v>1.4197861155556513E-2</v>
      </c>
      <c r="BE152" s="29">
        <f t="shared" si="62"/>
        <v>-2.52829348807009E-3</v>
      </c>
      <c r="BF152" s="29">
        <f t="shared" si="63"/>
        <v>4.5241823651061656E-2</v>
      </c>
      <c r="BH152" s="29"/>
    </row>
    <row r="153" spans="1:60" x14ac:dyDescent="0.25">
      <c r="A153" s="1">
        <v>46245</v>
      </c>
      <c r="B153" s="33">
        <v>103.67</v>
      </c>
      <c r="C153" s="33">
        <v>115.41</v>
      </c>
      <c r="D153" s="15">
        <v>5.7892707136039299E-4</v>
      </c>
      <c r="E153" s="15">
        <v>2.3422261846498798E-3</v>
      </c>
      <c r="F153" s="33">
        <v>0</v>
      </c>
      <c r="G153" s="33">
        <v>0.91617999999999999</v>
      </c>
      <c r="H153" s="33">
        <v>0</v>
      </c>
      <c r="I153" s="33">
        <v>0.88094600000000001</v>
      </c>
      <c r="J153" s="33">
        <v>0.91617999999999999</v>
      </c>
      <c r="K153" s="33">
        <v>0.88094600000000001</v>
      </c>
      <c r="L153" s="33">
        <v>104.58618</v>
      </c>
      <c r="M153" s="33">
        <v>116.290945999999</v>
      </c>
      <c r="N153" s="34">
        <v>1.11324394713996</v>
      </c>
      <c r="O153" s="34">
        <v>1.1144210713463301</v>
      </c>
      <c r="P153" s="34">
        <v>1.1134353083488899</v>
      </c>
      <c r="Q153" s="34">
        <v>1.11700525727557</v>
      </c>
      <c r="R153" s="33">
        <v>115.53203246647401</v>
      </c>
      <c r="S153" s="33">
        <v>115.44952648352201</v>
      </c>
      <c r="T153" s="33">
        <v>115.831630095698</v>
      </c>
      <c r="U153" s="15">
        <v>1.0568234507090199E-3</v>
      </c>
      <c r="V153" s="15">
        <v>3.4242887448058602E-4</v>
      </c>
      <c r="W153" s="15">
        <v>3.6466665865147398E-3</v>
      </c>
      <c r="X153" s="34">
        <v>1.1119150350457301</v>
      </c>
      <c r="Y153" s="34">
        <v>1.1139962285470999</v>
      </c>
      <c r="Z153" s="34">
        <v>1.11237661649772</v>
      </c>
      <c r="AA153" s="34">
        <v>1.11623924363709</v>
      </c>
      <c r="AB153" s="33">
        <v>116.508610078148</v>
      </c>
      <c r="AC153" s="33">
        <v>116.36833261181999</v>
      </c>
      <c r="AD153" s="33">
        <v>116.77973494372</v>
      </c>
      <c r="AE153" s="15">
        <v>1.8699704178383801E-3</v>
      </c>
      <c r="AF153" s="15">
        <v>6.6523557655864005E-4</v>
      </c>
      <c r="AG153" s="15">
        <v>4.1943470395139201E-3</v>
      </c>
      <c r="AI153" s="12"/>
      <c r="AJ153">
        <f t="shared" si="46"/>
        <v>0</v>
      </c>
      <c r="AK153">
        <f t="shared" si="47"/>
        <v>1</v>
      </c>
      <c r="AL153">
        <f t="shared" si="54"/>
        <v>0</v>
      </c>
      <c r="AM153">
        <f t="shared" si="44"/>
        <v>1</v>
      </c>
      <c r="AN153">
        <f t="shared" si="55"/>
        <v>0</v>
      </c>
      <c r="AO153" s="28">
        <f t="shared" si="48"/>
        <v>0</v>
      </c>
      <c r="AP153" s="28">
        <f t="shared" si="49"/>
        <v>0</v>
      </c>
      <c r="AQ153" s="28">
        <f t="shared" si="56"/>
        <v>0</v>
      </c>
      <c r="AR153" s="29">
        <f t="shared" si="57"/>
        <v>3.1043962495505159E-2</v>
      </c>
      <c r="AT153" s="12"/>
      <c r="AU153">
        <f t="shared" si="50"/>
        <v>1</v>
      </c>
      <c r="AV153">
        <f t="shared" si="51"/>
        <v>0</v>
      </c>
      <c r="AW153">
        <f t="shared" si="58"/>
        <v>1</v>
      </c>
      <c r="AX153">
        <f t="shared" si="45"/>
        <v>1</v>
      </c>
      <c r="AY153">
        <f t="shared" si="59"/>
        <v>1</v>
      </c>
      <c r="AZ153" s="28">
        <f t="shared" si="52"/>
        <v>-5.7892707136039299E-4</v>
      </c>
      <c r="BA153" s="28">
        <f t="shared" si="53"/>
        <v>2.3422261846498798E-3</v>
      </c>
      <c r="BB153" s="28">
        <f t="shared" si="60"/>
        <v>1.7632991132894868E-3</v>
      </c>
      <c r="BC153" s="29">
        <f t="shared" si="61"/>
        <v>1.5961160268846E-2</v>
      </c>
      <c r="BE153" s="29">
        <f t="shared" si="62"/>
        <v>1.7632991132894868E-3</v>
      </c>
      <c r="BF153" s="29">
        <f t="shared" si="63"/>
        <v>4.7005122764351141E-2</v>
      </c>
      <c r="BH153" s="29"/>
    </row>
    <row r="154" spans="1:60" x14ac:dyDescent="0.25">
      <c r="A154" s="1">
        <v>46246</v>
      </c>
      <c r="B154" s="33">
        <v>105.9</v>
      </c>
      <c r="C154" s="33">
        <v>118.3</v>
      </c>
      <c r="D154" s="15">
        <v>2.12824752723401E-2</v>
      </c>
      <c r="E154" s="15">
        <v>2.4732765552027601E-2</v>
      </c>
      <c r="F154" s="33">
        <v>0</v>
      </c>
      <c r="G154" s="33">
        <v>0.91617999999999999</v>
      </c>
      <c r="H154" s="33">
        <v>0</v>
      </c>
      <c r="I154" s="33">
        <v>0.88094600000000001</v>
      </c>
      <c r="J154" s="33">
        <v>0.91617999999999999</v>
      </c>
      <c r="K154" s="33">
        <v>0.88094600000000001</v>
      </c>
      <c r="L154" s="33">
        <v>106.81618</v>
      </c>
      <c r="M154" s="33">
        <v>119.180945999999</v>
      </c>
      <c r="N154" s="34">
        <v>1.11709159584513</v>
      </c>
      <c r="O154" s="34">
        <v>1.1144210713463301</v>
      </c>
      <c r="P154" s="34">
        <v>1.1136697245651701</v>
      </c>
      <c r="Q154" s="34">
        <v>1.11686987664694</v>
      </c>
      <c r="R154" s="33">
        <v>118.017191455576</v>
      </c>
      <c r="S154" s="33">
        <v>117.912799154147</v>
      </c>
      <c r="T154" s="33">
        <v>118.290856745483</v>
      </c>
      <c r="U154" s="15">
        <v>-2.3934668289786799E-3</v>
      </c>
      <c r="V154" s="15">
        <v>-3.2784099256307001E-3</v>
      </c>
      <c r="W154" s="15">
        <v>-7.7291697968843396E-5</v>
      </c>
      <c r="X154" s="34">
        <v>1.11575742551362</v>
      </c>
      <c r="Y154" s="34">
        <v>1.1139962285470999</v>
      </c>
      <c r="Z154" s="34">
        <v>1.1125226473079799</v>
      </c>
      <c r="AA154" s="34">
        <v>1.11606025666252</v>
      </c>
      <c r="AB154" s="33">
        <v>118.992821667808</v>
      </c>
      <c r="AC154" s="33">
        <v>118.819820895612</v>
      </c>
      <c r="AD154" s="33">
        <v>119.23241197140401</v>
      </c>
      <c r="AE154" s="15">
        <v>-1.5797236879241E-3</v>
      </c>
      <c r="AF154" s="15">
        <v>-3.0346572932168901E-3</v>
      </c>
      <c r="AG154" s="15">
        <v>4.3173732077280601E-4</v>
      </c>
      <c r="AI154" s="12"/>
      <c r="AJ154">
        <f t="shared" si="46"/>
        <v>0</v>
      </c>
      <c r="AK154">
        <f t="shared" si="47"/>
        <v>1</v>
      </c>
      <c r="AL154">
        <f t="shared" si="54"/>
        <v>0</v>
      </c>
      <c r="AM154">
        <f t="shared" si="44"/>
        <v>1</v>
      </c>
      <c r="AN154">
        <f t="shared" si="55"/>
        <v>0</v>
      </c>
      <c r="AO154" s="28">
        <f t="shared" si="48"/>
        <v>0</v>
      </c>
      <c r="AP154" s="28">
        <f t="shared" si="49"/>
        <v>0</v>
      </c>
      <c r="AQ154" s="28">
        <f t="shared" si="56"/>
        <v>0</v>
      </c>
      <c r="AR154" s="29">
        <f t="shared" si="57"/>
        <v>3.1043962495505159E-2</v>
      </c>
      <c r="AT154" s="12"/>
      <c r="AU154">
        <f t="shared" si="50"/>
        <v>0</v>
      </c>
      <c r="AV154">
        <f t="shared" si="51"/>
        <v>1</v>
      </c>
      <c r="AW154">
        <f t="shared" si="58"/>
        <v>1</v>
      </c>
      <c r="AX154">
        <f t="shared" si="45"/>
        <v>1</v>
      </c>
      <c r="AY154">
        <f t="shared" si="59"/>
        <v>1</v>
      </c>
      <c r="AZ154" s="28">
        <f t="shared" si="52"/>
        <v>-2.12824752723401E-2</v>
      </c>
      <c r="BA154" s="28">
        <f t="shared" si="53"/>
        <v>2.4732765552027601E-2</v>
      </c>
      <c r="BB154" s="28">
        <f t="shared" si="60"/>
        <v>3.4502902796875005E-3</v>
      </c>
      <c r="BC154" s="29">
        <f t="shared" si="61"/>
        <v>1.94114505485335E-2</v>
      </c>
      <c r="BE154" s="29">
        <f t="shared" si="62"/>
        <v>3.4502902796875005E-3</v>
      </c>
      <c r="BF154" s="29">
        <f t="shared" si="63"/>
        <v>5.0455413044038638E-2</v>
      </c>
      <c r="BH154" s="29"/>
    </row>
    <row r="155" spans="1:60" x14ac:dyDescent="0.25">
      <c r="A155" s="1">
        <v>46247</v>
      </c>
      <c r="B155" s="33">
        <v>106.4</v>
      </c>
      <c r="C155" s="33">
        <v>118.53</v>
      </c>
      <c r="D155" s="15">
        <v>4.7103243001831302E-3</v>
      </c>
      <c r="E155" s="15">
        <v>1.94232210706805E-3</v>
      </c>
      <c r="F155" s="33">
        <v>0</v>
      </c>
      <c r="G155" s="33">
        <v>0.91617999999999999</v>
      </c>
      <c r="H155" s="33">
        <v>0</v>
      </c>
      <c r="I155" s="33">
        <v>0.88094600000000001</v>
      </c>
      <c r="J155" s="33">
        <v>0.91617999999999999</v>
      </c>
      <c r="K155" s="33">
        <v>0.88094600000000001</v>
      </c>
      <c r="L155" s="33">
        <v>107.31618</v>
      </c>
      <c r="M155" s="33">
        <v>119.410946</v>
      </c>
      <c r="N155" s="34">
        <v>1.1140037593984899</v>
      </c>
      <c r="O155" s="34">
        <v>1.1144210713463301</v>
      </c>
      <c r="P155" s="34">
        <v>1.1133546605602</v>
      </c>
      <c r="Q155" s="34">
        <v>1.1166068973921299</v>
      </c>
      <c r="R155" s="33">
        <v>118.57440199125</v>
      </c>
      <c r="S155" s="33">
        <v>118.494458693735</v>
      </c>
      <c r="T155" s="33">
        <v>118.834954875234</v>
      </c>
      <c r="U155" s="15">
        <v>3.7453536413647797E-4</v>
      </c>
      <c r="V155" s="15">
        <v>-2.99895687787888E-4</v>
      </c>
      <c r="W155" s="15">
        <v>2.5695035156308899E-3</v>
      </c>
      <c r="X155" s="34">
        <v>1.1127021666257499</v>
      </c>
      <c r="Y155" s="34">
        <v>1.1139962285470999</v>
      </c>
      <c r="Z155" s="34">
        <v>1.1121227516252601</v>
      </c>
      <c r="AA155" s="34">
        <v>1.1157555782214801</v>
      </c>
      <c r="AB155" s="33">
        <v>119.549819782082</v>
      </c>
      <c r="AC155" s="33">
        <v>119.39168067257999</v>
      </c>
      <c r="AD155" s="33">
        <v>119.771323394841</v>
      </c>
      <c r="AE155" s="15">
        <v>1.16231463573174E-3</v>
      </c>
      <c r="AF155" s="15">
        <v>-1.61349376509316E-4</v>
      </c>
      <c r="AG155" s="15">
        <v>3.01341456838393E-3</v>
      </c>
      <c r="AI155" s="12"/>
      <c r="AJ155">
        <f t="shared" si="46"/>
        <v>0</v>
      </c>
      <c r="AK155">
        <f t="shared" si="47"/>
        <v>1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3.1043962495505159E-2</v>
      </c>
      <c r="AT155" s="12"/>
      <c r="AU155">
        <f t="shared" si="50"/>
        <v>1</v>
      </c>
      <c r="AV155">
        <f t="shared" si="51"/>
        <v>0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1.94114505485335E-2</v>
      </c>
      <c r="BE155" s="29">
        <f t="shared" si="62"/>
        <v>0</v>
      </c>
      <c r="BF155" s="29">
        <f t="shared" si="63"/>
        <v>5.0455413044038638E-2</v>
      </c>
      <c r="BH155" s="29"/>
    </row>
    <row r="156" spans="1:60" x14ac:dyDescent="0.25">
      <c r="A156" s="1">
        <v>46248</v>
      </c>
      <c r="B156" s="33">
        <v>106.6</v>
      </c>
      <c r="C156" s="33">
        <v>119.02</v>
      </c>
      <c r="D156" s="15">
        <v>1.87793482420011E-3</v>
      </c>
      <c r="E156" s="15">
        <v>4.1254531252968001E-3</v>
      </c>
      <c r="F156" s="33">
        <v>0</v>
      </c>
      <c r="G156" s="33">
        <v>0.91617999999999999</v>
      </c>
      <c r="H156" s="33">
        <v>0</v>
      </c>
      <c r="I156" s="33">
        <v>0.88094600000000001</v>
      </c>
      <c r="J156" s="33">
        <v>0.91617999999999999</v>
      </c>
      <c r="K156" s="33">
        <v>0.88094600000000001</v>
      </c>
      <c r="L156" s="33">
        <v>107.516179999999</v>
      </c>
      <c r="M156" s="33">
        <v>119.900945999999</v>
      </c>
      <c r="N156" s="34">
        <v>1.1165103189493399</v>
      </c>
      <c r="O156" s="34">
        <v>1.1144210713463301</v>
      </c>
      <c r="P156" s="34">
        <v>1.1138323983952401</v>
      </c>
      <c r="Q156" s="34">
        <v>1.11639733599207</v>
      </c>
      <c r="R156" s="33">
        <v>118.797286205519</v>
      </c>
      <c r="S156" s="33">
        <v>118.68360681571799</v>
      </c>
      <c r="T156" s="33">
        <v>119.030295262001</v>
      </c>
      <c r="U156" s="15">
        <v>-1.8729829369602199E-3</v>
      </c>
      <c r="V156" s="15">
        <v>-2.8303601561370999E-3</v>
      </c>
      <c r="W156" s="15">
        <v>8.6496527938938802E-5</v>
      </c>
      <c r="X156" s="34">
        <v>1.11518978817885</v>
      </c>
      <c r="Y156" s="34">
        <v>1.1139962285470999</v>
      </c>
      <c r="Z156" s="34">
        <v>1.1125098746037201</v>
      </c>
      <c r="AA156" s="34">
        <v>1.1155038786990701</v>
      </c>
      <c r="AB156" s="33">
        <v>119.772619027791</v>
      </c>
      <c r="AC156" s="33">
        <v>119.57118994583701</v>
      </c>
      <c r="AD156" s="33">
        <v>119.961777584064</v>
      </c>
      <c r="AE156" s="15">
        <v>-1.07084804664281E-3</v>
      </c>
      <c r="AF156" s="15">
        <v>-2.7540261524328698E-3</v>
      </c>
      <c r="AG156" s="15">
        <v>5.0722000034165396E-4</v>
      </c>
      <c r="AI156" s="12"/>
      <c r="AJ156">
        <f t="shared" si="46"/>
        <v>0</v>
      </c>
      <c r="AK156">
        <f t="shared" si="47"/>
        <v>1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3.1043962495505159E-2</v>
      </c>
      <c r="AT156" s="12"/>
      <c r="AU156">
        <f t="shared" si="50"/>
        <v>0</v>
      </c>
      <c r="AV156">
        <f t="shared" si="51"/>
        <v>1</v>
      </c>
      <c r="AW156">
        <f t="shared" si="58"/>
        <v>1</v>
      </c>
      <c r="AX156">
        <f t="shared" si="45"/>
        <v>1</v>
      </c>
      <c r="AY156">
        <f t="shared" si="59"/>
        <v>1</v>
      </c>
      <c r="AZ156" s="28">
        <f t="shared" si="52"/>
        <v>-1.87793482420011E-3</v>
      </c>
      <c r="BA156" s="28">
        <f t="shared" si="53"/>
        <v>4.1254531252968001E-3</v>
      </c>
      <c r="BB156" s="28">
        <f t="shared" si="60"/>
        <v>2.2475183010966901E-3</v>
      </c>
      <c r="BC156" s="29">
        <f t="shared" si="61"/>
        <v>2.165896884963019E-2</v>
      </c>
      <c r="BE156" s="29">
        <f t="shared" si="62"/>
        <v>2.2475183010966901E-3</v>
      </c>
      <c r="BF156" s="29">
        <f t="shared" si="63"/>
        <v>5.2702931345135332E-2</v>
      </c>
      <c r="BH156" s="29"/>
    </row>
    <row r="157" spans="1:60" x14ac:dyDescent="0.25">
      <c r="A157" s="1">
        <v>46251</v>
      </c>
      <c r="B157" s="33">
        <v>106.5</v>
      </c>
      <c r="C157" s="33">
        <v>119.12</v>
      </c>
      <c r="D157" s="15">
        <v>-9.3852658226427702E-4</v>
      </c>
      <c r="E157" s="15">
        <v>8.3984215904768999E-4</v>
      </c>
      <c r="F157" s="33">
        <v>0</v>
      </c>
      <c r="G157" s="33">
        <v>0.91617999999999999</v>
      </c>
      <c r="H157" s="33">
        <v>0</v>
      </c>
      <c r="I157" s="33">
        <v>0.88094600000000001</v>
      </c>
      <c r="J157" s="33">
        <v>0.91617999999999999</v>
      </c>
      <c r="K157" s="33">
        <v>0.88094600000000001</v>
      </c>
      <c r="L157" s="33">
        <v>107.41618</v>
      </c>
      <c r="M157" s="33">
        <v>120.000946</v>
      </c>
      <c r="N157" s="34">
        <v>1.1184976525821499</v>
      </c>
      <c r="O157" s="34">
        <v>1.1144210713463301</v>
      </c>
      <c r="P157" s="34">
        <v>1.1142494434211301</v>
      </c>
      <c r="Q157" s="34">
        <v>1.1162625054017701</v>
      </c>
      <c r="R157" s="33">
        <v>118.685844098384</v>
      </c>
      <c r="S157" s="33">
        <v>118.623150429094</v>
      </c>
      <c r="T157" s="33">
        <v>118.896316283156</v>
      </c>
      <c r="U157" s="15">
        <v>-3.6513516782721799E-3</v>
      </c>
      <c r="V157" s="15">
        <v>-4.1797233135235602E-3</v>
      </c>
      <c r="W157" s="15">
        <v>-1.8795667976795199E-3</v>
      </c>
      <c r="X157" s="34">
        <v>1.1171589419768899</v>
      </c>
      <c r="Y157" s="34">
        <v>1.1139962285470999</v>
      </c>
      <c r="Z157" s="34">
        <v>1.11292736388962</v>
      </c>
      <c r="AA157" s="34">
        <v>1.1153260936630101</v>
      </c>
      <c r="AB157" s="33">
        <v>119.661219404937</v>
      </c>
      <c r="AC157" s="33">
        <v>119.50156094221001</v>
      </c>
      <c r="AD157" s="33">
        <v>119.823165425038</v>
      </c>
      <c r="AE157" s="15">
        <v>-2.8350475932207202E-3</v>
      </c>
      <c r="AF157" s="15">
        <v>-4.1701925201354899E-3</v>
      </c>
      <c r="AG157" s="15">
        <v>-1.48259160824169E-3</v>
      </c>
      <c r="AI157" s="12"/>
      <c r="AJ157">
        <f t="shared" si="46"/>
        <v>0</v>
      </c>
      <c r="AK157">
        <f t="shared" si="47"/>
        <v>1</v>
      </c>
      <c r="AL157">
        <f t="shared" si="54"/>
        <v>0</v>
      </c>
      <c r="AM157">
        <f t="shared" si="44"/>
        <v>1</v>
      </c>
      <c r="AN157">
        <f t="shared" si="55"/>
        <v>0</v>
      </c>
      <c r="AO157" s="28">
        <f t="shared" si="48"/>
        <v>0</v>
      </c>
      <c r="AP157" s="28">
        <f t="shared" si="49"/>
        <v>0</v>
      </c>
      <c r="AQ157" s="28">
        <f t="shared" si="56"/>
        <v>0</v>
      </c>
      <c r="AR157" s="29">
        <f t="shared" si="57"/>
        <v>3.1043962495505159E-2</v>
      </c>
      <c r="AT157" s="12"/>
      <c r="AU157">
        <f t="shared" si="50"/>
        <v>0</v>
      </c>
      <c r="AV157">
        <f t="shared" si="51"/>
        <v>1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2.165896884963019E-2</v>
      </c>
      <c r="BE157" s="29">
        <f t="shared" si="62"/>
        <v>0</v>
      </c>
      <c r="BF157" s="29">
        <f t="shared" si="63"/>
        <v>5.2702931345135332E-2</v>
      </c>
      <c r="BH157" s="29"/>
    </row>
    <row r="158" spans="1:60" x14ac:dyDescent="0.25">
      <c r="A158" s="1">
        <v>46252</v>
      </c>
      <c r="B158" s="33">
        <v>104.45</v>
      </c>
      <c r="C158" s="33">
        <v>116.42</v>
      </c>
      <c r="D158" s="15">
        <v>-1.9436497146904999E-2</v>
      </c>
      <c r="E158" s="15">
        <v>-2.2927046532164101E-2</v>
      </c>
      <c r="F158" s="33">
        <v>0</v>
      </c>
      <c r="G158" s="33">
        <v>0.91617999999999999</v>
      </c>
      <c r="H158" s="33">
        <v>0</v>
      </c>
      <c r="I158" s="33">
        <v>0.88094600000000001</v>
      </c>
      <c r="J158" s="33">
        <v>0.91617999999999999</v>
      </c>
      <c r="K158" s="33">
        <v>0.88094600000000001</v>
      </c>
      <c r="L158" s="33">
        <v>105.36618</v>
      </c>
      <c r="M158" s="33">
        <v>117.300946</v>
      </c>
      <c r="N158" s="34">
        <v>1.1146002872187599</v>
      </c>
      <c r="O158" s="34">
        <v>1.1144210713463301</v>
      </c>
      <c r="P158" s="34">
        <v>1.11453718927637</v>
      </c>
      <c r="Q158" s="34">
        <v>1.1157093680605199</v>
      </c>
      <c r="R158" s="33">
        <v>116.401280902124</v>
      </c>
      <c r="S158" s="33">
        <v>116.383354365337</v>
      </c>
      <c r="T158" s="33">
        <v>116.59361868921501</v>
      </c>
      <c r="U158" s="15">
        <v>-1.6080229301315899E-4</v>
      </c>
      <c r="V158" s="15">
        <v>-3.1482050647684999E-4</v>
      </c>
      <c r="W158" s="15">
        <v>1.49020235230782E-3</v>
      </c>
      <c r="X158" s="34">
        <v>1.11326941908684</v>
      </c>
      <c r="Y158" s="34">
        <v>1.1139962285470999</v>
      </c>
      <c r="Z158" s="34">
        <v>1.1132115017754201</v>
      </c>
      <c r="AA158" s="34">
        <v>1.11473147472011</v>
      </c>
      <c r="AB158" s="33">
        <v>117.377527136415</v>
      </c>
      <c r="AC158" s="33">
        <v>117.264904950519</v>
      </c>
      <c r="AD158" s="33">
        <v>117.51764994359399</v>
      </c>
      <c r="AE158" s="15">
        <v>6.5264732730239397E-4</v>
      </c>
      <c r="AF158" s="15">
        <v>-3.0730005768584399E-4</v>
      </c>
      <c r="AG158" s="15">
        <v>1.8457141713412099E-3</v>
      </c>
      <c r="AI158" s="12"/>
      <c r="AJ158">
        <f t="shared" si="46"/>
        <v>0</v>
      </c>
      <c r="AK158">
        <f t="shared" si="47"/>
        <v>1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3.1043962495505159E-2</v>
      </c>
      <c r="AT158" s="12"/>
      <c r="AU158">
        <f t="shared" si="50"/>
        <v>0</v>
      </c>
      <c r="AV158">
        <f t="shared" si="51"/>
        <v>0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2.165896884963019E-2</v>
      </c>
      <c r="BE158" s="29">
        <f t="shared" si="62"/>
        <v>0</v>
      </c>
      <c r="BF158" s="29">
        <f t="shared" si="63"/>
        <v>5.2702931345135332E-2</v>
      </c>
      <c r="BH158" s="29"/>
    </row>
    <row r="159" spans="1:60" x14ac:dyDescent="0.25">
      <c r="A159" s="1">
        <v>46253</v>
      </c>
      <c r="B159" s="33">
        <v>103.73</v>
      </c>
      <c r="C159" s="33">
        <v>115.84</v>
      </c>
      <c r="D159" s="15">
        <v>-6.9171185588380998E-3</v>
      </c>
      <c r="E159" s="15">
        <v>-4.9944132061832203E-3</v>
      </c>
      <c r="F159" s="33">
        <v>0</v>
      </c>
      <c r="G159" s="33">
        <v>0.91617999999999999</v>
      </c>
      <c r="H159" s="33">
        <v>0</v>
      </c>
      <c r="I159" s="33">
        <v>0.88094600000000001</v>
      </c>
      <c r="J159" s="33">
        <v>0.91617999999999999</v>
      </c>
      <c r="K159" s="33">
        <v>0.88094600000000001</v>
      </c>
      <c r="L159" s="33">
        <v>104.64618</v>
      </c>
      <c r="M159" s="33">
        <v>116.720946</v>
      </c>
      <c r="N159" s="34">
        <v>1.1167453967029699</v>
      </c>
      <c r="O159" s="34">
        <v>1.1144210713463301</v>
      </c>
      <c r="P159" s="34">
        <v>1.1149504676854101</v>
      </c>
      <c r="Q159" s="34">
        <v>1.1155322148187501</v>
      </c>
      <c r="R159" s="33">
        <v>115.598897730755</v>
      </c>
      <c r="S159" s="33">
        <v>115.610942643638</v>
      </c>
      <c r="T159" s="33">
        <v>115.732532748918</v>
      </c>
      <c r="U159" s="15">
        <v>-2.0835076456679302E-3</v>
      </c>
      <c r="V159" s="15">
        <v>-1.9793173320176599E-3</v>
      </c>
      <c r="W159" s="15">
        <v>-9.2815203531192701E-4</v>
      </c>
      <c r="X159" s="34">
        <v>1.1153865912735601</v>
      </c>
      <c r="Y159" s="34">
        <v>1.1139962285470999</v>
      </c>
      <c r="Z159" s="34">
        <v>1.1136203954106301</v>
      </c>
      <c r="AA159" s="34">
        <v>1.1145095577759601</v>
      </c>
      <c r="AB159" s="33">
        <v>116.57544985186099</v>
      </c>
      <c r="AC159" s="33">
        <v>116.49333119286101</v>
      </c>
      <c r="AD159" s="33">
        <v>116.65239055522601</v>
      </c>
      <c r="AE159" s="15">
        <v>-1.2473074559964301E-3</v>
      </c>
      <c r="AF159" s="15">
        <v>-1.9519806604463301E-3</v>
      </c>
      <c r="AG159" s="15">
        <v>-5.8751738958058596E-4</v>
      </c>
      <c r="AI159" s="12"/>
      <c r="AJ159">
        <f t="shared" si="46"/>
        <v>0</v>
      </c>
      <c r="AK159">
        <f t="shared" si="47"/>
        <v>1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3.1043962495505159E-2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2.165896884963019E-2</v>
      </c>
      <c r="BE159" s="29">
        <f t="shared" si="62"/>
        <v>0</v>
      </c>
      <c r="BF159" s="29">
        <f t="shared" si="63"/>
        <v>5.2702931345135332E-2</v>
      </c>
      <c r="BH159" s="29"/>
    </row>
    <row r="160" spans="1:60" x14ac:dyDescent="0.25">
      <c r="A160" s="1">
        <v>46254</v>
      </c>
      <c r="B160" s="33">
        <v>103.57</v>
      </c>
      <c r="C160" s="33">
        <v>115.62</v>
      </c>
      <c r="D160" s="15">
        <v>-1.5436568429493501E-3</v>
      </c>
      <c r="E160" s="15">
        <v>-1.90097698307623E-3</v>
      </c>
      <c r="F160" s="33">
        <v>0</v>
      </c>
      <c r="G160" s="33">
        <v>0.91617999999999999</v>
      </c>
      <c r="H160" s="33">
        <v>0</v>
      </c>
      <c r="I160" s="33">
        <v>0.88094600000000001</v>
      </c>
      <c r="J160" s="33">
        <v>0.91617999999999999</v>
      </c>
      <c r="K160" s="33">
        <v>0.88094600000000001</v>
      </c>
      <c r="L160" s="33">
        <v>104.486179999999</v>
      </c>
      <c r="M160" s="33">
        <v>116.500946</v>
      </c>
      <c r="N160" s="34">
        <v>1.11634643236458</v>
      </c>
      <c r="O160" s="34">
        <v>1.1144210713463301</v>
      </c>
      <c r="P160" s="34">
        <v>1.1152417983246601</v>
      </c>
      <c r="Q160" s="34">
        <v>1.1151801073393699</v>
      </c>
      <c r="R160" s="33">
        <v>115.420590359339</v>
      </c>
      <c r="S160" s="33">
        <v>115.475419938177</v>
      </c>
      <c r="T160" s="33">
        <v>115.53567148877799</v>
      </c>
      <c r="U160" s="15">
        <v>-1.7261875055411601E-3</v>
      </c>
      <c r="V160" s="15">
        <v>-1.25125872874679E-3</v>
      </c>
      <c r="W160" s="15">
        <v>-7.2962531630588298E-4</v>
      </c>
      <c r="X160" s="34">
        <v>1.1149890444841599</v>
      </c>
      <c r="Y160" s="34">
        <v>1.1139962285470999</v>
      </c>
      <c r="Z160" s="34">
        <v>1.1139100568984599</v>
      </c>
      <c r="AA160" s="34">
        <v>1.11411399563491</v>
      </c>
      <c r="AB160" s="33">
        <v>116.397210455294</v>
      </c>
      <c r="AC160" s="33">
        <v>116.35794108654601</v>
      </c>
      <c r="AD160" s="33">
        <v>116.450846265499</v>
      </c>
      <c r="AE160" s="15">
        <v>-8.9082329499520795E-4</v>
      </c>
      <c r="AF160" s="15">
        <v>-1.22825401444752E-3</v>
      </c>
      <c r="AG160" s="15">
        <v>-4.3012964000253899E-4</v>
      </c>
      <c r="AI160" s="12"/>
      <c r="AJ160">
        <f t="shared" si="46"/>
        <v>0</v>
      </c>
      <c r="AK160">
        <f t="shared" si="47"/>
        <v>1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3.1043962495505159E-2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2.165896884963019E-2</v>
      </c>
      <c r="BE160" s="29">
        <f t="shared" si="62"/>
        <v>0</v>
      </c>
      <c r="BF160" s="29">
        <f t="shared" si="63"/>
        <v>5.2702931345135332E-2</v>
      </c>
      <c r="BH160" s="29"/>
    </row>
    <row r="161" spans="1:60" x14ac:dyDescent="0.25">
      <c r="A161" s="1">
        <v>46255</v>
      </c>
      <c r="B161" s="33">
        <v>103.69</v>
      </c>
      <c r="C161" s="33">
        <v>115.86</v>
      </c>
      <c r="D161" s="15">
        <v>1.1579659693993799E-3</v>
      </c>
      <c r="E161" s="15">
        <v>2.07361401414789E-3</v>
      </c>
      <c r="F161" s="33">
        <v>0</v>
      </c>
      <c r="G161" s="33">
        <v>0.91617999999999999</v>
      </c>
      <c r="H161" s="33">
        <v>0</v>
      </c>
      <c r="I161" s="33">
        <v>0.88094600000000001</v>
      </c>
      <c r="J161" s="33">
        <v>0.91617999999999999</v>
      </c>
      <c r="K161" s="33">
        <v>0.88094600000000001</v>
      </c>
      <c r="L161" s="33">
        <v>104.60617999999999</v>
      </c>
      <c r="M161" s="33">
        <v>116.74094599999999</v>
      </c>
      <c r="N161" s="34">
        <v>1.11736908091426</v>
      </c>
      <c r="O161" s="34">
        <v>1.1144210713463301</v>
      </c>
      <c r="P161" s="34">
        <v>1.1155691165836199</v>
      </c>
      <c r="Q161" s="34">
        <v>1.11500303517302</v>
      </c>
      <c r="R161" s="33">
        <v>115.554320887901</v>
      </c>
      <c r="S161" s="33">
        <v>115.63942206828401</v>
      </c>
      <c r="T161" s="33">
        <v>115.633025330019</v>
      </c>
      <c r="U161" s="15">
        <v>-2.6418355502896501E-3</v>
      </c>
      <c r="V161" s="15">
        <v>-1.90564621282064E-3</v>
      </c>
      <c r="W161" s="15">
        <v>-1.96096398490022E-3</v>
      </c>
      <c r="X161" s="34">
        <v>1.1160042934365799</v>
      </c>
      <c r="Y161" s="34">
        <v>1.1139962285470999</v>
      </c>
      <c r="Z161" s="34">
        <v>1.1142342915955901</v>
      </c>
      <c r="AA161" s="34">
        <v>1.11389264700294</v>
      </c>
      <c r="AB161" s="33">
        <v>116.530890002719</v>
      </c>
      <c r="AC161" s="33">
        <v>116.521875915731</v>
      </c>
      <c r="AD161" s="33">
        <v>116.543209167905</v>
      </c>
      <c r="AE161" s="15">
        <v>-1.80095512304394E-3</v>
      </c>
      <c r="AF161" s="15">
        <v>-1.8783117418978801E-3</v>
      </c>
      <c r="AG161" s="15">
        <v>-1.69524483399014E-3</v>
      </c>
      <c r="AI161" s="12"/>
      <c r="AJ161">
        <f t="shared" si="46"/>
        <v>0</v>
      </c>
      <c r="AK161">
        <f t="shared" si="47"/>
        <v>1</v>
      </c>
      <c r="AL161">
        <f t="shared" si="54"/>
        <v>0</v>
      </c>
      <c r="AM161">
        <f t="shared" si="44"/>
        <v>1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3.1043962495505159E-2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1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2.165896884963019E-2</v>
      </c>
      <c r="BE161" s="29">
        <f t="shared" si="62"/>
        <v>0</v>
      </c>
      <c r="BF161" s="29">
        <f t="shared" si="63"/>
        <v>5.2702931345135332E-2</v>
      </c>
      <c r="BH161" s="29"/>
    </row>
    <row r="162" spans="1:60" x14ac:dyDescent="0.25">
      <c r="A162" s="1">
        <v>46258</v>
      </c>
      <c r="B162" s="33">
        <v>102.66</v>
      </c>
      <c r="C162" s="33">
        <v>114.72</v>
      </c>
      <c r="D162" s="15">
        <v>-9.98312143802969E-3</v>
      </c>
      <c r="E162" s="15">
        <v>-9.8881888171677996E-3</v>
      </c>
      <c r="F162" s="33">
        <v>0</v>
      </c>
      <c r="G162" s="33">
        <v>0.91617999999999999</v>
      </c>
      <c r="H162" s="33">
        <v>0</v>
      </c>
      <c r="I162" s="33">
        <v>0.88094600000000001</v>
      </c>
      <c r="J162" s="33">
        <v>0.91617999999999999</v>
      </c>
      <c r="K162" s="33">
        <v>0.88094600000000001</v>
      </c>
      <c r="L162" s="33">
        <v>103.57617999999999</v>
      </c>
      <c r="M162" s="33">
        <v>115.60094599999999</v>
      </c>
      <c r="N162" s="34">
        <v>1.11747516072472</v>
      </c>
      <c r="O162" s="34">
        <v>1.1144210713463301</v>
      </c>
      <c r="P162" s="34">
        <v>1.1161883631840399</v>
      </c>
      <c r="Q162" s="34">
        <v>1.1149067912357</v>
      </c>
      <c r="R162" s="33">
        <v>114.406467184414</v>
      </c>
      <c r="S162" s="33">
        <v>114.524325508475</v>
      </c>
      <c r="T162" s="33">
        <v>114.466211590862</v>
      </c>
      <c r="U162" s="15">
        <v>-2.7367681711515401E-3</v>
      </c>
      <c r="V162" s="15">
        <v>-1.7071265656119401E-3</v>
      </c>
      <c r="W162" s="15">
        <v>-2.21469268250102E-3</v>
      </c>
      <c r="X162" s="34">
        <v>1.11609586296772</v>
      </c>
      <c r="Y162" s="34">
        <v>1.1139962285470999</v>
      </c>
      <c r="Z162" s="34">
        <v>1.11484685685897</v>
      </c>
      <c r="AA162" s="34">
        <v>1.1137509117156099</v>
      </c>
      <c r="AB162" s="33">
        <v>115.383473887316</v>
      </c>
      <c r="AC162" s="33">
        <v>115.408131548477</v>
      </c>
      <c r="AD162" s="33">
        <v>115.372745306653</v>
      </c>
      <c r="AE162" s="15">
        <v>-1.8830029925598101E-3</v>
      </c>
      <c r="AF162" s="15">
        <v>-1.6693239793331199E-3</v>
      </c>
      <c r="AG162" s="15">
        <v>-1.9759892679326999E-3</v>
      </c>
      <c r="AI162" s="12"/>
      <c r="AJ162">
        <f t="shared" si="46"/>
        <v>0</v>
      </c>
      <c r="AK162">
        <f t="shared" si="47"/>
        <v>1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3.1043962495505159E-2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2.165896884963019E-2</v>
      </c>
      <c r="BE162" s="29">
        <f t="shared" si="62"/>
        <v>0</v>
      </c>
      <c r="BF162" s="29">
        <f t="shared" si="63"/>
        <v>5.2702931345135332E-2</v>
      </c>
      <c r="BH162" s="29"/>
    </row>
    <row r="163" spans="1:60" x14ac:dyDescent="0.25">
      <c r="A163" s="1">
        <v>46259</v>
      </c>
      <c r="B163" s="33">
        <v>103.68</v>
      </c>
      <c r="C163" s="33">
        <v>115.84</v>
      </c>
      <c r="D163" s="15">
        <v>9.8866754718074899E-3</v>
      </c>
      <c r="E163" s="15">
        <v>9.7155517860959707E-3</v>
      </c>
      <c r="F163" s="33">
        <v>0</v>
      </c>
      <c r="G163" s="33">
        <v>0.91617999999999999</v>
      </c>
      <c r="H163" s="33">
        <v>0</v>
      </c>
      <c r="I163" s="33">
        <v>0.88094600000000001</v>
      </c>
      <c r="J163" s="33">
        <v>0.91617999999999999</v>
      </c>
      <c r="K163" s="33">
        <v>0.88094600000000001</v>
      </c>
      <c r="L163" s="33">
        <v>104.59618</v>
      </c>
      <c r="M163" s="33">
        <v>116.720946</v>
      </c>
      <c r="N163" s="34">
        <v>1.11728395061728</v>
      </c>
      <c r="O163" s="34">
        <v>1.1144210713463301</v>
      </c>
      <c r="P163" s="34">
        <v>1.11659236353177</v>
      </c>
      <c r="Q163" s="34">
        <v>1.1150138359403301</v>
      </c>
      <c r="R163" s="33">
        <v>115.543176677188</v>
      </c>
      <c r="S163" s="33">
        <v>115.726409494921</v>
      </c>
      <c r="T163" s="33">
        <v>115.593536115318</v>
      </c>
      <c r="U163" s="15">
        <v>-2.5656444854400299E-3</v>
      </c>
      <c r="V163" s="15">
        <v>-9.8106210168460105E-4</v>
      </c>
      <c r="W163" s="15">
        <v>-2.1298899199392002E-3</v>
      </c>
      <c r="X163" s="34">
        <v>1.1159197783322401</v>
      </c>
      <c r="Y163" s="34">
        <v>1.1139962285470999</v>
      </c>
      <c r="Z163" s="34">
        <v>1.1152473311876201</v>
      </c>
      <c r="AA163" s="34">
        <v>1.1138119738426699</v>
      </c>
      <c r="AB163" s="33">
        <v>116.519750040434</v>
      </c>
      <c r="AC163" s="33">
        <v>116.608722512455</v>
      </c>
      <c r="AD163" s="33">
        <v>116.494090836971</v>
      </c>
      <c r="AE163" s="15">
        <v>-1.7252221664944699E-3</v>
      </c>
      <c r="AF163" s="15">
        <v>-9.6193079014146598E-4</v>
      </c>
      <c r="AG163" s="15">
        <v>-1.94545975813668E-3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3.1043962495505159E-2</v>
      </c>
      <c r="AT163" s="12"/>
      <c r="AU163">
        <f t="shared" si="50"/>
        <v>0</v>
      </c>
      <c r="AV163">
        <f t="shared" si="51"/>
        <v>1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2.165896884963019E-2</v>
      </c>
      <c r="BE163" s="29">
        <f t="shared" si="62"/>
        <v>0</v>
      </c>
      <c r="BF163" s="29">
        <f t="shared" si="63"/>
        <v>5.2702931345135332E-2</v>
      </c>
      <c r="BH163" s="29"/>
    </row>
    <row r="164" spans="1:60" x14ac:dyDescent="0.25">
      <c r="A164" s="1">
        <v>46260</v>
      </c>
      <c r="B164" s="33">
        <v>103.75</v>
      </c>
      <c r="C164" s="33">
        <v>115.5</v>
      </c>
      <c r="D164" s="15">
        <v>6.7492650684298702E-4</v>
      </c>
      <c r="E164" s="15">
        <v>-2.9393986755580298E-3</v>
      </c>
      <c r="F164" s="33">
        <v>0</v>
      </c>
      <c r="G164" s="33">
        <v>0.91617999999999999</v>
      </c>
      <c r="H164" s="33">
        <v>0</v>
      </c>
      <c r="I164" s="33">
        <v>0.88094600000000001</v>
      </c>
      <c r="J164" s="33">
        <v>0.91617999999999999</v>
      </c>
      <c r="K164" s="33">
        <v>0.88094600000000001</v>
      </c>
      <c r="L164" s="33">
        <v>104.66618</v>
      </c>
      <c r="M164" s="33">
        <v>116.38094599999999</v>
      </c>
      <c r="N164" s="34">
        <v>1.11325301204819</v>
      </c>
      <c r="O164" s="34">
        <v>1.1144210713463301</v>
      </c>
      <c r="P164" s="34">
        <v>1.11620850515207</v>
      </c>
      <c r="Q164" s="34">
        <v>1.1149391148586201</v>
      </c>
      <c r="R164" s="33">
        <v>115.62118615218201</v>
      </c>
      <c r="S164" s="33">
        <v>115.846457716421</v>
      </c>
      <c r="T164" s="33">
        <v>115.68268547880901</v>
      </c>
      <c r="U164" s="15">
        <v>1.0486806969610199E-3</v>
      </c>
      <c r="V164" s="15">
        <v>2.9951439831327302E-3</v>
      </c>
      <c r="W164" s="15">
        <v>1.5804428991491801E-3</v>
      </c>
      <c r="X164" s="34">
        <v>1.11192503633934</v>
      </c>
      <c r="Y164" s="34">
        <v>1.1139962285470999</v>
      </c>
      <c r="Z164" s="34">
        <v>1.11486409227019</v>
      </c>
      <c r="AA164" s="34">
        <v>1.1136933697890901</v>
      </c>
      <c r="AB164" s="33">
        <v>116.597729776432</v>
      </c>
      <c r="AC164" s="33">
        <v>116.728677910603</v>
      </c>
      <c r="AD164" s="33">
        <v>116.578444540372</v>
      </c>
      <c r="AE164" s="15">
        <v>1.8609758019660599E-3</v>
      </c>
      <c r="AF164" s="15">
        <v>2.9834218141211E-3</v>
      </c>
      <c r="AG164" s="15">
        <v>1.6955623658788999E-3</v>
      </c>
      <c r="AI164" s="12"/>
      <c r="AJ164">
        <f t="shared" si="46"/>
        <v>0</v>
      </c>
      <c r="AK164">
        <f t="shared" si="47"/>
        <v>1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3.1043962495505159E-2</v>
      </c>
      <c r="AT164" s="12"/>
      <c r="AU164">
        <f t="shared" si="50"/>
        <v>0</v>
      </c>
      <c r="AV164">
        <f t="shared" si="51"/>
        <v>0</v>
      </c>
      <c r="AW164">
        <f t="shared" si="58"/>
        <v>0</v>
      </c>
      <c r="AX164">
        <f t="shared" si="45"/>
        <v>1</v>
      </c>
      <c r="AY164">
        <f t="shared" si="59"/>
        <v>0</v>
      </c>
      <c r="AZ164" s="28">
        <f t="shared" si="52"/>
        <v>0</v>
      </c>
      <c r="BA164" s="28">
        <f t="shared" si="53"/>
        <v>0</v>
      </c>
      <c r="BB164" s="28">
        <f t="shared" si="60"/>
        <v>0</v>
      </c>
      <c r="BC164" s="29">
        <f t="shared" si="61"/>
        <v>2.165896884963019E-2</v>
      </c>
      <c r="BE164" s="29">
        <f t="shared" si="62"/>
        <v>0</v>
      </c>
      <c r="BF164" s="29">
        <f t="shared" si="63"/>
        <v>5.2702931345135332E-2</v>
      </c>
      <c r="BH164" s="29"/>
    </row>
    <row r="165" spans="1:60" x14ac:dyDescent="0.25">
      <c r="A165" s="1">
        <v>46261</v>
      </c>
      <c r="B165" s="33">
        <v>104.04</v>
      </c>
      <c r="C165" s="33">
        <v>116.17</v>
      </c>
      <c r="D165" s="15">
        <v>2.7912814696431898E-3</v>
      </c>
      <c r="E165" s="15">
        <v>5.7841055635353203E-3</v>
      </c>
      <c r="F165" s="33">
        <v>0</v>
      </c>
      <c r="G165" s="33">
        <v>0.91617999999999999</v>
      </c>
      <c r="H165" s="33">
        <v>0</v>
      </c>
      <c r="I165" s="33">
        <v>0.88094600000000001</v>
      </c>
      <c r="J165" s="33">
        <v>0.91617999999999999</v>
      </c>
      <c r="K165" s="33">
        <v>0.88094600000000001</v>
      </c>
      <c r="L165" s="33">
        <v>104.95618</v>
      </c>
      <c r="M165" s="33">
        <v>117.050946</v>
      </c>
      <c r="N165" s="34">
        <v>1.1165897731641601</v>
      </c>
      <c r="O165" s="34">
        <v>1.1144210713463301</v>
      </c>
      <c r="P165" s="34">
        <v>1.11646710652864</v>
      </c>
      <c r="Q165" s="34">
        <v>1.1149108835444199</v>
      </c>
      <c r="R165" s="33">
        <v>115.944368262872</v>
      </c>
      <c r="S165" s="33">
        <v>116.130332876022</v>
      </c>
      <c r="T165" s="33">
        <v>115.998265509891</v>
      </c>
      <c r="U165" s="15">
        <v>-1.9441433969309E-3</v>
      </c>
      <c r="V165" s="15">
        <v>-3.4151586329743199E-4</v>
      </c>
      <c r="W165" s="15">
        <v>-1.4793970317412101E-3</v>
      </c>
      <c r="X165" s="34">
        <v>1.11523633958476</v>
      </c>
      <c r="Y165" s="34">
        <v>1.1139962285470999</v>
      </c>
      <c r="Z165" s="34">
        <v>1.1151175095660899</v>
      </c>
      <c r="AA165" s="34">
        <v>1.1136201305956801</v>
      </c>
      <c r="AB165" s="33">
        <v>116.92078868271101</v>
      </c>
      <c r="AC165" s="33">
        <v>117.01187634384701</v>
      </c>
      <c r="AD165" s="33">
        <v>116.88900178439</v>
      </c>
      <c r="AE165" s="15">
        <v>-1.1125902100226799E-3</v>
      </c>
      <c r="AF165" s="15">
        <v>-3.3383906187321998E-4</v>
      </c>
      <c r="AG165" s="15">
        <v>-1.38449412348194E-3</v>
      </c>
      <c r="AI165" s="12"/>
      <c r="AJ165">
        <f t="shared" si="46"/>
        <v>0</v>
      </c>
      <c r="AK165">
        <f t="shared" si="47"/>
        <v>1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3.1043962495505159E-2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2.165896884963019E-2</v>
      </c>
      <c r="BE165" s="29">
        <f t="shared" si="62"/>
        <v>0</v>
      </c>
      <c r="BF165" s="29">
        <f t="shared" si="63"/>
        <v>5.2702931345135332E-2</v>
      </c>
      <c r="BH165" s="29"/>
    </row>
    <row r="166" spans="1:60" x14ac:dyDescent="0.25">
      <c r="A166" s="1">
        <v>46262</v>
      </c>
      <c r="B166" s="33">
        <v>102.46</v>
      </c>
      <c r="C166" s="33">
        <v>114.25</v>
      </c>
      <c r="D166" s="15">
        <v>-1.5302962069394599E-2</v>
      </c>
      <c r="E166" s="15">
        <v>-1.6665605751069301E-2</v>
      </c>
      <c r="F166" s="33">
        <v>0</v>
      </c>
      <c r="G166" s="33">
        <v>0.91617999999999999</v>
      </c>
      <c r="H166" s="33">
        <v>0</v>
      </c>
      <c r="I166" s="33">
        <v>0.88094600000000001</v>
      </c>
      <c r="J166" s="33">
        <v>0.91617999999999999</v>
      </c>
      <c r="K166" s="33">
        <v>0.88094600000000001</v>
      </c>
      <c r="L166" s="33">
        <v>103.376179999999</v>
      </c>
      <c r="M166" s="33">
        <v>115.13094599999999</v>
      </c>
      <c r="N166" s="34">
        <v>1.1150692953347601</v>
      </c>
      <c r="O166" s="34">
        <v>1.1144210713463301</v>
      </c>
      <c r="P166" s="34">
        <v>1.1163230041671801</v>
      </c>
      <c r="Q166" s="34">
        <v>1.1150777012812101</v>
      </c>
      <c r="R166" s="33">
        <v>114.183582970145</v>
      </c>
      <c r="S166" s="33">
        <v>114.393219734925</v>
      </c>
      <c r="T166" s="33">
        <v>114.233769127961</v>
      </c>
      <c r="U166" s="15">
        <v>-5.8149971525639802E-4</v>
      </c>
      <c r="V166" s="15">
        <v>1.2527793636086799E-3</v>
      </c>
      <c r="W166" s="15">
        <v>-1.4207461761778901E-4</v>
      </c>
      <c r="X166" s="34">
        <v>1.1137086512579499</v>
      </c>
      <c r="Y166" s="34">
        <v>1.1139962285470999</v>
      </c>
      <c r="Z166" s="34">
        <v>1.1149693958739999</v>
      </c>
      <c r="AA166" s="34">
        <v>1.11373963523886</v>
      </c>
      <c r="AB166" s="33">
        <v>115.16067464160599</v>
      </c>
      <c r="AC166" s="33">
        <v>115.27658839005601</v>
      </c>
      <c r="AD166" s="33">
        <v>115.12179507208199</v>
      </c>
      <c r="AE166" s="15">
        <v>2.58182574678295E-4</v>
      </c>
      <c r="AF166" s="15">
        <v>1.26421568495955E-3</v>
      </c>
      <c r="AG166" s="15">
        <v>-7.9485941228025697E-5</v>
      </c>
      <c r="AI166" s="12"/>
      <c r="AJ166">
        <f t="shared" si="46"/>
        <v>0</v>
      </c>
      <c r="AK166">
        <f t="shared" si="47"/>
        <v>1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3.1043962495505159E-2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2.165896884963019E-2</v>
      </c>
      <c r="BE166" s="29">
        <f t="shared" si="62"/>
        <v>0</v>
      </c>
      <c r="BF166" s="29">
        <f t="shared" si="63"/>
        <v>5.2702931345135332E-2</v>
      </c>
      <c r="BH166" s="29"/>
    </row>
    <row r="167" spans="1:60" x14ac:dyDescent="0.25">
      <c r="A167" s="1">
        <v>46265</v>
      </c>
      <c r="B167" s="33">
        <v>102.19</v>
      </c>
      <c r="C167" s="33">
        <v>113.84</v>
      </c>
      <c r="D167" s="15">
        <v>-2.6386528869384502E-3</v>
      </c>
      <c r="E167" s="15">
        <v>-3.5950759927170801E-3</v>
      </c>
      <c r="F167" s="33">
        <v>0</v>
      </c>
      <c r="G167" s="33">
        <v>0.91617999999999999</v>
      </c>
      <c r="H167" s="33">
        <v>0</v>
      </c>
      <c r="I167" s="33">
        <v>0.88094600000000001</v>
      </c>
      <c r="J167" s="33">
        <v>0.91617999999999999</v>
      </c>
      <c r="K167" s="33">
        <v>0.88094600000000001</v>
      </c>
      <c r="L167" s="33">
        <v>103.10617999999999</v>
      </c>
      <c r="M167" s="33">
        <v>114.720946</v>
      </c>
      <c r="N167" s="34">
        <v>1.1140033271357199</v>
      </c>
      <c r="O167" s="34">
        <v>1.1144210713463301</v>
      </c>
      <c r="P167" s="34">
        <v>1.1158735716225401</v>
      </c>
      <c r="Q167" s="34">
        <v>1.11506150752183</v>
      </c>
      <c r="R167" s="33">
        <v>113.882689280881</v>
      </c>
      <c r="S167" s="33">
        <v>114.077047795844</v>
      </c>
      <c r="T167" s="33">
        <v>113.94979029392699</v>
      </c>
      <c r="U167" s="15">
        <v>3.7492339052236698E-4</v>
      </c>
      <c r="V167" s="15">
        <v>2.0801241821203501E-3</v>
      </c>
      <c r="W167" s="15">
        <v>9.6396157428912499E-4</v>
      </c>
      <c r="X167" s="34">
        <v>1.11264859196606</v>
      </c>
      <c r="Y167" s="34">
        <v>1.1139962285470999</v>
      </c>
      <c r="Z167" s="34">
        <v>1.1145183608729201</v>
      </c>
      <c r="AA167" s="34">
        <v>1.1137228623812701</v>
      </c>
      <c r="AB167" s="33">
        <v>114.859895659899</v>
      </c>
      <c r="AC167" s="33">
        <v>114.960235225476</v>
      </c>
      <c r="AD167" s="33">
        <v>114.833439304072</v>
      </c>
      <c r="AE167" s="15">
        <v>1.21046404273595E-3</v>
      </c>
      <c r="AF167" s="15">
        <v>2.0836649374242899E-3</v>
      </c>
      <c r="AG167" s="15">
        <v>9.8010162540751195E-4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3.1043962495505159E-2</v>
      </c>
      <c r="AT167" s="12"/>
      <c r="AU167">
        <f t="shared" si="50"/>
        <v>0</v>
      </c>
      <c r="AV167">
        <f t="shared" si="51"/>
        <v>1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2.165896884963019E-2</v>
      </c>
      <c r="BE167" s="29">
        <f t="shared" si="62"/>
        <v>0</v>
      </c>
      <c r="BF167" s="29">
        <f t="shared" si="63"/>
        <v>5.2702931345135332E-2</v>
      </c>
      <c r="BH167" s="29"/>
    </row>
    <row r="168" spans="1:60" x14ac:dyDescent="0.25">
      <c r="A168" s="1">
        <v>46266</v>
      </c>
      <c r="B168" s="33">
        <v>100.95</v>
      </c>
      <c r="C168" s="33">
        <v>112.39</v>
      </c>
      <c r="D168" s="15">
        <v>-1.22084808652711E-2</v>
      </c>
      <c r="E168" s="15">
        <v>-1.28189882514212E-2</v>
      </c>
      <c r="F168" s="33">
        <v>0.154807</v>
      </c>
      <c r="G168" s="33">
        <v>1.0709869999999999</v>
      </c>
      <c r="H168" s="33">
        <v>0.134461</v>
      </c>
      <c r="I168" s="33">
        <v>1.0154069999999999</v>
      </c>
      <c r="J168" s="33">
        <v>1.0709869999999999</v>
      </c>
      <c r="K168" s="33">
        <v>1.0154069999999999</v>
      </c>
      <c r="L168" s="33">
        <v>102.02098700000001</v>
      </c>
      <c r="M168" s="33">
        <v>113.405407</v>
      </c>
      <c r="N168" s="34">
        <v>1.11332342743932</v>
      </c>
      <c r="O168" s="34">
        <v>1.1144210713463301</v>
      </c>
      <c r="P168" s="34">
        <v>1.1157458856446001</v>
      </c>
      <c r="Q168" s="34">
        <v>1.1151415374604801</v>
      </c>
      <c r="R168" s="33">
        <v>112.50080715241199</v>
      </c>
      <c r="S168" s="33">
        <v>112.647437055295</v>
      </c>
      <c r="T168" s="33">
        <v>112.565459184329</v>
      </c>
      <c r="U168" s="15">
        <v>9.854307766724189E-4</v>
      </c>
      <c r="V168" s="15">
        <v>2.28794969375197E-3</v>
      </c>
      <c r="W168" s="15">
        <v>1.55994631600831E-3</v>
      </c>
      <c r="X168" s="34">
        <v>1.1115890008003899</v>
      </c>
      <c r="Y168" s="34">
        <v>1.1139962285470999</v>
      </c>
      <c r="Z168" s="34">
        <v>1.1143503190442801</v>
      </c>
      <c r="AA168" s="34">
        <v>1.1137809104098499</v>
      </c>
      <c r="AB168" s="33">
        <v>113.650994750653</v>
      </c>
      <c r="AC168" s="33">
        <v>113.70426320587799</v>
      </c>
      <c r="AD168" s="33">
        <v>113.62310566460199</v>
      </c>
      <c r="AE168" s="15">
        <v>2.16323208269324E-3</v>
      </c>
      <c r="AF168" s="15">
        <v>2.6318243349959698E-3</v>
      </c>
      <c r="AG168" s="15">
        <v>1.9178096070155901E-3</v>
      </c>
      <c r="AI168" s="12"/>
      <c r="AJ168">
        <f t="shared" si="46"/>
        <v>0</v>
      </c>
      <c r="AK168">
        <f t="shared" si="47"/>
        <v>1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3.1043962495505159E-2</v>
      </c>
      <c r="AT168" s="12"/>
      <c r="AU168">
        <f t="shared" si="50"/>
        <v>0</v>
      </c>
      <c r="AV168">
        <f t="shared" si="51"/>
        <v>0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2.165896884963019E-2</v>
      </c>
      <c r="BE168" s="29">
        <f t="shared" si="62"/>
        <v>0</v>
      </c>
      <c r="BF168" s="29">
        <f t="shared" si="63"/>
        <v>5.2702931345135332E-2</v>
      </c>
      <c r="BH168" s="29"/>
    </row>
    <row r="169" spans="1:60" x14ac:dyDescent="0.25">
      <c r="A169" s="1">
        <v>46267</v>
      </c>
      <c r="B169" s="33">
        <v>101.31</v>
      </c>
      <c r="C169" s="33">
        <v>112.82</v>
      </c>
      <c r="D169" s="15">
        <v>3.5597783067395001E-3</v>
      </c>
      <c r="E169" s="15">
        <v>3.8186627816542899E-3</v>
      </c>
      <c r="F169" s="33">
        <v>0</v>
      </c>
      <c r="G169" s="33">
        <v>1.0709869999999999</v>
      </c>
      <c r="H169" s="33">
        <v>0</v>
      </c>
      <c r="I169" s="33">
        <v>1.0154069999999999</v>
      </c>
      <c r="J169" s="33">
        <v>1.0709869999999999</v>
      </c>
      <c r="K169" s="33">
        <v>1.0154069999999999</v>
      </c>
      <c r="L169" s="33">
        <v>102.380987</v>
      </c>
      <c r="M169" s="33">
        <v>113.83540699999899</v>
      </c>
      <c r="N169" s="34">
        <v>1.11361168690158</v>
      </c>
      <c r="O169" s="34">
        <v>1.1144210713463301</v>
      </c>
      <c r="P169" s="34">
        <v>1.1154325146644599</v>
      </c>
      <c r="Q169" s="34">
        <v>1.1151914911749301</v>
      </c>
      <c r="R169" s="33">
        <v>112.90199873809701</v>
      </c>
      <c r="S169" s="33">
        <v>113.036215674654</v>
      </c>
      <c r="T169" s="33">
        <v>112.97498916012201</v>
      </c>
      <c r="U169" s="15">
        <v>7.26546301757664E-4</v>
      </c>
      <c r="V169" s="15">
        <v>1.91463174975502E-3</v>
      </c>
      <c r="W169" s="15">
        <v>1.3728310361571399E-3</v>
      </c>
      <c r="X169" s="34">
        <v>1.11188034356418</v>
      </c>
      <c r="Y169" s="34">
        <v>1.1139962285470999</v>
      </c>
      <c r="Z169" s="34">
        <v>1.1139996942733399</v>
      </c>
      <c r="AA169" s="34">
        <v>1.1138100448419801</v>
      </c>
      <c r="AB169" s="33">
        <v>114.05203339293</v>
      </c>
      <c r="AC169" s="33">
        <v>114.088285527518</v>
      </c>
      <c r="AD169" s="33">
        <v>114.02998890951901</v>
      </c>
      <c r="AE169" s="15">
        <v>1.9011706639530501E-3</v>
      </c>
      <c r="AF169" s="15">
        <v>2.2189762589011701E-3</v>
      </c>
      <c r="AG169" s="15">
        <v>1.7078675420582E-3</v>
      </c>
      <c r="AI169" s="12"/>
      <c r="AJ169">
        <f t="shared" si="46"/>
        <v>0</v>
      </c>
      <c r="AK169">
        <f t="shared" si="47"/>
        <v>1</v>
      </c>
      <c r="AL169">
        <f t="shared" si="54"/>
        <v>0</v>
      </c>
      <c r="AM169">
        <f t="shared" si="44"/>
        <v>1</v>
      </c>
      <c r="AN169">
        <f t="shared" si="55"/>
        <v>0</v>
      </c>
      <c r="AO169" s="28">
        <f t="shared" si="48"/>
        <v>0</v>
      </c>
      <c r="AP169" s="28">
        <f t="shared" si="49"/>
        <v>0</v>
      </c>
      <c r="AQ169" s="28">
        <f t="shared" si="56"/>
        <v>0</v>
      </c>
      <c r="AR169" s="29">
        <f t="shared" si="57"/>
        <v>3.1043962495505159E-2</v>
      </c>
      <c r="AT169" s="12"/>
      <c r="AU169">
        <f t="shared" si="50"/>
        <v>0</v>
      </c>
      <c r="AV169">
        <f t="shared" si="51"/>
        <v>0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2.165896884963019E-2</v>
      </c>
      <c r="BE169" s="29">
        <f t="shared" si="62"/>
        <v>0</v>
      </c>
      <c r="BF169" s="29">
        <f t="shared" si="63"/>
        <v>5.2702931345135332E-2</v>
      </c>
      <c r="BH169" s="29"/>
    </row>
    <row r="170" spans="1:60" x14ac:dyDescent="0.25">
      <c r="A170" s="1">
        <v>46268</v>
      </c>
      <c r="B170" s="33">
        <v>102.46</v>
      </c>
      <c r="C170" s="33">
        <v>114.03</v>
      </c>
      <c r="D170" s="15">
        <v>1.1287355445470101E-2</v>
      </c>
      <c r="E170" s="15">
        <v>1.06679433574371E-2</v>
      </c>
      <c r="F170" s="33">
        <v>0</v>
      </c>
      <c r="G170" s="33">
        <v>1.0709869999999999</v>
      </c>
      <c r="H170" s="33">
        <v>0</v>
      </c>
      <c r="I170" s="33">
        <v>1.0154069999999999</v>
      </c>
      <c r="J170" s="33">
        <v>1.0709869999999999</v>
      </c>
      <c r="K170" s="33">
        <v>1.0154069999999999</v>
      </c>
      <c r="L170" s="33">
        <v>103.530987</v>
      </c>
      <c r="M170" s="33">
        <v>115.045407</v>
      </c>
      <c r="N170" s="34">
        <v>1.1129221159476801</v>
      </c>
      <c r="O170" s="34">
        <v>1.1144210713463301</v>
      </c>
      <c r="P170" s="34">
        <v>1.1150900830227699</v>
      </c>
      <c r="Q170" s="34">
        <v>1.11516594067372</v>
      </c>
      <c r="R170" s="33">
        <v>114.183582970145</v>
      </c>
      <c r="S170" s="33">
        <v>114.28721545252</v>
      </c>
      <c r="T170" s="33">
        <v>114.262520185783</v>
      </c>
      <c r="U170" s="15">
        <v>1.3459583897905501E-3</v>
      </c>
      <c r="V170" s="15">
        <v>2.2531420666380099E-3</v>
      </c>
      <c r="W170" s="15">
        <v>2.0370379721486001E-3</v>
      </c>
      <c r="X170" s="34">
        <v>1.11121713733879</v>
      </c>
      <c r="Y170" s="34">
        <v>1.1139962285470999</v>
      </c>
      <c r="Z170" s="34">
        <v>1.1136225035588001</v>
      </c>
      <c r="AA170" s="34">
        <v>1.1137662802286299</v>
      </c>
      <c r="AB170" s="33">
        <v>115.333129055759</v>
      </c>
      <c r="AC170" s="33">
        <v>115.33348786581701</v>
      </c>
      <c r="AD170" s="33">
        <v>115.31385327300499</v>
      </c>
      <c r="AE170" s="15">
        <v>2.4978212838724801E-3</v>
      </c>
      <c r="AF170" s="15">
        <v>2.5009323544087901E-3</v>
      </c>
      <c r="AG170" s="15">
        <v>2.3306759555034701E-3</v>
      </c>
      <c r="AI170" s="12"/>
      <c r="AJ170">
        <f t="shared" si="46"/>
        <v>0</v>
      </c>
      <c r="AK170">
        <f t="shared" si="47"/>
        <v>1</v>
      </c>
      <c r="AL170">
        <f t="shared" si="54"/>
        <v>0</v>
      </c>
      <c r="AM170">
        <f t="shared" si="44"/>
        <v>1</v>
      </c>
      <c r="AN170">
        <f t="shared" si="55"/>
        <v>0</v>
      </c>
      <c r="AO170" s="28">
        <f t="shared" si="48"/>
        <v>0</v>
      </c>
      <c r="AP170" s="28">
        <f t="shared" si="49"/>
        <v>0</v>
      </c>
      <c r="AQ170" s="28">
        <f t="shared" si="56"/>
        <v>0</v>
      </c>
      <c r="AR170" s="29">
        <f t="shared" si="57"/>
        <v>3.1043962495505159E-2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2.165896884963019E-2</v>
      </c>
      <c r="BE170" s="29">
        <f t="shared" si="62"/>
        <v>0</v>
      </c>
      <c r="BF170" s="29">
        <f t="shared" si="63"/>
        <v>5.2702931345135332E-2</v>
      </c>
      <c r="BH170" s="29"/>
    </row>
    <row r="171" spans="1:60" x14ac:dyDescent="0.25">
      <c r="A171" s="1">
        <v>46269</v>
      </c>
      <c r="B171" s="33">
        <v>102.95</v>
      </c>
      <c r="C171" s="33">
        <v>114.78</v>
      </c>
      <c r="D171" s="15">
        <v>4.7709549627422297E-3</v>
      </c>
      <c r="E171" s="15">
        <v>6.5556810109494998E-3</v>
      </c>
      <c r="F171" s="33">
        <v>0</v>
      </c>
      <c r="G171" s="33">
        <v>1.0709869999999999</v>
      </c>
      <c r="H171" s="33">
        <v>0</v>
      </c>
      <c r="I171" s="33">
        <v>1.0154069999999999</v>
      </c>
      <c r="J171" s="33">
        <v>1.0709869999999999</v>
      </c>
      <c r="K171" s="33">
        <v>1.0154069999999999</v>
      </c>
      <c r="L171" s="33">
        <v>104.02098700000001</v>
      </c>
      <c r="M171" s="33">
        <v>115.795407</v>
      </c>
      <c r="N171" s="34">
        <v>1.1149101505585199</v>
      </c>
      <c r="O171" s="34">
        <v>1.1144210713463301</v>
      </c>
      <c r="P171" s="34">
        <v>1.1148441899871899</v>
      </c>
      <c r="Q171" s="34">
        <v>1.1152066532854099</v>
      </c>
      <c r="R171" s="33">
        <v>114.72964929510501</v>
      </c>
      <c r="S171" s="33">
        <v>114.79852404719399</v>
      </c>
      <c r="T171" s="33">
        <v>114.806333592359</v>
      </c>
      <c r="U171" s="15">
        <v>-4.38767658416457E-4</v>
      </c>
      <c r="V171" s="15">
        <v>1.61374390845239E-4</v>
      </c>
      <c r="W171" s="15">
        <v>2.29400348557013E-4</v>
      </c>
      <c r="X171" s="34">
        <v>1.11319273484686</v>
      </c>
      <c r="Y171" s="34">
        <v>1.1139962285470999</v>
      </c>
      <c r="Z171" s="34">
        <v>1.11334134769983</v>
      </c>
      <c r="AA171" s="34">
        <v>1.11378781964771</v>
      </c>
      <c r="AB171" s="33">
        <v>115.878987207747</v>
      </c>
      <c r="AC171" s="33">
        <v>115.840111965598</v>
      </c>
      <c r="AD171" s="33">
        <v>115.855067756701</v>
      </c>
      <c r="AE171" s="15">
        <v>7.2153171402071601E-4</v>
      </c>
      <c r="AF171" s="15">
        <v>3.8599405093579E-4</v>
      </c>
      <c r="AG171" s="15">
        <v>5.15092905232453E-4</v>
      </c>
      <c r="AI171" s="12"/>
      <c r="AJ171">
        <f t="shared" si="46"/>
        <v>0</v>
      </c>
      <c r="AK171">
        <f t="shared" si="47"/>
        <v>1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3.1043962495505159E-2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2.165896884963019E-2</v>
      </c>
      <c r="BE171" s="29">
        <f t="shared" si="62"/>
        <v>0</v>
      </c>
      <c r="BF171" s="29">
        <f t="shared" si="63"/>
        <v>5.2702931345135332E-2</v>
      </c>
      <c r="BH171" s="29"/>
    </row>
    <row r="172" spans="1:60" x14ac:dyDescent="0.25">
      <c r="A172" s="1">
        <v>46273</v>
      </c>
      <c r="B172" s="33">
        <v>104.13</v>
      </c>
      <c r="C172" s="33">
        <v>116.09</v>
      </c>
      <c r="D172" s="15">
        <v>1.1396685068006E-2</v>
      </c>
      <c r="E172" s="15">
        <v>1.1348499669727801E-2</v>
      </c>
      <c r="F172" s="33">
        <v>0</v>
      </c>
      <c r="G172" s="33">
        <v>1.0709869999999999</v>
      </c>
      <c r="H172" s="33">
        <v>0</v>
      </c>
      <c r="I172" s="33">
        <v>1.0154069999999999</v>
      </c>
      <c r="J172" s="33">
        <v>1.0709869999999999</v>
      </c>
      <c r="K172" s="33">
        <v>1.0154069999999999</v>
      </c>
      <c r="L172" s="33">
        <v>105.200987</v>
      </c>
      <c r="M172" s="33">
        <v>117.105407</v>
      </c>
      <c r="N172" s="34">
        <v>1.11485642946317</v>
      </c>
      <c r="O172" s="34">
        <v>1.1144210713463301</v>
      </c>
      <c r="P172" s="34">
        <v>1.11458231686104</v>
      </c>
      <c r="Q172" s="34">
        <v>1.11538534002254</v>
      </c>
      <c r="R172" s="33">
        <v>116.044666159293</v>
      </c>
      <c r="S172" s="33">
        <v>116.08872550336601</v>
      </c>
      <c r="T172" s="33">
        <v>116.12646880661001</v>
      </c>
      <c r="U172" s="15">
        <v>-3.9058226013829198E-4</v>
      </c>
      <c r="V172" s="15">
        <v>-1.09785823853674E-5</v>
      </c>
      <c r="W172" s="15">
        <v>3.1409320017069902E-4</v>
      </c>
      <c r="X172" s="34">
        <v>1.1131588242608399</v>
      </c>
      <c r="Y172" s="34">
        <v>1.1139962285470999</v>
      </c>
      <c r="Z172" s="34">
        <v>1.1130476438291399</v>
      </c>
      <c r="AA172" s="34">
        <v>1.1139472503440599</v>
      </c>
      <c r="AB172" s="33">
        <v>117.193502757433</v>
      </c>
      <c r="AC172" s="33">
        <v>117.124608645932</v>
      </c>
      <c r="AD172" s="33">
        <v>117.17157793551701</v>
      </c>
      <c r="AE172" s="15">
        <v>7.5199463519427497E-4</v>
      </c>
      <c r="AF172" s="15">
        <v>1.63955468497787E-4</v>
      </c>
      <c r="AG172" s="15">
        <v>5.6489490246202398E-4</v>
      </c>
      <c r="AI172" s="12"/>
      <c r="AJ172">
        <f t="shared" si="46"/>
        <v>0</v>
      </c>
      <c r="AK172">
        <f t="shared" si="47"/>
        <v>1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3.1043962495505159E-2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2.165896884963019E-2</v>
      </c>
      <c r="BE172" s="29">
        <f t="shared" si="62"/>
        <v>0</v>
      </c>
      <c r="BF172" s="29">
        <f t="shared" si="63"/>
        <v>5.2702931345135332E-2</v>
      </c>
      <c r="BH172" s="29"/>
    </row>
    <row r="173" spans="1:60" x14ac:dyDescent="0.25">
      <c r="A173" s="1">
        <v>46274</v>
      </c>
      <c r="B173" s="33">
        <v>103.38</v>
      </c>
      <c r="C173" s="33">
        <v>115.56</v>
      </c>
      <c r="D173" s="15">
        <v>-7.2285987739113796E-3</v>
      </c>
      <c r="E173" s="15">
        <v>-4.5758767519098699E-3</v>
      </c>
      <c r="F173" s="33">
        <v>0</v>
      </c>
      <c r="G173" s="33">
        <v>1.0709869999999999</v>
      </c>
      <c r="H173" s="33">
        <v>0</v>
      </c>
      <c r="I173" s="33">
        <v>1.0154069999999999</v>
      </c>
      <c r="J173" s="33">
        <v>1.0709869999999999</v>
      </c>
      <c r="K173" s="33">
        <v>1.0154069999999999</v>
      </c>
      <c r="L173" s="33">
        <v>104.450987</v>
      </c>
      <c r="M173" s="33">
        <v>116.575407</v>
      </c>
      <c r="N173" s="34">
        <v>1.1178177597214101</v>
      </c>
      <c r="O173" s="34">
        <v>1.1144210713463301</v>
      </c>
      <c r="P173" s="34">
        <v>1.11463569777145</v>
      </c>
      <c r="Q173" s="34">
        <v>1.11561403065161</v>
      </c>
      <c r="R173" s="33">
        <v>115.20885035578399</v>
      </c>
      <c r="S173" s="33">
        <v>115.225519917094</v>
      </c>
      <c r="T173" s="33">
        <v>115.30853645153</v>
      </c>
      <c r="U173" s="15">
        <v>-3.04330428213961E-3</v>
      </c>
      <c r="V173" s="15">
        <v>-2.8986248116258701E-3</v>
      </c>
      <c r="W173" s="15">
        <v>-2.1784141899775498E-3</v>
      </c>
      <c r="X173" s="34">
        <v>1.11607760106661</v>
      </c>
      <c r="Y173" s="34">
        <v>1.1139962285470999</v>
      </c>
      <c r="Z173" s="34">
        <v>1.11306342610258</v>
      </c>
      <c r="AA173" s="34">
        <v>1.1141553786450999</v>
      </c>
      <c r="AB173" s="33">
        <v>116.358005586022</v>
      </c>
      <c r="AC173" s="33">
        <v>116.258924975978</v>
      </c>
      <c r="AD173" s="33">
        <v>116.352889764373</v>
      </c>
      <c r="AE173" s="15">
        <v>-1.8666405535267699E-3</v>
      </c>
      <c r="AF173" s="15">
        <v>-2.7185184954863599E-3</v>
      </c>
      <c r="AG173" s="15">
        <v>-1.9106077398745201E-3</v>
      </c>
      <c r="AI173" s="12"/>
      <c r="AJ173">
        <f t="shared" si="46"/>
        <v>0</v>
      </c>
      <c r="AK173">
        <f t="shared" si="47"/>
        <v>1</v>
      </c>
      <c r="AL173">
        <f t="shared" si="54"/>
        <v>0</v>
      </c>
      <c r="AM173">
        <f t="shared" si="44"/>
        <v>1</v>
      </c>
      <c r="AN173">
        <f t="shared" si="55"/>
        <v>0</v>
      </c>
      <c r="AO173" s="28">
        <f t="shared" si="48"/>
        <v>0</v>
      </c>
      <c r="AP173" s="28">
        <f t="shared" si="49"/>
        <v>0</v>
      </c>
      <c r="AQ173" s="28">
        <f t="shared" si="56"/>
        <v>0</v>
      </c>
      <c r="AR173" s="29">
        <f t="shared" si="57"/>
        <v>3.1043962495505159E-2</v>
      </c>
      <c r="AT173" s="12"/>
      <c r="AU173">
        <f t="shared" si="50"/>
        <v>0</v>
      </c>
      <c r="AV173">
        <f t="shared" si="51"/>
        <v>1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2.165896884963019E-2</v>
      </c>
      <c r="BE173" s="29">
        <f t="shared" si="62"/>
        <v>0</v>
      </c>
      <c r="BF173" s="29">
        <f t="shared" si="63"/>
        <v>5.2702931345135332E-2</v>
      </c>
      <c r="BH173" s="29"/>
    </row>
    <row r="174" spans="1:60" x14ac:dyDescent="0.25">
      <c r="A174" s="1">
        <v>46275</v>
      </c>
      <c r="B174" s="33">
        <v>101.98</v>
      </c>
      <c r="C174" s="33">
        <v>113.94</v>
      </c>
      <c r="D174" s="15">
        <v>-1.36348041408835E-2</v>
      </c>
      <c r="E174" s="15">
        <v>-1.4117881545784999E-2</v>
      </c>
      <c r="F174" s="33">
        <v>0</v>
      </c>
      <c r="G174" s="33">
        <v>1.0709869999999999</v>
      </c>
      <c r="H174" s="33">
        <v>0</v>
      </c>
      <c r="I174" s="33">
        <v>1.0154069999999999</v>
      </c>
      <c r="J174" s="33">
        <v>1.0709869999999999</v>
      </c>
      <c r="K174" s="33">
        <v>1.0154069999999999</v>
      </c>
      <c r="L174" s="33">
        <v>103.05098700000001</v>
      </c>
      <c r="M174" s="33">
        <v>114.95540699999999</v>
      </c>
      <c r="N174" s="34">
        <v>1.1172778976269799</v>
      </c>
      <c r="O174" s="34">
        <v>1.1144210713463301</v>
      </c>
      <c r="P174" s="34">
        <v>1.1150381863293299</v>
      </c>
      <c r="Q174" s="34">
        <v>1.1156233457407001</v>
      </c>
      <c r="R174" s="33">
        <v>113.648660855899</v>
      </c>
      <c r="S174" s="33">
        <v>113.67054845873299</v>
      </c>
      <c r="T174" s="33">
        <v>113.77031884585099</v>
      </c>
      <c r="U174" s="15">
        <v>-2.5602268772381902E-3</v>
      </c>
      <c r="V174" s="15">
        <v>-2.3676553566214899E-3</v>
      </c>
      <c r="W174" s="15">
        <v>-1.4903249568524E-3</v>
      </c>
      <c r="X174" s="34">
        <v>1.11551970870497</v>
      </c>
      <c r="Y174" s="34">
        <v>1.1139962285470999</v>
      </c>
      <c r="Z174" s="34">
        <v>1.1134228933391399</v>
      </c>
      <c r="AA174" s="34">
        <v>1.1141434928046701</v>
      </c>
      <c r="AB174" s="33">
        <v>114.798410866056</v>
      </c>
      <c r="AC174" s="33">
        <v>114.70228465347201</v>
      </c>
      <c r="AD174" s="33">
        <v>114.81481144073599</v>
      </c>
      <c r="AE174" s="15">
        <v>-1.3666467859958099E-3</v>
      </c>
      <c r="AF174" s="15">
        <v>-2.2043454952566399E-3</v>
      </c>
      <c r="AG174" s="15">
        <v>-1.2237928637097099E-3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3.1043962495505159E-2</v>
      </c>
      <c r="AT174" s="12"/>
      <c r="AU174">
        <f t="shared" si="50"/>
        <v>0</v>
      </c>
      <c r="AV174">
        <f t="shared" si="51"/>
        <v>1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2.165896884963019E-2</v>
      </c>
      <c r="BE174" s="29">
        <f t="shared" si="62"/>
        <v>0</v>
      </c>
      <c r="BF174" s="29">
        <f t="shared" si="63"/>
        <v>5.2702931345135332E-2</v>
      </c>
      <c r="BH174" s="29"/>
    </row>
    <row r="175" spans="1:60" x14ac:dyDescent="0.25">
      <c r="A175" s="1">
        <v>46276</v>
      </c>
      <c r="B175" s="33">
        <v>102.65</v>
      </c>
      <c r="C175" s="33">
        <v>114.16</v>
      </c>
      <c r="D175" s="15">
        <v>6.54842783793292E-3</v>
      </c>
      <c r="E175" s="15">
        <v>1.9289791163314301E-3</v>
      </c>
      <c r="F175" s="33">
        <v>0</v>
      </c>
      <c r="G175" s="33">
        <v>1.0709869999999999</v>
      </c>
      <c r="H175" s="33">
        <v>0</v>
      </c>
      <c r="I175" s="33">
        <v>1.0154069999999999</v>
      </c>
      <c r="J175" s="33">
        <v>1.0709869999999999</v>
      </c>
      <c r="K175" s="33">
        <v>1.0154069999999999</v>
      </c>
      <c r="L175" s="33">
        <v>103.72098699999999</v>
      </c>
      <c r="M175" s="33">
        <v>115.175406999999</v>
      </c>
      <c r="N175" s="34">
        <v>1.1121285923039399</v>
      </c>
      <c r="O175" s="34">
        <v>1.1144210713463301</v>
      </c>
      <c r="P175" s="34">
        <v>1.1145920682433099</v>
      </c>
      <c r="Q175" s="34">
        <v>1.1155295873859701</v>
      </c>
      <c r="R175" s="33">
        <v>114.395322973701</v>
      </c>
      <c r="S175" s="33">
        <v>114.458669826706</v>
      </c>
      <c r="T175" s="33">
        <v>114.51873644028301</v>
      </c>
      <c r="U175" s="15">
        <v>2.0592218443631401E-3</v>
      </c>
      <c r="V175" s="15">
        <v>2.6128224510010298E-3</v>
      </c>
      <c r="W175" s="15">
        <v>3.13747347167923E-3</v>
      </c>
      <c r="X175" s="34">
        <v>1.11043493058931</v>
      </c>
      <c r="Y175" s="34">
        <v>1.1139962285470999</v>
      </c>
      <c r="Z175" s="34">
        <v>1.1129427524396001</v>
      </c>
      <c r="AA175" s="34">
        <v>1.11403013100284</v>
      </c>
      <c r="AB175" s="33">
        <v>115.544788339183</v>
      </c>
      <c r="AC175" s="33">
        <v>115.485321445531</v>
      </c>
      <c r="AD175" s="33">
        <v>115.560062733327</v>
      </c>
      <c r="AE175" s="15">
        <v>3.2019880551647402E-3</v>
      </c>
      <c r="AF175" s="15">
        <v>2.6871902652111702E-3</v>
      </c>
      <c r="AG175" s="15">
        <v>3.33417389285525E-3</v>
      </c>
      <c r="AI175" s="12"/>
      <c r="AJ175">
        <f t="shared" si="46"/>
        <v>0</v>
      </c>
      <c r="AK175">
        <f t="shared" si="47"/>
        <v>1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3.1043962495505159E-2</v>
      </c>
      <c r="AT175" s="12"/>
      <c r="AU175">
        <f t="shared" si="50"/>
        <v>1</v>
      </c>
      <c r="AV175">
        <f t="shared" si="51"/>
        <v>0</v>
      </c>
      <c r="AW175">
        <f t="shared" si="58"/>
        <v>0</v>
      </c>
      <c r="AX175">
        <f t="shared" si="45"/>
        <v>1</v>
      </c>
      <c r="AY175">
        <f t="shared" si="59"/>
        <v>0</v>
      </c>
      <c r="AZ175" s="28">
        <f t="shared" si="52"/>
        <v>0</v>
      </c>
      <c r="BA175" s="28">
        <f t="shared" si="53"/>
        <v>0</v>
      </c>
      <c r="BB175" s="28">
        <f t="shared" si="60"/>
        <v>0</v>
      </c>
      <c r="BC175" s="29">
        <f t="shared" si="61"/>
        <v>2.165896884963019E-2</v>
      </c>
      <c r="BE175" s="29">
        <f t="shared" si="62"/>
        <v>0</v>
      </c>
      <c r="BF175" s="29">
        <f t="shared" si="63"/>
        <v>5.2702931345135332E-2</v>
      </c>
      <c r="BH175" s="29"/>
    </row>
    <row r="176" spans="1:60" x14ac:dyDescent="0.25">
      <c r="A176" s="1">
        <v>46279</v>
      </c>
      <c r="B176" s="33">
        <v>101.24</v>
      </c>
      <c r="C176" s="33">
        <v>112.68</v>
      </c>
      <c r="D176" s="15">
        <v>-1.3831207788019301E-2</v>
      </c>
      <c r="E176" s="15">
        <v>-1.3049030160409E-2</v>
      </c>
      <c r="F176" s="33">
        <v>0</v>
      </c>
      <c r="G176" s="33">
        <v>1.0709869999999999</v>
      </c>
      <c r="H176" s="33">
        <v>0</v>
      </c>
      <c r="I176" s="33">
        <v>1.0154069999999999</v>
      </c>
      <c r="J176" s="33">
        <v>1.0709869999999999</v>
      </c>
      <c r="K176" s="33">
        <v>1.0154069999999999</v>
      </c>
      <c r="L176" s="33">
        <v>102.310987</v>
      </c>
      <c r="M176" s="33">
        <v>113.695407</v>
      </c>
      <c r="N176" s="34">
        <v>1.1129988146977401</v>
      </c>
      <c r="O176" s="34">
        <v>1.1144210713463301</v>
      </c>
      <c r="P176" s="34">
        <v>1.1143850201796099</v>
      </c>
      <c r="Q176" s="34">
        <v>1.1153540121734</v>
      </c>
      <c r="R176" s="33">
        <v>112.82398926310201</v>
      </c>
      <c r="S176" s="33">
        <v>112.84130098895299</v>
      </c>
      <c r="T176" s="33">
        <v>112.936215426956</v>
      </c>
      <c r="U176" s="15">
        <v>1.27704421675285E-3</v>
      </c>
      <c r="V176" s="15">
        <v>1.4304725606931301E-3</v>
      </c>
      <c r="W176" s="15">
        <v>2.2712510855131501E-3</v>
      </c>
      <c r="X176" s="34">
        <v>1.11127270231495</v>
      </c>
      <c r="Y176" s="34">
        <v>1.1139962285470999</v>
      </c>
      <c r="Z176" s="34">
        <v>1.11269915754529</v>
      </c>
      <c r="AA176" s="34">
        <v>1.1138342767096501</v>
      </c>
      <c r="AB176" s="33">
        <v>113.974053656932</v>
      </c>
      <c r="AC176" s="33">
        <v>113.866271476592</v>
      </c>
      <c r="AD176" s="33">
        <v>113.97752225064001</v>
      </c>
      <c r="AE176" s="15">
        <v>2.4478188270081001E-3</v>
      </c>
      <c r="AF176" s="15">
        <v>1.5016984392596201E-3</v>
      </c>
      <c r="AG176" s="15">
        <v>2.47825155110914E-3</v>
      </c>
      <c r="AI176" s="12"/>
      <c r="AJ176">
        <f t="shared" si="46"/>
        <v>0</v>
      </c>
      <c r="AK176">
        <f t="shared" si="47"/>
        <v>1</v>
      </c>
      <c r="AL176">
        <f t="shared" si="54"/>
        <v>0</v>
      </c>
      <c r="AM176">
        <f t="shared" si="44"/>
        <v>1</v>
      </c>
      <c r="AN176">
        <f t="shared" si="55"/>
        <v>0</v>
      </c>
      <c r="AO176" s="28">
        <f t="shared" si="48"/>
        <v>0</v>
      </c>
      <c r="AP176" s="28">
        <f t="shared" si="49"/>
        <v>0</v>
      </c>
      <c r="AQ176" s="28">
        <f t="shared" si="56"/>
        <v>0</v>
      </c>
      <c r="AR176" s="29">
        <f t="shared" si="57"/>
        <v>3.1043962495505159E-2</v>
      </c>
      <c r="AT176" s="12"/>
      <c r="AU176">
        <f t="shared" si="50"/>
        <v>0</v>
      </c>
      <c r="AV176">
        <f t="shared" si="51"/>
        <v>0</v>
      </c>
      <c r="AW176">
        <f t="shared" si="58"/>
        <v>1</v>
      </c>
      <c r="AX176">
        <f t="shared" si="45"/>
        <v>1</v>
      </c>
      <c r="AY176">
        <f t="shared" si="59"/>
        <v>1</v>
      </c>
      <c r="AZ176" s="28">
        <f t="shared" si="52"/>
        <v>1.3831207788019301E-2</v>
      </c>
      <c r="BA176" s="28">
        <f t="shared" si="53"/>
        <v>-1.3049030160409E-2</v>
      </c>
      <c r="BB176" s="28">
        <f t="shared" si="60"/>
        <v>7.8217762761030075E-4</v>
      </c>
      <c r="BC176" s="29">
        <f t="shared" si="61"/>
        <v>2.2441146477240492E-2</v>
      </c>
      <c r="BE176" s="29">
        <f t="shared" si="62"/>
        <v>7.8217762761030075E-4</v>
      </c>
      <c r="BF176" s="29">
        <f t="shared" si="63"/>
        <v>5.3485108972745631E-2</v>
      </c>
      <c r="BH176" s="29"/>
    </row>
    <row r="177" spans="85:100" x14ac:dyDescent="0.25"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85:100" x14ac:dyDescent="0.25"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85:100" x14ac:dyDescent="0.25">
      <c r="CG179" s="28"/>
      <c r="CH179" s="28"/>
      <c r="CI179" s="28"/>
      <c r="CJ179" s="29"/>
      <c r="CL179" s="28"/>
      <c r="CS179" s="28"/>
      <c r="CT179" s="28"/>
      <c r="CU179" s="28"/>
      <c r="CV179" s="29"/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2026-09-22T13:16:59Z</dcterms:created>
  <dcterms:modified xsi:type="dcterms:W3CDTF">2026-09-22T13:23:55Z</dcterms:modified>
</cp:coreProperties>
</file>