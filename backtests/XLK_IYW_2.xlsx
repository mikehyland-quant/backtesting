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830FC099-42DD-4A6D-909D-02024341DB89}" xr6:coauthVersionLast="47" xr6:coauthVersionMax="47" xr10:uidLastSave="{00000000-0000-0000-0000-000000000000}"/>
  <bookViews>
    <workbookView xWindow="-108" yWindow="-108" windowWidth="23256" windowHeight="12456" xr2:uid="{C81EC6D3-03AE-4EB2-B6B5-0B13C70C4718}"/>
  </bookViews>
  <sheets>
    <sheet name="XLK_IYW_2" sheetId="1" r:id="rId1"/>
  </sheets>
  <externalReferences>
    <externalReference r:id="rId2"/>
    <externalReference r:id="rId3"/>
  </externalReferences>
  <calcPr calcId="0"/>
</workbook>
</file>

<file path=xl/calcChain.xml><?xml version="1.0" encoding="utf-8"?>
<calcChain xmlns="http://schemas.openxmlformats.org/spreadsheetml/2006/main">
  <c r="BQ167" i="1" l="1"/>
  <c r="BO167" i="1"/>
  <c r="BN167" i="1"/>
  <c r="BE167" i="1"/>
  <c r="BD167" i="1"/>
  <c r="BC167" i="1"/>
  <c r="BB167" i="1"/>
  <c r="BT166" i="1"/>
  <c r="BS166" i="1"/>
  <c r="BU166" i="1" s="1"/>
  <c r="BQ166" i="1"/>
  <c r="BR167" i="1" s="1"/>
  <c r="BO166" i="1"/>
  <c r="BN166" i="1"/>
  <c r="BE166" i="1"/>
  <c r="BC166" i="1"/>
  <c r="BB166" i="1"/>
  <c r="BF167" i="1" s="1"/>
  <c r="BQ165" i="1"/>
  <c r="BO165" i="1"/>
  <c r="BN165" i="1"/>
  <c r="BR166" i="1" s="1"/>
  <c r="BP166" i="1" s="1"/>
  <c r="BE165" i="1"/>
  <c r="BC165" i="1"/>
  <c r="BB165" i="1"/>
  <c r="BF166" i="1" s="1"/>
  <c r="BS164" i="1"/>
  <c r="BQ164" i="1"/>
  <c r="BO164" i="1"/>
  <c r="BN164" i="1"/>
  <c r="BE164" i="1"/>
  <c r="BD164" i="1"/>
  <c r="BC164" i="1"/>
  <c r="BB164" i="1"/>
  <c r="BF165" i="1" s="1"/>
  <c r="BQ163" i="1"/>
  <c r="BO163" i="1"/>
  <c r="BN163" i="1"/>
  <c r="BR164" i="1" s="1"/>
  <c r="BP164" i="1" s="1"/>
  <c r="BF163" i="1"/>
  <c r="BD163" i="1" s="1"/>
  <c r="BE163" i="1"/>
  <c r="BF164" i="1" s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D161" i="1"/>
  <c r="BC161" i="1"/>
  <c r="BB161" i="1"/>
  <c r="BF162" i="1" s="1"/>
  <c r="BR160" i="1"/>
  <c r="BQ160" i="1"/>
  <c r="BO160" i="1"/>
  <c r="BN160" i="1"/>
  <c r="BE160" i="1"/>
  <c r="BC160" i="1"/>
  <c r="BB160" i="1"/>
  <c r="BF161" i="1" s="1"/>
  <c r="BQ159" i="1"/>
  <c r="BP159" i="1"/>
  <c r="BO159" i="1"/>
  <c r="BN159" i="1"/>
  <c r="BE159" i="1"/>
  <c r="BC159" i="1"/>
  <c r="BB159" i="1"/>
  <c r="BF160" i="1" s="1"/>
  <c r="BQ158" i="1"/>
  <c r="BO158" i="1"/>
  <c r="BN158" i="1"/>
  <c r="BR159" i="1" s="1"/>
  <c r="BE158" i="1"/>
  <c r="BF159" i="1" s="1"/>
  <c r="BC158" i="1"/>
  <c r="BB158" i="1"/>
  <c r="BQ157" i="1"/>
  <c r="BO157" i="1"/>
  <c r="BN157" i="1"/>
  <c r="BH157" i="1"/>
  <c r="BE157" i="1"/>
  <c r="BC157" i="1"/>
  <c r="BB157" i="1"/>
  <c r="BF158" i="1" s="1"/>
  <c r="BQ156" i="1"/>
  <c r="BO156" i="1"/>
  <c r="BN156" i="1"/>
  <c r="BR157" i="1" s="1"/>
  <c r="BF156" i="1"/>
  <c r="BE156" i="1"/>
  <c r="BF157" i="1" s="1"/>
  <c r="BC156" i="1"/>
  <c r="BB156" i="1"/>
  <c r="BR155" i="1"/>
  <c r="BT155" i="1" s="1"/>
  <c r="BQ155" i="1"/>
  <c r="BP155" i="1"/>
  <c r="BO155" i="1"/>
  <c r="BN155" i="1"/>
  <c r="BE155" i="1"/>
  <c r="BC155" i="1"/>
  <c r="BB155" i="1"/>
  <c r="BQ154" i="1"/>
  <c r="BO154" i="1"/>
  <c r="BN154" i="1"/>
  <c r="BF154" i="1"/>
  <c r="BE154" i="1"/>
  <c r="BC154" i="1"/>
  <c r="BB154" i="1"/>
  <c r="BF155" i="1" s="1"/>
  <c r="BQ153" i="1"/>
  <c r="BO153" i="1"/>
  <c r="BN153" i="1"/>
  <c r="BE153" i="1"/>
  <c r="BC153" i="1"/>
  <c r="BB153" i="1"/>
  <c r="BQ152" i="1"/>
  <c r="BO152" i="1"/>
  <c r="BN152" i="1"/>
  <c r="BH152" i="1"/>
  <c r="BE152" i="1"/>
  <c r="BC152" i="1"/>
  <c r="BB152" i="1"/>
  <c r="BQ151" i="1"/>
  <c r="BO151" i="1"/>
  <c r="BN151" i="1"/>
  <c r="BF151" i="1"/>
  <c r="BD151" i="1" s="1"/>
  <c r="BE151" i="1"/>
  <c r="BC151" i="1"/>
  <c r="BB151" i="1"/>
  <c r="BF152" i="1" s="1"/>
  <c r="BQ150" i="1"/>
  <c r="BO150" i="1"/>
  <c r="BN150" i="1"/>
  <c r="BH150" i="1"/>
  <c r="BF150" i="1"/>
  <c r="BG150" i="1" s="1"/>
  <c r="BE150" i="1"/>
  <c r="BD150" i="1"/>
  <c r="BC150" i="1"/>
  <c r="BB150" i="1"/>
  <c r="BQ149" i="1"/>
  <c r="BO149" i="1"/>
  <c r="BN149" i="1"/>
  <c r="BF149" i="1"/>
  <c r="BD149" i="1" s="1"/>
  <c r="BE149" i="1"/>
  <c r="BC149" i="1"/>
  <c r="BB149" i="1"/>
  <c r="BQ148" i="1"/>
  <c r="BO148" i="1"/>
  <c r="BN148" i="1"/>
  <c r="BE148" i="1"/>
  <c r="BC148" i="1"/>
  <c r="BB148" i="1"/>
  <c r="BR147" i="1"/>
  <c r="BP147" i="1" s="1"/>
  <c r="BQ147" i="1"/>
  <c r="BO147" i="1"/>
  <c r="BR148" i="1" s="1"/>
  <c r="BN147" i="1"/>
  <c r="BF147" i="1"/>
  <c r="BE147" i="1"/>
  <c r="BC147" i="1"/>
  <c r="BB147" i="1"/>
  <c r="BS146" i="1"/>
  <c r="BR146" i="1"/>
  <c r="BQ146" i="1"/>
  <c r="BO146" i="1"/>
  <c r="BN146" i="1"/>
  <c r="BE146" i="1"/>
  <c r="BC146" i="1"/>
  <c r="BB146" i="1"/>
  <c r="BQ145" i="1"/>
  <c r="BO145" i="1"/>
  <c r="BN145" i="1"/>
  <c r="BG145" i="1"/>
  <c r="BE145" i="1"/>
  <c r="BC145" i="1"/>
  <c r="BB145" i="1"/>
  <c r="BQ144" i="1"/>
  <c r="BP144" i="1"/>
  <c r="BO144" i="1"/>
  <c r="BN144" i="1"/>
  <c r="BF144" i="1"/>
  <c r="BD144" i="1" s="1"/>
  <c r="BE144" i="1"/>
  <c r="BF145" i="1" s="1"/>
  <c r="BD145" i="1" s="1"/>
  <c r="BC144" i="1"/>
  <c r="BB144" i="1"/>
  <c r="BQ143" i="1"/>
  <c r="BO143" i="1"/>
  <c r="BN143" i="1"/>
  <c r="BR144" i="1" s="1"/>
  <c r="BE143" i="1"/>
  <c r="BC143" i="1"/>
  <c r="BB143" i="1"/>
  <c r="BQ142" i="1"/>
  <c r="BR143" i="1" s="1"/>
  <c r="BO142" i="1"/>
  <c r="BN142" i="1"/>
  <c r="BF142" i="1"/>
  <c r="BE142" i="1"/>
  <c r="BC142" i="1"/>
  <c r="BB142" i="1"/>
  <c r="BR141" i="1"/>
  <c r="BQ141" i="1"/>
  <c r="BP141" i="1"/>
  <c r="BO141" i="1"/>
  <c r="BN141" i="1"/>
  <c r="BE141" i="1"/>
  <c r="BC141" i="1"/>
  <c r="BB141" i="1"/>
  <c r="BQ140" i="1"/>
  <c r="BO140" i="1"/>
  <c r="BN140" i="1"/>
  <c r="BF140" i="1"/>
  <c r="BD140" i="1" s="1"/>
  <c r="BE140" i="1"/>
  <c r="BC140" i="1"/>
  <c r="BB140" i="1"/>
  <c r="BF141" i="1" s="1"/>
  <c r="BQ139" i="1"/>
  <c r="BO139" i="1"/>
  <c r="BN139" i="1"/>
  <c r="BE139" i="1"/>
  <c r="BC139" i="1"/>
  <c r="BB139" i="1"/>
  <c r="BQ138" i="1"/>
  <c r="BR139" i="1" s="1"/>
  <c r="BO138" i="1"/>
  <c r="BN138" i="1"/>
  <c r="BH138" i="1"/>
  <c r="BF138" i="1"/>
  <c r="BG138" i="1" s="1"/>
  <c r="BE138" i="1"/>
  <c r="BD138" i="1"/>
  <c r="BC138" i="1"/>
  <c r="BB138" i="1"/>
  <c r="BS137" i="1"/>
  <c r="BU137" i="1" s="1"/>
  <c r="BQ137" i="1"/>
  <c r="BR138" i="1" s="1"/>
  <c r="BO137" i="1"/>
  <c r="BN137" i="1"/>
  <c r="BE137" i="1"/>
  <c r="BC137" i="1"/>
  <c r="BB137" i="1"/>
  <c r="BS136" i="1"/>
  <c r="BR136" i="1"/>
  <c r="BQ136" i="1"/>
  <c r="BO136" i="1"/>
  <c r="BN136" i="1"/>
  <c r="BR137" i="1" s="1"/>
  <c r="BT137" i="1" s="1"/>
  <c r="BH136" i="1"/>
  <c r="BF136" i="1"/>
  <c r="BE136" i="1"/>
  <c r="BC136" i="1"/>
  <c r="BB136" i="1"/>
  <c r="BF137" i="1" s="1"/>
  <c r="BD137" i="1" s="1"/>
  <c r="BQ135" i="1"/>
  <c r="BO135" i="1"/>
  <c r="BN135" i="1"/>
  <c r="BH135" i="1"/>
  <c r="BI135" i="1" s="1"/>
  <c r="BF135" i="1"/>
  <c r="BG135" i="1" s="1"/>
  <c r="BE135" i="1"/>
  <c r="BD135" i="1"/>
  <c r="BC135" i="1"/>
  <c r="BB135" i="1"/>
  <c r="BR134" i="1"/>
  <c r="BS134" i="1" s="1"/>
  <c r="BQ134" i="1"/>
  <c r="BO134" i="1"/>
  <c r="BN134" i="1"/>
  <c r="BE134" i="1"/>
  <c r="BC134" i="1"/>
  <c r="BB134" i="1"/>
  <c r="BT133" i="1"/>
  <c r="BS133" i="1"/>
  <c r="BU133" i="1" s="1"/>
  <c r="BQ133" i="1"/>
  <c r="BO133" i="1"/>
  <c r="BN133" i="1"/>
  <c r="BE133" i="1"/>
  <c r="BC133" i="1"/>
  <c r="BB133" i="1"/>
  <c r="BF134" i="1" s="1"/>
  <c r="BQ132" i="1"/>
  <c r="BO132" i="1"/>
  <c r="BN132" i="1"/>
  <c r="BR133" i="1" s="1"/>
  <c r="BP133" i="1" s="1"/>
  <c r="BE132" i="1"/>
  <c r="BC132" i="1"/>
  <c r="BB132" i="1"/>
  <c r="BF133" i="1" s="1"/>
  <c r="BQ131" i="1"/>
  <c r="BR132" i="1" s="1"/>
  <c r="BO131" i="1"/>
  <c r="BN131" i="1"/>
  <c r="BF131" i="1"/>
  <c r="BH131" i="1" s="1"/>
  <c r="BE131" i="1"/>
  <c r="BD131" i="1"/>
  <c r="BC131" i="1"/>
  <c r="BB131" i="1"/>
  <c r="BQ130" i="1"/>
  <c r="BO130" i="1"/>
  <c r="BN130" i="1"/>
  <c r="BF130" i="1"/>
  <c r="BE130" i="1"/>
  <c r="BC130" i="1"/>
  <c r="BB130" i="1"/>
  <c r="BQ129" i="1"/>
  <c r="BO129" i="1"/>
  <c r="BN129" i="1"/>
  <c r="BH129" i="1"/>
  <c r="BE129" i="1"/>
  <c r="BC129" i="1"/>
  <c r="BB129" i="1"/>
  <c r="BQ128" i="1"/>
  <c r="BO128" i="1"/>
  <c r="BR129" i="1" s="1"/>
  <c r="BN128" i="1"/>
  <c r="BE128" i="1"/>
  <c r="BF129" i="1" s="1"/>
  <c r="BC128" i="1"/>
  <c r="BB128" i="1"/>
  <c r="BT127" i="1"/>
  <c r="BU127" i="1" s="1"/>
  <c r="BR127" i="1"/>
  <c r="BS127" i="1" s="1"/>
  <c r="BQ127" i="1"/>
  <c r="BP127" i="1"/>
  <c r="BO127" i="1"/>
  <c r="BN127" i="1"/>
  <c r="BE127" i="1"/>
  <c r="BC127" i="1"/>
  <c r="BB127" i="1"/>
  <c r="BF128" i="1" s="1"/>
  <c r="BQ126" i="1"/>
  <c r="BO126" i="1"/>
  <c r="BN126" i="1"/>
  <c r="BF126" i="1"/>
  <c r="BH126" i="1" s="1"/>
  <c r="BE126" i="1"/>
  <c r="BD126" i="1"/>
  <c r="BC126" i="1"/>
  <c r="BB126" i="1"/>
  <c r="BF127" i="1" s="1"/>
  <c r="BQ125" i="1"/>
  <c r="BO125" i="1"/>
  <c r="BN125" i="1"/>
  <c r="BE125" i="1"/>
  <c r="BC125" i="1"/>
  <c r="BB125" i="1"/>
  <c r="BR124" i="1"/>
  <c r="BP124" i="1" s="1"/>
  <c r="BQ124" i="1"/>
  <c r="BO124" i="1"/>
  <c r="BN124" i="1"/>
  <c r="BF124" i="1"/>
  <c r="BE124" i="1"/>
  <c r="BC124" i="1"/>
  <c r="BB124" i="1"/>
  <c r="BS123" i="1"/>
  <c r="BQ123" i="1"/>
  <c r="BO123" i="1"/>
  <c r="BN123" i="1"/>
  <c r="BH123" i="1"/>
  <c r="BE123" i="1"/>
  <c r="BC123" i="1"/>
  <c r="BB123" i="1"/>
  <c r="BQ122" i="1"/>
  <c r="BP122" i="1"/>
  <c r="BO122" i="1"/>
  <c r="BN122" i="1"/>
  <c r="BR123" i="1" s="1"/>
  <c r="BE122" i="1"/>
  <c r="BC122" i="1"/>
  <c r="BB122" i="1"/>
  <c r="BF123" i="1" s="1"/>
  <c r="BQ121" i="1"/>
  <c r="BO121" i="1"/>
  <c r="BN121" i="1"/>
  <c r="BR122" i="1" s="1"/>
  <c r="BE121" i="1"/>
  <c r="BD121" i="1"/>
  <c r="BC121" i="1"/>
  <c r="BB121" i="1"/>
  <c r="BR120" i="1"/>
  <c r="BQ120" i="1"/>
  <c r="BO120" i="1"/>
  <c r="BN120" i="1"/>
  <c r="BE120" i="1"/>
  <c r="BC120" i="1"/>
  <c r="BF121" i="1" s="1"/>
  <c r="BB120" i="1"/>
  <c r="BT119" i="1"/>
  <c r="BQ119" i="1"/>
  <c r="BO119" i="1"/>
  <c r="BN119" i="1"/>
  <c r="BF119" i="1"/>
  <c r="BE119" i="1"/>
  <c r="BD119" i="1"/>
  <c r="BC119" i="1"/>
  <c r="BB119" i="1"/>
  <c r="BS118" i="1"/>
  <c r="BQ118" i="1"/>
  <c r="BO118" i="1"/>
  <c r="BN118" i="1"/>
  <c r="BR119" i="1" s="1"/>
  <c r="BE118" i="1"/>
  <c r="BC118" i="1"/>
  <c r="BB118" i="1"/>
  <c r="BQ117" i="1"/>
  <c r="BO117" i="1"/>
  <c r="BN117" i="1"/>
  <c r="BR118" i="1" s="1"/>
  <c r="BE117" i="1"/>
  <c r="BC117" i="1"/>
  <c r="BB117" i="1"/>
  <c r="BS116" i="1"/>
  <c r="BQ116" i="1"/>
  <c r="BR117" i="1" s="1"/>
  <c r="BO116" i="1"/>
  <c r="BN116" i="1"/>
  <c r="BE116" i="1"/>
  <c r="BC116" i="1"/>
  <c r="BB116" i="1"/>
  <c r="BQ115" i="1"/>
  <c r="BP115" i="1"/>
  <c r="BO115" i="1"/>
  <c r="BN115" i="1"/>
  <c r="BR116" i="1" s="1"/>
  <c r="BF115" i="1"/>
  <c r="BE115" i="1"/>
  <c r="BF116" i="1" s="1"/>
  <c r="BD115" i="1"/>
  <c r="BC115" i="1"/>
  <c r="BB115" i="1"/>
  <c r="BQ114" i="1"/>
  <c r="BO114" i="1"/>
  <c r="BN114" i="1"/>
  <c r="BR115" i="1" s="1"/>
  <c r="BE114" i="1"/>
  <c r="BC114" i="1"/>
  <c r="BB114" i="1"/>
  <c r="BR113" i="1"/>
  <c r="BT113" i="1" s="1"/>
  <c r="BQ113" i="1"/>
  <c r="BR114" i="1" s="1"/>
  <c r="BP113" i="1"/>
  <c r="BO113" i="1"/>
  <c r="BN113" i="1"/>
  <c r="BE113" i="1"/>
  <c r="BC113" i="1"/>
  <c r="BB113" i="1"/>
  <c r="BF114" i="1" s="1"/>
  <c r="BH114" i="1" s="1"/>
  <c r="BQ112" i="1"/>
  <c r="BO112" i="1"/>
  <c r="BN112" i="1"/>
  <c r="BF112" i="1"/>
  <c r="BH112" i="1" s="1"/>
  <c r="BE112" i="1"/>
  <c r="BD112" i="1"/>
  <c r="BC112" i="1"/>
  <c r="BB112" i="1"/>
  <c r="BF113" i="1" s="1"/>
  <c r="BQ111" i="1"/>
  <c r="BO111" i="1"/>
  <c r="BN111" i="1"/>
  <c r="BR112" i="1" s="1"/>
  <c r="BE111" i="1"/>
  <c r="BC111" i="1"/>
  <c r="BB111" i="1"/>
  <c r="BR110" i="1"/>
  <c r="BP110" i="1" s="1"/>
  <c r="BQ110" i="1"/>
  <c r="BO110" i="1"/>
  <c r="BN110" i="1"/>
  <c r="BR111" i="1" s="1"/>
  <c r="BE110" i="1"/>
  <c r="BC110" i="1"/>
  <c r="BB110" i="1"/>
  <c r="BF111" i="1" s="1"/>
  <c r="BQ109" i="1"/>
  <c r="BO109" i="1"/>
  <c r="BN109" i="1"/>
  <c r="BF109" i="1"/>
  <c r="BD109" i="1" s="1"/>
  <c r="BE109" i="1"/>
  <c r="BC109" i="1"/>
  <c r="BB109" i="1"/>
  <c r="BF110" i="1" s="1"/>
  <c r="BQ108" i="1"/>
  <c r="BO108" i="1"/>
  <c r="BN108" i="1"/>
  <c r="BR109" i="1" s="1"/>
  <c r="BP109" i="1" s="1"/>
  <c r="BE108" i="1"/>
  <c r="BC108" i="1"/>
  <c r="BB108" i="1"/>
  <c r="BT107" i="1"/>
  <c r="BS107" i="1"/>
  <c r="BU107" i="1" s="1"/>
  <c r="BQ107" i="1"/>
  <c r="BO107" i="1"/>
  <c r="BN107" i="1"/>
  <c r="BR108" i="1" s="1"/>
  <c r="BF107" i="1"/>
  <c r="BE107" i="1"/>
  <c r="BC107" i="1"/>
  <c r="BB107" i="1"/>
  <c r="BF108" i="1" s="1"/>
  <c r="BR106" i="1"/>
  <c r="BT106" i="1" s="1"/>
  <c r="BQ106" i="1"/>
  <c r="BP106" i="1"/>
  <c r="BO106" i="1"/>
  <c r="BN106" i="1"/>
  <c r="BR107" i="1" s="1"/>
  <c r="BP107" i="1" s="1"/>
  <c r="BF106" i="1"/>
  <c r="BE106" i="1"/>
  <c r="BD106" i="1"/>
  <c r="BC106" i="1"/>
  <c r="BB106" i="1"/>
  <c r="BT105" i="1"/>
  <c r="BQ105" i="1"/>
  <c r="BP105" i="1"/>
  <c r="BO105" i="1"/>
  <c r="BN105" i="1"/>
  <c r="BE105" i="1"/>
  <c r="BC105" i="1"/>
  <c r="BB105" i="1"/>
  <c r="BR104" i="1"/>
  <c r="BT104" i="1" s="1"/>
  <c r="BQ104" i="1"/>
  <c r="BR105" i="1" s="1"/>
  <c r="BS105" i="1" s="1"/>
  <c r="BP104" i="1"/>
  <c r="BO104" i="1"/>
  <c r="BN104" i="1"/>
  <c r="BE104" i="1"/>
  <c r="BC104" i="1"/>
  <c r="BB104" i="1"/>
  <c r="BF105" i="1" s="1"/>
  <c r="BR103" i="1"/>
  <c r="BQ103" i="1"/>
  <c r="BP103" i="1"/>
  <c r="BO103" i="1"/>
  <c r="BN103" i="1"/>
  <c r="BE103" i="1"/>
  <c r="BC103" i="1"/>
  <c r="BB103" i="1"/>
  <c r="BT102" i="1"/>
  <c r="BS102" i="1"/>
  <c r="BU102" i="1" s="1"/>
  <c r="BQ102" i="1"/>
  <c r="BO102" i="1"/>
  <c r="BN102" i="1"/>
  <c r="BF102" i="1"/>
  <c r="BD102" i="1" s="1"/>
  <c r="BE102" i="1"/>
  <c r="BC102" i="1"/>
  <c r="BB102" i="1"/>
  <c r="BQ101" i="1"/>
  <c r="BO101" i="1"/>
  <c r="BN101" i="1"/>
  <c r="BR102" i="1" s="1"/>
  <c r="BP102" i="1" s="1"/>
  <c r="BH101" i="1"/>
  <c r="BF101" i="1"/>
  <c r="BG101" i="1" s="1"/>
  <c r="BE101" i="1"/>
  <c r="BD101" i="1"/>
  <c r="BC101" i="1"/>
  <c r="BB101" i="1"/>
  <c r="BR100" i="1"/>
  <c r="BQ100" i="1"/>
  <c r="BO100" i="1"/>
  <c r="BN100" i="1"/>
  <c r="BE100" i="1"/>
  <c r="BC100" i="1"/>
  <c r="BB100" i="1"/>
  <c r="BT99" i="1"/>
  <c r="BQ99" i="1"/>
  <c r="BO99" i="1"/>
  <c r="BN99" i="1"/>
  <c r="BE99" i="1"/>
  <c r="BC99" i="1"/>
  <c r="BB99" i="1"/>
  <c r="BF100" i="1" s="1"/>
  <c r="BQ98" i="1"/>
  <c r="BR99" i="1" s="1"/>
  <c r="BP99" i="1" s="1"/>
  <c r="BO98" i="1"/>
  <c r="BN98" i="1"/>
  <c r="BE98" i="1"/>
  <c r="BC98" i="1"/>
  <c r="BB98" i="1"/>
  <c r="BQ97" i="1"/>
  <c r="BO97" i="1"/>
  <c r="BN97" i="1"/>
  <c r="BR98" i="1" s="1"/>
  <c r="BE97" i="1"/>
  <c r="BC97" i="1"/>
  <c r="BB97" i="1"/>
  <c r="BF98" i="1" s="1"/>
  <c r="BH98" i="1" s="1"/>
  <c r="BQ96" i="1"/>
  <c r="BR97" i="1" s="1"/>
  <c r="BO96" i="1"/>
  <c r="BN96" i="1"/>
  <c r="BF96" i="1"/>
  <c r="BD96" i="1" s="1"/>
  <c r="BE96" i="1"/>
  <c r="BC96" i="1"/>
  <c r="BB96" i="1"/>
  <c r="BQ95" i="1"/>
  <c r="BO95" i="1"/>
  <c r="BN95" i="1"/>
  <c r="BR96" i="1" s="1"/>
  <c r="BE95" i="1"/>
  <c r="BD95" i="1"/>
  <c r="BC95" i="1"/>
  <c r="BB95" i="1"/>
  <c r="BQ94" i="1"/>
  <c r="BO94" i="1"/>
  <c r="BN94" i="1"/>
  <c r="BE94" i="1"/>
  <c r="BF95" i="1" s="1"/>
  <c r="BC94" i="1"/>
  <c r="BB94" i="1"/>
  <c r="BQ93" i="1"/>
  <c r="BO93" i="1"/>
  <c r="BN93" i="1"/>
  <c r="BR94" i="1" s="1"/>
  <c r="BE93" i="1"/>
  <c r="BF94" i="1" s="1"/>
  <c r="BC93" i="1"/>
  <c r="BB93" i="1"/>
  <c r="BQ92" i="1"/>
  <c r="BO92" i="1"/>
  <c r="BR93" i="1" s="1"/>
  <c r="BT93" i="1" s="1"/>
  <c r="BN92" i="1"/>
  <c r="BH92" i="1"/>
  <c r="BG92" i="1"/>
  <c r="BI92" i="1" s="1"/>
  <c r="BF92" i="1"/>
  <c r="BD92" i="1" s="1"/>
  <c r="BE92" i="1"/>
  <c r="BC92" i="1"/>
  <c r="BB92" i="1"/>
  <c r="BQ91" i="1"/>
  <c r="BR92" i="1" s="1"/>
  <c r="BO91" i="1"/>
  <c r="BN91" i="1"/>
  <c r="BE91" i="1"/>
  <c r="BC91" i="1"/>
  <c r="BB91" i="1"/>
  <c r="BQ90" i="1"/>
  <c r="BR91" i="1" s="1"/>
  <c r="BO90" i="1"/>
  <c r="BN90" i="1"/>
  <c r="BE90" i="1"/>
  <c r="BC90" i="1"/>
  <c r="BB90" i="1"/>
  <c r="BF91" i="1" s="1"/>
  <c r="BQ89" i="1"/>
  <c r="BO89" i="1"/>
  <c r="BN89" i="1"/>
  <c r="BE89" i="1"/>
  <c r="BD89" i="1"/>
  <c r="BC89" i="1"/>
  <c r="BB89" i="1"/>
  <c r="BQ88" i="1"/>
  <c r="BO88" i="1"/>
  <c r="BN88" i="1"/>
  <c r="BE88" i="1"/>
  <c r="BF89" i="1" s="1"/>
  <c r="BD88" i="1"/>
  <c r="BC88" i="1"/>
  <c r="BB88" i="1"/>
  <c r="BQ87" i="1"/>
  <c r="BO87" i="1"/>
  <c r="BN87" i="1"/>
  <c r="BE87" i="1"/>
  <c r="BC87" i="1"/>
  <c r="BB87" i="1"/>
  <c r="BF88" i="1" s="1"/>
  <c r="BQ86" i="1"/>
  <c r="BO86" i="1"/>
  <c r="BN86" i="1"/>
  <c r="BE86" i="1"/>
  <c r="BC86" i="1"/>
  <c r="BB86" i="1"/>
  <c r="BR85" i="1"/>
  <c r="BQ85" i="1"/>
  <c r="BR86" i="1" s="1"/>
  <c r="BO85" i="1"/>
  <c r="BN85" i="1"/>
  <c r="BE85" i="1"/>
  <c r="BC85" i="1"/>
  <c r="BB85" i="1"/>
  <c r="BF86" i="1" s="1"/>
  <c r="BQ84" i="1"/>
  <c r="BO84" i="1"/>
  <c r="BN84" i="1"/>
  <c r="BF84" i="1"/>
  <c r="BH84" i="1" s="1"/>
  <c r="BE84" i="1"/>
  <c r="BF85" i="1" s="1"/>
  <c r="BD84" i="1"/>
  <c r="BC84" i="1"/>
  <c r="BB84" i="1"/>
  <c r="BQ83" i="1"/>
  <c r="BO83" i="1"/>
  <c r="BN83" i="1"/>
  <c r="BF83" i="1"/>
  <c r="BE83" i="1"/>
  <c r="BC83" i="1"/>
  <c r="BB83" i="1"/>
  <c r="BQ82" i="1"/>
  <c r="BO82" i="1"/>
  <c r="BN82" i="1"/>
  <c r="BR83" i="1" s="1"/>
  <c r="BS83" i="1" s="1"/>
  <c r="BE82" i="1"/>
  <c r="BD82" i="1"/>
  <c r="BC82" i="1"/>
  <c r="BB82" i="1"/>
  <c r="BQ81" i="1"/>
  <c r="BR82" i="1" s="1"/>
  <c r="BO81" i="1"/>
  <c r="BN81" i="1"/>
  <c r="BF81" i="1"/>
  <c r="BH81" i="1" s="1"/>
  <c r="BE81" i="1"/>
  <c r="BF82" i="1" s="1"/>
  <c r="BD81" i="1"/>
  <c r="BC81" i="1"/>
  <c r="BB81" i="1"/>
  <c r="BQ80" i="1"/>
  <c r="BO80" i="1"/>
  <c r="BN80" i="1"/>
  <c r="BR81" i="1" s="1"/>
  <c r="BF80" i="1"/>
  <c r="BE80" i="1"/>
  <c r="BD80" i="1"/>
  <c r="BC80" i="1"/>
  <c r="BB80" i="1"/>
  <c r="BR79" i="1"/>
  <c r="BQ79" i="1"/>
  <c r="BO79" i="1"/>
  <c r="BN79" i="1"/>
  <c r="BR80" i="1" s="1"/>
  <c r="BP80" i="1" s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R78" i="1" s="1"/>
  <c r="BE77" i="1"/>
  <c r="BC77" i="1"/>
  <c r="BB77" i="1"/>
  <c r="BQ76" i="1"/>
  <c r="BO76" i="1"/>
  <c r="BN76" i="1"/>
  <c r="BR77" i="1" s="1"/>
  <c r="BS77" i="1" s="1"/>
  <c r="BE76" i="1"/>
  <c r="BC76" i="1"/>
  <c r="BB76" i="1"/>
  <c r="BQ75" i="1"/>
  <c r="BO75" i="1"/>
  <c r="BN75" i="1"/>
  <c r="BE75" i="1"/>
  <c r="BC75" i="1"/>
  <c r="BB75" i="1"/>
  <c r="BF76" i="1" s="1"/>
  <c r="BT74" i="1"/>
  <c r="BQ74" i="1"/>
  <c r="BO74" i="1"/>
  <c r="BN74" i="1"/>
  <c r="BF74" i="1"/>
  <c r="BG74" i="1" s="1"/>
  <c r="BE74" i="1"/>
  <c r="BD74" i="1"/>
  <c r="BC74" i="1"/>
  <c r="BB74" i="1"/>
  <c r="BT73" i="1"/>
  <c r="BQ73" i="1"/>
  <c r="BO73" i="1"/>
  <c r="BN73" i="1"/>
  <c r="BR74" i="1" s="1"/>
  <c r="BE73" i="1"/>
  <c r="BC73" i="1"/>
  <c r="BB73" i="1"/>
  <c r="BQ72" i="1"/>
  <c r="BR73" i="1" s="1"/>
  <c r="BO72" i="1"/>
  <c r="BN72" i="1"/>
  <c r="BE72" i="1"/>
  <c r="BC72" i="1"/>
  <c r="BB72" i="1"/>
  <c r="BQ71" i="1"/>
  <c r="BO71" i="1"/>
  <c r="BN71" i="1"/>
  <c r="BR72" i="1" s="1"/>
  <c r="BE71" i="1"/>
  <c r="BC71" i="1"/>
  <c r="BB71" i="1"/>
  <c r="BQ70" i="1"/>
  <c r="BO70" i="1"/>
  <c r="BN70" i="1"/>
  <c r="BR71" i="1" s="1"/>
  <c r="BE70" i="1"/>
  <c r="BC70" i="1"/>
  <c r="BB70" i="1"/>
  <c r="BQ69" i="1"/>
  <c r="BO69" i="1"/>
  <c r="BN69" i="1"/>
  <c r="BG69" i="1"/>
  <c r="BI69" i="1" s="1"/>
  <c r="BE69" i="1"/>
  <c r="BC69" i="1"/>
  <c r="BB69" i="1"/>
  <c r="BQ68" i="1"/>
  <c r="BO68" i="1"/>
  <c r="BN68" i="1"/>
  <c r="BH68" i="1"/>
  <c r="BE68" i="1"/>
  <c r="BF69" i="1" s="1"/>
  <c r="BH69" i="1" s="1"/>
  <c r="BD68" i="1"/>
  <c r="BC68" i="1"/>
  <c r="BB68" i="1"/>
  <c r="BQ67" i="1"/>
  <c r="BO67" i="1"/>
  <c r="BN67" i="1"/>
  <c r="BF67" i="1"/>
  <c r="BD67" i="1" s="1"/>
  <c r="BE67" i="1"/>
  <c r="BC67" i="1"/>
  <c r="BB67" i="1"/>
  <c r="BF68" i="1" s="1"/>
  <c r="BG68" i="1" s="1"/>
  <c r="BQ66" i="1"/>
  <c r="BO66" i="1"/>
  <c r="BN66" i="1"/>
  <c r="BF66" i="1"/>
  <c r="BD66" i="1" s="1"/>
  <c r="BE66" i="1"/>
  <c r="BC66" i="1"/>
  <c r="BB66" i="1"/>
  <c r="BS65" i="1"/>
  <c r="BQ65" i="1"/>
  <c r="BO65" i="1"/>
  <c r="BN65" i="1"/>
  <c r="BE65" i="1"/>
  <c r="BC65" i="1"/>
  <c r="BB65" i="1"/>
  <c r="BT64" i="1"/>
  <c r="BS64" i="1"/>
  <c r="BU64" i="1" s="1"/>
  <c r="BR64" i="1"/>
  <c r="BQ64" i="1"/>
  <c r="BR65" i="1" s="1"/>
  <c r="BP64" i="1"/>
  <c r="BO64" i="1"/>
  <c r="BN64" i="1"/>
  <c r="BE64" i="1"/>
  <c r="BC64" i="1"/>
  <c r="BB64" i="1"/>
  <c r="BQ63" i="1"/>
  <c r="BO63" i="1"/>
  <c r="BN63" i="1"/>
  <c r="BE63" i="1"/>
  <c r="BD63" i="1"/>
  <c r="BC63" i="1"/>
  <c r="BB63" i="1"/>
  <c r="BQ62" i="1"/>
  <c r="BO62" i="1"/>
  <c r="BN62" i="1"/>
  <c r="BE62" i="1"/>
  <c r="BC62" i="1"/>
  <c r="BB62" i="1"/>
  <c r="BF63" i="1" s="1"/>
  <c r="BR61" i="1"/>
  <c r="BQ61" i="1"/>
  <c r="BO61" i="1"/>
  <c r="BN61" i="1"/>
  <c r="BR62" i="1" s="1"/>
  <c r="BT62" i="1" s="1"/>
  <c r="BF61" i="1"/>
  <c r="BE61" i="1"/>
  <c r="BC61" i="1"/>
  <c r="BB61" i="1"/>
  <c r="BR60" i="1"/>
  <c r="BQ60" i="1"/>
  <c r="BO60" i="1"/>
  <c r="BN60" i="1"/>
  <c r="BE60" i="1"/>
  <c r="BC60" i="1"/>
  <c r="BB60" i="1"/>
  <c r="BT59" i="1"/>
  <c r="BQ59" i="1"/>
  <c r="BO59" i="1"/>
  <c r="BN59" i="1"/>
  <c r="BE59" i="1"/>
  <c r="BC59" i="1"/>
  <c r="BB59" i="1"/>
  <c r="BF60" i="1" s="1"/>
  <c r="BQ58" i="1"/>
  <c r="BR59" i="1" s="1"/>
  <c r="BO58" i="1"/>
  <c r="BN58" i="1"/>
  <c r="BE58" i="1"/>
  <c r="BF59" i="1" s="1"/>
  <c r="BC58" i="1"/>
  <c r="BB58" i="1"/>
  <c r="BQ57" i="1"/>
  <c r="BR58" i="1" s="1"/>
  <c r="BO57" i="1"/>
  <c r="BN57" i="1"/>
  <c r="BF57" i="1"/>
  <c r="BH57" i="1" s="1"/>
  <c r="BE57" i="1"/>
  <c r="BD57" i="1"/>
  <c r="BC57" i="1"/>
  <c r="BF58" i="1" s="1"/>
  <c r="BB57" i="1"/>
  <c r="BQ56" i="1"/>
  <c r="BO56" i="1"/>
  <c r="BN56" i="1"/>
  <c r="BR57" i="1" s="1"/>
  <c r="BE56" i="1"/>
  <c r="BC56" i="1"/>
  <c r="BB56" i="1"/>
  <c r="BT55" i="1"/>
  <c r="BS55" i="1"/>
  <c r="BU55" i="1" s="1"/>
  <c r="BR55" i="1"/>
  <c r="BQ55" i="1"/>
  <c r="BP55" i="1"/>
  <c r="BO55" i="1"/>
  <c r="BN55" i="1"/>
  <c r="BE55" i="1"/>
  <c r="BC55" i="1"/>
  <c r="BB55" i="1"/>
  <c r="BF56" i="1" s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F54" i="1" s="1"/>
  <c r="BQ52" i="1"/>
  <c r="BO52" i="1"/>
  <c r="BN52" i="1"/>
  <c r="BG52" i="1"/>
  <c r="BF52" i="1"/>
  <c r="BH52" i="1" s="1"/>
  <c r="BE52" i="1"/>
  <c r="BD52" i="1"/>
  <c r="BC52" i="1"/>
  <c r="BB52" i="1"/>
  <c r="BR51" i="1"/>
  <c r="BQ51" i="1"/>
  <c r="BP51" i="1"/>
  <c r="BO51" i="1"/>
  <c r="BN51" i="1"/>
  <c r="BE51" i="1"/>
  <c r="BC51" i="1"/>
  <c r="BB51" i="1"/>
  <c r="BT50" i="1"/>
  <c r="BS50" i="1"/>
  <c r="BU50" i="1" s="1"/>
  <c r="BR50" i="1"/>
  <c r="BQ50" i="1"/>
  <c r="BP50" i="1"/>
  <c r="BO50" i="1"/>
  <c r="BN50" i="1"/>
  <c r="BE50" i="1"/>
  <c r="BD50" i="1"/>
  <c r="BC50" i="1"/>
  <c r="BB50" i="1"/>
  <c r="BF51" i="1" s="1"/>
  <c r="BD51" i="1" s="1"/>
  <c r="BT49" i="1"/>
  <c r="BU49" i="1" s="1"/>
  <c r="BQ49" i="1"/>
  <c r="BO49" i="1"/>
  <c r="BN49" i="1"/>
  <c r="BE49" i="1"/>
  <c r="BF50" i="1" s="1"/>
  <c r="BC49" i="1"/>
  <c r="BB49" i="1"/>
  <c r="BQ48" i="1"/>
  <c r="BO48" i="1"/>
  <c r="BN48" i="1"/>
  <c r="BR49" i="1" s="1"/>
  <c r="BS49" i="1" s="1"/>
  <c r="BH48" i="1"/>
  <c r="BI48" i="1" s="1"/>
  <c r="BE48" i="1"/>
  <c r="BD48" i="1"/>
  <c r="BC48" i="1"/>
  <c r="BB48" i="1"/>
  <c r="BF49" i="1" s="1"/>
  <c r="BR47" i="1"/>
  <c r="BQ47" i="1"/>
  <c r="BO47" i="1"/>
  <c r="BN47" i="1"/>
  <c r="BE47" i="1"/>
  <c r="BC47" i="1"/>
  <c r="BB47" i="1"/>
  <c r="BF48" i="1" s="1"/>
  <c r="BG48" i="1" s="1"/>
  <c r="BT46" i="1"/>
  <c r="BS46" i="1"/>
  <c r="BU46" i="1" s="1"/>
  <c r="BR46" i="1"/>
  <c r="BQ46" i="1"/>
  <c r="BP46" i="1"/>
  <c r="BO46" i="1"/>
  <c r="BN46" i="1"/>
  <c r="BE46" i="1"/>
  <c r="BC46" i="1"/>
  <c r="BB46" i="1"/>
  <c r="BF47" i="1" s="1"/>
  <c r="BQ45" i="1"/>
  <c r="BO45" i="1"/>
  <c r="BN45" i="1"/>
  <c r="BE45" i="1"/>
  <c r="BC45" i="1"/>
  <c r="BB45" i="1"/>
  <c r="BF46" i="1" s="1"/>
  <c r="BQ44" i="1"/>
  <c r="BO44" i="1"/>
  <c r="BN44" i="1"/>
  <c r="BE44" i="1"/>
  <c r="BF45" i="1" s="1"/>
  <c r="BC44" i="1"/>
  <c r="BB44" i="1"/>
  <c r="BS43" i="1"/>
  <c r="BR43" i="1"/>
  <c r="BT43" i="1" s="1"/>
  <c r="BQ43" i="1"/>
  <c r="BP43" i="1"/>
  <c r="BO43" i="1"/>
  <c r="BN43" i="1"/>
  <c r="BR44" i="1" s="1"/>
  <c r="BE43" i="1"/>
  <c r="BC43" i="1"/>
  <c r="BB43" i="1"/>
  <c r="BF44" i="1" s="1"/>
  <c r="BQ42" i="1"/>
  <c r="BO42" i="1"/>
  <c r="BN42" i="1"/>
  <c r="BE42" i="1"/>
  <c r="BC42" i="1"/>
  <c r="BB42" i="1"/>
  <c r="BQ41" i="1"/>
  <c r="BO41" i="1"/>
  <c r="BN41" i="1"/>
  <c r="BF41" i="1"/>
  <c r="BE41" i="1"/>
  <c r="BF42" i="1" s="1"/>
  <c r="BC41" i="1"/>
  <c r="BB41" i="1"/>
  <c r="BQ40" i="1"/>
  <c r="BO40" i="1"/>
  <c r="BN40" i="1"/>
  <c r="BR41" i="1" s="1"/>
  <c r="BE40" i="1"/>
  <c r="BD40" i="1"/>
  <c r="BC40" i="1"/>
  <c r="BB40" i="1"/>
  <c r="BQ39" i="1"/>
  <c r="BO39" i="1"/>
  <c r="BN39" i="1"/>
  <c r="BE39" i="1"/>
  <c r="BC39" i="1"/>
  <c r="BB39" i="1"/>
  <c r="BF40" i="1" s="1"/>
  <c r="BQ38" i="1"/>
  <c r="BO38" i="1"/>
  <c r="BN38" i="1"/>
  <c r="BE38" i="1"/>
  <c r="BC38" i="1"/>
  <c r="BB38" i="1"/>
  <c r="BF39" i="1" s="1"/>
  <c r="BH39" i="1" s="1"/>
  <c r="BQ37" i="1"/>
  <c r="BO37" i="1"/>
  <c r="BN37" i="1"/>
  <c r="BE37" i="1"/>
  <c r="BC37" i="1"/>
  <c r="BB37" i="1"/>
  <c r="BF38" i="1" s="1"/>
  <c r="BD38" i="1" s="1"/>
  <c r="BQ36" i="1"/>
  <c r="BO36" i="1"/>
  <c r="BN36" i="1"/>
  <c r="BE36" i="1"/>
  <c r="BF37" i="1" s="1"/>
  <c r="BC36" i="1"/>
  <c r="BB36" i="1"/>
  <c r="BQ35" i="1"/>
  <c r="BO35" i="1"/>
  <c r="BN35" i="1"/>
  <c r="BE35" i="1"/>
  <c r="BC35" i="1"/>
  <c r="BB35" i="1"/>
  <c r="BF36" i="1" s="1"/>
  <c r="BT34" i="1"/>
  <c r="BS34" i="1"/>
  <c r="BU34" i="1" s="1"/>
  <c r="BQ34" i="1"/>
  <c r="BO34" i="1"/>
  <c r="BN34" i="1"/>
  <c r="BE34" i="1"/>
  <c r="BC34" i="1"/>
  <c r="BB34" i="1"/>
  <c r="BQ33" i="1"/>
  <c r="BO33" i="1"/>
  <c r="BN33" i="1"/>
  <c r="BR34" i="1" s="1"/>
  <c r="BP34" i="1" s="1"/>
  <c r="BE33" i="1"/>
  <c r="BF34" i="1" s="1"/>
  <c r="BD33" i="1"/>
  <c r="BC33" i="1"/>
  <c r="BB33" i="1"/>
  <c r="BQ32" i="1"/>
  <c r="BO32" i="1"/>
  <c r="BN32" i="1"/>
  <c r="BR33" i="1" s="1"/>
  <c r="BE32" i="1"/>
  <c r="BC32" i="1"/>
  <c r="BF33" i="1" s="1"/>
  <c r="BB32" i="1"/>
  <c r="BQ31" i="1"/>
  <c r="BR32" i="1" s="1"/>
  <c r="BT32" i="1" s="1"/>
  <c r="BO31" i="1"/>
  <c r="BN31" i="1"/>
  <c r="BH31" i="1"/>
  <c r="BE31" i="1"/>
  <c r="BC31" i="1"/>
  <c r="BB31" i="1"/>
  <c r="BQ30" i="1"/>
  <c r="BO30" i="1"/>
  <c r="BN30" i="1"/>
  <c r="BR31" i="1" s="1"/>
  <c r="BF30" i="1"/>
  <c r="BE30" i="1"/>
  <c r="BF31" i="1" s="1"/>
  <c r="BG31" i="1" s="1"/>
  <c r="BI31" i="1" s="1"/>
  <c r="BC30" i="1"/>
  <c r="BB30" i="1"/>
  <c r="BT29" i="1"/>
  <c r="BS29" i="1"/>
  <c r="BU29" i="1" s="1"/>
  <c r="BR29" i="1"/>
  <c r="BQ29" i="1"/>
  <c r="BP29" i="1"/>
  <c r="BO29" i="1"/>
  <c r="BN29" i="1"/>
  <c r="BE29" i="1"/>
  <c r="BD29" i="1"/>
  <c r="BC29" i="1"/>
  <c r="BB29" i="1"/>
  <c r="BQ28" i="1"/>
  <c r="BO28" i="1"/>
  <c r="BN28" i="1"/>
  <c r="BE28" i="1"/>
  <c r="BC28" i="1"/>
  <c r="BB28" i="1"/>
  <c r="BF29" i="1" s="1"/>
  <c r="BQ27" i="1"/>
  <c r="BO27" i="1"/>
  <c r="BN27" i="1"/>
  <c r="BE27" i="1"/>
  <c r="BF28" i="1" s="1"/>
  <c r="BH28" i="1" s="1"/>
  <c r="BC27" i="1"/>
  <c r="BB27" i="1"/>
  <c r="BS26" i="1"/>
  <c r="BR26" i="1"/>
  <c r="BQ26" i="1"/>
  <c r="BO26" i="1"/>
  <c r="BN26" i="1"/>
  <c r="BR27" i="1" s="1"/>
  <c r="BP27" i="1" s="1"/>
  <c r="BE26" i="1"/>
  <c r="BC26" i="1"/>
  <c r="BB26" i="1"/>
  <c r="BF27" i="1" s="1"/>
  <c r="BS25" i="1"/>
  <c r="BR25" i="1"/>
  <c r="BQ25" i="1"/>
  <c r="BO25" i="1"/>
  <c r="BN25" i="1"/>
  <c r="BE25" i="1"/>
  <c r="BC25" i="1"/>
  <c r="BB25" i="1"/>
  <c r="BS24" i="1"/>
  <c r="BU24" i="1" s="1"/>
  <c r="BR24" i="1"/>
  <c r="BT24" i="1" s="1"/>
  <c r="BQ24" i="1"/>
  <c r="BP24" i="1"/>
  <c r="BO24" i="1"/>
  <c r="BN24" i="1"/>
  <c r="BE24" i="1"/>
  <c r="BC24" i="1"/>
  <c r="BB24" i="1"/>
  <c r="BF25" i="1" s="1"/>
  <c r="BQ23" i="1"/>
  <c r="BO23" i="1"/>
  <c r="BN23" i="1"/>
  <c r="BE23" i="1"/>
  <c r="BC23" i="1"/>
  <c r="BB23" i="1"/>
  <c r="BR22" i="1"/>
  <c r="BQ22" i="1"/>
  <c r="BP22" i="1"/>
  <c r="BO22" i="1"/>
  <c r="BN22" i="1"/>
  <c r="BR23" i="1" s="1"/>
  <c r="BG22" i="1"/>
  <c r="BI22" i="1" s="1"/>
  <c r="BF22" i="1"/>
  <c r="BH22" i="1" s="1"/>
  <c r="BE22" i="1"/>
  <c r="BF23" i="1" s="1"/>
  <c r="BD23" i="1" s="1"/>
  <c r="BD22" i="1"/>
  <c r="BC22" i="1"/>
  <c r="BB22" i="1"/>
  <c r="BQ21" i="1"/>
  <c r="BE21" i="1"/>
  <c r="BT20" i="1"/>
  <c r="BS20" i="1"/>
  <c r="BH20" i="1"/>
  <c r="BG20" i="1"/>
  <c r="BT94" i="1" l="1"/>
  <c r="BS94" i="1"/>
  <c r="BU94" i="1" s="1"/>
  <c r="BP94" i="1"/>
  <c r="BD42" i="1"/>
  <c r="BG42" i="1"/>
  <c r="BH42" i="1"/>
  <c r="BU83" i="1"/>
  <c r="BT58" i="1"/>
  <c r="BS58" i="1"/>
  <c r="BU58" i="1" s="1"/>
  <c r="BP58" i="1"/>
  <c r="BJ22" i="1"/>
  <c r="BD31" i="1"/>
  <c r="BP60" i="1"/>
  <c r="BS60" i="1"/>
  <c r="BU60" i="1" s="1"/>
  <c r="BG108" i="1"/>
  <c r="BD108" i="1"/>
  <c r="BH108" i="1"/>
  <c r="BT57" i="1"/>
  <c r="BS57" i="1"/>
  <c r="BU57" i="1" s="1"/>
  <c r="BT23" i="1"/>
  <c r="BP23" i="1"/>
  <c r="BS23" i="1"/>
  <c r="BU23" i="1" s="1"/>
  <c r="BP26" i="1"/>
  <c r="BT26" i="1"/>
  <c r="BU26" i="1" s="1"/>
  <c r="BT60" i="1"/>
  <c r="BD69" i="1"/>
  <c r="BH86" i="1"/>
  <c r="BG86" i="1"/>
  <c r="BI86" i="1" s="1"/>
  <c r="BX86" i="1" s="1"/>
  <c r="BS91" i="1"/>
  <c r="BT91" i="1"/>
  <c r="BP91" i="1"/>
  <c r="BP57" i="1"/>
  <c r="BR66" i="1"/>
  <c r="BT157" i="1"/>
  <c r="BP157" i="1"/>
  <c r="BS157" i="1"/>
  <c r="BT65" i="1"/>
  <c r="BP65" i="1"/>
  <c r="BS74" i="1"/>
  <c r="BU74" i="1" s="1"/>
  <c r="BP74" i="1"/>
  <c r="BR75" i="1" s="1"/>
  <c r="BD30" i="1"/>
  <c r="BG30" i="1"/>
  <c r="BI30" i="1" s="1"/>
  <c r="BS32" i="1"/>
  <c r="BU32" i="1" s="1"/>
  <c r="BP32" i="1"/>
  <c r="BS81" i="1"/>
  <c r="BT81" i="1"/>
  <c r="BP81" i="1"/>
  <c r="BP86" i="1"/>
  <c r="BT86" i="1"/>
  <c r="BS86" i="1"/>
  <c r="BU86" i="1" s="1"/>
  <c r="BG94" i="1"/>
  <c r="BD94" i="1"/>
  <c r="BH94" i="1"/>
  <c r="BT117" i="1"/>
  <c r="BS117" i="1"/>
  <c r="BU117" i="1" s="1"/>
  <c r="BP117" i="1"/>
  <c r="BT123" i="1"/>
  <c r="BU123" i="1" s="1"/>
  <c r="BP123" i="1"/>
  <c r="BS148" i="1"/>
  <c r="BU148" i="1" s="1"/>
  <c r="BT148" i="1"/>
  <c r="BP148" i="1"/>
  <c r="BP25" i="1"/>
  <c r="BT25" i="1"/>
  <c r="BU25" i="1" s="1"/>
  <c r="BH30" i="1"/>
  <c r="BH36" i="1"/>
  <c r="BG36" i="1"/>
  <c r="BI36" i="1" s="1"/>
  <c r="BD36" i="1"/>
  <c r="BP47" i="1"/>
  <c r="BT47" i="1"/>
  <c r="BS47" i="1"/>
  <c r="BU47" i="1" s="1"/>
  <c r="BH59" i="1"/>
  <c r="BG59" i="1"/>
  <c r="BI59" i="1" s="1"/>
  <c r="BX59" i="1" s="1"/>
  <c r="BD59" i="1"/>
  <c r="BF71" i="1"/>
  <c r="BG116" i="1"/>
  <c r="BD116" i="1"/>
  <c r="BH116" i="1"/>
  <c r="BG166" i="1"/>
  <c r="BD166" i="1"/>
  <c r="BH166" i="1"/>
  <c r="BH45" i="1"/>
  <c r="BG45" i="1"/>
  <c r="BI45" i="1" s="1"/>
  <c r="BU65" i="1"/>
  <c r="BD107" i="1"/>
  <c r="BH107" i="1"/>
  <c r="BG107" i="1"/>
  <c r="BI107" i="1" s="1"/>
  <c r="BX107" i="1" s="1"/>
  <c r="BD44" i="1"/>
  <c r="BG44" i="1"/>
  <c r="BH44" i="1"/>
  <c r="BH54" i="1"/>
  <c r="BG54" i="1"/>
  <c r="BI54" i="1" s="1"/>
  <c r="BD54" i="1"/>
  <c r="BG147" i="1"/>
  <c r="BD147" i="1"/>
  <c r="BH147" i="1"/>
  <c r="BG28" i="1"/>
  <c r="BI28" i="1" s="1"/>
  <c r="BD28" i="1"/>
  <c r="BG39" i="1"/>
  <c r="BI39" i="1" s="1"/>
  <c r="BD39" i="1"/>
  <c r="BT132" i="1"/>
  <c r="BP132" i="1"/>
  <c r="BS132" i="1"/>
  <c r="BP31" i="1"/>
  <c r="BT31" i="1"/>
  <c r="BS31" i="1"/>
  <c r="BU31" i="1" s="1"/>
  <c r="BX31" i="1" s="1"/>
  <c r="BH49" i="1"/>
  <c r="BG49" i="1"/>
  <c r="BI49" i="1" s="1"/>
  <c r="BX49" i="1" s="1"/>
  <c r="BD49" i="1"/>
  <c r="BP61" i="1"/>
  <c r="BT61" i="1"/>
  <c r="BS61" i="1"/>
  <c r="BU61" i="1" s="1"/>
  <c r="BS78" i="1"/>
  <c r="BU78" i="1" s="1"/>
  <c r="BT78" i="1"/>
  <c r="BP78" i="1"/>
  <c r="BP120" i="1"/>
  <c r="BT120" i="1"/>
  <c r="BS120" i="1"/>
  <c r="BU120" i="1" s="1"/>
  <c r="BH33" i="1"/>
  <c r="BG33" i="1"/>
  <c r="BI33" i="1" s="1"/>
  <c r="BD45" i="1"/>
  <c r="BD58" i="1"/>
  <c r="BH58" i="1"/>
  <c r="BG58" i="1"/>
  <c r="BI58" i="1" s="1"/>
  <c r="BS59" i="1"/>
  <c r="BU59" i="1" s="1"/>
  <c r="BP59" i="1"/>
  <c r="BS71" i="1"/>
  <c r="BU71" i="1" s="1"/>
  <c r="BT71" i="1"/>
  <c r="BP71" i="1"/>
  <c r="BG85" i="1"/>
  <c r="BI85" i="1" s="1"/>
  <c r="BX85" i="1" s="1"/>
  <c r="BH85" i="1"/>
  <c r="BD85" i="1"/>
  <c r="BD86" i="1"/>
  <c r="BD111" i="1"/>
  <c r="BH111" i="1"/>
  <c r="BG111" i="1"/>
  <c r="BI111" i="1" s="1"/>
  <c r="BG113" i="1"/>
  <c r="BD113" i="1"/>
  <c r="BH113" i="1"/>
  <c r="BH37" i="1"/>
  <c r="BG37" i="1"/>
  <c r="BI37" i="1" s="1"/>
  <c r="BD37" i="1"/>
  <c r="BG41" i="1"/>
  <c r="BI41" i="1" s="1"/>
  <c r="BD41" i="1"/>
  <c r="BH41" i="1"/>
  <c r="BS82" i="1"/>
  <c r="BP82" i="1"/>
  <c r="BP100" i="1"/>
  <c r="BT100" i="1"/>
  <c r="BS100" i="1"/>
  <c r="BU100" i="1" s="1"/>
  <c r="BR45" i="1"/>
  <c r="BD47" i="1"/>
  <c r="BH47" i="1"/>
  <c r="BG47" i="1"/>
  <c r="BI47" i="1" s="1"/>
  <c r="BX47" i="1" s="1"/>
  <c r="BT72" i="1"/>
  <c r="BS72" i="1"/>
  <c r="BU72" i="1" s="1"/>
  <c r="BP72" i="1"/>
  <c r="BG100" i="1"/>
  <c r="BD100" i="1"/>
  <c r="BH100" i="1"/>
  <c r="BG25" i="1"/>
  <c r="BH25" i="1"/>
  <c r="BD25" i="1"/>
  <c r="BF26" i="1" s="1"/>
  <c r="BG34" i="1"/>
  <c r="BH34" i="1"/>
  <c r="BD34" i="1"/>
  <c r="BT51" i="1"/>
  <c r="BS51" i="1"/>
  <c r="BU51" i="1" s="1"/>
  <c r="BD56" i="1"/>
  <c r="BG56" i="1"/>
  <c r="BH56" i="1"/>
  <c r="BT83" i="1"/>
  <c r="BP83" i="1"/>
  <c r="BT92" i="1"/>
  <c r="BS92" i="1"/>
  <c r="BU92" i="1" s="1"/>
  <c r="BX92" i="1" s="1"/>
  <c r="BP92" i="1"/>
  <c r="BG27" i="1"/>
  <c r="BD27" i="1"/>
  <c r="BH27" i="1"/>
  <c r="BF35" i="1"/>
  <c r="BT41" i="1"/>
  <c r="BS41" i="1"/>
  <c r="BU41" i="1" s="1"/>
  <c r="BP41" i="1"/>
  <c r="BI52" i="1"/>
  <c r="BH63" i="1"/>
  <c r="BG63" i="1"/>
  <c r="BI63" i="1" s="1"/>
  <c r="BT82" i="1"/>
  <c r="BD130" i="1"/>
  <c r="BH130" i="1"/>
  <c r="BG130" i="1"/>
  <c r="BI130" i="1" s="1"/>
  <c r="BD98" i="1"/>
  <c r="BG98" i="1"/>
  <c r="BI98" i="1" s="1"/>
  <c r="BX98" i="1" s="1"/>
  <c r="BH23" i="1"/>
  <c r="BG23" i="1"/>
  <c r="BT27" i="1"/>
  <c r="BS27" i="1"/>
  <c r="BU27" i="1" s="1"/>
  <c r="BI68" i="1"/>
  <c r="BT139" i="1"/>
  <c r="BP139" i="1"/>
  <c r="BS139" i="1"/>
  <c r="BU139" i="1" s="1"/>
  <c r="BT143" i="1"/>
  <c r="BP143" i="1"/>
  <c r="BS143" i="1"/>
  <c r="BU143" i="1" s="1"/>
  <c r="BD46" i="1"/>
  <c r="BH46" i="1"/>
  <c r="BG46" i="1"/>
  <c r="BI46" i="1" s="1"/>
  <c r="BX46" i="1" s="1"/>
  <c r="BU43" i="1"/>
  <c r="BI74" i="1"/>
  <c r="BX74" i="1" s="1"/>
  <c r="BF103" i="1"/>
  <c r="BP114" i="1"/>
  <c r="BT114" i="1"/>
  <c r="BS114" i="1"/>
  <c r="BU114" i="1" s="1"/>
  <c r="BG137" i="1"/>
  <c r="BD159" i="1"/>
  <c r="BH159" i="1"/>
  <c r="BG159" i="1"/>
  <c r="BI159" i="1" s="1"/>
  <c r="BX159" i="1" s="1"/>
  <c r="BF24" i="1"/>
  <c r="BR28" i="1"/>
  <c r="BR30" i="1"/>
  <c r="BF65" i="1"/>
  <c r="BF78" i="1"/>
  <c r="BH91" i="1"/>
  <c r="BG91" i="1"/>
  <c r="BI91" i="1" s="1"/>
  <c r="BD91" i="1"/>
  <c r="BS99" i="1"/>
  <c r="BU99" i="1" s="1"/>
  <c r="BG115" i="1"/>
  <c r="BH115" i="1"/>
  <c r="BR131" i="1"/>
  <c r="BT134" i="1"/>
  <c r="BU134" i="1" s="1"/>
  <c r="BH137" i="1"/>
  <c r="BH141" i="1"/>
  <c r="BG141" i="1"/>
  <c r="BI141" i="1" s="1"/>
  <c r="BT164" i="1"/>
  <c r="BU164" i="1" s="1"/>
  <c r="BF64" i="1"/>
  <c r="BR42" i="1"/>
  <c r="BS73" i="1"/>
  <c r="BU73" i="1" s="1"/>
  <c r="BP73" i="1"/>
  <c r="BR87" i="1"/>
  <c r="BP98" i="1"/>
  <c r="BT98" i="1"/>
  <c r="BS98" i="1"/>
  <c r="BU98" i="1" s="1"/>
  <c r="BH110" i="1"/>
  <c r="BG110" i="1"/>
  <c r="BI110" i="1" s="1"/>
  <c r="BS119" i="1"/>
  <c r="BU119" i="1" s="1"/>
  <c r="BP119" i="1"/>
  <c r="BG124" i="1"/>
  <c r="BI124" i="1" s="1"/>
  <c r="BX124" i="1" s="1"/>
  <c r="BD124" i="1"/>
  <c r="BT138" i="1"/>
  <c r="BS138" i="1"/>
  <c r="BU138" i="1" s="1"/>
  <c r="BP138" i="1"/>
  <c r="BH155" i="1"/>
  <c r="BG155" i="1"/>
  <c r="BI155" i="1" s="1"/>
  <c r="BD155" i="1"/>
  <c r="BH50" i="1"/>
  <c r="BG50" i="1"/>
  <c r="BI50" i="1" s="1"/>
  <c r="BX50" i="1" s="1"/>
  <c r="BF55" i="1"/>
  <c r="BG66" i="1"/>
  <c r="BI66" i="1" s="1"/>
  <c r="BF77" i="1"/>
  <c r="BG84" i="1"/>
  <c r="BI84" i="1" s="1"/>
  <c r="BH96" i="1"/>
  <c r="BI101" i="1"/>
  <c r="BS104" i="1"/>
  <c r="BU104" i="1" s="1"/>
  <c r="BH106" i="1"/>
  <c r="BG106" i="1"/>
  <c r="BI106" i="1" s="1"/>
  <c r="BD110" i="1"/>
  <c r="BP112" i="1"/>
  <c r="BS112" i="1"/>
  <c r="BT112" i="1"/>
  <c r="BF122" i="1"/>
  <c r="BH124" i="1"/>
  <c r="BG140" i="1"/>
  <c r="BI140" i="1" s="1"/>
  <c r="BT141" i="1"/>
  <c r="BS141" i="1"/>
  <c r="BT144" i="1"/>
  <c r="BS144" i="1"/>
  <c r="BU144" i="1" s="1"/>
  <c r="BT44" i="1"/>
  <c r="BS44" i="1"/>
  <c r="BU44" i="1" s="1"/>
  <c r="BD61" i="1"/>
  <c r="BH61" i="1"/>
  <c r="BH66" i="1"/>
  <c r="BD76" i="1"/>
  <c r="BH76" i="1"/>
  <c r="BG76" i="1"/>
  <c r="BI76" i="1" s="1"/>
  <c r="BD83" i="1"/>
  <c r="BG83" i="1"/>
  <c r="BI83" i="1" s="1"/>
  <c r="BX83" i="1" s="1"/>
  <c r="BP93" i="1"/>
  <c r="BS93" i="1"/>
  <c r="BU93" i="1" s="1"/>
  <c r="BT103" i="1"/>
  <c r="BS103" i="1"/>
  <c r="BD114" i="1"/>
  <c r="BG114" i="1"/>
  <c r="BI114" i="1" s="1"/>
  <c r="BH140" i="1"/>
  <c r="BT160" i="1"/>
  <c r="BP160" i="1"/>
  <c r="BR161" i="1" s="1"/>
  <c r="BD60" i="1"/>
  <c r="BG60" i="1"/>
  <c r="BI60" i="1" s="1"/>
  <c r="BX60" i="1" s="1"/>
  <c r="BH67" i="1"/>
  <c r="BG67" i="1"/>
  <c r="BI67" i="1" s="1"/>
  <c r="BG102" i="1"/>
  <c r="BI102" i="1" s="1"/>
  <c r="BX102" i="1" s="1"/>
  <c r="BH102" i="1"/>
  <c r="BD158" i="1"/>
  <c r="BG158" i="1"/>
  <c r="BI158" i="1" s="1"/>
  <c r="BH158" i="1"/>
  <c r="BT80" i="1"/>
  <c r="BS80" i="1"/>
  <c r="BU80" i="1" s="1"/>
  <c r="BG96" i="1"/>
  <c r="BP116" i="1"/>
  <c r="BT116" i="1"/>
  <c r="BU116" i="1" s="1"/>
  <c r="BH29" i="1"/>
  <c r="BG29" i="1"/>
  <c r="BI29" i="1" s="1"/>
  <c r="BX29" i="1" s="1"/>
  <c r="BP33" i="1"/>
  <c r="BT33" i="1"/>
  <c r="BS33" i="1"/>
  <c r="BH40" i="1"/>
  <c r="BG40" i="1"/>
  <c r="BI40" i="1" s="1"/>
  <c r="BH60" i="1"/>
  <c r="BG61" i="1"/>
  <c r="BP79" i="1"/>
  <c r="BT79" i="1"/>
  <c r="BH83" i="1"/>
  <c r="BP85" i="1"/>
  <c r="BT85" i="1"/>
  <c r="BT111" i="1"/>
  <c r="BP111" i="1"/>
  <c r="BU118" i="1"/>
  <c r="BH121" i="1"/>
  <c r="BG121" i="1"/>
  <c r="BS122" i="1"/>
  <c r="BT122" i="1"/>
  <c r="BG129" i="1"/>
  <c r="BI129" i="1" s="1"/>
  <c r="BD129" i="1"/>
  <c r="BH154" i="1"/>
  <c r="BG154" i="1"/>
  <c r="BI154" i="1" s="1"/>
  <c r="BD154" i="1"/>
  <c r="BS160" i="1"/>
  <c r="BU160" i="1" s="1"/>
  <c r="BG51" i="1"/>
  <c r="BI51" i="1" s="1"/>
  <c r="BR63" i="1"/>
  <c r="BP77" i="1"/>
  <c r="BS79" i="1"/>
  <c r="BU79" i="1" s="1"/>
  <c r="BS85" i="1"/>
  <c r="BU85" i="1" s="1"/>
  <c r="BT96" i="1"/>
  <c r="BS96" i="1"/>
  <c r="BU96" i="1" s="1"/>
  <c r="BP96" i="1"/>
  <c r="BG109" i="1"/>
  <c r="BS111" i="1"/>
  <c r="BT115" i="1"/>
  <c r="BS115" i="1"/>
  <c r="BU115" i="1" s="1"/>
  <c r="BF120" i="1"/>
  <c r="BG128" i="1"/>
  <c r="BH128" i="1"/>
  <c r="BD128" i="1"/>
  <c r="BP136" i="1"/>
  <c r="BT136" i="1"/>
  <c r="BU136" i="1" s="1"/>
  <c r="BG152" i="1"/>
  <c r="BI152" i="1" s="1"/>
  <c r="BD152" i="1"/>
  <c r="BH89" i="1"/>
  <c r="BG89" i="1"/>
  <c r="BT118" i="1"/>
  <c r="BP118" i="1"/>
  <c r="BP129" i="1"/>
  <c r="BT129" i="1"/>
  <c r="BS129" i="1"/>
  <c r="BU129" i="1" s="1"/>
  <c r="BG142" i="1"/>
  <c r="BD142" i="1"/>
  <c r="BF143" i="1" s="1"/>
  <c r="BH142" i="1"/>
  <c r="BG57" i="1"/>
  <c r="BI57" i="1" s="1"/>
  <c r="BX57" i="1" s="1"/>
  <c r="BG88" i="1"/>
  <c r="BI88" i="1" s="1"/>
  <c r="BH88" i="1"/>
  <c r="BF99" i="1"/>
  <c r="BR149" i="1"/>
  <c r="BH162" i="1"/>
  <c r="BG162" i="1"/>
  <c r="BI162" i="1" s="1"/>
  <c r="BD162" i="1"/>
  <c r="BF32" i="1"/>
  <c r="BH38" i="1"/>
  <c r="BR48" i="1"/>
  <c r="BP49" i="1"/>
  <c r="BR56" i="1"/>
  <c r="BH74" i="1"/>
  <c r="BG81" i="1"/>
  <c r="BI81" i="1" s="1"/>
  <c r="BR89" i="1"/>
  <c r="BD105" i="1"/>
  <c r="BH105" i="1"/>
  <c r="BG105" i="1"/>
  <c r="BI105" i="1" s="1"/>
  <c r="BX105" i="1" s="1"/>
  <c r="BT124" i="1"/>
  <c r="BG167" i="1"/>
  <c r="BH167" i="1"/>
  <c r="BH51" i="1"/>
  <c r="BH95" i="1"/>
  <c r="BG95" i="1"/>
  <c r="BI95" i="1" s="1"/>
  <c r="BH109" i="1"/>
  <c r="BH127" i="1"/>
  <c r="BG127" i="1"/>
  <c r="BI127" i="1" s="1"/>
  <c r="BX127" i="1" s="1"/>
  <c r="BD127" i="1"/>
  <c r="BI145" i="1"/>
  <c r="BT22" i="1"/>
  <c r="BS22" i="1"/>
  <c r="BU22" i="1" s="1"/>
  <c r="BG38" i="1"/>
  <c r="BF43" i="1"/>
  <c r="BP44" i="1"/>
  <c r="BS62" i="1"/>
  <c r="BU62" i="1" s="1"/>
  <c r="BP62" i="1"/>
  <c r="BT77" i="1"/>
  <c r="BU77" i="1" s="1"/>
  <c r="BS124" i="1"/>
  <c r="BU124" i="1" s="1"/>
  <c r="BR52" i="1"/>
  <c r="BH119" i="1"/>
  <c r="BG119" i="1"/>
  <c r="BI119" i="1" s="1"/>
  <c r="BD123" i="1"/>
  <c r="BG123" i="1"/>
  <c r="BI123" i="1" s="1"/>
  <c r="BP134" i="1"/>
  <c r="BD141" i="1"/>
  <c r="BR152" i="1"/>
  <c r="BG156" i="1"/>
  <c r="BD156" i="1"/>
  <c r="BH160" i="1"/>
  <c r="BG160" i="1"/>
  <c r="BI160" i="1" s="1"/>
  <c r="BX160" i="1" s="1"/>
  <c r="BD165" i="1"/>
  <c r="BG165" i="1"/>
  <c r="BH165" i="1"/>
  <c r="BR145" i="1"/>
  <c r="BG149" i="1"/>
  <c r="BI149" i="1" s="1"/>
  <c r="BH156" i="1"/>
  <c r="BF70" i="1"/>
  <c r="BH80" i="1"/>
  <c r="BG80" i="1"/>
  <c r="BI80" i="1" s="1"/>
  <c r="BH82" i="1"/>
  <c r="BG82" i="1"/>
  <c r="BI82" i="1" s="1"/>
  <c r="BU105" i="1"/>
  <c r="BH149" i="1"/>
  <c r="BF87" i="1"/>
  <c r="BF90" i="1"/>
  <c r="BT97" i="1"/>
  <c r="BS97" i="1"/>
  <c r="BU97" i="1" s="1"/>
  <c r="BP97" i="1"/>
  <c r="BH134" i="1"/>
  <c r="BG134" i="1"/>
  <c r="BI134" i="1" s="1"/>
  <c r="BD134" i="1"/>
  <c r="BH145" i="1"/>
  <c r="BT159" i="1"/>
  <c r="BS159" i="1"/>
  <c r="BU159" i="1" s="1"/>
  <c r="BF62" i="1"/>
  <c r="BF79" i="1"/>
  <c r="BR84" i="1"/>
  <c r="BF104" i="1"/>
  <c r="BS113" i="1"/>
  <c r="BU113" i="1" s="1"/>
  <c r="BS155" i="1"/>
  <c r="BU155" i="1" s="1"/>
  <c r="BG161" i="1"/>
  <c r="BH161" i="1"/>
  <c r="BR35" i="1"/>
  <c r="BF53" i="1"/>
  <c r="BF73" i="1"/>
  <c r="BR101" i="1"/>
  <c r="BT108" i="1"/>
  <c r="BS108" i="1"/>
  <c r="BU108" i="1" s="1"/>
  <c r="BP108" i="1"/>
  <c r="BS109" i="1"/>
  <c r="BS110" i="1"/>
  <c r="BG126" i="1"/>
  <c r="BI126" i="1" s="1"/>
  <c r="BR135" i="1"/>
  <c r="BG144" i="1"/>
  <c r="BI144" i="1" s="1"/>
  <c r="BS147" i="1"/>
  <c r="BU147" i="1" s="1"/>
  <c r="BG151" i="1"/>
  <c r="BI151" i="1" s="1"/>
  <c r="BR88" i="1"/>
  <c r="BT109" i="1"/>
  <c r="BT110" i="1"/>
  <c r="BG133" i="1"/>
  <c r="BH133" i="1"/>
  <c r="BD133" i="1"/>
  <c r="BP137" i="1"/>
  <c r="BH144" i="1"/>
  <c r="BT147" i="1"/>
  <c r="BH151" i="1"/>
  <c r="BR158" i="1"/>
  <c r="BD160" i="1"/>
  <c r="BT146" i="1"/>
  <c r="BU146" i="1" s="1"/>
  <c r="BP146" i="1"/>
  <c r="BI150" i="1"/>
  <c r="BG157" i="1"/>
  <c r="BI157" i="1" s="1"/>
  <c r="BD157" i="1"/>
  <c r="BF146" i="1"/>
  <c r="BF153" i="1"/>
  <c r="BG164" i="1"/>
  <c r="BH164" i="1"/>
  <c r="BR165" i="1"/>
  <c r="BF93" i="1"/>
  <c r="BF97" i="1"/>
  <c r="BR130" i="1"/>
  <c r="BF148" i="1"/>
  <c r="BR95" i="1"/>
  <c r="BS106" i="1"/>
  <c r="BU106" i="1" s="1"/>
  <c r="BG112" i="1"/>
  <c r="BI112" i="1" s="1"/>
  <c r="BR126" i="1"/>
  <c r="BG131" i="1"/>
  <c r="BI131" i="1" s="1"/>
  <c r="BT167" i="1"/>
  <c r="BS167" i="1"/>
  <c r="BU167" i="1" s="1"/>
  <c r="BP167" i="1"/>
  <c r="BF75" i="1"/>
  <c r="BF117" i="1"/>
  <c r="BR125" i="1"/>
  <c r="BG136" i="1"/>
  <c r="BI136" i="1" s="1"/>
  <c r="BD136" i="1"/>
  <c r="BI138" i="1"/>
  <c r="BX138" i="1" s="1"/>
  <c r="BR163" i="1"/>
  <c r="BF125" i="1"/>
  <c r="BR140" i="1"/>
  <c r="BR121" i="1"/>
  <c r="BF132" i="1"/>
  <c r="BG163" i="1"/>
  <c r="BF139" i="1"/>
  <c r="BR154" i="1"/>
  <c r="BH163" i="1"/>
  <c r="BF118" i="1"/>
  <c r="BR128" i="1"/>
  <c r="BR142" i="1"/>
  <c r="BR156" i="1"/>
  <c r="BH26" i="1" l="1"/>
  <c r="BG26" i="1"/>
  <c r="BD26" i="1"/>
  <c r="BP140" i="1"/>
  <c r="BT140" i="1"/>
  <c r="BS140" i="1"/>
  <c r="BU140" i="1" s="1"/>
  <c r="BX112" i="1"/>
  <c r="BS88" i="1"/>
  <c r="BP88" i="1"/>
  <c r="BT88" i="1"/>
  <c r="BP35" i="1"/>
  <c r="BR36" i="1" s="1"/>
  <c r="BT35" i="1"/>
  <c r="BS35" i="1"/>
  <c r="BU35" i="1" s="1"/>
  <c r="BX123" i="1"/>
  <c r="BI121" i="1"/>
  <c r="BU33" i="1"/>
  <c r="BU141" i="1"/>
  <c r="BD24" i="1"/>
  <c r="BH24" i="1"/>
  <c r="BG24" i="1"/>
  <c r="BI24" i="1" s="1"/>
  <c r="BX24" i="1" s="1"/>
  <c r="BI23" i="1"/>
  <c r="BG35" i="1"/>
  <c r="BI35" i="1" s="1"/>
  <c r="BX35" i="1" s="1"/>
  <c r="BD35" i="1"/>
  <c r="BH35" i="1"/>
  <c r="BP66" i="1"/>
  <c r="BR67" i="1" s="1"/>
  <c r="BT66" i="1"/>
  <c r="BS66" i="1"/>
  <c r="BU66" i="1" s="1"/>
  <c r="BS121" i="1"/>
  <c r="BP121" i="1"/>
  <c r="BT121" i="1"/>
  <c r="BD53" i="1"/>
  <c r="BH53" i="1"/>
  <c r="BG53" i="1"/>
  <c r="BI53" i="1" s="1"/>
  <c r="BP28" i="1"/>
  <c r="BT28" i="1"/>
  <c r="BS28" i="1"/>
  <c r="BI56" i="1"/>
  <c r="BH55" i="1"/>
  <c r="BG55" i="1"/>
  <c r="BI55" i="1" s="1"/>
  <c r="BX55" i="1" s="1"/>
  <c r="BD55" i="1"/>
  <c r="BU81" i="1"/>
  <c r="BX81" i="1" s="1"/>
  <c r="BP126" i="1"/>
  <c r="BS126" i="1"/>
  <c r="BU126" i="1" s="1"/>
  <c r="BT126" i="1"/>
  <c r="BV22" i="1"/>
  <c r="BV23" i="1" s="1"/>
  <c r="BV24" i="1" s="1"/>
  <c r="BV25" i="1" s="1"/>
  <c r="BV26" i="1" s="1"/>
  <c r="BV27" i="1" s="1"/>
  <c r="BX22" i="1"/>
  <c r="BG99" i="1"/>
  <c r="BH99" i="1"/>
  <c r="BD99" i="1"/>
  <c r="BX41" i="1"/>
  <c r="BX149" i="1"/>
  <c r="BT89" i="1"/>
  <c r="BP89" i="1"/>
  <c r="BR90" i="1" s="1"/>
  <c r="BS89" i="1"/>
  <c r="BU89" i="1" s="1"/>
  <c r="BT95" i="1"/>
  <c r="BS95" i="1"/>
  <c r="BU95" i="1" s="1"/>
  <c r="BX95" i="1" s="1"/>
  <c r="BP95" i="1"/>
  <c r="BI161" i="1"/>
  <c r="BX161" i="1" s="1"/>
  <c r="BX119" i="1"/>
  <c r="BX66" i="1"/>
  <c r="BX144" i="1"/>
  <c r="BT131" i="1"/>
  <c r="BS131" i="1"/>
  <c r="BU131" i="1" s="1"/>
  <c r="BP131" i="1"/>
  <c r="BH132" i="1"/>
  <c r="BG132" i="1"/>
  <c r="BI132" i="1" s="1"/>
  <c r="BX132" i="1" s="1"/>
  <c r="BD132" i="1"/>
  <c r="BT158" i="1"/>
  <c r="BS158" i="1"/>
  <c r="BU158" i="1" s="1"/>
  <c r="BP158" i="1"/>
  <c r="BG143" i="1"/>
  <c r="BD143" i="1"/>
  <c r="BH143" i="1"/>
  <c r="BH93" i="1"/>
  <c r="BD93" i="1"/>
  <c r="BG93" i="1"/>
  <c r="BI93" i="1" s="1"/>
  <c r="BX93" i="1" s="1"/>
  <c r="BU91" i="1"/>
  <c r="BU109" i="1"/>
  <c r="BH75" i="1"/>
  <c r="BG75" i="1"/>
  <c r="BI75" i="1" s="1"/>
  <c r="BD75" i="1"/>
  <c r="BX131" i="1"/>
  <c r="BH70" i="1"/>
  <c r="BG70" i="1"/>
  <c r="BI70" i="1" s="1"/>
  <c r="BD70" i="1"/>
  <c r="BS149" i="1"/>
  <c r="BU149" i="1" s="1"/>
  <c r="BP149" i="1"/>
  <c r="BR150" i="1" s="1"/>
  <c r="BT149" i="1"/>
  <c r="BT30" i="1"/>
  <c r="BS30" i="1"/>
  <c r="BU30" i="1" s="1"/>
  <c r="BX30" i="1" s="1"/>
  <c r="BP30" i="1"/>
  <c r="BX157" i="1"/>
  <c r="BX134" i="1"/>
  <c r="BU122" i="1"/>
  <c r="BX141" i="1"/>
  <c r="BH125" i="1"/>
  <c r="BD125" i="1"/>
  <c r="BG125" i="1"/>
  <c r="BG77" i="1"/>
  <c r="BI77" i="1" s="1"/>
  <c r="BX77" i="1" s="1"/>
  <c r="BD77" i="1"/>
  <c r="BH77" i="1"/>
  <c r="BS163" i="1"/>
  <c r="BP163" i="1"/>
  <c r="BT163" i="1"/>
  <c r="BT145" i="1"/>
  <c r="BS145" i="1"/>
  <c r="BU145" i="1" s="1"/>
  <c r="BX145" i="1" s="1"/>
  <c r="BP145" i="1"/>
  <c r="BX140" i="1"/>
  <c r="BH148" i="1"/>
  <c r="BG148" i="1"/>
  <c r="BI148" i="1" s="1"/>
  <c r="BX148" i="1" s="1"/>
  <c r="BD148" i="1"/>
  <c r="BS156" i="1"/>
  <c r="BP156" i="1"/>
  <c r="BT156" i="1"/>
  <c r="BT130" i="1"/>
  <c r="BS130" i="1"/>
  <c r="BU130" i="1" s="1"/>
  <c r="BP130" i="1"/>
  <c r="BS135" i="1"/>
  <c r="BP135" i="1"/>
  <c r="BT135" i="1"/>
  <c r="BI165" i="1"/>
  <c r="BT52" i="1"/>
  <c r="BS52" i="1"/>
  <c r="BU52" i="1" s="1"/>
  <c r="BX52" i="1" s="1"/>
  <c r="BP52" i="1"/>
  <c r="BR53" i="1" s="1"/>
  <c r="BS56" i="1"/>
  <c r="BT56" i="1"/>
  <c r="BP56" i="1"/>
  <c r="BS63" i="1"/>
  <c r="BT63" i="1"/>
  <c r="BP63" i="1"/>
  <c r="BG122" i="1"/>
  <c r="BI122" i="1" s="1"/>
  <c r="BX122" i="1" s="1"/>
  <c r="BH122" i="1"/>
  <c r="BD122" i="1"/>
  <c r="BX130" i="1"/>
  <c r="BP45" i="1"/>
  <c r="BS45" i="1"/>
  <c r="BT45" i="1"/>
  <c r="BX58" i="1"/>
  <c r="BS142" i="1"/>
  <c r="BP142" i="1"/>
  <c r="BT142" i="1"/>
  <c r="BX136" i="1"/>
  <c r="BX126" i="1"/>
  <c r="BD104" i="1"/>
  <c r="BG104" i="1"/>
  <c r="BI104" i="1" s="1"/>
  <c r="BX104" i="1" s="1"/>
  <c r="BH104" i="1"/>
  <c r="BG87" i="1"/>
  <c r="BI87" i="1" s="1"/>
  <c r="BD87" i="1"/>
  <c r="BH87" i="1"/>
  <c r="BI142" i="1"/>
  <c r="BI128" i="1"/>
  <c r="BX51" i="1"/>
  <c r="BI115" i="1"/>
  <c r="BX115" i="1" s="1"/>
  <c r="BI137" i="1"/>
  <c r="BX137" i="1" s="1"/>
  <c r="BI27" i="1"/>
  <c r="BX27" i="1" s="1"/>
  <c r="BI34" i="1"/>
  <c r="BX34" i="1" s="1"/>
  <c r="BI113" i="1"/>
  <c r="BX113" i="1" s="1"/>
  <c r="BS75" i="1"/>
  <c r="BU75" i="1" s="1"/>
  <c r="BP75" i="1"/>
  <c r="BR76" i="1" s="1"/>
  <c r="BT75" i="1"/>
  <c r="BS128" i="1"/>
  <c r="BU128" i="1" s="1"/>
  <c r="BP128" i="1"/>
  <c r="BT128" i="1"/>
  <c r="BT125" i="1"/>
  <c r="BP125" i="1"/>
  <c r="BS125" i="1"/>
  <c r="BU110" i="1"/>
  <c r="BX110" i="1" s="1"/>
  <c r="BP84" i="1"/>
  <c r="BS84" i="1"/>
  <c r="BT84" i="1"/>
  <c r="BS48" i="1"/>
  <c r="BU48" i="1" s="1"/>
  <c r="BX48" i="1" s="1"/>
  <c r="BP48" i="1"/>
  <c r="BT48" i="1"/>
  <c r="BH120" i="1"/>
  <c r="BG120" i="1"/>
  <c r="BD120" i="1"/>
  <c r="BP161" i="1"/>
  <c r="BR162" i="1" s="1"/>
  <c r="BT161" i="1"/>
  <c r="BS161" i="1"/>
  <c r="BU161" i="1" s="1"/>
  <c r="BU112" i="1"/>
  <c r="BX111" i="1"/>
  <c r="BI147" i="1"/>
  <c r="BX147" i="1" s="1"/>
  <c r="BI94" i="1"/>
  <c r="BX94" i="1" s="1"/>
  <c r="BI42" i="1"/>
  <c r="BD118" i="1"/>
  <c r="BH118" i="1"/>
  <c r="BG118" i="1"/>
  <c r="BI118" i="1" s="1"/>
  <c r="BX118" i="1" s="1"/>
  <c r="BH117" i="1"/>
  <c r="BG117" i="1"/>
  <c r="BD117" i="1"/>
  <c r="BT165" i="1"/>
  <c r="BS165" i="1"/>
  <c r="BP165" i="1"/>
  <c r="BG79" i="1"/>
  <c r="BH79" i="1"/>
  <c r="BD79" i="1"/>
  <c r="BI96" i="1"/>
  <c r="BX96" i="1" s="1"/>
  <c r="BX155" i="1"/>
  <c r="BS87" i="1"/>
  <c r="BU87" i="1" s="1"/>
  <c r="BT87" i="1"/>
  <c r="BP87" i="1"/>
  <c r="BI166" i="1"/>
  <c r="BX166" i="1" s="1"/>
  <c r="BH62" i="1"/>
  <c r="BG62" i="1"/>
  <c r="BI62" i="1" s="1"/>
  <c r="BX62" i="1" s="1"/>
  <c r="BD62" i="1"/>
  <c r="BG32" i="1"/>
  <c r="BD32" i="1"/>
  <c r="BH32" i="1"/>
  <c r="BX154" i="1"/>
  <c r="BX91" i="1"/>
  <c r="BI25" i="1"/>
  <c r="BX25" i="1" s="1"/>
  <c r="BX33" i="1"/>
  <c r="BP154" i="1"/>
  <c r="BT154" i="1"/>
  <c r="BS154" i="1"/>
  <c r="BU154" i="1" s="1"/>
  <c r="BI164" i="1"/>
  <c r="BX164" i="1" s="1"/>
  <c r="BI156" i="1"/>
  <c r="BU111" i="1"/>
  <c r="BX114" i="1"/>
  <c r="BX106" i="1"/>
  <c r="BD73" i="1"/>
  <c r="BG73" i="1"/>
  <c r="BH73" i="1"/>
  <c r="BX158" i="1"/>
  <c r="BG90" i="1"/>
  <c r="BD90" i="1"/>
  <c r="BH90" i="1"/>
  <c r="BD97" i="1"/>
  <c r="BH97" i="1"/>
  <c r="BG97" i="1"/>
  <c r="BI97" i="1" s="1"/>
  <c r="BX97" i="1" s="1"/>
  <c r="BI108" i="1"/>
  <c r="BX108" i="1" s="1"/>
  <c r="BD139" i="1"/>
  <c r="BH139" i="1"/>
  <c r="BG139" i="1"/>
  <c r="BI139" i="1" s="1"/>
  <c r="BX139" i="1" s="1"/>
  <c r="BD153" i="1"/>
  <c r="BH153" i="1"/>
  <c r="BG153" i="1"/>
  <c r="BI153" i="1" s="1"/>
  <c r="BX80" i="1"/>
  <c r="BS152" i="1"/>
  <c r="BP152" i="1"/>
  <c r="BR153" i="1" s="1"/>
  <c r="BT152" i="1"/>
  <c r="BH43" i="1"/>
  <c r="BG43" i="1"/>
  <c r="BI43" i="1" s="1"/>
  <c r="BX43" i="1" s="1"/>
  <c r="BD43" i="1"/>
  <c r="BI167" i="1"/>
  <c r="BX167" i="1" s="1"/>
  <c r="BI109" i="1"/>
  <c r="BI61" i="1"/>
  <c r="BX61" i="1" s="1"/>
  <c r="BP42" i="1"/>
  <c r="BT42" i="1"/>
  <c r="BS42" i="1"/>
  <c r="BU42" i="1" s="1"/>
  <c r="BD78" i="1"/>
  <c r="BH78" i="1"/>
  <c r="BG78" i="1"/>
  <c r="BI78" i="1" s="1"/>
  <c r="BX78" i="1" s="1"/>
  <c r="BH103" i="1"/>
  <c r="BG103" i="1"/>
  <c r="BD103" i="1"/>
  <c r="BU82" i="1"/>
  <c r="BX82" i="1" s="1"/>
  <c r="BI116" i="1"/>
  <c r="BX116" i="1" s="1"/>
  <c r="BU157" i="1"/>
  <c r="BI163" i="1"/>
  <c r="BD146" i="1"/>
  <c r="BG146" i="1"/>
  <c r="BH146" i="1"/>
  <c r="BI133" i="1"/>
  <c r="BX133" i="1" s="1"/>
  <c r="BS101" i="1"/>
  <c r="BT101" i="1"/>
  <c r="BP101" i="1"/>
  <c r="BI38" i="1"/>
  <c r="BI89" i="1"/>
  <c r="BX129" i="1"/>
  <c r="BU103" i="1"/>
  <c r="BH64" i="1"/>
  <c r="BG64" i="1"/>
  <c r="BI64" i="1" s="1"/>
  <c r="BX64" i="1" s="1"/>
  <c r="BD64" i="1"/>
  <c r="BD65" i="1"/>
  <c r="BH65" i="1"/>
  <c r="BG65" i="1"/>
  <c r="BI65" i="1" s="1"/>
  <c r="BX65" i="1" s="1"/>
  <c r="BI100" i="1"/>
  <c r="BX100" i="1" s="1"/>
  <c r="BU132" i="1"/>
  <c r="BI44" i="1"/>
  <c r="BX44" i="1" s="1"/>
  <c r="BD71" i="1"/>
  <c r="BF72" i="1" s="1"/>
  <c r="BH71" i="1"/>
  <c r="BG71" i="1"/>
  <c r="BI71" i="1" s="1"/>
  <c r="BX71" i="1" s="1"/>
  <c r="BT67" i="1" l="1"/>
  <c r="BS67" i="1"/>
  <c r="BU67" i="1" s="1"/>
  <c r="BX67" i="1" s="1"/>
  <c r="BP67" i="1"/>
  <c r="BR68" i="1" s="1"/>
  <c r="BT153" i="1"/>
  <c r="BP153" i="1"/>
  <c r="BS153" i="1"/>
  <c r="BU153" i="1" s="1"/>
  <c r="BX87" i="1"/>
  <c r="BI99" i="1"/>
  <c r="BX99" i="1" s="1"/>
  <c r="BX56" i="1"/>
  <c r="BU101" i="1"/>
  <c r="BX101" i="1" s="1"/>
  <c r="BU152" i="1"/>
  <c r="BX152" i="1" s="1"/>
  <c r="BI90" i="1"/>
  <c r="BX90" i="1" s="1"/>
  <c r="BP76" i="1"/>
  <c r="BS76" i="1"/>
  <c r="BT76" i="1"/>
  <c r="BU135" i="1"/>
  <c r="BX135" i="1" s="1"/>
  <c r="BU28" i="1"/>
  <c r="BT36" i="1"/>
  <c r="BS36" i="1"/>
  <c r="BU36" i="1" s="1"/>
  <c r="BX36" i="1" s="1"/>
  <c r="BP36" i="1"/>
  <c r="BR37" i="1" s="1"/>
  <c r="BX153" i="1"/>
  <c r="BX75" i="1"/>
  <c r="BX23" i="1"/>
  <c r="BU84" i="1"/>
  <c r="BX84" i="1" s="1"/>
  <c r="BU163" i="1"/>
  <c r="BX163" i="1" s="1"/>
  <c r="BI32" i="1"/>
  <c r="BX32" i="1" s="1"/>
  <c r="BU125" i="1"/>
  <c r="BU142" i="1"/>
  <c r="BU56" i="1"/>
  <c r="BY22" i="1"/>
  <c r="BI73" i="1"/>
  <c r="BX73" i="1" s="1"/>
  <c r="BU88" i="1"/>
  <c r="BX88" i="1" s="1"/>
  <c r="BU165" i="1"/>
  <c r="BX165" i="1" s="1"/>
  <c r="BP53" i="1"/>
  <c r="BR54" i="1" s="1"/>
  <c r="BT53" i="1"/>
  <c r="BS53" i="1"/>
  <c r="BU53" i="1" s="1"/>
  <c r="BX53" i="1" s="1"/>
  <c r="BU121" i="1"/>
  <c r="BV28" i="1"/>
  <c r="BV29" i="1" s="1"/>
  <c r="BV30" i="1" s="1"/>
  <c r="BV31" i="1" s="1"/>
  <c r="BV32" i="1" s="1"/>
  <c r="BV33" i="1" s="1"/>
  <c r="BV34" i="1" s="1"/>
  <c r="BV35" i="1" s="1"/>
  <c r="BV36" i="1" s="1"/>
  <c r="BP162" i="1"/>
  <c r="BT162" i="1"/>
  <c r="BS162" i="1"/>
  <c r="BU162" i="1" s="1"/>
  <c r="BX162" i="1" s="1"/>
  <c r="BX128" i="1"/>
  <c r="BS150" i="1"/>
  <c r="BT150" i="1"/>
  <c r="BP150" i="1"/>
  <c r="BR151" i="1" s="1"/>
  <c r="BJ23" i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X121" i="1"/>
  <c r="BX142" i="1"/>
  <c r="BU45" i="1"/>
  <c r="BX45" i="1" s="1"/>
  <c r="BI26" i="1"/>
  <c r="BX26" i="1" s="1"/>
  <c r="BI146" i="1"/>
  <c r="BX146" i="1" s="1"/>
  <c r="BX42" i="1"/>
  <c r="BU63" i="1"/>
  <c r="BX63" i="1" s="1"/>
  <c r="BT90" i="1"/>
  <c r="BP90" i="1"/>
  <c r="BS90" i="1"/>
  <c r="BU90" i="1" s="1"/>
  <c r="BX109" i="1"/>
  <c r="BI79" i="1"/>
  <c r="BX79" i="1" s="1"/>
  <c r="BU156" i="1"/>
  <c r="BX156" i="1" s="1"/>
  <c r="BX89" i="1"/>
  <c r="BG72" i="1"/>
  <c r="BI72" i="1" s="1"/>
  <c r="BX72" i="1" s="1"/>
  <c r="BD72" i="1"/>
  <c r="BH72" i="1"/>
  <c r="BI103" i="1"/>
  <c r="BX103" i="1" s="1"/>
  <c r="BI117" i="1"/>
  <c r="BX117" i="1" s="1"/>
  <c r="BI120" i="1"/>
  <c r="BX120" i="1" s="1"/>
  <c r="BI125" i="1"/>
  <c r="BX125" i="1" s="1"/>
  <c r="BI143" i="1"/>
  <c r="BX143" i="1" s="1"/>
  <c r="BJ9" i="1" l="1"/>
  <c r="BJ10" i="1"/>
  <c r="BU150" i="1"/>
  <c r="BX150" i="1" s="1"/>
  <c r="BY23" i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J72" i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T151" i="1"/>
  <c r="BS151" i="1"/>
  <c r="BP151" i="1"/>
  <c r="BT37" i="1"/>
  <c r="BS37" i="1"/>
  <c r="BU37" i="1" s="1"/>
  <c r="BX37" i="1" s="1"/>
  <c r="BP37" i="1"/>
  <c r="BR38" i="1" s="1"/>
  <c r="BX28" i="1"/>
  <c r="BT68" i="1"/>
  <c r="BS68" i="1"/>
  <c r="BP68" i="1"/>
  <c r="BR69" i="1" s="1"/>
  <c r="BP54" i="1"/>
  <c r="BS54" i="1"/>
  <c r="BT54" i="1"/>
  <c r="BU76" i="1"/>
  <c r="BX76" i="1" s="1"/>
  <c r="BU151" i="1" l="1"/>
  <c r="BX151" i="1" s="1"/>
  <c r="BT38" i="1"/>
  <c r="BS38" i="1"/>
  <c r="BP38" i="1"/>
  <c r="BR39" i="1" s="1"/>
  <c r="BV37" i="1"/>
  <c r="BU54" i="1"/>
  <c r="BX54" i="1" s="1"/>
  <c r="BY37" i="1"/>
  <c r="BP69" i="1"/>
  <c r="BR70" i="1" s="1"/>
  <c r="BT69" i="1"/>
  <c r="BS69" i="1"/>
  <c r="BU69" i="1" s="1"/>
  <c r="BX69" i="1" s="1"/>
  <c r="BU68" i="1"/>
  <c r="BX68" i="1" s="1"/>
  <c r="BJ11" i="1"/>
  <c r="BT70" i="1" l="1"/>
  <c r="BS70" i="1"/>
  <c r="BU70" i="1" s="1"/>
  <c r="BX70" i="1" s="1"/>
  <c r="BP70" i="1"/>
  <c r="BP39" i="1"/>
  <c r="BR40" i="1" s="1"/>
  <c r="BT39" i="1"/>
  <c r="BS39" i="1"/>
  <c r="BU39" i="1" s="1"/>
  <c r="BX39" i="1" s="1"/>
  <c r="BU38" i="1"/>
  <c r="BV38" i="1"/>
  <c r="BV39" i="1" s="1"/>
  <c r="BX38" i="1" l="1"/>
  <c r="BP40" i="1"/>
  <c r="BT40" i="1"/>
  <c r="BS40" i="1"/>
  <c r="BU40" i="1" s="1"/>
  <c r="BX40" i="1" s="1"/>
  <c r="BY9" i="1"/>
  <c r="BV9" i="1" l="1"/>
  <c r="BV11" i="1" s="1"/>
  <c r="BV10" i="1"/>
  <c r="BY10" i="1"/>
  <c r="BY11" i="1" s="1"/>
  <c r="BY38" i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V40" i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</calcChain>
</file>

<file path=xl/sharedStrings.xml><?xml version="1.0" encoding="utf-8"?>
<sst xmlns="http://schemas.openxmlformats.org/spreadsheetml/2006/main" count="53" uniqueCount="42">
  <si>
    <t>date</t>
  </si>
  <si>
    <t>XLK</t>
  </si>
  <si>
    <t>IYW</t>
  </si>
  <si>
    <t>XLK log rtn</t>
  </si>
  <si>
    <t>IYW log rtn</t>
  </si>
  <si>
    <t>XLK div</t>
  </si>
  <si>
    <t>XLK div cumsum</t>
  </si>
  <si>
    <t>IYW div</t>
  </si>
  <si>
    <t>IYW div cumsum</t>
  </si>
  <si>
    <t>XLK div adjustment</t>
  </si>
  <si>
    <t>IYW div adjustment</t>
  </si>
  <si>
    <t>XLK*</t>
  </si>
  <si>
    <t>IYW*</t>
  </si>
  <si>
    <t>IYW/XLK</t>
  </si>
  <si>
    <t>IYW/XLK avg</t>
  </si>
  <si>
    <t>IYW/XLK 10 dma</t>
  </si>
  <si>
    <t>IYW/XLK 20 dma</t>
  </si>
  <si>
    <t>XLK x avg</t>
  </si>
  <si>
    <t>XLK x 10 dma</t>
  </si>
  <si>
    <t>XLK x 20 dma</t>
  </si>
  <si>
    <t>log diff XLK x avg / IYW</t>
  </si>
  <si>
    <t>log diff XLK x 10 dma / IYW</t>
  </si>
  <si>
    <t>log diff XLK x 20 dma / IYW</t>
  </si>
  <si>
    <t>IYW*/XLK*</t>
  </si>
  <si>
    <t>IYW*/XLK* avg</t>
  </si>
  <si>
    <t>IYW*/XLK* 10 dma</t>
  </si>
  <si>
    <t>IYW*/XLK* 20 dma</t>
  </si>
  <si>
    <t>XLK* x avg</t>
  </si>
  <si>
    <t>XLK* x 10 dma</t>
  </si>
  <si>
    <t>XLK* x 20 dma</t>
  </si>
  <si>
    <t>log diff XLK* x avg / IYW*</t>
  </si>
  <si>
    <t>log diff XLK* x 10 dma / IYW*</t>
  </si>
  <si>
    <t>log diff XLK* x 20 dma / IYW*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</si>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</sst>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XLK_IYW_2!$O$1</c:f>
              <c:strCache>
                <c:ptCount val="1"/>
                <c:pt idx="0">
                  <c:v> IYW/XLK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XLK_IYW_2!$O$2:$O$167</c:f>
              <c:numCache>
                <c:formatCode>_(* #,##0.0000_);_(* \(#,##0.0000\);_(* "-"??_);_(@_)</c:formatCode>
                <c:ptCount val="166"/>
                <c:pt idx="0">
                  <c:v>1.35656065472774</c:v>
                </c:pt>
                <c:pt idx="1">
                  <c:v>1.35656065472774</c:v>
                </c:pt>
                <c:pt idx="2">
                  <c:v>1.35656065472774</c:v>
                </c:pt>
                <c:pt idx="3">
                  <c:v>1.35656065472774</c:v>
                </c:pt>
                <c:pt idx="4">
                  <c:v>1.35656065472774</c:v>
                </c:pt>
                <c:pt idx="5">
                  <c:v>1.35656065472774</c:v>
                </c:pt>
                <c:pt idx="6">
                  <c:v>1.35656065472774</c:v>
                </c:pt>
                <c:pt idx="7">
                  <c:v>1.35656065472774</c:v>
                </c:pt>
                <c:pt idx="8">
                  <c:v>1.35656065472774</c:v>
                </c:pt>
                <c:pt idx="9">
                  <c:v>1.35656065472774</c:v>
                </c:pt>
                <c:pt idx="10">
                  <c:v>1.35656065472774</c:v>
                </c:pt>
                <c:pt idx="11">
                  <c:v>1.35656065472774</c:v>
                </c:pt>
                <c:pt idx="12">
                  <c:v>1.35656065472774</c:v>
                </c:pt>
                <c:pt idx="13">
                  <c:v>1.35656065472774</c:v>
                </c:pt>
                <c:pt idx="14">
                  <c:v>1.35656065472774</c:v>
                </c:pt>
                <c:pt idx="15">
                  <c:v>1.35656065472774</c:v>
                </c:pt>
                <c:pt idx="16">
                  <c:v>1.35656065472774</c:v>
                </c:pt>
                <c:pt idx="17">
                  <c:v>1.35656065472774</c:v>
                </c:pt>
                <c:pt idx="18">
                  <c:v>1.35656065472774</c:v>
                </c:pt>
                <c:pt idx="19">
                  <c:v>1.35656065472774</c:v>
                </c:pt>
                <c:pt idx="20">
                  <c:v>1.35656065472774</c:v>
                </c:pt>
                <c:pt idx="21">
                  <c:v>1.35656065472774</c:v>
                </c:pt>
                <c:pt idx="22">
                  <c:v>1.35656065472774</c:v>
                </c:pt>
                <c:pt idx="23">
                  <c:v>1.35656065472774</c:v>
                </c:pt>
                <c:pt idx="24">
                  <c:v>1.35656065472774</c:v>
                </c:pt>
                <c:pt idx="25">
                  <c:v>1.35656065472774</c:v>
                </c:pt>
                <c:pt idx="26">
                  <c:v>1.35656065472774</c:v>
                </c:pt>
                <c:pt idx="27">
                  <c:v>1.35656065472774</c:v>
                </c:pt>
                <c:pt idx="28">
                  <c:v>1.35656065472774</c:v>
                </c:pt>
                <c:pt idx="29">
                  <c:v>1.35656065472774</c:v>
                </c:pt>
                <c:pt idx="30">
                  <c:v>1.35656065472774</c:v>
                </c:pt>
                <c:pt idx="31">
                  <c:v>1.35656065472774</c:v>
                </c:pt>
                <c:pt idx="32">
                  <c:v>1.35656065472774</c:v>
                </c:pt>
                <c:pt idx="33">
                  <c:v>1.35656065472774</c:v>
                </c:pt>
                <c:pt idx="34">
                  <c:v>1.35656065472774</c:v>
                </c:pt>
                <c:pt idx="35">
                  <c:v>1.35656065472774</c:v>
                </c:pt>
                <c:pt idx="36">
                  <c:v>1.35656065472774</c:v>
                </c:pt>
                <c:pt idx="37">
                  <c:v>1.35656065472774</c:v>
                </c:pt>
                <c:pt idx="38">
                  <c:v>1.35656065472774</c:v>
                </c:pt>
                <c:pt idx="39">
                  <c:v>1.35656065472774</c:v>
                </c:pt>
                <c:pt idx="40">
                  <c:v>1.35656065472774</c:v>
                </c:pt>
                <c:pt idx="41">
                  <c:v>1.35656065472774</c:v>
                </c:pt>
                <c:pt idx="42">
                  <c:v>1.35656065472774</c:v>
                </c:pt>
                <c:pt idx="43">
                  <c:v>1.35656065472774</c:v>
                </c:pt>
                <c:pt idx="44">
                  <c:v>1.35656065472774</c:v>
                </c:pt>
                <c:pt idx="45">
                  <c:v>1.35656065472774</c:v>
                </c:pt>
                <c:pt idx="46">
                  <c:v>1.35656065472774</c:v>
                </c:pt>
                <c:pt idx="47">
                  <c:v>1.35656065472774</c:v>
                </c:pt>
                <c:pt idx="48">
                  <c:v>1.35656065472774</c:v>
                </c:pt>
                <c:pt idx="49">
                  <c:v>1.35656065472774</c:v>
                </c:pt>
                <c:pt idx="50">
                  <c:v>1.35656065472774</c:v>
                </c:pt>
                <c:pt idx="51">
                  <c:v>1.35656065472774</c:v>
                </c:pt>
                <c:pt idx="52">
                  <c:v>1.35656065472774</c:v>
                </c:pt>
                <c:pt idx="53">
                  <c:v>1.35656065472774</c:v>
                </c:pt>
                <c:pt idx="54">
                  <c:v>1.35656065472774</c:v>
                </c:pt>
                <c:pt idx="55">
                  <c:v>1.35656065472774</c:v>
                </c:pt>
                <c:pt idx="56">
                  <c:v>1.35656065472774</c:v>
                </c:pt>
                <c:pt idx="57">
                  <c:v>1.35656065472774</c:v>
                </c:pt>
                <c:pt idx="58">
                  <c:v>1.35656065472774</c:v>
                </c:pt>
                <c:pt idx="59">
                  <c:v>1.35656065472774</c:v>
                </c:pt>
                <c:pt idx="60">
                  <c:v>1.35656065472774</c:v>
                </c:pt>
                <c:pt idx="61">
                  <c:v>1.35656065472774</c:v>
                </c:pt>
                <c:pt idx="62">
                  <c:v>1.35656065472774</c:v>
                </c:pt>
                <c:pt idx="63">
                  <c:v>1.35656065472774</c:v>
                </c:pt>
                <c:pt idx="64">
                  <c:v>1.35656065472774</c:v>
                </c:pt>
                <c:pt idx="65">
                  <c:v>1.35656065472774</c:v>
                </c:pt>
                <c:pt idx="66">
                  <c:v>1.35656065472774</c:v>
                </c:pt>
                <c:pt idx="67">
                  <c:v>1.35656065472774</c:v>
                </c:pt>
                <c:pt idx="68">
                  <c:v>1.35656065472774</c:v>
                </c:pt>
                <c:pt idx="69">
                  <c:v>1.35656065472774</c:v>
                </c:pt>
                <c:pt idx="70">
                  <c:v>1.35656065472774</c:v>
                </c:pt>
                <c:pt idx="71">
                  <c:v>1.35656065472774</c:v>
                </c:pt>
                <c:pt idx="72">
                  <c:v>1.35656065472774</c:v>
                </c:pt>
                <c:pt idx="73">
                  <c:v>1.35656065472774</c:v>
                </c:pt>
                <c:pt idx="74">
                  <c:v>1.35656065472774</c:v>
                </c:pt>
                <c:pt idx="75">
                  <c:v>1.35656065472774</c:v>
                </c:pt>
                <c:pt idx="76">
                  <c:v>1.35656065472774</c:v>
                </c:pt>
                <c:pt idx="77">
                  <c:v>1.35656065472774</c:v>
                </c:pt>
                <c:pt idx="78">
                  <c:v>1.35656065472774</c:v>
                </c:pt>
                <c:pt idx="79">
                  <c:v>1.35656065472774</c:v>
                </c:pt>
                <c:pt idx="80">
                  <c:v>1.35656065472774</c:v>
                </c:pt>
                <c:pt idx="81">
                  <c:v>1.35656065472774</c:v>
                </c:pt>
                <c:pt idx="82">
                  <c:v>1.35656065472774</c:v>
                </c:pt>
                <c:pt idx="83">
                  <c:v>1.35656065472774</c:v>
                </c:pt>
                <c:pt idx="84">
                  <c:v>1.35656065472774</c:v>
                </c:pt>
                <c:pt idx="85">
                  <c:v>1.35656065472774</c:v>
                </c:pt>
                <c:pt idx="86">
                  <c:v>1.35656065472774</c:v>
                </c:pt>
                <c:pt idx="87">
                  <c:v>1.35656065472774</c:v>
                </c:pt>
                <c:pt idx="88">
                  <c:v>1.35656065472774</c:v>
                </c:pt>
                <c:pt idx="89">
                  <c:v>1.35656065472774</c:v>
                </c:pt>
                <c:pt idx="90">
                  <c:v>1.35656065472774</c:v>
                </c:pt>
                <c:pt idx="91">
                  <c:v>1.35656065472774</c:v>
                </c:pt>
                <c:pt idx="92">
                  <c:v>1.35656065472774</c:v>
                </c:pt>
                <c:pt idx="93">
                  <c:v>1.35656065472774</c:v>
                </c:pt>
                <c:pt idx="94">
                  <c:v>1.35656065472774</c:v>
                </c:pt>
                <c:pt idx="95">
                  <c:v>1.35656065472774</c:v>
                </c:pt>
                <c:pt idx="96">
                  <c:v>1.35656065472774</c:v>
                </c:pt>
                <c:pt idx="97">
                  <c:v>1.35656065472774</c:v>
                </c:pt>
                <c:pt idx="98">
                  <c:v>1.35656065472774</c:v>
                </c:pt>
                <c:pt idx="99">
                  <c:v>1.35656065472774</c:v>
                </c:pt>
                <c:pt idx="100">
                  <c:v>1.35656065472774</c:v>
                </c:pt>
                <c:pt idx="101">
                  <c:v>1.35656065472774</c:v>
                </c:pt>
                <c:pt idx="102">
                  <c:v>1.35656065472774</c:v>
                </c:pt>
                <c:pt idx="103">
                  <c:v>1.35656065472774</c:v>
                </c:pt>
                <c:pt idx="104">
                  <c:v>1.35656065472774</c:v>
                </c:pt>
                <c:pt idx="105">
                  <c:v>1.35656065472774</c:v>
                </c:pt>
                <c:pt idx="106">
                  <c:v>1.35656065472774</c:v>
                </c:pt>
                <c:pt idx="107">
                  <c:v>1.35656065472774</c:v>
                </c:pt>
                <c:pt idx="108">
                  <c:v>1.35656065472774</c:v>
                </c:pt>
                <c:pt idx="109">
                  <c:v>1.35656065472774</c:v>
                </c:pt>
                <c:pt idx="110">
                  <c:v>1.35656065472774</c:v>
                </c:pt>
                <c:pt idx="111">
                  <c:v>1.35656065472774</c:v>
                </c:pt>
                <c:pt idx="112">
                  <c:v>1.35656065472774</c:v>
                </c:pt>
                <c:pt idx="113">
                  <c:v>1.35656065472774</c:v>
                </c:pt>
                <c:pt idx="114">
                  <c:v>1.35656065472774</c:v>
                </c:pt>
                <c:pt idx="115">
                  <c:v>1.35656065472774</c:v>
                </c:pt>
                <c:pt idx="116">
                  <c:v>1.35656065472774</c:v>
                </c:pt>
                <c:pt idx="117">
                  <c:v>1.35656065472774</c:v>
                </c:pt>
                <c:pt idx="118">
                  <c:v>1.35656065472774</c:v>
                </c:pt>
                <c:pt idx="119">
                  <c:v>1.35656065472774</c:v>
                </c:pt>
                <c:pt idx="120">
                  <c:v>1.35656065472774</c:v>
                </c:pt>
                <c:pt idx="121">
                  <c:v>1.35656065472774</c:v>
                </c:pt>
                <c:pt idx="122">
                  <c:v>1.35656065472774</c:v>
                </c:pt>
                <c:pt idx="123">
                  <c:v>1.35656065472774</c:v>
                </c:pt>
                <c:pt idx="124">
                  <c:v>1.35656065472774</c:v>
                </c:pt>
                <c:pt idx="125">
                  <c:v>1.35656065472774</c:v>
                </c:pt>
                <c:pt idx="126">
                  <c:v>1.35656065472774</c:v>
                </c:pt>
                <c:pt idx="127">
                  <c:v>1.35656065472774</c:v>
                </c:pt>
                <c:pt idx="128">
                  <c:v>1.35656065472774</c:v>
                </c:pt>
                <c:pt idx="129">
                  <c:v>1.35656065472774</c:v>
                </c:pt>
                <c:pt idx="130">
                  <c:v>1.35656065472774</c:v>
                </c:pt>
                <c:pt idx="131">
                  <c:v>1.35656065472774</c:v>
                </c:pt>
                <c:pt idx="132">
                  <c:v>1.35656065472774</c:v>
                </c:pt>
                <c:pt idx="133">
                  <c:v>1.35656065472774</c:v>
                </c:pt>
                <c:pt idx="134">
                  <c:v>1.35656065472774</c:v>
                </c:pt>
                <c:pt idx="135">
                  <c:v>1.35656065472774</c:v>
                </c:pt>
                <c:pt idx="136">
                  <c:v>1.35656065472774</c:v>
                </c:pt>
                <c:pt idx="137">
                  <c:v>1.35656065472774</c:v>
                </c:pt>
                <c:pt idx="138">
                  <c:v>1.35656065472774</c:v>
                </c:pt>
                <c:pt idx="139">
                  <c:v>1.35656065472774</c:v>
                </c:pt>
                <c:pt idx="140">
                  <c:v>1.35656065472774</c:v>
                </c:pt>
                <c:pt idx="141">
                  <c:v>1.35656065472774</c:v>
                </c:pt>
                <c:pt idx="142">
                  <c:v>1.35656065472774</c:v>
                </c:pt>
                <c:pt idx="143">
                  <c:v>1.35656065472774</c:v>
                </c:pt>
                <c:pt idx="144">
                  <c:v>1.35656065472774</c:v>
                </c:pt>
                <c:pt idx="145">
                  <c:v>1.35656065472774</c:v>
                </c:pt>
                <c:pt idx="146">
                  <c:v>1.35656065472774</c:v>
                </c:pt>
                <c:pt idx="147">
                  <c:v>1.35656065472774</c:v>
                </c:pt>
                <c:pt idx="148">
                  <c:v>1.35656065472774</c:v>
                </c:pt>
                <c:pt idx="149">
                  <c:v>1.35656065472774</c:v>
                </c:pt>
                <c:pt idx="150">
                  <c:v>1.35656065472774</c:v>
                </c:pt>
                <c:pt idx="151">
                  <c:v>1.35656065472774</c:v>
                </c:pt>
                <c:pt idx="152">
                  <c:v>1.35656065472774</c:v>
                </c:pt>
                <c:pt idx="153">
                  <c:v>1.35656065472774</c:v>
                </c:pt>
                <c:pt idx="154">
                  <c:v>1.35656065472774</c:v>
                </c:pt>
                <c:pt idx="155">
                  <c:v>1.35656065472774</c:v>
                </c:pt>
                <c:pt idx="156">
                  <c:v>1.35656065472774</c:v>
                </c:pt>
                <c:pt idx="157">
                  <c:v>1.35656065472774</c:v>
                </c:pt>
                <c:pt idx="158">
                  <c:v>1.35656065472774</c:v>
                </c:pt>
                <c:pt idx="159">
                  <c:v>1.35656065472774</c:v>
                </c:pt>
                <c:pt idx="160">
                  <c:v>1.35656065472774</c:v>
                </c:pt>
                <c:pt idx="161">
                  <c:v>1.35656065472774</c:v>
                </c:pt>
                <c:pt idx="162">
                  <c:v>1.35656065472774</c:v>
                </c:pt>
                <c:pt idx="163">
                  <c:v>1.35656065472774</c:v>
                </c:pt>
                <c:pt idx="164">
                  <c:v>1.35656065472774</c:v>
                </c:pt>
                <c:pt idx="165">
                  <c:v>1.35656065472774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FB-4268-B6A8-B54AFCE963D8}"/>
            </c:ext>
          </c:extLst>
        </c:ser>
        <c:ser>
          <c:idx val="1"/>
          <c:order val="1"/>
          <c:tx>
            <c:strRef>
              <c:f>XLK_IYW_2!$P$1</c:f>
              <c:strCache>
                <c:ptCount val="1"/>
                <c:pt idx="0">
                  <c:v> IYW/XLK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XLK_IYW_2!$P$2:$P$167</c:f>
              <c:numCache>
                <c:formatCode>_(* #,##0.0000_);_(* \(#,##0.0000\);_(* "-"??_);_(@_)</c:formatCode>
                <c:ptCount val="166"/>
                <c:pt idx="9">
                  <c:v>1.3807734927492901</c:v>
                </c:pt>
                <c:pt idx="10">
                  <c:v>1.37951781661104</c:v>
                </c:pt>
                <c:pt idx="11">
                  <c:v>1.3782221646572299</c:v>
                </c:pt>
                <c:pt idx="12">
                  <c:v>1.3773587266526801</c:v>
                </c:pt>
                <c:pt idx="13">
                  <c:v>1.37636613889185</c:v>
                </c:pt>
                <c:pt idx="14">
                  <c:v>1.3755133614527</c:v>
                </c:pt>
                <c:pt idx="15">
                  <c:v>1.37523038648999</c:v>
                </c:pt>
                <c:pt idx="16">
                  <c:v>1.3749213620187899</c:v>
                </c:pt>
                <c:pt idx="17">
                  <c:v>1.37427105765098</c:v>
                </c:pt>
                <c:pt idx="18">
                  <c:v>1.3740271606863099</c:v>
                </c:pt>
                <c:pt idx="19">
                  <c:v>1.37447290180741</c:v>
                </c:pt>
                <c:pt idx="20">
                  <c:v>1.3746272220859299</c:v>
                </c:pt>
                <c:pt idx="21">
                  <c:v>1.3745431437182301</c:v>
                </c:pt>
                <c:pt idx="22">
                  <c:v>1.37528253467099</c:v>
                </c:pt>
                <c:pt idx="23">
                  <c:v>1.3756665744382901</c:v>
                </c:pt>
                <c:pt idx="24">
                  <c:v>1.3751146284775799</c:v>
                </c:pt>
                <c:pt idx="25">
                  <c:v>1.37430601430818</c:v>
                </c:pt>
                <c:pt idx="26">
                  <c:v>1.3737289367119201</c:v>
                </c:pt>
                <c:pt idx="27">
                  <c:v>1.37328669826283</c:v>
                </c:pt>
                <c:pt idx="28">
                  <c:v>1.3728769333631199</c:v>
                </c:pt>
                <c:pt idx="29">
                  <c:v>1.37153418715085</c:v>
                </c:pt>
                <c:pt idx="30">
                  <c:v>1.3706760164769101</c:v>
                </c:pt>
                <c:pt idx="31">
                  <c:v>1.3700835295627001</c:v>
                </c:pt>
                <c:pt idx="32">
                  <c:v>1.36892031895682</c:v>
                </c:pt>
                <c:pt idx="33">
                  <c:v>1.3681758798882599</c:v>
                </c:pt>
                <c:pt idx="34">
                  <c:v>1.3680952592125899</c:v>
                </c:pt>
                <c:pt idx="35">
                  <c:v>1.3681306290623201</c:v>
                </c:pt>
                <c:pt idx="36">
                  <c:v>1.3681584220526899</c:v>
                </c:pt>
                <c:pt idx="37">
                  <c:v>1.3684280076758899</c:v>
                </c:pt>
                <c:pt idx="38">
                  <c:v>1.3680004591832799</c:v>
                </c:pt>
                <c:pt idx="39">
                  <c:v>1.3684715110811501</c:v>
                </c:pt>
                <c:pt idx="40">
                  <c:v>1.3692962200000001</c:v>
                </c:pt>
                <c:pt idx="41">
                  <c:v>1.3695977051000301</c:v>
                </c:pt>
                <c:pt idx="42">
                  <c:v>1.36967689200827</c:v>
                </c:pt>
                <c:pt idx="43">
                  <c:v>1.36991461763241</c:v>
                </c:pt>
                <c:pt idx="44">
                  <c:v>1.37009417754296</c:v>
                </c:pt>
                <c:pt idx="45">
                  <c:v>1.37030677525893</c:v>
                </c:pt>
                <c:pt idx="46">
                  <c:v>1.3704674358665001</c:v>
                </c:pt>
                <c:pt idx="47">
                  <c:v>1.37060039178278</c:v>
                </c:pt>
                <c:pt idx="48">
                  <c:v>1.37084734938049</c:v>
                </c:pt>
                <c:pt idx="49">
                  <c:v>1.3706608679633501</c:v>
                </c:pt>
                <c:pt idx="50">
                  <c:v>1.37001392984199</c:v>
                </c:pt>
                <c:pt idx="51">
                  <c:v>1.36985715040869</c:v>
                </c:pt>
                <c:pt idx="52">
                  <c:v>1.36939720523979</c:v>
                </c:pt>
                <c:pt idx="53">
                  <c:v>1.3685720749704799</c:v>
                </c:pt>
                <c:pt idx="54">
                  <c:v>1.36785305746318</c:v>
                </c:pt>
                <c:pt idx="55">
                  <c:v>1.3664449791689499</c:v>
                </c:pt>
                <c:pt idx="56">
                  <c:v>1.3652057579385899</c:v>
                </c:pt>
                <c:pt idx="57">
                  <c:v>1.3639178463320301</c:v>
                </c:pt>
                <c:pt idx="58">
                  <c:v>1.3625837549973701</c:v>
                </c:pt>
                <c:pt idx="59">
                  <c:v>1.3618720538707401</c:v>
                </c:pt>
                <c:pt idx="60">
                  <c:v>1.3616385542056599</c:v>
                </c:pt>
                <c:pt idx="61">
                  <c:v>1.3615945599050701</c:v>
                </c:pt>
                <c:pt idx="62">
                  <c:v>1.3616134718939199</c:v>
                </c:pt>
                <c:pt idx="63">
                  <c:v>1.36164143790015</c:v>
                </c:pt>
                <c:pt idx="64">
                  <c:v>1.36145581158627</c:v>
                </c:pt>
                <c:pt idx="65">
                  <c:v>1.3619478407187899</c:v>
                </c:pt>
                <c:pt idx="66">
                  <c:v>1.3622860409966999</c:v>
                </c:pt>
                <c:pt idx="67">
                  <c:v>1.3626445543174901</c:v>
                </c:pt>
                <c:pt idx="68">
                  <c:v>1.3630457663876201</c:v>
                </c:pt>
                <c:pt idx="69">
                  <c:v>1.36337073543973</c:v>
                </c:pt>
                <c:pt idx="70">
                  <c:v>1.36340898850471</c:v>
                </c:pt>
                <c:pt idx="71">
                  <c:v>1.3625873070455701</c:v>
                </c:pt>
                <c:pt idx="72">
                  <c:v>1.36236823331416</c:v>
                </c:pt>
                <c:pt idx="73">
                  <c:v>1.3621291089718901</c:v>
                </c:pt>
                <c:pt idx="74">
                  <c:v>1.36122763534184</c:v>
                </c:pt>
                <c:pt idx="75">
                  <c:v>1.3603923621115399</c:v>
                </c:pt>
                <c:pt idx="76">
                  <c:v>1.3598479747032399</c:v>
                </c:pt>
                <c:pt idx="77">
                  <c:v>1.35917773340465</c:v>
                </c:pt>
                <c:pt idx="78">
                  <c:v>1.35926716824403</c:v>
                </c:pt>
                <c:pt idx="79">
                  <c:v>1.35924188554096</c:v>
                </c:pt>
                <c:pt idx="80">
                  <c:v>1.35841240754767</c:v>
                </c:pt>
                <c:pt idx="81">
                  <c:v>1.3592816307442599</c:v>
                </c:pt>
                <c:pt idx="82">
                  <c:v>1.35971734894538</c:v>
                </c:pt>
                <c:pt idx="83">
                  <c:v>1.3599657486386201</c:v>
                </c:pt>
                <c:pt idx="84">
                  <c:v>1.3605260128471801</c:v>
                </c:pt>
                <c:pt idx="85">
                  <c:v>1.3615949356283199</c:v>
                </c:pt>
                <c:pt idx="86">
                  <c:v>1.36271343707975</c:v>
                </c:pt>
                <c:pt idx="87">
                  <c:v>1.3631302750487799</c:v>
                </c:pt>
                <c:pt idx="88">
                  <c:v>1.3620472811233399</c:v>
                </c:pt>
                <c:pt idx="89">
                  <c:v>1.36095956093063</c:v>
                </c:pt>
                <c:pt idx="90">
                  <c:v>1.3613235576726801</c:v>
                </c:pt>
                <c:pt idx="91">
                  <c:v>1.3599869469200701</c:v>
                </c:pt>
                <c:pt idx="92">
                  <c:v>1.3589331302749099</c:v>
                </c:pt>
                <c:pt idx="93">
                  <c:v>1.35811277639678</c:v>
                </c:pt>
                <c:pt idx="94">
                  <c:v>1.3575551272603901</c:v>
                </c:pt>
                <c:pt idx="95">
                  <c:v>1.35614586635988</c:v>
                </c:pt>
                <c:pt idx="96">
                  <c:v>1.3536960370584801</c:v>
                </c:pt>
                <c:pt idx="97">
                  <c:v>1.3517605996947999</c:v>
                </c:pt>
                <c:pt idx="98">
                  <c:v>1.3504551010317001</c:v>
                </c:pt>
                <c:pt idx="99">
                  <c:v>1.3487040434724</c:v>
                </c:pt>
                <c:pt idx="100">
                  <c:v>1.3461682433687601</c:v>
                </c:pt>
                <c:pt idx="101">
                  <c:v>1.3431637563880101</c:v>
                </c:pt>
                <c:pt idx="102">
                  <c:v>1.33946079021222</c:v>
                </c:pt>
                <c:pt idx="103">
                  <c:v>1.3350287065111299</c:v>
                </c:pt>
                <c:pt idx="104">
                  <c:v>1.3308868646084</c:v>
                </c:pt>
                <c:pt idx="105">
                  <c:v>1.3285222198714</c:v>
                </c:pt>
                <c:pt idx="106">
                  <c:v>1.3279036974262299</c:v>
                </c:pt>
                <c:pt idx="107">
                  <c:v>1.32697004780325</c:v>
                </c:pt>
                <c:pt idx="108">
                  <c:v>1.3266934765415801</c:v>
                </c:pt>
                <c:pt idx="109">
                  <c:v>1.3264035506013301</c:v>
                </c:pt>
                <c:pt idx="110">
                  <c:v>1.3256836448887199</c:v>
                </c:pt>
                <c:pt idx="111">
                  <c:v>1.3257624273511499</c:v>
                </c:pt>
                <c:pt idx="112">
                  <c:v>1.3264045957292301</c:v>
                </c:pt>
                <c:pt idx="113">
                  <c:v>1.3283170704015801</c:v>
                </c:pt>
                <c:pt idx="114">
                  <c:v>1.32967326354436</c:v>
                </c:pt>
                <c:pt idx="115">
                  <c:v>1.32938411655668</c:v>
                </c:pt>
                <c:pt idx="116">
                  <c:v>1.32739303395214</c:v>
                </c:pt>
                <c:pt idx="117">
                  <c:v>1.3264302730733299</c:v>
                </c:pt>
                <c:pt idx="118">
                  <c:v>1.32537554885701</c:v>
                </c:pt>
                <c:pt idx="119">
                  <c:v>1.3242963530455401</c:v>
                </c:pt>
                <c:pt idx="120">
                  <c:v>1.32379905311816</c:v>
                </c:pt>
                <c:pt idx="121">
                  <c:v>1.32410747716539</c:v>
                </c:pt>
                <c:pt idx="122">
                  <c:v>1.32407690039545</c:v>
                </c:pt>
                <c:pt idx="123">
                  <c:v>1.32503103299492</c:v>
                </c:pt>
                <c:pt idx="124">
                  <c:v>1.3272454404290901</c:v>
                </c:pt>
                <c:pt idx="125">
                  <c:v>1.3295574371416401</c:v>
                </c:pt>
                <c:pt idx="126">
                  <c:v>1.3335178318469001</c:v>
                </c:pt>
                <c:pt idx="127">
                  <c:v>1.33650373220996</c:v>
                </c:pt>
                <c:pt idx="128">
                  <c:v>1.33868712223512</c:v>
                </c:pt>
                <c:pt idx="129">
                  <c:v>1.3411042046194901</c:v>
                </c:pt>
                <c:pt idx="130">
                  <c:v>1.34379895400573</c:v>
                </c:pt>
                <c:pt idx="131">
                  <c:v>1.3461717784290099</c:v>
                </c:pt>
                <c:pt idx="132">
                  <c:v>1.3506082212314401</c:v>
                </c:pt>
                <c:pt idx="133">
                  <c:v>1.3533148671534501</c:v>
                </c:pt>
                <c:pt idx="134">
                  <c:v>1.35473934295293</c:v>
                </c:pt>
                <c:pt idx="135">
                  <c:v>1.3565449373434499</c:v>
                </c:pt>
                <c:pt idx="136">
                  <c:v>1.35599045935315</c:v>
                </c:pt>
                <c:pt idx="137">
                  <c:v>1.3558278189574999</c:v>
                </c:pt>
                <c:pt idx="138">
                  <c:v>1.35500961423732</c:v>
                </c:pt>
                <c:pt idx="139">
                  <c:v>1.35462666687058</c:v>
                </c:pt>
                <c:pt idx="140">
                  <c:v>1.3544571988079399</c:v>
                </c:pt>
                <c:pt idx="141">
                  <c:v>1.35501022723885</c:v>
                </c:pt>
                <c:pt idx="142">
                  <c:v>1.3546666444384099</c:v>
                </c:pt>
                <c:pt idx="143">
                  <c:v>1.35279288020605</c:v>
                </c:pt>
                <c:pt idx="144">
                  <c:v>1.3522950177142401</c:v>
                </c:pt>
                <c:pt idx="145">
                  <c:v>1.3525915135398101</c:v>
                </c:pt>
                <c:pt idx="146">
                  <c:v>1.3530326907677199</c:v>
                </c:pt>
                <c:pt idx="147">
                  <c:v>1.35323636120025</c:v>
                </c:pt>
                <c:pt idx="148">
                  <c:v>1.3547759268984301</c:v>
                </c:pt>
                <c:pt idx="149">
                  <c:v>1.35570259018935</c:v>
                </c:pt>
                <c:pt idx="150">
                  <c:v>1.3563040206304899</c:v>
                </c:pt>
                <c:pt idx="151">
                  <c:v>1.3554776965559701</c:v>
                </c:pt>
                <c:pt idx="152">
                  <c:v>1.3529985604679</c:v>
                </c:pt>
                <c:pt idx="153">
                  <c:v>1.3526576152980401</c:v>
                </c:pt>
                <c:pt idx="154">
                  <c:v>1.3513728678847301</c:v>
                </c:pt>
                <c:pt idx="155">
                  <c:v>1.34837927547326</c:v>
                </c:pt>
                <c:pt idx="156">
                  <c:v>1.34717598811141</c:v>
                </c:pt>
                <c:pt idx="157">
                  <c:v>1.3469571138334699</c:v>
                </c:pt>
                <c:pt idx="158">
                  <c:v>1.34653398267943</c:v>
                </c:pt>
                <c:pt idx="159">
                  <c:v>1.3462602397525401</c:v>
                </c:pt>
                <c:pt idx="160">
                  <c:v>1.3463841146267601</c:v>
                </c:pt>
                <c:pt idx="161">
                  <c:v>1.34687260905789</c:v>
                </c:pt>
                <c:pt idx="162">
                  <c:v>1.3477788890040301</c:v>
                </c:pt>
                <c:pt idx="163">
                  <c:v>1.3478452954793101</c:v>
                </c:pt>
                <c:pt idx="164">
                  <c:v>1.3486579172808599</c:v>
                </c:pt>
                <c:pt idx="165">
                  <c:v>1.34951797461903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FB-4268-B6A8-B54AFCE963D8}"/>
            </c:ext>
          </c:extLst>
        </c:ser>
        <c:ser>
          <c:idx val="2"/>
          <c:order val="2"/>
          <c:tx>
            <c:strRef>
              <c:f>XLK_IYW_2!$Q$1</c:f>
              <c:strCache>
                <c:ptCount val="1"/>
                <c:pt idx="0">
                  <c:v> IYW/XLK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XLK_IYW_2!$Q$2:$Q$167</c:f>
              <c:numCache>
                <c:formatCode>_(* #,##0.0000_);_(* \(#,##0.0000\);_(* "-"??_);_(@_)</c:formatCode>
                <c:ptCount val="166"/>
                <c:pt idx="19">
                  <c:v>1.3776231972783499</c:v>
                </c:pt>
                <c:pt idx="20">
                  <c:v>1.3770725193484901</c:v>
                </c:pt>
                <c:pt idx="21">
                  <c:v>1.37638265418773</c:v>
                </c:pt>
                <c:pt idx="22">
                  <c:v>1.3763206306618301</c:v>
                </c:pt>
                <c:pt idx="23">
                  <c:v>1.3760163566650701</c:v>
                </c:pt>
                <c:pt idx="24">
                  <c:v>1.3753139949651401</c:v>
                </c:pt>
                <c:pt idx="25">
                  <c:v>1.37476820039909</c:v>
                </c:pt>
                <c:pt idx="26">
                  <c:v>1.3743251493653501</c:v>
                </c:pt>
                <c:pt idx="27">
                  <c:v>1.3737788779569</c:v>
                </c:pt>
                <c:pt idx="28">
                  <c:v>1.37345204702471</c:v>
                </c:pt>
                <c:pt idx="29">
                  <c:v>1.37300354447913</c:v>
                </c:pt>
                <c:pt idx="30">
                  <c:v>1.37265161928142</c:v>
                </c:pt>
                <c:pt idx="31">
                  <c:v>1.3723133366404601</c:v>
                </c:pt>
                <c:pt idx="32">
                  <c:v>1.3721014268139</c:v>
                </c:pt>
                <c:pt idx="33">
                  <c:v>1.3719212271632699</c:v>
                </c:pt>
                <c:pt idx="34">
                  <c:v>1.3716049438450899</c:v>
                </c:pt>
                <c:pt idx="35">
                  <c:v>1.37121832168525</c:v>
                </c:pt>
                <c:pt idx="36">
                  <c:v>1.3709436793823</c:v>
                </c:pt>
                <c:pt idx="37">
                  <c:v>1.37085735296936</c:v>
                </c:pt>
                <c:pt idx="38">
                  <c:v>1.3704386962732</c:v>
                </c:pt>
                <c:pt idx="39">
                  <c:v>1.3700028491159999</c:v>
                </c:pt>
                <c:pt idx="40">
                  <c:v>1.3699861182384501</c:v>
                </c:pt>
                <c:pt idx="41">
                  <c:v>1.36984061733137</c:v>
                </c:pt>
                <c:pt idx="42">
                  <c:v>1.36929860548255</c:v>
                </c:pt>
                <c:pt idx="43">
                  <c:v>1.36904524876033</c:v>
                </c:pt>
                <c:pt idx="44">
                  <c:v>1.36909471837777</c:v>
                </c:pt>
                <c:pt idx="45">
                  <c:v>1.3692187021606299</c:v>
                </c:pt>
                <c:pt idx="46">
                  <c:v>1.36931292895959</c:v>
                </c:pt>
                <c:pt idx="47">
                  <c:v>1.3695141997293401</c:v>
                </c:pt>
                <c:pt idx="48">
                  <c:v>1.3694239042818901</c:v>
                </c:pt>
                <c:pt idx="49">
                  <c:v>1.36956618952225</c:v>
                </c:pt>
                <c:pt idx="50">
                  <c:v>1.3696550749209899</c:v>
                </c:pt>
                <c:pt idx="51">
                  <c:v>1.3697274277543601</c:v>
                </c:pt>
                <c:pt idx="52">
                  <c:v>1.3695370486240299</c:v>
                </c:pt>
                <c:pt idx="53">
                  <c:v>1.36924334630144</c:v>
                </c:pt>
                <c:pt idx="54">
                  <c:v>1.36897361750307</c:v>
                </c:pt>
                <c:pt idx="55">
                  <c:v>1.3683758772139401</c:v>
                </c:pt>
                <c:pt idx="56">
                  <c:v>1.3678365969025501</c:v>
                </c:pt>
                <c:pt idx="57">
                  <c:v>1.3672591190573999</c:v>
                </c:pt>
                <c:pt idx="58">
                  <c:v>1.36671555218893</c:v>
                </c:pt>
                <c:pt idx="59">
                  <c:v>1.3662664609170401</c:v>
                </c:pt>
                <c:pt idx="60">
                  <c:v>1.3658262420238201</c:v>
                </c:pt>
                <c:pt idx="61">
                  <c:v>1.3657258551568801</c:v>
                </c:pt>
                <c:pt idx="62">
                  <c:v>1.3655053385668501</c:v>
                </c:pt>
                <c:pt idx="63">
                  <c:v>1.3651067564353101</c:v>
                </c:pt>
                <c:pt idx="64">
                  <c:v>1.36465443452473</c:v>
                </c:pt>
                <c:pt idx="65">
                  <c:v>1.3641964099438699</c:v>
                </c:pt>
                <c:pt idx="66">
                  <c:v>1.3637458994676499</c:v>
                </c:pt>
                <c:pt idx="67">
                  <c:v>1.3632812003247601</c:v>
                </c:pt>
                <c:pt idx="68">
                  <c:v>1.3628147606925001</c:v>
                </c:pt>
                <c:pt idx="69">
                  <c:v>1.3626213946552399</c:v>
                </c:pt>
                <c:pt idx="70">
                  <c:v>1.3625237713551801</c:v>
                </c:pt>
                <c:pt idx="71">
                  <c:v>1.36209093347532</c:v>
                </c:pt>
                <c:pt idx="72">
                  <c:v>1.3619908526040401</c:v>
                </c:pt>
                <c:pt idx="73">
                  <c:v>1.3618852734360201</c:v>
                </c:pt>
                <c:pt idx="74">
                  <c:v>1.3613417234640599</c:v>
                </c:pt>
                <c:pt idx="75">
                  <c:v>1.36117010141516</c:v>
                </c:pt>
                <c:pt idx="76">
                  <c:v>1.36106700784997</c:v>
                </c:pt>
                <c:pt idx="77">
                  <c:v>1.3609111438610699</c:v>
                </c:pt>
                <c:pt idx="78">
                  <c:v>1.3611564673158301</c:v>
                </c:pt>
                <c:pt idx="79">
                  <c:v>1.36130631049035</c:v>
                </c:pt>
                <c:pt idx="80">
                  <c:v>1.36091069802619</c:v>
                </c:pt>
                <c:pt idx="81">
                  <c:v>1.3609344688949101</c:v>
                </c:pt>
                <c:pt idx="82">
                  <c:v>1.36104279112977</c:v>
                </c:pt>
                <c:pt idx="83">
                  <c:v>1.3610474288052501</c:v>
                </c:pt>
                <c:pt idx="84">
                  <c:v>1.3608768240945099</c:v>
                </c:pt>
                <c:pt idx="85">
                  <c:v>1.3609936488699299</c:v>
                </c:pt>
                <c:pt idx="86">
                  <c:v>1.3612807058915</c:v>
                </c:pt>
                <c:pt idx="87">
                  <c:v>1.3611540042267101</c:v>
                </c:pt>
                <c:pt idx="88">
                  <c:v>1.3606572246836901</c:v>
                </c:pt>
                <c:pt idx="89">
                  <c:v>1.3601007232358</c:v>
                </c:pt>
                <c:pt idx="90">
                  <c:v>1.35986798261018</c:v>
                </c:pt>
                <c:pt idx="91">
                  <c:v>1.35963428883216</c:v>
                </c:pt>
                <c:pt idx="92">
                  <c:v>1.3593252396101401</c:v>
                </c:pt>
                <c:pt idx="93">
                  <c:v>1.3590392625176999</c:v>
                </c:pt>
                <c:pt idx="94">
                  <c:v>1.35904057005378</c:v>
                </c:pt>
                <c:pt idx="95">
                  <c:v>1.3588704009940999</c:v>
                </c:pt>
                <c:pt idx="96">
                  <c:v>1.3582047370691199</c:v>
                </c:pt>
                <c:pt idx="97">
                  <c:v>1.3574454373717899</c:v>
                </c:pt>
                <c:pt idx="98">
                  <c:v>1.3562511910775199</c:v>
                </c:pt>
                <c:pt idx="99">
                  <c:v>1.35483180220151</c:v>
                </c:pt>
                <c:pt idx="100">
                  <c:v>1.35374590052072</c:v>
                </c:pt>
                <c:pt idx="101">
                  <c:v>1.3515753516540401</c:v>
                </c:pt>
                <c:pt idx="102">
                  <c:v>1.3491969602435601</c:v>
                </c:pt>
                <c:pt idx="103">
                  <c:v>1.3465707414539601</c:v>
                </c:pt>
                <c:pt idx="104">
                  <c:v>1.34422099593439</c:v>
                </c:pt>
                <c:pt idx="105">
                  <c:v>1.3423340431156401</c:v>
                </c:pt>
                <c:pt idx="106">
                  <c:v>1.34079986724236</c:v>
                </c:pt>
                <c:pt idx="107">
                  <c:v>1.33936532374902</c:v>
                </c:pt>
                <c:pt idx="108">
                  <c:v>1.3385742887866401</c:v>
                </c:pt>
                <c:pt idx="109">
                  <c:v>1.3375537970368601</c:v>
                </c:pt>
                <c:pt idx="110">
                  <c:v>1.3359259441287401</c:v>
                </c:pt>
                <c:pt idx="111">
                  <c:v>1.3344630918695799</c:v>
                </c:pt>
                <c:pt idx="112">
                  <c:v>1.3329326929707199</c:v>
                </c:pt>
                <c:pt idx="113">
                  <c:v>1.33167288845635</c:v>
                </c:pt>
                <c:pt idx="114">
                  <c:v>1.3302800640763801</c:v>
                </c:pt>
                <c:pt idx="115">
                  <c:v>1.3289531682140401</c:v>
                </c:pt>
                <c:pt idx="116">
                  <c:v>1.32764836568918</c:v>
                </c:pt>
                <c:pt idx="117">
                  <c:v>1.32670016043829</c:v>
                </c:pt>
                <c:pt idx="118">
                  <c:v>1.3260345126992901</c:v>
                </c:pt>
                <c:pt idx="119">
                  <c:v>1.32534995182344</c:v>
                </c:pt>
                <c:pt idx="120">
                  <c:v>1.3247413490034401</c:v>
                </c:pt>
                <c:pt idx="121">
                  <c:v>1.3249349522582701</c:v>
                </c:pt>
                <c:pt idx="122">
                  <c:v>1.32524074806234</c:v>
                </c:pt>
                <c:pt idx="123">
                  <c:v>1.32667405169825</c:v>
                </c:pt>
                <c:pt idx="124">
                  <c:v>1.32845935198673</c:v>
                </c:pt>
                <c:pt idx="125">
                  <c:v>1.32947077684916</c:v>
                </c:pt>
                <c:pt idx="126">
                  <c:v>1.33045543289952</c:v>
                </c:pt>
                <c:pt idx="127">
                  <c:v>1.33146700264165</c:v>
                </c:pt>
                <c:pt idx="128">
                  <c:v>1.33203133554606</c:v>
                </c:pt>
                <c:pt idx="129">
                  <c:v>1.33270027883252</c:v>
                </c:pt>
                <c:pt idx="130">
                  <c:v>1.33379900356194</c:v>
                </c:pt>
                <c:pt idx="131">
                  <c:v>1.3351396277972001</c:v>
                </c:pt>
                <c:pt idx="132">
                  <c:v>1.3373425608134499</c:v>
                </c:pt>
                <c:pt idx="133">
                  <c:v>1.33917295007418</c:v>
                </c:pt>
                <c:pt idx="134">
                  <c:v>1.34099239169101</c:v>
                </c:pt>
                <c:pt idx="135">
                  <c:v>1.3430511872425399</c:v>
                </c:pt>
                <c:pt idx="136">
                  <c:v>1.34475414560003</c:v>
                </c:pt>
                <c:pt idx="137">
                  <c:v>1.34616577558373</c:v>
                </c:pt>
                <c:pt idx="138">
                  <c:v>1.34684836823622</c:v>
                </c:pt>
                <c:pt idx="139">
                  <c:v>1.3478654357450399</c:v>
                </c:pt>
                <c:pt idx="140">
                  <c:v>1.3491280764068301</c:v>
                </c:pt>
                <c:pt idx="141">
                  <c:v>1.3505910028339301</c:v>
                </c:pt>
                <c:pt idx="142">
                  <c:v>1.35263743283493</c:v>
                </c:pt>
                <c:pt idx="143">
                  <c:v>1.3530538736797499</c:v>
                </c:pt>
                <c:pt idx="144">
                  <c:v>1.3535171803335899</c:v>
                </c:pt>
                <c:pt idx="145">
                  <c:v>1.35456822544163</c:v>
                </c:pt>
                <c:pt idx="146">
                  <c:v>1.35451157506044</c:v>
                </c:pt>
                <c:pt idx="147">
                  <c:v>1.35453209007888</c:v>
                </c:pt>
                <c:pt idx="148">
                  <c:v>1.3548927705678699</c:v>
                </c:pt>
                <c:pt idx="149">
                  <c:v>1.3551646285299701</c:v>
                </c:pt>
                <c:pt idx="150">
                  <c:v>1.35538060971921</c:v>
                </c:pt>
                <c:pt idx="151">
                  <c:v>1.3552439618974099</c:v>
                </c:pt>
                <c:pt idx="152">
                  <c:v>1.35383260245316</c:v>
                </c:pt>
                <c:pt idx="153">
                  <c:v>1.3527252477520399</c:v>
                </c:pt>
                <c:pt idx="154">
                  <c:v>1.3518339427994901</c:v>
                </c:pt>
                <c:pt idx="155">
                  <c:v>1.35048539450653</c:v>
                </c:pt>
                <c:pt idx="156">
                  <c:v>1.35010433943956</c:v>
                </c:pt>
                <c:pt idx="157">
                  <c:v>1.35009673751686</c:v>
                </c:pt>
                <c:pt idx="158">
                  <c:v>1.3506549547889299</c:v>
                </c:pt>
                <c:pt idx="159">
                  <c:v>1.35098141497094</c:v>
                </c:pt>
                <c:pt idx="160">
                  <c:v>1.3513440676286299</c:v>
                </c:pt>
                <c:pt idx="161">
                  <c:v>1.35117515280693</c:v>
                </c:pt>
                <c:pt idx="162">
                  <c:v>1.35038872473597</c:v>
                </c:pt>
                <c:pt idx="163">
                  <c:v>1.35025145538868</c:v>
                </c:pt>
                <c:pt idx="164">
                  <c:v>1.3500153925828</c:v>
                </c:pt>
                <c:pt idx="165">
                  <c:v>1.34894862504615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FB-4268-B6A8-B54AFCE96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XLK_IYW_2!$AE$1</c:f>
              <c:strCache>
                <c:ptCount val="1"/>
                <c:pt idx="0">
                  <c:v>log diff XLK* x avg / IYW*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XLK_IYW_2!$AE$2:$AE$167</c:f>
              <c:numCache>
                <c:formatCode>0.00%</c:formatCode>
                <c:ptCount val="166"/>
                <c:pt idx="1">
                  <c:v>-2.1977799703574202E-2</c:v>
                </c:pt>
                <c:pt idx="2">
                  <c:v>-1.7623275607313499E-2</c:v>
                </c:pt>
                <c:pt idx="3">
                  <c:v>-2.0022210664054199E-2</c:v>
                </c:pt>
                <c:pt idx="4">
                  <c:v>-2.15102254486121E-2</c:v>
                </c:pt>
                <c:pt idx="5">
                  <c:v>-1.8167858832473498E-2</c:v>
                </c:pt>
                <c:pt idx="6">
                  <c:v>-1.7113796031283501E-2</c:v>
                </c:pt>
                <c:pt idx="7">
                  <c:v>-1.6655668192206999E-2</c:v>
                </c:pt>
                <c:pt idx="8">
                  <c:v>-1.57199142189424E-2</c:v>
                </c:pt>
                <c:pt idx="9">
                  <c:v>-1.3688150019630099E-2</c:v>
                </c:pt>
                <c:pt idx="10">
                  <c:v>-1.25387695156607E-2</c:v>
                </c:pt>
                <c:pt idx="11">
                  <c:v>-1.2583653601247699E-2</c:v>
                </c:pt>
                <c:pt idx="12">
                  <c:v>-1.13453601195584E-2</c:v>
                </c:pt>
                <c:pt idx="13">
                  <c:v>-1.28192337133984E-2</c:v>
                </c:pt>
                <c:pt idx="14">
                  <c:v>-1.53341893444851E-2</c:v>
                </c:pt>
                <c:pt idx="15">
                  <c:v>-1.6115852016129702E-2</c:v>
                </c:pt>
                <c:pt idx="16">
                  <c:v>-1.487031192483E-2</c:v>
                </c:pt>
                <c:pt idx="17">
                  <c:v>-1.1926495147827201E-2</c:v>
                </c:pt>
                <c:pt idx="18">
                  <c:v>-1.39471960960316E-2</c:v>
                </c:pt>
                <c:pt idx="19">
                  <c:v>-1.6926398152264401E-2</c:v>
                </c:pt>
                <c:pt idx="20">
                  <c:v>-1.3662362320088699E-2</c:v>
                </c:pt>
                <c:pt idx="21">
                  <c:v>-1.1970981971115799E-2</c:v>
                </c:pt>
                <c:pt idx="22">
                  <c:v>-1.67237706874638E-2</c:v>
                </c:pt>
                <c:pt idx="23">
                  <c:v>-1.5612277277973499E-2</c:v>
                </c:pt>
                <c:pt idx="24">
                  <c:v>-1.13164233615922E-2</c:v>
                </c:pt>
                <c:pt idx="25">
                  <c:v>-1.02288318728927E-2</c:v>
                </c:pt>
                <c:pt idx="26">
                  <c:v>-1.06672677297891E-2</c:v>
                </c:pt>
                <c:pt idx="27">
                  <c:v>-8.6976046240180693E-3</c:v>
                </c:pt>
                <c:pt idx="28">
                  <c:v>-1.09618055784137E-2</c:v>
                </c:pt>
                <c:pt idx="29">
                  <c:v>-7.1395731997301601E-3</c:v>
                </c:pt>
                <c:pt idx="30">
                  <c:v>-7.3980236108273202E-3</c:v>
                </c:pt>
                <c:pt idx="31">
                  <c:v>-7.6429067590257299E-3</c:v>
                </c:pt>
                <c:pt idx="32">
                  <c:v>-8.2493565215514507E-3</c:v>
                </c:pt>
                <c:pt idx="33">
                  <c:v>-1.01910078666011E-2</c:v>
                </c:pt>
                <c:pt idx="34">
                  <c:v>-1.0728209881276599E-2</c:v>
                </c:pt>
                <c:pt idx="35">
                  <c:v>-1.0487064010935699E-2</c:v>
                </c:pt>
                <c:pt idx="36">
                  <c:v>-1.08700985624987E-2</c:v>
                </c:pt>
                <c:pt idx="37">
                  <c:v>-1.0667155168949199E-2</c:v>
                </c:pt>
                <c:pt idx="38">
                  <c:v>-7.8373201630170808E-3</c:v>
                </c:pt>
                <c:pt idx="39">
                  <c:v>-1.0583829269506699E-2</c:v>
                </c:pt>
                <c:pt idx="40">
                  <c:v>-1.3418837301805301E-2</c:v>
                </c:pt>
                <c:pt idx="41">
                  <c:v>-9.8475749325628009E-3</c:v>
                </c:pt>
                <c:pt idx="42">
                  <c:v>-8.8285456994497205E-3</c:v>
                </c:pt>
                <c:pt idx="43">
                  <c:v>-1.19254064120741E-2</c:v>
                </c:pt>
                <c:pt idx="44">
                  <c:v>-1.2037817661234899E-2</c:v>
                </c:pt>
                <c:pt idx="45">
                  <c:v>-1.2037817661234899E-2</c:v>
                </c:pt>
                <c:pt idx="46">
                  <c:v>-1.20417801522501E-2</c:v>
                </c:pt>
                <c:pt idx="47">
                  <c:v>-1.1637083898648599E-2</c:v>
                </c:pt>
                <c:pt idx="48">
                  <c:v>-9.6432544830900597E-3</c:v>
                </c:pt>
                <c:pt idx="49">
                  <c:v>-9.2217252235912307E-3</c:v>
                </c:pt>
                <c:pt idx="50">
                  <c:v>-9.0646552989277901E-3</c:v>
                </c:pt>
                <c:pt idx="51">
                  <c:v>-9.0716304987986194E-3</c:v>
                </c:pt>
                <c:pt idx="52">
                  <c:v>-5.8295890659503802E-3</c:v>
                </c:pt>
                <c:pt idx="53">
                  <c:v>-6.2707663826718704E-3</c:v>
                </c:pt>
                <c:pt idx="54">
                  <c:v>-5.9344103912587799E-3</c:v>
                </c:pt>
                <c:pt idx="55">
                  <c:v>-8.6975643324205395E-4</c:v>
                </c:pt>
                <c:pt idx="56">
                  <c:v>-2.1198150633038302E-3</c:v>
                </c:pt>
                <c:pt idx="57">
                  <c:v>-1.3261312163917801E-3</c:v>
                </c:pt>
                <c:pt idx="58">
                  <c:v>1.0437200820986501E-3</c:v>
                </c:pt>
                <c:pt idx="59">
                  <c:v>-3.0954654851472201E-3</c:v>
                </c:pt>
                <c:pt idx="60">
                  <c:v>-6.1149787436423101E-3</c:v>
                </c:pt>
                <c:pt idx="61">
                  <c:v>-7.5175328441400898E-3</c:v>
                </c:pt>
                <c:pt idx="62">
                  <c:v>-4.7439648124363498E-3</c:v>
                </c:pt>
                <c:pt idx="63">
                  <c:v>-5.2477946435428796E-3</c:v>
                </c:pt>
                <c:pt idx="64">
                  <c:v>-4.5768596828313296E-3</c:v>
                </c:pt>
                <c:pt idx="65">
                  <c:v>-4.5186054898254903E-3</c:v>
                </c:pt>
                <c:pt idx="66">
                  <c:v>-4.6350103912758296E-3</c:v>
                </c:pt>
                <c:pt idx="67">
                  <c:v>-4.0227054661529796E-3</c:v>
                </c:pt>
                <c:pt idx="68">
                  <c:v>-2.00708098067125E-3</c:v>
                </c:pt>
                <c:pt idx="69">
                  <c:v>-5.6052165185791697E-3</c:v>
                </c:pt>
                <c:pt idx="70">
                  <c:v>-6.4962790547631599E-3</c:v>
                </c:pt>
                <c:pt idx="71">
                  <c:v>-1.58751632414417E-3</c:v>
                </c:pt>
                <c:pt idx="72">
                  <c:v>-3.2377082215819999E-3</c:v>
                </c:pt>
                <c:pt idx="73">
                  <c:v>-3.59124104885556E-3</c:v>
                </c:pt>
                <c:pt idx="74">
                  <c:v>1.9627796639178998E-3</c:v>
                </c:pt>
                <c:pt idx="75">
                  <c:v>1.5421857201177399E-3</c:v>
                </c:pt>
                <c:pt idx="76">
                  <c:v>-7.0648204903186703E-4</c:v>
                </c:pt>
                <c:pt idx="77">
                  <c:v>8.1890645601156195E-4</c:v>
                </c:pt>
                <c:pt idx="78">
                  <c:v>-2.7387751669262698E-3</c:v>
                </c:pt>
                <c:pt idx="79">
                  <c:v>-5.4692381613893701E-3</c:v>
                </c:pt>
                <c:pt idx="80">
                  <c:v>-4.47856262574794E-4</c:v>
                </c:pt>
                <c:pt idx="81">
                  <c:v>-7.99800879868931E-3</c:v>
                </c:pt>
                <c:pt idx="82">
                  <c:v>-6.4679756282616501E-3</c:v>
                </c:pt>
                <c:pt idx="83">
                  <c:v>-5.44819918116365E-3</c:v>
                </c:pt>
                <c:pt idx="84">
                  <c:v>-2.21488764559868E-3</c:v>
                </c:pt>
                <c:pt idx="85">
                  <c:v>-6.3676564602852597E-3</c:v>
                </c:pt>
                <c:pt idx="86">
                  <c:v>-8.9701069415168699E-3</c:v>
                </c:pt>
                <c:pt idx="87">
                  <c:v>-2.3137827934162202E-3</c:v>
                </c:pt>
                <c:pt idx="88">
                  <c:v>5.1820066650467801E-3</c:v>
                </c:pt>
                <c:pt idx="89">
                  <c:v>2.46188812007622E-3</c:v>
                </c:pt>
                <c:pt idx="90">
                  <c:v>-3.1985881895114201E-3</c:v>
                </c:pt>
                <c:pt idx="91">
                  <c:v>1.7404201009716899E-3</c:v>
                </c:pt>
                <c:pt idx="92">
                  <c:v>1.2193502581474499E-3</c:v>
                </c:pt>
                <c:pt idx="93">
                  <c:v>5.3206448393574299E-4</c:v>
                </c:pt>
                <c:pt idx="94">
                  <c:v>1.86331989120952E-3</c:v>
                </c:pt>
                <c:pt idx="95">
                  <c:v>3.9785124286192599E-3</c:v>
                </c:pt>
                <c:pt idx="96">
                  <c:v>9.0511403425897908E-3</c:v>
                </c:pt>
                <c:pt idx="97">
                  <c:v>1.2001719882922E-2</c:v>
                </c:pt>
                <c:pt idx="98">
                  <c:v>1.4875195099825199E-2</c:v>
                </c:pt>
                <c:pt idx="99">
                  <c:v>1.54503159714204E-2</c:v>
                </c:pt>
                <c:pt idx="100">
                  <c:v>1.5571316911111299E-2</c:v>
                </c:pt>
                <c:pt idx="101">
                  <c:v>2.41334069621854E-2</c:v>
                </c:pt>
                <c:pt idx="102">
                  <c:v>2.8858813012429301E-2</c:v>
                </c:pt>
                <c:pt idx="103">
                  <c:v>3.3680415309065299E-2</c:v>
                </c:pt>
                <c:pt idx="104">
                  <c:v>3.2844952706219503E-2</c:v>
                </c:pt>
                <c:pt idx="105">
                  <c:v>2.1576425386326401E-2</c:v>
                </c:pt>
                <c:pt idx="106">
                  <c:v>1.3655638122536101E-2</c:v>
                </c:pt>
                <c:pt idx="107">
                  <c:v>1.8977131786655801E-2</c:v>
                </c:pt>
                <c:pt idx="108">
                  <c:v>1.6961307372327001E-2</c:v>
                </c:pt>
                <c:pt idx="109">
                  <c:v>1.7650299151033E-2</c:v>
                </c:pt>
                <c:pt idx="110">
                  <c:v>2.0987301574811702E-2</c:v>
                </c:pt>
                <c:pt idx="111">
                  <c:v>2.35589434322723E-2</c:v>
                </c:pt>
                <c:pt idx="112">
                  <c:v>2.3728409516487602E-2</c:v>
                </c:pt>
                <c:pt idx="113">
                  <c:v>1.8953829110693099E-2</c:v>
                </c:pt>
                <c:pt idx="114">
                  <c:v>2.2309704030794301E-2</c:v>
                </c:pt>
                <c:pt idx="115">
                  <c:v>2.3478776725896999E-2</c:v>
                </c:pt>
                <c:pt idx="116">
                  <c:v>2.9505421856772601E-2</c:v>
                </c:pt>
                <c:pt idx="117">
                  <c:v>2.71756057854897E-2</c:v>
                </c:pt>
                <c:pt idx="118">
                  <c:v>2.5837996137362401E-2</c:v>
                </c:pt>
                <c:pt idx="119">
                  <c:v>2.66893131582355E-2</c:v>
                </c:pt>
                <c:pt idx="120">
                  <c:v>2.5701447290756501E-2</c:v>
                </c:pt>
                <c:pt idx="121">
                  <c:v>2.21680624335641E-2</c:v>
                </c:pt>
                <c:pt idx="122">
                  <c:v>2.5155750220057001E-2</c:v>
                </c:pt>
                <c:pt idx="123">
                  <c:v>1.30399624343985E-2</c:v>
                </c:pt>
                <c:pt idx="124">
                  <c:v>7.0281199337634903E-3</c:v>
                </c:pt>
                <c:pt idx="125">
                  <c:v>7.4374025822257E-3</c:v>
                </c:pt>
                <c:pt idx="126">
                  <c:v>2.8212774062101299E-5</c:v>
                </c:pt>
                <c:pt idx="127">
                  <c:v>4.8659885589650599E-3</c:v>
                </c:pt>
                <c:pt idx="128">
                  <c:v>9.4602382286288304E-3</c:v>
                </c:pt>
                <c:pt idx="129">
                  <c:v>8.5702716291497297E-3</c:v>
                </c:pt>
                <c:pt idx="130">
                  <c:v>5.5522058861475201E-3</c:v>
                </c:pt>
                <c:pt idx="131">
                  <c:v>4.4824566978847197E-3</c:v>
                </c:pt>
                <c:pt idx="132">
                  <c:v>-7.7119194197416696E-3</c:v>
                </c:pt>
                <c:pt idx="133">
                  <c:v>-6.87326576913482E-3</c:v>
                </c:pt>
                <c:pt idx="134">
                  <c:v>-3.42993754427371E-3</c:v>
                </c:pt>
                <c:pt idx="135">
                  <c:v>-5.7931790754174499E-3</c:v>
                </c:pt>
                <c:pt idx="136">
                  <c:v>4.10369868248833E-3</c:v>
                </c:pt>
                <c:pt idx="137">
                  <c:v>6.0797390109723097E-3</c:v>
                </c:pt>
                <c:pt idx="138">
                  <c:v>1.56192560900748E-2</c:v>
                </c:pt>
                <c:pt idx="139">
                  <c:v>1.15051540368932E-2</c:v>
                </c:pt>
                <c:pt idx="140">
                  <c:v>6.8713415997994501E-3</c:v>
                </c:pt>
                <c:pt idx="141">
                  <c:v>5.1738602600680803E-4</c:v>
                </c:pt>
                <c:pt idx="142">
                  <c:v>-5.0547939167988904E-3</c:v>
                </c:pt>
                <c:pt idx="143">
                  <c:v>6.9354568347621201E-3</c:v>
                </c:pt>
                <c:pt idx="144">
                  <c:v>2.3090564078955E-4</c:v>
                </c:pt>
                <c:pt idx="145">
                  <c:v>-7.9822226187128698E-3</c:v>
                </c:pt>
                <c:pt idx="146">
                  <c:v>7.9565029393595301E-4</c:v>
                </c:pt>
                <c:pt idx="147">
                  <c:v>4.5237827563903597E-3</c:v>
                </c:pt>
                <c:pt idx="148">
                  <c:v>4.1141512285884597E-3</c:v>
                </c:pt>
                <c:pt idx="149">
                  <c:v>4.5233368690803001E-3</c:v>
                </c:pt>
                <c:pt idx="150">
                  <c:v>2.31669956562779E-3</c:v>
                </c:pt>
                <c:pt idx="151">
                  <c:v>6.4843519307570098E-3</c:v>
                </c:pt>
                <c:pt idx="152">
                  <c:v>1.30603876680431E-2</c:v>
                </c:pt>
                <c:pt idx="153">
                  <c:v>9.3357974620853108E-3</c:v>
                </c:pt>
                <c:pt idx="154">
                  <c:v>9.6069764960225006E-3</c:v>
                </c:pt>
                <c:pt idx="155">
                  <c:v>1.4014947336139401E-2</c:v>
                </c:pt>
                <c:pt idx="156">
                  <c:v>9.7107253960261094E-3</c:v>
                </c:pt>
                <c:pt idx="157">
                  <c:v>6.1628526054951097E-3</c:v>
                </c:pt>
                <c:pt idx="158">
                  <c:v>7.2656843955317598E-3</c:v>
                </c:pt>
                <c:pt idx="159">
                  <c:v>6.5888380337105002E-3</c:v>
                </c:pt>
                <c:pt idx="160">
                  <c:v>1.4573541314759099E-3</c:v>
                </c:pt>
                <c:pt idx="161">
                  <c:v>2.9088483124818099E-3</c:v>
                </c:pt>
                <c:pt idx="162">
                  <c:v>6.3743292271805302E-3</c:v>
                </c:pt>
                <c:pt idx="163">
                  <c:v>8.8598451601367197E-3</c:v>
                </c:pt>
                <c:pt idx="164">
                  <c:v>3.6206948404330702E-3</c:v>
                </c:pt>
                <c:pt idx="165">
                  <c:v>7.6458475071873701E-3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4-46EA-B295-078431A0CA75}"/>
            </c:ext>
          </c:extLst>
        </c:ser>
        <c:ser>
          <c:idx val="1"/>
          <c:order val="1"/>
          <c:tx>
            <c:strRef>
              <c:f>XLK_IYW_2!$AF$1</c:f>
              <c:strCache>
                <c:ptCount val="1"/>
                <c:pt idx="0">
                  <c:v>log diff XLK* x 10 dma / IYW*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XLK_IYW_2!$AF$2:$AF$167</c:f>
              <c:numCache>
                <c:formatCode>0.00%</c:formatCode>
                <c:ptCount val="166"/>
                <c:pt idx="10">
                  <c:v>5.87711786279611E-3</c:v>
                </c:pt>
                <c:pt idx="11">
                  <c:v>4.9224194973860498E-3</c:v>
                </c:pt>
                <c:pt idx="12">
                  <c:v>5.2210652545250803E-3</c:v>
                </c:pt>
                <c:pt idx="13">
                  <c:v>3.1205085278988398E-3</c:v>
                </c:pt>
                <c:pt idx="14">
                  <c:v>-1.1535267820417501E-4</c:v>
                </c:pt>
                <c:pt idx="15">
                  <c:v>-1.51679355332311E-3</c:v>
                </c:pt>
                <c:pt idx="16">
                  <c:v>-4.76997791291681E-4</c:v>
                </c:pt>
                <c:pt idx="17">
                  <c:v>2.2420863158358799E-3</c:v>
                </c:pt>
                <c:pt idx="18">
                  <c:v>-2.5170220185716599E-4</c:v>
                </c:pt>
                <c:pt idx="19">
                  <c:v>-3.4083937049651102E-3</c:v>
                </c:pt>
                <c:pt idx="20">
                  <c:v>1.79994402904382E-4</c:v>
                </c:pt>
                <c:pt idx="21">
                  <c:v>1.9836444195757202E-3</c:v>
                </c:pt>
                <c:pt idx="22">
                  <c:v>-2.83031065356134E-3</c:v>
                </c:pt>
                <c:pt idx="23">
                  <c:v>-1.18104426712247E-3</c:v>
                </c:pt>
                <c:pt idx="24">
                  <c:v>3.3940149377340899E-3</c:v>
                </c:pt>
                <c:pt idx="25">
                  <c:v>4.08030517606263E-3</c:v>
                </c:pt>
                <c:pt idx="26">
                  <c:v>3.0536623492127498E-3</c:v>
                </c:pt>
                <c:pt idx="27">
                  <c:v>4.6033325400227799E-3</c:v>
                </c:pt>
                <c:pt idx="28">
                  <c:v>2.0171542024055899E-3</c:v>
                </c:pt>
                <c:pt idx="29">
                  <c:v>5.54095942399138E-3</c:v>
                </c:pt>
                <c:pt idx="30">
                  <c:v>4.3039775462520597E-3</c:v>
                </c:pt>
                <c:pt idx="31">
                  <c:v>3.4331973017483401E-3</c:v>
                </c:pt>
                <c:pt idx="32">
                  <c:v>2.3943951832535101E-3</c:v>
                </c:pt>
                <c:pt idx="33">
                  <c:v>-3.9662384445758299E-4</c:v>
                </c:pt>
                <c:pt idx="34">
                  <c:v>-1.47778853551278E-3</c:v>
                </c:pt>
                <c:pt idx="35">
                  <c:v>-1.2955700678996601E-3</c:v>
                </c:pt>
                <c:pt idx="36">
                  <c:v>-1.6527516006130099E-3</c:v>
                </c:pt>
                <c:pt idx="37">
                  <c:v>-1.42949383979511E-3</c:v>
                </c:pt>
                <c:pt idx="38">
                  <c:v>1.59736445116486E-3</c:v>
                </c:pt>
                <c:pt idx="39">
                  <c:v>-1.46163116923458E-3</c:v>
                </c:pt>
                <c:pt idx="40">
                  <c:v>-3.9523624045185203E-3</c:v>
                </c:pt>
                <c:pt idx="41">
                  <c:v>2.2136812476832501E-4</c:v>
                </c:pt>
                <c:pt idx="42">
                  <c:v>1.4605483454697701E-3</c:v>
                </c:pt>
                <c:pt idx="43">
                  <c:v>-1.5784963976657499E-3</c:v>
                </c:pt>
                <c:pt idx="44">
                  <c:v>-1.5173594197343599E-3</c:v>
                </c:pt>
                <c:pt idx="45">
                  <c:v>-1.38629421211652E-3</c:v>
                </c:pt>
                <c:pt idx="46">
                  <c:v>-1.23509859301437E-3</c:v>
                </c:pt>
                <c:pt idx="47">
                  <c:v>-7.1316494926081098E-4</c:v>
                </c:pt>
                <c:pt idx="48">
                  <c:v>1.3776747737741801E-3</c:v>
                </c:pt>
                <c:pt idx="49">
                  <c:v>1.9793698592804501E-3</c:v>
                </c:pt>
                <c:pt idx="50">
                  <c:v>2.0003968450624599E-3</c:v>
                </c:pt>
                <c:pt idx="51">
                  <c:v>1.5578313025334501E-3</c:v>
                </c:pt>
                <c:pt idx="52">
                  <c:v>4.7223660079807198E-3</c:v>
                </c:pt>
                <c:pt idx="53">
                  <c:v>3.9822132013752802E-3</c:v>
                </c:pt>
                <c:pt idx="54">
                  <c:v>3.75359754449305E-3</c:v>
                </c:pt>
                <c:pt idx="55">
                  <c:v>8.2081520001084807E-3</c:v>
                </c:pt>
                <c:pt idx="56">
                  <c:v>5.8435874204466002E-3</c:v>
                </c:pt>
                <c:pt idx="57">
                  <c:v>5.6454543354560001E-3</c:v>
                </c:pt>
                <c:pt idx="58">
                  <c:v>6.9841794627047296E-3</c:v>
                </c:pt>
                <c:pt idx="59">
                  <c:v>1.7774737305425599E-3</c:v>
                </c:pt>
                <c:pt idx="60">
                  <c:v>-1.8556428099150001E-3</c:v>
                </c:pt>
                <c:pt idx="61">
                  <c:v>-3.55419249752509E-3</c:v>
                </c:pt>
                <c:pt idx="62">
                  <c:v>-9.3672100644752096E-4</c:v>
                </c:pt>
                <c:pt idx="63">
                  <c:v>-1.5492799196235899E-3</c:v>
                </c:pt>
                <c:pt idx="64">
                  <c:v>-9.8085841950090692E-4</c:v>
                </c:pt>
                <c:pt idx="65">
                  <c:v>-1.05859404474045E-3</c:v>
                </c:pt>
                <c:pt idx="66">
                  <c:v>-8.1045962380872302E-4</c:v>
                </c:pt>
                <c:pt idx="67">
                  <c:v>5.3220864084681203E-5</c:v>
                </c:pt>
                <c:pt idx="68">
                  <c:v>2.3380889444936E-3</c:v>
                </c:pt>
                <c:pt idx="69">
                  <c:v>-9.5618893850683503E-4</c:v>
                </c:pt>
                <c:pt idx="70">
                  <c:v>-1.59638272739492E-3</c:v>
                </c:pt>
                <c:pt idx="71">
                  <c:v>3.3505629439080399E-3</c:v>
                </c:pt>
                <c:pt idx="72">
                  <c:v>1.1074213564997799E-3</c:v>
                </c:pt>
                <c:pt idx="73">
                  <c:v>6.0330487493055296E-4</c:v>
                </c:pt>
                <c:pt idx="74">
                  <c:v>5.9916192087489696E-3</c:v>
                </c:pt>
                <c:pt idx="75">
                  <c:v>4.9186249398721097E-3</c:v>
                </c:pt>
                <c:pt idx="76">
                  <c:v>2.0648374124012702E-3</c:v>
                </c:pt>
                <c:pt idx="77">
                  <c:v>3.1973351676521699E-3</c:v>
                </c:pt>
                <c:pt idx="78">
                  <c:v>-8.4424936278234902E-4</c:v>
                </c:pt>
                <c:pt idx="79">
                  <c:v>-3.5015106035104402E-3</c:v>
                </c:pt>
                <c:pt idx="80">
                  <c:v>1.5062247422586901E-3</c:v>
                </c:pt>
                <c:pt idx="81">
                  <c:v>-6.6498733841203897E-3</c:v>
                </c:pt>
                <c:pt idx="82">
                  <c:v>-4.4767846861531197E-3</c:v>
                </c:pt>
                <c:pt idx="83">
                  <c:v>-3.1331081051598499E-3</c:v>
                </c:pt>
                <c:pt idx="84">
                  <c:v>2.8629179685256E-4</c:v>
                </c:pt>
                <c:pt idx="85">
                  <c:v>-3.4497878817495498E-3</c:v>
                </c:pt>
                <c:pt idx="86">
                  <c:v>-5.2619638846138402E-3</c:v>
                </c:pt>
                <c:pt idx="87">
                  <c:v>2.22131752591292E-3</c:v>
                </c:pt>
                <c:pt idx="88">
                  <c:v>1.00291430360728E-2</c:v>
                </c:pt>
                <c:pt idx="89">
                  <c:v>6.5214265455883604E-3</c:v>
                </c:pt>
                <c:pt idx="90">
                  <c:v>6.9546956739779606E-5</c:v>
                </c:pt>
                <c:pt idx="91">
                  <c:v>5.2831936401350104E-3</c:v>
                </c:pt>
                <c:pt idx="92">
                  <c:v>3.7882060240176699E-3</c:v>
                </c:pt>
                <c:pt idx="93">
                  <c:v>2.33184747482527E-3</c:v>
                </c:pt>
                <c:pt idx="94">
                  <c:v>3.0645026975020802E-3</c:v>
                </c:pt>
                <c:pt idx="95">
                  <c:v>4.77220915236342E-3</c:v>
                </c:pt>
                <c:pt idx="96">
                  <c:v>8.8092647055549502E-3</c:v>
                </c:pt>
                <c:pt idx="97">
                  <c:v>9.9557057362559299E-3</c:v>
                </c:pt>
                <c:pt idx="98">
                  <c:v>1.1400598371542199E-2</c:v>
                </c:pt>
                <c:pt idx="99">
                  <c:v>1.10122648030375E-2</c:v>
                </c:pt>
                <c:pt idx="100">
                  <c:v>9.8394322284994507E-3</c:v>
                </c:pt>
                <c:pt idx="101">
                  <c:v>1.65235948863688E-2</c:v>
                </c:pt>
                <c:pt idx="102">
                  <c:v>1.90190685137888E-2</c:v>
                </c:pt>
                <c:pt idx="103">
                  <c:v>2.1087183035345701E-2</c:v>
                </c:pt>
                <c:pt idx="104">
                  <c:v>1.69462032275993E-2</c:v>
                </c:pt>
                <c:pt idx="105">
                  <c:v>2.5790990077633599E-3</c:v>
                </c:pt>
                <c:pt idx="106">
                  <c:v>-7.1140518720279296E-3</c:v>
                </c:pt>
                <c:pt idx="107">
                  <c:v>-2.2574726635926101E-3</c:v>
                </c:pt>
                <c:pt idx="108">
                  <c:v>-4.9751049328412896E-3</c:v>
                </c:pt>
                <c:pt idx="109">
                  <c:v>-4.4960056866614802E-3</c:v>
                </c:pt>
                <c:pt idx="110">
                  <c:v>-1.3802606621385999E-3</c:v>
                </c:pt>
                <c:pt idx="111">
                  <c:v>6.4741541792215102E-4</c:v>
                </c:pt>
                <c:pt idx="112">
                  <c:v>8.7427254203257404E-4</c:v>
                </c:pt>
                <c:pt idx="113">
                  <c:v>-3.38915917013669E-3</c:v>
                </c:pt>
                <c:pt idx="114">
                  <c:v>1.4324719502684701E-3</c:v>
                </c:pt>
                <c:pt idx="115">
                  <c:v>3.6474920350970698E-3</c:v>
                </c:pt>
                <c:pt idx="116">
                  <c:v>9.4843962469475102E-3</c:v>
                </c:pt>
                <c:pt idx="117">
                  <c:v>5.5708015764341402E-3</c:v>
                </c:pt>
                <c:pt idx="118">
                  <c:v>3.41421253476018E-3</c:v>
                </c:pt>
                <c:pt idx="119">
                  <c:v>3.3765531837197799E-3</c:v>
                </c:pt>
                <c:pt idx="120">
                  <c:v>1.4833394228853799E-3</c:v>
                </c:pt>
                <c:pt idx="121">
                  <c:v>-2.5219838588851698E-3</c:v>
                </c:pt>
                <c:pt idx="122">
                  <c:v>6.0503661406410803E-4</c:v>
                </c:pt>
                <c:pt idx="123">
                  <c:v>-1.1653510950338701E-2</c:v>
                </c:pt>
                <c:pt idx="124">
                  <c:v>-1.7068978312585598E-2</c:v>
                </c:pt>
                <c:pt idx="125">
                  <c:v>-1.51182350096438E-2</c:v>
                </c:pt>
                <c:pt idx="126">
                  <c:v>-2.0913147785707499E-2</c:v>
                </c:pt>
                <c:pt idx="127">
                  <c:v>-1.3113676725403801E-2</c:v>
                </c:pt>
                <c:pt idx="128">
                  <c:v>-6.2865392832756103E-3</c:v>
                </c:pt>
                <c:pt idx="129">
                  <c:v>-5.5431591040110799E-3</c:v>
                </c:pt>
                <c:pt idx="130">
                  <c:v>-6.7572841969635198E-3</c:v>
                </c:pt>
                <c:pt idx="131">
                  <c:v>-5.8207622876201197E-3</c:v>
                </c:pt>
                <c:pt idx="132">
                  <c:v>-1.625344414138E-2</c:v>
                </c:pt>
                <c:pt idx="133">
                  <c:v>-1.21338566114386E-2</c:v>
                </c:pt>
                <c:pt idx="134">
                  <c:v>-6.69682103300608E-3</c:v>
                </c:pt>
                <c:pt idx="135">
                  <c:v>-8.0132639756251393E-3</c:v>
                </c:pt>
                <c:pt idx="136">
                  <c:v>3.2076555744410301E-3</c:v>
                </c:pt>
                <c:pt idx="137">
                  <c:v>4.7765406713618898E-3</c:v>
                </c:pt>
                <c:pt idx="138">
                  <c:v>1.41951804321526E-2</c:v>
                </c:pt>
                <c:pt idx="139">
                  <c:v>9.4717983093853698E-3</c:v>
                </c:pt>
                <c:pt idx="140">
                  <c:v>4.5467949429247997E-3</c:v>
                </c:pt>
                <c:pt idx="141">
                  <c:v>-1.9385710630773899E-3</c:v>
                </c:pt>
                <c:pt idx="142">
                  <c:v>-7.1143396920748002E-3</c:v>
                </c:pt>
                <c:pt idx="143">
                  <c:v>4.6079096389992904E-3</c:v>
                </c:pt>
                <c:pt idx="144">
                  <c:v>-3.4816582550003402E-3</c:v>
                </c:pt>
                <c:pt idx="145">
                  <c:v>-1.2062888623198801E-2</c:v>
                </c:pt>
                <c:pt idx="146">
                  <c:v>-3.0637215601975599E-3</c:v>
                </c:pt>
                <c:pt idx="147">
                  <c:v>9.9562769738131504E-4</c:v>
                </c:pt>
                <c:pt idx="148">
                  <c:v>7.4130402909018699E-4</c:v>
                </c:pt>
                <c:pt idx="149">
                  <c:v>2.29290660952341E-3</c:v>
                </c:pt>
                <c:pt idx="150">
                  <c:v>7.8018511892221601E-4</c:v>
                </c:pt>
                <c:pt idx="151">
                  <c:v>5.4018085616430204E-3</c:v>
                </c:pt>
                <c:pt idx="152">
                  <c:v>1.13824108532818E-2</c:v>
                </c:pt>
                <c:pt idx="153">
                  <c:v>5.84884913608645E-3</c:v>
                </c:pt>
                <c:pt idx="154">
                  <c:v>5.8810787554809197E-3</c:v>
                </c:pt>
                <c:pt idx="155">
                  <c:v>9.3521182354919796E-3</c:v>
                </c:pt>
                <c:pt idx="156">
                  <c:v>2.8420791059903601E-3</c:v>
                </c:pt>
                <c:pt idx="157">
                  <c:v>-1.59914442807234E-3</c:v>
                </c:pt>
                <c:pt idx="158">
                  <c:v>-6.6063005896197099E-4</c:v>
                </c:pt>
                <c:pt idx="159">
                  <c:v>-1.65338535868898E-3</c:v>
                </c:pt>
                <c:pt idx="160">
                  <c:v>-6.9919964310758698E-3</c:v>
                </c:pt>
                <c:pt idx="161">
                  <c:v>-5.4540056602383801E-3</c:v>
                </c:pt>
                <c:pt idx="162">
                  <c:v>-1.62972529245472E-3</c:v>
                </c:pt>
                <c:pt idx="163">
                  <c:v>1.5230305295127801E-3</c:v>
                </c:pt>
                <c:pt idx="164">
                  <c:v>-3.6686094299441E-3</c:v>
                </c:pt>
                <c:pt idx="165">
                  <c:v>9.5539743896259303E-4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4-46EA-B295-078431A0CA75}"/>
            </c:ext>
          </c:extLst>
        </c:ser>
        <c:ser>
          <c:idx val="2"/>
          <c:order val="2"/>
          <c:tx>
            <c:strRef>
              <c:f>XLK_IYW_2!$AG$1</c:f>
              <c:strCache>
                <c:ptCount val="1"/>
                <c:pt idx="0">
                  <c:v>log diff XLK* x 20 dma / IYW*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XLK_IYW_2!$AG$2:$AG$167</c:f>
              <c:numCache>
                <c:formatCode>0.00%</c:formatCode>
                <c:ptCount val="166"/>
                <c:pt idx="20">
                  <c:v>2.46937437618951E-3</c:v>
                </c:pt>
                <c:pt idx="21">
                  <c:v>3.7609443694330202E-3</c:v>
                </c:pt>
                <c:pt idx="22">
                  <c:v>-1.4929348907730001E-3</c:v>
                </c:pt>
                <c:pt idx="23">
                  <c:v>-4.2650520191434699E-4</c:v>
                </c:pt>
                <c:pt idx="24">
                  <c:v>3.6482464298234298E-3</c:v>
                </c:pt>
                <c:pt idx="25">
                  <c:v>4.2252763897915099E-3</c:v>
                </c:pt>
                <c:pt idx="26">
                  <c:v>3.3899108890196299E-3</c:v>
                </c:pt>
                <c:pt idx="27">
                  <c:v>5.0372487906597697E-3</c:v>
                </c:pt>
                <c:pt idx="28">
                  <c:v>2.3754854367238798E-3</c:v>
                </c:pt>
                <c:pt idx="29">
                  <c:v>5.9597830056597103E-3</c:v>
                </c:pt>
                <c:pt idx="30">
                  <c:v>5.3747279693433002E-3</c:v>
                </c:pt>
                <c:pt idx="31">
                  <c:v>4.8734942026998204E-3</c:v>
                </c:pt>
                <c:pt idx="32">
                  <c:v>4.0205694227494699E-3</c:v>
                </c:pt>
                <c:pt idx="33">
                  <c:v>1.92448819355677E-3</c:v>
                </c:pt>
                <c:pt idx="34">
                  <c:v>1.2559464097813399E-3</c:v>
                </c:pt>
                <c:pt idx="35">
                  <c:v>1.2665252653575199E-3</c:v>
                </c:pt>
                <c:pt idx="36">
                  <c:v>6.0157523841411899E-4</c:v>
                </c:pt>
                <c:pt idx="37">
                  <c:v>6.0420785254213904E-4</c:v>
                </c:pt>
                <c:pt idx="38">
                  <c:v>3.37107226946875E-3</c:v>
                </c:pt>
                <c:pt idx="39">
                  <c:v>3.1911880972770401E-4</c:v>
                </c:pt>
                <c:pt idx="40">
                  <c:v>-2.8339745775451302E-3</c:v>
                </c:pt>
                <c:pt idx="41">
                  <c:v>7.2507542314534997E-4</c:v>
                </c:pt>
                <c:pt idx="42">
                  <c:v>1.6378928981692601E-3</c:v>
                </c:pt>
                <c:pt idx="43">
                  <c:v>-1.8547212331769399E-3</c:v>
                </c:pt>
                <c:pt idx="44">
                  <c:v>-2.1521762434015298E-3</c:v>
                </c:pt>
                <c:pt idx="45">
                  <c:v>-2.1160425044115098E-3</c:v>
                </c:pt>
                <c:pt idx="46">
                  <c:v>-2.0294501436649202E-3</c:v>
                </c:pt>
                <c:pt idx="47">
                  <c:v>-1.5559383263246301E-3</c:v>
                </c:pt>
                <c:pt idx="48">
                  <c:v>5.8486697390845396E-4</c:v>
                </c:pt>
                <c:pt idx="49">
                  <c:v>9.4046159446644999E-4</c:v>
                </c:pt>
                <c:pt idx="50">
                  <c:v>1.20142765282849E-3</c:v>
                </c:pt>
                <c:pt idx="51">
                  <c:v>1.27761120319029E-3</c:v>
                </c:pt>
                <c:pt idx="52">
                  <c:v>4.5909441304650299E-3</c:v>
                </c:pt>
                <c:pt idx="53">
                  <c:v>4.0291795194214797E-3</c:v>
                </c:pt>
                <c:pt idx="54">
                  <c:v>4.1699093190541202E-3</c:v>
                </c:pt>
                <c:pt idx="55">
                  <c:v>8.9952690409876197E-3</c:v>
                </c:pt>
                <c:pt idx="56">
                  <c:v>7.26623748733641E-3</c:v>
                </c:pt>
                <c:pt idx="57">
                  <c:v>7.6235736503655997E-3</c:v>
                </c:pt>
                <c:pt idx="58">
                  <c:v>9.5276407941342501E-3</c:v>
                </c:pt>
                <c:pt idx="59">
                  <c:v>4.9465573503660702E-3</c:v>
                </c:pt>
                <c:pt idx="60">
                  <c:v>1.5530050056849301E-3</c:v>
                </c:pt>
                <c:pt idx="61">
                  <c:v>-2.1557713354507699E-4</c:v>
                </c:pt>
                <c:pt idx="62">
                  <c:v>2.4413210080064598E-3</c:v>
                </c:pt>
                <c:pt idx="63">
                  <c:v>1.7333226270278401E-3</c:v>
                </c:pt>
                <c:pt idx="64">
                  <c:v>2.0697839776981598E-3</c:v>
                </c:pt>
                <c:pt idx="65">
                  <c:v>1.75429954002573E-3</c:v>
                </c:pt>
                <c:pt idx="66">
                  <c:v>1.26110749449579E-3</c:v>
                </c:pt>
                <c:pt idx="67">
                  <c:v>1.5020985798145201E-3</c:v>
                </c:pt>
                <c:pt idx="68">
                  <c:v>3.1360517907362E-3</c:v>
                </c:pt>
                <c:pt idx="69">
                  <c:v>-8.4422685364554802E-4</c:v>
                </c:pt>
                <c:pt idx="70">
                  <c:v>-1.9166116345140699E-3</c:v>
                </c:pt>
                <c:pt idx="71">
                  <c:v>2.8633122476804298E-3</c:v>
                </c:pt>
                <c:pt idx="72">
                  <c:v>8.3851463559104903E-4</c:v>
                </c:pt>
                <c:pt idx="73">
                  <c:v>3.5532003086584499E-4</c:v>
                </c:pt>
                <c:pt idx="74">
                  <c:v>5.7752234866206504E-3</c:v>
                </c:pt>
                <c:pt idx="75">
                  <c:v>4.9604119255768396E-3</c:v>
                </c:pt>
                <c:pt idx="76">
                  <c:v>2.5915917274349802E-3</c:v>
                </c:pt>
                <c:pt idx="77">
                  <c:v>4.0464441641780598E-3</c:v>
                </c:pt>
                <c:pt idx="78">
                  <c:v>3.8182340461632102E-4</c:v>
                </c:pt>
                <c:pt idx="79">
                  <c:v>-2.15996192145678E-3</c:v>
                </c:pt>
                <c:pt idx="80">
                  <c:v>2.9802171316230799E-3</c:v>
                </c:pt>
                <c:pt idx="81">
                  <c:v>-4.8532904961348603E-3</c:v>
                </c:pt>
                <c:pt idx="82">
                  <c:v>-3.2991227399386701E-3</c:v>
                </c:pt>
                <c:pt idx="83">
                  <c:v>-2.1929391375179099E-3</c:v>
                </c:pt>
                <c:pt idx="84">
                  <c:v>1.05041356618774E-3</c:v>
                </c:pt>
                <c:pt idx="85">
                  <c:v>-3.2204762752610699E-3</c:v>
                </c:pt>
                <c:pt idx="86">
                  <c:v>-5.7302659775463304E-3</c:v>
                </c:pt>
                <c:pt idx="87">
                  <c:v>1.1435631260088E-3</c:v>
                </c:pt>
                <c:pt idx="88">
                  <c:v>8.5539274908808492E-3</c:v>
                </c:pt>
                <c:pt idx="89">
                  <c:v>5.4760680707602203E-3</c:v>
                </c:pt>
                <c:pt idx="90">
                  <c:v>-5.8726427169868102E-4</c:v>
                </c:pt>
                <c:pt idx="91">
                  <c:v>4.1864766322792599E-3</c:v>
                </c:pt>
                <c:pt idx="92">
                  <c:v>3.4994153242171901E-3</c:v>
                </c:pt>
                <c:pt idx="93">
                  <c:v>2.5895347101850198E-3</c:v>
                </c:pt>
                <c:pt idx="94">
                  <c:v>3.7147122644731701E-3</c:v>
                </c:pt>
                <c:pt idx="95">
                  <c:v>5.8348590929118401E-3</c:v>
                </c:pt>
                <c:pt idx="96">
                  <c:v>1.07862243822162E-2</c:v>
                </c:pt>
                <c:pt idx="97">
                  <c:v>1.3251676842935199E-2</c:v>
                </c:pt>
                <c:pt idx="98">
                  <c:v>1.5570121301441199E-2</c:v>
                </c:pt>
                <c:pt idx="99">
                  <c:v>1.5270085701441401E-2</c:v>
                </c:pt>
                <c:pt idx="100">
                  <c:v>1.4349567153374E-2</c:v>
                </c:pt>
                <c:pt idx="101">
                  <c:v>2.2115435134021699E-2</c:v>
                </c:pt>
                <c:pt idx="102">
                  <c:v>2.5242615192632899E-2</c:v>
                </c:pt>
                <c:pt idx="103">
                  <c:v>2.8309585305189702E-2</c:v>
                </c:pt>
                <c:pt idx="104">
                  <c:v>2.5532719885258601E-2</c:v>
                </c:pt>
                <c:pt idx="105">
                  <c:v>1.2523570334321501E-2</c:v>
                </c:pt>
                <c:pt idx="106">
                  <c:v>3.2025282772034798E-3</c:v>
                </c:pt>
                <c:pt idx="107">
                  <c:v>7.3828470318378601E-3</c:v>
                </c:pt>
                <c:pt idx="108">
                  <c:v>4.2984070798571996E-3</c:v>
                </c:pt>
                <c:pt idx="109">
                  <c:v>4.3973184168520198E-3</c:v>
                </c:pt>
                <c:pt idx="110">
                  <c:v>6.9721709371022098E-3</c:v>
                </c:pt>
                <c:pt idx="111">
                  <c:v>8.3275409154916508E-3</c:v>
                </c:pt>
                <c:pt idx="112">
                  <c:v>7.4026404319657698E-3</c:v>
                </c:pt>
                <c:pt idx="113">
                  <c:v>1.4976010041312601E-3</c:v>
                </c:pt>
                <c:pt idx="114">
                  <c:v>3.9248114091491298E-3</c:v>
                </c:pt>
                <c:pt idx="115">
                  <c:v>4.0645581270214604E-3</c:v>
                </c:pt>
                <c:pt idx="116">
                  <c:v>9.1101341168715703E-3</c:v>
                </c:pt>
                <c:pt idx="117">
                  <c:v>5.7559185868201199E-3</c:v>
                </c:pt>
                <c:pt idx="118">
                  <c:v>3.6579278748246802E-3</c:v>
                </c:pt>
                <c:pt idx="119">
                  <c:v>3.9599508293192299E-3</c:v>
                </c:pt>
                <c:pt idx="120">
                  <c:v>2.4090403031761698E-3</c:v>
                </c:pt>
                <c:pt idx="121">
                  <c:v>-1.63232932897958E-3</c:v>
                </c:pt>
                <c:pt idx="122">
                  <c:v>1.45368472632328E-3</c:v>
                </c:pt>
                <c:pt idx="123">
                  <c:v>-1.04775778010159E-2</c:v>
                </c:pt>
                <c:pt idx="124">
                  <c:v>-1.5457749287968E-2</c:v>
                </c:pt>
                <c:pt idx="125">
                  <c:v>-1.3755130797054701E-2</c:v>
                </c:pt>
                <c:pt idx="126">
                  <c:v>-2.04528744336866E-2</c:v>
                </c:pt>
                <c:pt idx="127">
                  <c:v>-1.49246034846189E-2</c:v>
                </c:pt>
                <c:pt idx="128">
                  <c:v>-9.6194695376847598E-3</c:v>
                </c:pt>
                <c:pt idx="129">
                  <c:v>-1.0132245304678201E-2</c:v>
                </c:pt>
                <c:pt idx="130">
                  <c:v>-1.26938662968973E-2</c:v>
                </c:pt>
                <c:pt idx="131">
                  <c:v>-1.29883035642247E-2</c:v>
                </c:pt>
                <c:pt idx="132">
                  <c:v>-2.42260021595774E-2</c:v>
                </c:pt>
                <c:pt idx="133">
                  <c:v>-2.18030940099068E-2</c:v>
                </c:pt>
                <c:pt idx="134">
                  <c:v>-1.7057692161488999E-2</c:v>
                </c:pt>
                <c:pt idx="135">
                  <c:v>-1.8129349374204101E-2</c:v>
                </c:pt>
                <c:pt idx="136">
                  <c:v>-6.7647771483421897E-3</c:v>
                </c:pt>
                <c:pt idx="137">
                  <c:v>-3.5269301351135199E-3</c:v>
                </c:pt>
                <c:pt idx="138">
                  <c:v>7.0594717595355103E-3</c:v>
                </c:pt>
                <c:pt idx="139">
                  <c:v>3.450001722166E-3</c:v>
                </c:pt>
                <c:pt idx="140">
                  <c:v>-4.3321443506017502E-4</c:v>
                </c:pt>
                <c:pt idx="141">
                  <c:v>-5.8545045911288802E-3</c:v>
                </c:pt>
                <c:pt idx="142">
                  <c:v>-1.03500771680678E-2</c:v>
                </c:pt>
                <c:pt idx="143">
                  <c:v>3.1424631584722998E-3</c:v>
                </c:pt>
                <c:pt idx="144">
                  <c:v>-3.2587932225933902E-3</c:v>
                </c:pt>
                <c:pt idx="145">
                  <c:v>-1.11321653508664E-2</c:v>
                </c:pt>
                <c:pt idx="146">
                  <c:v>-1.58095952289883E-3</c:v>
                </c:pt>
                <c:pt idx="147">
                  <c:v>2.1087248610035798E-3</c:v>
                </c:pt>
                <c:pt idx="148">
                  <c:v>1.7161645136182201E-3</c:v>
                </c:pt>
                <c:pt idx="149">
                  <c:v>2.3914487303442599E-3</c:v>
                </c:pt>
                <c:pt idx="150">
                  <c:v>3.8624663818119601E-4</c:v>
                </c:pt>
                <c:pt idx="151">
                  <c:v>4.7153374847950904E-3</c:v>
                </c:pt>
                <c:pt idx="152">
                  <c:v>1.11916445723834E-2</c:v>
                </c:pt>
                <c:pt idx="153">
                  <c:v>6.4287177275674104E-3</c:v>
                </c:pt>
                <c:pt idx="154">
                  <c:v>5.8877457000805202E-3</c:v>
                </c:pt>
                <c:pt idx="155">
                  <c:v>9.6432421478060398E-3</c:v>
                </c:pt>
                <c:pt idx="156">
                  <c:v>4.3478482900930603E-3</c:v>
                </c:pt>
                <c:pt idx="157">
                  <c:v>5.2001723476669405E-4</c:v>
                </c:pt>
                <c:pt idx="158">
                  <c:v>1.61869532430192E-3</c:v>
                </c:pt>
                <c:pt idx="159">
                  <c:v>1.35702890801308E-3</c:v>
                </c:pt>
                <c:pt idx="160">
                  <c:v>-3.5296049721509899E-3</c:v>
                </c:pt>
                <c:pt idx="161">
                  <c:v>-1.8072250077563799E-3</c:v>
                </c:pt>
                <c:pt idx="162">
                  <c:v>1.53831595903193E-3</c:v>
                </c:pt>
                <c:pt idx="163">
                  <c:v>3.4498163645014799E-3</c:v>
                </c:pt>
                <c:pt idx="164">
                  <c:v>-1.8853189326041E-3</c:v>
                </c:pt>
                <c:pt idx="165">
                  <c:v>1.9697218285117299E-3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E4-46EA-B295-078431A0C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XLK_IYW_2!$Y$1</c:f>
              <c:strCache>
                <c:ptCount val="1"/>
                <c:pt idx="0">
                  <c:v> IYW*/XLK*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XLK_IYW_2!$Y$2:$Y$167</c:f>
              <c:numCache>
                <c:formatCode>_(* #,##0.0000_);_(* \(#,##0.0000\);_(* "-"??_);_(@_)</c:formatCode>
                <c:ptCount val="166"/>
                <c:pt idx="0">
                  <c:v>1.3555780340485399</c:v>
                </c:pt>
                <c:pt idx="1">
                  <c:v>1.3555780340485399</c:v>
                </c:pt>
                <c:pt idx="2">
                  <c:v>1.3555780340485399</c:v>
                </c:pt>
                <c:pt idx="3">
                  <c:v>1.3555780340485399</c:v>
                </c:pt>
                <c:pt idx="4">
                  <c:v>1.3555780340485399</c:v>
                </c:pt>
                <c:pt idx="5">
                  <c:v>1.3555780340485399</c:v>
                </c:pt>
                <c:pt idx="6">
                  <c:v>1.3555780340485399</c:v>
                </c:pt>
                <c:pt idx="7">
                  <c:v>1.3555780340485399</c:v>
                </c:pt>
                <c:pt idx="8">
                  <c:v>1.3555780340485399</c:v>
                </c:pt>
                <c:pt idx="9">
                  <c:v>1.3555780340485399</c:v>
                </c:pt>
                <c:pt idx="10">
                  <c:v>1.3555780340485399</c:v>
                </c:pt>
                <c:pt idx="11">
                  <c:v>1.3555780340485399</c:v>
                </c:pt>
                <c:pt idx="12">
                  <c:v>1.3555780340485399</c:v>
                </c:pt>
                <c:pt idx="13">
                  <c:v>1.3555780340485399</c:v>
                </c:pt>
                <c:pt idx="14">
                  <c:v>1.3555780340485399</c:v>
                </c:pt>
                <c:pt idx="15">
                  <c:v>1.3555780340485399</c:v>
                </c:pt>
                <c:pt idx="16">
                  <c:v>1.3555780340485399</c:v>
                </c:pt>
                <c:pt idx="17">
                  <c:v>1.3555780340485399</c:v>
                </c:pt>
                <c:pt idx="18">
                  <c:v>1.3555780340485399</c:v>
                </c:pt>
                <c:pt idx="19">
                  <c:v>1.3555780340485399</c:v>
                </c:pt>
                <c:pt idx="20">
                  <c:v>1.3555780340485399</c:v>
                </c:pt>
                <c:pt idx="21">
                  <c:v>1.3555780340485399</c:v>
                </c:pt>
                <c:pt idx="22">
                  <c:v>1.3555780340485399</c:v>
                </c:pt>
                <c:pt idx="23">
                  <c:v>1.3555780340485399</c:v>
                </c:pt>
                <c:pt idx="24">
                  <c:v>1.3555780340485399</c:v>
                </c:pt>
                <c:pt idx="25">
                  <c:v>1.3555780340485399</c:v>
                </c:pt>
                <c:pt idx="26">
                  <c:v>1.3555780340485399</c:v>
                </c:pt>
                <c:pt idx="27">
                  <c:v>1.3555780340485399</c:v>
                </c:pt>
                <c:pt idx="28">
                  <c:v>1.3555780340485399</c:v>
                </c:pt>
                <c:pt idx="29">
                  <c:v>1.3555780340485399</c:v>
                </c:pt>
                <c:pt idx="30">
                  <c:v>1.3555780340485399</c:v>
                </c:pt>
                <c:pt idx="31">
                  <c:v>1.3555780340485399</c:v>
                </c:pt>
                <c:pt idx="32">
                  <c:v>1.3555780340485399</c:v>
                </c:pt>
                <c:pt idx="33">
                  <c:v>1.3555780340485399</c:v>
                </c:pt>
                <c:pt idx="34">
                  <c:v>1.3555780340485399</c:v>
                </c:pt>
                <c:pt idx="35">
                  <c:v>1.3555780340485399</c:v>
                </c:pt>
                <c:pt idx="36">
                  <c:v>1.3555780340485399</c:v>
                </c:pt>
                <c:pt idx="37">
                  <c:v>1.3555780340485399</c:v>
                </c:pt>
                <c:pt idx="38">
                  <c:v>1.3555780340485399</c:v>
                </c:pt>
                <c:pt idx="39">
                  <c:v>1.3555780340485399</c:v>
                </c:pt>
                <c:pt idx="40">
                  <c:v>1.3555780340485399</c:v>
                </c:pt>
                <c:pt idx="41">
                  <c:v>1.3555780340485399</c:v>
                </c:pt>
                <c:pt idx="42">
                  <c:v>1.3555780340485399</c:v>
                </c:pt>
                <c:pt idx="43">
                  <c:v>1.3555780340485399</c:v>
                </c:pt>
                <c:pt idx="44">
                  <c:v>1.3555780340485399</c:v>
                </c:pt>
                <c:pt idx="45">
                  <c:v>1.3555780340485399</c:v>
                </c:pt>
                <c:pt idx="46">
                  <c:v>1.3555780340485399</c:v>
                </c:pt>
                <c:pt idx="47">
                  <c:v>1.3555780340485399</c:v>
                </c:pt>
                <c:pt idx="48">
                  <c:v>1.3555780340485399</c:v>
                </c:pt>
                <c:pt idx="49">
                  <c:v>1.3555780340485399</c:v>
                </c:pt>
                <c:pt idx="50">
                  <c:v>1.3555780340485399</c:v>
                </c:pt>
                <c:pt idx="51">
                  <c:v>1.3555780340485399</c:v>
                </c:pt>
                <c:pt idx="52">
                  <c:v>1.3555780340485399</c:v>
                </c:pt>
                <c:pt idx="53">
                  <c:v>1.3555780340485399</c:v>
                </c:pt>
                <c:pt idx="54">
                  <c:v>1.3555780340485399</c:v>
                </c:pt>
                <c:pt idx="55">
                  <c:v>1.3555780340485399</c:v>
                </c:pt>
                <c:pt idx="56">
                  <c:v>1.3555780340485399</c:v>
                </c:pt>
                <c:pt idx="57">
                  <c:v>1.3555780340485399</c:v>
                </c:pt>
                <c:pt idx="58">
                  <c:v>1.3555780340485399</c:v>
                </c:pt>
                <c:pt idx="59">
                  <c:v>1.3555780340485399</c:v>
                </c:pt>
                <c:pt idx="60">
                  <c:v>1.3555780340485399</c:v>
                </c:pt>
                <c:pt idx="61">
                  <c:v>1.3555780340485399</c:v>
                </c:pt>
                <c:pt idx="62">
                  <c:v>1.3555780340485399</c:v>
                </c:pt>
                <c:pt idx="63">
                  <c:v>1.3555780340485399</c:v>
                </c:pt>
                <c:pt idx="64">
                  <c:v>1.3555780340485399</c:v>
                </c:pt>
                <c:pt idx="65">
                  <c:v>1.3555780340485399</c:v>
                </c:pt>
                <c:pt idx="66">
                  <c:v>1.3555780340485399</c:v>
                </c:pt>
                <c:pt idx="67">
                  <c:v>1.3555780340485399</c:v>
                </c:pt>
                <c:pt idx="68">
                  <c:v>1.3555780340485399</c:v>
                </c:pt>
                <c:pt idx="69">
                  <c:v>1.3555780340485399</c:v>
                </c:pt>
                <c:pt idx="70">
                  <c:v>1.3555780340485399</c:v>
                </c:pt>
                <c:pt idx="71">
                  <c:v>1.3555780340485399</c:v>
                </c:pt>
                <c:pt idx="72">
                  <c:v>1.3555780340485399</c:v>
                </c:pt>
                <c:pt idx="73">
                  <c:v>1.3555780340485399</c:v>
                </c:pt>
                <c:pt idx="74">
                  <c:v>1.3555780340485399</c:v>
                </c:pt>
                <c:pt idx="75">
                  <c:v>1.3555780340485399</c:v>
                </c:pt>
                <c:pt idx="76">
                  <c:v>1.3555780340485399</c:v>
                </c:pt>
                <c:pt idx="77">
                  <c:v>1.3555780340485399</c:v>
                </c:pt>
                <c:pt idx="78">
                  <c:v>1.3555780340485399</c:v>
                </c:pt>
                <c:pt idx="79">
                  <c:v>1.3555780340485399</c:v>
                </c:pt>
                <c:pt idx="80">
                  <c:v>1.3555780340485399</c:v>
                </c:pt>
                <c:pt idx="81">
                  <c:v>1.3555780340485399</c:v>
                </c:pt>
                <c:pt idx="82">
                  <c:v>1.3555780340485399</c:v>
                </c:pt>
                <c:pt idx="83">
                  <c:v>1.3555780340485399</c:v>
                </c:pt>
                <c:pt idx="84">
                  <c:v>1.3555780340485399</c:v>
                </c:pt>
                <c:pt idx="85">
                  <c:v>1.3555780340485399</c:v>
                </c:pt>
                <c:pt idx="86">
                  <c:v>1.3555780340485399</c:v>
                </c:pt>
                <c:pt idx="87">
                  <c:v>1.3555780340485399</c:v>
                </c:pt>
                <c:pt idx="88">
                  <c:v>1.3555780340485399</c:v>
                </c:pt>
                <c:pt idx="89">
                  <c:v>1.3555780340485399</c:v>
                </c:pt>
                <c:pt idx="90">
                  <c:v>1.3555780340485399</c:v>
                </c:pt>
                <c:pt idx="91">
                  <c:v>1.3555780340485399</c:v>
                </c:pt>
                <c:pt idx="92">
                  <c:v>1.3555780340485399</c:v>
                </c:pt>
                <c:pt idx="93">
                  <c:v>1.3555780340485399</c:v>
                </c:pt>
                <c:pt idx="94">
                  <c:v>1.3555780340485399</c:v>
                </c:pt>
                <c:pt idx="95">
                  <c:v>1.3555780340485399</c:v>
                </c:pt>
                <c:pt idx="96">
                  <c:v>1.3555780340485399</c:v>
                </c:pt>
                <c:pt idx="97">
                  <c:v>1.3555780340485399</c:v>
                </c:pt>
                <c:pt idx="98">
                  <c:v>1.3555780340485399</c:v>
                </c:pt>
                <c:pt idx="99">
                  <c:v>1.3555780340485399</c:v>
                </c:pt>
                <c:pt idx="100">
                  <c:v>1.3555780340485399</c:v>
                </c:pt>
                <c:pt idx="101">
                  <c:v>1.3555780340485399</c:v>
                </c:pt>
                <c:pt idx="102">
                  <c:v>1.3555780340485399</c:v>
                </c:pt>
                <c:pt idx="103">
                  <c:v>1.3555780340485399</c:v>
                </c:pt>
                <c:pt idx="104">
                  <c:v>1.3555780340485399</c:v>
                </c:pt>
                <c:pt idx="105">
                  <c:v>1.3555780340485399</c:v>
                </c:pt>
                <c:pt idx="106">
                  <c:v>1.3555780340485399</c:v>
                </c:pt>
                <c:pt idx="107">
                  <c:v>1.3555780340485399</c:v>
                </c:pt>
                <c:pt idx="108">
                  <c:v>1.3555780340485399</c:v>
                </c:pt>
                <c:pt idx="109">
                  <c:v>1.3555780340485399</c:v>
                </c:pt>
                <c:pt idx="110">
                  <c:v>1.3555780340485399</c:v>
                </c:pt>
                <c:pt idx="111">
                  <c:v>1.3555780340485399</c:v>
                </c:pt>
                <c:pt idx="112">
                  <c:v>1.3555780340485399</c:v>
                </c:pt>
                <c:pt idx="113">
                  <c:v>1.3555780340485399</c:v>
                </c:pt>
                <c:pt idx="114">
                  <c:v>1.3555780340485399</c:v>
                </c:pt>
                <c:pt idx="115">
                  <c:v>1.3555780340485399</c:v>
                </c:pt>
                <c:pt idx="116">
                  <c:v>1.3555780340485399</c:v>
                </c:pt>
                <c:pt idx="117">
                  <c:v>1.3555780340485399</c:v>
                </c:pt>
                <c:pt idx="118">
                  <c:v>1.3555780340485399</c:v>
                </c:pt>
                <c:pt idx="119">
                  <c:v>1.3555780340485399</c:v>
                </c:pt>
                <c:pt idx="120">
                  <c:v>1.3555780340485399</c:v>
                </c:pt>
                <c:pt idx="121">
                  <c:v>1.3555780340485399</c:v>
                </c:pt>
                <c:pt idx="122">
                  <c:v>1.3555780340485399</c:v>
                </c:pt>
                <c:pt idx="123">
                  <c:v>1.3555780340485399</c:v>
                </c:pt>
                <c:pt idx="124">
                  <c:v>1.3555780340485399</c:v>
                </c:pt>
                <c:pt idx="125">
                  <c:v>1.3555780340485399</c:v>
                </c:pt>
                <c:pt idx="126">
                  <c:v>1.3555780340485399</c:v>
                </c:pt>
                <c:pt idx="127">
                  <c:v>1.3555780340485399</c:v>
                </c:pt>
                <c:pt idx="128">
                  <c:v>1.3555780340485399</c:v>
                </c:pt>
                <c:pt idx="129">
                  <c:v>1.3555780340485399</c:v>
                </c:pt>
                <c:pt idx="130">
                  <c:v>1.3555780340485399</c:v>
                </c:pt>
                <c:pt idx="131">
                  <c:v>1.3555780340485399</c:v>
                </c:pt>
                <c:pt idx="132">
                  <c:v>1.3555780340485399</c:v>
                </c:pt>
                <c:pt idx="133">
                  <c:v>1.3555780340485399</c:v>
                </c:pt>
                <c:pt idx="134">
                  <c:v>1.3555780340485399</c:v>
                </c:pt>
                <c:pt idx="135">
                  <c:v>1.3555780340485399</c:v>
                </c:pt>
                <c:pt idx="136">
                  <c:v>1.3555780340485399</c:v>
                </c:pt>
                <c:pt idx="137">
                  <c:v>1.3555780340485399</c:v>
                </c:pt>
                <c:pt idx="138">
                  <c:v>1.3555780340485399</c:v>
                </c:pt>
                <c:pt idx="139">
                  <c:v>1.3555780340485399</c:v>
                </c:pt>
                <c:pt idx="140">
                  <c:v>1.3555780340485399</c:v>
                </c:pt>
                <c:pt idx="141">
                  <c:v>1.3555780340485399</c:v>
                </c:pt>
                <c:pt idx="142">
                  <c:v>1.3555780340485399</c:v>
                </c:pt>
                <c:pt idx="143">
                  <c:v>1.3555780340485399</c:v>
                </c:pt>
                <c:pt idx="144">
                  <c:v>1.3555780340485399</c:v>
                </c:pt>
                <c:pt idx="145">
                  <c:v>1.3555780340485399</c:v>
                </c:pt>
                <c:pt idx="146">
                  <c:v>1.3555780340485399</c:v>
                </c:pt>
                <c:pt idx="147">
                  <c:v>1.3555780340485399</c:v>
                </c:pt>
                <c:pt idx="148">
                  <c:v>1.3555780340485399</c:v>
                </c:pt>
                <c:pt idx="149">
                  <c:v>1.3555780340485399</c:v>
                </c:pt>
                <c:pt idx="150">
                  <c:v>1.3555780340485399</c:v>
                </c:pt>
                <c:pt idx="151">
                  <c:v>1.3555780340485399</c:v>
                </c:pt>
                <c:pt idx="152">
                  <c:v>1.3555780340485399</c:v>
                </c:pt>
                <c:pt idx="153">
                  <c:v>1.3555780340485399</c:v>
                </c:pt>
                <c:pt idx="154">
                  <c:v>1.3555780340485399</c:v>
                </c:pt>
                <c:pt idx="155">
                  <c:v>1.3555780340485399</c:v>
                </c:pt>
                <c:pt idx="156">
                  <c:v>1.3555780340485399</c:v>
                </c:pt>
                <c:pt idx="157">
                  <c:v>1.3555780340485399</c:v>
                </c:pt>
                <c:pt idx="158">
                  <c:v>1.3555780340485399</c:v>
                </c:pt>
                <c:pt idx="159">
                  <c:v>1.3555780340485399</c:v>
                </c:pt>
                <c:pt idx="160">
                  <c:v>1.3555780340485399</c:v>
                </c:pt>
                <c:pt idx="161">
                  <c:v>1.3555780340485399</c:v>
                </c:pt>
                <c:pt idx="162">
                  <c:v>1.3555780340485399</c:v>
                </c:pt>
                <c:pt idx="163">
                  <c:v>1.3555780340485399</c:v>
                </c:pt>
                <c:pt idx="164">
                  <c:v>1.3555780340485399</c:v>
                </c:pt>
                <c:pt idx="165">
                  <c:v>1.3555780340485399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8-4552-8534-B2F37557F2ED}"/>
            </c:ext>
          </c:extLst>
        </c:ser>
        <c:ser>
          <c:idx val="1"/>
          <c:order val="1"/>
          <c:tx>
            <c:strRef>
              <c:f>XLK_IYW_2!$Z$1</c:f>
              <c:strCache>
                <c:ptCount val="1"/>
                <c:pt idx="0">
                  <c:v> IYW*/XLK*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XLK_IYW_2!$Z$2:$Z$167</c:f>
              <c:numCache>
                <c:formatCode>_(* #,##0.0000_);_(* \(#,##0.0000\);_(* "-"??_);_(@_)</c:formatCode>
                <c:ptCount val="166"/>
                <c:pt idx="9">
                  <c:v>1.3807734927492901</c:v>
                </c:pt>
                <c:pt idx="10">
                  <c:v>1.37951781661104</c:v>
                </c:pt>
                <c:pt idx="11">
                  <c:v>1.3782221646572299</c:v>
                </c:pt>
                <c:pt idx="12">
                  <c:v>1.3773587266526801</c:v>
                </c:pt>
                <c:pt idx="13">
                  <c:v>1.37636613889185</c:v>
                </c:pt>
                <c:pt idx="14">
                  <c:v>1.3755133614527</c:v>
                </c:pt>
                <c:pt idx="15">
                  <c:v>1.37523038648999</c:v>
                </c:pt>
                <c:pt idx="16">
                  <c:v>1.3749213620187899</c:v>
                </c:pt>
                <c:pt idx="17">
                  <c:v>1.37427105765098</c:v>
                </c:pt>
                <c:pt idx="18">
                  <c:v>1.3740271606863099</c:v>
                </c:pt>
                <c:pt idx="19">
                  <c:v>1.37447290180741</c:v>
                </c:pt>
                <c:pt idx="20">
                  <c:v>1.3746272220859299</c:v>
                </c:pt>
                <c:pt idx="21">
                  <c:v>1.3745431437182301</c:v>
                </c:pt>
                <c:pt idx="22">
                  <c:v>1.37528253467099</c:v>
                </c:pt>
                <c:pt idx="23">
                  <c:v>1.3756665744382901</c:v>
                </c:pt>
                <c:pt idx="24">
                  <c:v>1.3751146284775799</c:v>
                </c:pt>
                <c:pt idx="25">
                  <c:v>1.37430601430818</c:v>
                </c:pt>
                <c:pt idx="26">
                  <c:v>1.3737289367119201</c:v>
                </c:pt>
                <c:pt idx="27">
                  <c:v>1.37328669826283</c:v>
                </c:pt>
                <c:pt idx="28">
                  <c:v>1.3728769333631199</c:v>
                </c:pt>
                <c:pt idx="29">
                  <c:v>1.37153418715085</c:v>
                </c:pt>
                <c:pt idx="30">
                  <c:v>1.3706760164769101</c:v>
                </c:pt>
                <c:pt idx="31">
                  <c:v>1.3700835295627001</c:v>
                </c:pt>
                <c:pt idx="32">
                  <c:v>1.36892031895682</c:v>
                </c:pt>
                <c:pt idx="33">
                  <c:v>1.3681758798882599</c:v>
                </c:pt>
                <c:pt idx="34">
                  <c:v>1.3680952592125899</c:v>
                </c:pt>
                <c:pt idx="35">
                  <c:v>1.3681306290623201</c:v>
                </c:pt>
                <c:pt idx="36">
                  <c:v>1.3681584220526899</c:v>
                </c:pt>
                <c:pt idx="37">
                  <c:v>1.3684280076758899</c:v>
                </c:pt>
                <c:pt idx="38">
                  <c:v>1.3680004591832799</c:v>
                </c:pt>
                <c:pt idx="39">
                  <c:v>1.3684715110811501</c:v>
                </c:pt>
                <c:pt idx="40">
                  <c:v>1.3692962200000001</c:v>
                </c:pt>
                <c:pt idx="41">
                  <c:v>1.3695977051000301</c:v>
                </c:pt>
                <c:pt idx="42">
                  <c:v>1.36967689200827</c:v>
                </c:pt>
                <c:pt idx="43">
                  <c:v>1.36991461763241</c:v>
                </c:pt>
                <c:pt idx="44">
                  <c:v>1.37009417754296</c:v>
                </c:pt>
                <c:pt idx="45">
                  <c:v>1.37030677525893</c:v>
                </c:pt>
                <c:pt idx="46">
                  <c:v>1.3704674358665001</c:v>
                </c:pt>
                <c:pt idx="47">
                  <c:v>1.37060039178278</c:v>
                </c:pt>
                <c:pt idx="48">
                  <c:v>1.37084734938049</c:v>
                </c:pt>
                <c:pt idx="49">
                  <c:v>1.3706608679633501</c:v>
                </c:pt>
                <c:pt idx="50">
                  <c:v>1.3700639513412001</c:v>
                </c:pt>
                <c:pt idx="51">
                  <c:v>1.36995776628308</c:v>
                </c:pt>
                <c:pt idx="52">
                  <c:v>1.36954824371044</c:v>
                </c:pt>
                <c:pt idx="53">
                  <c:v>1.3687747063157001</c:v>
                </c:pt>
                <c:pt idx="54">
                  <c:v>1.3679398722403</c:v>
                </c:pt>
                <c:pt idx="55">
                  <c:v>1.3664161443736</c:v>
                </c:pt>
                <c:pt idx="56">
                  <c:v>1.36506158155579</c:v>
                </c:pt>
                <c:pt idx="57">
                  <c:v>1.3636547562655299</c:v>
                </c:pt>
                <c:pt idx="58">
                  <c:v>1.3621998040488199</c:v>
                </c:pt>
                <c:pt idx="59">
                  <c:v>1.36136421016616</c:v>
                </c:pt>
                <c:pt idx="60">
                  <c:v>1.36096131199848</c:v>
                </c:pt>
                <c:pt idx="61">
                  <c:v>1.36074888722556</c:v>
                </c:pt>
                <c:pt idx="62">
                  <c:v>1.36060094229123</c:v>
                </c:pt>
                <c:pt idx="63">
                  <c:v>1.3604614695292001</c:v>
                </c:pt>
                <c:pt idx="64">
                  <c:v>1.3602764732003201</c:v>
                </c:pt>
                <c:pt idx="65">
                  <c:v>1.36077243785793</c:v>
                </c:pt>
                <c:pt idx="66">
                  <c:v>1.36111454579229</c:v>
                </c:pt>
                <c:pt idx="67">
                  <c:v>1.36148106650517</c:v>
                </c:pt>
                <c:pt idx="68">
                  <c:v>1.3618948258080199</c:v>
                </c:pt>
                <c:pt idx="69">
                  <c:v>1.36223652551601</c:v>
                </c:pt>
                <c:pt idx="70">
                  <c:v>1.3622885407055101</c:v>
                </c:pt>
                <c:pt idx="71">
                  <c:v>1.36148101157338</c:v>
                </c:pt>
                <c:pt idx="72">
                  <c:v>1.3612760102227099</c:v>
                </c:pt>
                <c:pt idx="73">
                  <c:v>1.36105045679264</c:v>
                </c:pt>
                <c:pt idx="74">
                  <c:v>1.3601627966185601</c:v>
                </c:pt>
                <c:pt idx="75">
                  <c:v>1.3593399842109199</c:v>
                </c:pt>
                <c:pt idx="76">
                  <c:v>1.35880601700756</c:v>
                </c:pt>
                <c:pt idx="77">
                  <c:v>1.3581486458899299</c:v>
                </c:pt>
                <c:pt idx="78">
                  <c:v>1.3582480683915501</c:v>
                </c:pt>
                <c:pt idx="79">
                  <c:v>1.35822953311371</c:v>
                </c:pt>
                <c:pt idx="80">
                  <c:v>1.3574067692178</c:v>
                </c:pt>
                <c:pt idx="81">
                  <c:v>1.3582799378617401</c:v>
                </c:pt>
                <c:pt idx="82">
                  <c:v>1.35871995617263</c:v>
                </c:pt>
                <c:pt idx="83">
                  <c:v>1.3589728216766599</c:v>
                </c:pt>
                <c:pt idx="84">
                  <c:v>1.3595392088831899</c:v>
                </c:pt>
                <c:pt idx="85">
                  <c:v>1.3606140426732301</c:v>
                </c:pt>
                <c:pt idx="86">
                  <c:v>1.36173967769906</c:v>
                </c:pt>
                <c:pt idx="87">
                  <c:v>1.3621646558723399</c:v>
                </c:pt>
                <c:pt idx="88">
                  <c:v>1.36109224015956</c:v>
                </c:pt>
                <c:pt idx="89">
                  <c:v>1.3600154934239701</c:v>
                </c:pt>
                <c:pt idx="90">
                  <c:v>1.36038905718855</c:v>
                </c:pt>
                <c:pt idx="91">
                  <c:v>1.3590647950730399</c:v>
                </c:pt>
                <c:pt idx="92">
                  <c:v>1.3580199771617201</c:v>
                </c:pt>
                <c:pt idx="93">
                  <c:v>1.3572073094085</c:v>
                </c:pt>
                <c:pt idx="94">
                  <c:v>1.3566543789821599</c:v>
                </c:pt>
                <c:pt idx="95">
                  <c:v>1.35525019239805</c:v>
                </c:pt>
                <c:pt idx="96">
                  <c:v>1.35280733762256</c:v>
                </c:pt>
                <c:pt idx="97">
                  <c:v>1.35087612040383</c:v>
                </c:pt>
                <c:pt idx="98">
                  <c:v>1.3495752395779299</c:v>
                </c:pt>
                <c:pt idx="99">
                  <c:v>1.3478302430139399</c:v>
                </c:pt>
                <c:pt idx="100">
                  <c:v>1.3453014908288501</c:v>
                </c:pt>
                <c:pt idx="101">
                  <c:v>1.34230490175329</c:v>
                </c:pt>
                <c:pt idx="102">
                  <c:v>1.33861396542188</c:v>
                </c:pt>
                <c:pt idx="103">
                  <c:v>1.33419645902246</c:v>
                </c:pt>
                <c:pt idx="104">
                  <c:v>1.3300687470136601</c:v>
                </c:pt>
                <c:pt idx="105">
                  <c:v>1.32771346938041</c:v>
                </c:pt>
                <c:pt idx="106">
                  <c:v>1.3270963396628701</c:v>
                </c:pt>
                <c:pt idx="107">
                  <c:v>1.3261652997712301</c:v>
                </c:pt>
                <c:pt idx="108">
                  <c:v>1.32588697678789</c:v>
                </c:pt>
                <c:pt idx="109">
                  <c:v>1.3255936469356</c:v>
                </c:pt>
                <c:pt idx="110">
                  <c:v>1.32487276544213</c:v>
                </c:pt>
                <c:pt idx="111">
                  <c:v>1.3249488034498</c:v>
                </c:pt>
                <c:pt idx="112">
                  <c:v>1.3256262224159601</c:v>
                </c:pt>
                <c:pt idx="113">
                  <c:v>1.32757069198178</c:v>
                </c:pt>
                <c:pt idx="114">
                  <c:v>1.3289599875200999</c:v>
                </c:pt>
                <c:pt idx="115">
                  <c:v>1.3287078533515599</c:v>
                </c:pt>
                <c:pt idx="116">
                  <c:v>1.3266051398446499</c:v>
                </c:pt>
                <c:pt idx="117">
                  <c:v>1.3255191223454199</c:v>
                </c:pt>
                <c:pt idx="118">
                  <c:v>1.3243412907749199</c:v>
                </c:pt>
                <c:pt idx="119">
                  <c:v>1.32314284376483</c:v>
                </c:pt>
                <c:pt idx="120">
                  <c:v>1.3225185491415501</c:v>
                </c:pt>
                <c:pt idx="121">
                  <c:v>1.3227028320419101</c:v>
                </c:pt>
                <c:pt idx="122">
                  <c:v>1.3225140167562</c:v>
                </c:pt>
                <c:pt idx="123">
                  <c:v>1.3233029664675799</c:v>
                </c:pt>
                <c:pt idx="124">
                  <c:v>1.3253443588831699</c:v>
                </c:pt>
                <c:pt idx="125">
                  <c:v>1.3274855596219499</c:v>
                </c:pt>
                <c:pt idx="126">
                  <c:v>1.3314229951960701</c:v>
                </c:pt>
                <c:pt idx="127">
                  <c:v>1.33439923489006</c:v>
                </c:pt>
                <c:pt idx="128">
                  <c:v>1.3365805525210399</c:v>
                </c:pt>
                <c:pt idx="129">
                  <c:v>1.33899384057156</c:v>
                </c:pt>
                <c:pt idx="130">
                  <c:v>1.3416829218247801</c:v>
                </c:pt>
                <c:pt idx="131">
                  <c:v>1.34404864015645</c:v>
                </c:pt>
                <c:pt idx="132">
                  <c:v>1.3484656168173701</c:v>
                </c:pt>
                <c:pt idx="133">
                  <c:v>1.35115674440268</c:v>
                </c:pt>
                <c:pt idx="134">
                  <c:v>1.3525718739241701</c:v>
                </c:pt>
                <c:pt idx="135">
                  <c:v>1.35436392172343</c:v>
                </c:pt>
                <c:pt idx="136">
                  <c:v>1.35381259761213</c:v>
                </c:pt>
                <c:pt idx="137">
                  <c:v>1.35364896226593</c:v>
                </c:pt>
                <c:pt idx="138">
                  <c:v>1.3528244621332599</c:v>
                </c:pt>
                <c:pt idx="139">
                  <c:v>1.3524305892697499</c:v>
                </c:pt>
                <c:pt idx="140">
                  <c:v>1.35225287745833</c:v>
                </c:pt>
                <c:pt idx="141">
                  <c:v>1.3527890320599401</c:v>
                </c:pt>
                <c:pt idx="142">
                  <c:v>1.3524265312552599</c:v>
                </c:pt>
                <c:pt idx="143">
                  <c:v>1.3505546944857301</c:v>
                </c:pt>
                <c:pt idx="144">
                  <c:v>1.35005764394307</c:v>
                </c:pt>
                <c:pt idx="145">
                  <c:v>1.3503564368616501</c:v>
                </c:pt>
                <c:pt idx="146">
                  <c:v>1.35080377167126</c:v>
                </c:pt>
                <c:pt idx="147">
                  <c:v>1.3510135784055499</c:v>
                </c:pt>
                <c:pt idx="148">
                  <c:v>1.3525578811544701</c:v>
                </c:pt>
                <c:pt idx="149">
                  <c:v>1.3534967681726</c:v>
                </c:pt>
                <c:pt idx="150">
                  <c:v>1.3541113560509701</c:v>
                </c:pt>
                <c:pt idx="151">
                  <c:v>1.35330531285679</c:v>
                </c:pt>
                <c:pt idx="152">
                  <c:v>1.3508594350284699</c:v>
                </c:pt>
                <c:pt idx="153">
                  <c:v>1.3505366865191599</c:v>
                </c:pt>
                <c:pt idx="154">
                  <c:v>1.3492719189373199</c:v>
                </c:pt>
                <c:pt idx="155">
                  <c:v>1.3462989518617501</c:v>
                </c:pt>
                <c:pt idx="156">
                  <c:v>1.3450967717562901</c:v>
                </c:pt>
                <c:pt idx="157">
                  <c:v>1.3448757670818099</c:v>
                </c:pt>
                <c:pt idx="158">
                  <c:v>1.34445097590782</c:v>
                </c:pt>
                <c:pt idx="159">
                  <c:v>1.3441725324193701</c:v>
                </c:pt>
                <c:pt idx="160">
                  <c:v>1.3442888037880301</c:v>
                </c:pt>
                <c:pt idx="161">
                  <c:v>1.3447712204158599</c:v>
                </c:pt>
                <c:pt idx="162">
                  <c:v>1.34566880483448</c:v>
                </c:pt>
                <c:pt idx="163">
                  <c:v>1.3457327395629399</c:v>
                </c:pt>
                <c:pt idx="164">
                  <c:v>1.34653887862479</c:v>
                </c:pt>
                <c:pt idx="165">
                  <c:v>1.3473929609434401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58-4552-8534-B2F37557F2ED}"/>
            </c:ext>
          </c:extLst>
        </c:ser>
        <c:ser>
          <c:idx val="2"/>
          <c:order val="2"/>
          <c:tx>
            <c:strRef>
              <c:f>XLK_IYW_2!$AA$1</c:f>
              <c:strCache>
                <c:ptCount val="1"/>
                <c:pt idx="0">
                  <c:v> IYW*/XLK*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XLK_IYW_2!$AA$2:$AA$167</c:f>
              <c:numCache>
                <c:formatCode>_(* #,##0.0000_);_(* \(#,##0.0000\);_(* "-"??_);_(@_)</c:formatCode>
                <c:ptCount val="166"/>
                <c:pt idx="19">
                  <c:v>1.3776231972783499</c:v>
                </c:pt>
                <c:pt idx="20">
                  <c:v>1.3770725193484901</c:v>
                </c:pt>
                <c:pt idx="21">
                  <c:v>1.37638265418773</c:v>
                </c:pt>
                <c:pt idx="22">
                  <c:v>1.3763206306618301</c:v>
                </c:pt>
                <c:pt idx="23">
                  <c:v>1.3760163566650701</c:v>
                </c:pt>
                <c:pt idx="24">
                  <c:v>1.3753139949651401</c:v>
                </c:pt>
                <c:pt idx="25">
                  <c:v>1.37476820039909</c:v>
                </c:pt>
                <c:pt idx="26">
                  <c:v>1.3743251493653501</c:v>
                </c:pt>
                <c:pt idx="27">
                  <c:v>1.3737788779569</c:v>
                </c:pt>
                <c:pt idx="28">
                  <c:v>1.37345204702471</c:v>
                </c:pt>
                <c:pt idx="29">
                  <c:v>1.37300354447913</c:v>
                </c:pt>
                <c:pt idx="30">
                  <c:v>1.37265161928142</c:v>
                </c:pt>
                <c:pt idx="31">
                  <c:v>1.3723133366404601</c:v>
                </c:pt>
                <c:pt idx="32">
                  <c:v>1.3721014268139</c:v>
                </c:pt>
                <c:pt idx="33">
                  <c:v>1.3719212271632699</c:v>
                </c:pt>
                <c:pt idx="34">
                  <c:v>1.3716049438450899</c:v>
                </c:pt>
                <c:pt idx="35">
                  <c:v>1.37121832168525</c:v>
                </c:pt>
                <c:pt idx="36">
                  <c:v>1.3709436793823</c:v>
                </c:pt>
                <c:pt idx="37">
                  <c:v>1.37085735296936</c:v>
                </c:pt>
                <c:pt idx="38">
                  <c:v>1.3704386962732</c:v>
                </c:pt>
                <c:pt idx="39">
                  <c:v>1.3700028491159999</c:v>
                </c:pt>
                <c:pt idx="40">
                  <c:v>1.3699861182384501</c:v>
                </c:pt>
                <c:pt idx="41">
                  <c:v>1.36984061733137</c:v>
                </c:pt>
                <c:pt idx="42">
                  <c:v>1.36929860548255</c:v>
                </c:pt>
                <c:pt idx="43">
                  <c:v>1.36904524876033</c:v>
                </c:pt>
                <c:pt idx="44">
                  <c:v>1.36909471837777</c:v>
                </c:pt>
                <c:pt idx="45">
                  <c:v>1.3692187021606299</c:v>
                </c:pt>
                <c:pt idx="46">
                  <c:v>1.36931292895959</c:v>
                </c:pt>
                <c:pt idx="47">
                  <c:v>1.3695141997293401</c:v>
                </c:pt>
                <c:pt idx="48">
                  <c:v>1.3694239042818901</c:v>
                </c:pt>
                <c:pt idx="49">
                  <c:v>1.36956618952225</c:v>
                </c:pt>
                <c:pt idx="50">
                  <c:v>1.3696800856706</c:v>
                </c:pt>
                <c:pt idx="51">
                  <c:v>1.3697777356915599</c:v>
                </c:pt>
                <c:pt idx="52">
                  <c:v>1.36961256785936</c:v>
                </c:pt>
                <c:pt idx="53">
                  <c:v>1.3693446619740499</c:v>
                </c:pt>
                <c:pt idx="54">
                  <c:v>1.36901702489163</c:v>
                </c:pt>
                <c:pt idx="55">
                  <c:v>1.3683614598162599</c:v>
                </c:pt>
                <c:pt idx="56">
                  <c:v>1.3677645087111501</c:v>
                </c:pt>
                <c:pt idx="57">
                  <c:v>1.36712757402415</c:v>
                </c:pt>
                <c:pt idx="58">
                  <c:v>1.36652357671465</c:v>
                </c:pt>
                <c:pt idx="59">
                  <c:v>1.36601253906475</c:v>
                </c:pt>
                <c:pt idx="60">
                  <c:v>1.36551263166984</c:v>
                </c:pt>
                <c:pt idx="61">
                  <c:v>1.3653533267543201</c:v>
                </c:pt>
                <c:pt idx="62">
                  <c:v>1.3650745930008401</c:v>
                </c:pt>
                <c:pt idx="63">
                  <c:v>1.3646180879224501</c:v>
                </c:pt>
                <c:pt idx="64">
                  <c:v>1.3641081727203099</c:v>
                </c:pt>
                <c:pt idx="65">
                  <c:v>1.3635942911157599</c:v>
                </c:pt>
                <c:pt idx="66">
                  <c:v>1.3630880636740399</c:v>
                </c:pt>
                <c:pt idx="67">
                  <c:v>1.3625679113853499</c:v>
                </c:pt>
                <c:pt idx="68">
                  <c:v>1.36204731492842</c:v>
                </c:pt>
                <c:pt idx="69">
                  <c:v>1.3618003678410899</c:v>
                </c:pt>
                <c:pt idx="70">
                  <c:v>1.36162492635199</c:v>
                </c:pt>
                <c:pt idx="71">
                  <c:v>1.3611149493994701</c:v>
                </c:pt>
                <c:pt idx="72">
                  <c:v>1.3609384762569701</c:v>
                </c:pt>
                <c:pt idx="73">
                  <c:v>1.3607559631609201</c:v>
                </c:pt>
                <c:pt idx="74">
                  <c:v>1.36021963490944</c:v>
                </c:pt>
                <c:pt idx="75">
                  <c:v>1.3600562110344301</c:v>
                </c:pt>
                <c:pt idx="76">
                  <c:v>1.3599602813999201</c:v>
                </c:pt>
                <c:pt idx="77">
                  <c:v>1.35981485619755</c:v>
                </c:pt>
                <c:pt idx="78">
                  <c:v>1.3600714470997799</c:v>
                </c:pt>
                <c:pt idx="79">
                  <c:v>1.3602330293148599</c:v>
                </c:pt>
                <c:pt idx="80">
                  <c:v>1.3598476549616501</c:v>
                </c:pt>
                <c:pt idx="81">
                  <c:v>1.3598804747175599</c:v>
                </c:pt>
                <c:pt idx="82">
                  <c:v>1.3599979831976701</c:v>
                </c:pt>
                <c:pt idx="83">
                  <c:v>1.36001163923465</c:v>
                </c:pt>
                <c:pt idx="84">
                  <c:v>1.3598510027508799</c:v>
                </c:pt>
                <c:pt idx="85">
                  <c:v>1.3599770134420801</c:v>
                </c:pt>
                <c:pt idx="86">
                  <c:v>1.3602728473533101</c:v>
                </c:pt>
                <c:pt idx="87">
                  <c:v>1.36015665088113</c:v>
                </c:pt>
                <c:pt idx="88">
                  <c:v>1.35967015427555</c:v>
                </c:pt>
                <c:pt idx="89">
                  <c:v>1.35912251326884</c:v>
                </c:pt>
                <c:pt idx="90">
                  <c:v>1.35889791320317</c:v>
                </c:pt>
                <c:pt idx="91">
                  <c:v>1.3586723664673901</c:v>
                </c:pt>
                <c:pt idx="92">
                  <c:v>1.35836996666717</c:v>
                </c:pt>
                <c:pt idx="93">
                  <c:v>1.35809006554258</c:v>
                </c:pt>
                <c:pt idx="94">
                  <c:v>1.35809679393268</c:v>
                </c:pt>
                <c:pt idx="95">
                  <c:v>1.35793211753564</c:v>
                </c:pt>
                <c:pt idx="96">
                  <c:v>1.35727350766081</c:v>
                </c:pt>
                <c:pt idx="97">
                  <c:v>1.3565203881380801</c:v>
                </c:pt>
                <c:pt idx="98">
                  <c:v>1.3553337398687499</c:v>
                </c:pt>
                <c:pt idx="99">
                  <c:v>1.3539228682189599</c:v>
                </c:pt>
                <c:pt idx="100">
                  <c:v>1.3528452740087</c:v>
                </c:pt>
                <c:pt idx="101">
                  <c:v>1.3506848484131599</c:v>
                </c:pt>
                <c:pt idx="102">
                  <c:v>1.3483169712917999</c:v>
                </c:pt>
                <c:pt idx="103">
                  <c:v>1.34570188421548</c:v>
                </c:pt>
                <c:pt idx="104">
                  <c:v>1.3433615629979101</c:v>
                </c:pt>
                <c:pt idx="105">
                  <c:v>1.34148183088923</c:v>
                </c:pt>
                <c:pt idx="106">
                  <c:v>1.3399518386427101</c:v>
                </c:pt>
                <c:pt idx="107">
                  <c:v>1.33852071008753</c:v>
                </c:pt>
                <c:pt idx="108">
                  <c:v>1.33773110818291</c:v>
                </c:pt>
                <c:pt idx="109">
                  <c:v>1.33671194497477</c:v>
                </c:pt>
                <c:pt idx="110">
                  <c:v>1.3350871281354899</c:v>
                </c:pt>
                <c:pt idx="111">
                  <c:v>1.33362685260154</c:v>
                </c:pt>
                <c:pt idx="112">
                  <c:v>1.3321200939189199</c:v>
                </c:pt>
                <c:pt idx="113">
                  <c:v>1.33088357550212</c:v>
                </c:pt>
                <c:pt idx="114">
                  <c:v>1.3295143672668801</c:v>
                </c:pt>
                <c:pt idx="115">
                  <c:v>1.3282106613659901</c:v>
                </c:pt>
                <c:pt idx="116">
                  <c:v>1.3268507397537599</c:v>
                </c:pt>
                <c:pt idx="117">
                  <c:v>1.3258422110583299</c:v>
                </c:pt>
                <c:pt idx="118">
                  <c:v>1.3251141337814101</c:v>
                </c:pt>
                <c:pt idx="119">
                  <c:v>1.3243682453502199</c:v>
                </c:pt>
                <c:pt idx="120">
                  <c:v>1.3236956572918399</c:v>
                </c:pt>
                <c:pt idx="121">
                  <c:v>1.3238258177458599</c:v>
                </c:pt>
                <c:pt idx="122">
                  <c:v>1.32407011958608</c:v>
                </c:pt>
                <c:pt idx="123">
                  <c:v>1.3254368292246801</c:v>
                </c:pt>
                <c:pt idx="124">
                  <c:v>1.32715217320164</c:v>
                </c:pt>
                <c:pt idx="125">
                  <c:v>1.3280967064867599</c:v>
                </c:pt>
                <c:pt idx="126">
                  <c:v>1.3290140675203601</c:v>
                </c:pt>
                <c:pt idx="127">
                  <c:v>1.32995917861774</c:v>
                </c:pt>
                <c:pt idx="128">
                  <c:v>1.3304609216479799</c:v>
                </c:pt>
                <c:pt idx="129">
                  <c:v>1.3310683421681999</c:v>
                </c:pt>
                <c:pt idx="130">
                  <c:v>1.33210073548317</c:v>
                </c:pt>
                <c:pt idx="131">
                  <c:v>1.33337573609918</c:v>
                </c:pt>
                <c:pt idx="132">
                  <c:v>1.3354898167867899</c:v>
                </c:pt>
                <c:pt idx="133">
                  <c:v>1.3372298554351301</c:v>
                </c:pt>
                <c:pt idx="134">
                  <c:v>1.3389581164036699</c:v>
                </c:pt>
                <c:pt idx="135">
                  <c:v>1.3409247406726901</c:v>
                </c:pt>
                <c:pt idx="136">
                  <c:v>1.3426177964041</c:v>
                </c:pt>
                <c:pt idx="137">
                  <c:v>1.3440240985779901</c:v>
                </c:pt>
                <c:pt idx="138">
                  <c:v>1.3447025073271499</c:v>
                </c:pt>
                <c:pt idx="139">
                  <c:v>1.34571221492065</c:v>
                </c:pt>
                <c:pt idx="140">
                  <c:v>1.3469678996415499</c:v>
                </c:pt>
                <c:pt idx="141">
                  <c:v>1.3484188361081899</c:v>
                </c:pt>
                <c:pt idx="142">
                  <c:v>1.35044607403632</c:v>
                </c:pt>
                <c:pt idx="143">
                  <c:v>1.3508557194442099</c:v>
                </c:pt>
                <c:pt idx="144">
                  <c:v>1.3513147589336201</c:v>
                </c:pt>
                <c:pt idx="145">
                  <c:v>1.3523601792925399</c:v>
                </c:pt>
                <c:pt idx="146">
                  <c:v>1.35230818464169</c:v>
                </c:pt>
                <c:pt idx="147">
                  <c:v>1.35233127033574</c:v>
                </c:pt>
                <c:pt idx="148">
                  <c:v>1.3526911716438601</c:v>
                </c:pt>
                <c:pt idx="149">
                  <c:v>1.3529636787211701</c:v>
                </c:pt>
                <c:pt idx="150">
                  <c:v>1.3531821167546501</c:v>
                </c:pt>
                <c:pt idx="151">
                  <c:v>1.3530471724583699</c:v>
                </c:pt>
                <c:pt idx="152">
                  <c:v>1.3516429831418699</c:v>
                </c:pt>
                <c:pt idx="153">
                  <c:v>1.35054569050245</c:v>
                </c:pt>
                <c:pt idx="154">
                  <c:v>1.3496647814401901</c:v>
                </c:pt>
                <c:pt idx="155">
                  <c:v>1.3483276943617</c:v>
                </c:pt>
                <c:pt idx="156">
                  <c:v>1.3479502717137699</c:v>
                </c:pt>
                <c:pt idx="157">
                  <c:v>1.3479446727436799</c:v>
                </c:pt>
                <c:pt idx="158">
                  <c:v>1.3485044285311401</c:v>
                </c:pt>
                <c:pt idx="159">
                  <c:v>1.34883465029598</c:v>
                </c:pt>
                <c:pt idx="160">
                  <c:v>1.3492000799195001</c:v>
                </c:pt>
                <c:pt idx="161">
                  <c:v>1.3490382666363301</c:v>
                </c:pt>
                <c:pt idx="162">
                  <c:v>1.34826411993147</c:v>
                </c:pt>
                <c:pt idx="163">
                  <c:v>1.3481347130410499</c:v>
                </c:pt>
                <c:pt idx="164">
                  <c:v>1.3479053987810501</c:v>
                </c:pt>
                <c:pt idx="165">
                  <c:v>1.3468459564026001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58-4552-8534-B2F37557F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XLK_IYW_2!$U$1</c:f>
              <c:strCache>
                <c:ptCount val="1"/>
                <c:pt idx="0">
                  <c:v>log diff XLK x avg / IYW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XLK_IYW_2!$U$2:$U$167</c:f>
              <c:numCache>
                <c:formatCode>0.00%</c:formatCode>
                <c:ptCount val="166"/>
                <c:pt idx="1">
                  <c:v>-2.1253190209033698E-2</c:v>
                </c:pt>
                <c:pt idx="2">
                  <c:v>-1.6898666112772801E-2</c:v>
                </c:pt>
                <c:pt idx="3">
                  <c:v>-1.9297601169513401E-2</c:v>
                </c:pt>
                <c:pt idx="4">
                  <c:v>-2.0785615954071399E-2</c:v>
                </c:pt>
                <c:pt idx="5">
                  <c:v>-1.7443249337932801E-2</c:v>
                </c:pt>
                <c:pt idx="6">
                  <c:v>-1.63891865367429E-2</c:v>
                </c:pt>
                <c:pt idx="7">
                  <c:v>-1.5931058697666301E-2</c:v>
                </c:pt>
                <c:pt idx="8">
                  <c:v>-1.49953047244016E-2</c:v>
                </c:pt>
                <c:pt idx="9">
                  <c:v>-1.29635405250894E-2</c:v>
                </c:pt>
                <c:pt idx="10">
                  <c:v>-1.181416002112E-2</c:v>
                </c:pt>
                <c:pt idx="11">
                  <c:v>-1.1859044106706899E-2</c:v>
                </c:pt>
                <c:pt idx="12">
                  <c:v>-1.06207506250176E-2</c:v>
                </c:pt>
                <c:pt idx="13">
                  <c:v>-1.2094624218857699E-2</c:v>
                </c:pt>
                <c:pt idx="14">
                  <c:v>-1.4609579849944401E-2</c:v>
                </c:pt>
                <c:pt idx="15">
                  <c:v>-1.5391242521589099E-2</c:v>
                </c:pt>
                <c:pt idx="16">
                  <c:v>-1.4145702430289399E-2</c:v>
                </c:pt>
                <c:pt idx="17">
                  <c:v>-1.12018856532863E-2</c:v>
                </c:pt>
                <c:pt idx="18">
                  <c:v>-1.3222586601491001E-2</c:v>
                </c:pt>
                <c:pt idx="19">
                  <c:v>-1.62017886577237E-2</c:v>
                </c:pt>
                <c:pt idx="20">
                  <c:v>-1.2937752825547899E-2</c:v>
                </c:pt>
                <c:pt idx="21">
                  <c:v>-1.1246372476574999E-2</c:v>
                </c:pt>
                <c:pt idx="22">
                  <c:v>-1.5999161192922901E-2</c:v>
                </c:pt>
                <c:pt idx="23">
                  <c:v>-1.48876677834329E-2</c:v>
                </c:pt>
                <c:pt idx="24">
                  <c:v>-1.05918138670514E-2</c:v>
                </c:pt>
                <c:pt idx="25">
                  <c:v>-9.5042223783522502E-3</c:v>
                </c:pt>
                <c:pt idx="26">
                  <c:v>-9.9426582352484805E-3</c:v>
                </c:pt>
                <c:pt idx="27">
                  <c:v>-7.9729951294773508E-3</c:v>
                </c:pt>
                <c:pt idx="28">
                  <c:v>-1.02371960838731E-2</c:v>
                </c:pt>
                <c:pt idx="29">
                  <c:v>-6.4149637051895102E-3</c:v>
                </c:pt>
                <c:pt idx="30">
                  <c:v>-6.67341411628662E-3</c:v>
                </c:pt>
                <c:pt idx="31">
                  <c:v>-6.9182972644849404E-3</c:v>
                </c:pt>
                <c:pt idx="32">
                  <c:v>-7.5247470270106802E-3</c:v>
                </c:pt>
                <c:pt idx="33">
                  <c:v>-9.4663983720605308E-3</c:v>
                </c:pt>
                <c:pt idx="34">
                  <c:v>-1.00036003867359E-2</c:v>
                </c:pt>
                <c:pt idx="35">
                  <c:v>-9.7624545163951908E-3</c:v>
                </c:pt>
                <c:pt idx="36">
                  <c:v>-1.0145489067957999E-2</c:v>
                </c:pt>
                <c:pt idx="37">
                  <c:v>-9.9425456744086406E-3</c:v>
                </c:pt>
                <c:pt idx="38">
                  <c:v>-7.1127106684763302E-3</c:v>
                </c:pt>
                <c:pt idx="39">
                  <c:v>-9.8592197749661596E-3</c:v>
                </c:pt>
                <c:pt idx="40">
                  <c:v>-1.26942278072646E-2</c:v>
                </c:pt>
                <c:pt idx="41">
                  <c:v>-9.1229654380221795E-3</c:v>
                </c:pt>
                <c:pt idx="42">
                  <c:v>-8.1039362049090992E-3</c:v>
                </c:pt>
                <c:pt idx="43">
                  <c:v>-1.1200796917533401E-2</c:v>
                </c:pt>
                <c:pt idx="44">
                  <c:v>-1.13132081666942E-2</c:v>
                </c:pt>
                <c:pt idx="45">
                  <c:v>-1.13132081666942E-2</c:v>
                </c:pt>
                <c:pt idx="46">
                  <c:v>-1.13171706577094E-2</c:v>
                </c:pt>
                <c:pt idx="47">
                  <c:v>-1.09124744041079E-2</c:v>
                </c:pt>
                <c:pt idx="48">
                  <c:v>-8.9186449885493794E-3</c:v>
                </c:pt>
                <c:pt idx="49">
                  <c:v>-8.4971157290505799E-3</c:v>
                </c:pt>
                <c:pt idx="50">
                  <c:v>-7.9743037762896405E-3</c:v>
                </c:pt>
                <c:pt idx="51">
                  <c:v>-7.9770920868089106E-3</c:v>
                </c:pt>
                <c:pt idx="52">
                  <c:v>-4.7351094615469798E-3</c:v>
                </c:pt>
                <c:pt idx="53">
                  <c:v>-5.1678676506096699E-3</c:v>
                </c:pt>
                <c:pt idx="54">
                  <c:v>-6.0587556141290799E-3</c:v>
                </c:pt>
                <c:pt idx="55">
                  <c:v>-9.9718059148627605E-4</c:v>
                </c:pt>
                <c:pt idx="56">
                  <c:v>-2.2439100017411602E-3</c:v>
                </c:pt>
                <c:pt idx="57">
                  <c:v>-1.4771932214659299E-3</c:v>
                </c:pt>
                <c:pt idx="58">
                  <c:v>8.7621469555132199E-4</c:v>
                </c:pt>
                <c:pt idx="59">
                  <c:v>-3.2815642490612602E-3</c:v>
                </c:pt>
                <c:pt idx="60">
                  <c:v>-6.2652532127280896E-3</c:v>
                </c:pt>
                <c:pt idx="61">
                  <c:v>-7.6553094053990996E-3</c:v>
                </c:pt>
                <c:pt idx="62">
                  <c:v>-4.8738525719485897E-3</c:v>
                </c:pt>
                <c:pt idx="63">
                  <c:v>-5.3729377423466299E-3</c:v>
                </c:pt>
                <c:pt idx="64">
                  <c:v>-4.69773548617013E-3</c:v>
                </c:pt>
                <c:pt idx="65">
                  <c:v>-4.6140506034630102E-3</c:v>
                </c:pt>
                <c:pt idx="66">
                  <c:v>-4.7283049326374803E-3</c:v>
                </c:pt>
                <c:pt idx="67">
                  <c:v>-4.1126271956614599E-3</c:v>
                </c:pt>
                <c:pt idx="68">
                  <c:v>-2.0795734908615501E-3</c:v>
                </c:pt>
                <c:pt idx="69">
                  <c:v>-5.6664064974358301E-3</c:v>
                </c:pt>
                <c:pt idx="70">
                  <c:v>-6.5454384272170601E-3</c:v>
                </c:pt>
                <c:pt idx="71">
                  <c:v>-1.6262697055676699E-3</c:v>
                </c:pt>
                <c:pt idx="72">
                  <c:v>-3.26549130455048E-3</c:v>
                </c:pt>
                <c:pt idx="73">
                  <c:v>-3.61811953145387E-3</c:v>
                </c:pt>
                <c:pt idx="74">
                  <c:v>1.93837834185404E-3</c:v>
                </c:pt>
                <c:pt idx="75">
                  <c:v>1.5337501448412E-3</c:v>
                </c:pt>
                <c:pt idx="76">
                  <c:v>-7.2624004868392805E-4</c:v>
                </c:pt>
                <c:pt idx="77">
                  <c:v>8.1998006868151902E-4</c:v>
                </c:pt>
                <c:pt idx="78">
                  <c:v>-2.7372639531186601E-3</c:v>
                </c:pt>
                <c:pt idx="79">
                  <c:v>-5.4810688512193402E-3</c:v>
                </c:pt>
                <c:pt idx="80">
                  <c:v>-4.5223814435884198E-4</c:v>
                </c:pt>
                <c:pt idx="81">
                  <c:v>-8.0030342039916595E-3</c:v>
                </c:pt>
                <c:pt idx="82">
                  <c:v>-6.4618391620924398E-3</c:v>
                </c:pt>
                <c:pt idx="83">
                  <c:v>-5.4409430689239396E-3</c:v>
                </c:pt>
                <c:pt idx="84">
                  <c:v>-2.1911311560512399E-3</c:v>
                </c:pt>
                <c:pt idx="85">
                  <c:v>-6.3270209981427898E-3</c:v>
                </c:pt>
                <c:pt idx="86">
                  <c:v>-8.9316245780067093E-3</c:v>
                </c:pt>
                <c:pt idx="87">
                  <c:v>-2.2505774247025298E-3</c:v>
                </c:pt>
                <c:pt idx="88">
                  <c:v>5.2561557760540103E-3</c:v>
                </c:pt>
                <c:pt idx="89">
                  <c:v>2.5252885820203201E-3</c:v>
                </c:pt>
                <c:pt idx="90">
                  <c:v>-3.1306671036565501E-3</c:v>
                </c:pt>
                <c:pt idx="91">
                  <c:v>1.81944774054962E-3</c:v>
                </c:pt>
                <c:pt idx="92">
                  <c:v>1.2863624079375701E-3</c:v>
                </c:pt>
                <c:pt idx="93">
                  <c:v>5.9171017227271797E-4</c:v>
                </c:pt>
                <c:pt idx="94">
                  <c:v>1.9190639030096999E-3</c:v>
                </c:pt>
                <c:pt idx="95">
                  <c:v>4.0495939297837602E-3</c:v>
                </c:pt>
                <c:pt idx="96">
                  <c:v>9.1290335651572907E-3</c:v>
                </c:pt>
                <c:pt idx="97">
                  <c:v>1.20868789699275E-2</c:v>
                </c:pt>
                <c:pt idx="98">
                  <c:v>1.49775644592498E-2</c:v>
                </c:pt>
                <c:pt idx="99">
                  <c:v>1.5550453560777701E-2</c:v>
                </c:pt>
                <c:pt idx="100">
                  <c:v>1.5679573742135099E-2</c:v>
                </c:pt>
                <c:pt idx="101">
                  <c:v>2.4257467671049499E-2</c:v>
                </c:pt>
                <c:pt idx="102">
                  <c:v>2.89986862983714E-2</c:v>
                </c:pt>
                <c:pt idx="103">
                  <c:v>3.3828805811332102E-2</c:v>
                </c:pt>
                <c:pt idx="104">
                  <c:v>3.2987304226118501E-2</c:v>
                </c:pt>
                <c:pt idx="105">
                  <c:v>2.1706471348517501E-2</c:v>
                </c:pt>
                <c:pt idx="106">
                  <c:v>1.37409562450467E-2</c:v>
                </c:pt>
                <c:pt idx="107">
                  <c:v>1.9077424483365499E-2</c:v>
                </c:pt>
                <c:pt idx="108">
                  <c:v>1.70492426267899E-2</c:v>
                </c:pt>
                <c:pt idx="109">
                  <c:v>1.77235205960459E-2</c:v>
                </c:pt>
                <c:pt idx="110">
                  <c:v>2.1084865878560202E-2</c:v>
                </c:pt>
                <c:pt idx="111">
                  <c:v>2.3662633313192901E-2</c:v>
                </c:pt>
                <c:pt idx="112">
                  <c:v>2.4137439894862299E-2</c:v>
                </c:pt>
                <c:pt idx="113">
                  <c:v>1.9351073357225398E-2</c:v>
                </c:pt>
                <c:pt idx="114">
                  <c:v>2.2707746214398E-2</c:v>
                </c:pt>
                <c:pt idx="115">
                  <c:v>2.3887090819472202E-2</c:v>
                </c:pt>
                <c:pt idx="116">
                  <c:v>2.8733287133021201E-2</c:v>
                </c:pt>
                <c:pt idx="117">
                  <c:v>2.6337480731881802E-2</c:v>
                </c:pt>
                <c:pt idx="118">
                  <c:v>2.49893637460817E-2</c:v>
                </c:pt>
                <c:pt idx="119">
                  <c:v>2.58541207272764E-2</c:v>
                </c:pt>
                <c:pt idx="120">
                  <c:v>2.48358954769442E-2</c:v>
                </c:pt>
                <c:pt idx="121">
                  <c:v>2.1337325054902202E-2</c:v>
                </c:pt>
                <c:pt idx="122">
                  <c:v>2.4368372519346398E-2</c:v>
                </c:pt>
                <c:pt idx="123">
                  <c:v>1.22057633834149E-2</c:v>
                </c:pt>
                <c:pt idx="124">
                  <c:v>6.1470310933986003E-3</c:v>
                </c:pt>
                <c:pt idx="125">
                  <c:v>6.58259362783433E-3</c:v>
                </c:pt>
                <c:pt idx="126">
                  <c:v>-8.6958994480654803E-4</c:v>
                </c:pt>
                <c:pt idx="127">
                  <c:v>3.9908134018397396E-3</c:v>
                </c:pt>
                <c:pt idx="128">
                  <c:v>8.6217331692280703E-3</c:v>
                </c:pt>
                <c:pt idx="129">
                  <c:v>7.7348775410785503E-3</c:v>
                </c:pt>
                <c:pt idx="130">
                  <c:v>4.67636942574794E-3</c:v>
                </c:pt>
                <c:pt idx="131">
                  <c:v>3.6263891002231898E-3</c:v>
                </c:pt>
                <c:pt idx="132">
                  <c:v>-8.5927238498479906E-3</c:v>
                </c:pt>
                <c:pt idx="133">
                  <c:v>-7.7902678533468498E-3</c:v>
                </c:pt>
                <c:pt idx="134">
                  <c:v>-4.3629339502467002E-3</c:v>
                </c:pt>
                <c:pt idx="135">
                  <c:v>-6.7264405041693003E-3</c:v>
                </c:pt>
                <c:pt idx="136">
                  <c:v>3.2225996004807702E-3</c:v>
                </c:pt>
                <c:pt idx="137">
                  <c:v>5.1952498997074699E-3</c:v>
                </c:pt>
                <c:pt idx="138">
                  <c:v>1.4724005040516601E-2</c:v>
                </c:pt>
                <c:pt idx="139">
                  <c:v>1.0583779932795599E-2</c:v>
                </c:pt>
                <c:pt idx="140">
                  <c:v>5.9322613107059604E-3</c:v>
                </c:pt>
                <c:pt idx="141">
                  <c:v>-4.5676917236357501E-4</c:v>
                </c:pt>
                <c:pt idx="142">
                  <c:v>-6.0784865146777303E-3</c:v>
                </c:pt>
                <c:pt idx="143">
                  <c:v>6.0099419421364301E-3</c:v>
                </c:pt>
                <c:pt idx="144">
                  <c:v>-7.0218393559384599E-4</c:v>
                </c:pt>
                <c:pt idx="145">
                  <c:v>-8.8950787443279108E-3</c:v>
                </c:pt>
                <c:pt idx="146">
                  <c:v>-3.4761524640634201E-5</c:v>
                </c:pt>
                <c:pt idx="147">
                  <c:v>3.6871937017311398E-3</c:v>
                </c:pt>
                <c:pt idx="148">
                  <c:v>3.2724486281645198E-3</c:v>
                </c:pt>
                <c:pt idx="149">
                  <c:v>3.7038438436334501E-3</c:v>
                </c:pt>
                <c:pt idx="150">
                  <c:v>1.4823036061913199E-3</c:v>
                </c:pt>
                <c:pt idx="151">
                  <c:v>5.6503766757060999E-3</c:v>
                </c:pt>
                <c:pt idx="152">
                  <c:v>1.22529218111099E-2</c:v>
                </c:pt>
                <c:pt idx="153">
                  <c:v>8.5415999414963709E-3</c:v>
                </c:pt>
                <c:pt idx="154">
                  <c:v>8.8068589655517608E-3</c:v>
                </c:pt>
                <c:pt idx="155">
                  <c:v>1.3219755789545099E-2</c:v>
                </c:pt>
                <c:pt idx="156">
                  <c:v>8.8746343424087794E-3</c:v>
                </c:pt>
                <c:pt idx="157">
                  <c:v>5.3079164408493303E-3</c:v>
                </c:pt>
                <c:pt idx="158">
                  <c:v>6.4067259041025396E-3</c:v>
                </c:pt>
                <c:pt idx="159">
                  <c:v>5.73130448332219E-3</c:v>
                </c:pt>
                <c:pt idx="160">
                  <c:v>5.6821297307886002E-4</c:v>
                </c:pt>
                <c:pt idx="161">
                  <c:v>2.0355361819037699E-3</c:v>
                </c:pt>
                <c:pt idx="162">
                  <c:v>5.5126087661015897E-3</c:v>
                </c:pt>
                <c:pt idx="163">
                  <c:v>8.0480017106346596E-3</c:v>
                </c:pt>
                <c:pt idx="164">
                  <c:v>2.7817482733309899E-3</c:v>
                </c:pt>
                <c:pt idx="165">
                  <c:v>6.81595010834942E-3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8-4CA2-B45C-15D81DB1434B}"/>
            </c:ext>
          </c:extLst>
        </c:ser>
        <c:ser>
          <c:idx val="1"/>
          <c:order val="1"/>
          <c:tx>
            <c:strRef>
              <c:f>XLK_IYW_2!$V$1</c:f>
              <c:strCache>
                <c:ptCount val="1"/>
                <c:pt idx="0">
                  <c:v>log diff XLK x 10 dma / IYW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XLK_IYW_2!$V$2:$V$167</c:f>
              <c:numCache>
                <c:formatCode>0.00%</c:formatCode>
                <c:ptCount val="166"/>
                <c:pt idx="10">
                  <c:v>5.87711786279611E-3</c:v>
                </c:pt>
                <c:pt idx="11">
                  <c:v>4.9224194973860498E-3</c:v>
                </c:pt>
                <c:pt idx="12">
                  <c:v>5.2210652545250803E-3</c:v>
                </c:pt>
                <c:pt idx="13">
                  <c:v>3.1205085278988398E-3</c:v>
                </c:pt>
                <c:pt idx="14">
                  <c:v>-1.1535267820417501E-4</c:v>
                </c:pt>
                <c:pt idx="15">
                  <c:v>-1.51679355332311E-3</c:v>
                </c:pt>
                <c:pt idx="16">
                  <c:v>-4.76997791291681E-4</c:v>
                </c:pt>
                <c:pt idx="17">
                  <c:v>2.2420863158358799E-3</c:v>
                </c:pt>
                <c:pt idx="18">
                  <c:v>-2.5170220185716599E-4</c:v>
                </c:pt>
                <c:pt idx="19">
                  <c:v>-3.4083937049651102E-3</c:v>
                </c:pt>
                <c:pt idx="20">
                  <c:v>1.79994402904382E-4</c:v>
                </c:pt>
                <c:pt idx="21">
                  <c:v>1.9836444195757202E-3</c:v>
                </c:pt>
                <c:pt idx="22">
                  <c:v>-2.83031065356134E-3</c:v>
                </c:pt>
                <c:pt idx="23">
                  <c:v>-1.18104426712247E-3</c:v>
                </c:pt>
                <c:pt idx="24">
                  <c:v>3.3940149377340899E-3</c:v>
                </c:pt>
                <c:pt idx="25">
                  <c:v>4.08030517606263E-3</c:v>
                </c:pt>
                <c:pt idx="26">
                  <c:v>3.0536623492127498E-3</c:v>
                </c:pt>
                <c:pt idx="27">
                  <c:v>4.6033325400227799E-3</c:v>
                </c:pt>
                <c:pt idx="28">
                  <c:v>2.0171542024055899E-3</c:v>
                </c:pt>
                <c:pt idx="29">
                  <c:v>5.54095942399138E-3</c:v>
                </c:pt>
                <c:pt idx="30">
                  <c:v>4.3039775462520597E-3</c:v>
                </c:pt>
                <c:pt idx="31">
                  <c:v>3.4331973017483401E-3</c:v>
                </c:pt>
                <c:pt idx="32">
                  <c:v>2.3943951832535101E-3</c:v>
                </c:pt>
                <c:pt idx="33">
                  <c:v>-3.9662384445758299E-4</c:v>
                </c:pt>
                <c:pt idx="34">
                  <c:v>-1.47778853551278E-3</c:v>
                </c:pt>
                <c:pt idx="35">
                  <c:v>-1.2955700678996601E-3</c:v>
                </c:pt>
                <c:pt idx="36">
                  <c:v>-1.6527516006130099E-3</c:v>
                </c:pt>
                <c:pt idx="37">
                  <c:v>-1.42949383979511E-3</c:v>
                </c:pt>
                <c:pt idx="38">
                  <c:v>1.59736445116486E-3</c:v>
                </c:pt>
                <c:pt idx="39">
                  <c:v>-1.46163116923458E-3</c:v>
                </c:pt>
                <c:pt idx="40">
                  <c:v>-3.9523624045185203E-3</c:v>
                </c:pt>
                <c:pt idx="41">
                  <c:v>2.2136812476832501E-4</c:v>
                </c:pt>
                <c:pt idx="42">
                  <c:v>1.4605483454697701E-3</c:v>
                </c:pt>
                <c:pt idx="43">
                  <c:v>-1.5784963976657499E-3</c:v>
                </c:pt>
                <c:pt idx="44">
                  <c:v>-1.5173594197343599E-3</c:v>
                </c:pt>
                <c:pt idx="45">
                  <c:v>-1.38629421211652E-3</c:v>
                </c:pt>
                <c:pt idx="46">
                  <c:v>-1.23509859301437E-3</c:v>
                </c:pt>
                <c:pt idx="47">
                  <c:v>-7.1316494926081098E-4</c:v>
                </c:pt>
                <c:pt idx="48">
                  <c:v>1.3776747737741801E-3</c:v>
                </c:pt>
                <c:pt idx="49">
                  <c:v>1.9793698592804501E-3</c:v>
                </c:pt>
                <c:pt idx="50">
                  <c:v>2.3661388731600098E-3</c:v>
                </c:pt>
                <c:pt idx="51">
                  <c:v>1.89124921453919E-3</c:v>
                </c:pt>
                <c:pt idx="52">
                  <c:v>5.0187889124681901E-3</c:v>
                </c:pt>
                <c:pt idx="53">
                  <c:v>4.2502129325015497E-3</c:v>
                </c:pt>
                <c:pt idx="54">
                  <c:v>2.75659337498345E-3</c:v>
                </c:pt>
                <c:pt idx="55">
                  <c:v>7.2926524495934997E-3</c:v>
                </c:pt>
                <c:pt idx="56">
                  <c:v>5.0159852638382704E-3</c:v>
                </c:pt>
                <c:pt idx="57">
                  <c:v>4.8753962172474003E-3</c:v>
                </c:pt>
                <c:pt idx="58">
                  <c:v>6.2849760861999199E-3</c:v>
                </c:pt>
                <c:pt idx="59">
                  <c:v>1.1485867197357699E-3</c:v>
                </c:pt>
                <c:pt idx="60">
                  <c:v>-2.3575560422245899E-3</c:v>
                </c:pt>
                <c:pt idx="61">
                  <c:v>-3.9190818557312997E-3</c:v>
                </c:pt>
                <c:pt idx="62">
                  <c:v>-1.16993536719367E-3</c:v>
                </c:pt>
                <c:pt idx="63">
                  <c:v>-1.6551310450295599E-3</c:v>
                </c:pt>
                <c:pt idx="64">
                  <c:v>-9.5939012673303299E-4</c:v>
                </c:pt>
                <c:pt idx="65">
                  <c:v>-1.0120399373203799E-3</c:v>
                </c:pt>
                <c:pt idx="66">
                  <c:v>-7.6496028836925596E-4</c:v>
                </c:pt>
                <c:pt idx="67">
                  <c:v>9.90076427218256E-5</c:v>
                </c:pt>
                <c:pt idx="68">
                  <c:v>2.3951970937876699E-3</c:v>
                </c:pt>
                <c:pt idx="69">
                  <c:v>-8.9724291444599898E-4</c:v>
                </c:pt>
                <c:pt idx="70">
                  <c:v>-1.53788936392531E-3</c:v>
                </c:pt>
                <c:pt idx="71">
                  <c:v>3.4093366772374499E-3</c:v>
                </c:pt>
                <c:pt idx="72">
                  <c:v>1.1672665084592399E-3</c:v>
                </c:pt>
                <c:pt idx="73">
                  <c:v>6.5384759808309904E-4</c:v>
                </c:pt>
                <c:pt idx="74">
                  <c:v>6.0348089867875198E-3</c:v>
                </c:pt>
                <c:pt idx="75">
                  <c:v>4.9681495190974203E-3</c:v>
                </c:pt>
                <c:pt idx="76">
                  <c:v>2.09435338844049E-3</c:v>
                </c:pt>
                <c:pt idx="77">
                  <c:v>3.2403240071159798E-3</c:v>
                </c:pt>
                <c:pt idx="78">
                  <c:v>-8.0992109972131499E-4</c:v>
                </c:pt>
                <c:pt idx="79">
                  <c:v>-3.4879274676684899E-3</c:v>
                </c:pt>
                <c:pt idx="80">
                  <c:v>1.52230282067864E-3</c:v>
                </c:pt>
                <c:pt idx="81">
                  <c:v>-6.63892998299537E-3</c:v>
                </c:pt>
                <c:pt idx="82">
                  <c:v>-4.4580579105127699E-3</c:v>
                </c:pt>
                <c:pt idx="83">
                  <c:v>-3.1166628336338101E-3</c:v>
                </c:pt>
                <c:pt idx="84">
                  <c:v>3.1581719535391997E-4</c:v>
                </c:pt>
                <c:pt idx="85">
                  <c:v>-3.4081881305543702E-3</c:v>
                </c:pt>
                <c:pt idx="86">
                  <c:v>-5.2274314297307304E-3</c:v>
                </c:pt>
                <c:pt idx="87">
                  <c:v>2.27474267490058E-3</c:v>
                </c:pt>
                <c:pt idx="88">
                  <c:v>1.00873173077442E-2</c:v>
                </c:pt>
                <c:pt idx="89">
                  <c:v>6.56164393310253E-3</c:v>
                </c:pt>
                <c:pt idx="90">
                  <c:v>1.06777107159229E-4</c:v>
                </c:pt>
                <c:pt idx="91">
                  <c:v>5.3243121485797903E-3</c:v>
                </c:pt>
                <c:pt idx="92">
                  <c:v>3.8088980020823098E-3</c:v>
                </c:pt>
                <c:pt idx="93">
                  <c:v>2.3390727800790098E-3</c:v>
                </c:pt>
                <c:pt idx="94">
                  <c:v>3.0625692840804998E-3</c:v>
                </c:pt>
                <c:pt idx="95">
                  <c:v>4.78240907625115E-3</c:v>
                </c:pt>
                <c:pt idx="96">
                  <c:v>8.8232221050036207E-3</c:v>
                </c:pt>
                <c:pt idx="97">
                  <c:v>9.9729694316326202E-3</c:v>
                </c:pt>
                <c:pt idx="98">
                  <c:v>1.14328889145383E-2</c:v>
                </c:pt>
                <c:pt idx="99">
                  <c:v>1.1039534822139299E-2</c:v>
                </c:pt>
                <c:pt idx="100">
                  <c:v>9.8711710751991106E-3</c:v>
                </c:pt>
                <c:pt idx="101">
                  <c:v>1.6567119900859999E-2</c:v>
                </c:pt>
                <c:pt idx="102">
                  <c:v>1.90739634261099E-2</c:v>
                </c:pt>
                <c:pt idx="103">
                  <c:v>2.1143377172527698E-2</c:v>
                </c:pt>
                <c:pt idx="104">
                  <c:v>1.69875325968699E-2</c:v>
                </c:pt>
                <c:pt idx="105">
                  <c:v>2.5994405996778102E-3</c:v>
                </c:pt>
                <c:pt idx="106">
                  <c:v>-7.1443983983498702E-3</c:v>
                </c:pt>
                <c:pt idx="107">
                  <c:v>-2.2736103450661099E-3</c:v>
                </c:pt>
                <c:pt idx="108">
                  <c:v>-5.0051398942739401E-3</c:v>
                </c:pt>
                <c:pt idx="109">
                  <c:v>-4.5393067863455597E-3</c:v>
                </c:pt>
                <c:pt idx="110">
                  <c:v>-1.3965181102679599E-3</c:v>
                </c:pt>
                <c:pt idx="111">
                  <c:v>6.38351842317945E-4</c:v>
                </c:pt>
                <c:pt idx="112">
                  <c:v>1.1725844581666599E-3</c:v>
                </c:pt>
                <c:pt idx="113">
                  <c:v>-3.1295226907939698E-3</c:v>
                </c:pt>
                <c:pt idx="114">
                  <c:v>1.6679603481718299E-3</c:v>
                </c:pt>
                <c:pt idx="115">
                  <c:v>3.8677701093117801E-3</c:v>
                </c:pt>
                <c:pt idx="116">
                  <c:v>8.4964856035410607E-3</c:v>
                </c:pt>
                <c:pt idx="117">
                  <c:v>4.6018083039328604E-3</c:v>
                </c:pt>
                <c:pt idx="118">
                  <c:v>2.5281261167895402E-3</c:v>
                </c:pt>
                <c:pt idx="119">
                  <c:v>2.59740685064918E-3</c:v>
                </c:pt>
                <c:pt idx="120">
                  <c:v>7.64593295729879E-4</c:v>
                </c:pt>
                <c:pt idx="121">
                  <c:v>-3.1095677731357001E-3</c:v>
                </c:pt>
                <c:pt idx="122">
                  <c:v>1.5443659148619499E-4</c:v>
                </c:pt>
                <c:pt idx="123">
                  <c:v>-1.20312651736444E-2</c:v>
                </c:pt>
                <c:pt idx="124">
                  <c:v>-1.73696548693115E-2</c:v>
                </c:pt>
                <c:pt idx="125">
                  <c:v>-1.52642755032684E-2</c:v>
                </c:pt>
                <c:pt idx="126">
                  <c:v>-2.0976023369760601E-2</c:v>
                </c:pt>
                <c:pt idx="127">
                  <c:v>-1.31413160888531E-2</c:v>
                </c:pt>
                <c:pt idx="128">
                  <c:v>-6.2737839674772101E-3</c:v>
                </c:pt>
                <c:pt idx="129">
                  <c:v>-5.5283145550906196E-3</c:v>
                </c:pt>
                <c:pt idx="130">
                  <c:v>-6.7828888972088098E-3</c:v>
                </c:pt>
                <c:pt idx="131">
                  <c:v>-5.8255340364110897E-3</c:v>
                </c:pt>
                <c:pt idx="132">
                  <c:v>-1.6280445606813802E-2</c:v>
                </c:pt>
                <c:pt idx="133">
                  <c:v>-1.21878088724454E-2</c:v>
                </c:pt>
                <c:pt idx="134">
                  <c:v>-6.7584603131816802E-3</c:v>
                </c:pt>
                <c:pt idx="135">
                  <c:v>-8.0699377566465693E-3</c:v>
                </c:pt>
                <c:pt idx="136">
                  <c:v>3.2110133324505202E-3</c:v>
                </c:pt>
                <c:pt idx="137">
                  <c:v>4.7748372630364204E-3</c:v>
                </c:pt>
                <c:pt idx="138">
                  <c:v>1.41836430715885E-2</c:v>
                </c:pt>
                <c:pt idx="139">
                  <c:v>9.4397633625155491E-3</c:v>
                </c:pt>
                <c:pt idx="140">
                  <c:v>4.50558881944113E-3</c:v>
                </c:pt>
                <c:pt idx="141">
                  <c:v>-2.0085526393428298E-3</c:v>
                </c:pt>
                <c:pt idx="142">
                  <c:v>-7.2220506886147501E-3</c:v>
                </c:pt>
                <c:pt idx="143">
                  <c:v>4.6127808866887002E-3</c:v>
                </c:pt>
                <c:pt idx="144">
                  <c:v>-3.48349460765904E-3</c:v>
                </c:pt>
                <c:pt idx="145">
                  <c:v>-1.20444828138816E-2</c:v>
                </c:pt>
                <c:pt idx="146">
                  <c:v>-2.9649358236844099E-3</c:v>
                </c:pt>
                <c:pt idx="147">
                  <c:v>1.0831380344751701E-3</c:v>
                </c:pt>
                <c:pt idx="148">
                  <c:v>8.1891046600699401E-4</c:v>
                </c:pt>
                <c:pt idx="149">
                  <c:v>2.3873506430635602E-3</c:v>
                </c:pt>
                <c:pt idx="150">
                  <c:v>8.4957404453903996E-4</c:v>
                </c:pt>
                <c:pt idx="151">
                  <c:v>5.4611788138669596E-3</c:v>
                </c:pt>
                <c:pt idx="152">
                  <c:v>1.14542913427592E-2</c:v>
                </c:pt>
                <c:pt idx="153">
                  <c:v>5.91231891898734E-3</c:v>
                </c:pt>
                <c:pt idx="154">
                  <c:v>5.9255539240826299E-3</c:v>
                </c:pt>
                <c:pt idx="155">
                  <c:v>9.3882044265423004E-3</c:v>
                </c:pt>
                <c:pt idx="156">
                  <c:v>2.8254026299447299E-3</c:v>
                </c:pt>
                <c:pt idx="157">
                  <c:v>-1.6341090184425499E-3</c:v>
                </c:pt>
                <c:pt idx="158">
                  <c:v>-6.9778171188925205E-4</c:v>
                </c:pt>
                <c:pt idx="159">
                  <c:v>-1.68739103406323E-3</c:v>
                </c:pt>
                <c:pt idx="160">
                  <c:v>-7.0537976922310404E-3</c:v>
                </c:pt>
                <c:pt idx="161">
                  <c:v>-5.4944646536589101E-3</c:v>
                </c:pt>
                <c:pt idx="162">
                  <c:v>-1.6546383577985999E-3</c:v>
                </c:pt>
                <c:pt idx="163">
                  <c:v>1.55340556290904E-3</c:v>
                </c:pt>
                <c:pt idx="164">
                  <c:v>-3.6635780424375099E-3</c:v>
                </c:pt>
                <c:pt idx="165">
                  <c:v>9.7334647601923601E-4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C8-4CA2-B45C-15D81DB1434B}"/>
            </c:ext>
          </c:extLst>
        </c:ser>
        <c:ser>
          <c:idx val="2"/>
          <c:order val="2"/>
          <c:tx>
            <c:strRef>
              <c:f>XLK_IYW_2!$W$1</c:f>
              <c:strCache>
                <c:ptCount val="1"/>
                <c:pt idx="0">
                  <c:v>log diff XLK x 20 dma / IYW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XLK_IYW_2!$W$2:$W$167</c:f>
              <c:numCache>
                <c:formatCode>0.00%</c:formatCode>
                <c:ptCount val="166"/>
                <c:pt idx="20">
                  <c:v>2.46937437618951E-3</c:v>
                </c:pt>
                <c:pt idx="21">
                  <c:v>3.7609443694330202E-3</c:v>
                </c:pt>
                <c:pt idx="22">
                  <c:v>-1.4929348907730001E-3</c:v>
                </c:pt>
                <c:pt idx="23">
                  <c:v>-4.2650520191434699E-4</c:v>
                </c:pt>
                <c:pt idx="24">
                  <c:v>3.6482464298234298E-3</c:v>
                </c:pt>
                <c:pt idx="25">
                  <c:v>4.2252763897915099E-3</c:v>
                </c:pt>
                <c:pt idx="26">
                  <c:v>3.3899108890196299E-3</c:v>
                </c:pt>
                <c:pt idx="27">
                  <c:v>5.0372487906597697E-3</c:v>
                </c:pt>
                <c:pt idx="28">
                  <c:v>2.3754854367238798E-3</c:v>
                </c:pt>
                <c:pt idx="29">
                  <c:v>5.9597830056597103E-3</c:v>
                </c:pt>
                <c:pt idx="30">
                  <c:v>5.3747279693433002E-3</c:v>
                </c:pt>
                <c:pt idx="31">
                  <c:v>4.8734942026998204E-3</c:v>
                </c:pt>
                <c:pt idx="32">
                  <c:v>4.0205694227494699E-3</c:v>
                </c:pt>
                <c:pt idx="33">
                  <c:v>1.92448819355677E-3</c:v>
                </c:pt>
                <c:pt idx="34">
                  <c:v>1.2559464097813399E-3</c:v>
                </c:pt>
                <c:pt idx="35">
                  <c:v>1.2665252653575199E-3</c:v>
                </c:pt>
                <c:pt idx="36">
                  <c:v>6.0157523841411899E-4</c:v>
                </c:pt>
                <c:pt idx="37">
                  <c:v>6.0420785254213904E-4</c:v>
                </c:pt>
                <c:pt idx="38">
                  <c:v>3.37107226946875E-3</c:v>
                </c:pt>
                <c:pt idx="39">
                  <c:v>3.1911880972770401E-4</c:v>
                </c:pt>
                <c:pt idx="40">
                  <c:v>-2.8339745775451302E-3</c:v>
                </c:pt>
                <c:pt idx="41">
                  <c:v>7.2507542314534997E-4</c:v>
                </c:pt>
                <c:pt idx="42">
                  <c:v>1.6378928981692601E-3</c:v>
                </c:pt>
                <c:pt idx="43">
                  <c:v>-1.8547212331769399E-3</c:v>
                </c:pt>
                <c:pt idx="44">
                  <c:v>-2.1521762434015298E-3</c:v>
                </c:pt>
                <c:pt idx="45">
                  <c:v>-2.1160425044115098E-3</c:v>
                </c:pt>
                <c:pt idx="46">
                  <c:v>-2.0294501436649202E-3</c:v>
                </c:pt>
                <c:pt idx="47">
                  <c:v>-1.5559383263246301E-3</c:v>
                </c:pt>
                <c:pt idx="48">
                  <c:v>5.8486697390845396E-4</c:v>
                </c:pt>
                <c:pt idx="49">
                  <c:v>9.4046159446644999E-4</c:v>
                </c:pt>
                <c:pt idx="50">
                  <c:v>1.5671696809260399E-3</c:v>
                </c:pt>
                <c:pt idx="51">
                  <c:v>1.6292796682739301E-3</c:v>
                </c:pt>
                <c:pt idx="52">
                  <c:v>4.9240864853495802E-3</c:v>
                </c:pt>
                <c:pt idx="53">
                  <c:v>4.3523281141025797E-3</c:v>
                </c:pt>
                <c:pt idx="54">
                  <c:v>3.2469634263741099E-3</c:v>
                </c:pt>
                <c:pt idx="55">
                  <c:v>8.1115279105446504E-3</c:v>
                </c:pt>
                <c:pt idx="56">
                  <c:v>6.4280692483014001E-3</c:v>
                </c:pt>
                <c:pt idx="57">
                  <c:v>6.8006058810343396E-3</c:v>
                </c:pt>
                <c:pt idx="58">
                  <c:v>8.7317412974196994E-3</c:v>
                </c:pt>
                <c:pt idx="59">
                  <c:v>4.1763237928332704E-3</c:v>
                </c:pt>
                <c:pt idx="60">
                  <c:v>8.63989215129941E-4</c:v>
                </c:pt>
                <c:pt idx="61">
                  <c:v>-8.4832463487260004E-4</c:v>
                </c:pt>
                <c:pt idx="62">
                  <c:v>1.85963049447752E-3</c:v>
                </c:pt>
                <c:pt idx="63">
                  <c:v>1.19906753266527E-3</c:v>
                </c:pt>
                <c:pt idx="64">
                  <c:v>1.5823336803761001E-3</c:v>
                </c:pt>
                <c:pt idx="65">
                  <c:v>1.33461820746034E-3</c:v>
                </c:pt>
                <c:pt idx="66">
                  <c:v>8.8467342742099301E-4</c:v>
                </c:pt>
                <c:pt idx="67">
                  <c:v>1.1700579036022999E-3</c:v>
                </c:pt>
                <c:pt idx="68">
                  <c:v>2.8623015391366999E-3</c:v>
                </c:pt>
                <c:pt idx="69">
                  <c:v>-1.06673485534844E-3</c:v>
                </c:pt>
                <c:pt idx="70">
                  <c:v>-2.0876641010538601E-3</c:v>
                </c:pt>
                <c:pt idx="71">
                  <c:v>2.75985830882272E-3</c:v>
                </c:pt>
                <c:pt idx="72">
                  <c:v>8.0291260540937403E-4</c:v>
                </c:pt>
                <c:pt idx="73">
                  <c:v>3.7680576869581899E-4</c:v>
                </c:pt>
                <c:pt idx="74">
                  <c:v>5.85578237217293E-3</c:v>
                </c:pt>
                <c:pt idx="75">
                  <c:v>5.0519586767337902E-3</c:v>
                </c:pt>
                <c:pt idx="76">
                  <c:v>2.6658922270437401E-3</c:v>
                </c:pt>
                <c:pt idx="77">
                  <c:v>4.1363705474228097E-3</c:v>
                </c:pt>
                <c:pt idx="78">
                  <c:v>4.64603939190984E-4</c:v>
                </c:pt>
                <c:pt idx="79">
                  <c:v>-2.09895308085158E-3</c:v>
                </c:pt>
                <c:pt idx="80">
                  <c:v>3.0399567616306101E-3</c:v>
                </c:pt>
                <c:pt idx="81">
                  <c:v>-4.8014939120217997E-3</c:v>
                </c:pt>
                <c:pt idx="82">
                  <c:v>-3.2428321390869401E-3</c:v>
                </c:pt>
                <c:pt idx="83">
                  <c:v>-2.1423452010555601E-3</c:v>
                </c:pt>
                <c:pt idx="84">
                  <c:v>1.11087414883014E-3</c:v>
                </c:pt>
                <c:pt idx="85">
                  <c:v>-3.15037165111788E-3</c:v>
                </c:pt>
                <c:pt idx="86">
                  <c:v>-5.6691336917534503E-3</c:v>
                </c:pt>
                <c:pt idx="87">
                  <c:v>1.2228084597940699E-3</c:v>
                </c:pt>
                <c:pt idx="88">
                  <c:v>8.63646198859188E-3</c:v>
                </c:pt>
                <c:pt idx="89">
                  <c:v>5.5405587896608099E-3</c:v>
                </c:pt>
                <c:pt idx="90">
                  <c:v>-5.2447515016713897E-4</c:v>
                </c:pt>
                <c:pt idx="91">
                  <c:v>4.2545049117258702E-3</c:v>
                </c:pt>
                <c:pt idx="92">
                  <c:v>3.54955446905776E-3</c:v>
                </c:pt>
                <c:pt idx="93">
                  <c:v>2.6275731980640198E-3</c:v>
                </c:pt>
                <c:pt idx="94">
                  <c:v>3.74452314132122E-3</c:v>
                </c:pt>
                <c:pt idx="95">
                  <c:v>5.8760152708776997E-3</c:v>
                </c:pt>
                <c:pt idx="96">
                  <c:v>1.08302344249916E-2</c:v>
                </c:pt>
                <c:pt idx="97">
                  <c:v>1.3298094161735099E-2</c:v>
                </c:pt>
                <c:pt idx="98">
                  <c:v>1.5629576757946999E-2</c:v>
                </c:pt>
                <c:pt idx="99">
                  <c:v>1.5322303825997601E-2</c:v>
                </c:pt>
                <c:pt idx="100">
                  <c:v>1.4404322897418701E-2</c:v>
                </c:pt>
                <c:pt idx="101">
                  <c:v>2.21803925051208E-2</c:v>
                </c:pt>
                <c:pt idx="102">
                  <c:v>2.53169593147064E-2</c:v>
                </c:pt>
                <c:pt idx="103">
                  <c:v>2.8385810752736301E-2</c:v>
                </c:pt>
                <c:pt idx="104">
                  <c:v>2.5595907145513401E-2</c:v>
                </c:pt>
                <c:pt idx="105">
                  <c:v>1.2568565176036E-2</c:v>
                </c:pt>
                <c:pt idx="106">
                  <c:v>3.19831195879763E-3</c:v>
                </c:pt>
                <c:pt idx="107">
                  <c:v>7.3912099604191896E-3</c:v>
                </c:pt>
                <c:pt idx="108">
                  <c:v>4.2925391390999301E-3</c:v>
                </c:pt>
                <c:pt idx="109">
                  <c:v>4.3760383008796897E-3</c:v>
                </c:pt>
                <c:pt idx="110">
                  <c:v>6.97472068646864E-3</c:v>
                </c:pt>
                <c:pt idx="111">
                  <c:v>8.3347095950599207E-3</c:v>
                </c:pt>
                <c:pt idx="112">
                  <c:v>7.7139062219473697E-3</c:v>
                </c:pt>
                <c:pt idx="113">
                  <c:v>1.7800541289404899E-3</c:v>
                </c:pt>
                <c:pt idx="114">
                  <c:v>4.1911426812385596E-3</c:v>
                </c:pt>
                <c:pt idx="115">
                  <c:v>4.3240191240902798E-3</c:v>
                </c:pt>
                <c:pt idx="116">
                  <c:v>8.1722616242246304E-3</c:v>
                </c:pt>
                <c:pt idx="117">
                  <c:v>4.7941455969515304E-3</c:v>
                </c:pt>
                <c:pt idx="118">
                  <c:v>2.7315743622884602E-3</c:v>
                </c:pt>
                <c:pt idx="119">
                  <c:v>3.0944735740573298E-3</c:v>
                </c:pt>
                <c:pt idx="120">
                  <c:v>1.55986837187212E-3</c:v>
                </c:pt>
                <c:pt idx="121">
                  <c:v>-2.3980091166914299E-3</c:v>
                </c:pt>
                <c:pt idx="122">
                  <c:v>7.7917186231489803E-4</c:v>
                </c:pt>
                <c:pt idx="123">
                  <c:v>-1.1152663287279201E-2</c:v>
                </c:pt>
                <c:pt idx="124">
                  <c:v>-1.61304379420046E-2</c:v>
                </c:pt>
                <c:pt idx="125">
                  <c:v>-1.4350083801201299E-2</c:v>
                </c:pt>
                <c:pt idx="126">
                  <c:v>-2.1041205297543299E-2</c:v>
                </c:pt>
                <c:pt idx="127">
                  <c:v>-1.54404384838734E-2</c:v>
                </c:pt>
                <c:pt idx="128">
                  <c:v>-1.0049489215013601E-2</c:v>
                </c:pt>
                <c:pt idx="129">
                  <c:v>-1.0512591687570899E-2</c:v>
                </c:pt>
                <c:pt idx="130">
                  <c:v>-1.30690280018283E-2</c:v>
                </c:pt>
                <c:pt idx="131">
                  <c:v>-1.32949130059216E-2</c:v>
                </c:pt>
                <c:pt idx="132">
                  <c:v>-2.4509413611402301E-2</c:v>
                </c:pt>
                <c:pt idx="133">
                  <c:v>-2.2058352790084799E-2</c:v>
                </c:pt>
                <c:pt idx="134">
                  <c:v>-1.72632782266849E-2</c:v>
                </c:pt>
                <c:pt idx="135">
                  <c:v>-1.82690760840837E-2</c:v>
                </c:pt>
                <c:pt idx="136">
                  <c:v>-6.7859357349600502E-3</c:v>
                </c:pt>
                <c:pt idx="137">
                  <c:v>-3.5461113851811199E-3</c:v>
                </c:pt>
                <c:pt idx="138">
                  <c:v>7.0318240765172898E-3</c:v>
                </c:pt>
                <c:pt idx="139">
                  <c:v>3.39853478914608E-3</c:v>
                </c:pt>
                <c:pt idx="140">
                  <c:v>-4.9812255186115198E-4</c:v>
                </c:pt>
                <c:pt idx="141">
                  <c:v>-5.95082096860821E-3</c:v>
                </c:pt>
                <c:pt idx="142">
                  <c:v>-1.04887762398725E-2</c:v>
                </c:pt>
                <c:pt idx="143">
                  <c:v>3.1137161894319401E-3</c:v>
                </c:pt>
                <c:pt idx="144">
                  <c:v>-3.2905838494025502E-3</c:v>
                </c:pt>
                <c:pt idx="145">
                  <c:v>-1.1141121742969801E-2</c:v>
                </c:pt>
                <c:pt idx="146">
                  <c:v>-1.5045770390434499E-3</c:v>
                </c:pt>
                <c:pt idx="147">
                  <c:v>2.1755555867597198E-3</c:v>
                </c:pt>
                <c:pt idx="148">
                  <c:v>1.7759560929452699E-3</c:v>
                </c:pt>
                <c:pt idx="149">
                  <c:v>2.47359267673202E-3</c:v>
                </c:pt>
                <c:pt idx="150">
                  <c:v>4.5268137290267399E-4</c:v>
                </c:pt>
                <c:pt idx="151">
                  <c:v>4.7801180912204E-3</c:v>
                </c:pt>
                <c:pt idx="152">
                  <c:v>1.1281839362373799E-2</c:v>
                </c:pt>
                <c:pt idx="153">
                  <c:v>6.5285686674576701E-3</c:v>
                </c:pt>
                <c:pt idx="154">
                  <c:v>5.9755523586441199E-3</c:v>
                </c:pt>
                <c:pt idx="155">
                  <c:v>9.7293362388819402E-3</c:v>
                </c:pt>
                <c:pt idx="156">
                  <c:v>4.3861474010552896E-3</c:v>
                </c:pt>
                <c:pt idx="157">
                  <c:v>5.3722812347071602E-4</c:v>
                </c:pt>
                <c:pt idx="158">
                  <c:v>1.6304069521983599E-3</c:v>
                </c:pt>
                <c:pt idx="159">
                  <c:v>1.3683647262620301E-3</c:v>
                </c:pt>
                <c:pt idx="160">
                  <c:v>-3.5530508965377302E-3</c:v>
                </c:pt>
                <c:pt idx="161">
                  <c:v>-1.8173272583837999E-3</c:v>
                </c:pt>
                <c:pt idx="162">
                  <c:v>1.5347398711714701E-3</c:v>
                </c:pt>
                <c:pt idx="163">
                  <c:v>3.4879307069820898E-3</c:v>
                </c:pt>
                <c:pt idx="164">
                  <c:v>-1.8799796251725901E-3</c:v>
                </c:pt>
                <c:pt idx="165">
                  <c:v>1.9793781520018299E-3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C8-4CA2-B45C-15D81DB14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[2]IYH_XLV_1!$BI$22:$BI$156</c:f>
              <c:numCache>
                <c:formatCode>General</c:formatCode>
                <c:ptCount val="135"/>
                <c:pt idx="0">
                  <c:v>0</c:v>
                </c:pt>
                <c:pt idx="1">
                  <c:v>2.5655612473939916E-4</c:v>
                </c:pt>
                <c:pt idx="2">
                  <c:v>1.2322882204119003E-3</c:v>
                </c:pt>
                <c:pt idx="3">
                  <c:v>-5.0947972912353499E-3</c:v>
                </c:pt>
                <c:pt idx="4">
                  <c:v>-2.8633555070699951E-4</c:v>
                </c:pt>
                <c:pt idx="5">
                  <c:v>-4.5251554042158998E-4</c:v>
                </c:pt>
                <c:pt idx="6">
                  <c:v>1.1289511372309206E-3</c:v>
                </c:pt>
                <c:pt idx="7">
                  <c:v>-9.8761185406727979E-4</c:v>
                </c:pt>
                <c:pt idx="8">
                  <c:v>-5.4727685673478009E-4</c:v>
                </c:pt>
                <c:pt idx="9">
                  <c:v>-5.594905262751998E-4</c:v>
                </c:pt>
                <c:pt idx="10">
                  <c:v>1.29597048851968E-3</c:v>
                </c:pt>
                <c:pt idx="11">
                  <c:v>7.191482242066994E-5</c:v>
                </c:pt>
                <c:pt idx="12">
                  <c:v>9.3164059269089015E-4</c:v>
                </c:pt>
                <c:pt idx="13">
                  <c:v>5.1716490161134035E-4</c:v>
                </c:pt>
                <c:pt idx="14">
                  <c:v>-1.4985850797733808E-3</c:v>
                </c:pt>
                <c:pt idx="15">
                  <c:v>1.5122813474586399E-3</c:v>
                </c:pt>
                <c:pt idx="16">
                  <c:v>-9.5908364865202999E-4</c:v>
                </c:pt>
                <c:pt idx="17">
                  <c:v>1.9681366196250098E-5</c:v>
                </c:pt>
                <c:pt idx="18">
                  <c:v>-1.3677455060214019E-3</c:v>
                </c:pt>
                <c:pt idx="19">
                  <c:v>-9.5638973534810032E-4</c:v>
                </c:pt>
                <c:pt idx="20">
                  <c:v>3.9978956944260007E-4</c:v>
                </c:pt>
                <c:pt idx="21">
                  <c:v>3.1650783210060993E-4</c:v>
                </c:pt>
                <c:pt idx="22">
                  <c:v>1.3975054026032982E-3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1.6409299811566934E-4</c:v>
                </c:pt>
                <c:pt idx="61">
                  <c:v>-3.7065137416799829E-4</c:v>
                </c:pt>
                <c:pt idx="62">
                  <c:v>2.2687656697265896E-3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-3.3131496543292987E-4</c:v>
                </c:pt>
                <c:pt idx="74">
                  <c:v>3.0042270948379968E-4</c:v>
                </c:pt>
                <c:pt idx="75">
                  <c:v>2.0987533391123941E-3</c:v>
                </c:pt>
                <c:pt idx="76">
                  <c:v>0</c:v>
                </c:pt>
                <c:pt idx="77">
                  <c:v>0</c:v>
                </c:pt>
                <c:pt idx="78">
                  <c:v>1.5987367691278594E-3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-4.5036590465891016E-4</c:v>
                </c:pt>
                <c:pt idx="88">
                  <c:v>9.9027335604300049E-4</c:v>
                </c:pt>
                <c:pt idx="89">
                  <c:v>-1.8314011768762999E-3</c:v>
                </c:pt>
                <c:pt idx="90">
                  <c:v>1.0530970198409373E-6</c:v>
                </c:pt>
                <c:pt idx="91">
                  <c:v>-1.9532654165801012E-4</c:v>
                </c:pt>
                <c:pt idx="92">
                  <c:v>0</c:v>
                </c:pt>
                <c:pt idx="93">
                  <c:v>-1.108290123227555E-3</c:v>
                </c:pt>
                <c:pt idx="94">
                  <c:v>1.4700961019821004E-3</c:v>
                </c:pt>
                <c:pt idx="95">
                  <c:v>1.5765128411539403E-3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-3.1087123362060973E-4</c:v>
                </c:pt>
                <c:pt idx="115">
                  <c:v>-5.3091986857230038E-4</c:v>
                </c:pt>
                <c:pt idx="116">
                  <c:v>1.3855393723185942E-4</c:v>
                </c:pt>
                <c:pt idx="117">
                  <c:v>6.7049373454159018E-4</c:v>
                </c:pt>
                <c:pt idx="118">
                  <c:v>2.0287992299430034E-4</c:v>
                </c:pt>
                <c:pt idx="119">
                  <c:v>-6.6965313589710009E-4</c:v>
                </c:pt>
                <c:pt idx="120">
                  <c:v>-5.7123927667679982E-4</c:v>
                </c:pt>
                <c:pt idx="121">
                  <c:v>-7.5904201566300011E-4</c:v>
                </c:pt>
                <c:pt idx="122">
                  <c:v>1.2379197900768031E-4</c:v>
                </c:pt>
                <c:pt idx="123">
                  <c:v>1.3552481405523994E-3</c:v>
                </c:pt>
                <c:pt idx="124">
                  <c:v>-1.0494934167632301E-3</c:v>
                </c:pt>
                <c:pt idx="125">
                  <c:v>4.4458284337378987E-4</c:v>
                </c:pt>
                <c:pt idx="126">
                  <c:v>8.6329166118799701E-4</c:v>
                </c:pt>
                <c:pt idx="127">
                  <c:v>-1.0430565057380041E-4</c:v>
                </c:pt>
                <c:pt idx="128">
                  <c:v>2.5898888172290989E-4</c:v>
                </c:pt>
                <c:pt idx="129">
                  <c:v>3.4648672890874501E-3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2-49BC-8522-F4CA03671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XLK_IYW_2!$BY$22:$BY$167</c:f>
              <c:numCache>
                <c:formatCode>0.00%</c:formatCode>
                <c:ptCount val="146"/>
                <c:pt idx="0">
                  <c:v>0</c:v>
                </c:pt>
                <c:pt idx="1">
                  <c:v>-1.6913803489729991E-3</c:v>
                </c:pt>
                <c:pt idx="2">
                  <c:v>3.0614083673751007E-3</c:v>
                </c:pt>
                <c:pt idx="3">
                  <c:v>4.1729017768653009E-3</c:v>
                </c:pt>
                <c:pt idx="4">
                  <c:v>8.4687556932466004E-3</c:v>
                </c:pt>
                <c:pt idx="5">
                  <c:v>7.3811642045473001E-3</c:v>
                </c:pt>
                <c:pt idx="6">
                  <c:v>7.8196000614437211E-3</c:v>
                </c:pt>
                <c:pt idx="7">
                  <c:v>5.8499369556726886E-3</c:v>
                </c:pt>
                <c:pt idx="8">
                  <c:v>8.1141379100682903E-3</c:v>
                </c:pt>
                <c:pt idx="9">
                  <c:v>4.2919055313848905E-3</c:v>
                </c:pt>
                <c:pt idx="10">
                  <c:v>4.5503559424819933E-3</c:v>
                </c:pt>
                <c:pt idx="11">
                  <c:v>4.7952390906801931E-3</c:v>
                </c:pt>
                <c:pt idx="12">
                  <c:v>5.4016888532059226E-3</c:v>
                </c:pt>
                <c:pt idx="13">
                  <c:v>7.3433401982555624E-3</c:v>
                </c:pt>
                <c:pt idx="14">
                  <c:v>7.8805422129309619E-3</c:v>
                </c:pt>
                <c:pt idx="15">
                  <c:v>7.6393963425901625E-3</c:v>
                </c:pt>
                <c:pt idx="16">
                  <c:v>8.0224308941531635E-3</c:v>
                </c:pt>
                <c:pt idx="17">
                  <c:v>7.819487500603562E-3</c:v>
                </c:pt>
                <c:pt idx="18">
                  <c:v>4.9896524946713636E-3</c:v>
                </c:pt>
                <c:pt idx="19">
                  <c:v>7.7361616011609943E-3</c:v>
                </c:pt>
                <c:pt idx="20">
                  <c:v>1.0571169633459596E-2</c:v>
                </c:pt>
                <c:pt idx="21">
                  <c:v>1.4142432002702194E-2</c:v>
                </c:pt>
                <c:pt idx="22">
                  <c:v>1.4142432002702194E-2</c:v>
                </c:pt>
                <c:pt idx="23">
                  <c:v>1.4142432002702194E-2</c:v>
                </c:pt>
                <c:pt idx="24">
                  <c:v>1.4030020753541391E-2</c:v>
                </c:pt>
                <c:pt idx="25">
                  <c:v>1.4030020753541391E-2</c:v>
                </c:pt>
                <c:pt idx="26">
                  <c:v>1.4026058262525933E-2</c:v>
                </c:pt>
                <c:pt idx="27">
                  <c:v>1.443075451612753E-2</c:v>
                </c:pt>
                <c:pt idx="28">
                  <c:v>1.6424583931685981E-2</c:v>
                </c:pt>
                <c:pt idx="29">
                  <c:v>1.6424583931685981E-2</c:v>
                </c:pt>
                <c:pt idx="30">
                  <c:v>1.6424583931685981E-2</c:v>
                </c:pt>
                <c:pt idx="31">
                  <c:v>1.6424583931685981E-2</c:v>
                </c:pt>
                <c:pt idx="32">
                  <c:v>1.6424583931685981E-2</c:v>
                </c:pt>
                <c:pt idx="33">
                  <c:v>1.6857342120748683E-2</c:v>
                </c:pt>
                <c:pt idx="34">
                  <c:v>1.6857342120748683E-2</c:v>
                </c:pt>
                <c:pt idx="35">
                  <c:v>1.1795767098105963E-2</c:v>
                </c:pt>
                <c:pt idx="36">
                  <c:v>1.3042496508360812E-2</c:v>
                </c:pt>
                <c:pt idx="37">
                  <c:v>1.227577972808571E-2</c:v>
                </c:pt>
                <c:pt idx="38">
                  <c:v>9.922371811068309E-3</c:v>
                </c:pt>
                <c:pt idx="39">
                  <c:v>1.4080150755681108E-2</c:v>
                </c:pt>
                <c:pt idx="40">
                  <c:v>1.7063839719347711E-2</c:v>
                </c:pt>
                <c:pt idx="41">
                  <c:v>1.8453895912018813E-2</c:v>
                </c:pt>
                <c:pt idx="42">
                  <c:v>1.8453895912018813E-2</c:v>
                </c:pt>
                <c:pt idx="43">
                  <c:v>1.8952981082416741E-2</c:v>
                </c:pt>
                <c:pt idx="44">
                  <c:v>1.8277778826240342E-2</c:v>
                </c:pt>
                <c:pt idx="45">
                  <c:v>1.8194093943533138E-2</c:v>
                </c:pt>
                <c:pt idx="46">
                  <c:v>1.830834827270772E-2</c:v>
                </c:pt>
                <c:pt idx="47">
                  <c:v>1.769267053573156E-2</c:v>
                </c:pt>
                <c:pt idx="48">
                  <c:v>1.5659616830931661E-2</c:v>
                </c:pt>
                <c:pt idx="49">
                  <c:v>1.9246449837505963E-2</c:v>
                </c:pt>
                <c:pt idx="50">
                  <c:v>1.9246449837505963E-2</c:v>
                </c:pt>
                <c:pt idx="51">
                  <c:v>2.4165618559155503E-2</c:v>
                </c:pt>
                <c:pt idx="52">
                  <c:v>2.5804840158138203E-2</c:v>
                </c:pt>
                <c:pt idx="53">
                  <c:v>2.6157468385041543E-2</c:v>
                </c:pt>
                <c:pt idx="54">
                  <c:v>2.0600970511733509E-2</c:v>
                </c:pt>
                <c:pt idx="55">
                  <c:v>2.1005598708746308E-2</c:v>
                </c:pt>
                <c:pt idx="56">
                  <c:v>2.3265588902271508E-2</c:v>
                </c:pt>
                <c:pt idx="57">
                  <c:v>2.1719368784906108E-2</c:v>
                </c:pt>
                <c:pt idx="58">
                  <c:v>2.5276612806706338E-2</c:v>
                </c:pt>
                <c:pt idx="59">
                  <c:v>2.8020417704806937E-2</c:v>
                </c:pt>
                <c:pt idx="60">
                  <c:v>3.3049248411667329E-2</c:v>
                </c:pt>
                <c:pt idx="61">
                  <c:v>4.0600044471300126E-2</c:v>
                </c:pt>
                <c:pt idx="62">
                  <c:v>4.2141239513199327E-2</c:v>
                </c:pt>
                <c:pt idx="63">
                  <c:v>4.3162135606367724E-2</c:v>
                </c:pt>
                <c:pt idx="64">
                  <c:v>4.6411947519240521E-2</c:v>
                </c:pt>
                <c:pt idx="65">
                  <c:v>4.6411947519240521E-2</c:v>
                </c:pt>
                <c:pt idx="66">
                  <c:v>4.3807343939376617E-2</c:v>
                </c:pt>
                <c:pt idx="67">
                  <c:v>5.0488391092680718E-2</c:v>
                </c:pt>
                <c:pt idx="68">
                  <c:v>5.0488391092680718E-2</c:v>
                </c:pt>
                <c:pt idx="69">
                  <c:v>5.3219258286714213E-2</c:v>
                </c:pt>
                <c:pt idx="70">
                  <c:v>5.8875213972391205E-2</c:v>
                </c:pt>
                <c:pt idx="71">
                  <c:v>5.8875213972391205E-2</c:v>
                </c:pt>
                <c:pt idx="72">
                  <c:v>5.9408299305003201E-2</c:v>
                </c:pt>
                <c:pt idx="73">
                  <c:v>6.0102951540668199E-2</c:v>
                </c:pt>
                <c:pt idx="74">
                  <c:v>5.8775597809931281E-2</c:v>
                </c:pt>
                <c:pt idx="75">
                  <c:v>5.6645067783157185E-2</c:v>
                </c:pt>
                <c:pt idx="76">
                  <c:v>5.1565628147783774E-2</c:v>
                </c:pt>
                <c:pt idx="77">
                  <c:v>4.8607782743013347E-2</c:v>
                </c:pt>
                <c:pt idx="78">
                  <c:v>4.5717097253690844E-2</c:v>
                </c:pt>
                <c:pt idx="79">
                  <c:v>4.5144208152162933E-2</c:v>
                </c:pt>
                <c:pt idx="80">
                  <c:v>4.5015087970805528E-2</c:v>
                </c:pt>
                <c:pt idx="81">
                  <c:v>3.6437194041891129E-2</c:v>
                </c:pt>
                <c:pt idx="82">
                  <c:v>3.169597541456913E-2</c:v>
                </c:pt>
                <c:pt idx="83">
                  <c:v>2.6865855901608691E-2</c:v>
                </c:pt>
                <c:pt idx="84">
                  <c:v>2.770735748682197E-2</c:v>
                </c:pt>
                <c:pt idx="85">
                  <c:v>3.8988190364423039E-2</c:v>
                </c:pt>
                <c:pt idx="86">
                  <c:v>4.6953705467893743E-2</c:v>
                </c:pt>
                <c:pt idx="87">
                  <c:v>4.1617237229574847E-2</c:v>
                </c:pt>
                <c:pt idx="88">
                  <c:v>4.3645419086150342E-2</c:v>
                </c:pt>
                <c:pt idx="89">
                  <c:v>4.2971141116894235E-2</c:v>
                </c:pt>
                <c:pt idx="90">
                  <c:v>3.9609795834380138E-2</c:v>
                </c:pt>
                <c:pt idx="91">
                  <c:v>3.7032028399747202E-2</c:v>
                </c:pt>
                <c:pt idx="92">
                  <c:v>3.7032028399747202E-2</c:v>
                </c:pt>
                <c:pt idx="93">
                  <c:v>4.1818394937384304E-2</c:v>
                </c:pt>
                <c:pt idx="94">
                  <c:v>3.8461722080211862E-2</c:v>
                </c:pt>
                <c:pt idx="95">
                  <c:v>3.728237747513756E-2</c:v>
                </c:pt>
                <c:pt idx="96">
                  <c:v>3.728237747513756E-2</c:v>
                </c:pt>
                <c:pt idx="97">
                  <c:v>3.9678183876277057E-2</c:v>
                </c:pt>
                <c:pt idx="98">
                  <c:v>4.1026300862077064E-2</c:v>
                </c:pt>
                <c:pt idx="99">
                  <c:v>4.0161543880882326E-2</c:v>
                </c:pt>
                <c:pt idx="100">
                  <c:v>4.1179769131214725E-2</c:v>
                </c:pt>
                <c:pt idx="101">
                  <c:v>4.4678339553256619E-2</c:v>
                </c:pt>
                <c:pt idx="102">
                  <c:v>4.7709387017700722E-2</c:v>
                </c:pt>
                <c:pt idx="103">
                  <c:v>4.7709387017700722E-2</c:v>
                </c:pt>
                <c:pt idx="104">
                  <c:v>4.1650654727684422E-2</c:v>
                </c:pt>
                <c:pt idx="105">
                  <c:v>4.2086217262120119E-2</c:v>
                </c:pt>
                <c:pt idx="106">
                  <c:v>3.463403368947942E-2</c:v>
                </c:pt>
                <c:pt idx="107">
                  <c:v>3.9494437036125589E-2</c:v>
                </c:pt>
                <c:pt idx="108">
                  <c:v>4.4125356803514093E-2</c:v>
                </c:pt>
                <c:pt idx="109">
                  <c:v>4.3238501175364652E-2</c:v>
                </c:pt>
                <c:pt idx="110">
                  <c:v>4.0179993060034058E-2</c:v>
                </c:pt>
                <c:pt idx="111">
                  <c:v>3.9130012734509258E-2</c:v>
                </c:pt>
                <c:pt idx="112">
                  <c:v>2.691089978443819E-2</c:v>
                </c:pt>
                <c:pt idx="113">
                  <c:v>2.7713355780939489E-2</c:v>
                </c:pt>
                <c:pt idx="114">
                  <c:v>3.1140689684039588E-2</c:v>
                </c:pt>
                <c:pt idx="115">
                  <c:v>2.8777183130117165E-2</c:v>
                </c:pt>
                <c:pt idx="116">
                  <c:v>3.8726223234767168E-2</c:v>
                </c:pt>
                <c:pt idx="117">
                  <c:v>4.0698873533993998E-2</c:v>
                </c:pt>
                <c:pt idx="118">
                  <c:v>5.0227628674803196E-2</c:v>
                </c:pt>
                <c:pt idx="119">
                  <c:v>5.4367853782524192E-2</c:v>
                </c:pt>
                <c:pt idx="120">
                  <c:v>5.9019372404613829E-2</c:v>
                </c:pt>
                <c:pt idx="121">
                  <c:v>5.9019372404613829E-2</c:v>
                </c:pt>
                <c:pt idx="122">
                  <c:v>5.339765506229973E-2</c:v>
                </c:pt>
                <c:pt idx="123">
                  <c:v>6.5486083519113919E-2</c:v>
                </c:pt>
                <c:pt idx="124">
                  <c:v>7.2198209396844154E-2</c:v>
                </c:pt>
                <c:pt idx="125">
                  <c:v>6.4005314588110152E-2</c:v>
                </c:pt>
                <c:pt idx="126">
                  <c:v>7.2865631807797246E-2</c:v>
                </c:pt>
                <c:pt idx="127">
                  <c:v>7.6587587034169041E-2</c:v>
                </c:pt>
                <c:pt idx="128">
                  <c:v>7.6587587034169041E-2</c:v>
                </c:pt>
                <c:pt idx="129">
                  <c:v>7.6587587034169041E-2</c:v>
                </c:pt>
                <c:pt idx="130">
                  <c:v>7.8809127271611129E-2</c:v>
                </c:pt>
                <c:pt idx="131">
                  <c:v>7.4641054202096421E-2</c:v>
                </c:pt>
                <c:pt idx="132">
                  <c:v>6.8038509066692607E-2</c:v>
                </c:pt>
                <c:pt idx="133">
                  <c:v>7.1749830936306006E-2</c:v>
                </c:pt>
                <c:pt idx="134">
                  <c:v>7.1484571912250827E-2</c:v>
                </c:pt>
                <c:pt idx="135">
                  <c:v>6.7071675088257676E-2</c:v>
                </c:pt>
                <c:pt idx="136">
                  <c:v>7.1416796535393873E-2</c:v>
                </c:pt>
                <c:pt idx="137">
                  <c:v>7.4983514436953128E-2</c:v>
                </c:pt>
                <c:pt idx="138">
                  <c:v>7.3884704973700033E-2</c:v>
                </c:pt>
                <c:pt idx="139">
                  <c:v>7.4560126394480369E-2</c:v>
                </c:pt>
                <c:pt idx="140">
                  <c:v>7.9723217904723573E-2</c:v>
                </c:pt>
                <c:pt idx="141">
                  <c:v>8.1190541113548315E-2</c:v>
                </c:pt>
                <c:pt idx="142">
                  <c:v>8.4667613697745919E-2</c:v>
                </c:pt>
                <c:pt idx="143">
                  <c:v>8.4667613697745919E-2</c:v>
                </c:pt>
                <c:pt idx="144">
                  <c:v>8.9933867135049625E-2</c:v>
                </c:pt>
                <c:pt idx="145">
                  <c:v>9.3968068970068111E-2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C-416B-BFB4-7FF176715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XLK_IYW_2!$BJ$22:$BJ$167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1.1114934094902003E-3</c:v>
                </c:pt>
                <c:pt idx="4">
                  <c:v>5.4073473258714998E-3</c:v>
                </c:pt>
                <c:pt idx="5">
                  <c:v>5.4073473258714998E-3</c:v>
                </c:pt>
                <c:pt idx="6">
                  <c:v>5.4073473258714998E-3</c:v>
                </c:pt>
                <c:pt idx="7">
                  <c:v>5.4073473258714998E-3</c:v>
                </c:pt>
                <c:pt idx="8">
                  <c:v>5.4073473258714998E-3</c:v>
                </c:pt>
                <c:pt idx="9">
                  <c:v>5.4073473258714998E-3</c:v>
                </c:pt>
                <c:pt idx="10">
                  <c:v>5.4073473258714998E-3</c:v>
                </c:pt>
                <c:pt idx="11">
                  <c:v>5.4073473258714998E-3</c:v>
                </c:pt>
                <c:pt idx="12">
                  <c:v>5.4073473258714998E-3</c:v>
                </c:pt>
                <c:pt idx="13">
                  <c:v>5.4073473258714998E-3</c:v>
                </c:pt>
                <c:pt idx="14">
                  <c:v>5.4073473258714998E-3</c:v>
                </c:pt>
                <c:pt idx="15">
                  <c:v>5.4073473258714998E-3</c:v>
                </c:pt>
                <c:pt idx="16">
                  <c:v>5.4073473258714998E-3</c:v>
                </c:pt>
                <c:pt idx="17">
                  <c:v>5.4073473258714998E-3</c:v>
                </c:pt>
                <c:pt idx="18">
                  <c:v>5.4073473258714998E-3</c:v>
                </c:pt>
                <c:pt idx="19">
                  <c:v>5.4073473258714998E-3</c:v>
                </c:pt>
                <c:pt idx="20">
                  <c:v>5.4073473258714998E-3</c:v>
                </c:pt>
                <c:pt idx="21">
                  <c:v>8.9786096951140985E-3</c:v>
                </c:pt>
                <c:pt idx="22">
                  <c:v>8.9786096951140985E-3</c:v>
                </c:pt>
                <c:pt idx="23">
                  <c:v>8.9786096951140985E-3</c:v>
                </c:pt>
                <c:pt idx="24">
                  <c:v>8.8661984459532956E-3</c:v>
                </c:pt>
                <c:pt idx="25">
                  <c:v>8.8661984459532956E-3</c:v>
                </c:pt>
                <c:pt idx="26">
                  <c:v>8.8622359549378367E-3</c:v>
                </c:pt>
                <c:pt idx="27">
                  <c:v>9.2669322085394343E-3</c:v>
                </c:pt>
                <c:pt idx="28">
                  <c:v>1.1260761624097886E-2</c:v>
                </c:pt>
                <c:pt idx="29">
                  <c:v>1.1260761624097886E-2</c:v>
                </c:pt>
                <c:pt idx="30">
                  <c:v>1.1260761624097886E-2</c:v>
                </c:pt>
                <c:pt idx="31">
                  <c:v>1.1260761624097886E-2</c:v>
                </c:pt>
                <c:pt idx="32">
                  <c:v>1.1260761624097886E-2</c:v>
                </c:pt>
                <c:pt idx="33">
                  <c:v>1.1260761624097886E-2</c:v>
                </c:pt>
                <c:pt idx="34">
                  <c:v>1.1260761624097886E-2</c:v>
                </c:pt>
                <c:pt idx="35">
                  <c:v>1.1260761624097886E-2</c:v>
                </c:pt>
                <c:pt idx="36">
                  <c:v>1.1260761624097886E-2</c:v>
                </c:pt>
                <c:pt idx="37">
                  <c:v>1.1260761624097886E-2</c:v>
                </c:pt>
                <c:pt idx="38">
                  <c:v>1.1260761624097886E-2</c:v>
                </c:pt>
                <c:pt idx="39">
                  <c:v>1.1260761624097886E-2</c:v>
                </c:pt>
                <c:pt idx="40">
                  <c:v>1.1260761624097886E-2</c:v>
                </c:pt>
                <c:pt idx="41">
                  <c:v>1.1260761624097886E-2</c:v>
                </c:pt>
                <c:pt idx="42">
                  <c:v>1.1260761624097886E-2</c:v>
                </c:pt>
                <c:pt idx="43">
                  <c:v>1.1260761624097886E-2</c:v>
                </c:pt>
                <c:pt idx="44">
                  <c:v>1.1260761624097886E-2</c:v>
                </c:pt>
                <c:pt idx="45">
                  <c:v>1.1260761624097886E-2</c:v>
                </c:pt>
                <c:pt idx="46">
                  <c:v>1.1260761624097886E-2</c:v>
                </c:pt>
                <c:pt idx="47">
                  <c:v>1.1260761624097886E-2</c:v>
                </c:pt>
                <c:pt idx="48">
                  <c:v>1.1260761624097886E-2</c:v>
                </c:pt>
                <c:pt idx="49">
                  <c:v>1.1260761624097886E-2</c:v>
                </c:pt>
                <c:pt idx="50">
                  <c:v>1.1260761624097886E-2</c:v>
                </c:pt>
                <c:pt idx="51">
                  <c:v>1.6179930345747426E-2</c:v>
                </c:pt>
                <c:pt idx="52">
                  <c:v>1.6179930345747426E-2</c:v>
                </c:pt>
                <c:pt idx="53">
                  <c:v>1.6179930345747426E-2</c:v>
                </c:pt>
                <c:pt idx="54">
                  <c:v>1.6179930345747426E-2</c:v>
                </c:pt>
                <c:pt idx="55">
                  <c:v>1.6179930345747426E-2</c:v>
                </c:pt>
                <c:pt idx="56">
                  <c:v>1.6179930345747426E-2</c:v>
                </c:pt>
                <c:pt idx="57">
                  <c:v>1.6179930345747426E-2</c:v>
                </c:pt>
                <c:pt idx="58">
                  <c:v>1.6179930345747426E-2</c:v>
                </c:pt>
                <c:pt idx="59">
                  <c:v>1.6179930345747426E-2</c:v>
                </c:pt>
                <c:pt idx="60">
                  <c:v>2.1208761052607814E-2</c:v>
                </c:pt>
                <c:pt idx="61">
                  <c:v>2.1208761052607814E-2</c:v>
                </c:pt>
                <c:pt idx="62">
                  <c:v>2.2749956094507015E-2</c:v>
                </c:pt>
                <c:pt idx="63">
                  <c:v>2.3770852187675412E-2</c:v>
                </c:pt>
                <c:pt idx="64">
                  <c:v>2.7020664100548212E-2</c:v>
                </c:pt>
                <c:pt idx="65">
                  <c:v>2.7020664100548212E-2</c:v>
                </c:pt>
                <c:pt idx="66">
                  <c:v>2.4416060520684308E-2</c:v>
                </c:pt>
                <c:pt idx="67">
                  <c:v>3.1097107673988413E-2</c:v>
                </c:pt>
                <c:pt idx="68">
                  <c:v>3.1097107673988413E-2</c:v>
                </c:pt>
                <c:pt idx="69">
                  <c:v>3.1097107673988413E-2</c:v>
                </c:pt>
                <c:pt idx="70">
                  <c:v>3.1097107673988413E-2</c:v>
                </c:pt>
                <c:pt idx="71">
                  <c:v>3.1097107673988413E-2</c:v>
                </c:pt>
                <c:pt idx="72">
                  <c:v>3.1097107673988413E-2</c:v>
                </c:pt>
                <c:pt idx="73">
                  <c:v>3.1097107673988413E-2</c:v>
                </c:pt>
                <c:pt idx="74">
                  <c:v>3.1097107673988413E-2</c:v>
                </c:pt>
                <c:pt idx="75">
                  <c:v>3.1097107673988413E-2</c:v>
                </c:pt>
                <c:pt idx="76">
                  <c:v>3.1097107673988413E-2</c:v>
                </c:pt>
                <c:pt idx="77">
                  <c:v>3.1097107673988413E-2</c:v>
                </c:pt>
                <c:pt idx="78">
                  <c:v>3.1097107673988413E-2</c:v>
                </c:pt>
                <c:pt idx="79">
                  <c:v>3.1097107673988413E-2</c:v>
                </c:pt>
                <c:pt idx="80">
                  <c:v>3.1097107673988413E-2</c:v>
                </c:pt>
                <c:pt idx="81">
                  <c:v>3.1097107673988413E-2</c:v>
                </c:pt>
                <c:pt idx="82">
                  <c:v>3.1097107673988413E-2</c:v>
                </c:pt>
                <c:pt idx="83">
                  <c:v>3.1097107673988413E-2</c:v>
                </c:pt>
                <c:pt idx="84">
                  <c:v>3.1097107673988413E-2</c:v>
                </c:pt>
                <c:pt idx="85">
                  <c:v>3.1097107673988413E-2</c:v>
                </c:pt>
                <c:pt idx="86">
                  <c:v>3.1097107673988413E-2</c:v>
                </c:pt>
                <c:pt idx="87">
                  <c:v>3.1097107673988413E-2</c:v>
                </c:pt>
                <c:pt idx="88">
                  <c:v>3.1097107673988413E-2</c:v>
                </c:pt>
                <c:pt idx="89">
                  <c:v>3.1097107673988413E-2</c:v>
                </c:pt>
                <c:pt idx="90">
                  <c:v>3.1097107673988413E-2</c:v>
                </c:pt>
                <c:pt idx="91">
                  <c:v>3.1097107673988413E-2</c:v>
                </c:pt>
                <c:pt idx="92">
                  <c:v>3.1097107673988413E-2</c:v>
                </c:pt>
                <c:pt idx="93">
                  <c:v>3.1097107673988413E-2</c:v>
                </c:pt>
                <c:pt idx="94">
                  <c:v>3.1097107673988413E-2</c:v>
                </c:pt>
                <c:pt idx="95">
                  <c:v>3.1097107673988413E-2</c:v>
                </c:pt>
                <c:pt idx="96">
                  <c:v>3.1097107673988413E-2</c:v>
                </c:pt>
                <c:pt idx="97">
                  <c:v>3.1097107673988413E-2</c:v>
                </c:pt>
                <c:pt idx="98">
                  <c:v>3.1097107673988413E-2</c:v>
                </c:pt>
                <c:pt idx="99">
                  <c:v>3.1097107673988413E-2</c:v>
                </c:pt>
                <c:pt idx="100">
                  <c:v>3.1097107673988413E-2</c:v>
                </c:pt>
                <c:pt idx="101">
                  <c:v>3.1097107673988413E-2</c:v>
                </c:pt>
                <c:pt idx="102">
                  <c:v>3.4128155138432509E-2</c:v>
                </c:pt>
                <c:pt idx="103">
                  <c:v>3.4128155138432509E-2</c:v>
                </c:pt>
                <c:pt idx="104">
                  <c:v>2.8069422848416209E-2</c:v>
                </c:pt>
                <c:pt idx="105">
                  <c:v>2.8504985382851906E-2</c:v>
                </c:pt>
                <c:pt idx="106">
                  <c:v>2.1052801810211207E-2</c:v>
                </c:pt>
                <c:pt idx="107">
                  <c:v>2.5913205156857376E-2</c:v>
                </c:pt>
                <c:pt idx="108">
                  <c:v>3.0544124924245877E-2</c:v>
                </c:pt>
                <c:pt idx="109">
                  <c:v>2.9657269296096436E-2</c:v>
                </c:pt>
                <c:pt idx="110">
                  <c:v>2.6598761180765838E-2</c:v>
                </c:pt>
                <c:pt idx="111">
                  <c:v>2.5548780855241038E-2</c:v>
                </c:pt>
                <c:pt idx="112">
                  <c:v>1.3329667905169968E-2</c:v>
                </c:pt>
                <c:pt idx="113">
                  <c:v>1.4132123901671267E-2</c:v>
                </c:pt>
                <c:pt idx="114">
                  <c:v>1.7559457804771368E-2</c:v>
                </c:pt>
                <c:pt idx="115">
                  <c:v>1.5195951250848945E-2</c:v>
                </c:pt>
                <c:pt idx="116">
                  <c:v>2.5144991355498945E-2</c:v>
                </c:pt>
                <c:pt idx="117">
                  <c:v>2.7117641654725775E-2</c:v>
                </c:pt>
                <c:pt idx="118">
                  <c:v>3.6646396795534976E-2</c:v>
                </c:pt>
                <c:pt idx="119">
                  <c:v>3.6646396795534976E-2</c:v>
                </c:pt>
                <c:pt idx="120">
                  <c:v>3.6646396795534976E-2</c:v>
                </c:pt>
                <c:pt idx="121">
                  <c:v>3.6646396795534976E-2</c:v>
                </c:pt>
                <c:pt idx="122">
                  <c:v>3.1024679453220877E-2</c:v>
                </c:pt>
                <c:pt idx="123">
                  <c:v>4.3113107910035073E-2</c:v>
                </c:pt>
                <c:pt idx="124">
                  <c:v>4.3113107910035073E-2</c:v>
                </c:pt>
                <c:pt idx="125">
                  <c:v>3.492021310130107E-2</c:v>
                </c:pt>
                <c:pt idx="126">
                  <c:v>4.3780530320988165E-2</c:v>
                </c:pt>
                <c:pt idx="127">
                  <c:v>4.7502485547359953E-2</c:v>
                </c:pt>
                <c:pt idx="128">
                  <c:v>4.7502485547359953E-2</c:v>
                </c:pt>
                <c:pt idx="129">
                  <c:v>4.7502485547359953E-2</c:v>
                </c:pt>
                <c:pt idx="130">
                  <c:v>4.7502485547359953E-2</c:v>
                </c:pt>
                <c:pt idx="131">
                  <c:v>4.7502485547359953E-2</c:v>
                </c:pt>
                <c:pt idx="132">
                  <c:v>4.7502485547359953E-2</c:v>
                </c:pt>
                <c:pt idx="133">
                  <c:v>4.7502485547359953E-2</c:v>
                </c:pt>
                <c:pt idx="134">
                  <c:v>4.7502485547359953E-2</c:v>
                </c:pt>
                <c:pt idx="135">
                  <c:v>4.7502485547359953E-2</c:v>
                </c:pt>
                <c:pt idx="136">
                  <c:v>4.7502485547359953E-2</c:v>
                </c:pt>
                <c:pt idx="137">
                  <c:v>4.7502485547359953E-2</c:v>
                </c:pt>
                <c:pt idx="138">
                  <c:v>4.7502485547359953E-2</c:v>
                </c:pt>
                <c:pt idx="139">
                  <c:v>4.7502485547359953E-2</c:v>
                </c:pt>
                <c:pt idx="140">
                  <c:v>4.7502485547359953E-2</c:v>
                </c:pt>
                <c:pt idx="141">
                  <c:v>4.8969808756184695E-2</c:v>
                </c:pt>
                <c:pt idx="142">
                  <c:v>5.2446881340382293E-2</c:v>
                </c:pt>
                <c:pt idx="143">
                  <c:v>5.2446881340382293E-2</c:v>
                </c:pt>
                <c:pt idx="144">
                  <c:v>5.2446881340382293E-2</c:v>
                </c:pt>
                <c:pt idx="145">
                  <c:v>5.6481083175400786E-2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9-4CAC-BB12-DB7FB03FA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XLK_IYW_2!$BV$22:$BV$167</c:f>
              <c:numCache>
                <c:formatCode>0.00%</c:formatCode>
                <c:ptCount val="146"/>
                <c:pt idx="0">
                  <c:v>0</c:v>
                </c:pt>
                <c:pt idx="1">
                  <c:v>-1.6913803489729991E-3</c:v>
                </c:pt>
                <c:pt idx="2">
                  <c:v>3.0614083673751007E-3</c:v>
                </c:pt>
                <c:pt idx="3">
                  <c:v>3.0614083673751007E-3</c:v>
                </c:pt>
                <c:pt idx="4">
                  <c:v>3.0614083673751007E-3</c:v>
                </c:pt>
                <c:pt idx="5">
                  <c:v>1.9738168786758003E-3</c:v>
                </c:pt>
                <c:pt idx="6">
                  <c:v>2.4122527355722205E-3</c:v>
                </c:pt>
                <c:pt idx="7">
                  <c:v>4.4258962980118751E-4</c:v>
                </c:pt>
                <c:pt idx="8">
                  <c:v>2.7067905841967892E-3</c:v>
                </c:pt>
                <c:pt idx="9">
                  <c:v>-1.1154417944866106E-3</c:v>
                </c:pt>
                <c:pt idx="10">
                  <c:v>-8.5699138338950751E-4</c:v>
                </c:pt>
                <c:pt idx="11">
                  <c:v>-6.1210823519130771E-4</c:v>
                </c:pt>
                <c:pt idx="12">
                  <c:v>-5.6584726655783003E-6</c:v>
                </c:pt>
                <c:pt idx="13">
                  <c:v>1.9359928723840616E-3</c:v>
                </c:pt>
                <c:pt idx="14">
                  <c:v>2.4731948870594621E-3</c:v>
                </c:pt>
                <c:pt idx="15">
                  <c:v>2.2320490167186628E-3</c:v>
                </c:pt>
                <c:pt idx="16">
                  <c:v>2.6150835682816637E-3</c:v>
                </c:pt>
                <c:pt idx="17">
                  <c:v>2.4121401747320623E-3</c:v>
                </c:pt>
                <c:pt idx="18">
                  <c:v>-4.176948312001362E-4</c:v>
                </c:pt>
                <c:pt idx="19">
                  <c:v>2.3288142752894946E-3</c:v>
                </c:pt>
                <c:pt idx="20">
                  <c:v>5.1638223075880958E-3</c:v>
                </c:pt>
                <c:pt idx="21">
                  <c:v>5.1638223075880958E-3</c:v>
                </c:pt>
                <c:pt idx="22">
                  <c:v>5.1638223075880958E-3</c:v>
                </c:pt>
                <c:pt idx="23">
                  <c:v>5.1638223075880958E-3</c:v>
                </c:pt>
                <c:pt idx="24">
                  <c:v>5.1638223075880958E-3</c:v>
                </c:pt>
                <c:pt idx="25">
                  <c:v>5.1638223075880958E-3</c:v>
                </c:pt>
                <c:pt idx="26">
                  <c:v>5.1638223075880958E-3</c:v>
                </c:pt>
                <c:pt idx="27">
                  <c:v>5.1638223075880958E-3</c:v>
                </c:pt>
                <c:pt idx="28">
                  <c:v>5.1638223075880958E-3</c:v>
                </c:pt>
                <c:pt idx="29">
                  <c:v>5.1638223075880958E-3</c:v>
                </c:pt>
                <c:pt idx="30">
                  <c:v>5.1638223075880958E-3</c:v>
                </c:pt>
                <c:pt idx="31">
                  <c:v>5.1638223075880958E-3</c:v>
                </c:pt>
                <c:pt idx="32">
                  <c:v>5.1638223075880958E-3</c:v>
                </c:pt>
                <c:pt idx="33">
                  <c:v>5.5965804966507972E-3</c:v>
                </c:pt>
                <c:pt idx="34">
                  <c:v>5.5965804966507972E-3</c:v>
                </c:pt>
                <c:pt idx="35">
                  <c:v>5.3500547400807744E-4</c:v>
                </c:pt>
                <c:pt idx="36">
                  <c:v>1.7817348842629277E-3</c:v>
                </c:pt>
                <c:pt idx="37">
                  <c:v>1.0150181039878256E-3</c:v>
                </c:pt>
                <c:pt idx="38">
                  <c:v>-1.3383898130295757E-3</c:v>
                </c:pt>
                <c:pt idx="39">
                  <c:v>2.8193891315832229E-3</c:v>
                </c:pt>
                <c:pt idx="40">
                  <c:v>5.803078095249826E-3</c:v>
                </c:pt>
                <c:pt idx="41">
                  <c:v>7.1931342879209261E-3</c:v>
                </c:pt>
                <c:pt idx="42">
                  <c:v>7.1931342879209261E-3</c:v>
                </c:pt>
                <c:pt idx="43">
                  <c:v>7.6922194583188561E-3</c:v>
                </c:pt>
                <c:pt idx="44">
                  <c:v>7.0170172021424559E-3</c:v>
                </c:pt>
                <c:pt idx="45">
                  <c:v>6.9333323194352529E-3</c:v>
                </c:pt>
                <c:pt idx="46">
                  <c:v>7.0475866486098332E-3</c:v>
                </c:pt>
                <c:pt idx="47">
                  <c:v>6.4319089116336731E-3</c:v>
                </c:pt>
                <c:pt idx="48">
                  <c:v>4.3988552068337742E-3</c:v>
                </c:pt>
                <c:pt idx="49">
                  <c:v>7.9856882134080754E-3</c:v>
                </c:pt>
                <c:pt idx="50">
                  <c:v>7.9856882134080754E-3</c:v>
                </c:pt>
                <c:pt idx="51">
                  <c:v>7.9856882134080754E-3</c:v>
                </c:pt>
                <c:pt idx="52">
                  <c:v>9.6249098123907754E-3</c:v>
                </c:pt>
                <c:pt idx="53">
                  <c:v>9.9775380392941159E-3</c:v>
                </c:pt>
                <c:pt idx="54">
                  <c:v>4.421040165986081E-3</c:v>
                </c:pt>
                <c:pt idx="55">
                  <c:v>4.8256683629988801E-3</c:v>
                </c:pt>
                <c:pt idx="56">
                  <c:v>7.0856585565240793E-3</c:v>
                </c:pt>
                <c:pt idx="57">
                  <c:v>5.5394384391586797E-3</c:v>
                </c:pt>
                <c:pt idx="58">
                  <c:v>9.09668246095891E-3</c:v>
                </c:pt>
                <c:pt idx="59">
                  <c:v>1.184048735905951E-2</c:v>
                </c:pt>
                <c:pt idx="60">
                  <c:v>1.184048735905951E-2</c:v>
                </c:pt>
                <c:pt idx="61">
                  <c:v>1.9391283418692312E-2</c:v>
                </c:pt>
                <c:pt idx="62">
                  <c:v>1.9391283418692312E-2</c:v>
                </c:pt>
                <c:pt idx="63">
                  <c:v>1.9391283418692312E-2</c:v>
                </c:pt>
                <c:pt idx="64">
                  <c:v>1.9391283418692312E-2</c:v>
                </c:pt>
                <c:pt idx="65">
                  <c:v>1.9391283418692312E-2</c:v>
                </c:pt>
                <c:pt idx="66">
                  <c:v>1.9391283418692312E-2</c:v>
                </c:pt>
                <c:pt idx="67">
                  <c:v>1.9391283418692312E-2</c:v>
                </c:pt>
                <c:pt idx="68">
                  <c:v>1.9391283418692312E-2</c:v>
                </c:pt>
                <c:pt idx="69">
                  <c:v>2.2122150612725811E-2</c:v>
                </c:pt>
                <c:pt idx="70">
                  <c:v>2.7778106298402799E-2</c:v>
                </c:pt>
                <c:pt idx="71">
                  <c:v>2.7778106298402799E-2</c:v>
                </c:pt>
                <c:pt idx="72">
                  <c:v>2.8311191631014799E-2</c:v>
                </c:pt>
                <c:pt idx="73">
                  <c:v>2.9005843866679801E-2</c:v>
                </c:pt>
                <c:pt idx="74">
                  <c:v>2.7678490135942882E-2</c:v>
                </c:pt>
                <c:pt idx="75">
                  <c:v>2.5547960109168783E-2</c:v>
                </c:pt>
                <c:pt idx="76">
                  <c:v>2.0468520473795375E-2</c:v>
                </c:pt>
                <c:pt idx="77">
                  <c:v>1.7510675069024945E-2</c:v>
                </c:pt>
                <c:pt idx="78">
                  <c:v>1.4619989579702442E-2</c:v>
                </c:pt>
                <c:pt idx="79">
                  <c:v>1.4047100478174533E-2</c:v>
                </c:pt>
                <c:pt idx="80">
                  <c:v>1.3917980296817132E-2</c:v>
                </c:pt>
                <c:pt idx="81">
                  <c:v>5.3400863679027299E-3</c:v>
                </c:pt>
                <c:pt idx="82">
                  <c:v>5.9886774058072814E-4</c:v>
                </c:pt>
                <c:pt idx="83">
                  <c:v>-4.2312517723797124E-3</c:v>
                </c:pt>
                <c:pt idx="84">
                  <c:v>-3.3897501871664338E-3</c:v>
                </c:pt>
                <c:pt idx="85">
                  <c:v>7.8910826904346355E-3</c:v>
                </c:pt>
                <c:pt idx="86">
                  <c:v>1.5856597793905337E-2</c:v>
                </c:pt>
                <c:pt idx="87">
                  <c:v>1.0520129555586438E-2</c:v>
                </c:pt>
                <c:pt idx="88">
                  <c:v>1.2548311412161936E-2</c:v>
                </c:pt>
                <c:pt idx="89">
                  <c:v>1.1874033442905833E-2</c:v>
                </c:pt>
                <c:pt idx="90">
                  <c:v>8.5126881603917355E-3</c:v>
                </c:pt>
                <c:pt idx="91">
                  <c:v>5.9349207257587966E-3</c:v>
                </c:pt>
                <c:pt idx="92">
                  <c:v>5.9349207257587966E-3</c:v>
                </c:pt>
                <c:pt idx="93">
                  <c:v>1.0721287263395895E-2</c:v>
                </c:pt>
                <c:pt idx="94">
                  <c:v>7.3646144062234553E-3</c:v>
                </c:pt>
                <c:pt idx="95">
                  <c:v>6.1852698011491533E-3</c:v>
                </c:pt>
                <c:pt idx="96">
                  <c:v>6.1852698011491533E-3</c:v>
                </c:pt>
                <c:pt idx="97">
                  <c:v>8.5810762022886511E-3</c:v>
                </c:pt>
                <c:pt idx="98">
                  <c:v>9.9291931880886621E-3</c:v>
                </c:pt>
                <c:pt idx="99">
                  <c:v>9.0644362068939208E-3</c:v>
                </c:pt>
                <c:pt idx="100">
                  <c:v>1.0082661457226319E-2</c:v>
                </c:pt>
                <c:pt idx="101">
                  <c:v>1.3581231879268216E-2</c:v>
                </c:pt>
                <c:pt idx="102">
                  <c:v>1.3581231879268216E-2</c:v>
                </c:pt>
                <c:pt idx="103">
                  <c:v>1.3581231879268216E-2</c:v>
                </c:pt>
                <c:pt idx="104">
                  <c:v>1.3581231879268216E-2</c:v>
                </c:pt>
                <c:pt idx="105">
                  <c:v>1.3581231879268216E-2</c:v>
                </c:pt>
                <c:pt idx="106">
                  <c:v>1.3581231879268216E-2</c:v>
                </c:pt>
                <c:pt idx="107">
                  <c:v>1.3581231879268216E-2</c:v>
                </c:pt>
                <c:pt idx="108">
                  <c:v>1.3581231879268216E-2</c:v>
                </c:pt>
                <c:pt idx="109">
                  <c:v>1.3581231879268216E-2</c:v>
                </c:pt>
                <c:pt idx="110">
                  <c:v>1.3581231879268216E-2</c:v>
                </c:pt>
                <c:pt idx="111">
                  <c:v>1.3581231879268216E-2</c:v>
                </c:pt>
                <c:pt idx="112">
                  <c:v>1.3581231879268216E-2</c:v>
                </c:pt>
                <c:pt idx="113">
                  <c:v>1.3581231879268216E-2</c:v>
                </c:pt>
                <c:pt idx="114">
                  <c:v>1.3581231879268216E-2</c:v>
                </c:pt>
                <c:pt idx="115">
                  <c:v>1.3581231879268216E-2</c:v>
                </c:pt>
                <c:pt idx="116">
                  <c:v>1.3581231879268216E-2</c:v>
                </c:pt>
                <c:pt idx="117">
                  <c:v>1.3581231879268216E-2</c:v>
                </c:pt>
                <c:pt idx="118">
                  <c:v>1.3581231879268216E-2</c:v>
                </c:pt>
                <c:pt idx="119">
                  <c:v>1.7721456986989216E-2</c:v>
                </c:pt>
                <c:pt idx="120">
                  <c:v>2.2372975609078857E-2</c:v>
                </c:pt>
                <c:pt idx="121">
                  <c:v>2.2372975609078857E-2</c:v>
                </c:pt>
                <c:pt idx="122">
                  <c:v>2.2372975609078857E-2</c:v>
                </c:pt>
                <c:pt idx="123">
                  <c:v>2.2372975609078857E-2</c:v>
                </c:pt>
                <c:pt idx="124">
                  <c:v>2.9085101486809095E-2</c:v>
                </c:pt>
                <c:pt idx="125">
                  <c:v>2.9085101486809095E-2</c:v>
                </c:pt>
                <c:pt idx="126">
                  <c:v>2.9085101486809095E-2</c:v>
                </c:pt>
                <c:pt idx="127">
                  <c:v>2.9085101486809095E-2</c:v>
                </c:pt>
                <c:pt idx="128">
                  <c:v>2.9085101486809095E-2</c:v>
                </c:pt>
                <c:pt idx="129">
                  <c:v>2.9085101486809095E-2</c:v>
                </c:pt>
                <c:pt idx="130">
                  <c:v>3.1306641724251183E-2</c:v>
                </c:pt>
                <c:pt idx="131">
                  <c:v>2.7138568654736475E-2</c:v>
                </c:pt>
                <c:pt idx="132">
                  <c:v>2.0536023519332664E-2</c:v>
                </c:pt>
                <c:pt idx="133">
                  <c:v>2.4247345388946066E-2</c:v>
                </c:pt>
                <c:pt idx="134">
                  <c:v>2.3982086364890888E-2</c:v>
                </c:pt>
                <c:pt idx="135">
                  <c:v>1.9569189540897737E-2</c:v>
                </c:pt>
                <c:pt idx="136">
                  <c:v>2.3914310988033937E-2</c:v>
                </c:pt>
                <c:pt idx="137">
                  <c:v>2.7481028889593188E-2</c:v>
                </c:pt>
                <c:pt idx="138">
                  <c:v>2.6382219426340097E-2</c:v>
                </c:pt>
                <c:pt idx="139">
                  <c:v>2.7057640847120437E-2</c:v>
                </c:pt>
                <c:pt idx="140">
                  <c:v>3.2220732357363634E-2</c:v>
                </c:pt>
                <c:pt idx="141">
                  <c:v>3.2220732357363634E-2</c:v>
                </c:pt>
                <c:pt idx="142">
                  <c:v>3.2220732357363634E-2</c:v>
                </c:pt>
                <c:pt idx="143">
                  <c:v>3.2220732357363634E-2</c:v>
                </c:pt>
                <c:pt idx="144">
                  <c:v>3.7486985794667332E-2</c:v>
                </c:pt>
                <c:pt idx="145">
                  <c:v>3.7486985794667332E-2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C-472F-B15D-48765E06E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C1A298-C4FD-4B71-B8DF-5FE362202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BCFAB-CCE4-42F9-8A62-DC4D27F34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E4A1BD-C09E-4914-BC45-F7F82E738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0DBE05-50D3-4A29-9D08-B2681045A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70AD56-A189-4848-AC26-A7EC154C2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5B1687-34DB-49BD-98F2-709FA22E7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70A4411-2EEF-438D-9D62-4E70B6892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664D301-8432-41BB-A28B-3998D8135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LK_IYW_1.xlsx" TargetMode="External"/><Relationship Id="rId1" Type="http://schemas.openxmlformats.org/officeDocument/2006/relationships/externalLinkPath" Target="XLK_IYW_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IYH_XLV_1.xlsx" TargetMode="External"/><Relationship Id="rId1" Type="http://schemas.openxmlformats.org/officeDocument/2006/relationships/externalLinkPath" Target="IYH_XLV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LK_IYW_1"/>
    </sheetNames>
    <sheetDataSet>
      <sheetData sheetId="0">
        <row r="1">
          <cell r="O1" t="str">
            <v>IYW/XLK avg</v>
          </cell>
          <cell r="P1" t="str">
            <v>IYW/XLK 10 dma</v>
          </cell>
          <cell r="Q1" t="str">
            <v>IYW/XLK 20 dma</v>
          </cell>
          <cell r="U1" t="str">
            <v>log diff XLK x avg / IYW</v>
          </cell>
          <cell r="V1" t="str">
            <v>log diff XLK x 10 dma / IYW</v>
          </cell>
          <cell r="W1" t="str">
            <v>log diff XLK x 20 dma / IYW</v>
          </cell>
          <cell r="Y1" t="str">
            <v>IYW*/XLK* avg</v>
          </cell>
          <cell r="Z1" t="str">
            <v>IYW*/XLK* 10 dma</v>
          </cell>
          <cell r="AA1" t="str">
            <v>IYW*/XLK* 20 dma</v>
          </cell>
          <cell r="AE1" t="str">
            <v>log diff XLK* x avg / IYW*</v>
          </cell>
          <cell r="AF1" t="str">
            <v>log diff XLK* x 10 dma / IYW*</v>
          </cell>
          <cell r="AG1" t="str">
            <v>log diff XLK* x 20 dma / IYW*</v>
          </cell>
        </row>
        <row r="2">
          <cell r="O2">
            <v>1.35656065472774</v>
          </cell>
          <cell r="Y2">
            <v>1.35658202389043</v>
          </cell>
        </row>
        <row r="3">
          <cell r="O3">
            <v>1.35656065472774</v>
          </cell>
          <cell r="U3">
            <v>-2.1253190209033698E-2</v>
          </cell>
          <cell r="Y3">
            <v>1.35658202389043</v>
          </cell>
          <cell r="AE3">
            <v>-2.1237437876612902E-2</v>
          </cell>
        </row>
        <row r="4">
          <cell r="O4">
            <v>1.35656065472774</v>
          </cell>
          <cell r="U4">
            <v>-1.6898666112772801E-2</v>
          </cell>
          <cell r="Y4">
            <v>1.35658202389043</v>
          </cell>
          <cell r="AE4">
            <v>-1.6882913780352098E-2</v>
          </cell>
        </row>
        <row r="5">
          <cell r="O5">
            <v>1.35656065472774</v>
          </cell>
          <cell r="U5">
            <v>-1.9297601169513401E-2</v>
          </cell>
          <cell r="Y5">
            <v>1.35658202389043</v>
          </cell>
          <cell r="AE5">
            <v>-1.9281848837092799E-2</v>
          </cell>
        </row>
        <row r="6">
          <cell r="O6">
            <v>1.35656065472774</v>
          </cell>
          <cell r="U6">
            <v>-2.0785615954071399E-2</v>
          </cell>
          <cell r="Y6">
            <v>1.35658202389043</v>
          </cell>
          <cell r="AE6">
            <v>-2.0769863621650699E-2</v>
          </cell>
        </row>
        <row r="7">
          <cell r="O7">
            <v>1.35656065472774</v>
          </cell>
          <cell r="U7">
            <v>-1.7443249337932801E-2</v>
          </cell>
          <cell r="Y7">
            <v>1.35658202389043</v>
          </cell>
          <cell r="AE7">
            <v>-1.7427497005512198E-2</v>
          </cell>
        </row>
        <row r="8">
          <cell r="O8">
            <v>1.35656065472774</v>
          </cell>
          <cell r="U8">
            <v>-1.63891865367429E-2</v>
          </cell>
          <cell r="Y8">
            <v>1.35658202389043</v>
          </cell>
          <cell r="AE8">
            <v>-1.6373434204322301E-2</v>
          </cell>
        </row>
        <row r="9">
          <cell r="O9">
            <v>1.35656065472774</v>
          </cell>
          <cell r="U9">
            <v>-1.5931058697666301E-2</v>
          </cell>
          <cell r="Y9">
            <v>1.35658202389043</v>
          </cell>
          <cell r="AE9">
            <v>-1.5915306365245699E-2</v>
          </cell>
        </row>
        <row r="10">
          <cell r="O10">
            <v>1.35656065472774</v>
          </cell>
          <cell r="U10">
            <v>-1.49953047244016E-2</v>
          </cell>
          <cell r="Y10">
            <v>1.35658202389043</v>
          </cell>
          <cell r="AE10">
            <v>-1.4979552391981E-2</v>
          </cell>
        </row>
        <row r="11">
          <cell r="O11">
            <v>1.35656065472774</v>
          </cell>
          <cell r="P11">
            <v>1.3807734927492901</v>
          </cell>
          <cell r="U11">
            <v>-1.29635405250894E-2</v>
          </cell>
          <cell r="Y11">
            <v>1.35658202389043</v>
          </cell>
          <cell r="Z11">
            <v>1.3807734927492901</v>
          </cell>
          <cell r="AE11">
            <v>-1.29477881926687E-2</v>
          </cell>
        </row>
        <row r="12">
          <cell r="O12">
            <v>1.35656065472774</v>
          </cell>
          <cell r="P12">
            <v>1.37951781661104</v>
          </cell>
          <cell r="U12">
            <v>-1.181416002112E-2</v>
          </cell>
          <cell r="V12">
            <v>5.87711786279611E-3</v>
          </cell>
          <cell r="Y12">
            <v>1.35658202389043</v>
          </cell>
          <cell r="Z12">
            <v>1.37951781661104</v>
          </cell>
          <cell r="AE12">
            <v>-1.1798407688699299E-2</v>
          </cell>
          <cell r="AF12">
            <v>5.87711786279611E-3</v>
          </cell>
        </row>
        <row r="13">
          <cell r="O13">
            <v>1.35656065472774</v>
          </cell>
          <cell r="P13">
            <v>1.3782221646572299</v>
          </cell>
          <cell r="U13">
            <v>-1.1859044106706899E-2</v>
          </cell>
          <cell r="V13">
            <v>4.9224194973860498E-3</v>
          </cell>
          <cell r="Y13">
            <v>1.35658202389043</v>
          </cell>
          <cell r="Z13">
            <v>1.3782221646572299</v>
          </cell>
          <cell r="AE13">
            <v>-1.18432917742862E-2</v>
          </cell>
          <cell r="AF13">
            <v>4.9224194973860498E-3</v>
          </cell>
        </row>
        <row r="14">
          <cell r="O14">
            <v>1.35656065472774</v>
          </cell>
          <cell r="P14">
            <v>1.3773587266526801</v>
          </cell>
          <cell r="U14">
            <v>-1.06207506250176E-2</v>
          </cell>
          <cell r="V14">
            <v>5.2210652545250803E-3</v>
          </cell>
          <cell r="Y14">
            <v>1.35658202389043</v>
          </cell>
          <cell r="Z14">
            <v>1.3773587266526801</v>
          </cell>
          <cell r="AE14">
            <v>-1.0604998292597E-2</v>
          </cell>
          <cell r="AF14">
            <v>5.2210652545250803E-3</v>
          </cell>
        </row>
        <row r="15">
          <cell r="O15">
            <v>1.35656065472774</v>
          </cell>
          <cell r="P15">
            <v>1.37636613889185</v>
          </cell>
          <cell r="U15">
            <v>-1.2094624218857699E-2</v>
          </cell>
          <cell r="V15">
            <v>3.1205085278988398E-3</v>
          </cell>
          <cell r="Y15">
            <v>1.35658202389043</v>
          </cell>
          <cell r="Z15">
            <v>1.37636613889185</v>
          </cell>
          <cell r="AE15">
            <v>-1.2078871886437E-2</v>
          </cell>
          <cell r="AF15">
            <v>3.1205085278988398E-3</v>
          </cell>
        </row>
        <row r="16">
          <cell r="O16">
            <v>1.35656065472774</v>
          </cell>
          <cell r="P16">
            <v>1.3755133614527</v>
          </cell>
          <cell r="U16">
            <v>-1.4609579849944401E-2</v>
          </cell>
          <cell r="V16">
            <v>-1.1535267820417501E-4</v>
          </cell>
          <cell r="Y16">
            <v>1.35658202389043</v>
          </cell>
          <cell r="Z16">
            <v>1.3755133614527</v>
          </cell>
          <cell r="AE16">
            <v>-1.4593827517523699E-2</v>
          </cell>
          <cell r="AF16">
            <v>-1.1535267820417501E-4</v>
          </cell>
        </row>
        <row r="17">
          <cell r="O17">
            <v>1.35656065472774</v>
          </cell>
          <cell r="P17">
            <v>1.37523038648999</v>
          </cell>
          <cell r="U17">
            <v>-1.5391242521589099E-2</v>
          </cell>
          <cell r="V17">
            <v>-1.51679355332311E-3</v>
          </cell>
          <cell r="Y17">
            <v>1.35658202389043</v>
          </cell>
          <cell r="Z17">
            <v>1.37523038648999</v>
          </cell>
          <cell r="AE17">
            <v>-1.53754901891684E-2</v>
          </cell>
          <cell r="AF17">
            <v>-1.51679355332311E-3</v>
          </cell>
        </row>
        <row r="18">
          <cell r="O18">
            <v>1.35656065472774</v>
          </cell>
          <cell r="P18">
            <v>1.3749213620187899</v>
          </cell>
          <cell r="U18">
            <v>-1.4145702430289399E-2</v>
          </cell>
          <cell r="V18">
            <v>-4.76997791291681E-4</v>
          </cell>
          <cell r="Y18">
            <v>1.35658202389043</v>
          </cell>
          <cell r="Z18">
            <v>1.3749213620187899</v>
          </cell>
          <cell r="AE18">
            <v>-1.41299500978687E-2</v>
          </cell>
          <cell r="AF18">
            <v>-4.76997791291681E-4</v>
          </cell>
        </row>
        <row r="19">
          <cell r="O19">
            <v>1.35656065472774</v>
          </cell>
          <cell r="P19">
            <v>1.37427105765098</v>
          </cell>
          <cell r="U19">
            <v>-1.12018856532863E-2</v>
          </cell>
          <cell r="V19">
            <v>2.2420863158358799E-3</v>
          </cell>
          <cell r="Y19">
            <v>1.35658202389043</v>
          </cell>
          <cell r="Z19">
            <v>1.37427105765098</v>
          </cell>
          <cell r="AE19">
            <v>-1.1186133320865699E-2</v>
          </cell>
          <cell r="AF19">
            <v>2.2420863158358799E-3</v>
          </cell>
        </row>
        <row r="20">
          <cell r="O20">
            <v>1.35656065472774</v>
          </cell>
          <cell r="P20">
            <v>1.3740271606863099</v>
          </cell>
          <cell r="U20">
            <v>-1.3222586601491001E-2</v>
          </cell>
          <cell r="V20">
            <v>-2.5170220185716599E-4</v>
          </cell>
          <cell r="Y20">
            <v>1.35658202389043</v>
          </cell>
          <cell r="Z20">
            <v>1.3740271606863099</v>
          </cell>
          <cell r="AE20">
            <v>-1.3206834269070201E-2</v>
          </cell>
          <cell r="AF20">
            <v>-2.5170220185716599E-4</v>
          </cell>
        </row>
        <row r="21">
          <cell r="O21">
            <v>1.35656065472774</v>
          </cell>
          <cell r="P21">
            <v>1.37447290180741</v>
          </cell>
          <cell r="Q21">
            <v>1.3776231972783499</v>
          </cell>
          <cell r="U21">
            <v>-1.62017886577237E-2</v>
          </cell>
          <cell r="V21">
            <v>-3.4083937049651102E-3</v>
          </cell>
          <cell r="Y21">
            <v>1.35658202389043</v>
          </cell>
          <cell r="Z21">
            <v>1.37447290180741</v>
          </cell>
          <cell r="AA21">
            <v>1.3776231972783499</v>
          </cell>
          <cell r="AE21">
            <v>-1.6186036325303101E-2</v>
          </cell>
          <cell r="AF21">
            <v>-3.4083937049651102E-3</v>
          </cell>
        </row>
        <row r="22">
          <cell r="O22">
            <v>1.35656065472774</v>
          </cell>
          <cell r="P22">
            <v>1.3746272220859299</v>
          </cell>
          <cell r="Q22">
            <v>1.3770725193484901</v>
          </cell>
          <cell r="U22">
            <v>-1.2937752825547899E-2</v>
          </cell>
          <cell r="V22">
            <v>1.79994402904382E-4</v>
          </cell>
          <cell r="W22">
            <v>2.46937437618951E-3</v>
          </cell>
          <cell r="Y22">
            <v>1.35658202389043</v>
          </cell>
          <cell r="Z22">
            <v>1.3746272220859299</v>
          </cell>
          <cell r="AA22">
            <v>1.3770725193484901</v>
          </cell>
          <cell r="AE22">
            <v>-1.29220004931272E-2</v>
          </cell>
          <cell r="AF22">
            <v>1.79994402904382E-4</v>
          </cell>
          <cell r="AG22">
            <v>2.46937437618951E-3</v>
          </cell>
          <cell r="BJ22">
            <v>0</v>
          </cell>
          <cell r="BV22">
            <v>0</v>
          </cell>
          <cell r="BY22">
            <v>0</v>
          </cell>
        </row>
        <row r="23">
          <cell r="O23">
            <v>1.35656065472774</v>
          </cell>
          <cell r="P23">
            <v>1.3745431437182301</v>
          </cell>
          <cell r="Q23">
            <v>1.37638265418773</v>
          </cell>
          <cell r="U23">
            <v>-1.1246372476574999E-2</v>
          </cell>
          <cell r="V23">
            <v>1.9836444195757202E-3</v>
          </cell>
          <cell r="W23">
            <v>3.7609443694330202E-3</v>
          </cell>
          <cell r="Y23">
            <v>1.35658202389043</v>
          </cell>
          <cell r="Z23">
            <v>1.3745431437182301</v>
          </cell>
          <cell r="AA23">
            <v>1.37638265418773</v>
          </cell>
          <cell r="AE23">
            <v>-1.12306201441544E-2</v>
          </cell>
          <cell r="AF23">
            <v>1.9836444195757202E-3</v>
          </cell>
          <cell r="AG23">
            <v>3.7609443694330202E-3</v>
          </cell>
          <cell r="BJ23">
            <v>0</v>
          </cell>
          <cell r="BV23">
            <v>-1.6913803489729991E-3</v>
          </cell>
          <cell r="BY23">
            <v>-1.6913803489729991E-3</v>
          </cell>
        </row>
        <row r="24">
          <cell r="O24">
            <v>1.35656065472774</v>
          </cell>
          <cell r="P24">
            <v>1.37528253467099</v>
          </cell>
          <cell r="Q24">
            <v>1.3763206306618301</v>
          </cell>
          <cell r="U24">
            <v>-1.5999161192922901E-2</v>
          </cell>
          <cell r="V24">
            <v>-2.83031065356134E-3</v>
          </cell>
          <cell r="W24">
            <v>-1.4929348907730001E-3</v>
          </cell>
          <cell r="Y24">
            <v>1.35658202389043</v>
          </cell>
          <cell r="Z24">
            <v>1.37528253467099</v>
          </cell>
          <cell r="AA24">
            <v>1.3763206306618301</v>
          </cell>
          <cell r="AE24">
            <v>-1.59834088605024E-2</v>
          </cell>
          <cell r="AF24">
            <v>-2.83031065356134E-3</v>
          </cell>
          <cell r="AG24">
            <v>-1.4929348907730001E-3</v>
          </cell>
          <cell r="BJ24">
            <v>0</v>
          </cell>
          <cell r="BV24">
            <v>3.0614083673751007E-3</v>
          </cell>
          <cell r="BY24">
            <v>3.0614083673751007E-3</v>
          </cell>
        </row>
        <row r="25">
          <cell r="O25">
            <v>1.35656065472774</v>
          </cell>
          <cell r="P25">
            <v>1.3756665744382901</v>
          </cell>
          <cell r="Q25">
            <v>1.3760163566650701</v>
          </cell>
          <cell r="U25">
            <v>-1.48876677834329E-2</v>
          </cell>
          <cell r="V25">
            <v>-1.18104426712247E-3</v>
          </cell>
          <cell r="W25">
            <v>-4.2650520191434699E-4</v>
          </cell>
          <cell r="Y25">
            <v>1.35658202389043</v>
          </cell>
          <cell r="Z25">
            <v>1.3756665744382901</v>
          </cell>
          <cell r="AA25">
            <v>1.3760163566650701</v>
          </cell>
          <cell r="AE25">
            <v>-1.48719154510123E-2</v>
          </cell>
          <cell r="AF25">
            <v>-1.18104426712247E-3</v>
          </cell>
          <cell r="AG25">
            <v>-4.2650520191434699E-4</v>
          </cell>
          <cell r="BJ25">
            <v>1.1114934094902003E-3</v>
          </cell>
          <cell r="BV25">
            <v>3.0614083673751007E-3</v>
          </cell>
          <cell r="BY25">
            <v>4.1729017768653009E-3</v>
          </cell>
        </row>
        <row r="26">
          <cell r="O26">
            <v>1.35656065472774</v>
          </cell>
          <cell r="P26">
            <v>1.3751146284775799</v>
          </cell>
          <cell r="Q26">
            <v>1.3753139949651401</v>
          </cell>
          <cell r="U26">
            <v>-1.05918138670514E-2</v>
          </cell>
          <cell r="V26">
            <v>3.3940149377340899E-3</v>
          </cell>
          <cell r="W26">
            <v>3.6482464298234298E-3</v>
          </cell>
          <cell r="Y26">
            <v>1.35658202389043</v>
          </cell>
          <cell r="Z26">
            <v>1.3751146284775799</v>
          </cell>
          <cell r="AA26">
            <v>1.3753139949651401</v>
          </cell>
          <cell r="AE26">
            <v>-1.0576061534630799E-2</v>
          </cell>
          <cell r="AF26">
            <v>3.3940149377340899E-3</v>
          </cell>
          <cell r="AG26">
            <v>3.6482464298234298E-3</v>
          </cell>
          <cell r="BJ26">
            <v>5.4073473258714998E-3</v>
          </cell>
          <cell r="BV26">
            <v>3.0614083673751007E-3</v>
          </cell>
          <cell r="BY26">
            <v>8.4687556932466004E-3</v>
          </cell>
        </row>
        <row r="27">
          <cell r="O27">
            <v>1.35656065472774</v>
          </cell>
          <cell r="P27">
            <v>1.37430601430818</v>
          </cell>
          <cell r="Q27">
            <v>1.37476820039909</v>
          </cell>
          <cell r="U27">
            <v>-9.5042223783522502E-3</v>
          </cell>
          <cell r="V27">
            <v>4.08030517606263E-3</v>
          </cell>
          <cell r="W27">
            <v>4.2252763897915099E-3</v>
          </cell>
          <cell r="Y27">
            <v>1.35658202389043</v>
          </cell>
          <cell r="Z27">
            <v>1.37430601430818</v>
          </cell>
          <cell r="AA27">
            <v>1.37476820039909</v>
          </cell>
          <cell r="AE27">
            <v>-9.4884700459315803E-3</v>
          </cell>
          <cell r="AF27">
            <v>4.08030517606263E-3</v>
          </cell>
          <cell r="AG27">
            <v>4.2252763897915099E-3</v>
          </cell>
          <cell r="BJ27">
            <v>5.4073473258714998E-3</v>
          </cell>
          <cell r="BV27">
            <v>1.9738168786758003E-3</v>
          </cell>
          <cell r="BY27">
            <v>7.3811642045473001E-3</v>
          </cell>
        </row>
        <row r="28">
          <cell r="O28">
            <v>1.35656065472774</v>
          </cell>
          <cell r="P28">
            <v>1.3737289367119201</v>
          </cell>
          <cell r="Q28">
            <v>1.3743251493653501</v>
          </cell>
          <cell r="U28">
            <v>-9.9426582352484805E-3</v>
          </cell>
          <cell r="V28">
            <v>3.0536623492127498E-3</v>
          </cell>
          <cell r="W28">
            <v>3.3899108890196299E-3</v>
          </cell>
          <cell r="Y28">
            <v>1.35658202389043</v>
          </cell>
          <cell r="Z28">
            <v>1.3737289367119201</v>
          </cell>
          <cell r="AA28">
            <v>1.3743251493653501</v>
          </cell>
          <cell r="AE28">
            <v>-9.9269059028278105E-3</v>
          </cell>
          <cell r="AF28">
            <v>3.0536623492127498E-3</v>
          </cell>
          <cell r="AG28">
            <v>3.3899108890196299E-3</v>
          </cell>
          <cell r="BJ28">
            <v>5.4073473258714998E-3</v>
          </cell>
          <cell r="BV28">
            <v>2.4122527355722205E-3</v>
          </cell>
          <cell r="BY28">
            <v>7.8196000614437211E-3</v>
          </cell>
        </row>
        <row r="29">
          <cell r="O29">
            <v>1.35656065472774</v>
          </cell>
          <cell r="P29">
            <v>1.37328669826283</v>
          </cell>
          <cell r="Q29">
            <v>1.3737788779569</v>
          </cell>
          <cell r="U29">
            <v>-7.9729951294773508E-3</v>
          </cell>
          <cell r="V29">
            <v>4.6033325400227799E-3</v>
          </cell>
          <cell r="W29">
            <v>5.0372487906597697E-3</v>
          </cell>
          <cell r="Y29">
            <v>1.35658202389043</v>
          </cell>
          <cell r="Z29">
            <v>1.37328669826283</v>
          </cell>
          <cell r="AA29">
            <v>1.3737788779569</v>
          </cell>
          <cell r="AE29">
            <v>-7.9572427970567797E-3</v>
          </cell>
          <cell r="AF29">
            <v>4.6033325400227799E-3</v>
          </cell>
          <cell r="AG29">
            <v>5.0372487906597697E-3</v>
          </cell>
          <cell r="BJ29">
            <v>5.4073473258714998E-3</v>
          </cell>
          <cell r="BV29">
            <v>4.4258962980118751E-4</v>
          </cell>
          <cell r="BY29">
            <v>5.8499369556726886E-3</v>
          </cell>
        </row>
        <row r="30">
          <cell r="O30">
            <v>1.35656065472774</v>
          </cell>
          <cell r="P30">
            <v>1.3728769333631199</v>
          </cell>
          <cell r="Q30">
            <v>1.37345204702471</v>
          </cell>
          <cell r="U30">
            <v>-1.02371960838731E-2</v>
          </cell>
          <cell r="V30">
            <v>2.0171542024055899E-3</v>
          </cell>
          <cell r="W30">
            <v>2.3754854367238798E-3</v>
          </cell>
          <cell r="Y30">
            <v>1.35658202389043</v>
          </cell>
          <cell r="Z30">
            <v>1.3728769333631199</v>
          </cell>
          <cell r="AA30">
            <v>1.37345204702471</v>
          </cell>
          <cell r="AE30">
            <v>-1.02214437514523E-2</v>
          </cell>
          <cell r="AF30">
            <v>2.0171542024055899E-3</v>
          </cell>
          <cell r="AG30">
            <v>2.3754854367238798E-3</v>
          </cell>
          <cell r="BJ30">
            <v>5.4073473258714998E-3</v>
          </cell>
          <cell r="BV30">
            <v>2.7067905841967892E-3</v>
          </cell>
          <cell r="BY30">
            <v>8.1141379100682903E-3</v>
          </cell>
        </row>
        <row r="31">
          <cell r="O31">
            <v>1.35656065472774</v>
          </cell>
          <cell r="P31">
            <v>1.37153418715085</v>
          </cell>
          <cell r="Q31">
            <v>1.37300354447913</v>
          </cell>
          <cell r="U31">
            <v>-6.4149637051895102E-3</v>
          </cell>
          <cell r="V31">
            <v>5.54095942399138E-3</v>
          </cell>
          <cell r="W31">
            <v>5.9597830056597103E-3</v>
          </cell>
          <cell r="Y31">
            <v>1.35658202389043</v>
          </cell>
          <cell r="Z31">
            <v>1.37153418715085</v>
          </cell>
          <cell r="AA31">
            <v>1.37300354447913</v>
          </cell>
          <cell r="AE31">
            <v>-6.3992113727690198E-3</v>
          </cell>
          <cell r="AF31">
            <v>5.54095942399138E-3</v>
          </cell>
          <cell r="AG31">
            <v>5.9597830056597103E-3</v>
          </cell>
          <cell r="BJ31">
            <v>5.4073473258714998E-3</v>
          </cell>
          <cell r="BV31">
            <v>-1.1154417944866106E-3</v>
          </cell>
          <cell r="BY31">
            <v>4.2919055313848905E-3</v>
          </cell>
        </row>
        <row r="32">
          <cell r="O32">
            <v>1.35656065472774</v>
          </cell>
          <cell r="P32">
            <v>1.3706760164769101</v>
          </cell>
          <cell r="Q32">
            <v>1.37265161928142</v>
          </cell>
          <cell r="U32">
            <v>-6.67341411628662E-3</v>
          </cell>
          <cell r="V32">
            <v>4.3039775462520597E-3</v>
          </cell>
          <cell r="W32">
            <v>5.3747279693433002E-3</v>
          </cell>
          <cell r="Y32">
            <v>1.35658202389043</v>
          </cell>
          <cell r="Z32">
            <v>1.3706760164769101</v>
          </cell>
          <cell r="AA32">
            <v>1.37265161928142</v>
          </cell>
          <cell r="AE32">
            <v>-6.65766178386599E-3</v>
          </cell>
          <cell r="AF32">
            <v>4.3039775462520597E-3</v>
          </cell>
          <cell r="AG32">
            <v>5.3747279693433002E-3</v>
          </cell>
          <cell r="BJ32">
            <v>5.4073473258714998E-3</v>
          </cell>
          <cell r="BV32">
            <v>-8.5699138338950751E-4</v>
          </cell>
          <cell r="BY32">
            <v>4.5503559424819933E-3</v>
          </cell>
        </row>
        <row r="33">
          <cell r="O33">
            <v>1.35656065472774</v>
          </cell>
          <cell r="P33">
            <v>1.3700835295627001</v>
          </cell>
          <cell r="Q33">
            <v>1.3723133366404601</v>
          </cell>
          <cell r="U33">
            <v>-6.9182972644849404E-3</v>
          </cell>
          <cell r="V33">
            <v>3.4331973017483401E-3</v>
          </cell>
          <cell r="W33">
            <v>4.8734942026998204E-3</v>
          </cell>
          <cell r="Y33">
            <v>1.35658202389043</v>
          </cell>
          <cell r="Z33">
            <v>1.3700835295627001</v>
          </cell>
          <cell r="AA33">
            <v>1.3723133366404601</v>
          </cell>
          <cell r="AE33">
            <v>-6.9025449320642496E-3</v>
          </cell>
          <cell r="AF33">
            <v>3.4331973017483401E-3</v>
          </cell>
          <cell r="AG33">
            <v>4.8734942026998204E-3</v>
          </cell>
          <cell r="BJ33">
            <v>5.4073473258714998E-3</v>
          </cell>
          <cell r="BV33">
            <v>-6.1210823519130771E-4</v>
          </cell>
          <cell r="BY33">
            <v>4.7952390906801931E-3</v>
          </cell>
        </row>
        <row r="34">
          <cell r="O34">
            <v>1.35656065472774</v>
          </cell>
          <cell r="P34">
            <v>1.36892031895682</v>
          </cell>
          <cell r="Q34">
            <v>1.3721014268139</v>
          </cell>
          <cell r="U34">
            <v>-7.5247470270106802E-3</v>
          </cell>
          <cell r="V34">
            <v>2.3943951832535101E-3</v>
          </cell>
          <cell r="W34">
            <v>4.0205694227494699E-3</v>
          </cell>
          <cell r="Y34">
            <v>1.35658202389043</v>
          </cell>
          <cell r="Z34">
            <v>1.36892031895682</v>
          </cell>
          <cell r="AA34">
            <v>1.3721014268139</v>
          </cell>
          <cell r="AE34">
            <v>-7.5089946945901204E-3</v>
          </cell>
          <cell r="AF34">
            <v>2.3943951832535101E-3</v>
          </cell>
          <cell r="AG34">
            <v>4.0205694227494699E-3</v>
          </cell>
          <cell r="BJ34">
            <v>5.4073473258714998E-3</v>
          </cell>
          <cell r="BV34">
            <v>-5.6584726655783003E-6</v>
          </cell>
          <cell r="BY34">
            <v>5.4016888532059226E-3</v>
          </cell>
        </row>
        <row r="35">
          <cell r="O35">
            <v>1.35656065472774</v>
          </cell>
          <cell r="P35">
            <v>1.3681758798882599</v>
          </cell>
          <cell r="Q35">
            <v>1.3719212271632699</v>
          </cell>
          <cell r="U35">
            <v>-9.4663983720605308E-3</v>
          </cell>
          <cell r="V35">
            <v>-3.9662384445758299E-4</v>
          </cell>
          <cell r="W35">
            <v>1.92448819355677E-3</v>
          </cell>
          <cell r="Y35">
            <v>1.35658202389043</v>
          </cell>
          <cell r="Z35">
            <v>1.3681758798882599</v>
          </cell>
          <cell r="AA35">
            <v>1.3719212271632699</v>
          </cell>
          <cell r="AE35">
            <v>-9.4506460396399199E-3</v>
          </cell>
          <cell r="AF35">
            <v>-3.9662384445758299E-4</v>
          </cell>
          <cell r="AG35">
            <v>1.92448819355677E-3</v>
          </cell>
          <cell r="BJ35">
            <v>5.4073473258714998E-3</v>
          </cell>
          <cell r="BV35">
            <v>1.9359928723840616E-3</v>
          </cell>
          <cell r="BY35">
            <v>7.3433401982555624E-3</v>
          </cell>
        </row>
        <row r="36">
          <cell r="O36">
            <v>1.35656065472774</v>
          </cell>
          <cell r="P36">
            <v>1.3680952592125899</v>
          </cell>
          <cell r="Q36">
            <v>1.3716049438450899</v>
          </cell>
          <cell r="U36">
            <v>-1.00036003867359E-2</v>
          </cell>
          <cell r="V36">
            <v>-1.47778853551278E-3</v>
          </cell>
          <cell r="W36">
            <v>1.2559464097813399E-3</v>
          </cell>
          <cell r="Y36">
            <v>1.35658202389043</v>
          </cell>
          <cell r="Z36">
            <v>1.3680952592125899</v>
          </cell>
          <cell r="AA36">
            <v>1.3716049438450899</v>
          </cell>
          <cell r="AE36">
            <v>-9.9878480543152993E-3</v>
          </cell>
          <cell r="AF36">
            <v>-1.47778853551278E-3</v>
          </cell>
          <cell r="AG36">
            <v>1.2559464097813399E-3</v>
          </cell>
          <cell r="BJ36">
            <v>5.4073473258714998E-3</v>
          </cell>
          <cell r="BV36">
            <v>2.4731948870594621E-3</v>
          </cell>
          <cell r="BY36">
            <v>7.8805422129309619E-3</v>
          </cell>
        </row>
        <row r="37">
          <cell r="O37">
            <v>1.35656065472774</v>
          </cell>
          <cell r="P37">
            <v>1.3681306290623201</v>
          </cell>
          <cell r="Q37">
            <v>1.37121832168525</v>
          </cell>
          <cell r="U37">
            <v>-9.7624545163951908E-3</v>
          </cell>
          <cell r="V37">
            <v>-1.2955700678996601E-3</v>
          </cell>
          <cell r="W37">
            <v>1.2665252653575199E-3</v>
          </cell>
          <cell r="Y37">
            <v>1.35658202389043</v>
          </cell>
          <cell r="Z37">
            <v>1.3681306290623201</v>
          </cell>
          <cell r="AA37">
            <v>1.37121832168525</v>
          </cell>
          <cell r="AE37">
            <v>-9.7467021839745503E-3</v>
          </cell>
          <cell r="AF37">
            <v>-1.2955700678996601E-3</v>
          </cell>
          <cell r="AG37">
            <v>1.2665252653575199E-3</v>
          </cell>
          <cell r="BJ37">
            <v>5.4073473258714998E-3</v>
          </cell>
          <cell r="BV37">
            <v>2.2320490167186628E-3</v>
          </cell>
          <cell r="BY37">
            <v>7.6393963425901625E-3</v>
          </cell>
        </row>
        <row r="38">
          <cell r="O38">
            <v>1.35656065472774</v>
          </cell>
          <cell r="P38">
            <v>1.3681584220526899</v>
          </cell>
          <cell r="Q38">
            <v>1.3709436793823</v>
          </cell>
          <cell r="U38">
            <v>-1.0145489067957999E-2</v>
          </cell>
          <cell r="V38">
            <v>-1.6527516006130099E-3</v>
          </cell>
          <cell r="W38">
            <v>6.0157523841411899E-4</v>
          </cell>
          <cell r="Y38">
            <v>1.35658202389043</v>
          </cell>
          <cell r="Z38">
            <v>1.3681584220526899</v>
          </cell>
          <cell r="AA38">
            <v>1.3709436793823</v>
          </cell>
          <cell r="AE38">
            <v>-1.01297367355374E-2</v>
          </cell>
          <cell r="AF38">
            <v>-1.6527516006130099E-3</v>
          </cell>
          <cell r="AG38">
            <v>6.0157523841411899E-4</v>
          </cell>
          <cell r="BJ38">
            <v>5.4073473258714998E-3</v>
          </cell>
          <cell r="BV38">
            <v>2.6150835682816637E-3</v>
          </cell>
          <cell r="BY38">
            <v>8.0224308941531635E-3</v>
          </cell>
        </row>
        <row r="39">
          <cell r="O39">
            <v>1.35656065472774</v>
          </cell>
          <cell r="P39">
            <v>1.3684280076758899</v>
          </cell>
          <cell r="Q39">
            <v>1.37085735296936</v>
          </cell>
          <cell r="U39">
            <v>-9.9425456744086406E-3</v>
          </cell>
          <cell r="V39">
            <v>-1.42949383979511E-3</v>
          </cell>
          <cell r="W39">
            <v>6.0420785254213904E-4</v>
          </cell>
          <cell r="Y39">
            <v>1.35658202389043</v>
          </cell>
          <cell r="Z39">
            <v>1.3684280076758899</v>
          </cell>
          <cell r="AA39">
            <v>1.37085735296936</v>
          </cell>
          <cell r="AE39">
            <v>-9.9267933419878301E-3</v>
          </cell>
          <cell r="AF39">
            <v>-1.42949383979511E-3</v>
          </cell>
          <cell r="AG39">
            <v>6.0420785254213904E-4</v>
          </cell>
          <cell r="BJ39">
            <v>5.4073473258714998E-3</v>
          </cell>
          <cell r="BV39">
            <v>2.4121401747320623E-3</v>
          </cell>
          <cell r="BY39">
            <v>7.819487500603562E-3</v>
          </cell>
        </row>
        <row r="40">
          <cell r="O40">
            <v>1.35656065472774</v>
          </cell>
          <cell r="P40">
            <v>1.3680004591832799</v>
          </cell>
          <cell r="Q40">
            <v>1.3704386962732</v>
          </cell>
          <cell r="U40">
            <v>-7.1127106684763302E-3</v>
          </cell>
          <cell r="V40">
            <v>1.59736445116486E-3</v>
          </cell>
          <cell r="W40">
            <v>3.37107226946875E-3</v>
          </cell>
          <cell r="Y40">
            <v>1.35658202389043</v>
          </cell>
          <cell r="Z40">
            <v>1.3680004591832799</v>
          </cell>
          <cell r="AA40">
            <v>1.3704386962732</v>
          </cell>
          <cell r="AE40">
            <v>-7.0969583360558303E-3</v>
          </cell>
          <cell r="AF40">
            <v>1.59736445116486E-3</v>
          </cell>
          <cell r="AG40">
            <v>3.37107226946875E-3</v>
          </cell>
          <cell r="BJ40">
            <v>5.4073473258714998E-3</v>
          </cell>
          <cell r="BV40">
            <v>-4.176948312001362E-4</v>
          </cell>
          <cell r="BY40">
            <v>4.9896524946713636E-3</v>
          </cell>
        </row>
        <row r="41">
          <cell r="O41">
            <v>1.35656065472774</v>
          </cell>
          <cell r="P41">
            <v>1.3684715110811501</v>
          </cell>
          <cell r="Q41">
            <v>1.3700028491159999</v>
          </cell>
          <cell r="U41">
            <v>-9.8592197749661596E-3</v>
          </cell>
          <cell r="V41">
            <v>-1.46163116923458E-3</v>
          </cell>
          <cell r="W41">
            <v>3.1911880972770401E-4</v>
          </cell>
          <cell r="Y41">
            <v>1.35658202389043</v>
          </cell>
          <cell r="Z41">
            <v>1.3684715110811501</v>
          </cell>
          <cell r="AA41">
            <v>1.3700028491159999</v>
          </cell>
          <cell r="AE41">
            <v>-9.8434674425454793E-3</v>
          </cell>
          <cell r="AF41">
            <v>-1.46163116923458E-3</v>
          </cell>
          <cell r="AG41">
            <v>3.1911880972770401E-4</v>
          </cell>
          <cell r="BJ41">
            <v>5.4073473258714998E-3</v>
          </cell>
          <cell r="BV41">
            <v>2.3288142752894946E-3</v>
          </cell>
          <cell r="BY41">
            <v>7.7361616011609943E-3</v>
          </cell>
        </row>
        <row r="42">
          <cell r="O42">
            <v>1.35656065472774</v>
          </cell>
          <cell r="P42">
            <v>1.3692962200000001</v>
          </cell>
          <cell r="Q42">
            <v>1.3699861182384501</v>
          </cell>
          <cell r="U42">
            <v>-1.26942278072646E-2</v>
          </cell>
          <cell r="V42">
            <v>-3.9523624045185203E-3</v>
          </cell>
          <cell r="W42">
            <v>-2.8339745775451302E-3</v>
          </cell>
          <cell r="Y42">
            <v>1.35658202389043</v>
          </cell>
          <cell r="Z42">
            <v>1.3692962200000001</v>
          </cell>
          <cell r="AA42">
            <v>1.3699861182384501</v>
          </cell>
          <cell r="AE42">
            <v>-1.26784754748439E-2</v>
          </cell>
          <cell r="AF42">
            <v>-3.9523624045185203E-3</v>
          </cell>
          <cell r="AG42">
            <v>-2.8339745775451302E-3</v>
          </cell>
          <cell r="BJ42">
            <v>5.4073473258714998E-3</v>
          </cell>
          <cell r="BV42">
            <v>5.1638223075880958E-3</v>
          </cell>
          <cell r="BY42">
            <v>1.0571169633459596E-2</v>
          </cell>
        </row>
        <row r="43">
          <cell r="O43">
            <v>1.35656065472774</v>
          </cell>
          <cell r="P43">
            <v>1.3695977051000301</v>
          </cell>
          <cell r="Q43">
            <v>1.36984061733137</v>
          </cell>
          <cell r="U43">
            <v>-9.1229654380221795E-3</v>
          </cell>
          <cell r="V43">
            <v>2.2136812476832501E-4</v>
          </cell>
          <cell r="W43">
            <v>7.2507542314534997E-4</v>
          </cell>
          <cell r="Y43">
            <v>1.35658202389043</v>
          </cell>
          <cell r="Z43">
            <v>1.3695977051000301</v>
          </cell>
          <cell r="AA43">
            <v>1.36984061733137</v>
          </cell>
          <cell r="AE43">
            <v>-9.1072131056016206E-3</v>
          </cell>
          <cell r="AF43">
            <v>2.2136812476832501E-4</v>
          </cell>
          <cell r="AG43">
            <v>7.2507542314534997E-4</v>
          </cell>
          <cell r="BJ43">
            <v>8.9786096951140985E-3</v>
          </cell>
          <cell r="BV43">
            <v>5.1638223075880958E-3</v>
          </cell>
          <cell r="BY43">
            <v>1.4142432002702194E-2</v>
          </cell>
        </row>
        <row r="44">
          <cell r="O44">
            <v>1.35656065472774</v>
          </cell>
          <cell r="P44">
            <v>1.36967689200827</v>
          </cell>
          <cell r="Q44">
            <v>1.36929860548255</v>
          </cell>
          <cell r="U44">
            <v>-8.1039362049090992E-3</v>
          </cell>
          <cell r="V44">
            <v>1.4605483454697701E-3</v>
          </cell>
          <cell r="W44">
            <v>1.6378928981692601E-3</v>
          </cell>
          <cell r="Y44">
            <v>1.35658202389043</v>
          </cell>
          <cell r="Z44">
            <v>1.36967689200827</v>
          </cell>
          <cell r="AA44">
            <v>1.36929860548255</v>
          </cell>
          <cell r="AE44">
            <v>-8.0881838724884397E-3</v>
          </cell>
          <cell r="AF44">
            <v>1.4605483454697701E-3</v>
          </cell>
          <cell r="AG44">
            <v>1.6378928981692601E-3</v>
          </cell>
          <cell r="BJ44">
            <v>8.9786096951140985E-3</v>
          </cell>
          <cell r="BV44">
            <v>5.1638223075880958E-3</v>
          </cell>
          <cell r="BY44">
            <v>1.4142432002702194E-2</v>
          </cell>
        </row>
        <row r="45">
          <cell r="O45">
            <v>1.35656065472774</v>
          </cell>
          <cell r="P45">
            <v>1.36991461763241</v>
          </cell>
          <cell r="Q45">
            <v>1.36904524876033</v>
          </cell>
          <cell r="U45">
            <v>-1.1200796917533401E-2</v>
          </cell>
          <cell r="V45">
            <v>-1.5784963976657499E-3</v>
          </cell>
          <cell r="W45">
            <v>-1.8547212331769399E-3</v>
          </cell>
          <cell r="Y45">
            <v>1.35658202389043</v>
          </cell>
          <cell r="Z45">
            <v>1.36991461763241</v>
          </cell>
          <cell r="AA45">
            <v>1.36904524876033</v>
          </cell>
          <cell r="AE45">
            <v>-1.11850445851127E-2</v>
          </cell>
          <cell r="AF45">
            <v>-1.5784963976657499E-3</v>
          </cell>
          <cell r="AG45">
            <v>-1.8547212331769399E-3</v>
          </cell>
          <cell r="BJ45">
            <v>8.9786096951140985E-3</v>
          </cell>
          <cell r="BV45">
            <v>5.1638223075880958E-3</v>
          </cell>
          <cell r="BY45">
            <v>1.4142432002702194E-2</v>
          </cell>
        </row>
        <row r="46">
          <cell r="O46">
            <v>1.35656065472774</v>
          </cell>
          <cell r="P46">
            <v>1.37009417754296</v>
          </cell>
          <cell r="Q46">
            <v>1.36909471837777</v>
          </cell>
          <cell r="U46">
            <v>-1.13132081666942E-2</v>
          </cell>
          <cell r="V46">
            <v>-1.5173594197343599E-3</v>
          </cell>
          <cell r="W46">
            <v>-2.1521762434015298E-3</v>
          </cell>
          <cell r="Y46">
            <v>1.35658202389043</v>
          </cell>
          <cell r="Z46">
            <v>1.37009417754296</v>
          </cell>
          <cell r="AA46">
            <v>1.36909471837777</v>
          </cell>
          <cell r="AE46">
            <v>-1.1297455834273501E-2</v>
          </cell>
          <cell r="AF46">
            <v>-1.5173594197343599E-3</v>
          </cell>
          <cell r="AG46">
            <v>-2.1521762434015298E-3</v>
          </cell>
          <cell r="BJ46">
            <v>8.8661984459532956E-3</v>
          </cell>
          <cell r="BV46">
            <v>5.1638223075880958E-3</v>
          </cell>
          <cell r="BY46">
            <v>1.4030020753541391E-2</v>
          </cell>
        </row>
        <row r="47">
          <cell r="O47">
            <v>1.35656065472774</v>
          </cell>
          <cell r="P47">
            <v>1.37030677525893</v>
          </cell>
          <cell r="Q47">
            <v>1.3692187021606299</v>
          </cell>
          <cell r="U47">
            <v>-1.13132081666942E-2</v>
          </cell>
          <cell r="V47">
            <v>-1.38629421211652E-3</v>
          </cell>
          <cell r="W47">
            <v>-2.1160425044115098E-3</v>
          </cell>
          <cell r="Y47">
            <v>1.35658202389043</v>
          </cell>
          <cell r="Z47">
            <v>1.37030677525893</v>
          </cell>
          <cell r="AA47">
            <v>1.3692187021606299</v>
          </cell>
          <cell r="AE47">
            <v>-1.1297455834273501E-2</v>
          </cell>
          <cell r="AF47">
            <v>-1.38629421211652E-3</v>
          </cell>
          <cell r="AG47">
            <v>-2.1160425044115098E-3</v>
          </cell>
          <cell r="BJ47">
            <v>8.8661984459532956E-3</v>
          </cell>
          <cell r="BV47">
            <v>5.1638223075880958E-3</v>
          </cell>
          <cell r="BY47">
            <v>1.4030020753541391E-2</v>
          </cell>
        </row>
        <row r="48">
          <cell r="O48">
            <v>1.35656065472774</v>
          </cell>
          <cell r="P48">
            <v>1.3704674358665001</v>
          </cell>
          <cell r="Q48">
            <v>1.36931292895959</v>
          </cell>
          <cell r="U48">
            <v>-1.13171706577094E-2</v>
          </cell>
          <cell r="V48">
            <v>-1.23509859301437E-3</v>
          </cell>
          <cell r="W48">
            <v>-2.0294501436649202E-3</v>
          </cell>
          <cell r="Y48">
            <v>1.35658202389043</v>
          </cell>
          <cell r="Z48">
            <v>1.3704674358665001</v>
          </cell>
          <cell r="AA48">
            <v>1.36931292895959</v>
          </cell>
          <cell r="AE48">
            <v>-1.13014183252888E-2</v>
          </cell>
          <cell r="AF48">
            <v>-1.23509859301437E-3</v>
          </cell>
          <cell r="AG48">
            <v>-2.0294501436649202E-3</v>
          </cell>
          <cell r="BJ48">
            <v>8.8622359549378367E-3</v>
          </cell>
          <cell r="BV48">
            <v>5.1638223075880958E-3</v>
          </cell>
          <cell r="BY48">
            <v>1.4026058262525933E-2</v>
          </cell>
        </row>
        <row r="49">
          <cell r="O49">
            <v>1.35656065472774</v>
          </cell>
          <cell r="P49">
            <v>1.37060039178278</v>
          </cell>
          <cell r="Q49">
            <v>1.3695141997293401</v>
          </cell>
          <cell r="U49">
            <v>-1.09124744041079E-2</v>
          </cell>
          <cell r="V49">
            <v>-7.1316494926081098E-4</v>
          </cell>
          <cell r="W49">
            <v>-1.5559383263246301E-3</v>
          </cell>
          <cell r="Y49">
            <v>1.35658202389043</v>
          </cell>
          <cell r="Z49">
            <v>1.37060039178278</v>
          </cell>
          <cell r="AA49">
            <v>1.3695141997293401</v>
          </cell>
          <cell r="AE49">
            <v>-1.08967220716871E-2</v>
          </cell>
          <cell r="AF49">
            <v>-7.1316494926081098E-4</v>
          </cell>
          <cell r="AG49">
            <v>-1.5559383263246301E-3</v>
          </cell>
          <cell r="BJ49">
            <v>9.2669322085394343E-3</v>
          </cell>
          <cell r="BV49">
            <v>5.1638223075880958E-3</v>
          </cell>
          <cell r="BY49">
            <v>1.443075451612753E-2</v>
          </cell>
        </row>
        <row r="50">
          <cell r="O50">
            <v>1.35656065472774</v>
          </cell>
          <cell r="P50">
            <v>1.37084734938049</v>
          </cell>
          <cell r="Q50">
            <v>1.3694239042818901</v>
          </cell>
          <cell r="U50">
            <v>-8.9186449885493794E-3</v>
          </cell>
          <cell r="V50">
            <v>1.3776747737741801E-3</v>
          </cell>
          <cell r="W50">
            <v>5.8486697390845396E-4</v>
          </cell>
          <cell r="Y50">
            <v>1.35658202389043</v>
          </cell>
          <cell r="Z50">
            <v>1.37084734938049</v>
          </cell>
          <cell r="AA50">
            <v>1.3694239042818901</v>
          </cell>
          <cell r="AE50">
            <v>-8.9028926561287008E-3</v>
          </cell>
          <cell r="AF50">
            <v>1.3776747737741801E-3</v>
          </cell>
          <cell r="AG50">
            <v>5.8486697390845396E-4</v>
          </cell>
          <cell r="BJ50">
            <v>1.1260761624097886E-2</v>
          </cell>
          <cell r="BV50">
            <v>5.1638223075880958E-3</v>
          </cell>
          <cell r="BY50">
            <v>1.6424583931685981E-2</v>
          </cell>
        </row>
        <row r="51">
          <cell r="O51">
            <v>1.35656065472774</v>
          </cell>
          <cell r="P51">
            <v>1.3706608679633501</v>
          </cell>
          <cell r="Q51">
            <v>1.36956618952225</v>
          </cell>
          <cell r="U51">
            <v>-8.4971157290505799E-3</v>
          </cell>
          <cell r="V51">
            <v>1.9793698592804501E-3</v>
          </cell>
          <cell r="W51">
            <v>9.4046159446644999E-4</v>
          </cell>
          <cell r="Y51">
            <v>1.35658202389043</v>
          </cell>
          <cell r="Z51">
            <v>1.3706608679633501</v>
          </cell>
          <cell r="AA51">
            <v>1.36956618952225</v>
          </cell>
          <cell r="AE51">
            <v>-8.4813633966298405E-3</v>
          </cell>
          <cell r="AF51">
            <v>1.9793698592804501E-3</v>
          </cell>
          <cell r="AG51">
            <v>9.4046159446644999E-4</v>
          </cell>
          <cell r="BJ51">
            <v>1.1260761624097886E-2</v>
          </cell>
          <cell r="BV51">
            <v>5.1638223075880958E-3</v>
          </cell>
          <cell r="BY51">
            <v>1.6424583931685981E-2</v>
          </cell>
        </row>
        <row r="52">
          <cell r="O52">
            <v>1.35656065472774</v>
          </cell>
          <cell r="P52">
            <v>1.37001392984199</v>
          </cell>
          <cell r="Q52">
            <v>1.3696550749209899</v>
          </cell>
          <cell r="U52">
            <v>-7.9743037762896405E-3</v>
          </cell>
          <cell r="V52">
            <v>2.3661388731600098E-3</v>
          </cell>
          <cell r="W52">
            <v>1.5671696809260399E-3</v>
          </cell>
          <cell r="Y52">
            <v>1.35658202389043</v>
          </cell>
          <cell r="Z52">
            <v>1.3700639513412001</v>
          </cell>
          <cell r="AA52">
            <v>1.3696800856706</v>
          </cell>
          <cell r="AE52">
            <v>-8.3242934719664503E-3</v>
          </cell>
          <cell r="AF52">
            <v>2.0003968450624599E-3</v>
          </cell>
          <cell r="AG52">
            <v>1.20142765282849E-3</v>
          </cell>
          <cell r="BJ52">
            <v>1.1260761624097886E-2</v>
          </cell>
          <cell r="BV52">
            <v>5.1638223075880958E-3</v>
          </cell>
          <cell r="BY52">
            <v>1.6424583931685981E-2</v>
          </cell>
        </row>
        <row r="53">
          <cell r="O53">
            <v>1.35656065472774</v>
          </cell>
          <cell r="P53">
            <v>1.36985715040869</v>
          </cell>
          <cell r="Q53">
            <v>1.3697274277543601</v>
          </cell>
          <cell r="U53">
            <v>-7.9770920868089106E-3</v>
          </cell>
          <cell r="V53">
            <v>1.89124921453919E-3</v>
          </cell>
          <cell r="W53">
            <v>1.6292796682739301E-3</v>
          </cell>
          <cell r="Y53">
            <v>1.35658202389043</v>
          </cell>
          <cell r="Z53">
            <v>1.36995776628308</v>
          </cell>
          <cell r="AA53">
            <v>1.3697777356915599</v>
          </cell>
          <cell r="AE53">
            <v>-8.3312686718372796E-3</v>
          </cell>
          <cell r="AF53">
            <v>1.5578313025334501E-3</v>
          </cell>
          <cell r="AG53">
            <v>1.27761120319029E-3</v>
          </cell>
          <cell r="BJ53">
            <v>1.1260761624097886E-2</v>
          </cell>
          <cell r="BV53">
            <v>5.1638223075880958E-3</v>
          </cell>
          <cell r="BY53">
            <v>1.6424583931685981E-2</v>
          </cell>
        </row>
        <row r="54">
          <cell r="O54">
            <v>1.35656065472774</v>
          </cell>
          <cell r="P54">
            <v>1.36939720523979</v>
          </cell>
          <cell r="Q54">
            <v>1.3695370486240299</v>
          </cell>
          <cell r="U54">
            <v>-4.7351094615469798E-3</v>
          </cell>
          <cell r="V54">
            <v>5.0187889124681901E-3</v>
          </cell>
          <cell r="W54">
            <v>4.9240864853495802E-3</v>
          </cell>
          <cell r="Y54">
            <v>1.35658202389043</v>
          </cell>
          <cell r="Z54">
            <v>1.36954824371044</v>
          </cell>
          <cell r="AA54">
            <v>1.36961256785936</v>
          </cell>
          <cell r="AE54">
            <v>-5.0892272389890404E-3</v>
          </cell>
          <cell r="AF54">
            <v>4.7223660079807198E-3</v>
          </cell>
          <cell r="AG54">
            <v>4.5909441304650299E-3</v>
          </cell>
          <cell r="BJ54">
            <v>1.1260761624097886E-2</v>
          </cell>
          <cell r="BV54">
            <v>5.1638223075880958E-3</v>
          </cell>
          <cell r="BY54">
            <v>1.6424583931685981E-2</v>
          </cell>
        </row>
        <row r="55">
          <cell r="O55">
            <v>1.35656065472774</v>
          </cell>
          <cell r="P55">
            <v>1.3685720749704799</v>
          </cell>
          <cell r="Q55">
            <v>1.36924334630144</v>
          </cell>
          <cell r="U55">
            <v>-5.1678676506096699E-3</v>
          </cell>
          <cell r="V55">
            <v>4.2502129325015497E-3</v>
          </cell>
          <cell r="W55">
            <v>4.3523281141025797E-3</v>
          </cell>
          <cell r="Y55">
            <v>1.35658202389043</v>
          </cell>
          <cell r="Z55">
            <v>1.3687747063157001</v>
          </cell>
          <cell r="AA55">
            <v>1.3693446619740499</v>
          </cell>
          <cell r="AE55">
            <v>-5.5304045557106399E-3</v>
          </cell>
          <cell r="AF55">
            <v>3.9822132013752802E-3</v>
          </cell>
          <cell r="AG55">
            <v>4.0291795194214797E-3</v>
          </cell>
          <cell r="BJ55">
            <v>1.1260761624097886E-2</v>
          </cell>
          <cell r="BV55">
            <v>5.5965804966507972E-3</v>
          </cell>
          <cell r="BY55">
            <v>1.6857342120748683E-2</v>
          </cell>
        </row>
        <row r="56">
          <cell r="O56">
            <v>1.35656065472774</v>
          </cell>
          <cell r="P56">
            <v>1.36785305746318</v>
          </cell>
          <cell r="Q56">
            <v>1.36897361750307</v>
          </cell>
          <cell r="U56">
            <v>-6.0587556141290799E-3</v>
          </cell>
          <cell r="V56">
            <v>2.75659337498345E-3</v>
          </cell>
          <cell r="W56">
            <v>3.2469634263741099E-3</v>
          </cell>
          <cell r="Y56">
            <v>1.35658202389043</v>
          </cell>
          <cell r="Z56">
            <v>1.3680556888083999</v>
          </cell>
          <cell r="AA56">
            <v>1.36907493317568</v>
          </cell>
          <cell r="AE56">
            <v>-6.0430032817084499E-3</v>
          </cell>
          <cell r="AF56">
            <v>2.9046428270820099E-3</v>
          </cell>
          <cell r="AG56">
            <v>3.3209546016429799E-3</v>
          </cell>
          <cell r="BJ56">
            <v>1.1260761624097886E-2</v>
          </cell>
          <cell r="BV56">
            <v>5.5965804966507972E-3</v>
          </cell>
          <cell r="BY56">
            <v>1.6857342120748683E-2</v>
          </cell>
        </row>
        <row r="57">
          <cell r="O57">
            <v>1.35656065472774</v>
          </cell>
          <cell r="P57">
            <v>1.3664449791689499</v>
          </cell>
          <cell r="Q57">
            <v>1.3683758772139401</v>
          </cell>
          <cell r="U57">
            <v>-9.9718059148627605E-4</v>
          </cell>
          <cell r="V57">
            <v>7.2926524495934997E-3</v>
          </cell>
          <cell r="W57">
            <v>8.1115279105446504E-3</v>
          </cell>
          <cell r="Y57">
            <v>1.35658202389043</v>
          </cell>
          <cell r="Z57">
            <v>1.3666476105141701</v>
          </cell>
          <cell r="AA57">
            <v>1.36847719288655</v>
          </cell>
          <cell r="AE57">
            <v>-9.8142825906566899E-4</v>
          </cell>
          <cell r="AF57">
            <v>7.4407797187233801E-3</v>
          </cell>
          <cell r="AG57">
            <v>8.1855336637513404E-3</v>
          </cell>
          <cell r="BJ57">
            <v>1.1260761624097886E-2</v>
          </cell>
          <cell r="BV57">
            <v>5.3500547400807744E-4</v>
          </cell>
          <cell r="BY57">
            <v>1.1795767098105963E-2</v>
          </cell>
        </row>
        <row r="58">
          <cell r="O58">
            <v>1.35656065472774</v>
          </cell>
          <cell r="P58">
            <v>1.3652057579385899</v>
          </cell>
          <cell r="Q58">
            <v>1.3678365969025501</v>
          </cell>
          <cell r="U58">
            <v>-2.2439100017411602E-3</v>
          </cell>
          <cell r="V58">
            <v>5.0159852638382704E-3</v>
          </cell>
          <cell r="W58">
            <v>6.4280692483014001E-3</v>
          </cell>
          <cell r="Y58">
            <v>1.35658202389043</v>
          </cell>
          <cell r="Z58">
            <v>1.36540838928381</v>
          </cell>
          <cell r="AA58">
            <v>1.3679379125751501</v>
          </cell>
          <cell r="AE58">
            <v>-2.22815766932041E-3</v>
          </cell>
          <cell r="AF58">
            <v>5.1642651621137004E-3</v>
          </cell>
          <cell r="AG58">
            <v>6.5021073278472303E-3</v>
          </cell>
          <cell r="BJ58">
            <v>1.1260761624097886E-2</v>
          </cell>
          <cell r="BV58">
            <v>1.7817348842629277E-3</v>
          </cell>
          <cell r="BY58">
            <v>1.3042496508360812E-2</v>
          </cell>
        </row>
        <row r="59">
          <cell r="O59">
            <v>1.35656065472774</v>
          </cell>
          <cell r="P59">
            <v>1.3639178463320301</v>
          </cell>
          <cell r="Q59">
            <v>1.3672591190573999</v>
          </cell>
          <cell r="U59">
            <v>-1.4771932214659299E-3</v>
          </cell>
          <cell r="V59">
            <v>4.8753962172474003E-3</v>
          </cell>
          <cell r="W59">
            <v>6.8006058810343396E-3</v>
          </cell>
          <cell r="Y59">
            <v>1.35658202389043</v>
          </cell>
          <cell r="Z59">
            <v>1.36412047767724</v>
          </cell>
          <cell r="AA59">
            <v>1.3673604347300099</v>
          </cell>
          <cell r="AE59">
            <v>-1.46144088904535E-3</v>
          </cell>
          <cell r="AF59">
            <v>5.0238107018018502E-3</v>
          </cell>
          <cell r="AG59">
            <v>6.8746731495927197E-3</v>
          </cell>
          <cell r="BJ59">
            <v>1.1260761624097886E-2</v>
          </cell>
          <cell r="BV59">
            <v>1.0150181039878256E-3</v>
          </cell>
          <cell r="BY59">
            <v>1.227577972808571E-2</v>
          </cell>
        </row>
        <row r="60">
          <cell r="O60">
            <v>1.35656065472774</v>
          </cell>
          <cell r="P60">
            <v>1.3625837549973701</v>
          </cell>
          <cell r="Q60">
            <v>1.36671555218893</v>
          </cell>
          <cell r="U60">
            <v>8.7621469555132199E-4</v>
          </cell>
          <cell r="V60">
            <v>6.2849760861999199E-3</v>
          </cell>
          <cell r="W60">
            <v>8.7317412974196994E-3</v>
          </cell>
          <cell r="Y60">
            <v>1.35658202389043</v>
          </cell>
          <cell r="Z60">
            <v>1.36278638634258</v>
          </cell>
          <cell r="AA60">
            <v>1.36681686786153</v>
          </cell>
          <cell r="AE60">
            <v>8.9196702797199497E-4</v>
          </cell>
          <cell r="AF60">
            <v>6.4335307042240903E-3</v>
          </cell>
          <cell r="AG60">
            <v>8.8058398479946703E-3</v>
          </cell>
          <cell r="BJ60">
            <v>1.1260761624097886E-2</v>
          </cell>
          <cell r="BV60">
            <v>-1.3383898130295757E-3</v>
          </cell>
          <cell r="BY60">
            <v>9.922371811068309E-3</v>
          </cell>
        </row>
        <row r="61">
          <cell r="O61">
            <v>1.35656065472774</v>
          </cell>
          <cell r="P61">
            <v>1.3618720538707401</v>
          </cell>
          <cell r="Q61">
            <v>1.3662664609170401</v>
          </cell>
          <cell r="U61">
            <v>-3.2815642490612602E-3</v>
          </cell>
          <cell r="V61">
            <v>1.1485867197357699E-3</v>
          </cell>
          <cell r="W61">
            <v>4.1763237928332704E-3</v>
          </cell>
          <cell r="Y61">
            <v>1.35658202389043</v>
          </cell>
          <cell r="Z61">
            <v>1.36207468521596</v>
          </cell>
          <cell r="AA61">
            <v>1.36636777658965</v>
          </cell>
          <cell r="AE61">
            <v>-3.2658119166406202E-3</v>
          </cell>
          <cell r="AF61">
            <v>1.2972867752007399E-3</v>
          </cell>
          <cell r="AG61">
            <v>4.2504518126157799E-3</v>
          </cell>
          <cell r="BJ61">
            <v>1.1260761624097886E-2</v>
          </cell>
          <cell r="BV61">
            <v>2.8193891315832229E-3</v>
          </cell>
          <cell r="BY61">
            <v>1.4080150755681108E-2</v>
          </cell>
        </row>
        <row r="62">
          <cell r="O62">
            <v>1.35656065472774</v>
          </cell>
          <cell r="P62">
            <v>1.3616385542056599</v>
          </cell>
          <cell r="Q62">
            <v>1.3658262420238201</v>
          </cell>
          <cell r="U62">
            <v>-6.2652532127280896E-3</v>
          </cell>
          <cell r="V62">
            <v>-2.3575560422245899E-3</v>
          </cell>
          <cell r="W62">
            <v>8.63989215129941E-4</v>
          </cell>
          <cell r="Y62">
            <v>1.35658202389043</v>
          </cell>
          <cell r="Z62">
            <v>1.36179116405166</v>
          </cell>
          <cell r="AA62">
            <v>1.36592755769643</v>
          </cell>
          <cell r="AE62">
            <v>-6.2495008803073997E-3</v>
          </cell>
          <cell r="AF62">
            <v>-2.2087782833329602E-3</v>
          </cell>
          <cell r="AG62">
            <v>9.3814159986107897E-4</v>
          </cell>
          <cell r="BJ62">
            <v>1.1260761624097886E-2</v>
          </cell>
          <cell r="BV62">
            <v>5.803078095249826E-3</v>
          </cell>
          <cell r="BY62">
            <v>1.7063839719347711E-2</v>
          </cell>
        </row>
        <row r="63">
          <cell r="O63">
            <v>1.35656065472774</v>
          </cell>
          <cell r="P63">
            <v>1.3615945599050701</v>
          </cell>
          <cell r="Q63">
            <v>1.3657258551568801</v>
          </cell>
          <cell r="U63">
            <v>-7.6553094053990996E-3</v>
          </cell>
          <cell r="V63">
            <v>-3.9190818557312997E-3</v>
          </cell>
          <cell r="W63">
            <v>-8.4832463487260004E-4</v>
          </cell>
          <cell r="Y63">
            <v>1.35658202389043</v>
          </cell>
          <cell r="Z63">
            <v>1.3616965753758901</v>
          </cell>
          <cell r="AA63">
            <v>1.36582717082949</v>
          </cell>
          <cell r="AE63">
            <v>-7.6395570729783299E-3</v>
          </cell>
          <cell r="AF63">
            <v>-3.8070100477890301E-3</v>
          </cell>
          <cell r="AG63">
            <v>-7.7414835100309595E-4</v>
          </cell>
          <cell r="BJ63">
            <v>1.1260761624097886E-2</v>
          </cell>
          <cell r="BV63">
            <v>7.1931342879209261E-3</v>
          </cell>
          <cell r="BY63">
            <v>1.8453895912018813E-2</v>
          </cell>
        </row>
        <row r="64">
          <cell r="O64">
            <v>1.35656065472774</v>
          </cell>
          <cell r="P64">
            <v>1.3616134718939199</v>
          </cell>
          <cell r="Q64">
            <v>1.3655053385668501</v>
          </cell>
          <cell r="U64">
            <v>-4.8738525719485897E-3</v>
          </cell>
          <cell r="V64">
            <v>-1.16993536719367E-3</v>
          </cell>
          <cell r="W64">
            <v>1.85963049447752E-3</v>
          </cell>
          <cell r="Y64">
            <v>1.35658202389043</v>
          </cell>
          <cell r="Z64">
            <v>1.36166506476848</v>
          </cell>
          <cell r="AA64">
            <v>1.36560665423946</v>
          </cell>
          <cell r="AE64">
            <v>-4.8581002395278799E-3</v>
          </cell>
          <cell r="AF64">
            <v>-1.0950146438455501E-3</v>
          </cell>
          <cell r="AG64">
            <v>1.9338122304280499E-3</v>
          </cell>
          <cell r="BJ64">
            <v>1.1260761624097886E-2</v>
          </cell>
          <cell r="BV64">
            <v>7.1931342879209261E-3</v>
          </cell>
          <cell r="BY64">
            <v>1.8453895912018813E-2</v>
          </cell>
        </row>
        <row r="65">
          <cell r="O65">
            <v>1.35656065472774</v>
          </cell>
          <cell r="P65">
            <v>1.36164143790015</v>
          </cell>
          <cell r="Q65">
            <v>1.3651067564353101</v>
          </cell>
          <cell r="U65">
            <v>-5.3729377423466299E-3</v>
          </cell>
          <cell r="V65">
            <v>-1.6551310450295599E-3</v>
          </cell>
          <cell r="W65">
            <v>1.19906753266527E-3</v>
          </cell>
          <cell r="Y65">
            <v>1.35658202389043</v>
          </cell>
          <cell r="Z65">
            <v>1.36164143790015</v>
          </cell>
          <cell r="AA65">
            <v>1.3652080721079201</v>
          </cell>
          <cell r="AE65">
            <v>-5.35718540992594E-3</v>
          </cell>
          <cell r="AF65">
            <v>-1.61724077866327E-3</v>
          </cell>
          <cell r="AG65">
            <v>1.2732612478419099E-3</v>
          </cell>
          <cell r="BJ65">
            <v>1.1260761624097886E-2</v>
          </cell>
          <cell r="BV65">
            <v>7.1931342879209261E-3</v>
          </cell>
          <cell r="BY65">
            <v>1.8453895912018813E-2</v>
          </cell>
        </row>
        <row r="66">
          <cell r="O66">
            <v>1.35656065472774</v>
          </cell>
          <cell r="P66">
            <v>1.36145581158627</v>
          </cell>
          <cell r="Q66">
            <v>1.36465443452473</v>
          </cell>
          <cell r="U66">
            <v>-4.69773548617013E-3</v>
          </cell>
          <cell r="V66">
            <v>-9.5939012673303299E-4</v>
          </cell>
          <cell r="W66">
            <v>1.5823336803761001E-3</v>
          </cell>
          <cell r="Y66">
            <v>1.35658202389043</v>
          </cell>
          <cell r="Z66">
            <v>1.36145581158627</v>
          </cell>
          <cell r="AA66">
            <v>1.36475575019734</v>
          </cell>
          <cell r="AE66">
            <v>-4.6819831537494704E-3</v>
          </cell>
          <cell r="AF66">
            <v>-9.5939012673314401E-4</v>
          </cell>
          <cell r="AG66">
            <v>1.6565490577351799E-3</v>
          </cell>
          <cell r="BJ66">
            <v>1.1260761624097886E-2</v>
          </cell>
          <cell r="BV66">
            <v>7.1931342879209261E-3</v>
          </cell>
          <cell r="BY66">
            <v>1.8453895912018813E-2</v>
          </cell>
        </row>
        <row r="67">
          <cell r="O67">
            <v>1.35656065472774</v>
          </cell>
          <cell r="P67">
            <v>1.3619478407187899</v>
          </cell>
          <cell r="Q67">
            <v>1.3641964099438699</v>
          </cell>
          <cell r="U67">
            <v>-4.6140506034630102E-3</v>
          </cell>
          <cell r="V67">
            <v>-1.0120399373203799E-3</v>
          </cell>
          <cell r="W67">
            <v>1.33461820746034E-3</v>
          </cell>
          <cell r="Y67">
            <v>1.35658202389043</v>
          </cell>
          <cell r="Z67">
            <v>1.3619478407187899</v>
          </cell>
          <cell r="AA67">
            <v>1.3642977256164801</v>
          </cell>
          <cell r="AE67">
            <v>-4.5982982710423099E-3</v>
          </cell>
          <cell r="AF67">
            <v>-1.0120399373204901E-3</v>
          </cell>
          <cell r="AG67">
            <v>1.4088581829846099E-3</v>
          </cell>
          <cell r="BJ67">
            <v>1.1260761624097886E-2</v>
          </cell>
          <cell r="BV67">
            <v>7.1931342879209261E-3</v>
          </cell>
          <cell r="BY67">
            <v>1.8453895912018813E-2</v>
          </cell>
        </row>
        <row r="68">
          <cell r="O68">
            <v>1.35656065472774</v>
          </cell>
          <cell r="P68">
            <v>1.3622860409966999</v>
          </cell>
          <cell r="Q68">
            <v>1.3637458994676499</v>
          </cell>
          <cell r="U68">
            <v>-4.7283049326374803E-3</v>
          </cell>
          <cell r="V68">
            <v>-7.6496028836925596E-4</v>
          </cell>
          <cell r="W68">
            <v>8.8467342742099301E-4</v>
          </cell>
          <cell r="Y68">
            <v>1.35658202389043</v>
          </cell>
          <cell r="Z68">
            <v>1.3622860409966999</v>
          </cell>
          <cell r="AA68">
            <v>1.3638472151402501</v>
          </cell>
          <cell r="AE68">
            <v>-4.7125526002168598E-3</v>
          </cell>
          <cell r="AF68">
            <v>-7.6496028836925596E-4</v>
          </cell>
          <cell r="AG68">
            <v>9.5893832785395102E-4</v>
          </cell>
          <cell r="BJ68">
            <v>1.1260761624097886E-2</v>
          </cell>
          <cell r="BV68">
            <v>7.1931342879209261E-3</v>
          </cell>
          <cell r="BY68">
            <v>1.8453895912018813E-2</v>
          </cell>
        </row>
        <row r="69">
          <cell r="O69">
            <v>1.35656065472774</v>
          </cell>
          <cell r="P69">
            <v>1.3626445543174901</v>
          </cell>
          <cell r="Q69">
            <v>1.3632812003247601</v>
          </cell>
          <cell r="U69">
            <v>-4.1126271956614599E-3</v>
          </cell>
          <cell r="V69">
            <v>9.90076427218256E-5</v>
          </cell>
          <cell r="W69">
            <v>1.1700579036022999E-3</v>
          </cell>
          <cell r="Y69">
            <v>1.35658202389043</v>
          </cell>
          <cell r="Z69">
            <v>1.3626445543174901</v>
          </cell>
          <cell r="AA69">
            <v>1.36338251599737</v>
          </cell>
          <cell r="AE69">
            <v>-4.0968748632408299E-3</v>
          </cell>
          <cell r="AF69">
            <v>9.90076427218256E-5</v>
          </cell>
          <cell r="AG69">
            <v>1.2443473363718399E-3</v>
          </cell>
          <cell r="BJ69">
            <v>1.1260761624097886E-2</v>
          </cell>
          <cell r="BV69">
            <v>7.1931342879209261E-3</v>
          </cell>
          <cell r="BY69">
            <v>1.8453895912018813E-2</v>
          </cell>
        </row>
        <row r="70">
          <cell r="O70">
            <v>1.35656065472774</v>
          </cell>
          <cell r="P70">
            <v>1.3630457663876201</v>
          </cell>
          <cell r="Q70">
            <v>1.3628147606925001</v>
          </cell>
          <cell r="U70">
            <v>-2.0795734908615501E-3</v>
          </cell>
          <cell r="V70">
            <v>2.3951970937876699E-3</v>
          </cell>
          <cell r="W70">
            <v>2.8623015391366999E-3</v>
          </cell>
          <cell r="Y70">
            <v>1.35658202389043</v>
          </cell>
          <cell r="Z70">
            <v>1.3630457663876201</v>
          </cell>
          <cell r="AA70">
            <v>1.3629160763651</v>
          </cell>
          <cell r="AE70">
            <v>-2.0638211584408598E-3</v>
          </cell>
          <cell r="AF70">
            <v>2.3951970937876699E-3</v>
          </cell>
          <cell r="AG70">
            <v>2.93661629386653E-3</v>
          </cell>
          <cell r="BJ70">
            <v>1.1260761624097886E-2</v>
          </cell>
          <cell r="BV70">
            <v>7.1931342879209261E-3</v>
          </cell>
          <cell r="BY70">
            <v>1.8453895912018813E-2</v>
          </cell>
        </row>
        <row r="71">
          <cell r="O71">
            <v>1.35656065472774</v>
          </cell>
          <cell r="P71">
            <v>1.36337073543973</v>
          </cell>
          <cell r="Q71">
            <v>1.3626213946552399</v>
          </cell>
          <cell r="U71">
            <v>-5.6664064974358301E-3</v>
          </cell>
          <cell r="V71">
            <v>-8.9724291444599898E-4</v>
          </cell>
          <cell r="W71">
            <v>-1.06673485534844E-3</v>
          </cell>
          <cell r="Y71">
            <v>1.35658202389043</v>
          </cell>
          <cell r="Z71">
            <v>1.36337073543973</v>
          </cell>
          <cell r="AA71">
            <v>1.3627227103278501</v>
          </cell>
          <cell r="AE71">
            <v>-5.6506541650152399E-3</v>
          </cell>
          <cell r="AF71">
            <v>-8.9724291444599898E-4</v>
          </cell>
          <cell r="AG71">
            <v>-9.9239466645111908E-4</v>
          </cell>
          <cell r="BJ71">
            <v>1.1260761624097886E-2</v>
          </cell>
          <cell r="BV71">
            <v>1.0779967294495228E-2</v>
          </cell>
          <cell r="BY71">
            <v>2.2040728918593114E-2</v>
          </cell>
        </row>
        <row r="72">
          <cell r="O72">
            <v>1.35656065472774</v>
          </cell>
          <cell r="P72">
            <v>1.36340898850471</v>
          </cell>
          <cell r="Q72">
            <v>1.3625237713551801</v>
          </cell>
          <cell r="U72">
            <v>-6.5454384272170601E-3</v>
          </cell>
          <cell r="V72">
            <v>-1.53788936392531E-3</v>
          </cell>
          <cell r="W72">
            <v>-2.0876641010538601E-3</v>
          </cell>
          <cell r="Y72">
            <v>1.35658202389043</v>
          </cell>
          <cell r="Z72">
            <v>1.36340898850471</v>
          </cell>
          <cell r="AA72">
            <v>1.36260007627819</v>
          </cell>
          <cell r="AE72">
            <v>-6.5296860947964101E-3</v>
          </cell>
          <cell r="AF72">
            <v>-1.53788936392531E-3</v>
          </cell>
          <cell r="AG72">
            <v>-2.0133133631270702E-3</v>
          </cell>
          <cell r="BJ72">
            <v>1.1260761624097886E-2</v>
          </cell>
          <cell r="BV72">
            <v>1.0779967294495228E-2</v>
          </cell>
          <cell r="BY72">
            <v>2.2040728918593114E-2</v>
          </cell>
        </row>
        <row r="73">
          <cell r="O73">
            <v>1.35656065472774</v>
          </cell>
          <cell r="P73">
            <v>1.3625873070455701</v>
          </cell>
          <cell r="Q73">
            <v>1.36209093347532</v>
          </cell>
          <cell r="U73">
            <v>-1.6262697055676699E-3</v>
          </cell>
          <cell r="V73">
            <v>3.4093366772374499E-3</v>
          </cell>
          <cell r="W73">
            <v>2.75985830882272E-3</v>
          </cell>
          <cell r="Y73">
            <v>1.35658202389043</v>
          </cell>
          <cell r="Z73">
            <v>1.3625873070455701</v>
          </cell>
          <cell r="AA73">
            <v>1.3621419412107301</v>
          </cell>
          <cell r="AE73">
            <v>-1.6105173731469601E-3</v>
          </cell>
          <cell r="AF73">
            <v>3.4093366772374499E-3</v>
          </cell>
          <cell r="AG73">
            <v>2.8158593768760499E-3</v>
          </cell>
          <cell r="BJ73">
            <v>1.6179930345747426E-2</v>
          </cell>
          <cell r="BV73">
            <v>1.0779967294495228E-2</v>
          </cell>
          <cell r="BY73">
            <v>2.6959897640242654E-2</v>
          </cell>
        </row>
        <row r="74">
          <cell r="O74">
            <v>1.35656065472774</v>
          </cell>
          <cell r="P74">
            <v>1.36236823331416</v>
          </cell>
          <cell r="Q74">
            <v>1.3619908526040401</v>
          </cell>
          <cell r="U74">
            <v>-3.26549130455048E-3</v>
          </cell>
          <cell r="V74">
            <v>1.1672665084592399E-3</v>
          </cell>
          <cell r="W74">
            <v>8.0291260540937403E-4</v>
          </cell>
          <cell r="Y74">
            <v>1.35658202389043</v>
          </cell>
          <cell r="Z74">
            <v>1.36236823331416</v>
          </cell>
          <cell r="AA74">
            <v>1.3620166490413199</v>
          </cell>
          <cell r="AE74">
            <v>-3.2497389721298201E-3</v>
          </cell>
          <cell r="AF74">
            <v>1.1672665084592399E-3</v>
          </cell>
          <cell r="AG74">
            <v>8.4036001740689804E-4</v>
          </cell>
          <cell r="BJ74">
            <v>1.6179930345747426E-2</v>
          </cell>
          <cell r="BV74">
            <v>1.2419188893477928E-2</v>
          </cell>
          <cell r="BY74">
            <v>2.8599119239225354E-2</v>
          </cell>
        </row>
        <row r="75">
          <cell r="O75">
            <v>1.35656065472774</v>
          </cell>
          <cell r="P75">
            <v>1.3621291089718901</v>
          </cell>
          <cell r="Q75">
            <v>1.3618852734360201</v>
          </cell>
          <cell r="U75">
            <v>-3.61811953145387E-3</v>
          </cell>
          <cell r="V75">
            <v>6.5384759808309904E-4</v>
          </cell>
          <cell r="W75">
            <v>3.7680576869581899E-4</v>
          </cell>
          <cell r="Y75">
            <v>1.35658202389043</v>
          </cell>
          <cell r="Z75">
            <v>1.3621291089718901</v>
          </cell>
          <cell r="AA75">
            <v>1.3618852734360201</v>
          </cell>
          <cell r="AE75">
            <v>-3.6023671990331701E-3</v>
          </cell>
          <cell r="AF75">
            <v>6.5384759808309904E-4</v>
          </cell>
          <cell r="AG75">
            <v>3.9574583201630999E-4</v>
          </cell>
          <cell r="BJ75">
            <v>1.6179930345747426E-2</v>
          </cell>
          <cell r="BV75">
            <v>1.2771817120381269E-2</v>
          </cell>
          <cell r="BY75">
            <v>2.8951747466128695E-2</v>
          </cell>
        </row>
        <row r="76">
          <cell r="O76">
            <v>1.35656065472774</v>
          </cell>
          <cell r="P76">
            <v>1.36122763534184</v>
          </cell>
          <cell r="Q76">
            <v>1.3613417234640599</v>
          </cell>
          <cell r="U76">
            <v>1.93837834185404E-3</v>
          </cell>
          <cell r="V76">
            <v>6.0348089867875198E-3</v>
          </cell>
          <cell r="W76">
            <v>5.85578237217293E-3</v>
          </cell>
          <cell r="Y76">
            <v>1.35658202389043</v>
          </cell>
          <cell r="Z76">
            <v>1.36122763534184</v>
          </cell>
          <cell r="AA76">
            <v>1.3613417234640599</v>
          </cell>
          <cell r="AE76">
            <v>1.9541306742748002E-3</v>
          </cell>
          <cell r="AF76">
            <v>6.0348089867875198E-3</v>
          </cell>
          <cell r="AG76">
            <v>5.8557823721733697E-3</v>
          </cell>
          <cell r="BJ76">
            <v>1.6179930345747426E-2</v>
          </cell>
          <cell r="BV76">
            <v>7.2153192470732338E-3</v>
          </cell>
          <cell r="BY76">
            <v>2.3395249592820661E-2</v>
          </cell>
        </row>
        <row r="77">
          <cell r="O77">
            <v>1.35656065472774</v>
          </cell>
          <cell r="P77">
            <v>1.3603923621115399</v>
          </cell>
          <cell r="Q77">
            <v>1.36117010141516</v>
          </cell>
          <cell r="U77">
            <v>1.5337501448412E-3</v>
          </cell>
          <cell r="V77">
            <v>4.9681495190974203E-3</v>
          </cell>
          <cell r="W77">
            <v>5.0519586767337902E-3</v>
          </cell>
          <cell r="Y77">
            <v>1.35658202389043</v>
          </cell>
          <cell r="Z77">
            <v>1.3603923621115399</v>
          </cell>
          <cell r="AA77">
            <v>1.36117010141516</v>
          </cell>
          <cell r="AE77">
            <v>1.54950247726193E-3</v>
          </cell>
          <cell r="AF77">
            <v>4.9681495190974203E-3</v>
          </cell>
          <cell r="AG77">
            <v>5.0519586767337902E-3</v>
          </cell>
          <cell r="BJ77">
            <v>1.6179930345747426E-2</v>
          </cell>
          <cell r="BV77">
            <v>7.6199474440860329E-3</v>
          </cell>
          <cell r="BY77">
            <v>2.379987778983346E-2</v>
          </cell>
        </row>
        <row r="78">
          <cell r="O78">
            <v>1.35656065472774</v>
          </cell>
          <cell r="P78">
            <v>1.3598479747032399</v>
          </cell>
          <cell r="Q78">
            <v>1.36106700784997</v>
          </cell>
          <cell r="U78">
            <v>-7.2624004868392805E-4</v>
          </cell>
          <cell r="V78">
            <v>2.09435338844049E-3</v>
          </cell>
          <cell r="W78">
            <v>2.6658922270437401E-3</v>
          </cell>
          <cell r="Y78">
            <v>1.35658202389043</v>
          </cell>
          <cell r="Z78">
            <v>1.3598479747032399</v>
          </cell>
          <cell r="AA78">
            <v>1.36106700784997</v>
          </cell>
          <cell r="AE78">
            <v>-7.1048771626324705E-4</v>
          </cell>
          <cell r="AF78">
            <v>2.09435338844049E-3</v>
          </cell>
          <cell r="AG78">
            <v>2.6658922270437401E-3</v>
          </cell>
          <cell r="BJ78">
            <v>1.6179930345747426E-2</v>
          </cell>
          <cell r="BV78">
            <v>9.879937637611233E-3</v>
          </cell>
          <cell r="BY78">
            <v>2.6059867983358659E-2</v>
          </cell>
        </row>
        <row r="79">
          <cell r="O79">
            <v>1.35656065472774</v>
          </cell>
          <cell r="P79">
            <v>1.35917773340465</v>
          </cell>
          <cell r="Q79">
            <v>1.3609111438610699</v>
          </cell>
          <cell r="U79">
            <v>8.1998006868151902E-4</v>
          </cell>
          <cell r="V79">
            <v>3.2403240071159798E-3</v>
          </cell>
          <cell r="W79">
            <v>4.1363705474228097E-3</v>
          </cell>
          <cell r="Y79">
            <v>1.35658202389043</v>
          </cell>
          <cell r="Z79">
            <v>1.35917773340465</v>
          </cell>
          <cell r="AA79">
            <v>1.3609111438610699</v>
          </cell>
          <cell r="AE79">
            <v>8.3573240110204595E-4</v>
          </cell>
          <cell r="AF79">
            <v>3.2403240071159798E-3</v>
          </cell>
          <cell r="AG79">
            <v>4.1363705474228097E-3</v>
          </cell>
          <cell r="BJ79">
            <v>1.6179930345747426E-2</v>
          </cell>
          <cell r="BV79">
            <v>8.3337175202458334E-3</v>
          </cell>
          <cell r="BY79">
            <v>2.4513647865993259E-2</v>
          </cell>
        </row>
        <row r="80">
          <cell r="O80">
            <v>1.35656065472774</v>
          </cell>
          <cell r="P80">
            <v>1.35926716824403</v>
          </cell>
          <cell r="Q80">
            <v>1.3611564673158301</v>
          </cell>
          <cell r="U80">
            <v>-2.7372639531186601E-3</v>
          </cell>
          <cell r="V80">
            <v>-8.0992109972131499E-4</v>
          </cell>
          <cell r="W80">
            <v>4.64603939190984E-4</v>
          </cell>
          <cell r="Y80">
            <v>1.35658202389043</v>
          </cell>
          <cell r="Z80">
            <v>1.35926716824403</v>
          </cell>
          <cell r="AA80">
            <v>1.3611564673158301</v>
          </cell>
          <cell r="AE80">
            <v>-2.7215116206979798E-3</v>
          </cell>
          <cell r="AF80">
            <v>-8.0992109972131499E-4</v>
          </cell>
          <cell r="AG80">
            <v>4.64603939190984E-4</v>
          </cell>
          <cell r="BJ80">
            <v>1.6179930345747426E-2</v>
          </cell>
          <cell r="BV80">
            <v>1.1890961542046063E-2</v>
          </cell>
          <cell r="BY80">
            <v>2.8070891887793489E-2</v>
          </cell>
        </row>
        <row r="81">
          <cell r="O81">
            <v>1.35656065472774</v>
          </cell>
          <cell r="P81">
            <v>1.35924188554096</v>
          </cell>
          <cell r="Q81">
            <v>1.36130631049035</v>
          </cell>
          <cell r="U81">
            <v>-5.4810688512193402E-3</v>
          </cell>
          <cell r="V81">
            <v>-3.4879274676684899E-3</v>
          </cell>
          <cell r="W81">
            <v>-2.09895308085158E-3</v>
          </cell>
          <cell r="Y81">
            <v>1.35658202389043</v>
          </cell>
          <cell r="Z81">
            <v>1.35924188554096</v>
          </cell>
          <cell r="AA81">
            <v>1.36130631049035</v>
          </cell>
          <cell r="AE81">
            <v>-5.4653165187986304E-3</v>
          </cell>
          <cell r="AF81">
            <v>-3.4879274676684899E-3</v>
          </cell>
          <cell r="AG81">
            <v>-2.09895308085158E-3</v>
          </cell>
          <cell r="BJ81">
            <v>1.6179930345747426E-2</v>
          </cell>
          <cell r="BV81">
            <v>1.4634766440146663E-2</v>
          </cell>
          <cell r="BY81">
            <v>3.0814696785894088E-2</v>
          </cell>
        </row>
        <row r="82">
          <cell r="O82">
            <v>1.35656065472774</v>
          </cell>
          <cell r="P82">
            <v>1.35841240754767</v>
          </cell>
          <cell r="Q82">
            <v>1.36091069802619</v>
          </cell>
          <cell r="U82">
            <v>-4.5223814435884198E-4</v>
          </cell>
          <cell r="V82">
            <v>1.52230282067864E-3</v>
          </cell>
          <cell r="W82">
            <v>3.0399567616306101E-3</v>
          </cell>
          <cell r="Y82">
            <v>1.35658202389043</v>
          </cell>
          <cell r="Z82">
            <v>1.35841240754767</v>
          </cell>
          <cell r="AA82">
            <v>1.36091069802619</v>
          </cell>
          <cell r="AE82">
            <v>-4.36485811938073E-4</v>
          </cell>
          <cell r="AF82">
            <v>1.52230282067864E-3</v>
          </cell>
          <cell r="AG82">
            <v>3.0399567616306101E-3</v>
          </cell>
          <cell r="BJ82">
            <v>2.1208761052607814E-2</v>
          </cell>
          <cell r="BV82">
            <v>1.4634766440146663E-2</v>
          </cell>
          <cell r="BY82">
            <v>3.5843527492754476E-2</v>
          </cell>
        </row>
        <row r="83">
          <cell r="O83">
            <v>1.35656065472774</v>
          </cell>
          <cell r="P83">
            <v>1.3592816307442599</v>
          </cell>
          <cell r="Q83">
            <v>1.3609344688949101</v>
          </cell>
          <cell r="U83">
            <v>-8.0030342039916595E-3</v>
          </cell>
          <cell r="V83">
            <v>-6.63892998299537E-3</v>
          </cell>
          <cell r="W83">
            <v>-4.8014939120217997E-3</v>
          </cell>
          <cell r="Y83">
            <v>1.35658202389043</v>
          </cell>
          <cell r="Z83">
            <v>1.3592816307442599</v>
          </cell>
          <cell r="AA83">
            <v>1.3609344688949101</v>
          </cell>
          <cell r="AE83">
            <v>-7.9872818715709306E-3</v>
          </cell>
          <cell r="AF83">
            <v>-6.63892998299537E-3</v>
          </cell>
          <cell r="AG83">
            <v>-4.8014939120217997E-3</v>
          </cell>
          <cell r="BJ83">
            <v>2.1208761052607814E-2</v>
          </cell>
          <cell r="BV83">
            <v>2.2185562499779463E-2</v>
          </cell>
          <cell r="BY83">
            <v>4.3394323552387273E-2</v>
          </cell>
        </row>
        <row r="84">
          <cell r="O84">
            <v>1.35656065472774</v>
          </cell>
          <cell r="P84">
            <v>1.35971734894538</v>
          </cell>
          <cell r="Q84">
            <v>1.36104279112977</v>
          </cell>
          <cell r="U84">
            <v>-6.4618391620924398E-3</v>
          </cell>
          <cell r="V84">
            <v>-4.4580579105127699E-3</v>
          </cell>
          <cell r="W84">
            <v>-3.2428321390869401E-3</v>
          </cell>
          <cell r="Y84">
            <v>1.35658202389043</v>
          </cell>
          <cell r="Z84">
            <v>1.35971734894538</v>
          </cell>
          <cell r="AA84">
            <v>1.36104279112977</v>
          </cell>
          <cell r="AE84">
            <v>-6.4460868296717898E-3</v>
          </cell>
          <cell r="AF84">
            <v>-4.4580579105127699E-3</v>
          </cell>
          <cell r="AG84">
            <v>-3.2428321390869401E-3</v>
          </cell>
          <cell r="BJ84">
            <v>2.2749956094507015E-2</v>
          </cell>
          <cell r="BV84">
            <v>2.2185562499779463E-2</v>
          </cell>
          <cell r="BY84">
            <v>4.4935518594286475E-2</v>
          </cell>
        </row>
        <row r="85">
          <cell r="O85">
            <v>1.35656065472774</v>
          </cell>
          <cell r="P85">
            <v>1.3599657486386201</v>
          </cell>
          <cell r="Q85">
            <v>1.3610474288052501</v>
          </cell>
          <cell r="U85">
            <v>-5.4409430689239396E-3</v>
          </cell>
          <cell r="V85">
            <v>-3.1166628336338101E-3</v>
          </cell>
          <cell r="W85">
            <v>-2.1423452010555601E-3</v>
          </cell>
          <cell r="Y85">
            <v>1.35658202389043</v>
          </cell>
          <cell r="Z85">
            <v>1.3599657486386201</v>
          </cell>
          <cell r="AA85">
            <v>1.3610474288052501</v>
          </cell>
          <cell r="AE85">
            <v>-5.4251907365034597E-3</v>
          </cell>
          <cell r="AF85">
            <v>-3.1166628336338101E-3</v>
          </cell>
          <cell r="AG85">
            <v>-2.1423452010555601E-3</v>
          </cell>
          <cell r="BJ85">
            <v>2.3770852187675412E-2</v>
          </cell>
          <cell r="BV85">
            <v>2.2185562499779463E-2</v>
          </cell>
          <cell r="BY85">
            <v>4.5956414687454872E-2</v>
          </cell>
        </row>
        <row r="86">
          <cell r="O86">
            <v>1.35656065472774</v>
          </cell>
          <cell r="P86">
            <v>1.3605260128471801</v>
          </cell>
          <cell r="Q86">
            <v>1.3608768240945099</v>
          </cell>
          <cell r="U86">
            <v>-2.1911311560512399E-3</v>
          </cell>
          <cell r="V86">
            <v>3.1581719535391997E-4</v>
          </cell>
          <cell r="W86">
            <v>1.11087414883014E-3</v>
          </cell>
          <cell r="Y86">
            <v>1.35658202389043</v>
          </cell>
          <cell r="Z86">
            <v>1.3605260128471801</v>
          </cell>
          <cell r="AA86">
            <v>1.3608768240945099</v>
          </cell>
          <cell r="AE86">
            <v>-2.17537882363071E-3</v>
          </cell>
          <cell r="AF86">
            <v>3.1581719535391997E-4</v>
          </cell>
          <cell r="AG86">
            <v>1.11087414883014E-3</v>
          </cell>
          <cell r="BJ86">
            <v>2.7020664100548212E-2</v>
          </cell>
          <cell r="BV86">
            <v>2.2185562499779463E-2</v>
          </cell>
          <cell r="BY86">
            <v>4.9206226600327668E-2</v>
          </cell>
        </row>
        <row r="87">
          <cell r="O87">
            <v>1.35656065472774</v>
          </cell>
          <cell r="P87">
            <v>1.3615949356283199</v>
          </cell>
          <cell r="Q87">
            <v>1.3609936488699299</v>
          </cell>
          <cell r="U87">
            <v>-6.3270209981427898E-3</v>
          </cell>
          <cell r="V87">
            <v>-3.4081881305543702E-3</v>
          </cell>
          <cell r="W87">
            <v>-3.15037165111788E-3</v>
          </cell>
          <cell r="Y87">
            <v>1.35658202389043</v>
          </cell>
          <cell r="Z87">
            <v>1.3615949356283199</v>
          </cell>
          <cell r="AA87">
            <v>1.3609936488699299</v>
          </cell>
          <cell r="AE87">
            <v>-6.3112686657220696E-3</v>
          </cell>
          <cell r="AF87">
            <v>-3.4081881305543702E-3</v>
          </cell>
          <cell r="AG87">
            <v>-3.15037165111788E-3</v>
          </cell>
          <cell r="BJ87">
            <v>2.7020664100548212E-2</v>
          </cell>
          <cell r="BV87">
            <v>2.2185562499779463E-2</v>
          </cell>
          <cell r="BY87">
            <v>4.9206226600327668E-2</v>
          </cell>
        </row>
        <row r="88">
          <cell r="O88">
            <v>1.35656065472774</v>
          </cell>
          <cell r="P88">
            <v>1.36271343707975</v>
          </cell>
          <cell r="Q88">
            <v>1.3612807058915</v>
          </cell>
          <cell r="U88">
            <v>-8.9316245780067093E-3</v>
          </cell>
          <cell r="V88">
            <v>-5.2274314297307304E-3</v>
          </cell>
          <cell r="W88">
            <v>-5.6691336917534503E-3</v>
          </cell>
          <cell r="Y88">
            <v>1.35658202389043</v>
          </cell>
          <cell r="Z88">
            <v>1.36271343707975</v>
          </cell>
          <cell r="AA88">
            <v>1.3612807058915</v>
          </cell>
          <cell r="AE88">
            <v>-8.9158722455859995E-3</v>
          </cell>
          <cell r="AF88">
            <v>-5.2274314297307304E-3</v>
          </cell>
          <cell r="AG88">
            <v>-5.6691336917534503E-3</v>
          </cell>
          <cell r="BJ88">
            <v>2.4416060520684308E-2</v>
          </cell>
          <cell r="BV88">
            <v>2.2185562499779463E-2</v>
          </cell>
          <cell r="BY88">
            <v>4.6601623020463764E-2</v>
          </cell>
        </row>
        <row r="89">
          <cell r="O89">
            <v>1.35656065472774</v>
          </cell>
          <cell r="P89">
            <v>1.3631302750487799</v>
          </cell>
          <cell r="Q89">
            <v>1.3611540042267101</v>
          </cell>
          <cell r="U89">
            <v>-2.2505774247025298E-3</v>
          </cell>
          <cell r="V89">
            <v>2.27474267490058E-3</v>
          </cell>
          <cell r="W89">
            <v>1.2228084597940699E-3</v>
          </cell>
          <cell r="Y89">
            <v>1.35658202389043</v>
          </cell>
          <cell r="Z89">
            <v>1.3631302750487799</v>
          </cell>
          <cell r="AA89">
            <v>1.3611540042267101</v>
          </cell>
          <cell r="AE89">
            <v>-2.2348250922818599E-3</v>
          </cell>
          <cell r="AF89">
            <v>2.27474267490058E-3</v>
          </cell>
          <cell r="AG89">
            <v>1.2228084597943E-3</v>
          </cell>
          <cell r="BJ89">
            <v>3.1097107673988413E-2</v>
          </cell>
          <cell r="BV89">
            <v>2.2185562499779463E-2</v>
          </cell>
          <cell r="BY89">
            <v>5.3282670173767865E-2</v>
          </cell>
        </row>
        <row r="90">
          <cell r="O90">
            <v>1.35656065472774</v>
          </cell>
          <cell r="P90">
            <v>1.3620472811233399</v>
          </cell>
          <cell r="Q90">
            <v>1.3606572246836901</v>
          </cell>
          <cell r="U90">
            <v>5.2561557760540103E-3</v>
          </cell>
          <cell r="V90">
            <v>1.00873173077442E-2</v>
          </cell>
          <cell r="W90">
            <v>8.63646198859188E-3</v>
          </cell>
          <cell r="Y90">
            <v>1.35658202389043</v>
          </cell>
          <cell r="Z90">
            <v>1.3620472811233399</v>
          </cell>
          <cell r="AA90">
            <v>1.3606572246836901</v>
          </cell>
          <cell r="AE90">
            <v>5.2719081084745701E-3</v>
          </cell>
          <cell r="AF90">
            <v>1.00873173077442E-2</v>
          </cell>
          <cell r="AG90">
            <v>8.63646198859188E-3</v>
          </cell>
          <cell r="BJ90">
            <v>3.1097107673988413E-2</v>
          </cell>
          <cell r="BV90">
            <v>2.2185562499779463E-2</v>
          </cell>
          <cell r="BY90">
            <v>5.3282670173767865E-2</v>
          </cell>
        </row>
        <row r="91">
          <cell r="O91">
            <v>1.35656065472774</v>
          </cell>
          <cell r="P91">
            <v>1.36095956093063</v>
          </cell>
          <cell r="Q91">
            <v>1.3601007232358</v>
          </cell>
          <cell r="U91">
            <v>2.5252885820203201E-3</v>
          </cell>
          <cell r="V91">
            <v>6.56164393310253E-3</v>
          </cell>
          <cell r="W91">
            <v>5.5405587896608099E-3</v>
          </cell>
          <cell r="Y91">
            <v>1.35658202389043</v>
          </cell>
          <cell r="Z91">
            <v>1.36095956093063</v>
          </cell>
          <cell r="AA91">
            <v>1.3601007232358</v>
          </cell>
          <cell r="AE91">
            <v>2.5410409144410902E-3</v>
          </cell>
          <cell r="AF91">
            <v>6.5616439331023096E-3</v>
          </cell>
          <cell r="AG91">
            <v>5.5405587896608099E-3</v>
          </cell>
          <cell r="BJ91">
            <v>3.1097107673988413E-2</v>
          </cell>
          <cell r="BV91">
            <v>2.4916429693812962E-2</v>
          </cell>
          <cell r="BY91">
            <v>5.6013537367801361E-2</v>
          </cell>
        </row>
        <row r="92">
          <cell r="O92">
            <v>1.35656065472774</v>
          </cell>
          <cell r="P92">
            <v>1.3613235576726801</v>
          </cell>
          <cell r="Q92">
            <v>1.35986798261018</v>
          </cell>
          <cell r="U92">
            <v>-3.1306671036565501E-3</v>
          </cell>
          <cell r="V92">
            <v>1.06777107159229E-4</v>
          </cell>
          <cell r="W92">
            <v>-5.2447515016713897E-4</v>
          </cell>
          <cell r="Y92">
            <v>1.35658202389043</v>
          </cell>
          <cell r="Z92">
            <v>1.3613235576726801</v>
          </cell>
          <cell r="AA92">
            <v>1.35986798261018</v>
          </cell>
          <cell r="AE92">
            <v>-3.1149147712358702E-3</v>
          </cell>
          <cell r="AF92">
            <v>1.06777107159229E-4</v>
          </cell>
          <cell r="AG92">
            <v>-5.2447515016713897E-4</v>
          </cell>
          <cell r="BJ92">
            <v>3.1097107673988413E-2</v>
          </cell>
          <cell r="BV92">
            <v>3.0572385379489954E-2</v>
          </cell>
          <cell r="BY92">
            <v>6.1669493053478353E-2</v>
          </cell>
        </row>
        <row r="93">
          <cell r="O93">
            <v>1.35656065472774</v>
          </cell>
          <cell r="P93">
            <v>1.3599869469200701</v>
          </cell>
          <cell r="Q93">
            <v>1.35963428883216</v>
          </cell>
          <cell r="U93">
            <v>1.81944774054962E-3</v>
          </cell>
          <cell r="V93">
            <v>5.3243121485797903E-3</v>
          </cell>
          <cell r="W93">
            <v>4.2545049117258702E-3</v>
          </cell>
          <cell r="Y93">
            <v>1.35658202389043</v>
          </cell>
          <cell r="Z93">
            <v>1.3599869469200701</v>
          </cell>
          <cell r="AA93">
            <v>1.35963428883216</v>
          </cell>
          <cell r="AE93">
            <v>1.8352000729702799E-3</v>
          </cell>
          <cell r="AF93">
            <v>5.3243121485797903E-3</v>
          </cell>
          <cell r="AG93">
            <v>4.2545049117258702E-3</v>
          </cell>
          <cell r="BJ93">
            <v>3.1097107673988413E-2</v>
          </cell>
          <cell r="BV93">
            <v>3.0572385379489954E-2</v>
          </cell>
          <cell r="BY93">
            <v>6.1669493053478353E-2</v>
          </cell>
        </row>
        <row r="94">
          <cell r="O94">
            <v>1.35656065472774</v>
          </cell>
          <cell r="P94">
            <v>1.3589331302749099</v>
          </cell>
          <cell r="Q94">
            <v>1.3593252396101401</v>
          </cell>
          <cell r="U94">
            <v>1.2863624079375701E-3</v>
          </cell>
          <cell r="V94">
            <v>3.8088980020823098E-3</v>
          </cell>
          <cell r="W94">
            <v>3.54955446905776E-3</v>
          </cell>
          <cell r="Y94">
            <v>1.35658202389043</v>
          </cell>
          <cell r="Z94">
            <v>1.3589331302749099</v>
          </cell>
          <cell r="AA94">
            <v>1.3593252396101401</v>
          </cell>
          <cell r="AE94">
            <v>1.30211474035824E-3</v>
          </cell>
          <cell r="AF94">
            <v>3.8088980020823098E-3</v>
          </cell>
          <cell r="AG94">
            <v>3.5495544690579898E-3</v>
          </cell>
          <cell r="BJ94">
            <v>3.1097107673988413E-2</v>
          </cell>
          <cell r="BV94">
            <v>3.1105470712101953E-2</v>
          </cell>
          <cell r="BY94">
            <v>6.2202578386090349E-2</v>
          </cell>
        </row>
        <row r="95">
          <cell r="O95">
            <v>1.35656065472774</v>
          </cell>
          <cell r="P95">
            <v>1.35811277639678</v>
          </cell>
          <cell r="Q95">
            <v>1.3590392625176999</v>
          </cell>
          <cell r="U95">
            <v>5.9171017227271797E-4</v>
          </cell>
          <cell r="V95">
            <v>2.3390727800790098E-3</v>
          </cell>
          <cell r="W95">
            <v>2.6275731980640198E-3</v>
          </cell>
          <cell r="Y95">
            <v>1.35658202389043</v>
          </cell>
          <cell r="Z95">
            <v>1.35811277639678</v>
          </cell>
          <cell r="AA95">
            <v>1.3590392625176999</v>
          </cell>
          <cell r="AE95">
            <v>6.0746250469333998E-4</v>
          </cell>
          <cell r="AF95">
            <v>2.3390727800790098E-3</v>
          </cell>
          <cell r="AG95">
            <v>2.6275731980640198E-3</v>
          </cell>
          <cell r="BJ95">
            <v>3.1097107673988413E-2</v>
          </cell>
          <cell r="BV95">
            <v>3.1800122947766955E-2</v>
          </cell>
          <cell r="BY95">
            <v>6.2897230621755354E-2</v>
          </cell>
        </row>
        <row r="96">
          <cell r="O96">
            <v>1.35656065472774</v>
          </cell>
          <cell r="P96">
            <v>1.3575551272603901</v>
          </cell>
          <cell r="Q96">
            <v>1.35904057005378</v>
          </cell>
          <cell r="U96">
            <v>1.9190639030096999E-3</v>
          </cell>
          <cell r="V96">
            <v>3.0625692840804998E-3</v>
          </cell>
          <cell r="W96">
            <v>3.74452314132122E-3</v>
          </cell>
          <cell r="Y96">
            <v>1.35658202389043</v>
          </cell>
          <cell r="Z96">
            <v>1.3575551272603901</v>
          </cell>
          <cell r="AA96">
            <v>1.35904057005378</v>
          </cell>
          <cell r="AE96">
            <v>1.9348162354302101E-3</v>
          </cell>
          <cell r="AF96">
            <v>3.0625692840802799E-3</v>
          </cell>
          <cell r="AG96">
            <v>3.74452314132122E-3</v>
          </cell>
          <cell r="BJ96">
            <v>3.1097107673988413E-2</v>
          </cell>
          <cell r="BV96">
            <v>3.0472769217030037E-2</v>
          </cell>
          <cell r="BY96">
            <v>6.1569876891018435E-2</v>
          </cell>
        </row>
        <row r="97">
          <cell r="O97">
            <v>1.35656065472774</v>
          </cell>
          <cell r="P97">
            <v>1.35614586635988</v>
          </cell>
          <cell r="Q97">
            <v>1.3588704009940999</v>
          </cell>
          <cell r="U97">
            <v>4.0495939297837602E-3</v>
          </cell>
          <cell r="V97">
            <v>4.78240907625115E-3</v>
          </cell>
          <cell r="W97">
            <v>5.8760152708776997E-3</v>
          </cell>
          <cell r="Y97">
            <v>1.35658202389043</v>
          </cell>
          <cell r="Z97">
            <v>1.35614586635988</v>
          </cell>
          <cell r="AA97">
            <v>1.3588704009940999</v>
          </cell>
          <cell r="AE97">
            <v>4.0653462622044596E-3</v>
          </cell>
          <cell r="AF97">
            <v>4.78240907625115E-3</v>
          </cell>
          <cell r="AG97">
            <v>5.8760152708776997E-3</v>
          </cell>
          <cell r="BJ97">
            <v>3.1097107673988413E-2</v>
          </cell>
          <cell r="BV97">
            <v>2.8342239190255938E-2</v>
          </cell>
          <cell r="BY97">
            <v>5.9439346864244333E-2</v>
          </cell>
        </row>
        <row r="98">
          <cell r="O98">
            <v>1.35656065472774</v>
          </cell>
          <cell r="P98">
            <v>1.3536960370584801</v>
          </cell>
          <cell r="Q98">
            <v>1.3582047370691199</v>
          </cell>
          <cell r="U98">
            <v>9.1290335651572907E-3</v>
          </cell>
          <cell r="V98">
            <v>8.8232221050036207E-3</v>
          </cell>
          <cell r="W98">
            <v>1.08302344249916E-2</v>
          </cell>
          <cell r="Y98">
            <v>1.35658202389043</v>
          </cell>
          <cell r="Z98">
            <v>1.3536960370584801</v>
          </cell>
          <cell r="AA98">
            <v>1.3582047370691199</v>
          </cell>
          <cell r="AE98">
            <v>9.1447858975778999E-3</v>
          </cell>
          <cell r="AF98">
            <v>8.8232221050034004E-3</v>
          </cell>
          <cell r="AG98">
            <v>1.08302344249916E-2</v>
          </cell>
          <cell r="BJ98">
            <v>3.1097107673988413E-2</v>
          </cell>
          <cell r="BV98">
            <v>2.3262799554882529E-2</v>
          </cell>
          <cell r="BY98">
            <v>5.4359907228870921E-2</v>
          </cell>
        </row>
        <row r="99">
          <cell r="O99">
            <v>1.35656065472774</v>
          </cell>
          <cell r="P99">
            <v>1.3517605996947999</v>
          </cell>
          <cell r="Q99">
            <v>1.3574454373717899</v>
          </cell>
          <cell r="U99">
            <v>1.20868789699275E-2</v>
          </cell>
          <cell r="V99">
            <v>9.9729694316326202E-3</v>
          </cell>
          <cell r="W99">
            <v>1.3298094161735099E-2</v>
          </cell>
          <cell r="Y99">
            <v>1.35658202389043</v>
          </cell>
          <cell r="Z99">
            <v>1.3517605996947999</v>
          </cell>
          <cell r="AA99">
            <v>1.3574454373717899</v>
          </cell>
          <cell r="AE99">
            <v>1.2102631302348E-2</v>
          </cell>
          <cell r="AF99">
            <v>9.9729694316326202E-3</v>
          </cell>
          <cell r="AG99">
            <v>1.3298094161735099E-2</v>
          </cell>
          <cell r="BJ99">
            <v>3.1097107673988413E-2</v>
          </cell>
          <cell r="BV99">
            <v>2.03049541501121E-2</v>
          </cell>
          <cell r="BY99">
            <v>5.1402061824100495E-2</v>
          </cell>
        </row>
        <row r="100">
          <cell r="O100">
            <v>1.35656065472774</v>
          </cell>
          <cell r="P100">
            <v>1.3504551010317001</v>
          </cell>
          <cell r="Q100">
            <v>1.3562511910775199</v>
          </cell>
          <cell r="U100">
            <v>1.49775644592498E-2</v>
          </cell>
          <cell r="V100">
            <v>1.14328889145383E-2</v>
          </cell>
          <cell r="W100">
            <v>1.5629576757946999E-2</v>
          </cell>
          <cell r="Y100">
            <v>1.35658202389043</v>
          </cell>
          <cell r="Z100">
            <v>1.3504551010317001</v>
          </cell>
          <cell r="AA100">
            <v>1.3562511910775199</v>
          </cell>
          <cell r="AE100">
            <v>1.4993316791670401E-2</v>
          </cell>
          <cell r="AF100">
            <v>1.14328889145383E-2</v>
          </cell>
          <cell r="AG100">
            <v>1.5629576757946999E-2</v>
          </cell>
          <cell r="BJ100">
            <v>3.1097107673988413E-2</v>
          </cell>
          <cell r="BV100">
            <v>1.7414268660789597E-2</v>
          </cell>
          <cell r="BY100">
            <v>4.8511376334777992E-2</v>
          </cell>
        </row>
        <row r="101">
          <cell r="O101">
            <v>1.35656065472774</v>
          </cell>
          <cell r="P101">
            <v>1.3487040434724</v>
          </cell>
          <cell r="Q101">
            <v>1.35483180220151</v>
          </cell>
          <cell r="U101">
            <v>1.5550453560777701E-2</v>
          </cell>
          <cell r="V101">
            <v>1.1039534822139299E-2</v>
          </cell>
          <cell r="W101">
            <v>1.5322303825997601E-2</v>
          </cell>
          <cell r="Y101">
            <v>1.35658202389043</v>
          </cell>
          <cell r="Z101">
            <v>1.3487040434724</v>
          </cell>
          <cell r="AA101">
            <v>1.35483180220151</v>
          </cell>
          <cell r="AE101">
            <v>1.5566205893198499E-2</v>
          </cell>
          <cell r="AF101">
            <v>1.1039534822139299E-2</v>
          </cell>
          <cell r="AG101">
            <v>1.5322303825997601E-2</v>
          </cell>
          <cell r="BJ101">
            <v>3.1097107673988413E-2</v>
          </cell>
          <cell r="BV101">
            <v>1.6841379559261686E-2</v>
          </cell>
          <cell r="BY101">
            <v>4.7938487233250081E-2</v>
          </cell>
        </row>
        <row r="102">
          <cell r="O102">
            <v>1.35656065472774</v>
          </cell>
          <cell r="P102">
            <v>1.3461682433687601</v>
          </cell>
          <cell r="Q102">
            <v>1.35374590052072</v>
          </cell>
          <cell r="U102">
            <v>1.5679573742135099E-2</v>
          </cell>
          <cell r="V102">
            <v>9.8711710751991106E-3</v>
          </cell>
          <cell r="W102">
            <v>1.4404322897418701E-2</v>
          </cell>
          <cell r="Y102">
            <v>1.35658202389043</v>
          </cell>
          <cell r="Z102">
            <v>1.3461682433687601</v>
          </cell>
          <cell r="AA102">
            <v>1.35374590052072</v>
          </cell>
          <cell r="AE102">
            <v>1.5695326074555802E-2</v>
          </cell>
          <cell r="AF102">
            <v>9.8711710751991106E-3</v>
          </cell>
          <cell r="AG102">
            <v>1.4404322897418701E-2</v>
          </cell>
          <cell r="BJ102">
            <v>3.1097107673988413E-2</v>
          </cell>
          <cell r="BV102">
            <v>1.6712259377904284E-2</v>
          </cell>
          <cell r="BY102">
            <v>4.7809367051892676E-2</v>
          </cell>
        </row>
        <row r="103">
          <cell r="O103">
            <v>1.35656065472774</v>
          </cell>
          <cell r="P103">
            <v>1.3431637563880101</v>
          </cell>
          <cell r="Q103">
            <v>1.3515753516540401</v>
          </cell>
          <cell r="U103">
            <v>2.4257467671049499E-2</v>
          </cell>
          <cell r="V103">
            <v>1.6567119900859999E-2</v>
          </cell>
          <cell r="W103">
            <v>2.21803925051208E-2</v>
          </cell>
          <cell r="Y103">
            <v>1.35658202389043</v>
          </cell>
          <cell r="Z103">
            <v>1.3431637563880101</v>
          </cell>
          <cell r="AA103">
            <v>1.3515753516540401</v>
          </cell>
          <cell r="AE103">
            <v>2.4273220003470101E-2</v>
          </cell>
          <cell r="AF103">
            <v>1.6567119900859999E-2</v>
          </cell>
          <cell r="AG103">
            <v>2.21803925051208E-2</v>
          </cell>
          <cell r="BJ103">
            <v>3.1097107673988413E-2</v>
          </cell>
          <cell r="BV103">
            <v>8.1343654489898828E-3</v>
          </cell>
          <cell r="BY103">
            <v>3.9231473122978276E-2</v>
          </cell>
        </row>
        <row r="104">
          <cell r="O104">
            <v>1.35656065472774</v>
          </cell>
          <cell r="P104">
            <v>1.33946079021222</v>
          </cell>
          <cell r="Q104">
            <v>1.3491969602435601</v>
          </cell>
          <cell r="U104">
            <v>2.89986862983714E-2</v>
          </cell>
          <cell r="V104">
            <v>1.90739634261099E-2</v>
          </cell>
          <cell r="W104">
            <v>2.53169593147064E-2</v>
          </cell>
          <cell r="Y104">
            <v>1.35658202389043</v>
          </cell>
          <cell r="Z104">
            <v>1.33946079021222</v>
          </cell>
          <cell r="AA104">
            <v>1.3491969602435601</v>
          </cell>
          <cell r="AE104">
            <v>2.90144386307922E-2</v>
          </cell>
          <cell r="AF104">
            <v>1.90739634261099E-2</v>
          </cell>
          <cell r="AG104">
            <v>2.53169593147064E-2</v>
          </cell>
          <cell r="BJ104">
            <v>3.1097107673988413E-2</v>
          </cell>
          <cell r="BV104">
            <v>3.393146821667881E-3</v>
          </cell>
          <cell r="BY104">
            <v>3.4490254495656278E-2</v>
          </cell>
        </row>
        <row r="105">
          <cell r="O105">
            <v>1.35656065472774</v>
          </cell>
          <cell r="P105">
            <v>1.3350287065111299</v>
          </cell>
          <cell r="Q105">
            <v>1.3465707414539601</v>
          </cell>
          <cell r="U105">
            <v>3.3828805811332102E-2</v>
          </cell>
          <cell r="V105">
            <v>2.1143377172527698E-2</v>
          </cell>
          <cell r="W105">
            <v>2.8385810752736301E-2</v>
          </cell>
          <cell r="Y105">
            <v>1.35658202389043</v>
          </cell>
          <cell r="Z105">
            <v>1.3350287065111299</v>
          </cell>
          <cell r="AA105">
            <v>1.3465707414539601</v>
          </cell>
          <cell r="AE105">
            <v>3.3844558143752597E-2</v>
          </cell>
          <cell r="AF105">
            <v>2.1143377172527698E-2</v>
          </cell>
          <cell r="AG105">
            <v>2.8385810752736301E-2</v>
          </cell>
          <cell r="BJ105">
            <v>3.1097107673988413E-2</v>
          </cell>
          <cell r="BV105">
            <v>-1.4369726912925596E-3</v>
          </cell>
          <cell r="BY105">
            <v>2.9660134982695839E-2</v>
          </cell>
        </row>
        <row r="106">
          <cell r="O106">
            <v>1.35656065472774</v>
          </cell>
          <cell r="P106">
            <v>1.3308868646084</v>
          </cell>
          <cell r="Q106">
            <v>1.34422099593439</v>
          </cell>
          <cell r="U106">
            <v>3.2987304226118501E-2</v>
          </cell>
          <cell r="V106">
            <v>1.69875325968699E-2</v>
          </cell>
          <cell r="W106">
            <v>2.5595907145513401E-2</v>
          </cell>
          <cell r="Y106">
            <v>1.35658202389043</v>
          </cell>
          <cell r="Z106">
            <v>1.3308868646084</v>
          </cell>
          <cell r="AA106">
            <v>1.34422099593439</v>
          </cell>
          <cell r="AE106">
            <v>3.3003056558539301E-2</v>
          </cell>
          <cell r="AF106">
            <v>1.69875325968699E-2</v>
          </cell>
          <cell r="AG106">
            <v>2.5595907145513401E-2</v>
          </cell>
          <cell r="BJ106">
            <v>3.1097107673988413E-2</v>
          </cell>
          <cell r="BV106">
            <v>-5.9547110607928097E-4</v>
          </cell>
          <cell r="BY106">
            <v>3.0501636567909118E-2</v>
          </cell>
        </row>
        <row r="107">
          <cell r="O107">
            <v>1.35656065472774</v>
          </cell>
          <cell r="P107">
            <v>1.3285222198714</v>
          </cell>
          <cell r="Q107">
            <v>1.3423340431156401</v>
          </cell>
          <cell r="U107">
            <v>2.1706471348517501E-2</v>
          </cell>
          <cell r="V107">
            <v>2.5994405996778102E-3</v>
          </cell>
          <cell r="W107">
            <v>1.2568565176036E-2</v>
          </cell>
          <cell r="Y107">
            <v>1.35658202389043</v>
          </cell>
          <cell r="Z107">
            <v>1.3285222198714</v>
          </cell>
          <cell r="AA107">
            <v>1.3423340431156401</v>
          </cell>
          <cell r="AE107">
            <v>2.1722223680937899E-2</v>
          </cell>
          <cell r="AF107">
            <v>2.5994405996778102E-3</v>
          </cell>
          <cell r="AG107">
            <v>1.2568565176036E-2</v>
          </cell>
          <cell r="BJ107">
            <v>3.1097107673988413E-2</v>
          </cell>
          <cell r="BV107">
            <v>1.0685361771521788E-2</v>
          </cell>
          <cell r="BY107">
            <v>4.1782469445510187E-2</v>
          </cell>
        </row>
        <row r="108">
          <cell r="O108">
            <v>1.35656065472774</v>
          </cell>
          <cell r="P108">
            <v>1.3279036974262299</v>
          </cell>
          <cell r="Q108">
            <v>1.34079986724236</v>
          </cell>
          <cell r="U108">
            <v>1.37409562450467E-2</v>
          </cell>
          <cell r="V108">
            <v>-7.1443983983498702E-3</v>
          </cell>
          <cell r="W108">
            <v>3.19831195879763E-3</v>
          </cell>
          <cell r="Y108">
            <v>1.35658202389043</v>
          </cell>
          <cell r="Z108">
            <v>1.3279036974262299</v>
          </cell>
          <cell r="AA108">
            <v>1.34079986724236</v>
          </cell>
          <cell r="AE108">
            <v>1.37567085774672E-2</v>
          </cell>
          <cell r="AF108">
            <v>-7.1443983983498702E-3</v>
          </cell>
          <cell r="AG108">
            <v>3.19831195879763E-3</v>
          </cell>
          <cell r="BJ108">
            <v>3.1097107673988413E-2</v>
          </cell>
          <cell r="BV108">
            <v>1.8650876874992492E-2</v>
          </cell>
          <cell r="BY108">
            <v>4.9747984548980891E-2</v>
          </cell>
        </row>
        <row r="109">
          <cell r="O109">
            <v>1.35656065472774</v>
          </cell>
          <cell r="P109">
            <v>1.32697004780325</v>
          </cell>
          <cell r="Q109">
            <v>1.33936532374902</v>
          </cell>
          <cell r="U109">
            <v>1.9077424483365499E-2</v>
          </cell>
          <cell r="V109">
            <v>-2.2736103450661099E-3</v>
          </cell>
          <cell r="W109">
            <v>7.3912099604191896E-3</v>
          </cell>
          <cell r="Y109">
            <v>1.35658202389043</v>
          </cell>
          <cell r="Z109">
            <v>1.32697004780325</v>
          </cell>
          <cell r="AA109">
            <v>1.33936532374902</v>
          </cell>
          <cell r="AE109">
            <v>1.9093176815786199E-2</v>
          </cell>
          <cell r="AF109">
            <v>-2.2736103450661099E-3</v>
          </cell>
          <cell r="AG109">
            <v>7.3912099604191896E-3</v>
          </cell>
          <cell r="BJ109">
            <v>3.1097107673988413E-2</v>
          </cell>
          <cell r="BV109">
            <v>1.3314408636673592E-2</v>
          </cell>
          <cell r="BY109">
            <v>4.4411516310661994E-2</v>
          </cell>
        </row>
        <row r="110">
          <cell r="O110">
            <v>1.35656065472774</v>
          </cell>
          <cell r="P110">
            <v>1.3266934765415801</v>
          </cell>
          <cell r="Q110">
            <v>1.3385742887866401</v>
          </cell>
          <cell r="U110">
            <v>1.70492426267899E-2</v>
          </cell>
          <cell r="V110">
            <v>-5.0051398942739401E-3</v>
          </cell>
          <cell r="W110">
            <v>4.2925391390999301E-3</v>
          </cell>
          <cell r="Y110">
            <v>1.35658202389043</v>
          </cell>
          <cell r="Z110">
            <v>1.3266934765415801</v>
          </cell>
          <cell r="AA110">
            <v>1.3385742887866401</v>
          </cell>
          <cell r="AE110">
            <v>1.70649949592107E-2</v>
          </cell>
          <cell r="AF110">
            <v>-5.0051398942739401E-3</v>
          </cell>
          <cell r="AG110">
            <v>4.2925391390999301E-3</v>
          </cell>
          <cell r="BJ110">
            <v>3.1097107673988413E-2</v>
          </cell>
          <cell r="BV110">
            <v>1.5342590493249091E-2</v>
          </cell>
          <cell r="BY110">
            <v>4.6439698167237489E-2</v>
          </cell>
        </row>
        <row r="111">
          <cell r="O111">
            <v>1.35656065472774</v>
          </cell>
          <cell r="P111">
            <v>1.3264035506013301</v>
          </cell>
          <cell r="Q111">
            <v>1.3375537970368601</v>
          </cell>
          <cell r="U111">
            <v>1.77235205960459E-2</v>
          </cell>
          <cell r="V111">
            <v>-4.5393067863455597E-3</v>
          </cell>
          <cell r="W111">
            <v>4.3760383008796897E-3</v>
          </cell>
          <cell r="Y111">
            <v>1.35658202389043</v>
          </cell>
          <cell r="Z111">
            <v>1.3264035506013301</v>
          </cell>
          <cell r="AA111">
            <v>1.3375537970368601</v>
          </cell>
          <cell r="AE111">
            <v>1.7739272928466599E-2</v>
          </cell>
          <cell r="AF111">
            <v>-4.5393067863455597E-3</v>
          </cell>
          <cell r="AG111">
            <v>4.3760383008796897E-3</v>
          </cell>
          <cell r="BJ111">
            <v>3.1097107673988413E-2</v>
          </cell>
          <cell r="BV111">
            <v>1.4668312523992987E-2</v>
          </cell>
          <cell r="BY111">
            <v>4.5765420197981382E-2</v>
          </cell>
        </row>
        <row r="112">
          <cell r="O112">
            <v>1.35656065472774</v>
          </cell>
          <cell r="P112">
            <v>1.3256836448887199</v>
          </cell>
          <cell r="Q112">
            <v>1.3359259441287401</v>
          </cell>
          <cell r="U112">
            <v>2.1084865878560202E-2</v>
          </cell>
          <cell r="V112">
            <v>-1.3965181102679599E-3</v>
          </cell>
          <cell r="W112">
            <v>6.97472068646864E-3</v>
          </cell>
          <cell r="Y112">
            <v>1.35658202389043</v>
          </cell>
          <cell r="Z112">
            <v>1.3256836448887199</v>
          </cell>
          <cell r="AA112">
            <v>1.3359259441287401</v>
          </cell>
          <cell r="AE112">
            <v>2.11006182109807E-2</v>
          </cell>
          <cell r="AF112">
            <v>-1.3965181102679599E-3</v>
          </cell>
          <cell r="AG112">
            <v>6.97472068646864E-3</v>
          </cell>
          <cell r="BJ112">
            <v>3.1097107673988413E-2</v>
          </cell>
          <cell r="BV112">
            <v>1.130696724147889E-2</v>
          </cell>
          <cell r="BY112">
            <v>4.2404074915467285E-2</v>
          </cell>
        </row>
        <row r="113">
          <cell r="O113">
            <v>1.35656065472774</v>
          </cell>
          <cell r="P113">
            <v>1.3257624273511499</v>
          </cell>
          <cell r="Q113">
            <v>1.3344630918695799</v>
          </cell>
          <cell r="U113">
            <v>2.3662633313192901E-2</v>
          </cell>
          <cell r="V113">
            <v>6.38351842317945E-4</v>
          </cell>
          <cell r="W113">
            <v>8.3347095950599207E-3</v>
          </cell>
          <cell r="Y113">
            <v>1.35658202389043</v>
          </cell>
          <cell r="Z113">
            <v>1.3257624273511499</v>
          </cell>
          <cell r="AA113">
            <v>1.3344630918695799</v>
          </cell>
          <cell r="AE113">
            <v>2.3678385645613701E-2</v>
          </cell>
          <cell r="AF113">
            <v>6.38351842317945E-4</v>
          </cell>
          <cell r="AG113">
            <v>8.3347095950599207E-3</v>
          </cell>
          <cell r="BJ113">
            <v>3.1097107673988413E-2</v>
          </cell>
          <cell r="BV113">
            <v>8.7291998068459511E-3</v>
          </cell>
          <cell r="BY113">
            <v>3.982630748083435E-2</v>
          </cell>
        </row>
        <row r="114">
          <cell r="O114">
            <v>1.35656065472774</v>
          </cell>
          <cell r="P114">
            <v>1.3264045957292301</v>
          </cell>
          <cell r="Q114">
            <v>1.3329326929707199</v>
          </cell>
          <cell r="U114">
            <v>2.4137439894862299E-2</v>
          </cell>
          <cell r="V114">
            <v>1.1725844581666599E-3</v>
          </cell>
          <cell r="W114">
            <v>7.7139062219473697E-3</v>
          </cell>
          <cell r="Y114">
            <v>1.35658202389043</v>
          </cell>
          <cell r="Z114">
            <v>1.32644203250904</v>
          </cell>
          <cell r="AA114">
            <v>1.33295141136063</v>
          </cell>
          <cell r="AE114">
            <v>2.3870521626017199E-2</v>
          </cell>
          <cell r="AF114">
            <v>8.8991385690077895E-4</v>
          </cell>
          <cell r="AG114">
            <v>7.4312356206814199E-3</v>
          </cell>
          <cell r="BJ114">
            <v>3.1097107673988413E-2</v>
          </cell>
          <cell r="BV114">
            <v>8.7291998068459511E-3</v>
          </cell>
          <cell r="BY114">
            <v>3.982630748083435E-2</v>
          </cell>
        </row>
        <row r="115">
          <cell r="O115">
            <v>1.35656065472774</v>
          </cell>
          <cell r="P115">
            <v>1.3283170704015801</v>
          </cell>
          <cell r="Q115">
            <v>1.33167288845635</v>
          </cell>
          <cell r="U115">
            <v>1.9351073357225398E-2</v>
          </cell>
          <cell r="V115">
            <v>-3.1295226907939698E-3</v>
          </cell>
          <cell r="W115">
            <v>1.7800541289404899E-3</v>
          </cell>
          <cell r="Y115">
            <v>1.35658202389043</v>
          </cell>
          <cell r="Z115">
            <v>1.3283930182305199</v>
          </cell>
          <cell r="AA115">
            <v>1.33171086237083</v>
          </cell>
          <cell r="AE115">
            <v>1.9077433133882198E-2</v>
          </cell>
          <cell r="AF115">
            <v>-3.3906913911601298E-3</v>
          </cell>
          <cell r="AG115">
            <v>1.5047044866516399E-3</v>
          </cell>
          <cell r="BJ115">
            <v>3.1097107673988413E-2</v>
          </cell>
          <cell r="BV115">
            <v>1.3515566344483049E-2</v>
          </cell>
          <cell r="BY115">
            <v>4.4612674018471452E-2</v>
          </cell>
        </row>
        <row r="116">
          <cell r="O116">
            <v>1.35656065472774</v>
          </cell>
          <cell r="P116">
            <v>1.32967326354436</v>
          </cell>
          <cell r="Q116">
            <v>1.3302800640763801</v>
          </cell>
          <cell r="U116">
            <v>2.2707746214398E-2</v>
          </cell>
          <cell r="V116">
            <v>1.6679603481718299E-3</v>
          </cell>
          <cell r="W116">
            <v>4.1911426812385596E-3</v>
          </cell>
          <cell r="Y116">
            <v>1.35658202389043</v>
          </cell>
          <cell r="Z116">
            <v>1.3297878550762099</v>
          </cell>
          <cell r="AA116">
            <v>1.3303373598423001</v>
          </cell>
          <cell r="AE116">
            <v>2.24321330673459E-2</v>
          </cell>
          <cell r="AF116">
            <v>1.43376921323024E-3</v>
          </cell>
          <cell r="AG116">
            <v>3.9282927429171001E-3</v>
          </cell>
          <cell r="BJ116">
            <v>3.1097107673988413E-2</v>
          </cell>
          <cell r="BV116">
            <v>1.0158893487310611E-2</v>
          </cell>
          <cell r="BY116">
            <v>4.1256001161299009E-2</v>
          </cell>
        </row>
        <row r="117">
          <cell r="O117">
            <v>1.35656065472774</v>
          </cell>
          <cell r="P117">
            <v>1.32938411655668</v>
          </cell>
          <cell r="Q117">
            <v>1.3289531682140401</v>
          </cell>
          <cell r="U117">
            <v>2.3887090819472202E-2</v>
          </cell>
          <cell r="V117">
            <v>3.8677701093117801E-3</v>
          </cell>
          <cell r="W117">
            <v>4.3240191240902798E-3</v>
          </cell>
          <cell r="Y117">
            <v>1.35658202389043</v>
          </cell>
          <cell r="Z117">
            <v>1.3295362133121</v>
          </cell>
          <cell r="AA117">
            <v>1.3290292165917501</v>
          </cell>
          <cell r="AE117">
            <v>2.3619726708310099E-2</v>
          </cell>
          <cell r="AF117">
            <v>3.6708301705236598E-3</v>
          </cell>
          <cell r="AG117">
            <v>4.08397220671453E-3</v>
          </cell>
          <cell r="BJ117">
            <v>3.1097107673988413E-2</v>
          </cell>
          <cell r="BV117">
            <v>8.9795488822363087E-3</v>
          </cell>
          <cell r="BY117">
            <v>4.0076656556224707E-2</v>
          </cell>
        </row>
        <row r="118">
          <cell r="O118">
            <v>1.35656065472774</v>
          </cell>
          <cell r="P118">
            <v>1.32739303395214</v>
          </cell>
          <cell r="Q118">
            <v>1.32764836568918</v>
          </cell>
          <cell r="U118">
            <v>2.8733287133021201E-2</v>
          </cell>
          <cell r="V118">
            <v>8.4964856035410607E-3</v>
          </cell>
          <cell r="W118">
            <v>8.1722616242246304E-3</v>
          </cell>
          <cell r="Y118">
            <v>1.35658202389043</v>
          </cell>
          <cell r="Z118">
            <v>1.3275451307075601</v>
          </cell>
          <cell r="AA118">
            <v>1.32772441406689</v>
          </cell>
          <cell r="AE118">
            <v>2.87490394654418E-2</v>
          </cell>
          <cell r="AF118">
            <v>8.6108905023074191E-3</v>
          </cell>
          <cell r="AG118">
            <v>8.2294842590804104E-3</v>
          </cell>
          <cell r="BJ118">
            <v>3.1097107673988413E-2</v>
          </cell>
          <cell r="BV118">
            <v>8.9795488822363087E-3</v>
          </cell>
          <cell r="BY118">
            <v>4.0076656556224707E-2</v>
          </cell>
        </row>
        <row r="119">
          <cell r="O119">
            <v>1.35656065472774</v>
          </cell>
          <cell r="P119">
            <v>1.3264302730733299</v>
          </cell>
          <cell r="Q119">
            <v>1.32670016043829</v>
          </cell>
          <cell r="U119">
            <v>2.6337480731881802E-2</v>
          </cell>
          <cell r="V119">
            <v>4.6018083039328604E-3</v>
          </cell>
          <cell r="W119">
            <v>4.7941455969515304E-3</v>
          </cell>
          <cell r="Y119">
            <v>1.35658202389043</v>
          </cell>
          <cell r="Z119">
            <v>1.32658236982875</v>
          </cell>
          <cell r="AA119">
            <v>1.326776208816</v>
          </cell>
          <cell r="AE119">
            <v>2.63532330643024E-2</v>
          </cell>
          <cell r="AF119">
            <v>4.716384799618E-3</v>
          </cell>
          <cell r="AG119">
            <v>4.85142446815912E-3</v>
          </cell>
          <cell r="BJ119">
            <v>3.1097107673988413E-2</v>
          </cell>
          <cell r="BV119">
            <v>1.1375355283375806E-2</v>
          </cell>
          <cell r="BY119">
            <v>4.2472462957364204E-2</v>
          </cell>
        </row>
        <row r="120">
          <cell r="O120">
            <v>1.35656065472774</v>
          </cell>
          <cell r="P120">
            <v>1.32537554885701</v>
          </cell>
          <cell r="Q120">
            <v>1.3260345126992901</v>
          </cell>
          <cell r="U120">
            <v>2.49893637460817E-2</v>
          </cell>
          <cell r="V120">
            <v>2.5281261167895402E-3</v>
          </cell>
          <cell r="W120">
            <v>2.7315743622884602E-3</v>
          </cell>
          <cell r="Y120">
            <v>1.35658202389043</v>
          </cell>
          <cell r="Z120">
            <v>1.3255276456124201</v>
          </cell>
          <cell r="AA120">
            <v>1.3261105610770001</v>
          </cell>
          <cell r="AE120">
            <v>2.5005116078502199E-2</v>
          </cell>
          <cell r="AF120">
            <v>2.6427857705921499E-3</v>
          </cell>
          <cell r="AG120">
            <v>2.7888941700777198E-3</v>
          </cell>
          <cell r="BJ120">
            <v>3.1097107673988413E-2</v>
          </cell>
          <cell r="BV120">
            <v>1.2723472269175817E-2</v>
          </cell>
          <cell r="BY120">
            <v>4.3820579943164212E-2</v>
          </cell>
        </row>
        <row r="121">
          <cell r="O121">
            <v>1.35656065472774</v>
          </cell>
          <cell r="P121">
            <v>1.3242963530455401</v>
          </cell>
          <cell r="Q121">
            <v>1.32534995182344</v>
          </cell>
          <cell r="U121">
            <v>2.58541207272764E-2</v>
          </cell>
          <cell r="V121">
            <v>2.59740685064918E-3</v>
          </cell>
          <cell r="W121">
            <v>3.0944735740573298E-3</v>
          </cell>
          <cell r="Y121">
            <v>1.35658202389043</v>
          </cell>
          <cell r="Z121">
            <v>1.3244484498009601</v>
          </cell>
          <cell r="AA121">
            <v>1.32542600020114</v>
          </cell>
          <cell r="AE121">
            <v>2.5869873059697301E-2</v>
          </cell>
          <cell r="AF121">
            <v>2.7121577445344798E-3</v>
          </cell>
          <cell r="AG121">
            <v>3.1518221546322201E-3</v>
          </cell>
          <cell r="BJ121">
            <v>3.1097107673988413E-2</v>
          </cell>
          <cell r="BV121">
            <v>1.1858715287981075E-2</v>
          </cell>
          <cell r="BY121">
            <v>4.2955822961969474E-2</v>
          </cell>
        </row>
        <row r="122">
          <cell r="O122">
            <v>1.35656065472774</v>
          </cell>
          <cell r="P122">
            <v>1.32379905311816</v>
          </cell>
          <cell r="Q122">
            <v>1.3247413490034401</v>
          </cell>
          <cell r="U122">
            <v>2.48358954769442E-2</v>
          </cell>
          <cell r="V122">
            <v>7.64593295729879E-4</v>
          </cell>
          <cell r="W122">
            <v>1.55986837187212E-3</v>
          </cell>
          <cell r="Y122">
            <v>1.35658202389043</v>
          </cell>
          <cell r="Z122">
            <v>1.3239511498735801</v>
          </cell>
          <cell r="AA122">
            <v>1.3248173973811499</v>
          </cell>
          <cell r="AE122">
            <v>2.4851647809365E-2</v>
          </cell>
          <cell r="AF122">
            <v>8.7943769706376105E-4</v>
          </cell>
          <cell r="AG122">
            <v>1.61724657290151E-3</v>
          </cell>
          <cell r="BJ122">
            <v>3.1097107673988413E-2</v>
          </cell>
          <cell r="BV122">
            <v>1.2876940538313474E-2</v>
          </cell>
          <cell r="BY122">
            <v>4.3974048212301872E-2</v>
          </cell>
        </row>
        <row r="123">
          <cell r="O123">
            <v>1.35656065472774</v>
          </cell>
          <cell r="P123">
            <v>1.32410747716539</v>
          </cell>
          <cell r="Q123">
            <v>1.3249349522582701</v>
          </cell>
          <cell r="U123">
            <v>2.1337325054902202E-2</v>
          </cell>
          <cell r="V123">
            <v>-3.1095677731357001E-3</v>
          </cell>
          <cell r="W123">
            <v>-2.3980091166914299E-3</v>
          </cell>
          <cell r="Y123">
            <v>1.35658202389043</v>
          </cell>
          <cell r="Z123">
            <v>1.3242595739208101</v>
          </cell>
          <cell r="AA123">
            <v>1.3250110006359801</v>
          </cell>
          <cell r="AE123">
            <v>2.13530773873228E-2</v>
          </cell>
          <cell r="AF123">
            <v>-2.9946802316955698E-3</v>
          </cell>
          <cell r="AG123">
            <v>-2.34060455615196E-3</v>
          </cell>
          <cell r="BJ123">
            <v>3.1097107673988413E-2</v>
          </cell>
          <cell r="BV123">
            <v>1.6375510960355371E-2</v>
          </cell>
          <cell r="BY123">
            <v>4.7472618634343766E-2</v>
          </cell>
        </row>
        <row r="124">
          <cell r="O124">
            <v>1.35656065472774</v>
          </cell>
          <cell r="P124">
            <v>1.32407690039545</v>
          </cell>
          <cell r="Q124">
            <v>1.32524074806234</v>
          </cell>
          <cell r="U124">
            <v>2.4368372519346398E-2</v>
          </cell>
          <cell r="V124">
            <v>1.5443659148619499E-4</v>
          </cell>
          <cell r="W124">
            <v>7.7917186231489803E-4</v>
          </cell>
          <cell r="Y124">
            <v>1.35658202389043</v>
          </cell>
          <cell r="Z124">
            <v>1.3241915603710599</v>
          </cell>
          <cell r="AA124">
            <v>1.3253167964400501</v>
          </cell>
          <cell r="AE124">
            <v>2.4384124851767001E-2</v>
          </cell>
          <cell r="AF124">
            <v>2.6929737373475402E-4</v>
          </cell>
          <cell r="AG124">
            <v>8.3656803497757204E-4</v>
          </cell>
          <cell r="BJ124">
            <v>3.4128155138432509E-2</v>
          </cell>
          <cell r="BV124">
            <v>1.6375510960355371E-2</v>
          </cell>
          <cell r="BY124">
            <v>5.0503666098787869E-2</v>
          </cell>
        </row>
        <row r="125">
          <cell r="O125">
            <v>1.35656065472774</v>
          </cell>
          <cell r="P125">
            <v>1.32503103299492</v>
          </cell>
          <cell r="Q125">
            <v>1.32667405169825</v>
          </cell>
          <cell r="U125">
            <v>1.22057633834149E-2</v>
          </cell>
          <cell r="V125">
            <v>-1.20312651736444E-2</v>
          </cell>
          <cell r="W125">
            <v>-1.1152663287279201E-2</v>
          </cell>
          <cell r="Y125">
            <v>1.35658202389043</v>
          </cell>
          <cell r="Z125">
            <v>1.32510718192139</v>
          </cell>
          <cell r="AA125">
            <v>1.3267501000759601</v>
          </cell>
          <cell r="AE125">
            <v>1.2221515715835501E-2</v>
          </cell>
          <cell r="AF125">
            <v>-1.19446727625075E-2</v>
          </cell>
          <cell r="AG125">
            <v>-1.1095280358251801E-2</v>
          </cell>
          <cell r="BJ125">
            <v>3.4128155138432509E-2</v>
          </cell>
          <cell r="BV125">
            <v>1.6375510960355371E-2</v>
          </cell>
          <cell r="BY125">
            <v>5.0503666098787869E-2</v>
          </cell>
        </row>
        <row r="126">
          <cell r="O126">
            <v>1.35656065472774</v>
          </cell>
          <cell r="P126">
            <v>1.3272454404290901</v>
          </cell>
          <cell r="Q126">
            <v>1.32845935198673</v>
          </cell>
          <cell r="U126">
            <v>6.1470310933986003E-3</v>
          </cell>
          <cell r="V126">
            <v>-1.73696548693115E-2</v>
          </cell>
          <cell r="W126">
            <v>-1.61304379420046E-2</v>
          </cell>
          <cell r="Y126">
            <v>1.35658202389043</v>
          </cell>
          <cell r="Z126">
            <v>1.32728294565265</v>
          </cell>
          <cell r="AA126">
            <v>1.3285354003644301</v>
          </cell>
          <cell r="AE126">
            <v>6.1627834258191801E-3</v>
          </cell>
          <cell r="AF126">
            <v>-1.73121869787182E-2</v>
          </cell>
          <cell r="AG126">
            <v>-1.6073117006202502E-2</v>
          </cell>
          <cell r="BJ126">
            <v>2.8069422848416209E-2</v>
          </cell>
          <cell r="BV126">
            <v>1.6375510960355371E-2</v>
          </cell>
          <cell r="BY126">
            <v>4.444493380877157E-2</v>
          </cell>
        </row>
        <row r="127">
          <cell r="O127">
            <v>1.35656065472774</v>
          </cell>
          <cell r="P127">
            <v>1.3295574371416401</v>
          </cell>
          <cell r="Q127">
            <v>1.32947077684916</v>
          </cell>
          <cell r="U127">
            <v>6.58259362783433E-3</v>
          </cell>
          <cell r="V127">
            <v>-1.52642755032684E-2</v>
          </cell>
          <cell r="W127">
            <v>-1.4350083801201299E-2</v>
          </cell>
          <cell r="Y127">
            <v>1.35658202389043</v>
          </cell>
          <cell r="Z127">
            <v>1.3295574371416401</v>
          </cell>
          <cell r="AA127">
            <v>1.3295468252268701</v>
          </cell>
          <cell r="AE127">
            <v>6.5983459602550597E-3</v>
          </cell>
          <cell r="AF127">
            <v>-1.5236017961350301E-2</v>
          </cell>
          <cell r="AG127">
            <v>-1.42928398960998E-2</v>
          </cell>
          <cell r="BJ127">
            <v>2.8504985382851906E-2</v>
          </cell>
          <cell r="BV127">
            <v>1.6375510960355371E-2</v>
          </cell>
          <cell r="BY127">
            <v>4.4880496343207267E-2</v>
          </cell>
        </row>
        <row r="128">
          <cell r="O128">
            <v>1.35656065472774</v>
          </cell>
          <cell r="P128">
            <v>1.3335178318469001</v>
          </cell>
          <cell r="Q128">
            <v>1.33045543289952</v>
          </cell>
          <cell r="U128">
            <v>-8.6958994480654803E-4</v>
          </cell>
          <cell r="V128">
            <v>-2.0976023369760601E-2</v>
          </cell>
          <cell r="W128">
            <v>-2.1041205297543299E-2</v>
          </cell>
          <cell r="Y128">
            <v>1.35658202389043</v>
          </cell>
          <cell r="Z128">
            <v>1.3335178318469001</v>
          </cell>
          <cell r="AA128">
            <v>1.33053148127723</v>
          </cell>
          <cell r="AE128">
            <v>-8.5383761238584199E-4</v>
          </cell>
          <cell r="AF128">
            <v>-2.0976023369760601E-2</v>
          </cell>
          <cell r="AG128">
            <v>-2.09840049407874E-2</v>
          </cell>
          <cell r="BJ128">
            <v>2.1052801810211207E-2</v>
          </cell>
          <cell r="BV128">
            <v>1.6375510960355371E-2</v>
          </cell>
          <cell r="BY128">
            <v>3.7428312770566567E-2</v>
          </cell>
        </row>
        <row r="129">
          <cell r="O129">
            <v>1.35656065472774</v>
          </cell>
          <cell r="P129">
            <v>1.33650373220996</v>
          </cell>
          <cell r="Q129">
            <v>1.33146700264165</v>
          </cell>
          <cell r="U129">
            <v>3.9908134018397396E-3</v>
          </cell>
          <cell r="V129">
            <v>-1.31413160888531E-2</v>
          </cell>
          <cell r="W129">
            <v>-1.54404384838734E-2</v>
          </cell>
          <cell r="Y129">
            <v>1.35658202389043</v>
          </cell>
          <cell r="Z129">
            <v>1.33650373220996</v>
          </cell>
          <cell r="AA129">
            <v>1.33154305101936</v>
          </cell>
          <cell r="AE129">
            <v>4.00656573426042E-3</v>
          </cell>
          <cell r="AF129">
            <v>-1.31413160888531E-2</v>
          </cell>
          <cell r="AG129">
            <v>-1.53832804592892E-2</v>
          </cell>
          <cell r="BJ129">
            <v>2.5913205156857376E-2</v>
          </cell>
          <cell r="BV129">
            <v>1.6375510960355371E-2</v>
          </cell>
          <cell r="BY129">
            <v>4.2288716117212737E-2</v>
          </cell>
        </row>
        <row r="130">
          <cell r="O130">
            <v>1.35656065472774</v>
          </cell>
          <cell r="P130">
            <v>1.33868712223512</v>
          </cell>
          <cell r="Q130">
            <v>1.33203133554606</v>
          </cell>
          <cell r="U130">
            <v>8.6217331692280703E-3</v>
          </cell>
          <cell r="V130">
            <v>-6.2737839674772101E-3</v>
          </cell>
          <cell r="W130">
            <v>-1.0049489215013601E-2</v>
          </cell>
          <cell r="Y130">
            <v>1.35658202389043</v>
          </cell>
          <cell r="Z130">
            <v>1.33868712223512</v>
          </cell>
          <cell r="AA130">
            <v>1.33210738392377</v>
          </cell>
          <cell r="AE130">
            <v>8.6374855016488096E-3</v>
          </cell>
          <cell r="AF130">
            <v>-6.2737839674772101E-3</v>
          </cell>
          <cell r="AG130">
            <v>-9.9923746144700096E-3</v>
          </cell>
          <cell r="BJ130">
            <v>3.0544124924245877E-2</v>
          </cell>
          <cell r="BV130">
            <v>1.6375510960355371E-2</v>
          </cell>
          <cell r="BY130">
            <v>4.6919635884601241E-2</v>
          </cell>
        </row>
        <row r="131">
          <cell r="O131">
            <v>1.35656065472774</v>
          </cell>
          <cell r="P131">
            <v>1.3411042046194901</v>
          </cell>
          <cell r="Q131">
            <v>1.33270027883252</v>
          </cell>
          <cell r="U131">
            <v>7.7348775410785503E-3</v>
          </cell>
          <cell r="V131">
            <v>-5.5283145550906196E-3</v>
          </cell>
          <cell r="W131">
            <v>-1.0512591687570899E-2</v>
          </cell>
          <cell r="Y131">
            <v>1.35658202389043</v>
          </cell>
          <cell r="Z131">
            <v>1.3411042046194901</v>
          </cell>
          <cell r="AA131">
            <v>1.33277632721022</v>
          </cell>
          <cell r="AE131">
            <v>7.7506298734991699E-3</v>
          </cell>
          <cell r="AF131">
            <v>-5.5283145550906196E-3</v>
          </cell>
          <cell r="AG131">
            <v>-1.0455501283701501E-2</v>
          </cell>
          <cell r="BJ131">
            <v>2.9657269296096436E-2</v>
          </cell>
          <cell r="BV131">
            <v>1.6375510960355371E-2</v>
          </cell>
          <cell r="BY131">
            <v>4.60327802564518E-2</v>
          </cell>
        </row>
        <row r="132">
          <cell r="O132">
            <v>1.35656065472774</v>
          </cell>
          <cell r="P132">
            <v>1.34379895400573</v>
          </cell>
          <cell r="Q132">
            <v>1.33379900356194</v>
          </cell>
          <cell r="U132">
            <v>4.67636942574794E-3</v>
          </cell>
          <cell r="V132">
            <v>-6.7828888972088098E-3</v>
          </cell>
          <cell r="W132">
            <v>-1.30690280018283E-2</v>
          </cell>
          <cell r="Y132">
            <v>1.35658202389043</v>
          </cell>
          <cell r="Z132">
            <v>1.34379895400573</v>
          </cell>
          <cell r="AA132">
            <v>1.3338750519396501</v>
          </cell>
          <cell r="AE132">
            <v>4.69212175816861E-3</v>
          </cell>
          <cell r="AF132">
            <v>-6.7828888972088098E-3</v>
          </cell>
          <cell r="AG132">
            <v>-1.3011966253428899E-2</v>
          </cell>
          <cell r="BJ132">
            <v>2.6598761180765838E-2</v>
          </cell>
          <cell r="BV132">
            <v>1.6375510960355371E-2</v>
          </cell>
          <cell r="BY132">
            <v>4.2974272141121206E-2</v>
          </cell>
        </row>
        <row r="133">
          <cell r="O133">
            <v>1.35656065472774</v>
          </cell>
          <cell r="P133">
            <v>1.3461717784290099</v>
          </cell>
          <cell r="Q133">
            <v>1.3351396277972001</v>
          </cell>
          <cell r="U133">
            <v>3.6263891002231898E-3</v>
          </cell>
          <cell r="V133">
            <v>-5.8255340364110897E-3</v>
          </cell>
          <cell r="W133">
            <v>-1.32949130059216E-2</v>
          </cell>
          <cell r="Y133">
            <v>1.35658202389043</v>
          </cell>
          <cell r="Z133">
            <v>1.3461717784290099</v>
          </cell>
          <cell r="AA133">
            <v>1.3352156761749101</v>
          </cell>
          <cell r="AE133">
            <v>3.6421414326437401E-3</v>
          </cell>
          <cell r="AF133">
            <v>-5.8255340364110897E-3</v>
          </cell>
          <cell r="AG133">
            <v>-1.3237898261131101E-2</v>
          </cell>
          <cell r="BJ133">
            <v>2.5548780855241038E-2</v>
          </cell>
          <cell r="BV133">
            <v>1.6375510960355371E-2</v>
          </cell>
          <cell r="BY133">
            <v>4.1924291815596405E-2</v>
          </cell>
        </row>
        <row r="134">
          <cell r="O134">
            <v>1.35656065472774</v>
          </cell>
          <cell r="P134">
            <v>1.3506082212314401</v>
          </cell>
          <cell r="Q134">
            <v>1.3373425608134499</v>
          </cell>
          <cell r="U134">
            <v>-8.5927238498479906E-3</v>
          </cell>
          <cell r="V134">
            <v>-1.6280445606813802E-2</v>
          </cell>
          <cell r="W134">
            <v>-2.4509413611402301E-2</v>
          </cell>
          <cell r="Y134">
            <v>1.35658202389043</v>
          </cell>
          <cell r="Z134">
            <v>1.3506082212314401</v>
          </cell>
          <cell r="AA134">
            <v>1.3373998908012501</v>
          </cell>
          <cell r="AE134">
            <v>-8.5769715174273797E-3</v>
          </cell>
          <cell r="AF134">
            <v>-1.6280445606813802E-2</v>
          </cell>
          <cell r="AG134">
            <v>-2.4452456113936601E-2</v>
          </cell>
          <cell r="BJ134">
            <v>1.3329667905169968E-2</v>
          </cell>
          <cell r="BV134">
            <v>1.6375510960355371E-2</v>
          </cell>
          <cell r="BY134">
            <v>2.9705178865525338E-2</v>
          </cell>
        </row>
        <row r="135">
          <cell r="O135">
            <v>1.35656065472774</v>
          </cell>
          <cell r="P135">
            <v>1.3533148671534501</v>
          </cell>
          <cell r="Q135">
            <v>1.33917295007418</v>
          </cell>
          <cell r="U135">
            <v>-7.7902678533468498E-3</v>
          </cell>
          <cell r="V135">
            <v>-1.21878088724454E-2</v>
          </cell>
          <cell r="W135">
            <v>-2.2058352790084799E-2</v>
          </cell>
          <cell r="Y135">
            <v>1.35658202389043</v>
          </cell>
          <cell r="Z135">
            <v>1.3533148671534501</v>
          </cell>
          <cell r="AA135">
            <v>1.33921102453742</v>
          </cell>
          <cell r="AE135">
            <v>-7.7745155209260298E-3</v>
          </cell>
          <cell r="AF135">
            <v>-1.21878088724453E-2</v>
          </cell>
          <cell r="AG135">
            <v>-2.2015485120506401E-2</v>
          </cell>
          <cell r="BJ135">
            <v>1.4132123901671267E-2</v>
          </cell>
          <cell r="BV135">
            <v>1.6375510960355371E-2</v>
          </cell>
          <cell r="BY135">
            <v>3.0507634862026636E-2</v>
          </cell>
        </row>
        <row r="136">
          <cell r="O136">
            <v>1.35656065472774</v>
          </cell>
          <cell r="P136">
            <v>1.35473934295293</v>
          </cell>
          <cell r="Q136">
            <v>1.34099239169101</v>
          </cell>
          <cell r="U136">
            <v>-4.3629339502467002E-3</v>
          </cell>
          <cell r="V136">
            <v>-6.7584603131816802E-3</v>
          </cell>
          <cell r="W136">
            <v>-1.72632782266849E-2</v>
          </cell>
          <cell r="Y136">
            <v>1.35658202389043</v>
          </cell>
          <cell r="Z136">
            <v>1.35473934295293</v>
          </cell>
          <cell r="AA136">
            <v>1.3410111443027899</v>
          </cell>
          <cell r="AE136">
            <v>-4.3471816178260901E-3</v>
          </cell>
          <cell r="AF136">
            <v>-6.7584603131817904E-3</v>
          </cell>
          <cell r="AG136">
            <v>-1.7234847304456399E-2</v>
          </cell>
          <cell r="BJ136">
            <v>1.7559457804771368E-2</v>
          </cell>
          <cell r="BV136">
            <v>1.6375510960355371E-2</v>
          </cell>
          <cell r="BY136">
            <v>3.3934968765126736E-2</v>
          </cell>
        </row>
        <row r="137">
          <cell r="O137">
            <v>1.35656065472774</v>
          </cell>
          <cell r="P137">
            <v>1.3565449373434499</v>
          </cell>
          <cell r="Q137">
            <v>1.3430511872425399</v>
          </cell>
          <cell r="U137">
            <v>-6.7264405041693003E-3</v>
          </cell>
          <cell r="V137">
            <v>-8.0699377566465693E-3</v>
          </cell>
          <cell r="W137">
            <v>-1.82690760840837E-2</v>
          </cell>
          <cell r="Y137">
            <v>1.35658202389043</v>
          </cell>
          <cell r="Z137">
            <v>1.3565449373434499</v>
          </cell>
          <cell r="AA137">
            <v>1.3430511872425399</v>
          </cell>
          <cell r="AE137">
            <v>-6.7106881717485904E-3</v>
          </cell>
          <cell r="AF137">
            <v>-8.0699377566467896E-3</v>
          </cell>
          <cell r="AG137">
            <v>-1.82550920519726E-2</v>
          </cell>
          <cell r="BJ137">
            <v>1.5195951250848945E-2</v>
          </cell>
          <cell r="BV137">
            <v>1.6375510960355371E-2</v>
          </cell>
          <cell r="BY137">
            <v>3.1571462211204313E-2</v>
          </cell>
        </row>
        <row r="138">
          <cell r="O138">
            <v>1.35656065472774</v>
          </cell>
          <cell r="P138">
            <v>1.35599045935315</v>
          </cell>
          <cell r="Q138">
            <v>1.34475414560003</v>
          </cell>
          <cell r="U138">
            <v>3.2225996004807702E-3</v>
          </cell>
          <cell r="V138">
            <v>3.2110133324505202E-3</v>
          </cell>
          <cell r="W138">
            <v>-6.7859357349600502E-3</v>
          </cell>
          <cell r="Y138">
            <v>1.35658202389043</v>
          </cell>
          <cell r="Z138">
            <v>1.35599045935315</v>
          </cell>
          <cell r="AA138">
            <v>1.34475414560003</v>
          </cell>
          <cell r="AE138">
            <v>3.2383519329012402E-3</v>
          </cell>
          <cell r="AF138">
            <v>3.2110133324505202E-3</v>
          </cell>
          <cell r="AG138">
            <v>-6.7859357349600502E-3</v>
          </cell>
          <cell r="BJ138">
            <v>2.5144991355498945E-2</v>
          </cell>
          <cell r="BV138">
            <v>1.6375510960355371E-2</v>
          </cell>
          <cell r="BY138">
            <v>4.1520502315854316E-2</v>
          </cell>
        </row>
        <row r="139">
          <cell r="O139">
            <v>1.35656065472774</v>
          </cell>
          <cell r="P139">
            <v>1.3558278189574999</v>
          </cell>
          <cell r="Q139">
            <v>1.34616577558373</v>
          </cell>
          <cell r="U139">
            <v>5.1952498997074699E-3</v>
          </cell>
          <cell r="V139">
            <v>4.7748372630364204E-3</v>
          </cell>
          <cell r="W139">
            <v>-3.5461113851811199E-3</v>
          </cell>
          <cell r="Y139">
            <v>1.35658202389043</v>
          </cell>
          <cell r="Z139">
            <v>1.3558278189574999</v>
          </cell>
          <cell r="AA139">
            <v>1.34616577558373</v>
          </cell>
          <cell r="AE139">
            <v>5.2110022321280999E-3</v>
          </cell>
          <cell r="AF139">
            <v>4.7748372630362001E-3</v>
          </cell>
          <cell r="AG139">
            <v>-3.5461113851811199E-3</v>
          </cell>
          <cell r="BJ139">
            <v>2.7117641654725775E-2</v>
          </cell>
          <cell r="BV139">
            <v>1.6375510960355371E-2</v>
          </cell>
          <cell r="BY139">
            <v>4.3493152615081146E-2</v>
          </cell>
        </row>
        <row r="140">
          <cell r="O140">
            <v>1.35656065472774</v>
          </cell>
          <cell r="P140">
            <v>1.35500961423732</v>
          </cell>
          <cell r="Q140">
            <v>1.34684836823622</v>
          </cell>
          <cell r="U140">
            <v>1.4724005040516601E-2</v>
          </cell>
          <cell r="V140">
            <v>1.41836430715885E-2</v>
          </cell>
          <cell r="W140">
            <v>7.0318240765172898E-3</v>
          </cell>
          <cell r="Y140">
            <v>1.35658202389043</v>
          </cell>
          <cell r="Z140">
            <v>1.35500961423732</v>
          </cell>
          <cell r="AA140">
            <v>1.34684836823622</v>
          </cell>
          <cell r="AE140">
            <v>1.4739757372937401E-2</v>
          </cell>
          <cell r="AF140">
            <v>1.4183643071588301E-2</v>
          </cell>
          <cell r="AG140">
            <v>7.0318240765172898E-3</v>
          </cell>
          <cell r="BJ140">
            <v>3.6646396795534976E-2</v>
          </cell>
          <cell r="BV140">
            <v>1.6375510960355371E-2</v>
          </cell>
          <cell r="BY140">
            <v>5.3021907755890343E-2</v>
          </cell>
        </row>
        <row r="141">
          <cell r="O141">
            <v>1.35656065472774</v>
          </cell>
          <cell r="P141">
            <v>1.35462666687058</v>
          </cell>
          <cell r="Q141">
            <v>1.3478654357450399</v>
          </cell>
          <cell r="U141">
            <v>1.0583779932795599E-2</v>
          </cell>
          <cell r="V141">
            <v>9.4397633625155491E-3</v>
          </cell>
          <cell r="W141">
            <v>3.39853478914608E-3</v>
          </cell>
          <cell r="Y141">
            <v>1.35658202389043</v>
          </cell>
          <cell r="Z141">
            <v>1.35462666687058</v>
          </cell>
          <cell r="AA141">
            <v>1.3478654357450399</v>
          </cell>
          <cell r="AE141">
            <v>1.05995322652163E-2</v>
          </cell>
          <cell r="AF141">
            <v>9.4397633625155491E-3</v>
          </cell>
          <cell r="AG141">
            <v>3.39853478914608E-3</v>
          </cell>
          <cell r="BJ141">
            <v>3.6646396795534976E-2</v>
          </cell>
          <cell r="BV141">
            <v>2.0515736068076371E-2</v>
          </cell>
          <cell r="BY141">
            <v>5.716213286361134E-2</v>
          </cell>
        </row>
        <row r="142">
          <cell r="O142">
            <v>1.35656065472774</v>
          </cell>
          <cell r="P142">
            <v>1.3544571988079399</v>
          </cell>
          <cell r="Q142">
            <v>1.3491280764068301</v>
          </cell>
          <cell r="U142">
            <v>5.9322613107059604E-3</v>
          </cell>
          <cell r="V142">
            <v>4.50558881944113E-3</v>
          </cell>
          <cell r="W142">
            <v>-4.9812255186115198E-4</v>
          </cell>
          <cell r="Y142">
            <v>1.35658202389043</v>
          </cell>
          <cell r="Z142">
            <v>1.3544571988079399</v>
          </cell>
          <cell r="AA142">
            <v>1.3491280764068301</v>
          </cell>
          <cell r="AE142">
            <v>5.9480136431266E-3</v>
          </cell>
          <cell r="AF142">
            <v>4.50558881944113E-3</v>
          </cell>
          <cell r="AG142">
            <v>-4.9812255186115198E-4</v>
          </cell>
          <cell r="BJ142">
            <v>3.6646396795534976E-2</v>
          </cell>
          <cell r="BV142">
            <v>2.5167254690166011E-2</v>
          </cell>
          <cell r="BY142">
            <v>6.1813651485700977E-2</v>
          </cell>
        </row>
        <row r="143">
          <cell r="O143">
            <v>1.35656065472774</v>
          </cell>
          <cell r="P143">
            <v>1.35501022723885</v>
          </cell>
          <cell r="Q143">
            <v>1.3505910028339301</v>
          </cell>
          <cell r="U143">
            <v>-4.5676917236357501E-4</v>
          </cell>
          <cell r="V143">
            <v>-2.0085526393428298E-3</v>
          </cell>
          <cell r="W143">
            <v>-5.95082096860821E-3</v>
          </cell>
          <cell r="Y143">
            <v>1.35658202389043</v>
          </cell>
          <cell r="Z143">
            <v>1.35501022723885</v>
          </cell>
          <cell r="AA143">
            <v>1.3505910028339301</v>
          </cell>
          <cell r="AE143">
            <v>-4.4101683994290502E-4</v>
          </cell>
          <cell r="AF143">
            <v>-2.0085526393428298E-3</v>
          </cell>
          <cell r="AG143">
            <v>-5.95082096860821E-3</v>
          </cell>
          <cell r="BJ143">
            <v>3.6646396795534976E-2</v>
          </cell>
          <cell r="BV143">
            <v>2.5167254690166011E-2</v>
          </cell>
          <cell r="BY143">
            <v>6.1813651485700977E-2</v>
          </cell>
        </row>
        <row r="144">
          <cell r="O144">
            <v>1.35656065472774</v>
          </cell>
          <cell r="P144">
            <v>1.3546666444384099</v>
          </cell>
          <cell r="Q144">
            <v>1.35263743283493</v>
          </cell>
          <cell r="U144">
            <v>-6.0784865146777303E-3</v>
          </cell>
          <cell r="V144">
            <v>-7.2220506886147501E-3</v>
          </cell>
          <cell r="W144">
            <v>-1.04887762398725E-2</v>
          </cell>
          <cell r="Y144">
            <v>1.35658202389043</v>
          </cell>
          <cell r="Z144">
            <v>1.3546666444384099</v>
          </cell>
          <cell r="AA144">
            <v>1.35263743283493</v>
          </cell>
          <cell r="AE144">
            <v>-6.0627341822570898E-3</v>
          </cell>
          <cell r="AF144">
            <v>-7.2220506886145298E-3</v>
          </cell>
          <cell r="AG144">
            <v>-1.04887762398725E-2</v>
          </cell>
          <cell r="BJ144">
            <v>3.1024679453220877E-2</v>
          </cell>
          <cell r="BV144">
            <v>2.5167254690166011E-2</v>
          </cell>
          <cell r="BY144">
            <v>5.6191934143386878E-2</v>
          </cell>
        </row>
        <row r="145">
          <cell r="O145">
            <v>1.35656065472774</v>
          </cell>
          <cell r="P145">
            <v>1.35279288020605</v>
          </cell>
          <cell r="Q145">
            <v>1.3530538736797499</v>
          </cell>
          <cell r="U145">
            <v>6.0099419421364301E-3</v>
          </cell>
          <cell r="V145">
            <v>4.6127808866887002E-3</v>
          </cell>
          <cell r="W145">
            <v>3.1137161894319401E-3</v>
          </cell>
          <cell r="Y145">
            <v>1.35658202389043</v>
          </cell>
          <cell r="Z145">
            <v>1.35279288020605</v>
          </cell>
          <cell r="AA145">
            <v>1.3530538736797499</v>
          </cell>
          <cell r="AE145">
            <v>6.02569427455693E-3</v>
          </cell>
          <cell r="AF145">
            <v>4.6127808866887002E-3</v>
          </cell>
          <cell r="AG145">
            <v>3.1137161894319401E-3</v>
          </cell>
          <cell r="BJ145">
            <v>4.3113107910035073E-2</v>
          </cell>
          <cell r="BV145">
            <v>2.5167254690166011E-2</v>
          </cell>
          <cell r="BY145">
            <v>6.8280362600201067E-2</v>
          </cell>
        </row>
        <row r="146">
          <cell r="O146">
            <v>1.35656065472774</v>
          </cell>
          <cell r="P146">
            <v>1.3522950177142401</v>
          </cell>
          <cell r="Q146">
            <v>1.3535171803335899</v>
          </cell>
          <cell r="U146">
            <v>-7.0218393559384599E-4</v>
          </cell>
          <cell r="V146">
            <v>-3.48349460765904E-3</v>
          </cell>
          <cell r="W146">
            <v>-3.2905838494025502E-3</v>
          </cell>
          <cell r="Y146">
            <v>1.35658202389043</v>
          </cell>
          <cell r="Z146">
            <v>1.3522950177142401</v>
          </cell>
          <cell r="AA146">
            <v>1.3535171803335899</v>
          </cell>
          <cell r="AE146">
            <v>-6.8643160317328599E-4</v>
          </cell>
          <cell r="AF146">
            <v>-3.4834946076589299E-3</v>
          </cell>
          <cell r="AG146">
            <v>-3.2905838494025502E-3</v>
          </cell>
          <cell r="BJ146">
            <v>4.3113107910035073E-2</v>
          </cell>
          <cell r="BV146">
            <v>3.187938056789625E-2</v>
          </cell>
          <cell r="BY146">
            <v>7.4992488477931302E-2</v>
          </cell>
        </row>
        <row r="147">
          <cell r="O147">
            <v>1.35656065472774</v>
          </cell>
          <cell r="P147">
            <v>1.3525915135398101</v>
          </cell>
          <cell r="Q147">
            <v>1.35456822544163</v>
          </cell>
          <cell r="U147">
            <v>-8.8950787443279108E-3</v>
          </cell>
          <cell r="V147">
            <v>-1.20444828138816E-2</v>
          </cell>
          <cell r="W147">
            <v>-1.1141121742969801E-2</v>
          </cell>
          <cell r="Y147">
            <v>1.35658202389043</v>
          </cell>
          <cell r="Z147">
            <v>1.3525915135398101</v>
          </cell>
          <cell r="AA147">
            <v>1.35456822544163</v>
          </cell>
          <cell r="AE147">
            <v>-8.87932641190722E-3</v>
          </cell>
          <cell r="AF147">
            <v>-1.20444828138813E-2</v>
          </cell>
          <cell r="AG147">
            <v>-1.1141121742969801E-2</v>
          </cell>
          <cell r="BJ147">
            <v>3.492021310130107E-2</v>
          </cell>
          <cell r="BV147">
            <v>3.187938056789625E-2</v>
          </cell>
          <cell r="BY147">
            <v>6.6799593669197299E-2</v>
          </cell>
        </row>
        <row r="148">
          <cell r="O148">
            <v>1.35656065472774</v>
          </cell>
          <cell r="P148">
            <v>1.3530326907677199</v>
          </cell>
          <cell r="Q148">
            <v>1.35451157506044</v>
          </cell>
          <cell r="U148">
            <v>-3.4761524640634201E-5</v>
          </cell>
          <cell r="V148">
            <v>-2.9649358236844099E-3</v>
          </cell>
          <cell r="W148">
            <v>-1.5045770390434499E-3</v>
          </cell>
          <cell r="Y148">
            <v>1.35658202389043</v>
          </cell>
          <cell r="Z148">
            <v>1.3530326907677199</v>
          </cell>
          <cell r="AA148">
            <v>1.35451157506044</v>
          </cell>
          <cell r="AE148">
            <v>-1.9009192219938799E-5</v>
          </cell>
          <cell r="AF148">
            <v>-2.96493582368418E-3</v>
          </cell>
          <cell r="AG148">
            <v>-1.50457703904367E-3</v>
          </cell>
          <cell r="BJ148">
            <v>4.3780530320988165E-2</v>
          </cell>
          <cell r="BV148">
            <v>3.187938056789625E-2</v>
          </cell>
          <cell r="BY148">
            <v>7.5659910888884394E-2</v>
          </cell>
        </row>
        <row r="149">
          <cell r="O149">
            <v>1.35656065472774</v>
          </cell>
          <cell r="P149">
            <v>1.35323636120025</v>
          </cell>
          <cell r="Q149">
            <v>1.35453209007888</v>
          </cell>
          <cell r="U149">
            <v>3.6871937017311398E-3</v>
          </cell>
          <cell r="V149">
            <v>1.0831380344751701E-3</v>
          </cell>
          <cell r="W149">
            <v>2.1755555867597198E-3</v>
          </cell>
          <cell r="Y149">
            <v>1.35658202389043</v>
          </cell>
          <cell r="Z149">
            <v>1.35323636120025</v>
          </cell>
          <cell r="AA149">
            <v>1.35453209007888</v>
          </cell>
          <cell r="AE149">
            <v>3.7029460341516801E-3</v>
          </cell>
          <cell r="AF149">
            <v>1.0831380344751701E-3</v>
          </cell>
          <cell r="AG149">
            <v>2.1755555867597198E-3</v>
          </cell>
          <cell r="BJ149">
            <v>4.7502485547359953E-2</v>
          </cell>
          <cell r="BV149">
            <v>3.187938056789625E-2</v>
          </cell>
          <cell r="BY149">
            <v>7.9381866115256189E-2</v>
          </cell>
        </row>
        <row r="150">
          <cell r="O150">
            <v>1.35656065472774</v>
          </cell>
          <cell r="P150">
            <v>1.3547759268984301</v>
          </cell>
          <cell r="Q150">
            <v>1.3548927705678699</v>
          </cell>
          <cell r="U150">
            <v>3.2724486281645198E-3</v>
          </cell>
          <cell r="V150">
            <v>8.1891046600699401E-4</v>
          </cell>
          <cell r="W150">
            <v>1.7759560929452699E-3</v>
          </cell>
          <cell r="Y150">
            <v>1.35658202389043</v>
          </cell>
          <cell r="Z150">
            <v>1.3547759268984301</v>
          </cell>
          <cell r="AA150">
            <v>1.3548927705678699</v>
          </cell>
          <cell r="AE150">
            <v>3.28820096058526E-3</v>
          </cell>
          <cell r="AF150">
            <v>8.1891046600699401E-4</v>
          </cell>
          <cell r="AG150">
            <v>1.7759560929452699E-3</v>
          </cell>
          <cell r="BJ150">
            <v>4.7502485547359953E-2</v>
          </cell>
          <cell r="BV150">
            <v>3.187938056789625E-2</v>
          </cell>
          <cell r="BY150">
            <v>7.9381866115256189E-2</v>
          </cell>
        </row>
        <row r="151">
          <cell r="O151">
            <v>1.35656065472774</v>
          </cell>
          <cell r="P151">
            <v>1.35570259018935</v>
          </cell>
          <cell r="Q151">
            <v>1.3551646285299701</v>
          </cell>
          <cell r="U151">
            <v>3.7038438436334501E-3</v>
          </cell>
          <cell r="V151">
            <v>2.3873506430635602E-3</v>
          </cell>
          <cell r="W151">
            <v>2.47359267673202E-3</v>
          </cell>
          <cell r="Y151">
            <v>1.35658202389043</v>
          </cell>
          <cell r="Z151">
            <v>1.35570259018935</v>
          </cell>
          <cell r="AA151">
            <v>1.3551646285299701</v>
          </cell>
          <cell r="AE151">
            <v>3.7195961760541599E-3</v>
          </cell>
          <cell r="AF151">
            <v>2.3873506430635602E-3</v>
          </cell>
          <cell r="AG151">
            <v>2.47359267673202E-3</v>
          </cell>
          <cell r="BJ151">
            <v>4.7502485547359953E-2</v>
          </cell>
          <cell r="BV151">
            <v>3.187938056789625E-2</v>
          </cell>
          <cell r="BY151">
            <v>7.9381866115256189E-2</v>
          </cell>
        </row>
        <row r="152">
          <cell r="O152">
            <v>1.35656065472774</v>
          </cell>
          <cell r="P152">
            <v>1.3563040206304899</v>
          </cell>
          <cell r="Q152">
            <v>1.35538060971921</v>
          </cell>
          <cell r="U152">
            <v>1.4823036061913199E-3</v>
          </cell>
          <cell r="V152">
            <v>8.4957404453903996E-4</v>
          </cell>
          <cell r="W152">
            <v>4.5268137290267399E-4</v>
          </cell>
          <cell r="Y152">
            <v>1.35658202389043</v>
          </cell>
          <cell r="Z152">
            <v>1.3563040206304899</v>
          </cell>
          <cell r="AA152">
            <v>1.35538060971921</v>
          </cell>
          <cell r="AE152">
            <v>1.49805593861192E-3</v>
          </cell>
          <cell r="AF152">
            <v>8.4957404453903996E-4</v>
          </cell>
          <cell r="AG152">
            <v>4.5268137290267399E-4</v>
          </cell>
          <cell r="BJ152">
            <v>4.7502485547359953E-2</v>
          </cell>
          <cell r="BV152">
            <v>3.4100920805338338E-2</v>
          </cell>
          <cell r="BY152">
            <v>8.1603406352698277E-2</v>
          </cell>
        </row>
        <row r="153">
          <cell r="O153">
            <v>1.35656065472774</v>
          </cell>
          <cell r="P153">
            <v>1.3554776965559701</v>
          </cell>
          <cell r="Q153">
            <v>1.3552439618974099</v>
          </cell>
          <cell r="U153">
            <v>5.6503766757060999E-3</v>
          </cell>
          <cell r="V153">
            <v>5.4611788138669596E-3</v>
          </cell>
          <cell r="W153">
            <v>4.7801180912204E-3</v>
          </cell>
          <cell r="Y153">
            <v>1.35658202389043</v>
          </cell>
          <cell r="Z153">
            <v>1.3554776965559701</v>
          </cell>
          <cell r="AA153">
            <v>1.3552439618974099</v>
          </cell>
          <cell r="AE153">
            <v>5.6661290081267803E-3</v>
          </cell>
          <cell r="AF153">
            <v>5.4611788138669596E-3</v>
          </cell>
          <cell r="AG153">
            <v>4.7801180912201797E-3</v>
          </cell>
          <cell r="BJ153">
            <v>4.7502485547359953E-2</v>
          </cell>
          <cell r="BV153">
            <v>2.993284773582363E-2</v>
          </cell>
          <cell r="BY153">
            <v>7.7435333283183569E-2</v>
          </cell>
        </row>
        <row r="154">
          <cell r="O154">
            <v>1.35656065472774</v>
          </cell>
          <cell r="P154">
            <v>1.3529985604679</v>
          </cell>
          <cell r="Q154">
            <v>1.35383260245316</v>
          </cell>
          <cell r="U154">
            <v>1.22529218111099E-2</v>
          </cell>
          <cell r="V154">
            <v>1.14542913427592E-2</v>
          </cell>
          <cell r="W154">
            <v>1.1281839362373799E-2</v>
          </cell>
          <cell r="Y154">
            <v>1.35658202389043</v>
          </cell>
          <cell r="Z154">
            <v>1.3529985604679</v>
          </cell>
          <cell r="AA154">
            <v>1.35383260245316</v>
          </cell>
          <cell r="AE154">
            <v>1.22686741435305E-2</v>
          </cell>
          <cell r="AF154">
            <v>1.14542913427592E-2</v>
          </cell>
          <cell r="AG154">
            <v>1.1281839362373799E-2</v>
          </cell>
          <cell r="BJ154">
            <v>4.7502485547359953E-2</v>
          </cell>
          <cell r="BV154">
            <v>2.3330302600419819E-2</v>
          </cell>
          <cell r="BY154">
            <v>7.0832788147779754E-2</v>
          </cell>
        </row>
        <row r="155">
          <cell r="O155">
            <v>1.35656065472774</v>
          </cell>
          <cell r="P155">
            <v>1.3526576152980401</v>
          </cell>
          <cell r="Q155">
            <v>1.3527252477520399</v>
          </cell>
          <cell r="U155">
            <v>8.5415999414963709E-3</v>
          </cell>
          <cell r="V155">
            <v>5.91231891898734E-3</v>
          </cell>
          <cell r="W155">
            <v>6.5285686674576701E-3</v>
          </cell>
          <cell r="Y155">
            <v>1.35658202389043</v>
          </cell>
          <cell r="Z155">
            <v>1.3526576152980401</v>
          </cell>
          <cell r="AA155">
            <v>1.3527252477520399</v>
          </cell>
          <cell r="AE155">
            <v>8.5573522739172698E-3</v>
          </cell>
          <cell r="AF155">
            <v>5.91231891898734E-3</v>
          </cell>
          <cell r="AG155">
            <v>6.5285686674576701E-3</v>
          </cell>
          <cell r="BJ155">
            <v>4.7502485547359953E-2</v>
          </cell>
          <cell r="BV155">
            <v>2.7041624470033221E-2</v>
          </cell>
          <cell r="BY155">
            <v>7.4544110017393153E-2</v>
          </cell>
        </row>
        <row r="156">
          <cell r="O156">
            <v>1.35656065472774</v>
          </cell>
          <cell r="P156">
            <v>1.3513728678847301</v>
          </cell>
          <cell r="Q156">
            <v>1.3518339427994901</v>
          </cell>
          <cell r="U156">
            <v>8.8068589655517608E-3</v>
          </cell>
          <cell r="V156">
            <v>5.9255539240826299E-3</v>
          </cell>
          <cell r="W156">
            <v>5.9755523586441199E-3</v>
          </cell>
          <cell r="Y156">
            <v>1.35658202389043</v>
          </cell>
          <cell r="Z156">
            <v>1.3513728678847301</v>
          </cell>
          <cell r="AA156">
            <v>1.3518339427994901</v>
          </cell>
          <cell r="AE156">
            <v>8.8226112979724308E-3</v>
          </cell>
          <cell r="AF156">
            <v>5.9255539240826299E-3</v>
          </cell>
          <cell r="AG156">
            <v>5.9755523586441199E-3</v>
          </cell>
          <cell r="BJ156">
            <v>4.7502485547359953E-2</v>
          </cell>
          <cell r="BV156">
            <v>2.6776365445978043E-2</v>
          </cell>
          <cell r="BY156">
            <v>7.4278850993337975E-2</v>
          </cell>
        </row>
        <row r="157">
          <cell r="O157">
            <v>1.35656065472774</v>
          </cell>
          <cell r="P157">
            <v>1.34837927547326</v>
          </cell>
          <cell r="Q157">
            <v>1.35048539450653</v>
          </cell>
          <cell r="U157">
            <v>1.3219755789545099E-2</v>
          </cell>
          <cell r="V157">
            <v>9.3882044265423004E-3</v>
          </cell>
          <cell r="W157">
            <v>9.7293362388819402E-3</v>
          </cell>
          <cell r="Y157">
            <v>1.35658202389043</v>
          </cell>
          <cell r="Z157">
            <v>1.34837927547326</v>
          </cell>
          <cell r="AA157">
            <v>1.35048539450653</v>
          </cell>
          <cell r="AE157">
            <v>1.32355081219654E-2</v>
          </cell>
          <cell r="AF157">
            <v>9.3882044265423004E-3</v>
          </cell>
          <cell r="AG157">
            <v>9.7293362388819402E-3</v>
          </cell>
          <cell r="BJ157">
            <v>4.7502485547359953E-2</v>
          </cell>
          <cell r="BV157">
            <v>2.2363468621984892E-2</v>
          </cell>
          <cell r="BY157">
            <v>6.9865954169344824E-2</v>
          </cell>
        </row>
        <row r="158">
          <cell r="O158">
            <v>1.35656065472774</v>
          </cell>
          <cell r="P158">
            <v>1.34717598811141</v>
          </cell>
          <cell r="Q158">
            <v>1.35010433943956</v>
          </cell>
          <cell r="U158">
            <v>8.8746343424087794E-3</v>
          </cell>
          <cell r="V158">
            <v>2.8254026299447299E-3</v>
          </cell>
          <cell r="W158">
            <v>4.3861474010552896E-3</v>
          </cell>
          <cell r="Y158">
            <v>1.35658202389043</v>
          </cell>
          <cell r="Z158">
            <v>1.34717598811141</v>
          </cell>
          <cell r="AA158">
            <v>1.35010433943956</v>
          </cell>
          <cell r="AE158">
            <v>8.8903866748293592E-3</v>
          </cell>
          <cell r="AF158">
            <v>2.82540262994451E-3</v>
          </cell>
          <cell r="AG158">
            <v>4.3861474010552896E-3</v>
          </cell>
          <cell r="BJ158">
            <v>4.7502485547359953E-2</v>
          </cell>
          <cell r="BV158">
            <v>2.6708590069121092E-2</v>
          </cell>
          <cell r="BY158">
            <v>7.421107561648102E-2</v>
          </cell>
        </row>
        <row r="159">
          <cell r="O159">
            <v>1.35656065472774</v>
          </cell>
          <cell r="P159">
            <v>1.3469571138334699</v>
          </cell>
          <cell r="Q159">
            <v>1.35009673751686</v>
          </cell>
          <cell r="U159">
            <v>5.3079164408493303E-3</v>
          </cell>
          <cell r="V159">
            <v>-1.6341090184425499E-3</v>
          </cell>
          <cell r="W159">
            <v>5.3722812347071602E-4</v>
          </cell>
          <cell r="Y159">
            <v>1.35658202389043</v>
          </cell>
          <cell r="Z159">
            <v>1.3469571138334699</v>
          </cell>
          <cell r="AA159">
            <v>1.35009673751686</v>
          </cell>
          <cell r="AE159">
            <v>5.3236687732700098E-3</v>
          </cell>
          <cell r="AF159">
            <v>-1.6341090184425499E-3</v>
          </cell>
          <cell r="AG159">
            <v>5.3722812347071602E-4</v>
          </cell>
          <cell r="BJ159">
            <v>4.7502485547359953E-2</v>
          </cell>
          <cell r="BV159">
            <v>3.0275307970680343E-2</v>
          </cell>
          <cell r="BY159">
            <v>7.7777793518040275E-2</v>
          </cell>
        </row>
        <row r="160">
          <cell r="O160">
            <v>1.35656065472774</v>
          </cell>
          <cell r="P160">
            <v>1.34653398267943</v>
          </cell>
          <cell r="Q160">
            <v>1.3506549547889299</v>
          </cell>
          <cell r="U160">
            <v>6.4067259041025396E-3</v>
          </cell>
          <cell r="V160">
            <v>-6.9778171188925205E-4</v>
          </cell>
          <cell r="W160">
            <v>1.6304069521983599E-3</v>
          </cell>
          <cell r="Y160">
            <v>1.35658202389043</v>
          </cell>
          <cell r="Z160">
            <v>1.34653398267943</v>
          </cell>
          <cell r="AA160">
            <v>1.3506549547889299</v>
          </cell>
          <cell r="AE160">
            <v>6.4224782365232399E-3</v>
          </cell>
          <cell r="AF160">
            <v>-6.9778171188925205E-4</v>
          </cell>
          <cell r="AG160">
            <v>1.6304069521983599E-3</v>
          </cell>
          <cell r="BJ160">
            <v>4.7502485547359953E-2</v>
          </cell>
          <cell r="BV160">
            <v>2.9176498507427252E-2</v>
          </cell>
          <cell r="BY160">
            <v>7.667898405478718E-2</v>
          </cell>
        </row>
        <row r="161">
          <cell r="O161">
            <v>1.35656065472774</v>
          </cell>
          <cell r="P161">
            <v>1.3462602397525401</v>
          </cell>
          <cell r="Q161">
            <v>1.35098141497094</v>
          </cell>
          <cell r="U161">
            <v>5.73130448332219E-3</v>
          </cell>
          <cell r="V161">
            <v>-1.68739103406323E-3</v>
          </cell>
          <cell r="W161">
            <v>1.3683647262620301E-3</v>
          </cell>
          <cell r="Y161">
            <v>1.35658202389043</v>
          </cell>
          <cell r="Z161">
            <v>1.3462602397525401</v>
          </cell>
          <cell r="AA161">
            <v>1.35098141497094</v>
          </cell>
          <cell r="AE161">
            <v>5.7470568157427697E-3</v>
          </cell>
          <cell r="AF161">
            <v>-1.68739103406323E-3</v>
          </cell>
          <cell r="AG161">
            <v>1.3683647262620301E-3</v>
          </cell>
          <cell r="BJ161">
            <v>4.7502485547359953E-2</v>
          </cell>
          <cell r="BV161">
            <v>2.9851919928207592E-2</v>
          </cell>
          <cell r="BY161">
            <v>7.7354405475567517E-2</v>
          </cell>
        </row>
        <row r="162">
          <cell r="O162">
            <v>1.35656065472774</v>
          </cell>
          <cell r="P162">
            <v>1.3463841146267601</v>
          </cell>
          <cell r="Q162">
            <v>1.3513440676286299</v>
          </cell>
          <cell r="U162">
            <v>5.6821297307886002E-4</v>
          </cell>
          <cell r="V162">
            <v>-7.0537976922310404E-3</v>
          </cell>
          <cell r="W162">
            <v>-3.5530508965377302E-3</v>
          </cell>
          <cell r="Y162">
            <v>1.35658202389043</v>
          </cell>
          <cell r="Z162">
            <v>1.3463841146267601</v>
          </cell>
          <cell r="AA162">
            <v>1.3513440676286299</v>
          </cell>
          <cell r="AE162">
            <v>5.8396530549973595E-4</v>
          </cell>
          <cell r="AF162">
            <v>-7.0537976922310404E-3</v>
          </cell>
          <cell r="AG162">
            <v>-3.5530508965377302E-3</v>
          </cell>
          <cell r="BJ162">
            <v>4.7502485547359953E-2</v>
          </cell>
          <cell r="BV162">
            <v>3.5015011438450788E-2</v>
          </cell>
          <cell r="BY162">
            <v>8.251749698581072E-2</v>
          </cell>
        </row>
        <row r="163">
          <cell r="O163">
            <v>1.35656065472774</v>
          </cell>
          <cell r="P163">
            <v>1.34687260905789</v>
          </cell>
          <cell r="Q163">
            <v>1.35117515280693</v>
          </cell>
          <cell r="U163">
            <v>2.0355361819037699E-3</v>
          </cell>
          <cell r="V163">
            <v>-5.4944646536589101E-3</v>
          </cell>
          <cell r="W163">
            <v>-1.8173272583837999E-3</v>
          </cell>
          <cell r="Y163">
            <v>1.35658202389043</v>
          </cell>
          <cell r="Z163">
            <v>1.34687260905789</v>
          </cell>
          <cell r="AA163">
            <v>1.35117515280693</v>
          </cell>
          <cell r="AE163">
            <v>2.0512885143245201E-3</v>
          </cell>
          <cell r="AF163">
            <v>-5.4944646536589101E-3</v>
          </cell>
          <cell r="AG163">
            <v>-1.8173272583837999E-3</v>
          </cell>
          <cell r="BJ163">
            <v>4.8969808756184695E-2</v>
          </cell>
          <cell r="BV163">
            <v>3.5015011438450788E-2</v>
          </cell>
          <cell r="BY163">
            <v>8.3984820194635462E-2</v>
          </cell>
        </row>
        <row r="164">
          <cell r="O164">
            <v>1.35656065472774</v>
          </cell>
          <cell r="P164">
            <v>1.3477788890040301</v>
          </cell>
          <cell r="Q164">
            <v>1.35038872473597</v>
          </cell>
          <cell r="U164">
            <v>5.5126087661015897E-3</v>
          </cell>
          <cell r="V164">
            <v>-1.6546383577985999E-3</v>
          </cell>
          <cell r="W164">
            <v>1.5347398711714701E-3</v>
          </cell>
          <cell r="Y164">
            <v>1.35658202389043</v>
          </cell>
          <cell r="Z164">
            <v>1.3477788890040301</v>
          </cell>
          <cell r="AA164">
            <v>1.35038872473597</v>
          </cell>
          <cell r="AE164">
            <v>5.5283610985221304E-3</v>
          </cell>
          <cell r="AF164">
            <v>-1.6546383577983801E-3</v>
          </cell>
          <cell r="AG164">
            <v>1.53473987117124E-3</v>
          </cell>
          <cell r="BJ164">
            <v>5.2446881340382293E-2</v>
          </cell>
          <cell r="BV164">
            <v>3.5015011438450788E-2</v>
          </cell>
          <cell r="BY164">
            <v>8.7461892778833067E-2</v>
          </cell>
        </row>
        <row r="165">
          <cell r="O165">
            <v>1.35656065472774</v>
          </cell>
          <cell r="P165">
            <v>1.3478452954793101</v>
          </cell>
          <cell r="Q165">
            <v>1.35025145538868</v>
          </cell>
          <cell r="U165">
            <v>8.0480017106346596E-3</v>
          </cell>
          <cell r="V165">
            <v>1.55340556290904E-3</v>
          </cell>
          <cell r="W165">
            <v>3.4879307069820898E-3</v>
          </cell>
          <cell r="Y165">
            <v>1.35658202389043</v>
          </cell>
          <cell r="Z165">
            <v>1.3478452954793101</v>
          </cell>
          <cell r="AA165">
            <v>1.35025145538868</v>
          </cell>
          <cell r="AE165">
            <v>8.0637540430554804E-3</v>
          </cell>
          <cell r="AF165">
            <v>1.5534055629092599E-3</v>
          </cell>
          <cell r="AG165">
            <v>3.4879307069820898E-3</v>
          </cell>
          <cell r="BJ165">
            <v>5.2446881340382293E-2</v>
          </cell>
          <cell r="BV165">
            <v>3.5015011438450788E-2</v>
          </cell>
          <cell r="BY165">
            <v>8.7461892778833067E-2</v>
          </cell>
        </row>
        <row r="166">
          <cell r="O166">
            <v>1.35656065472774</v>
          </cell>
          <cell r="P166">
            <v>1.3486579172808599</v>
          </cell>
          <cell r="Q166">
            <v>1.3500153925828</v>
          </cell>
          <cell r="U166">
            <v>2.7817482733309899E-3</v>
          </cell>
          <cell r="V166">
            <v>-3.6635780424375099E-3</v>
          </cell>
          <cell r="W166">
            <v>-1.8799796251725901E-3</v>
          </cell>
          <cell r="Y166">
            <v>1.35658202389043</v>
          </cell>
          <cell r="Z166">
            <v>1.3486579172808599</v>
          </cell>
          <cell r="AA166">
            <v>1.3500153925828</v>
          </cell>
          <cell r="AE166">
            <v>2.79750060575159E-3</v>
          </cell>
          <cell r="AF166">
            <v>-3.6635780424375099E-3</v>
          </cell>
          <cell r="AG166">
            <v>-1.8799796251725901E-3</v>
          </cell>
          <cell r="BJ166">
            <v>5.2446881340382293E-2</v>
          </cell>
          <cell r="BV166">
            <v>4.0281264875754487E-2</v>
          </cell>
          <cell r="BY166">
            <v>9.2728146216136773E-2</v>
          </cell>
        </row>
        <row r="167">
          <cell r="O167">
            <v>1.35656065472774</v>
          </cell>
          <cell r="P167">
            <v>1.34951797461903</v>
          </cell>
          <cell r="Q167">
            <v>1.34894862504615</v>
          </cell>
          <cell r="U167">
            <v>6.81595010834942E-3</v>
          </cell>
          <cell r="V167">
            <v>9.7334647601923601E-4</v>
          </cell>
          <cell r="W167">
            <v>1.9793781520018299E-3</v>
          </cell>
          <cell r="Y167">
            <v>1.35658202389043</v>
          </cell>
          <cell r="Z167">
            <v>1.34951797461903</v>
          </cell>
          <cell r="AA167">
            <v>1.34894862504615</v>
          </cell>
          <cell r="AE167">
            <v>6.8317024407700102E-3</v>
          </cell>
          <cell r="AF167">
            <v>9.7334647601945805E-4</v>
          </cell>
          <cell r="AG167">
            <v>1.9793781520018299E-3</v>
          </cell>
          <cell r="BJ167">
            <v>5.6481083175400786E-2</v>
          </cell>
          <cell r="BV167">
            <v>4.0281264875754487E-2</v>
          </cell>
          <cell r="BY167">
            <v>9.6762348051155259E-2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YH_XLV_1"/>
    </sheetNames>
    <sheetDataSet>
      <sheetData sheetId="0">
        <row r="22">
          <cell r="BI22">
            <v>0</v>
          </cell>
        </row>
        <row r="23">
          <cell r="BI23">
            <v>2.5655612473939916E-4</v>
          </cell>
        </row>
        <row r="24">
          <cell r="BI24">
            <v>1.2322882204119003E-3</v>
          </cell>
        </row>
        <row r="25">
          <cell r="BI25">
            <v>-5.0947972912353499E-3</v>
          </cell>
        </row>
        <row r="26">
          <cell r="BI26">
            <v>-2.8633555070699951E-4</v>
          </cell>
        </row>
        <row r="27">
          <cell r="BI27">
            <v>-4.5251554042158998E-4</v>
          </cell>
        </row>
        <row r="28">
          <cell r="BI28">
            <v>1.1289511372309206E-3</v>
          </cell>
        </row>
        <row r="29">
          <cell r="BI29">
            <v>-9.8761185406727979E-4</v>
          </cell>
        </row>
        <row r="30">
          <cell r="BI30">
            <v>-5.4727685673478009E-4</v>
          </cell>
        </row>
        <row r="31">
          <cell r="BI31">
            <v>-5.594905262751998E-4</v>
          </cell>
        </row>
        <row r="32">
          <cell r="BI32">
            <v>1.29597048851968E-3</v>
          </cell>
        </row>
        <row r="33">
          <cell r="BI33">
            <v>7.191482242066994E-5</v>
          </cell>
        </row>
        <row r="34">
          <cell r="BI34">
            <v>9.3164059269089015E-4</v>
          </cell>
        </row>
        <row r="35">
          <cell r="BI35">
            <v>5.1716490161134035E-4</v>
          </cell>
        </row>
        <row r="36">
          <cell r="BI36">
            <v>-1.4985850797733808E-3</v>
          </cell>
        </row>
        <row r="37">
          <cell r="BI37">
            <v>1.5122813474586399E-3</v>
          </cell>
        </row>
        <row r="38">
          <cell r="BI38">
            <v>-9.5908364865202999E-4</v>
          </cell>
        </row>
        <row r="39">
          <cell r="BI39">
            <v>1.9681366196250098E-5</v>
          </cell>
        </row>
        <row r="40">
          <cell r="BI40">
            <v>-1.3677455060214019E-3</v>
          </cell>
        </row>
        <row r="41">
          <cell r="BI41">
            <v>-9.5638973534810032E-4</v>
          </cell>
        </row>
        <row r="42">
          <cell r="BI42">
            <v>3.9978956944260007E-4</v>
          </cell>
        </row>
        <row r="43">
          <cell r="BI43">
            <v>3.1650783210060993E-4</v>
          </cell>
        </row>
        <row r="44">
          <cell r="BI44">
            <v>1.3975054026032982E-3</v>
          </cell>
        </row>
        <row r="45">
          <cell r="BI45">
            <v>0</v>
          </cell>
        </row>
        <row r="46">
          <cell r="BI46">
            <v>0</v>
          </cell>
        </row>
        <row r="47">
          <cell r="BI47">
            <v>0</v>
          </cell>
        </row>
        <row r="48">
          <cell r="BI48">
            <v>0</v>
          </cell>
        </row>
        <row r="49">
          <cell r="BI49">
            <v>0</v>
          </cell>
        </row>
        <row r="50">
          <cell r="BI50">
            <v>0</v>
          </cell>
        </row>
        <row r="51">
          <cell r="BI51">
            <v>0</v>
          </cell>
        </row>
        <row r="52">
          <cell r="BI52">
            <v>0</v>
          </cell>
        </row>
        <row r="53">
          <cell r="BI53">
            <v>0</v>
          </cell>
        </row>
        <row r="54">
          <cell r="BI54">
            <v>0</v>
          </cell>
        </row>
        <row r="55">
          <cell r="BI55">
            <v>0</v>
          </cell>
        </row>
        <row r="56">
          <cell r="BI56">
            <v>0</v>
          </cell>
        </row>
        <row r="57">
          <cell r="BI57">
            <v>0</v>
          </cell>
        </row>
        <row r="58">
          <cell r="BI58">
            <v>0</v>
          </cell>
        </row>
        <row r="59">
          <cell r="BI59">
            <v>0</v>
          </cell>
        </row>
        <row r="60">
          <cell r="BI60">
            <v>0</v>
          </cell>
        </row>
        <row r="61">
          <cell r="BI61">
            <v>0</v>
          </cell>
        </row>
        <row r="62">
          <cell r="BI62">
            <v>0</v>
          </cell>
        </row>
        <row r="63">
          <cell r="BI63">
            <v>0</v>
          </cell>
        </row>
        <row r="64">
          <cell r="BI64">
            <v>0</v>
          </cell>
        </row>
        <row r="65">
          <cell r="BI65">
            <v>0</v>
          </cell>
        </row>
        <row r="66">
          <cell r="BI66">
            <v>0</v>
          </cell>
        </row>
        <row r="67">
          <cell r="BI67">
            <v>0</v>
          </cell>
        </row>
        <row r="68">
          <cell r="BI68">
            <v>0</v>
          </cell>
        </row>
        <row r="69">
          <cell r="BI69">
            <v>0</v>
          </cell>
        </row>
        <row r="70">
          <cell r="BI70">
            <v>0</v>
          </cell>
        </row>
        <row r="71">
          <cell r="BI71">
            <v>0</v>
          </cell>
        </row>
        <row r="72">
          <cell r="BI72">
            <v>0</v>
          </cell>
        </row>
        <row r="73">
          <cell r="BI73">
            <v>0</v>
          </cell>
        </row>
        <row r="74">
          <cell r="BI74">
            <v>0</v>
          </cell>
        </row>
        <row r="75">
          <cell r="BI75">
            <v>0</v>
          </cell>
        </row>
        <row r="76">
          <cell r="BI76">
            <v>0</v>
          </cell>
        </row>
        <row r="77">
          <cell r="BI77">
            <v>0</v>
          </cell>
        </row>
        <row r="78">
          <cell r="BI78">
            <v>0</v>
          </cell>
        </row>
        <row r="79">
          <cell r="BI79">
            <v>0</v>
          </cell>
        </row>
        <row r="80">
          <cell r="BI80">
            <v>0</v>
          </cell>
        </row>
        <row r="81">
          <cell r="BI81">
            <v>0</v>
          </cell>
        </row>
        <row r="82">
          <cell r="BI82">
            <v>1.6409299811566934E-4</v>
          </cell>
        </row>
        <row r="83">
          <cell r="BI83">
            <v>-3.7065137416799829E-4</v>
          </cell>
        </row>
        <row r="84">
          <cell r="BI84">
            <v>2.2687656697265896E-3</v>
          </cell>
        </row>
        <row r="85">
          <cell r="BI85">
            <v>0</v>
          </cell>
        </row>
        <row r="86">
          <cell r="BI86">
            <v>0</v>
          </cell>
        </row>
        <row r="87">
          <cell r="BI87">
            <v>0</v>
          </cell>
        </row>
        <row r="88">
          <cell r="BI88">
            <v>0</v>
          </cell>
        </row>
        <row r="89">
          <cell r="BI89">
            <v>0</v>
          </cell>
        </row>
        <row r="90">
          <cell r="BI90">
            <v>0</v>
          </cell>
        </row>
        <row r="91">
          <cell r="BI91">
            <v>0</v>
          </cell>
        </row>
        <row r="92">
          <cell r="BI92">
            <v>0</v>
          </cell>
        </row>
        <row r="93">
          <cell r="BI93">
            <v>0</v>
          </cell>
        </row>
        <row r="94">
          <cell r="BI94">
            <v>0</v>
          </cell>
        </row>
        <row r="95">
          <cell r="BI95">
            <v>-3.3131496543292987E-4</v>
          </cell>
        </row>
        <row r="96">
          <cell r="BI96">
            <v>3.0042270948379968E-4</v>
          </cell>
        </row>
        <row r="97">
          <cell r="BI97">
            <v>2.0987533391123941E-3</v>
          </cell>
        </row>
        <row r="98">
          <cell r="BI98">
            <v>0</v>
          </cell>
        </row>
        <row r="99">
          <cell r="BI99">
            <v>0</v>
          </cell>
        </row>
        <row r="100">
          <cell r="BI100">
            <v>1.5987367691278594E-3</v>
          </cell>
        </row>
        <row r="101">
          <cell r="BI101">
            <v>0</v>
          </cell>
        </row>
        <row r="102">
          <cell r="BI102">
            <v>0</v>
          </cell>
        </row>
        <row r="103">
          <cell r="BI103">
            <v>0</v>
          </cell>
        </row>
        <row r="104">
          <cell r="BI104">
            <v>0</v>
          </cell>
        </row>
        <row r="105">
          <cell r="BI105">
            <v>0</v>
          </cell>
        </row>
        <row r="106">
          <cell r="BI106">
            <v>0</v>
          </cell>
        </row>
        <row r="107">
          <cell r="BI107">
            <v>0</v>
          </cell>
        </row>
        <row r="108">
          <cell r="BI108">
            <v>0</v>
          </cell>
        </row>
        <row r="109">
          <cell r="BI109">
            <v>-4.5036590465891016E-4</v>
          </cell>
        </row>
        <row r="110">
          <cell r="BI110">
            <v>9.9027335604300049E-4</v>
          </cell>
        </row>
        <row r="111">
          <cell r="BI111">
            <v>-1.8314011768762999E-3</v>
          </cell>
        </row>
        <row r="112">
          <cell r="BI112">
            <v>1.0530970198409373E-6</v>
          </cell>
        </row>
        <row r="113">
          <cell r="BI113">
            <v>-1.9532654165801012E-4</v>
          </cell>
        </row>
        <row r="114">
          <cell r="BI114">
            <v>0</v>
          </cell>
        </row>
        <row r="115">
          <cell r="BI115">
            <v>-1.108290123227555E-3</v>
          </cell>
        </row>
        <row r="116">
          <cell r="BI116">
            <v>1.4700961019821004E-3</v>
          </cell>
        </row>
        <row r="117">
          <cell r="BI117">
            <v>1.5765128411539403E-3</v>
          </cell>
        </row>
        <row r="118">
          <cell r="BI118">
            <v>0</v>
          </cell>
        </row>
        <row r="119">
          <cell r="BI119">
            <v>0</v>
          </cell>
        </row>
        <row r="120">
          <cell r="BI120">
            <v>0</v>
          </cell>
        </row>
        <row r="121">
          <cell r="BI121">
            <v>0</v>
          </cell>
        </row>
        <row r="122">
          <cell r="BI122">
            <v>0</v>
          </cell>
        </row>
        <row r="123">
          <cell r="BI123">
            <v>0</v>
          </cell>
        </row>
        <row r="124">
          <cell r="BI124">
            <v>0</v>
          </cell>
        </row>
        <row r="125">
          <cell r="BI125">
            <v>0</v>
          </cell>
        </row>
        <row r="126">
          <cell r="BI126">
            <v>0</v>
          </cell>
        </row>
        <row r="127">
          <cell r="BI127">
            <v>0</v>
          </cell>
        </row>
        <row r="128">
          <cell r="BI128">
            <v>0</v>
          </cell>
        </row>
        <row r="129">
          <cell r="BI129">
            <v>0</v>
          </cell>
        </row>
        <row r="130">
          <cell r="BI130">
            <v>0</v>
          </cell>
        </row>
        <row r="131">
          <cell r="BI131">
            <v>0</v>
          </cell>
        </row>
        <row r="132">
          <cell r="BI132">
            <v>0</v>
          </cell>
        </row>
        <row r="133">
          <cell r="BI133">
            <v>0</v>
          </cell>
        </row>
        <row r="134">
          <cell r="BI134">
            <v>0</v>
          </cell>
        </row>
        <row r="135">
          <cell r="BI135">
            <v>0</v>
          </cell>
        </row>
        <row r="136">
          <cell r="BI136">
            <v>-3.1087123362060973E-4</v>
          </cell>
        </row>
        <row r="137">
          <cell r="BI137">
            <v>-5.3091986857230038E-4</v>
          </cell>
        </row>
        <row r="138">
          <cell r="BI138">
            <v>1.3855393723185942E-4</v>
          </cell>
        </row>
        <row r="139">
          <cell r="BI139">
            <v>6.7049373454159018E-4</v>
          </cell>
        </row>
        <row r="140">
          <cell r="BI140">
            <v>2.0287992299430034E-4</v>
          </cell>
        </row>
        <row r="141">
          <cell r="BI141">
            <v>-6.6965313589710009E-4</v>
          </cell>
        </row>
        <row r="142">
          <cell r="BI142">
            <v>-5.7123927667679982E-4</v>
          </cell>
        </row>
        <row r="143">
          <cell r="BI143">
            <v>-7.5904201566300011E-4</v>
          </cell>
        </row>
        <row r="144">
          <cell r="BI144">
            <v>1.2379197900768031E-4</v>
          </cell>
        </row>
        <row r="145">
          <cell r="BI145">
            <v>1.3552481405523994E-3</v>
          </cell>
        </row>
        <row r="146">
          <cell r="BI146">
            <v>-1.0494934167632301E-3</v>
          </cell>
        </row>
        <row r="147">
          <cell r="BI147">
            <v>4.4458284337378987E-4</v>
          </cell>
        </row>
        <row r="148">
          <cell r="BI148">
            <v>8.6329166118799701E-4</v>
          </cell>
        </row>
        <row r="149">
          <cell r="BI149">
            <v>-1.0430565057380041E-4</v>
          </cell>
        </row>
        <row r="150">
          <cell r="BI150">
            <v>2.5898888172290989E-4</v>
          </cell>
        </row>
        <row r="151">
          <cell r="BI151">
            <v>3.4648672890874501E-3</v>
          </cell>
        </row>
        <row r="152">
          <cell r="BI152">
            <v>0</v>
          </cell>
        </row>
        <row r="153">
          <cell r="BI153">
            <v>0</v>
          </cell>
        </row>
        <row r="154">
          <cell r="BI154">
            <v>0</v>
          </cell>
        </row>
        <row r="155">
          <cell r="BI155">
            <v>0</v>
          </cell>
        </row>
        <row r="156">
          <cell r="BI15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506A-2C40-4FF6-AF22-EB835F88FC9A}">
  <dimension ref="A1:BY167"/>
  <sheetViews>
    <sheetView tabSelected="1" workbookViewId="0">
      <selection activeCell="AG20" sqref="AG20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5.6481083175400786E-2</v>
      </c>
      <c r="BS1" s="6"/>
      <c r="BT1" s="6"/>
      <c r="BU1" s="6"/>
      <c r="BV1" s="7">
        <f>BV167</f>
        <v>3.7486985794667332E-2</v>
      </c>
      <c r="BY1" s="7">
        <f>BY167</f>
        <v>9.3968068970068111E-2</v>
      </c>
    </row>
    <row r="2" spans="1:77" x14ac:dyDescent="0.3">
      <c r="A2" s="1">
        <v>46024</v>
      </c>
      <c r="B2" s="8">
        <v>144.30000000000001</v>
      </c>
      <c r="C2" s="8">
        <v>199.89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144.30000000000001</v>
      </c>
      <c r="M2" s="8">
        <v>199.89</v>
      </c>
      <c r="N2" s="10">
        <v>1.3852390852390799</v>
      </c>
      <c r="O2" s="10">
        <v>1.35656065472774</v>
      </c>
      <c r="X2" s="10">
        <v>1.3852390852390799</v>
      </c>
      <c r="Y2" s="10">
        <v>1.3555780340485399</v>
      </c>
    </row>
    <row r="3" spans="1:77" x14ac:dyDescent="0.3">
      <c r="A3" s="1">
        <v>46027</v>
      </c>
      <c r="B3" s="8">
        <v>144.62</v>
      </c>
      <c r="C3" s="8">
        <v>200.4</v>
      </c>
      <c r="D3" s="9">
        <v>2.2151469669805298E-3</v>
      </c>
      <c r="E3" s="9">
        <v>2.5481539681542599E-3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144.62</v>
      </c>
      <c r="M3" s="8">
        <v>200.4</v>
      </c>
      <c r="N3" s="10">
        <v>1.3857004563684101</v>
      </c>
      <c r="O3" s="10">
        <v>1.35656065472774</v>
      </c>
      <c r="R3" s="8">
        <v>196.18580188672601</v>
      </c>
      <c r="U3" s="9">
        <v>-2.1253190209033698E-2</v>
      </c>
      <c r="X3" s="10">
        <v>1.3857004563684101</v>
      </c>
      <c r="Y3" s="10">
        <v>1.3555780340485399</v>
      </c>
      <c r="AB3" s="8">
        <v>196.04369528410001</v>
      </c>
      <c r="AE3" s="9">
        <v>-2.1977799703574202E-2</v>
      </c>
    </row>
    <row r="4" spans="1:77" x14ac:dyDescent="0.3">
      <c r="A4" s="1">
        <v>46028</v>
      </c>
      <c r="B4" s="8">
        <v>146.65</v>
      </c>
      <c r="C4" s="8">
        <v>202.33</v>
      </c>
      <c r="D4" s="9">
        <v>1.39391826766543E-2</v>
      </c>
      <c r="E4" s="9">
        <v>9.5846585803935104E-3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146.65</v>
      </c>
      <c r="M4" s="8">
        <v>202.33</v>
      </c>
      <c r="N4" s="10">
        <v>1.3796795090351099</v>
      </c>
      <c r="O4" s="10">
        <v>1.35656065472774</v>
      </c>
      <c r="R4" s="8">
        <v>198.939620015824</v>
      </c>
      <c r="U4" s="9">
        <v>-1.6898666112772801E-2</v>
      </c>
      <c r="X4" s="10">
        <v>1.3796795090351099</v>
      </c>
      <c r="Y4" s="10">
        <v>1.3555780340485399</v>
      </c>
      <c r="AB4" s="8">
        <v>198.79551869321801</v>
      </c>
      <c r="AE4" s="9">
        <v>-1.7623275607313499E-2</v>
      </c>
    </row>
    <row r="5" spans="1:77" x14ac:dyDescent="0.3">
      <c r="A5" s="1">
        <v>46029</v>
      </c>
      <c r="B5" s="8">
        <v>146.53</v>
      </c>
      <c r="C5" s="8">
        <v>202.65</v>
      </c>
      <c r="D5" s="9">
        <v>-8.1860977352632099E-4</v>
      </c>
      <c r="E5" s="9">
        <v>1.5803252832143099E-3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146.53</v>
      </c>
      <c r="M5" s="8">
        <v>202.65</v>
      </c>
      <c r="N5" s="10">
        <v>1.3829932437043599</v>
      </c>
      <c r="O5" s="10">
        <v>1.35656065472774</v>
      </c>
      <c r="R5" s="8">
        <v>198.776832737256</v>
      </c>
      <c r="U5" s="9">
        <v>-1.9297601169513401E-2</v>
      </c>
      <c r="X5" s="10">
        <v>1.3829932437043599</v>
      </c>
      <c r="Y5" s="10">
        <v>1.3555780340485399</v>
      </c>
      <c r="AB5" s="8">
        <v>198.632849329132</v>
      </c>
      <c r="AE5" s="9">
        <v>-2.0022210664054199E-2</v>
      </c>
    </row>
    <row r="6" spans="1:77" x14ac:dyDescent="0.3">
      <c r="A6" s="1">
        <v>46030</v>
      </c>
      <c r="B6" s="8">
        <v>144.24</v>
      </c>
      <c r="C6" s="8">
        <v>199.78</v>
      </c>
      <c r="D6" s="9">
        <v>-1.5751606754871899E-2</v>
      </c>
      <c r="E6" s="9">
        <v>-1.4263591970313801E-2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144.24</v>
      </c>
      <c r="M6" s="8">
        <v>199.78</v>
      </c>
      <c r="N6" s="10">
        <v>1.3850526899611699</v>
      </c>
      <c r="O6" s="10">
        <v>1.35656065472774</v>
      </c>
      <c r="R6" s="8">
        <v>195.67030883793001</v>
      </c>
      <c r="U6" s="9">
        <v>-2.0785615954071399E-2</v>
      </c>
      <c r="X6" s="10">
        <v>1.3850526899611699</v>
      </c>
      <c r="Y6" s="10">
        <v>1.3555780340485399</v>
      </c>
      <c r="AB6" s="8">
        <v>195.528575631161</v>
      </c>
      <c r="AE6" s="9">
        <v>-2.15102254486121E-2</v>
      </c>
    </row>
    <row r="7" spans="1:77" x14ac:dyDescent="0.3">
      <c r="A7" s="1">
        <v>46031</v>
      </c>
      <c r="B7" s="8">
        <v>146.15</v>
      </c>
      <c r="C7" s="8">
        <v>201.75</v>
      </c>
      <c r="D7" s="9">
        <v>1.3154912662192901E-2</v>
      </c>
      <c r="E7" s="9">
        <v>9.8125460460545301E-3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146.15</v>
      </c>
      <c r="M7" s="8">
        <v>201.75</v>
      </c>
      <c r="N7" s="10">
        <v>1.3804310639753601</v>
      </c>
      <c r="O7" s="10">
        <v>1.35656065472774</v>
      </c>
      <c r="R7" s="8">
        <v>198.26133968846</v>
      </c>
      <c r="U7" s="9">
        <v>-1.7443249337932801E-2</v>
      </c>
      <c r="X7" s="10">
        <v>1.3804310639753601</v>
      </c>
      <c r="Y7" s="10">
        <v>1.3555780340485399</v>
      </c>
      <c r="AB7" s="8">
        <v>198.11772967619399</v>
      </c>
      <c r="AE7" s="9">
        <v>-1.8167858832473498E-2</v>
      </c>
    </row>
    <row r="8" spans="1:77" x14ac:dyDescent="0.3">
      <c r="A8" s="1">
        <v>46034</v>
      </c>
      <c r="B8" s="8">
        <v>146.79</v>
      </c>
      <c r="C8" s="8">
        <v>202.42</v>
      </c>
      <c r="D8" s="9">
        <v>4.3695024118869099E-3</v>
      </c>
      <c r="E8" s="9">
        <v>3.3154396106968801E-3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146.79</v>
      </c>
      <c r="M8" s="8">
        <v>202.42</v>
      </c>
      <c r="N8" s="10">
        <v>1.3789767695346999</v>
      </c>
      <c r="O8" s="10">
        <v>1.35656065472774</v>
      </c>
      <c r="R8" s="8">
        <v>199.12953850748499</v>
      </c>
      <c r="U8" s="9">
        <v>-1.63891865367429E-2</v>
      </c>
      <c r="X8" s="10">
        <v>1.3789767695346999</v>
      </c>
      <c r="Y8" s="10">
        <v>1.3555780340485399</v>
      </c>
      <c r="AB8" s="8">
        <v>198.98529961798499</v>
      </c>
      <c r="AE8" s="9">
        <v>-1.7113796031283501E-2</v>
      </c>
    </row>
    <row r="9" spans="1:77" x14ac:dyDescent="0.3">
      <c r="A9" s="1">
        <v>46035</v>
      </c>
      <c r="B9" s="8">
        <v>146.47999999999999</v>
      </c>
      <c r="C9" s="8">
        <v>201.9</v>
      </c>
      <c r="D9" s="9">
        <v>-2.1140936028866499E-3</v>
      </c>
      <c r="E9" s="9">
        <v>-2.5722214419632299E-3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146.47999999999999</v>
      </c>
      <c r="M9" s="8">
        <v>201.9</v>
      </c>
      <c r="N9" s="10">
        <v>1.3783451665756401</v>
      </c>
      <c r="O9" s="10">
        <v>1.35656065472774</v>
      </c>
      <c r="R9" s="8">
        <v>198.70900470452</v>
      </c>
      <c r="U9" s="9">
        <v>-1.5931058697666301E-2</v>
      </c>
      <c r="X9" s="10">
        <v>1.3783451665756401</v>
      </c>
      <c r="Y9" s="10">
        <v>1.3555780340485399</v>
      </c>
      <c r="AB9" s="8">
        <v>198.56507042742999</v>
      </c>
      <c r="AE9" s="9">
        <v>-1.6655668192206999E-2</v>
      </c>
      <c r="BJ9" s="12">
        <f>AVERAGE(BI22:BI200)</f>
        <v>3.8685673407808758E-4</v>
      </c>
      <c r="BV9" s="12">
        <f>AVERAGE(BU22:BU200)</f>
        <v>2.5676017667580363E-4</v>
      </c>
      <c r="BY9" s="12">
        <f>AVERAGE(BX22:BX200)</f>
        <v>6.4361691075389121E-4</v>
      </c>
    </row>
    <row r="10" spans="1:77" x14ac:dyDescent="0.3">
      <c r="A10" s="1">
        <v>46036</v>
      </c>
      <c r="B10" s="8">
        <v>144.69999999999999</v>
      </c>
      <c r="C10" s="8">
        <v>199.26</v>
      </c>
      <c r="D10" s="9">
        <v>-1.22262667288171E-2</v>
      </c>
      <c r="E10" s="9">
        <v>-1.3162020702081599E-2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144.69999999999999</v>
      </c>
      <c r="M10" s="8">
        <v>199.26</v>
      </c>
      <c r="N10" s="10">
        <v>1.37705597788528</v>
      </c>
      <c r="O10" s="10">
        <v>1.35656065472774</v>
      </c>
      <c r="R10" s="8">
        <v>196.29432673910401</v>
      </c>
      <c r="U10" s="9">
        <v>-1.49953047244016E-2</v>
      </c>
      <c r="X10" s="10">
        <v>1.37705597788528</v>
      </c>
      <c r="Y10" s="10">
        <v>1.3555780340485399</v>
      </c>
      <c r="AB10" s="8">
        <v>196.15214152682401</v>
      </c>
      <c r="AE10" s="9">
        <v>-1.57199142189424E-2</v>
      </c>
      <c r="AZ10" s="13"/>
      <c r="BJ10" s="12">
        <f>STDEV(BI22:BI200)</f>
        <v>2.6473841815474759E-3</v>
      </c>
      <c r="BL10" s="13"/>
      <c r="BV10" s="12">
        <f>STDEV(BU22:BU200)</f>
        <v>2.686974331827885E-3</v>
      </c>
      <c r="BY10" s="12">
        <f>STDEV(BX22:BX200)</f>
        <v>3.7454566072900996E-3</v>
      </c>
    </row>
    <row r="11" spans="1:77" x14ac:dyDescent="0.3">
      <c r="A11" s="1">
        <v>46037</v>
      </c>
      <c r="B11" s="8">
        <v>145.46</v>
      </c>
      <c r="C11" s="8">
        <v>199.9</v>
      </c>
      <c r="D11" s="9">
        <v>5.2385010889566203E-3</v>
      </c>
      <c r="E11" s="9">
        <v>3.2067368896442198E-3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145.46</v>
      </c>
      <c r="M11" s="8">
        <v>199.9</v>
      </c>
      <c r="N11" s="10">
        <v>1.3742609652138</v>
      </c>
      <c r="O11" s="10">
        <v>1.35656065472774</v>
      </c>
      <c r="P11" s="10">
        <v>1.3807734927492901</v>
      </c>
      <c r="R11" s="8">
        <v>197.325312836698</v>
      </c>
      <c r="U11" s="9">
        <v>-1.29635405250894E-2</v>
      </c>
      <c r="X11" s="10">
        <v>1.3742609652138</v>
      </c>
      <c r="Y11" s="10">
        <v>1.3555780340485399</v>
      </c>
      <c r="Z11" s="10">
        <v>1.3807734927492901</v>
      </c>
      <c r="AB11" s="8">
        <v>197.18238083270001</v>
      </c>
      <c r="AE11" s="9">
        <v>-1.3688150019630099E-2</v>
      </c>
      <c r="BJ11">
        <f>SQRT(252)*BJ9/BJ10</f>
        <v>2.3197087567010777</v>
      </c>
      <c r="BV11">
        <f>SQRT(252)*BV9/BV10</f>
        <v>1.5169260815537207</v>
      </c>
      <c r="BY11">
        <f>SQRT(252)*BY9/BY10</f>
        <v>2.7278654604664982</v>
      </c>
    </row>
    <row r="12" spans="1:77" x14ac:dyDescent="0.3">
      <c r="A12" s="1">
        <v>46038</v>
      </c>
      <c r="B12" s="8">
        <v>145.62</v>
      </c>
      <c r="C12" s="8">
        <v>199.89</v>
      </c>
      <c r="D12" s="9">
        <v>1.0993542401703301E-3</v>
      </c>
      <c r="E12" s="9">
        <v>-5.0026263799062799E-5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145.62</v>
      </c>
      <c r="M12" s="8">
        <v>199.89</v>
      </c>
      <c r="N12" s="10">
        <v>1.3726823238566099</v>
      </c>
      <c r="O12" s="10">
        <v>1.35656065472774</v>
      </c>
      <c r="P12" s="10">
        <v>1.37951781661104</v>
      </c>
      <c r="R12" s="8">
        <v>197.542362541454</v>
      </c>
      <c r="S12" s="8">
        <v>201.06823601415201</v>
      </c>
      <c r="U12" s="9">
        <v>-1.181416002112E-2</v>
      </c>
      <c r="V12" s="9">
        <v>5.87711786279611E-3</v>
      </c>
      <c r="X12" s="10">
        <v>1.3726823238566099</v>
      </c>
      <c r="Y12" s="10">
        <v>1.3555780340485399</v>
      </c>
      <c r="Z12" s="10">
        <v>1.37951781661104</v>
      </c>
      <c r="AB12" s="8">
        <v>197.399273318148</v>
      </c>
      <c r="AC12" s="8">
        <v>201.06823601415201</v>
      </c>
      <c r="AE12" s="9">
        <v>-1.25387695156607E-2</v>
      </c>
      <c r="AF12" s="9">
        <v>5.87711786279611E-3</v>
      </c>
    </row>
    <row r="13" spans="1:77" x14ac:dyDescent="0.3">
      <c r="A13" s="1">
        <v>46042</v>
      </c>
      <c r="B13" s="8">
        <v>141.84</v>
      </c>
      <c r="C13" s="8">
        <v>194.71</v>
      </c>
      <c r="D13" s="9">
        <v>-2.6300827200612501E-2</v>
      </c>
      <c r="E13" s="9">
        <v>-2.62559431150256E-2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141.84</v>
      </c>
      <c r="M13" s="8">
        <v>194.71</v>
      </c>
      <c r="N13" s="10">
        <v>1.3727439368302301</v>
      </c>
      <c r="O13" s="10">
        <v>1.35656065472774</v>
      </c>
      <c r="P13" s="10">
        <v>1.3782221646572299</v>
      </c>
      <c r="R13" s="8">
        <v>192.414563266583</v>
      </c>
      <c r="S13" s="8">
        <v>195.67080710811101</v>
      </c>
      <c r="U13" s="9">
        <v>-1.1859044106706899E-2</v>
      </c>
      <c r="V13" s="9">
        <v>4.9224194973860498E-3</v>
      </c>
      <c r="X13" s="10">
        <v>1.3727439368302301</v>
      </c>
      <c r="Y13" s="10">
        <v>1.3555780340485399</v>
      </c>
      <c r="Z13" s="10">
        <v>1.3782221646572299</v>
      </c>
      <c r="AB13" s="8">
        <v>192.27518834944499</v>
      </c>
      <c r="AC13" s="8">
        <v>195.67080710811101</v>
      </c>
      <c r="AE13" s="9">
        <v>-1.2583653601247699E-2</v>
      </c>
      <c r="AF13" s="9">
        <v>4.9224194973860498E-3</v>
      </c>
    </row>
    <row r="14" spans="1:77" x14ac:dyDescent="0.3">
      <c r="A14" s="1">
        <v>46043</v>
      </c>
      <c r="B14" s="8">
        <v>143.81</v>
      </c>
      <c r="C14" s="8">
        <v>197.17</v>
      </c>
      <c r="D14" s="9">
        <v>1.37933221323357E-2</v>
      </c>
      <c r="E14" s="9">
        <v>1.25550286506466E-2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143.81</v>
      </c>
      <c r="M14" s="8">
        <v>197.17</v>
      </c>
      <c r="N14" s="10">
        <v>1.3710451289896299</v>
      </c>
      <c r="O14" s="10">
        <v>1.35656065472774</v>
      </c>
      <c r="P14" s="10">
        <v>1.3773587266526801</v>
      </c>
      <c r="R14" s="8">
        <v>195.08698775639701</v>
      </c>
      <c r="S14" s="8">
        <v>198.202129499356</v>
      </c>
      <c r="U14" s="9">
        <v>-1.06207506250176E-2</v>
      </c>
      <c r="V14" s="9">
        <v>5.2210652545250803E-3</v>
      </c>
      <c r="X14" s="10">
        <v>1.3710451289896299</v>
      </c>
      <c r="Y14" s="10">
        <v>1.3555780340485399</v>
      </c>
      <c r="Z14" s="10">
        <v>1.3773587266526801</v>
      </c>
      <c r="AB14" s="8">
        <v>194.94567707652001</v>
      </c>
      <c r="AC14" s="8">
        <v>198.202129499356</v>
      </c>
      <c r="AE14" s="9">
        <v>-1.13453601195584E-2</v>
      </c>
      <c r="AF14" s="9">
        <v>5.2210652545250803E-3</v>
      </c>
    </row>
    <row r="15" spans="1:77" x14ac:dyDescent="0.3">
      <c r="A15" s="1">
        <v>46044</v>
      </c>
      <c r="B15" s="8">
        <v>144.88</v>
      </c>
      <c r="C15" s="8">
        <v>198.93</v>
      </c>
      <c r="D15" s="9">
        <v>7.41282967686959E-3</v>
      </c>
      <c r="E15" s="9">
        <v>8.8867032707096102E-3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144.88</v>
      </c>
      <c r="M15" s="8">
        <v>198.93</v>
      </c>
      <c r="N15" s="10">
        <v>1.3730673660960699</v>
      </c>
      <c r="O15" s="10">
        <v>1.35656065472774</v>
      </c>
      <c r="P15" s="10">
        <v>1.37636613889185</v>
      </c>
      <c r="R15" s="8">
        <v>196.53850765695501</v>
      </c>
      <c r="S15" s="8">
        <v>199.55173231744001</v>
      </c>
      <c r="U15" s="9">
        <v>-1.2094624218857699E-2</v>
      </c>
      <c r="V15" s="9">
        <v>3.1205085278988398E-3</v>
      </c>
      <c r="X15" s="10">
        <v>1.3730673660960699</v>
      </c>
      <c r="Y15" s="10">
        <v>1.3555780340485399</v>
      </c>
      <c r="Z15" s="10">
        <v>1.37636613889185</v>
      </c>
      <c r="AB15" s="8">
        <v>196.39614557295201</v>
      </c>
      <c r="AC15" s="8">
        <v>199.55173231744001</v>
      </c>
      <c r="AE15" s="9">
        <v>-1.28192337133984E-2</v>
      </c>
      <c r="AF15" s="9">
        <v>3.1205085278988398E-3</v>
      </c>
    </row>
    <row r="16" spans="1:77" x14ac:dyDescent="0.3">
      <c r="A16" s="1">
        <v>46045</v>
      </c>
      <c r="B16" s="8">
        <v>145.09</v>
      </c>
      <c r="C16" s="8">
        <v>199.72</v>
      </c>
      <c r="D16" s="9">
        <v>1.44842595243585E-3</v>
      </c>
      <c r="E16" s="9">
        <v>3.9633815835225699E-3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145.09</v>
      </c>
      <c r="M16" s="8">
        <v>199.72</v>
      </c>
      <c r="N16" s="10">
        <v>1.37652491556964</v>
      </c>
      <c r="O16" s="10">
        <v>1.35656065472774</v>
      </c>
      <c r="P16" s="10">
        <v>1.3755133614527</v>
      </c>
      <c r="R16" s="8">
        <v>196.823385394448</v>
      </c>
      <c r="S16" s="8">
        <v>199.69696309181899</v>
      </c>
      <c r="U16" s="9">
        <v>-1.4609579849944401E-2</v>
      </c>
      <c r="V16" s="9">
        <v>-1.1535267820417501E-4</v>
      </c>
      <c r="X16" s="10">
        <v>1.37652491556964</v>
      </c>
      <c r="Y16" s="10">
        <v>1.3555780340485399</v>
      </c>
      <c r="Z16" s="10">
        <v>1.3755133614527</v>
      </c>
      <c r="AB16" s="8">
        <v>196.68081696010299</v>
      </c>
      <c r="AC16" s="8">
        <v>199.69696309181899</v>
      </c>
      <c r="AE16" s="9">
        <v>-1.53341893444851E-2</v>
      </c>
      <c r="AF16" s="9">
        <v>-1.1535267820417501E-4</v>
      </c>
    </row>
    <row r="17" spans="1:77" x14ac:dyDescent="0.3">
      <c r="A17" s="1">
        <v>46048</v>
      </c>
      <c r="B17" s="8">
        <v>146.08000000000001</v>
      </c>
      <c r="C17" s="8">
        <v>201.24</v>
      </c>
      <c r="D17" s="9">
        <v>6.8001773190646403E-3</v>
      </c>
      <c r="E17" s="9">
        <v>7.5818399907093496E-3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146.08000000000001</v>
      </c>
      <c r="M17" s="8">
        <v>201.24</v>
      </c>
      <c r="N17" s="10">
        <v>1.3776013143482999</v>
      </c>
      <c r="O17" s="10">
        <v>1.35656065472774</v>
      </c>
      <c r="P17" s="10">
        <v>1.37523038648999</v>
      </c>
      <c r="R17" s="8">
        <v>198.16638044262899</v>
      </c>
      <c r="S17" s="8">
        <v>200.93499184101</v>
      </c>
      <c r="U17" s="9">
        <v>-1.5391242521589099E-2</v>
      </c>
      <c r="V17" s="9">
        <v>-1.51679355332311E-3</v>
      </c>
      <c r="X17" s="10">
        <v>1.3776013143482999</v>
      </c>
      <c r="Y17" s="10">
        <v>1.3555780340485399</v>
      </c>
      <c r="Z17" s="10">
        <v>1.37523038648999</v>
      </c>
      <c r="AB17" s="8">
        <v>198.02283921381101</v>
      </c>
      <c r="AC17" s="8">
        <v>200.93499184101</v>
      </c>
      <c r="AE17" s="9">
        <v>-1.6115852016129702E-2</v>
      </c>
      <c r="AF17" s="9">
        <v>-1.51679355332311E-3</v>
      </c>
    </row>
    <row r="18" spans="1:77" x14ac:dyDescent="0.3">
      <c r="A18" s="1">
        <v>46049</v>
      </c>
      <c r="B18" s="8">
        <v>148.05000000000001</v>
      </c>
      <c r="C18" s="8">
        <v>203.7</v>
      </c>
      <c r="D18" s="9">
        <v>1.3395637700942001E-2</v>
      </c>
      <c r="E18" s="9">
        <v>1.2150097609642301E-2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148.05000000000001</v>
      </c>
      <c r="M18" s="8">
        <v>203.7</v>
      </c>
      <c r="N18" s="10">
        <v>1.3758865248226899</v>
      </c>
      <c r="O18" s="10">
        <v>1.35656065472774</v>
      </c>
      <c r="P18" s="10">
        <v>1.3749213620187899</v>
      </c>
      <c r="R18" s="8">
        <v>200.838804932442</v>
      </c>
      <c r="S18" s="8">
        <v>203.602858719843</v>
      </c>
      <c r="U18" s="9">
        <v>-1.4145702430289399E-2</v>
      </c>
      <c r="V18" s="9">
        <v>-4.76997791291681E-4</v>
      </c>
      <c r="X18" s="10">
        <v>1.3758865248226899</v>
      </c>
      <c r="Y18" s="10">
        <v>1.3555780340485399</v>
      </c>
      <c r="Z18" s="10">
        <v>1.3749213620187899</v>
      </c>
      <c r="AB18" s="8">
        <v>200.69332794088601</v>
      </c>
      <c r="AC18" s="8">
        <v>203.602858719843</v>
      </c>
      <c r="AE18" s="9">
        <v>-1.487031192483E-2</v>
      </c>
      <c r="AF18" s="9">
        <v>-4.76997791291681E-4</v>
      </c>
    </row>
    <row r="19" spans="1:77" x14ac:dyDescent="0.3">
      <c r="A19" s="1">
        <v>46050</v>
      </c>
      <c r="B19" s="8">
        <v>149.22999999999999</v>
      </c>
      <c r="C19" s="8">
        <v>204.72</v>
      </c>
      <c r="D19" s="9">
        <v>7.9386853957762894E-3</v>
      </c>
      <c r="E19" s="9">
        <v>4.9948686187732102E-3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149.22999999999999</v>
      </c>
      <c r="M19" s="8">
        <v>204.72</v>
      </c>
      <c r="N19" s="10">
        <v>1.3718421228975399</v>
      </c>
      <c r="O19" s="10">
        <v>1.35656065472774</v>
      </c>
      <c r="P19" s="10">
        <v>1.37427105765098</v>
      </c>
      <c r="R19" s="8">
        <v>202.43954650502101</v>
      </c>
      <c r="S19" s="8">
        <v>205.179514854064</v>
      </c>
      <c r="U19" s="9">
        <v>-1.12018856532863E-2</v>
      </c>
      <c r="V19" s="9">
        <v>2.2420863158358799E-3</v>
      </c>
      <c r="X19" s="10">
        <v>1.3718421228975399</v>
      </c>
      <c r="Y19" s="10">
        <v>1.3555780340485399</v>
      </c>
      <c r="Z19" s="10">
        <v>1.37427105765098</v>
      </c>
      <c r="AB19" s="8">
        <v>202.29291002106299</v>
      </c>
      <c r="AC19" s="8">
        <v>205.179514854064</v>
      </c>
      <c r="AE19" s="9">
        <v>-1.1926495147827201E-2</v>
      </c>
      <c r="AF19" s="9">
        <v>2.2420863158358799E-3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146.87</v>
      </c>
      <c r="C20" s="8">
        <v>201.89</v>
      </c>
      <c r="D20" s="9">
        <v>-1.5940898177605502E-2</v>
      </c>
      <c r="E20" s="9">
        <v>-1.3920197229401E-2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146.87</v>
      </c>
      <c r="M20" s="8">
        <v>201.89</v>
      </c>
      <c r="N20" s="10">
        <v>1.37461700823857</v>
      </c>
      <c r="O20" s="10">
        <v>1.35656065472774</v>
      </c>
      <c r="P20" s="10">
        <v>1.3740271606863099</v>
      </c>
      <c r="R20" s="8">
        <v>199.23806335986399</v>
      </c>
      <c r="S20" s="8">
        <v>201.83919023719901</v>
      </c>
      <c r="U20" s="9">
        <v>-1.3222586601491001E-2</v>
      </c>
      <c r="V20" s="9">
        <v>-2.5170220185716599E-4</v>
      </c>
      <c r="X20" s="10">
        <v>1.37461700823857</v>
      </c>
      <c r="Y20" s="10">
        <v>1.3555780340485399</v>
      </c>
      <c r="Z20" s="10">
        <v>1.3740271606863099</v>
      </c>
      <c r="AB20" s="8">
        <v>199.09374586070899</v>
      </c>
      <c r="AC20" s="8">
        <v>201.83919023719901</v>
      </c>
      <c r="AE20" s="9">
        <v>-1.39471960960316E-2</v>
      </c>
      <c r="AF20" s="9">
        <v>-2.5170220185716599E-4</v>
      </c>
      <c r="AZ20" s="14" t="s">
        <v>34</v>
      </c>
      <c r="BA20" s="15">
        <v>-1.1209599027042093E-3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XLK log rtn</v>
      </c>
      <c r="BH20" s="6" t="str">
        <f>E1</f>
        <v>IYW log rtn</v>
      </c>
      <c r="BI20" s="6" t="s">
        <v>40</v>
      </c>
      <c r="BJ20" s="6" t="s">
        <v>41</v>
      </c>
      <c r="BL20" s="14" t="s">
        <v>34</v>
      </c>
      <c r="BM20" s="15">
        <v>2.2260370323622628E-3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XLK log rtn</v>
      </c>
      <c r="BT20" s="7" t="str">
        <f>E1</f>
        <v>IYW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143.88</v>
      </c>
      <c r="C21" s="8">
        <v>198.37</v>
      </c>
      <c r="D21" s="9">
        <v>-2.0568222938347799E-2</v>
      </c>
      <c r="E21" s="9">
        <v>-1.75890208821151E-2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143.88</v>
      </c>
      <c r="M21" s="8">
        <v>198.37</v>
      </c>
      <c r="N21" s="10">
        <v>1.3787183764247899</v>
      </c>
      <c r="O21" s="10">
        <v>1.35656065472774</v>
      </c>
      <c r="P21" s="10">
        <v>1.37447290180741</v>
      </c>
      <c r="Q21" s="10">
        <v>1.3776231972783499</v>
      </c>
      <c r="R21" s="8">
        <v>195.18194700222799</v>
      </c>
      <c r="S21" s="8">
        <v>197.69502787954599</v>
      </c>
      <c r="U21" s="9">
        <v>-1.62017886577237E-2</v>
      </c>
      <c r="V21" s="9">
        <v>-3.4083937049651102E-3</v>
      </c>
      <c r="X21" s="10">
        <v>1.3787183764247899</v>
      </c>
      <c r="Y21" s="10">
        <v>1.3555780340485399</v>
      </c>
      <c r="Z21" s="10">
        <v>1.37447290180741</v>
      </c>
      <c r="AA21" s="10">
        <v>1.3776231972783499</v>
      </c>
      <c r="AB21" s="8">
        <v>195.04056753890401</v>
      </c>
      <c r="AC21" s="8">
        <v>197.69502787954599</v>
      </c>
      <c r="AE21" s="9">
        <v>-1.6926398152264401E-2</v>
      </c>
      <c r="AF21" s="9">
        <v>-3.4083937049651102E-3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145.26</v>
      </c>
      <c r="C22" s="8">
        <v>199.62</v>
      </c>
      <c r="D22" s="9">
        <v>9.5456213505988596E-3</v>
      </c>
      <c r="E22" s="9">
        <v>6.2815855184231396E-3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145.26</v>
      </c>
      <c r="M22" s="8">
        <v>199.62</v>
      </c>
      <c r="N22" s="10">
        <v>1.3742255266418799</v>
      </c>
      <c r="O22" s="10">
        <v>1.35656065472774</v>
      </c>
      <c r="P22" s="10">
        <v>1.3746272220859299</v>
      </c>
      <c r="Q22" s="10">
        <v>1.3770725193484901</v>
      </c>
      <c r="R22" s="8">
        <v>197.054000705752</v>
      </c>
      <c r="S22" s="8">
        <v>199.65593371654401</v>
      </c>
      <c r="T22" s="8">
        <v>200.11354563665299</v>
      </c>
      <c r="U22" s="9">
        <v>-1.2937752825547899E-2</v>
      </c>
      <c r="V22" s="9">
        <v>1.79994402904382E-4</v>
      </c>
      <c r="W22" s="9">
        <v>2.46937437618951E-3</v>
      </c>
      <c r="X22" s="10">
        <v>1.3742255266418799</v>
      </c>
      <c r="Y22" s="10">
        <v>1.3555780340485399</v>
      </c>
      <c r="Z22" s="10">
        <v>1.3746272220859299</v>
      </c>
      <c r="AA22" s="10">
        <v>1.3770725193484901</v>
      </c>
      <c r="AB22" s="8">
        <v>196.91126522589099</v>
      </c>
      <c r="AC22" s="8">
        <v>199.65593371654401</v>
      </c>
      <c r="AD22" s="8">
        <v>200.11354563665299</v>
      </c>
      <c r="AE22" s="9">
        <v>-1.3662362320088699E-2</v>
      </c>
      <c r="AF22" s="9">
        <v>1.79994402904382E-4</v>
      </c>
      <c r="AG22" s="9">
        <v>2.46937437618951E-3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1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142.08000000000001</v>
      </c>
      <c r="C23" s="8">
        <v>194.92</v>
      </c>
      <c r="D23" s="9">
        <v>-2.2134960934162E-2</v>
      </c>
      <c r="E23" s="9">
        <v>-2.3826341283134999E-2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142.08000000000001</v>
      </c>
      <c r="M23" s="8">
        <v>194.92</v>
      </c>
      <c r="N23" s="10">
        <v>1.37190315315315</v>
      </c>
      <c r="O23" s="10">
        <v>1.35656065472774</v>
      </c>
      <c r="P23" s="10">
        <v>1.3745431437182301</v>
      </c>
      <c r="Q23" s="10">
        <v>1.37638265418773</v>
      </c>
      <c r="R23" s="8">
        <v>192.74013782371799</v>
      </c>
      <c r="S23" s="8">
        <v>195.30703571397001</v>
      </c>
      <c r="T23" s="8">
        <v>195.65446354903401</v>
      </c>
      <c r="U23" s="9">
        <v>-1.1246372476574999E-2</v>
      </c>
      <c r="V23" s="9">
        <v>1.9836444195757202E-3</v>
      </c>
      <c r="W23" s="9">
        <v>3.7609443694330202E-3</v>
      </c>
      <c r="X23" s="10">
        <v>1.37190315315315</v>
      </c>
      <c r="Y23" s="10">
        <v>1.3555780340485399</v>
      </c>
      <c r="Z23" s="10">
        <v>1.3745431437182301</v>
      </c>
      <c r="AA23" s="10">
        <v>1.37638265418773</v>
      </c>
      <c r="AB23" s="8">
        <v>192.60052707761599</v>
      </c>
      <c r="AC23" s="8">
        <v>195.30703571397001</v>
      </c>
      <c r="AD23" s="8">
        <v>195.65446354903401</v>
      </c>
      <c r="AE23" s="9">
        <v>-1.1970981971115799E-2</v>
      </c>
      <c r="AF23" s="9">
        <v>1.9836444195757202E-3</v>
      </c>
      <c r="AG23" s="9">
        <v>3.7609443694330202E-3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1</v>
      </c>
      <c r="BO23">
        <f t="shared" ref="BO23:BO86" si="11">IF($AG23&lt;BM$21,1,0)</f>
        <v>0</v>
      </c>
      <c r="BP23">
        <f t="shared" ref="BP23:BP86" si="12">BR23</f>
        <v>1</v>
      </c>
      <c r="BQ23">
        <f t="shared" si="1"/>
        <v>1</v>
      </c>
      <c r="BR23">
        <f t="shared" ref="BR23:BR86" si="13">IF(BN22,1,IF(BO22,0,BP22))*BQ22</f>
        <v>1</v>
      </c>
      <c r="BS23" s="9">
        <f t="shared" ref="BS23:BS86" si="14">-BR23*D23</f>
        <v>2.2134960934162E-2</v>
      </c>
      <c r="BT23" s="9">
        <f t="shared" ref="BT23:BT86" si="15">BR23*$E23</f>
        <v>-2.3826341283134999E-2</v>
      </c>
      <c r="BU23" s="9">
        <f t="shared" ref="BU23:BU86" si="16">BS23+BT23</f>
        <v>-1.6913803489729991E-3</v>
      </c>
      <c r="BV23" s="12">
        <f t="shared" ref="BV23:BV86" si="17">BV22+BU23</f>
        <v>-1.6913803489729991E-3</v>
      </c>
      <c r="BX23" s="12">
        <f t="shared" ref="BX23:BX86" si="18">BI23+BU23</f>
        <v>-1.6913803489729991E-3</v>
      </c>
      <c r="BY23" s="12">
        <f t="shared" ref="BY23:BY86" si="19">BY22+BX23</f>
        <v>-1.6913803489729991E-3</v>
      </c>
    </row>
    <row r="24" spans="1:77" x14ac:dyDescent="0.3">
      <c r="A24" s="1">
        <v>46057</v>
      </c>
      <c r="B24" s="8">
        <v>138.12</v>
      </c>
      <c r="C24" s="8">
        <v>190.39</v>
      </c>
      <c r="D24" s="9">
        <v>-2.82674067220684E-2</v>
      </c>
      <c r="E24" s="9">
        <v>-2.35146180057203E-2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138.12</v>
      </c>
      <c r="M24" s="8">
        <v>190.39</v>
      </c>
      <c r="N24" s="10">
        <v>1.37843903851723</v>
      </c>
      <c r="O24" s="10">
        <v>1.35656065472774</v>
      </c>
      <c r="P24" s="10">
        <v>1.37528253467099</v>
      </c>
      <c r="Q24" s="10">
        <v>1.3763206306618301</v>
      </c>
      <c r="R24" s="8">
        <v>187.368157630996</v>
      </c>
      <c r="S24" s="8">
        <v>189.85189901036199</v>
      </c>
      <c r="T24" s="8">
        <v>190.105972196409</v>
      </c>
      <c r="U24" s="9">
        <v>-1.5999161192922901E-2</v>
      </c>
      <c r="V24" s="9">
        <v>-2.83031065356134E-3</v>
      </c>
      <c r="W24" s="9">
        <v>-1.4929348907730001E-3</v>
      </c>
      <c r="X24" s="10">
        <v>1.37843903851723</v>
      </c>
      <c r="Y24" s="10">
        <v>1.3555780340485399</v>
      </c>
      <c r="Z24" s="10">
        <v>1.37528253467099</v>
      </c>
      <c r="AA24" s="10">
        <v>1.3763206306618301</v>
      </c>
      <c r="AB24" s="8">
        <v>187.23243806278401</v>
      </c>
      <c r="AC24" s="8">
        <v>189.85189901036199</v>
      </c>
      <c r="AD24" s="8">
        <v>190.105972196409</v>
      </c>
      <c r="AE24" s="9">
        <v>-1.67237706874638E-2</v>
      </c>
      <c r="AF24" s="9">
        <v>-2.83031065356134E-3</v>
      </c>
      <c r="AG24" s="9">
        <v>-1.4929348907730001E-3</v>
      </c>
      <c r="AZ24" s="9"/>
      <c r="BB24">
        <f t="shared" si="2"/>
        <v>1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1</v>
      </c>
      <c r="BP24">
        <f t="shared" si="12"/>
        <v>1</v>
      </c>
      <c r="BQ24">
        <f t="shared" si="1"/>
        <v>1</v>
      </c>
      <c r="BR24">
        <f t="shared" si="13"/>
        <v>1</v>
      </c>
      <c r="BS24" s="9">
        <f t="shared" si="14"/>
        <v>2.82674067220684E-2</v>
      </c>
      <c r="BT24" s="9">
        <f t="shared" si="15"/>
        <v>-2.35146180057203E-2</v>
      </c>
      <c r="BU24" s="9">
        <f t="shared" si="16"/>
        <v>4.7527887163480997E-3</v>
      </c>
      <c r="BV24" s="12">
        <f t="shared" si="17"/>
        <v>3.0614083673751007E-3</v>
      </c>
      <c r="BX24" s="12">
        <f t="shared" si="18"/>
        <v>4.7527887163480997E-3</v>
      </c>
      <c r="BY24" s="12">
        <f t="shared" si="19"/>
        <v>3.0614083673751007E-3</v>
      </c>
    </row>
    <row r="25" spans="1:77" x14ac:dyDescent="0.3">
      <c r="A25" s="1">
        <v>46058</v>
      </c>
      <c r="B25" s="8">
        <v>135.63</v>
      </c>
      <c r="C25" s="8">
        <v>186.75</v>
      </c>
      <c r="D25" s="9">
        <v>-1.81922825471681E-2</v>
      </c>
      <c r="E25" s="9">
        <v>-1.93037759566583E-2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135.63</v>
      </c>
      <c r="M25" s="8">
        <v>186.75</v>
      </c>
      <c r="N25" s="10">
        <v>1.3769077637690701</v>
      </c>
      <c r="O25" s="10">
        <v>1.35656065472774</v>
      </c>
      <c r="P25" s="10">
        <v>1.3756665744382901</v>
      </c>
      <c r="Q25" s="10">
        <v>1.3760163566650701</v>
      </c>
      <c r="R25" s="8">
        <v>183.990321600724</v>
      </c>
      <c r="S25" s="8">
        <v>186.529570177426</v>
      </c>
      <c r="T25" s="8">
        <v>186.670367136664</v>
      </c>
      <c r="U25" s="9">
        <v>-1.48876677834329E-2</v>
      </c>
      <c r="V25" s="9">
        <v>-1.18104426712247E-3</v>
      </c>
      <c r="W25" s="9">
        <v>-4.2650520191434699E-4</v>
      </c>
      <c r="X25" s="10">
        <v>1.3769077637690701</v>
      </c>
      <c r="Y25" s="10">
        <v>1.3555780340485399</v>
      </c>
      <c r="Z25" s="10">
        <v>1.3756665744382901</v>
      </c>
      <c r="AA25" s="10">
        <v>1.3760163566650701</v>
      </c>
      <c r="AB25" s="8">
        <v>183.857048758003</v>
      </c>
      <c r="AC25" s="8">
        <v>186.529570177426</v>
      </c>
      <c r="AD25" s="8">
        <v>186.670367136664</v>
      </c>
      <c r="AE25" s="9">
        <v>-1.5612277277973499E-2</v>
      </c>
      <c r="AF25" s="9">
        <v>-1.18104426712247E-3</v>
      </c>
      <c r="AG25" s="9">
        <v>-4.2650520191434699E-4</v>
      </c>
      <c r="AZ25" s="9"/>
      <c r="BB25">
        <f t="shared" si="2"/>
        <v>0</v>
      </c>
      <c r="BC25">
        <f t="shared" si="3"/>
        <v>0</v>
      </c>
      <c r="BD25">
        <f t="shared" si="4"/>
        <v>1</v>
      </c>
      <c r="BE25">
        <f t="shared" si="0"/>
        <v>1</v>
      </c>
      <c r="BF25">
        <f t="shared" si="5"/>
        <v>1</v>
      </c>
      <c r="BG25" s="9">
        <f t="shared" si="6"/>
        <v>-1.81922825471681E-2</v>
      </c>
      <c r="BH25" s="9">
        <f t="shared" si="7"/>
        <v>1.93037759566583E-2</v>
      </c>
      <c r="BI25" s="9">
        <f t="shared" si="8"/>
        <v>1.1114934094902003E-3</v>
      </c>
      <c r="BJ25" s="12">
        <f t="shared" si="9"/>
        <v>1.1114934094902003E-3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3.0614083673751007E-3</v>
      </c>
      <c r="BX25" s="12">
        <f t="shared" si="18"/>
        <v>1.1114934094902003E-3</v>
      </c>
      <c r="BY25" s="12">
        <f t="shared" si="19"/>
        <v>4.1729017768653009E-3</v>
      </c>
    </row>
    <row r="26" spans="1:77" x14ac:dyDescent="0.3">
      <c r="A26" s="1">
        <v>46059</v>
      </c>
      <c r="B26" s="8">
        <v>141.13</v>
      </c>
      <c r="C26" s="8">
        <v>193.49</v>
      </c>
      <c r="D26" s="9">
        <v>3.9750861451292099E-2</v>
      </c>
      <c r="E26" s="9">
        <v>3.54550075349108E-2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141.13</v>
      </c>
      <c r="M26" s="8">
        <v>193.49</v>
      </c>
      <c r="N26" s="10">
        <v>1.3710054559625799</v>
      </c>
      <c r="O26" s="10">
        <v>1.35656065472774</v>
      </c>
      <c r="P26" s="10">
        <v>1.3751146284775799</v>
      </c>
      <c r="Q26" s="10">
        <v>1.3753139949651401</v>
      </c>
      <c r="R26" s="8">
        <v>191.451405201726</v>
      </c>
      <c r="S26" s="8">
        <v>194.147823650475</v>
      </c>
      <c r="T26" s="8">
        <v>194.19718841614099</v>
      </c>
      <c r="U26" s="9">
        <v>-1.05918138670514E-2</v>
      </c>
      <c r="V26" s="9">
        <v>3.3940149377340899E-3</v>
      </c>
      <c r="W26" s="9">
        <v>3.6482464298234298E-3</v>
      </c>
      <c r="X26" s="10">
        <v>1.3710054559625799</v>
      </c>
      <c r="Y26" s="10">
        <v>1.3555780340485399</v>
      </c>
      <c r="Z26" s="10">
        <v>1.3751146284775799</v>
      </c>
      <c r="AA26" s="10">
        <v>1.3753139949651401</v>
      </c>
      <c r="AB26" s="8">
        <v>191.31272794527001</v>
      </c>
      <c r="AC26" s="8">
        <v>194.147823650475</v>
      </c>
      <c r="AD26" s="8">
        <v>194.19718841614099</v>
      </c>
      <c r="AE26" s="9">
        <v>-1.13164233615922E-2</v>
      </c>
      <c r="AF26" s="9">
        <v>3.3940149377340899E-3</v>
      </c>
      <c r="AG26" s="9">
        <v>3.6482464298234298E-3</v>
      </c>
      <c r="AZ26" s="9"/>
      <c r="BB26">
        <f t="shared" si="2"/>
        <v>0</v>
      </c>
      <c r="BC26">
        <f t="shared" si="3"/>
        <v>1</v>
      </c>
      <c r="BD26">
        <f t="shared" si="4"/>
        <v>1</v>
      </c>
      <c r="BE26">
        <f t="shared" si="0"/>
        <v>1</v>
      </c>
      <c r="BF26">
        <f t="shared" si="5"/>
        <v>1</v>
      </c>
      <c r="BG26" s="9">
        <f t="shared" si="6"/>
        <v>3.9750861451292099E-2</v>
      </c>
      <c r="BH26" s="9">
        <f t="shared" si="7"/>
        <v>-3.54550075349108E-2</v>
      </c>
      <c r="BI26" s="9">
        <f t="shared" si="8"/>
        <v>4.2958539163812995E-3</v>
      </c>
      <c r="BJ26" s="12">
        <f t="shared" si="9"/>
        <v>5.4073473258714998E-3</v>
      </c>
      <c r="BL26" s="9"/>
      <c r="BN26">
        <f t="shared" si="10"/>
        <v>1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3.0614083673751007E-3</v>
      </c>
      <c r="BX26" s="12">
        <f t="shared" si="18"/>
        <v>4.2958539163812995E-3</v>
      </c>
      <c r="BY26" s="12">
        <f t="shared" si="19"/>
        <v>8.4687556932466004E-3</v>
      </c>
    </row>
    <row r="27" spans="1:77" x14ac:dyDescent="0.3">
      <c r="A27" s="1">
        <v>46062</v>
      </c>
      <c r="B27" s="8">
        <v>143.35</v>
      </c>
      <c r="C27" s="8">
        <v>196.32</v>
      </c>
      <c r="D27" s="9">
        <v>1.56077409034632E-2</v>
      </c>
      <c r="E27" s="9">
        <v>1.45201494147639E-2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143.35</v>
      </c>
      <c r="M27" s="8">
        <v>196.32</v>
      </c>
      <c r="N27" s="10">
        <v>1.36951517265434</v>
      </c>
      <c r="O27" s="10">
        <v>1.35656065472774</v>
      </c>
      <c r="P27" s="10">
        <v>1.37430601430818</v>
      </c>
      <c r="Q27" s="10">
        <v>1.37476820039909</v>
      </c>
      <c r="R27" s="8">
        <v>194.46296985522201</v>
      </c>
      <c r="S27" s="8">
        <v>197.12268199226099</v>
      </c>
      <c r="T27" s="8">
        <v>197.15126117825301</v>
      </c>
      <c r="U27" s="9">
        <v>-9.5042223783522502E-3</v>
      </c>
      <c r="V27" s="9">
        <v>4.08030517606263E-3</v>
      </c>
      <c r="W27" s="9">
        <v>4.2252763897915099E-3</v>
      </c>
      <c r="X27" s="10">
        <v>1.36951517265434</v>
      </c>
      <c r="Y27" s="10">
        <v>1.3555780340485399</v>
      </c>
      <c r="Z27" s="10">
        <v>1.37430601430818</v>
      </c>
      <c r="AA27" s="10">
        <v>1.37476820039909</v>
      </c>
      <c r="AB27" s="8">
        <v>194.322111180858</v>
      </c>
      <c r="AC27" s="8">
        <v>197.12268199226099</v>
      </c>
      <c r="AD27" s="8">
        <v>197.15126117825301</v>
      </c>
      <c r="AE27" s="9">
        <v>-1.02288318728927E-2</v>
      </c>
      <c r="AF27" s="9">
        <v>4.08030517606263E-3</v>
      </c>
      <c r="AG27" s="9">
        <v>4.2252763897915099E-3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5.4073473258714998E-3</v>
      </c>
      <c r="BL27" s="9"/>
      <c r="BN27">
        <f t="shared" si="10"/>
        <v>1</v>
      </c>
      <c r="BO27">
        <f t="shared" si="11"/>
        <v>0</v>
      </c>
      <c r="BP27">
        <f t="shared" si="12"/>
        <v>1</v>
      </c>
      <c r="BQ27">
        <f t="shared" si="1"/>
        <v>1</v>
      </c>
      <c r="BR27">
        <f t="shared" si="13"/>
        <v>1</v>
      </c>
      <c r="BS27" s="9">
        <f t="shared" si="14"/>
        <v>-1.56077409034632E-2</v>
      </c>
      <c r="BT27" s="9">
        <f t="shared" si="15"/>
        <v>1.45201494147639E-2</v>
      </c>
      <c r="BU27" s="9">
        <f t="shared" si="16"/>
        <v>-1.0875914886993004E-3</v>
      </c>
      <c r="BV27" s="12">
        <f t="shared" si="17"/>
        <v>1.9738168786758003E-3</v>
      </c>
      <c r="BX27" s="12">
        <f t="shared" si="18"/>
        <v>-1.0875914886993004E-3</v>
      </c>
      <c r="BY27" s="12">
        <f t="shared" si="19"/>
        <v>7.3811642045473001E-3</v>
      </c>
    </row>
    <row r="28" spans="1:77" x14ac:dyDescent="0.3">
      <c r="A28" s="1">
        <v>46063</v>
      </c>
      <c r="B28" s="8">
        <v>142.55000000000001</v>
      </c>
      <c r="C28" s="8">
        <v>195.31</v>
      </c>
      <c r="D28" s="9">
        <v>-5.5963769706977098E-3</v>
      </c>
      <c r="E28" s="9">
        <v>-5.1579411138012897E-3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142.55000000000001</v>
      </c>
      <c r="M28" s="8">
        <v>195.31</v>
      </c>
      <c r="N28" s="10">
        <v>1.37011574886004</v>
      </c>
      <c r="O28" s="10">
        <v>1.35656065472774</v>
      </c>
      <c r="P28" s="10">
        <v>1.3737289367119201</v>
      </c>
      <c r="Q28" s="10">
        <v>1.3743251493653501</v>
      </c>
      <c r="R28" s="8">
        <v>193.37772133144</v>
      </c>
      <c r="S28" s="8">
        <v>195.907322339632</v>
      </c>
      <c r="T28" s="8">
        <v>195.97320696688999</v>
      </c>
      <c r="U28" s="9">
        <v>-9.9426582352484805E-3</v>
      </c>
      <c r="V28" s="9">
        <v>3.0536623492127498E-3</v>
      </c>
      <c r="W28" s="9">
        <v>3.3899108890196299E-3</v>
      </c>
      <c r="X28" s="10">
        <v>1.37011574886004</v>
      </c>
      <c r="Y28" s="10">
        <v>1.3555780340485399</v>
      </c>
      <c r="Z28" s="10">
        <v>1.3737289367119201</v>
      </c>
      <c r="AA28" s="10">
        <v>1.3743251493653501</v>
      </c>
      <c r="AB28" s="8">
        <v>193.237648753619</v>
      </c>
      <c r="AC28" s="8">
        <v>195.907322339632</v>
      </c>
      <c r="AD28" s="8">
        <v>195.97320696688999</v>
      </c>
      <c r="AE28" s="9">
        <v>-1.06672677297891E-2</v>
      </c>
      <c r="AF28" s="9">
        <v>3.0536623492127498E-3</v>
      </c>
      <c r="AG28" s="9">
        <v>3.3899108890196299E-3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5.4073473258714998E-3</v>
      </c>
      <c r="BL28" s="9"/>
      <c r="BN28">
        <f t="shared" si="10"/>
        <v>1</v>
      </c>
      <c r="BO28">
        <f t="shared" si="11"/>
        <v>0</v>
      </c>
      <c r="BP28">
        <f t="shared" si="12"/>
        <v>1</v>
      </c>
      <c r="BQ28">
        <f t="shared" si="1"/>
        <v>1</v>
      </c>
      <c r="BR28">
        <f t="shared" si="13"/>
        <v>1</v>
      </c>
      <c r="BS28" s="9">
        <f t="shared" si="14"/>
        <v>5.5963769706977098E-3</v>
      </c>
      <c r="BT28" s="9">
        <f t="shared" si="15"/>
        <v>-5.1579411138012897E-3</v>
      </c>
      <c r="BU28" s="9">
        <f t="shared" si="16"/>
        <v>4.3843585689642018E-4</v>
      </c>
      <c r="BV28" s="12">
        <f t="shared" si="17"/>
        <v>2.4122527355722205E-3</v>
      </c>
      <c r="BX28" s="12">
        <f t="shared" si="18"/>
        <v>4.3843585689642018E-4</v>
      </c>
      <c r="BY28" s="12">
        <f t="shared" si="19"/>
        <v>7.8196000614437211E-3</v>
      </c>
    </row>
    <row r="29" spans="1:77" x14ac:dyDescent="0.3">
      <c r="A29" s="1">
        <v>46064</v>
      </c>
      <c r="B29" s="8">
        <v>142.97</v>
      </c>
      <c r="C29" s="8">
        <v>195.5</v>
      </c>
      <c r="D29" s="9">
        <v>2.9420026823915998E-3</v>
      </c>
      <c r="E29" s="9">
        <v>9.7233957662056696E-4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142.97</v>
      </c>
      <c r="M29" s="8">
        <v>195.5</v>
      </c>
      <c r="N29" s="10">
        <v>1.36741973840665</v>
      </c>
      <c r="O29" s="10">
        <v>1.35656065472774</v>
      </c>
      <c r="P29" s="10">
        <v>1.37328669826283</v>
      </c>
      <c r="Q29" s="10">
        <v>1.3737788779569</v>
      </c>
      <c r="R29" s="8">
        <v>193.94747680642499</v>
      </c>
      <c r="S29" s="8">
        <v>196.40202608170301</v>
      </c>
      <c r="T29" s="8">
        <v>196.48726660476501</v>
      </c>
      <c r="U29" s="9">
        <v>-7.9729951294773508E-3</v>
      </c>
      <c r="V29" s="9">
        <v>4.6033325400227799E-3</v>
      </c>
      <c r="W29" s="9">
        <v>5.0372487906597697E-3</v>
      </c>
      <c r="X29" s="10">
        <v>1.36741973840665</v>
      </c>
      <c r="Y29" s="10">
        <v>1.3555780340485399</v>
      </c>
      <c r="Z29" s="10">
        <v>1.37328669826283</v>
      </c>
      <c r="AA29" s="10">
        <v>1.3737788779569</v>
      </c>
      <c r="AB29" s="8">
        <v>193.80699152791999</v>
      </c>
      <c r="AC29" s="8">
        <v>196.40202608170301</v>
      </c>
      <c r="AD29" s="8">
        <v>196.48726660476501</v>
      </c>
      <c r="AE29" s="9">
        <v>-8.6976046240180693E-3</v>
      </c>
      <c r="AF29" s="9">
        <v>4.6033325400227799E-3</v>
      </c>
      <c r="AG29" s="9">
        <v>5.0372487906597697E-3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5.4073473258714998E-3</v>
      </c>
      <c r="BL29" s="9"/>
      <c r="BN29">
        <f t="shared" si="10"/>
        <v>1</v>
      </c>
      <c r="BO29">
        <f t="shared" si="11"/>
        <v>0</v>
      </c>
      <c r="BP29">
        <f t="shared" si="12"/>
        <v>1</v>
      </c>
      <c r="BQ29">
        <f t="shared" si="1"/>
        <v>1</v>
      </c>
      <c r="BR29">
        <f t="shared" si="13"/>
        <v>1</v>
      </c>
      <c r="BS29" s="9">
        <f t="shared" si="14"/>
        <v>-2.9420026823915998E-3</v>
      </c>
      <c r="BT29" s="9">
        <f t="shared" si="15"/>
        <v>9.7233957662056696E-4</v>
      </c>
      <c r="BU29" s="9">
        <f t="shared" si="16"/>
        <v>-1.969663105771033E-3</v>
      </c>
      <c r="BV29" s="12">
        <f t="shared" si="17"/>
        <v>4.4258962980118751E-4</v>
      </c>
      <c r="BX29" s="12">
        <f t="shared" si="18"/>
        <v>-1.969663105771033E-3</v>
      </c>
      <c r="BY29" s="12">
        <f t="shared" si="19"/>
        <v>5.8499369556726886E-3</v>
      </c>
    </row>
    <row r="30" spans="1:77" x14ac:dyDescent="0.3">
      <c r="A30" s="1">
        <v>46065</v>
      </c>
      <c r="B30" s="8">
        <v>139.21</v>
      </c>
      <c r="C30" s="8">
        <v>190.79</v>
      </c>
      <c r="D30" s="9">
        <v>-2.6651233640596701E-2</v>
      </c>
      <c r="E30" s="9">
        <v>-2.4387032686201099E-2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139.21</v>
      </c>
      <c r="M30" s="8">
        <v>190.79</v>
      </c>
      <c r="N30" s="10">
        <v>1.37051935924143</v>
      </c>
      <c r="O30" s="10">
        <v>1.35656065472774</v>
      </c>
      <c r="P30" s="10">
        <v>1.3728769333631199</v>
      </c>
      <c r="Q30" s="10">
        <v>1.37345204702471</v>
      </c>
      <c r="R30" s="8">
        <v>188.846808744649</v>
      </c>
      <c r="S30" s="8">
        <v>191.17524126516901</v>
      </c>
      <c r="T30" s="8">
        <v>191.243757600381</v>
      </c>
      <c r="U30" s="9">
        <v>-1.02371960838731E-2</v>
      </c>
      <c r="V30" s="9">
        <v>2.0171542024055899E-3</v>
      </c>
      <c r="W30" s="9">
        <v>2.3754854367238798E-3</v>
      </c>
      <c r="X30" s="10">
        <v>1.37051935924143</v>
      </c>
      <c r="Y30" s="10">
        <v>1.3555780340485399</v>
      </c>
      <c r="Z30" s="10">
        <v>1.3728769333631199</v>
      </c>
      <c r="AA30" s="10">
        <v>1.37345204702471</v>
      </c>
      <c r="AB30" s="8">
        <v>188.710018119897</v>
      </c>
      <c r="AC30" s="8">
        <v>191.17524126516901</v>
      </c>
      <c r="AD30" s="8">
        <v>191.243757600381</v>
      </c>
      <c r="AE30" s="9">
        <v>-1.09618055784137E-2</v>
      </c>
      <c r="AF30" s="9">
        <v>2.0171542024055899E-3</v>
      </c>
      <c r="AG30" s="9">
        <v>2.3754854367238798E-3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5.4073473258714998E-3</v>
      </c>
      <c r="BL30" s="9"/>
      <c r="BN30">
        <f t="shared" si="10"/>
        <v>1</v>
      </c>
      <c r="BO30">
        <f t="shared" si="11"/>
        <v>0</v>
      </c>
      <c r="BP30">
        <f t="shared" si="12"/>
        <v>1</v>
      </c>
      <c r="BQ30">
        <f t="shared" si="1"/>
        <v>1</v>
      </c>
      <c r="BR30">
        <f t="shared" si="13"/>
        <v>1</v>
      </c>
      <c r="BS30" s="9">
        <f t="shared" si="14"/>
        <v>2.6651233640596701E-2</v>
      </c>
      <c r="BT30" s="9">
        <f t="shared" si="15"/>
        <v>-2.4387032686201099E-2</v>
      </c>
      <c r="BU30" s="9">
        <f t="shared" si="16"/>
        <v>2.2642009543956017E-3</v>
      </c>
      <c r="BV30" s="12">
        <f t="shared" si="17"/>
        <v>2.7067905841967892E-3</v>
      </c>
      <c r="BX30" s="12">
        <f t="shared" si="18"/>
        <v>2.2642009543956017E-3</v>
      </c>
      <c r="BY30" s="12">
        <f t="shared" si="19"/>
        <v>8.1141379100682903E-3</v>
      </c>
    </row>
    <row r="31" spans="1:77" x14ac:dyDescent="0.3">
      <c r="A31" s="1">
        <v>46066</v>
      </c>
      <c r="B31" s="8">
        <v>139.56</v>
      </c>
      <c r="C31" s="8">
        <v>190.54</v>
      </c>
      <c r="D31" s="9">
        <v>2.5110319180974101E-3</v>
      </c>
      <c r="E31" s="9">
        <v>-1.3112004605859899E-3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139.56</v>
      </c>
      <c r="M31" s="8">
        <v>190.54</v>
      </c>
      <c r="N31" s="10">
        <v>1.3652909143020899</v>
      </c>
      <c r="O31" s="10">
        <v>1.35656065472774</v>
      </c>
      <c r="P31" s="10">
        <v>1.37153418715085</v>
      </c>
      <c r="Q31" s="10">
        <v>1.37300354447913</v>
      </c>
      <c r="R31" s="8">
        <v>189.321604973804</v>
      </c>
      <c r="S31" s="8">
        <v>191.598704820157</v>
      </c>
      <c r="T31" s="8">
        <v>191.67896768276901</v>
      </c>
      <c r="U31" s="9">
        <v>-6.4149637051895102E-3</v>
      </c>
      <c r="V31" s="9">
        <v>5.54095942399138E-3</v>
      </c>
      <c r="W31" s="9">
        <v>5.9597830056597103E-3</v>
      </c>
      <c r="X31" s="10">
        <v>1.3652909143020899</v>
      </c>
      <c r="Y31" s="10">
        <v>1.3555780340485399</v>
      </c>
      <c r="Z31" s="10">
        <v>1.37153418715085</v>
      </c>
      <c r="AA31" s="10">
        <v>1.37300354447913</v>
      </c>
      <c r="AB31" s="8">
        <v>189.18447043181399</v>
      </c>
      <c r="AC31" s="8">
        <v>191.598704820157</v>
      </c>
      <c r="AD31" s="8">
        <v>191.67896768276901</v>
      </c>
      <c r="AE31" s="9">
        <v>-7.1395731997301601E-3</v>
      </c>
      <c r="AF31" s="9">
        <v>5.54095942399138E-3</v>
      </c>
      <c r="AG31" s="9">
        <v>5.9597830056597103E-3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5.4073473258714998E-3</v>
      </c>
      <c r="BL31" s="9"/>
      <c r="BN31">
        <f t="shared" si="10"/>
        <v>1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-2.5110319180974101E-3</v>
      </c>
      <c r="BT31" s="9">
        <f t="shared" si="15"/>
        <v>-1.3112004605859899E-3</v>
      </c>
      <c r="BU31" s="9">
        <f t="shared" si="16"/>
        <v>-3.8222323786833998E-3</v>
      </c>
      <c r="BV31" s="12">
        <f t="shared" si="17"/>
        <v>-1.1154417944866106E-3</v>
      </c>
      <c r="BX31" s="12">
        <f t="shared" si="18"/>
        <v>-3.8222323786833998E-3</v>
      </c>
      <c r="BY31" s="12">
        <f t="shared" si="19"/>
        <v>4.2919055313848905E-3</v>
      </c>
    </row>
    <row r="32" spans="1:77" x14ac:dyDescent="0.3">
      <c r="A32" s="1">
        <v>46070</v>
      </c>
      <c r="B32" s="8">
        <v>139.47999999999999</v>
      </c>
      <c r="C32" s="8">
        <v>190.48</v>
      </c>
      <c r="D32" s="9">
        <v>-5.7339451112310203E-4</v>
      </c>
      <c r="E32" s="9">
        <v>-3.1494410002599898E-4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139.47999999999999</v>
      </c>
      <c r="M32" s="8">
        <v>190.48</v>
      </c>
      <c r="N32" s="10">
        <v>1.3656438199024901</v>
      </c>
      <c r="O32" s="10">
        <v>1.35656065472774</v>
      </c>
      <c r="P32" s="10">
        <v>1.3706760164769101</v>
      </c>
      <c r="Q32" s="10">
        <v>1.37265161928142</v>
      </c>
      <c r="R32" s="8">
        <v>189.213080121426</v>
      </c>
      <c r="S32" s="8">
        <v>191.30158842380001</v>
      </c>
      <c r="T32" s="8">
        <v>191.506534383949</v>
      </c>
      <c r="U32" s="9">
        <v>-6.67341411628662E-3</v>
      </c>
      <c r="V32" s="9">
        <v>4.3039775462520597E-3</v>
      </c>
      <c r="W32" s="9">
        <v>5.3747279693433002E-3</v>
      </c>
      <c r="X32" s="10">
        <v>1.3656438199024901</v>
      </c>
      <c r="Y32" s="10">
        <v>1.3555780340485399</v>
      </c>
      <c r="Z32" s="10">
        <v>1.3706760164769101</v>
      </c>
      <c r="AA32" s="10">
        <v>1.37265161928142</v>
      </c>
      <c r="AB32" s="8">
        <v>189.07602418908999</v>
      </c>
      <c r="AC32" s="8">
        <v>191.30158842380001</v>
      </c>
      <c r="AD32" s="8">
        <v>191.506534383949</v>
      </c>
      <c r="AE32" s="9">
        <v>-7.3980236108273202E-3</v>
      </c>
      <c r="AF32" s="9">
        <v>4.3039775462520597E-3</v>
      </c>
      <c r="AG32" s="9">
        <v>5.3747279693433002E-3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5.4073473258714998E-3</v>
      </c>
      <c r="BL32" s="9"/>
      <c r="BN32">
        <f t="shared" si="10"/>
        <v>1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5.7339451112310203E-4</v>
      </c>
      <c r="BT32" s="9">
        <f t="shared" si="15"/>
        <v>-3.1494410002599898E-4</v>
      </c>
      <c r="BU32" s="9">
        <f t="shared" si="16"/>
        <v>2.5845041109710305E-4</v>
      </c>
      <c r="BV32" s="12">
        <f t="shared" si="17"/>
        <v>-8.5699138338950751E-4</v>
      </c>
      <c r="BX32" s="12">
        <f t="shared" si="18"/>
        <v>2.5845041109710305E-4</v>
      </c>
      <c r="BY32" s="12">
        <f t="shared" si="19"/>
        <v>4.5503559424819933E-3</v>
      </c>
    </row>
    <row r="33" spans="1:77" x14ac:dyDescent="0.3">
      <c r="A33" s="1">
        <v>46071</v>
      </c>
      <c r="B33" s="8">
        <v>140.91</v>
      </c>
      <c r="C33" s="8">
        <v>192.48</v>
      </c>
      <c r="D33" s="9">
        <v>1.0200166899563099E-2</v>
      </c>
      <c r="E33" s="9">
        <v>1.0445050047761299E-2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140.91</v>
      </c>
      <c r="M33" s="8">
        <v>192.48</v>
      </c>
      <c r="N33" s="10">
        <v>1.3659782840110699</v>
      </c>
      <c r="O33" s="10">
        <v>1.35656065472774</v>
      </c>
      <c r="P33" s="10">
        <v>1.3700835295627001</v>
      </c>
      <c r="Q33" s="10">
        <v>1.3723133366404601</v>
      </c>
      <c r="R33" s="8">
        <v>191.15296185768599</v>
      </c>
      <c r="S33" s="8">
        <v>193.14195748176101</v>
      </c>
      <c r="T33" s="8">
        <v>193.420339672945</v>
      </c>
      <c r="U33" s="9">
        <v>-6.9182972644849404E-3</v>
      </c>
      <c r="V33" s="9">
        <v>3.4331973017483401E-3</v>
      </c>
      <c r="W33" s="9">
        <v>4.8734942026998204E-3</v>
      </c>
      <c r="X33" s="10">
        <v>1.3659782840110699</v>
      </c>
      <c r="Y33" s="10">
        <v>1.3555780340485399</v>
      </c>
      <c r="Z33" s="10">
        <v>1.3700835295627001</v>
      </c>
      <c r="AA33" s="10">
        <v>1.3723133366404601</v>
      </c>
      <c r="AB33" s="8">
        <v>191.01450077778</v>
      </c>
      <c r="AC33" s="8">
        <v>193.14195748176101</v>
      </c>
      <c r="AD33" s="8">
        <v>193.420339672945</v>
      </c>
      <c r="AE33" s="9">
        <v>-7.6429067590257299E-3</v>
      </c>
      <c r="AF33" s="9">
        <v>3.4331973017483401E-3</v>
      </c>
      <c r="AG33" s="9">
        <v>4.8734942026998204E-3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5.4073473258714998E-3</v>
      </c>
      <c r="BL33" s="9"/>
      <c r="BN33">
        <f t="shared" si="10"/>
        <v>1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-1.0200166899563099E-2</v>
      </c>
      <c r="BT33" s="9">
        <f t="shared" si="15"/>
        <v>1.0445050047761299E-2</v>
      </c>
      <c r="BU33" s="9">
        <f t="shared" si="16"/>
        <v>2.448831481981998E-4</v>
      </c>
      <c r="BV33" s="12">
        <f t="shared" si="17"/>
        <v>-6.1210823519130771E-4</v>
      </c>
      <c r="BX33" s="12">
        <f t="shared" si="18"/>
        <v>2.448831481981998E-4</v>
      </c>
      <c r="BY33" s="12">
        <f t="shared" si="19"/>
        <v>4.7952390906801931E-3</v>
      </c>
    </row>
    <row r="34" spans="1:77" x14ac:dyDescent="0.3">
      <c r="A34" s="1">
        <v>46072</v>
      </c>
      <c r="B34" s="8">
        <v>140.21</v>
      </c>
      <c r="C34" s="8">
        <v>191.64</v>
      </c>
      <c r="D34" s="9">
        <v>-4.9800899739731296E-3</v>
      </c>
      <c r="E34" s="9">
        <v>-4.3736402114474002E-3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140.21</v>
      </c>
      <c r="M34" s="8">
        <v>191.64</v>
      </c>
      <c r="N34" s="10">
        <v>1.36680693245845</v>
      </c>
      <c r="O34" s="10">
        <v>1.35656065472774</v>
      </c>
      <c r="P34" s="10">
        <v>1.36892031895682</v>
      </c>
      <c r="Q34" s="10">
        <v>1.3721014268139</v>
      </c>
      <c r="R34" s="8">
        <v>190.20336939937701</v>
      </c>
      <c r="S34" s="8">
        <v>192.09941167998599</v>
      </c>
      <c r="T34" s="8">
        <v>192.41205293036001</v>
      </c>
      <c r="U34" s="9">
        <v>-7.5247470270106802E-3</v>
      </c>
      <c r="V34" s="9">
        <v>2.3943951832535101E-3</v>
      </c>
      <c r="W34" s="9">
        <v>4.0205694227494699E-3</v>
      </c>
      <c r="X34" s="10">
        <v>1.36680693245845</v>
      </c>
      <c r="Y34" s="10">
        <v>1.3555780340485399</v>
      </c>
      <c r="Z34" s="10">
        <v>1.36892031895682</v>
      </c>
      <c r="AA34" s="10">
        <v>1.3721014268139</v>
      </c>
      <c r="AB34" s="8">
        <v>190.06559615394599</v>
      </c>
      <c r="AC34" s="8">
        <v>192.09941167998599</v>
      </c>
      <c r="AD34" s="8">
        <v>192.41205293036001</v>
      </c>
      <c r="AE34" s="9">
        <v>-8.2493565215514507E-3</v>
      </c>
      <c r="AF34" s="9">
        <v>2.3943951832535101E-3</v>
      </c>
      <c r="AG34" s="9">
        <v>4.0205694227494699E-3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5.4073473258714998E-3</v>
      </c>
      <c r="BL34" s="9"/>
      <c r="BN34">
        <f t="shared" si="10"/>
        <v>1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4.9800899739731296E-3</v>
      </c>
      <c r="BT34" s="9">
        <f t="shared" si="15"/>
        <v>-4.3736402114474002E-3</v>
      </c>
      <c r="BU34" s="9">
        <f t="shared" si="16"/>
        <v>6.0644976252572941E-4</v>
      </c>
      <c r="BV34" s="12">
        <f t="shared" si="17"/>
        <v>-5.6584726655783003E-6</v>
      </c>
      <c r="BX34" s="12">
        <f t="shared" si="18"/>
        <v>6.0644976252572941E-4</v>
      </c>
      <c r="BY34" s="12">
        <f t="shared" si="19"/>
        <v>5.4016888532059226E-3</v>
      </c>
    </row>
    <row r="35" spans="1:77" x14ac:dyDescent="0.3">
      <c r="A35" s="1">
        <v>46073</v>
      </c>
      <c r="B35" s="8">
        <v>140.88</v>
      </c>
      <c r="C35" s="8">
        <v>192.93</v>
      </c>
      <c r="D35" s="9">
        <v>4.7671654549105201E-3</v>
      </c>
      <c r="E35" s="9">
        <v>6.70881679996016E-3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140.88</v>
      </c>
      <c r="M35" s="8">
        <v>192.93</v>
      </c>
      <c r="N35" s="10">
        <v>1.36946337308347</v>
      </c>
      <c r="O35" s="10">
        <v>1.35656065472774</v>
      </c>
      <c r="P35" s="10">
        <v>1.3681758798882599</v>
      </c>
      <c r="Q35" s="10">
        <v>1.3719212271632699</v>
      </c>
      <c r="R35" s="8">
        <v>191.112265038044</v>
      </c>
      <c r="S35" s="8">
        <v>192.85349453463701</v>
      </c>
      <c r="T35" s="8">
        <v>193.30164900954301</v>
      </c>
      <c r="U35" s="9">
        <v>-9.4663983720605308E-3</v>
      </c>
      <c r="V35" s="9">
        <v>-3.9662384445758299E-4</v>
      </c>
      <c r="W35" s="9">
        <v>1.92448819355677E-3</v>
      </c>
      <c r="X35" s="10">
        <v>1.36946337308347</v>
      </c>
      <c r="Y35" s="10">
        <v>1.3555780340485399</v>
      </c>
      <c r="Z35" s="10">
        <v>1.3681758798882599</v>
      </c>
      <c r="AA35" s="10">
        <v>1.3719212271632699</v>
      </c>
      <c r="AB35" s="8">
        <v>190.97383343675801</v>
      </c>
      <c r="AC35" s="8">
        <v>192.85349453463701</v>
      </c>
      <c r="AD35" s="8">
        <v>193.30164900954301</v>
      </c>
      <c r="AE35" s="9">
        <v>-1.01910078666011E-2</v>
      </c>
      <c r="AF35" s="9">
        <v>-3.9662384445758299E-4</v>
      </c>
      <c r="AG35" s="9">
        <v>1.92448819355677E-3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5.4073473258714998E-3</v>
      </c>
      <c r="BL35" s="9"/>
      <c r="BN35">
        <f t="shared" si="10"/>
        <v>0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-4.7671654549105201E-3</v>
      </c>
      <c r="BT35" s="9">
        <f t="shared" si="15"/>
        <v>6.70881679996016E-3</v>
      </c>
      <c r="BU35" s="9">
        <f t="shared" si="16"/>
        <v>1.9416513450496399E-3</v>
      </c>
      <c r="BV35" s="12">
        <f t="shared" si="17"/>
        <v>1.9359928723840616E-3</v>
      </c>
      <c r="BX35" s="12">
        <f t="shared" si="18"/>
        <v>1.9416513450496399E-3</v>
      </c>
      <c r="BY35" s="12">
        <f t="shared" si="19"/>
        <v>7.3433401982555624E-3</v>
      </c>
    </row>
    <row r="36" spans="1:77" x14ac:dyDescent="0.3">
      <c r="A36" s="1">
        <v>46076</v>
      </c>
      <c r="B36" s="8">
        <v>138.52000000000001</v>
      </c>
      <c r="C36" s="8">
        <v>189.8</v>
      </c>
      <c r="D36" s="9">
        <v>-1.6893744653729299E-2</v>
      </c>
      <c r="E36" s="9">
        <v>-1.6356542639053898E-2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138.52000000000001</v>
      </c>
      <c r="M36" s="8">
        <v>189.8</v>
      </c>
      <c r="N36" s="10">
        <v>1.3701992492058901</v>
      </c>
      <c r="O36" s="10">
        <v>1.35656065472774</v>
      </c>
      <c r="P36" s="10">
        <v>1.3680952592125899</v>
      </c>
      <c r="Q36" s="10">
        <v>1.3716049438450899</v>
      </c>
      <c r="R36" s="8">
        <v>187.910781892887</v>
      </c>
      <c r="S36" s="8">
        <v>189.51972288212201</v>
      </c>
      <c r="T36" s="8">
        <v>190.03852838665699</v>
      </c>
      <c r="U36" s="9">
        <v>-1.00036003867359E-2</v>
      </c>
      <c r="V36" s="9">
        <v>-1.47778853551278E-3</v>
      </c>
      <c r="W36" s="9">
        <v>1.2559464097813399E-3</v>
      </c>
      <c r="X36" s="10">
        <v>1.3701992492058901</v>
      </c>
      <c r="Y36" s="10">
        <v>1.3555780340485399</v>
      </c>
      <c r="Z36" s="10">
        <v>1.3680952592125899</v>
      </c>
      <c r="AA36" s="10">
        <v>1.3716049438450899</v>
      </c>
      <c r="AB36" s="8">
        <v>187.77466927640401</v>
      </c>
      <c r="AC36" s="8">
        <v>189.51972288212201</v>
      </c>
      <c r="AD36" s="8">
        <v>190.03852838665699</v>
      </c>
      <c r="AE36" s="9">
        <v>-1.0728209881276599E-2</v>
      </c>
      <c r="AF36" s="9">
        <v>-1.47778853551278E-3</v>
      </c>
      <c r="AG36" s="9">
        <v>1.2559464097813399E-3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5.4073473258714998E-3</v>
      </c>
      <c r="BL36" s="9"/>
      <c r="BN36">
        <f t="shared" si="10"/>
        <v>0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9">
        <f t="shared" si="14"/>
        <v>1.6893744653729299E-2</v>
      </c>
      <c r="BT36" s="9">
        <f t="shared" si="15"/>
        <v>-1.6356542639053898E-2</v>
      </c>
      <c r="BU36" s="9">
        <f t="shared" si="16"/>
        <v>5.372020146754003E-4</v>
      </c>
      <c r="BV36" s="12">
        <f t="shared" si="17"/>
        <v>2.4731948870594621E-3</v>
      </c>
      <c r="BX36" s="12">
        <f t="shared" si="18"/>
        <v>5.372020146754003E-4</v>
      </c>
      <c r="BY36" s="12">
        <f t="shared" si="19"/>
        <v>7.8805422129309619E-3</v>
      </c>
    </row>
    <row r="37" spans="1:77" x14ac:dyDescent="0.3">
      <c r="A37" s="1">
        <v>46077</v>
      </c>
      <c r="B37" s="8">
        <v>140.32</v>
      </c>
      <c r="C37" s="8">
        <v>192.22</v>
      </c>
      <c r="D37" s="9">
        <v>1.29108090896514E-2</v>
      </c>
      <c r="E37" s="9">
        <v>1.26696632193106E-2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140.32</v>
      </c>
      <c r="M37" s="8">
        <v>192.22</v>
      </c>
      <c r="N37" s="10">
        <v>1.36986887115165</v>
      </c>
      <c r="O37" s="10">
        <v>1.35656065472774</v>
      </c>
      <c r="P37" s="10">
        <v>1.3681306290623201</v>
      </c>
      <c r="Q37" s="10">
        <v>1.37121832168525</v>
      </c>
      <c r="R37" s="8">
        <v>190.352591071397</v>
      </c>
      <c r="S37" s="8">
        <v>191.97112677271099</v>
      </c>
      <c r="T37" s="8">
        <v>192.463605720343</v>
      </c>
      <c r="U37" s="9">
        <v>-9.7624545163951908E-3</v>
      </c>
      <c r="V37" s="9">
        <v>-1.2955700678996601E-3</v>
      </c>
      <c r="W37" s="9">
        <v>1.2665252653575199E-3</v>
      </c>
      <c r="X37" s="10">
        <v>1.36986887115165</v>
      </c>
      <c r="Y37" s="10">
        <v>1.3555780340485399</v>
      </c>
      <c r="Z37" s="10">
        <v>1.3681306290623201</v>
      </c>
      <c r="AA37" s="10">
        <v>1.37121832168525</v>
      </c>
      <c r="AB37" s="8">
        <v>190.21470973769101</v>
      </c>
      <c r="AC37" s="8">
        <v>191.97112677271099</v>
      </c>
      <c r="AD37" s="8">
        <v>192.463605720343</v>
      </c>
      <c r="AE37" s="9">
        <v>-1.0487064010935699E-2</v>
      </c>
      <c r="AF37" s="9">
        <v>-1.2955700678996601E-3</v>
      </c>
      <c r="AG37" s="9">
        <v>1.2665252653575199E-3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5.4073473258714998E-3</v>
      </c>
      <c r="BL37" s="9"/>
      <c r="BN37">
        <f t="shared" si="10"/>
        <v>0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9">
        <f t="shared" si="14"/>
        <v>-1.29108090896514E-2</v>
      </c>
      <c r="BT37" s="9">
        <f t="shared" si="15"/>
        <v>1.26696632193106E-2</v>
      </c>
      <c r="BU37" s="9">
        <f t="shared" si="16"/>
        <v>-2.4114587034079933E-4</v>
      </c>
      <c r="BV37" s="12">
        <f t="shared" si="17"/>
        <v>2.2320490167186628E-3</v>
      </c>
      <c r="BX37" s="12">
        <f t="shared" si="18"/>
        <v>-2.4114587034079933E-4</v>
      </c>
      <c r="BY37" s="12">
        <f t="shared" si="19"/>
        <v>7.6393963425901625E-3</v>
      </c>
    </row>
    <row r="38" spans="1:77" x14ac:dyDescent="0.3">
      <c r="A38" s="1">
        <v>46078</v>
      </c>
      <c r="B38" s="8">
        <v>143.01</v>
      </c>
      <c r="C38" s="8">
        <v>195.98</v>
      </c>
      <c r="D38" s="9">
        <v>1.8989029260970999E-2</v>
      </c>
      <c r="E38" s="9">
        <v>1.9372063812534E-2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143.01</v>
      </c>
      <c r="M38" s="8">
        <v>195.98</v>
      </c>
      <c r="N38" s="10">
        <v>1.3703936787637201</v>
      </c>
      <c r="O38" s="10">
        <v>1.35656065472774</v>
      </c>
      <c r="P38" s="10">
        <v>1.3681584220526899</v>
      </c>
      <c r="Q38" s="10">
        <v>1.3709436793823</v>
      </c>
      <c r="R38" s="8">
        <v>194.00173923261499</v>
      </c>
      <c r="S38" s="8">
        <v>195.65636126220301</v>
      </c>
      <c r="T38" s="8">
        <v>196.09793218420799</v>
      </c>
      <c r="U38" s="9">
        <v>-1.0145489067957999E-2</v>
      </c>
      <c r="V38" s="9">
        <v>-1.6527516006130099E-3</v>
      </c>
      <c r="W38" s="9">
        <v>6.0157523841411899E-4</v>
      </c>
      <c r="X38" s="10">
        <v>1.3703936787637201</v>
      </c>
      <c r="Y38" s="10">
        <v>1.3555780340485399</v>
      </c>
      <c r="Z38" s="10">
        <v>1.3681584220526899</v>
      </c>
      <c r="AA38" s="10">
        <v>1.3709436793823</v>
      </c>
      <c r="AB38" s="8">
        <v>193.861214649282</v>
      </c>
      <c r="AC38" s="8">
        <v>195.65636126220301</v>
      </c>
      <c r="AD38" s="8">
        <v>196.09793218420799</v>
      </c>
      <c r="AE38" s="9">
        <v>-1.08700985624987E-2</v>
      </c>
      <c r="AF38" s="9">
        <v>-1.6527516006130099E-3</v>
      </c>
      <c r="AG38" s="9">
        <v>6.0157523841411899E-4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5.4073473258714998E-3</v>
      </c>
      <c r="BL38" s="9"/>
      <c r="BN38">
        <f t="shared" si="10"/>
        <v>0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9">
        <f t="shared" si="14"/>
        <v>-1.8989029260970999E-2</v>
      </c>
      <c r="BT38" s="9">
        <f t="shared" si="15"/>
        <v>1.9372063812534E-2</v>
      </c>
      <c r="BU38" s="9">
        <f t="shared" si="16"/>
        <v>3.8303455156300098E-4</v>
      </c>
      <c r="BV38" s="12">
        <f t="shared" si="17"/>
        <v>2.6150835682816637E-3</v>
      </c>
      <c r="BX38" s="12">
        <f t="shared" si="18"/>
        <v>3.8303455156300098E-4</v>
      </c>
      <c r="BY38" s="12">
        <f t="shared" si="19"/>
        <v>8.0224308941531635E-3</v>
      </c>
    </row>
    <row r="39" spans="1:77" x14ac:dyDescent="0.3">
      <c r="A39" s="1">
        <v>46079</v>
      </c>
      <c r="B39" s="8">
        <v>141.01</v>
      </c>
      <c r="C39" s="8">
        <v>193.2</v>
      </c>
      <c r="D39" s="9">
        <v>-1.4083748035705199E-2</v>
      </c>
      <c r="E39" s="9">
        <v>-1.4286691429254801E-2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141.01</v>
      </c>
      <c r="M39" s="8">
        <v>193.2</v>
      </c>
      <c r="N39" s="10">
        <v>1.3701155946386701</v>
      </c>
      <c r="O39" s="10">
        <v>1.35656065472774</v>
      </c>
      <c r="P39" s="10">
        <v>1.3684280076758899</v>
      </c>
      <c r="Q39" s="10">
        <v>1.37085735296936</v>
      </c>
      <c r="R39" s="8">
        <v>191.28861792315899</v>
      </c>
      <c r="S39" s="8">
        <v>192.92401909365</v>
      </c>
      <c r="T39" s="8">
        <v>193.31676822969899</v>
      </c>
      <c r="U39" s="9">
        <v>-9.9425456744086406E-3</v>
      </c>
      <c r="V39" s="9">
        <v>-1.42949383979511E-3</v>
      </c>
      <c r="W39" s="9">
        <v>6.0420785254213904E-4</v>
      </c>
      <c r="X39" s="10">
        <v>1.3701155946386701</v>
      </c>
      <c r="Y39" s="10">
        <v>1.3555780340485399</v>
      </c>
      <c r="Z39" s="10">
        <v>1.3684280076758899</v>
      </c>
      <c r="AA39" s="10">
        <v>1.37085735296936</v>
      </c>
      <c r="AB39" s="8">
        <v>191.150058581184</v>
      </c>
      <c r="AC39" s="8">
        <v>192.92401909365</v>
      </c>
      <c r="AD39" s="8">
        <v>193.31676822969899</v>
      </c>
      <c r="AE39" s="9">
        <v>-1.0667155168949199E-2</v>
      </c>
      <c r="AF39" s="9">
        <v>-1.42949383979511E-3</v>
      </c>
      <c r="AG39" s="9">
        <v>6.0420785254213904E-4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5.4073473258714998E-3</v>
      </c>
      <c r="BL39" s="9"/>
      <c r="BN39">
        <f t="shared" si="10"/>
        <v>0</v>
      </c>
      <c r="BO39">
        <f t="shared" si="11"/>
        <v>0</v>
      </c>
      <c r="BP39">
        <f t="shared" si="12"/>
        <v>1</v>
      </c>
      <c r="BQ39">
        <f t="shared" si="1"/>
        <v>1</v>
      </c>
      <c r="BR39">
        <f t="shared" si="13"/>
        <v>1</v>
      </c>
      <c r="BS39" s="9">
        <f t="shared" si="14"/>
        <v>1.4083748035705199E-2</v>
      </c>
      <c r="BT39" s="9">
        <f t="shared" si="15"/>
        <v>-1.4286691429254801E-2</v>
      </c>
      <c r="BU39" s="9">
        <f t="shared" si="16"/>
        <v>-2.0294339354960146E-4</v>
      </c>
      <c r="BV39" s="12">
        <f t="shared" si="17"/>
        <v>2.4121401747320623E-3</v>
      </c>
      <c r="BX39" s="12">
        <f t="shared" si="18"/>
        <v>-2.0294339354960146E-4</v>
      </c>
      <c r="BY39" s="12">
        <f t="shared" si="19"/>
        <v>7.819487500603562E-3</v>
      </c>
    </row>
    <row r="40" spans="1:77" x14ac:dyDescent="0.3">
      <c r="A40" s="1">
        <v>46080</v>
      </c>
      <c r="B40" s="8">
        <v>138.76</v>
      </c>
      <c r="C40" s="8">
        <v>189.58</v>
      </c>
      <c r="D40" s="9">
        <v>-1.60849877475897E-2</v>
      </c>
      <c r="E40" s="9">
        <v>-1.8914822753521899E-2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138.76</v>
      </c>
      <c r="M40" s="8">
        <v>189.58</v>
      </c>
      <c r="N40" s="10">
        <v>1.36624387431536</v>
      </c>
      <c r="O40" s="10">
        <v>1.35656065472774</v>
      </c>
      <c r="P40" s="10">
        <v>1.3680004591832799</v>
      </c>
      <c r="Q40" s="10">
        <v>1.3704386962732</v>
      </c>
      <c r="R40" s="8">
        <v>188.23635645002199</v>
      </c>
      <c r="S40" s="8">
        <v>189.883070345107</v>
      </c>
      <c r="T40" s="8">
        <v>190.220166298029</v>
      </c>
      <c r="U40" s="9">
        <v>-7.1127106684763302E-3</v>
      </c>
      <c r="V40" s="9">
        <v>1.59736445116486E-3</v>
      </c>
      <c r="W40" s="9">
        <v>3.37107226946875E-3</v>
      </c>
      <c r="X40" s="10">
        <v>1.36624387431536</v>
      </c>
      <c r="Y40" s="10">
        <v>1.3555780340485399</v>
      </c>
      <c r="Z40" s="10">
        <v>1.3680004591832799</v>
      </c>
      <c r="AA40" s="10">
        <v>1.3704386962732</v>
      </c>
      <c r="AB40" s="8">
        <v>188.10000800457499</v>
      </c>
      <c r="AC40" s="8">
        <v>189.883070345107</v>
      </c>
      <c r="AD40" s="8">
        <v>190.220166298029</v>
      </c>
      <c r="AE40" s="9">
        <v>-7.8373201630170808E-3</v>
      </c>
      <c r="AF40" s="9">
        <v>1.59736445116486E-3</v>
      </c>
      <c r="AG40" s="9">
        <v>3.37107226946875E-3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5.4073473258714998E-3</v>
      </c>
      <c r="BL40" s="9"/>
      <c r="BN40">
        <f t="shared" si="10"/>
        <v>1</v>
      </c>
      <c r="BO40">
        <f t="shared" si="11"/>
        <v>0</v>
      </c>
      <c r="BP40">
        <f t="shared" si="12"/>
        <v>1</v>
      </c>
      <c r="BQ40">
        <f t="shared" si="1"/>
        <v>1</v>
      </c>
      <c r="BR40">
        <f t="shared" si="13"/>
        <v>1</v>
      </c>
      <c r="BS40" s="9">
        <f t="shared" si="14"/>
        <v>1.60849877475897E-2</v>
      </c>
      <c r="BT40" s="9">
        <f t="shared" si="15"/>
        <v>-1.8914822753521899E-2</v>
      </c>
      <c r="BU40" s="9">
        <f t="shared" si="16"/>
        <v>-2.8298350059321985E-3</v>
      </c>
      <c r="BV40" s="12">
        <f t="shared" si="17"/>
        <v>-4.176948312001362E-4</v>
      </c>
      <c r="BX40" s="12">
        <f t="shared" si="18"/>
        <v>-2.8298350059321985E-3</v>
      </c>
      <c r="BY40" s="12">
        <f t="shared" si="19"/>
        <v>4.9896524946713636E-3</v>
      </c>
    </row>
    <row r="41" spans="1:77" x14ac:dyDescent="0.3">
      <c r="A41" s="1">
        <v>46083</v>
      </c>
      <c r="B41" s="8">
        <v>139.54</v>
      </c>
      <c r="C41" s="8">
        <v>191.17</v>
      </c>
      <c r="D41" s="9">
        <v>5.6054764095416296E-3</v>
      </c>
      <c r="E41" s="9">
        <v>8.3519855160312604E-3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139.54</v>
      </c>
      <c r="M41" s="8">
        <v>191.17</v>
      </c>
      <c r="N41" s="10">
        <v>1.37000143328077</v>
      </c>
      <c r="O41" s="10">
        <v>1.35656065472774</v>
      </c>
      <c r="P41" s="10">
        <v>1.3684715110811501</v>
      </c>
      <c r="Q41" s="10">
        <v>1.3700028491159999</v>
      </c>
      <c r="R41" s="8">
        <v>189.294473760709</v>
      </c>
      <c r="S41" s="8">
        <v>190.890784074436</v>
      </c>
      <c r="T41" s="8">
        <v>191.231015677963</v>
      </c>
      <c r="U41" s="9">
        <v>-9.8592197749661596E-3</v>
      </c>
      <c r="V41" s="9">
        <v>-1.46163116923458E-3</v>
      </c>
      <c r="W41" s="9">
        <v>3.1911880972770401E-4</v>
      </c>
      <c r="X41" s="10">
        <v>1.37000143328077</v>
      </c>
      <c r="Y41" s="10">
        <v>1.3555780340485399</v>
      </c>
      <c r="Z41" s="10">
        <v>1.3684715110811501</v>
      </c>
      <c r="AA41" s="10">
        <v>1.3700028491159999</v>
      </c>
      <c r="AB41" s="8">
        <v>189.157358871133</v>
      </c>
      <c r="AC41" s="8">
        <v>190.890784074436</v>
      </c>
      <c r="AD41" s="8">
        <v>191.231015677963</v>
      </c>
      <c r="AE41" s="9">
        <v>-1.0583829269506699E-2</v>
      </c>
      <c r="AF41" s="9">
        <v>-1.46163116923458E-3</v>
      </c>
      <c r="AG41" s="9">
        <v>3.1911880972770401E-4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5.4073473258714998E-3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-5.6054764095416296E-3</v>
      </c>
      <c r="BT41" s="9">
        <f t="shared" si="15"/>
        <v>8.3519855160312604E-3</v>
      </c>
      <c r="BU41" s="9">
        <f t="shared" si="16"/>
        <v>2.7465091064896308E-3</v>
      </c>
      <c r="BV41" s="12">
        <f t="shared" si="17"/>
        <v>2.3288142752894946E-3</v>
      </c>
      <c r="BX41" s="12">
        <f t="shared" si="18"/>
        <v>2.7465091064896308E-3</v>
      </c>
      <c r="BY41" s="12">
        <f t="shared" si="19"/>
        <v>7.7361616011609943E-3</v>
      </c>
    </row>
    <row r="42" spans="1:77" x14ac:dyDescent="0.3">
      <c r="A42" s="1">
        <v>46084</v>
      </c>
      <c r="B42" s="8">
        <v>137.5</v>
      </c>
      <c r="C42" s="8">
        <v>188.91</v>
      </c>
      <c r="D42" s="9">
        <v>-1.4727381404464401E-2</v>
      </c>
      <c r="E42" s="9">
        <v>-1.1892373372165799E-2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137.5</v>
      </c>
      <c r="M42" s="8">
        <v>188.91</v>
      </c>
      <c r="N42" s="10">
        <v>1.3738909090908999</v>
      </c>
      <c r="O42" s="10">
        <v>1.35656065472774</v>
      </c>
      <c r="P42" s="10">
        <v>1.3692962200000001</v>
      </c>
      <c r="Q42" s="10">
        <v>1.3699861182384501</v>
      </c>
      <c r="R42" s="8">
        <v>186.52709002506501</v>
      </c>
      <c r="S42" s="8">
        <v>188.16483277365899</v>
      </c>
      <c r="T42" s="8">
        <v>188.37539175345</v>
      </c>
      <c r="U42" s="9">
        <v>-1.26942278072646E-2</v>
      </c>
      <c r="V42" s="9">
        <v>-3.9523624045185203E-3</v>
      </c>
      <c r="W42" s="9">
        <v>-2.8339745775451302E-3</v>
      </c>
      <c r="X42" s="10">
        <v>1.3738909090908999</v>
      </c>
      <c r="Y42" s="10">
        <v>1.3555780340485399</v>
      </c>
      <c r="Z42" s="10">
        <v>1.3692962200000001</v>
      </c>
      <c r="AA42" s="10">
        <v>1.3699861182384501</v>
      </c>
      <c r="AB42" s="8">
        <v>186.391979681674</v>
      </c>
      <c r="AC42" s="8">
        <v>188.16483277365899</v>
      </c>
      <c r="AD42" s="8">
        <v>188.37539175345</v>
      </c>
      <c r="AE42" s="9">
        <v>-1.3418837301805301E-2</v>
      </c>
      <c r="AF42" s="9">
        <v>-3.9523624045185203E-3</v>
      </c>
      <c r="AG42" s="9">
        <v>-2.8339745775451302E-3</v>
      </c>
      <c r="AZ42" s="9"/>
      <c r="BB42">
        <f t="shared" si="2"/>
        <v>1</v>
      </c>
      <c r="BC42">
        <f t="shared" si="3"/>
        <v>0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5.4073473258714998E-3</v>
      </c>
      <c r="BL42" s="9"/>
      <c r="BN42">
        <f t="shared" si="10"/>
        <v>0</v>
      </c>
      <c r="BO42">
        <f t="shared" si="11"/>
        <v>1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1.4727381404464401E-2</v>
      </c>
      <c r="BT42" s="9">
        <f t="shared" si="15"/>
        <v>-1.1892373372165799E-2</v>
      </c>
      <c r="BU42" s="9">
        <f t="shared" si="16"/>
        <v>2.8350080322986013E-3</v>
      </c>
      <c r="BV42" s="12">
        <f t="shared" si="17"/>
        <v>5.1638223075880958E-3</v>
      </c>
      <c r="BX42" s="12">
        <f t="shared" si="18"/>
        <v>2.8350080322986013E-3</v>
      </c>
      <c r="BY42" s="12">
        <f t="shared" si="19"/>
        <v>1.0571169633459596E-2</v>
      </c>
    </row>
    <row r="43" spans="1:77" x14ac:dyDescent="0.3">
      <c r="A43" s="1">
        <v>46085</v>
      </c>
      <c r="B43" s="8">
        <v>139.84</v>
      </c>
      <c r="C43" s="8">
        <v>191.44</v>
      </c>
      <c r="D43" s="9">
        <v>1.6874994800599299E-2</v>
      </c>
      <c r="E43" s="9">
        <v>1.3303732431356701E-2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139.84</v>
      </c>
      <c r="M43" s="8">
        <v>191.44</v>
      </c>
      <c r="N43" s="10">
        <v>1.3689931350114399</v>
      </c>
      <c r="O43" s="10">
        <v>1.35656065472774</v>
      </c>
      <c r="P43" s="10">
        <v>1.3695977051000301</v>
      </c>
      <c r="Q43" s="10">
        <v>1.36984061733137</v>
      </c>
      <c r="R43" s="8">
        <v>189.701441957128</v>
      </c>
      <c r="S43" s="8">
        <v>191.4823834048</v>
      </c>
      <c r="T43" s="8">
        <v>191.578858774465</v>
      </c>
      <c r="U43" s="9">
        <v>-9.1229654380221795E-3</v>
      </c>
      <c r="V43" s="9">
        <v>2.2136812476832501E-4</v>
      </c>
      <c r="W43" s="9">
        <v>7.2507542314534997E-4</v>
      </c>
      <c r="X43" s="10">
        <v>1.3689931350114399</v>
      </c>
      <c r="Y43" s="10">
        <v>1.3555780340485399</v>
      </c>
      <c r="Z43" s="10">
        <v>1.3695977051000301</v>
      </c>
      <c r="AA43" s="10">
        <v>1.36984061733137</v>
      </c>
      <c r="AB43" s="8">
        <v>189.56403228134801</v>
      </c>
      <c r="AC43" s="8">
        <v>191.4823834048</v>
      </c>
      <c r="AD43" s="8">
        <v>191.578858774465</v>
      </c>
      <c r="AE43" s="9">
        <v>-9.8475749325628009E-3</v>
      </c>
      <c r="AF43" s="9">
        <v>2.2136812476832501E-4</v>
      </c>
      <c r="AG43" s="9">
        <v>7.2507542314534997E-4</v>
      </c>
      <c r="AZ43" s="9"/>
      <c r="BB43">
        <f t="shared" si="2"/>
        <v>0</v>
      </c>
      <c r="BC43">
        <f t="shared" si="3"/>
        <v>1</v>
      </c>
      <c r="BD43">
        <f t="shared" si="4"/>
        <v>1</v>
      </c>
      <c r="BE43">
        <f t="shared" si="0"/>
        <v>1</v>
      </c>
      <c r="BF43">
        <f t="shared" si="5"/>
        <v>1</v>
      </c>
      <c r="BG43" s="9">
        <f t="shared" si="6"/>
        <v>1.6874994800599299E-2</v>
      </c>
      <c r="BH43" s="9">
        <f t="shared" si="7"/>
        <v>-1.3303732431356701E-2</v>
      </c>
      <c r="BI43" s="9">
        <f t="shared" si="8"/>
        <v>3.5712623692425987E-3</v>
      </c>
      <c r="BJ43" s="12">
        <f t="shared" si="9"/>
        <v>8.9786096951140985E-3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5.1638223075880958E-3</v>
      </c>
      <c r="BX43" s="12">
        <f t="shared" si="18"/>
        <v>3.5712623692425987E-3</v>
      </c>
      <c r="BY43" s="12">
        <f t="shared" si="19"/>
        <v>1.4142432002702194E-2</v>
      </c>
    </row>
    <row r="44" spans="1:77" x14ac:dyDescent="0.3">
      <c r="A44" s="1">
        <v>46086</v>
      </c>
      <c r="B44" s="8">
        <v>140.18</v>
      </c>
      <c r="C44" s="8">
        <v>191.71</v>
      </c>
      <c r="D44" s="9">
        <v>2.42839916495331E-3</v>
      </c>
      <c r="E44" s="9">
        <v>1.4093699318403E-3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140.18</v>
      </c>
      <c r="M44" s="8">
        <v>191.71</v>
      </c>
      <c r="N44" s="10">
        <v>1.36759880154087</v>
      </c>
      <c r="O44" s="10">
        <v>1.35656065472774</v>
      </c>
      <c r="P44" s="10">
        <v>1.36967689200827</v>
      </c>
      <c r="Q44" s="10">
        <v>1.36929860548255</v>
      </c>
      <c r="R44" s="8">
        <v>190.16267257973499</v>
      </c>
      <c r="S44" s="8">
        <v>191.99020630092301</v>
      </c>
      <c r="T44" s="8">
        <v>192.02425773751099</v>
      </c>
      <c r="U44" s="9">
        <v>-8.1039362049090992E-3</v>
      </c>
      <c r="V44" s="9">
        <v>1.4605483454697701E-3</v>
      </c>
      <c r="W44" s="9">
        <v>1.6378928981692601E-3</v>
      </c>
      <c r="X44" s="10">
        <v>1.36759880154087</v>
      </c>
      <c r="Y44" s="10">
        <v>1.3555780340485399</v>
      </c>
      <c r="Z44" s="10">
        <v>1.36967689200827</v>
      </c>
      <c r="AA44" s="10">
        <v>1.36929860548255</v>
      </c>
      <c r="AB44" s="8">
        <v>190.024928812924</v>
      </c>
      <c r="AC44" s="8">
        <v>191.99020630092301</v>
      </c>
      <c r="AD44" s="8">
        <v>192.02425773751099</v>
      </c>
      <c r="AE44" s="9">
        <v>-8.8285456994497205E-3</v>
      </c>
      <c r="AF44" s="9">
        <v>1.4605483454697701E-3</v>
      </c>
      <c r="AG44" s="9">
        <v>1.6378928981692601E-3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8.9786096951140985E-3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5.1638223075880958E-3</v>
      </c>
      <c r="BX44" s="12">
        <f t="shared" si="18"/>
        <v>0</v>
      </c>
      <c r="BY44" s="12">
        <f t="shared" si="19"/>
        <v>1.4142432002702194E-2</v>
      </c>
    </row>
    <row r="45" spans="1:77" x14ac:dyDescent="0.3">
      <c r="A45" s="1">
        <v>46087</v>
      </c>
      <c r="B45" s="8">
        <v>137.29</v>
      </c>
      <c r="C45" s="8">
        <v>188.34</v>
      </c>
      <c r="D45" s="9">
        <v>-2.0831834162665201E-2</v>
      </c>
      <c r="E45" s="9">
        <v>-1.7734973450040801E-2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137.29</v>
      </c>
      <c r="M45" s="8">
        <v>188.34</v>
      </c>
      <c r="N45" s="10">
        <v>1.37184062932478</v>
      </c>
      <c r="O45" s="10">
        <v>1.35656065472774</v>
      </c>
      <c r="P45" s="10">
        <v>1.36991461763241</v>
      </c>
      <c r="Q45" s="10">
        <v>1.36904524876033</v>
      </c>
      <c r="R45" s="8">
        <v>186.24221228757199</v>
      </c>
      <c r="S45" s="8">
        <v>188.042940503816</v>
      </c>
      <c r="T45" s="8">
        <v>187.991005546699</v>
      </c>
      <c r="U45" s="9">
        <v>-1.1200796917533401E-2</v>
      </c>
      <c r="V45" s="9">
        <v>-1.5784963976657499E-3</v>
      </c>
      <c r="W45" s="9">
        <v>-1.8547212331769399E-3</v>
      </c>
      <c r="X45" s="10">
        <v>1.37184062932478</v>
      </c>
      <c r="Y45" s="10">
        <v>1.3555780340485399</v>
      </c>
      <c r="Z45" s="10">
        <v>1.36991461763241</v>
      </c>
      <c r="AA45" s="10">
        <v>1.36904524876033</v>
      </c>
      <c r="AB45" s="8">
        <v>186.10730829452399</v>
      </c>
      <c r="AC45" s="8">
        <v>188.042940503816</v>
      </c>
      <c r="AD45" s="8">
        <v>187.991005546699</v>
      </c>
      <c r="AE45" s="9">
        <v>-1.19254064120741E-2</v>
      </c>
      <c r="AF45" s="9">
        <v>-1.5784963976657499E-3</v>
      </c>
      <c r="AG45" s="9">
        <v>-1.8547212331769399E-3</v>
      </c>
      <c r="AZ45" s="9"/>
      <c r="BB45">
        <f t="shared" si="2"/>
        <v>1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8.9786096951140985E-3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5.1638223075880958E-3</v>
      </c>
      <c r="BX45" s="12">
        <f t="shared" si="18"/>
        <v>0</v>
      </c>
      <c r="BY45" s="12">
        <f t="shared" si="19"/>
        <v>1.4142432002702194E-2</v>
      </c>
    </row>
    <row r="46" spans="1:77" x14ac:dyDescent="0.3">
      <c r="A46" s="1">
        <v>46090</v>
      </c>
      <c r="B46" s="8">
        <v>139.76</v>
      </c>
      <c r="C46" s="8">
        <v>191.75</v>
      </c>
      <c r="D46" s="9">
        <v>1.7831188916287499E-2</v>
      </c>
      <c r="E46" s="9">
        <v>1.7943600165448301E-2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139.76</v>
      </c>
      <c r="M46" s="8">
        <v>191.75</v>
      </c>
      <c r="N46" s="10">
        <v>1.37199484831139</v>
      </c>
      <c r="O46" s="10">
        <v>1.35656065472774</v>
      </c>
      <c r="P46" s="10">
        <v>1.37009417754296</v>
      </c>
      <c r="Q46" s="10">
        <v>1.36909471837777</v>
      </c>
      <c r="R46" s="8">
        <v>189.59291710474901</v>
      </c>
      <c r="S46" s="8">
        <v>191.459266960305</v>
      </c>
      <c r="T46" s="8">
        <v>191.33776396674401</v>
      </c>
      <c r="U46" s="9">
        <v>-1.13132081666942E-2</v>
      </c>
      <c r="V46" s="9">
        <v>-1.5173594197343599E-3</v>
      </c>
      <c r="W46" s="9">
        <v>-2.1521762434015298E-3</v>
      </c>
      <c r="X46" s="10">
        <v>1.37199484831139</v>
      </c>
      <c r="Y46" s="10">
        <v>1.3555780340485399</v>
      </c>
      <c r="Z46" s="10">
        <v>1.37009417754296</v>
      </c>
      <c r="AA46" s="10">
        <v>1.36909471837777</v>
      </c>
      <c r="AB46" s="8">
        <v>189.45558603862401</v>
      </c>
      <c r="AC46" s="8">
        <v>191.459266960305</v>
      </c>
      <c r="AD46" s="8">
        <v>191.33776396674401</v>
      </c>
      <c r="AE46" s="9">
        <v>-1.2037817661234899E-2</v>
      </c>
      <c r="AF46" s="9">
        <v>-1.5173594197343599E-3</v>
      </c>
      <c r="AG46" s="9">
        <v>-2.1521762434015298E-3</v>
      </c>
      <c r="AZ46" s="9"/>
      <c r="BB46">
        <f t="shared" si="2"/>
        <v>1</v>
      </c>
      <c r="BC46">
        <f t="shared" si="3"/>
        <v>0</v>
      </c>
      <c r="BD46">
        <f t="shared" si="4"/>
        <v>1</v>
      </c>
      <c r="BE46">
        <f t="shared" si="0"/>
        <v>1</v>
      </c>
      <c r="BF46">
        <f t="shared" si="5"/>
        <v>1</v>
      </c>
      <c r="BG46" s="9">
        <f t="shared" si="6"/>
        <v>1.7831188916287499E-2</v>
      </c>
      <c r="BH46" s="9">
        <f t="shared" si="7"/>
        <v>-1.7943600165448301E-2</v>
      </c>
      <c r="BI46" s="9">
        <f t="shared" si="8"/>
        <v>-1.1241124916080286E-4</v>
      </c>
      <c r="BJ46" s="12">
        <f t="shared" si="9"/>
        <v>8.8661984459532956E-3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5.1638223075880958E-3</v>
      </c>
      <c r="BX46" s="12">
        <f t="shared" si="18"/>
        <v>-1.1241124916080286E-4</v>
      </c>
      <c r="BY46" s="12">
        <f t="shared" si="19"/>
        <v>1.4030020753541391E-2</v>
      </c>
    </row>
    <row r="47" spans="1:77" x14ac:dyDescent="0.3">
      <c r="A47" s="1">
        <v>46091</v>
      </c>
      <c r="B47" s="8">
        <v>139.76</v>
      </c>
      <c r="C47" s="8">
        <v>191.75</v>
      </c>
      <c r="D47" s="9">
        <v>0</v>
      </c>
      <c r="E47" s="9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139.76</v>
      </c>
      <c r="M47" s="8">
        <v>191.75</v>
      </c>
      <c r="N47" s="10">
        <v>1.37199484831139</v>
      </c>
      <c r="O47" s="10">
        <v>1.35656065472774</v>
      </c>
      <c r="P47" s="10">
        <v>1.37030677525893</v>
      </c>
      <c r="Q47" s="10">
        <v>1.3692187021606299</v>
      </c>
      <c r="R47" s="8">
        <v>189.59291710474901</v>
      </c>
      <c r="S47" s="8">
        <v>191.48436225340399</v>
      </c>
      <c r="T47" s="8">
        <v>191.344677840478</v>
      </c>
      <c r="U47" s="9">
        <v>-1.13132081666942E-2</v>
      </c>
      <c r="V47" s="9">
        <v>-1.38629421211652E-3</v>
      </c>
      <c r="W47" s="9">
        <v>-2.1160425044115098E-3</v>
      </c>
      <c r="X47" s="10">
        <v>1.37199484831139</v>
      </c>
      <c r="Y47" s="10">
        <v>1.3555780340485399</v>
      </c>
      <c r="Z47" s="10">
        <v>1.37030677525893</v>
      </c>
      <c r="AA47" s="10">
        <v>1.3692187021606299</v>
      </c>
      <c r="AB47" s="8">
        <v>189.45558603862401</v>
      </c>
      <c r="AC47" s="8">
        <v>191.48436225340399</v>
      </c>
      <c r="AD47" s="8">
        <v>191.344677840478</v>
      </c>
      <c r="AE47" s="9">
        <v>-1.2037817661234899E-2</v>
      </c>
      <c r="AF47" s="9">
        <v>-1.38629421211652E-3</v>
      </c>
      <c r="AG47" s="9">
        <v>-2.1160425044115098E-3</v>
      </c>
      <c r="AZ47" s="9"/>
      <c r="BB47">
        <f t="shared" si="2"/>
        <v>1</v>
      </c>
      <c r="BC47">
        <f t="shared" si="3"/>
        <v>0</v>
      </c>
      <c r="BD47">
        <f t="shared" si="4"/>
        <v>1</v>
      </c>
      <c r="BE47">
        <f t="shared" si="0"/>
        <v>1</v>
      </c>
      <c r="BF47">
        <f t="shared" si="5"/>
        <v>1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8.8661984459532956E-3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5.1638223075880958E-3</v>
      </c>
      <c r="BX47" s="12">
        <f t="shared" si="18"/>
        <v>0</v>
      </c>
      <c r="BY47" s="12">
        <f t="shared" si="19"/>
        <v>1.4030020753541391E-2</v>
      </c>
    </row>
    <row r="48" spans="1:77" x14ac:dyDescent="0.3">
      <c r="A48" s="1">
        <v>46092</v>
      </c>
      <c r="B48" s="8">
        <v>140.43</v>
      </c>
      <c r="C48" s="8">
        <v>192.67</v>
      </c>
      <c r="D48" s="9">
        <v>4.78247815428784E-3</v>
      </c>
      <c r="E48" s="9">
        <v>4.7864406453032998E-3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140.43</v>
      </c>
      <c r="M48" s="8">
        <v>192.67</v>
      </c>
      <c r="N48" s="10">
        <v>1.3720002848394199</v>
      </c>
      <c r="O48" s="10">
        <v>1.35656065472774</v>
      </c>
      <c r="P48" s="10">
        <v>1.3704674358665001</v>
      </c>
      <c r="Q48" s="10">
        <v>1.36931292895959</v>
      </c>
      <c r="R48" s="8">
        <v>190.50181274341699</v>
      </c>
      <c r="S48" s="8">
        <v>192.43218044961199</v>
      </c>
      <c r="T48" s="8">
        <v>192.279382344417</v>
      </c>
      <c r="U48" s="9">
        <v>-1.13171706577094E-2</v>
      </c>
      <c r="V48" s="9">
        <v>-1.23509859301437E-3</v>
      </c>
      <c r="W48" s="9">
        <v>-2.0294501436649202E-3</v>
      </c>
      <c r="X48" s="10">
        <v>1.3720002848394199</v>
      </c>
      <c r="Y48" s="10">
        <v>1.3555780340485399</v>
      </c>
      <c r="Z48" s="10">
        <v>1.3704674358665001</v>
      </c>
      <c r="AA48" s="10">
        <v>1.36931292895959</v>
      </c>
      <c r="AB48" s="8">
        <v>190.363823321436</v>
      </c>
      <c r="AC48" s="8">
        <v>192.43218044961199</v>
      </c>
      <c r="AD48" s="8">
        <v>192.279382344417</v>
      </c>
      <c r="AE48" s="9">
        <v>-1.20417801522501E-2</v>
      </c>
      <c r="AF48" s="9">
        <v>-1.23509859301437E-3</v>
      </c>
      <c r="AG48" s="9">
        <v>-2.0294501436649202E-3</v>
      </c>
      <c r="AZ48" s="9"/>
      <c r="BB48">
        <f t="shared" si="2"/>
        <v>1</v>
      </c>
      <c r="BC48">
        <f t="shared" si="3"/>
        <v>0</v>
      </c>
      <c r="BD48">
        <f t="shared" si="4"/>
        <v>1</v>
      </c>
      <c r="BE48">
        <f t="shared" si="0"/>
        <v>1</v>
      </c>
      <c r="BF48">
        <f t="shared" si="5"/>
        <v>1</v>
      </c>
      <c r="BG48" s="9">
        <f t="shared" si="6"/>
        <v>4.78247815428784E-3</v>
      </c>
      <c r="BH48" s="9">
        <f t="shared" si="7"/>
        <v>-4.7864406453032998E-3</v>
      </c>
      <c r="BI48" s="9">
        <f t="shared" si="8"/>
        <v>-3.9624910154597778E-6</v>
      </c>
      <c r="BJ48" s="12">
        <f t="shared" si="9"/>
        <v>8.8622359549378367E-3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5.1638223075880958E-3</v>
      </c>
      <c r="BX48" s="12">
        <f t="shared" si="18"/>
        <v>-3.9624910154597778E-6</v>
      </c>
      <c r="BY48" s="12">
        <f t="shared" si="19"/>
        <v>1.4026058262525933E-2</v>
      </c>
    </row>
    <row r="49" spans="1:77" x14ac:dyDescent="0.3">
      <c r="A49" s="1">
        <v>46093</v>
      </c>
      <c r="B49" s="8">
        <v>137.84</v>
      </c>
      <c r="C49" s="8">
        <v>189.04</v>
      </c>
      <c r="D49" s="9">
        <v>-1.8615551760414701E-2</v>
      </c>
      <c r="E49" s="9">
        <v>-1.9020248014016299E-2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137.84</v>
      </c>
      <c r="M49" s="8">
        <v>189.04</v>
      </c>
      <c r="N49" s="10">
        <v>1.3714451538015</v>
      </c>
      <c r="O49" s="10">
        <v>1.35656065472774</v>
      </c>
      <c r="P49" s="10">
        <v>1.37060039178278</v>
      </c>
      <c r="Q49" s="10">
        <v>1.3695141997293401</v>
      </c>
      <c r="R49" s="8">
        <v>186.988320647672</v>
      </c>
      <c r="S49" s="8">
        <v>188.90523135983801</v>
      </c>
      <c r="T49" s="8">
        <v>188.746094127791</v>
      </c>
      <c r="U49" s="9">
        <v>-1.09124744041079E-2</v>
      </c>
      <c r="V49" s="9">
        <v>-7.1316494926081098E-4</v>
      </c>
      <c r="W49" s="9">
        <v>-1.5559383263246301E-3</v>
      </c>
      <c r="X49" s="10">
        <v>1.3714451538015</v>
      </c>
      <c r="Y49" s="10">
        <v>1.3555780340485399</v>
      </c>
      <c r="Z49" s="10">
        <v>1.37060039178278</v>
      </c>
      <c r="AA49" s="10">
        <v>1.3695141997293401</v>
      </c>
      <c r="AB49" s="8">
        <v>186.85287621325099</v>
      </c>
      <c r="AC49" s="8">
        <v>188.90523135983801</v>
      </c>
      <c r="AD49" s="8">
        <v>188.746094127791</v>
      </c>
      <c r="AE49" s="9">
        <v>-1.1637083898648599E-2</v>
      </c>
      <c r="AF49" s="9">
        <v>-7.1316494926081098E-4</v>
      </c>
      <c r="AG49" s="9">
        <v>-1.5559383263246301E-3</v>
      </c>
      <c r="AZ49" s="9"/>
      <c r="BB49">
        <f t="shared" si="2"/>
        <v>1</v>
      </c>
      <c r="BC49">
        <f t="shared" si="3"/>
        <v>0</v>
      </c>
      <c r="BD49">
        <f t="shared" si="4"/>
        <v>1</v>
      </c>
      <c r="BE49">
        <f t="shared" si="0"/>
        <v>1</v>
      </c>
      <c r="BF49">
        <f t="shared" si="5"/>
        <v>1</v>
      </c>
      <c r="BG49" s="9">
        <f t="shared" si="6"/>
        <v>-1.8615551760414701E-2</v>
      </c>
      <c r="BH49" s="9">
        <f t="shared" si="7"/>
        <v>1.9020248014016299E-2</v>
      </c>
      <c r="BI49" s="9">
        <f t="shared" si="8"/>
        <v>4.0469625360159758E-4</v>
      </c>
      <c r="BJ49" s="12">
        <f t="shared" si="9"/>
        <v>9.2669322085394343E-3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5.1638223075880958E-3</v>
      </c>
      <c r="BX49" s="12">
        <f t="shared" si="18"/>
        <v>4.0469625360159758E-4</v>
      </c>
      <c r="BY49" s="12">
        <f t="shared" si="19"/>
        <v>1.443075451612753E-2</v>
      </c>
    </row>
    <row r="50" spans="1:77" x14ac:dyDescent="0.3">
      <c r="A50" s="1">
        <v>46094</v>
      </c>
      <c r="B50" s="8">
        <v>136.80000000000001</v>
      </c>
      <c r="C50" s="8">
        <v>187.24</v>
      </c>
      <c r="D50" s="9">
        <v>-7.57358703122401E-3</v>
      </c>
      <c r="E50" s="9">
        <v>-9.5674164467824604E-3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136.80000000000001</v>
      </c>
      <c r="M50" s="8">
        <v>187.24</v>
      </c>
      <c r="N50" s="10">
        <v>1.3687134502923901</v>
      </c>
      <c r="O50" s="10">
        <v>1.35656065472774</v>
      </c>
      <c r="P50" s="10">
        <v>1.37084734938049</v>
      </c>
      <c r="Q50" s="10">
        <v>1.3694239042818901</v>
      </c>
      <c r="R50" s="8">
        <v>185.577497566755</v>
      </c>
      <c r="S50" s="8">
        <v>187.49813359588501</v>
      </c>
      <c r="T50" s="8">
        <v>187.34954252297399</v>
      </c>
      <c r="U50" s="9">
        <v>-8.9186449885493794E-3</v>
      </c>
      <c r="V50" s="9">
        <v>1.3776747737741801E-3</v>
      </c>
      <c r="W50" s="9">
        <v>5.8486697390845396E-4</v>
      </c>
      <c r="X50" s="10">
        <v>1.3687134502923901</v>
      </c>
      <c r="Y50" s="10">
        <v>1.3555780340485399</v>
      </c>
      <c r="Z50" s="10">
        <v>1.37084734938049</v>
      </c>
      <c r="AA50" s="10">
        <v>1.3694239042818901</v>
      </c>
      <c r="AB50" s="8">
        <v>185.44307505783999</v>
      </c>
      <c r="AC50" s="8">
        <v>187.49813359588501</v>
      </c>
      <c r="AD50" s="8">
        <v>187.34954252297399</v>
      </c>
      <c r="AE50" s="9">
        <v>-9.6432544830900597E-3</v>
      </c>
      <c r="AF50" s="9">
        <v>1.3776747737741801E-3</v>
      </c>
      <c r="AG50" s="9">
        <v>5.8486697390845396E-4</v>
      </c>
      <c r="AZ50" s="9"/>
      <c r="BB50">
        <f t="shared" si="2"/>
        <v>0</v>
      </c>
      <c r="BC50">
        <f t="shared" si="3"/>
        <v>1</v>
      </c>
      <c r="BD50">
        <f t="shared" si="4"/>
        <v>1</v>
      </c>
      <c r="BE50">
        <f t="shared" si="0"/>
        <v>1</v>
      </c>
      <c r="BF50">
        <f t="shared" si="5"/>
        <v>1</v>
      </c>
      <c r="BG50" s="9">
        <f t="shared" si="6"/>
        <v>-7.57358703122401E-3</v>
      </c>
      <c r="BH50" s="9">
        <f t="shared" si="7"/>
        <v>9.5674164467824604E-3</v>
      </c>
      <c r="BI50" s="9">
        <f t="shared" si="8"/>
        <v>1.9938294155584504E-3</v>
      </c>
      <c r="BJ50" s="12">
        <f t="shared" si="9"/>
        <v>1.1260761624097886E-2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5.1638223075880958E-3</v>
      </c>
      <c r="BX50" s="12">
        <f t="shared" si="18"/>
        <v>1.9938294155584504E-3</v>
      </c>
      <c r="BY50" s="12">
        <f t="shared" si="19"/>
        <v>1.6424583931685981E-2</v>
      </c>
    </row>
    <row r="51" spans="1:77" x14ac:dyDescent="0.3">
      <c r="A51" s="1">
        <v>46097</v>
      </c>
      <c r="B51" s="8">
        <v>138.78</v>
      </c>
      <c r="C51" s="8">
        <v>189.87</v>
      </c>
      <c r="D51" s="9">
        <v>1.43699402829526E-2</v>
      </c>
      <c r="E51" s="9">
        <v>1.3948411023453899E-2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138.78</v>
      </c>
      <c r="M51" s="8">
        <v>189.87</v>
      </c>
      <c r="N51" s="10">
        <v>1.36813661910938</v>
      </c>
      <c r="O51" s="10">
        <v>1.35656065472774</v>
      </c>
      <c r="P51" s="10">
        <v>1.3706608679633501</v>
      </c>
      <c r="Q51" s="10">
        <v>1.36956618952225</v>
      </c>
      <c r="R51" s="8">
        <v>188.263487663116</v>
      </c>
      <c r="S51" s="8">
        <v>190.246195147024</v>
      </c>
      <c r="T51" s="8">
        <v>190.04864943624</v>
      </c>
      <c r="U51" s="9">
        <v>-8.4971157290505799E-3</v>
      </c>
      <c r="V51" s="9">
        <v>1.9793698592804501E-3</v>
      </c>
      <c r="W51" s="9">
        <v>9.4046159446644999E-4</v>
      </c>
      <c r="X51" s="10">
        <v>1.36813661910938</v>
      </c>
      <c r="Y51" s="10">
        <v>1.3555780340485399</v>
      </c>
      <c r="Z51" s="10">
        <v>1.3706608679633501</v>
      </c>
      <c r="AA51" s="10">
        <v>1.36956618952225</v>
      </c>
      <c r="AB51" s="8">
        <v>188.12711956525601</v>
      </c>
      <c r="AC51" s="8">
        <v>190.246195147024</v>
      </c>
      <c r="AD51" s="8">
        <v>190.04864943624</v>
      </c>
      <c r="AE51" s="9">
        <v>-9.2217252235912307E-3</v>
      </c>
      <c r="AF51" s="9">
        <v>1.9793698592804501E-3</v>
      </c>
      <c r="AG51" s="9">
        <v>9.4046159446644999E-4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1.1260761624097886E-2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5.1638223075880958E-3</v>
      </c>
      <c r="BX51" s="12">
        <f t="shared" si="18"/>
        <v>0</v>
      </c>
      <c r="BY51" s="12">
        <f t="shared" si="19"/>
        <v>1.6424583931685981E-2</v>
      </c>
    </row>
    <row r="52" spans="1:77" x14ac:dyDescent="0.3">
      <c r="A52" s="1">
        <v>46098</v>
      </c>
      <c r="B52" s="8">
        <v>139.54</v>
      </c>
      <c r="C52" s="8">
        <v>190.81</v>
      </c>
      <c r="D52" s="9">
        <v>5.4613530396875202E-3</v>
      </c>
      <c r="E52" s="9">
        <v>4.9385410869265496E-3</v>
      </c>
      <c r="F52" s="8">
        <v>0</v>
      </c>
      <c r="G52" s="8">
        <v>0</v>
      </c>
      <c r="H52" s="8">
        <v>6.9800000000000001E-2</v>
      </c>
      <c r="I52" s="8">
        <v>6.9800000000000001E-2</v>
      </c>
      <c r="J52" s="8">
        <v>0</v>
      </c>
      <c r="K52" s="8">
        <v>6.9800000000000001E-2</v>
      </c>
      <c r="L52" s="8">
        <v>139.54</v>
      </c>
      <c r="M52" s="8">
        <v>190.87979999999999</v>
      </c>
      <c r="N52" s="10">
        <v>1.3674215278773101</v>
      </c>
      <c r="O52" s="10">
        <v>1.35656065472774</v>
      </c>
      <c r="P52" s="10">
        <v>1.37001392984199</v>
      </c>
      <c r="Q52" s="10">
        <v>1.3696550749209899</v>
      </c>
      <c r="R52" s="8">
        <v>189.294473760709</v>
      </c>
      <c r="S52" s="8">
        <v>191.26201751560501</v>
      </c>
      <c r="T52" s="8">
        <v>191.10926608593499</v>
      </c>
      <c r="U52" s="9">
        <v>-7.9743037762896405E-3</v>
      </c>
      <c r="V52" s="9">
        <v>2.3661388731600098E-3</v>
      </c>
      <c r="W52" s="9">
        <v>1.5671696809260399E-3</v>
      </c>
      <c r="X52" s="10">
        <v>1.3679217428694199</v>
      </c>
      <c r="Y52" s="10">
        <v>1.3555780340485399</v>
      </c>
      <c r="Z52" s="10">
        <v>1.3700639513412001</v>
      </c>
      <c r="AA52" s="10">
        <v>1.3696800856706</v>
      </c>
      <c r="AB52" s="8">
        <v>189.157358871133</v>
      </c>
      <c r="AC52" s="8">
        <v>191.26201751560501</v>
      </c>
      <c r="AD52" s="8">
        <v>191.10926608593499</v>
      </c>
      <c r="AE52" s="9">
        <v>-9.0646552989277901E-3</v>
      </c>
      <c r="AF52" s="9">
        <v>2.0003968450624599E-3</v>
      </c>
      <c r="AG52" s="9">
        <v>1.20142765282849E-3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1.1260761624097886E-2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5.1638223075880958E-3</v>
      </c>
      <c r="BX52" s="12">
        <f t="shared" si="18"/>
        <v>0</v>
      </c>
      <c r="BY52" s="12">
        <f t="shared" si="19"/>
        <v>1.6424583931685981E-2</v>
      </c>
    </row>
    <row r="53" spans="1:77" x14ac:dyDescent="0.3">
      <c r="A53" s="1">
        <v>46099</v>
      </c>
      <c r="B53" s="8">
        <v>137.96</v>
      </c>
      <c r="C53" s="8">
        <v>188.65</v>
      </c>
      <c r="D53" s="9">
        <v>-1.13875104424502E-2</v>
      </c>
      <c r="E53" s="9">
        <v>-1.13847221319308E-2</v>
      </c>
      <c r="F53" s="8">
        <v>0</v>
      </c>
      <c r="G53" s="8">
        <v>0</v>
      </c>
      <c r="H53" s="8">
        <v>0</v>
      </c>
      <c r="I53" s="8">
        <v>6.9800000000000001E-2</v>
      </c>
      <c r="J53" s="8">
        <v>0</v>
      </c>
      <c r="K53" s="8">
        <v>6.9800000000000001E-2</v>
      </c>
      <c r="L53" s="8">
        <v>137.96</v>
      </c>
      <c r="M53" s="8">
        <v>188.71979999999999</v>
      </c>
      <c r="N53" s="10">
        <v>1.36742534067845</v>
      </c>
      <c r="O53" s="10">
        <v>1.35656065472774</v>
      </c>
      <c r="P53" s="10">
        <v>1.36985715040869</v>
      </c>
      <c r="Q53" s="10">
        <v>1.3697274277543601</v>
      </c>
      <c r="R53" s="8">
        <v>187.15110792623901</v>
      </c>
      <c r="S53" s="8">
        <v>189.007121761001</v>
      </c>
      <c r="T53" s="8">
        <v>188.95761413610001</v>
      </c>
      <c r="U53" s="9">
        <v>-7.9770920868089106E-3</v>
      </c>
      <c r="V53" s="9">
        <v>1.89124921453919E-3</v>
      </c>
      <c r="W53" s="9">
        <v>1.6292796682739301E-3</v>
      </c>
      <c r="X53" s="10">
        <v>1.36793128443026</v>
      </c>
      <c r="Y53" s="10">
        <v>1.3555780340485399</v>
      </c>
      <c r="Z53" s="10">
        <v>1.36995776628308</v>
      </c>
      <c r="AA53" s="10">
        <v>1.3697777356915599</v>
      </c>
      <c r="AB53" s="8">
        <v>187.01554557733601</v>
      </c>
      <c r="AC53" s="8">
        <v>189.014022727032</v>
      </c>
      <c r="AD53" s="8">
        <v>188.961064619116</v>
      </c>
      <c r="AE53" s="9">
        <v>-9.0716304987986194E-3</v>
      </c>
      <c r="AF53" s="9">
        <v>1.5578313025334501E-3</v>
      </c>
      <c r="AG53" s="9">
        <v>1.27761120319029E-3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1.1260761624097886E-2</v>
      </c>
      <c r="BL53" s="9"/>
      <c r="BN53">
        <f t="shared" si="10"/>
        <v>0</v>
      </c>
      <c r="BO53">
        <f t="shared" si="11"/>
        <v>0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5.1638223075880958E-3</v>
      </c>
      <c r="BX53" s="12">
        <f t="shared" si="18"/>
        <v>0</v>
      </c>
      <c r="BY53" s="12">
        <f t="shared" si="19"/>
        <v>1.6424583931685981E-2</v>
      </c>
    </row>
    <row r="54" spans="1:77" x14ac:dyDescent="0.3">
      <c r="A54" s="1">
        <v>46100</v>
      </c>
      <c r="B54" s="8">
        <v>138.43</v>
      </c>
      <c r="C54" s="8">
        <v>188.68</v>
      </c>
      <c r="D54" s="9">
        <v>3.40099463100348E-3</v>
      </c>
      <c r="E54" s="9">
        <v>1.5901200574145E-4</v>
      </c>
      <c r="F54" s="8">
        <v>0</v>
      </c>
      <c r="G54" s="8">
        <v>0</v>
      </c>
      <c r="H54" s="8">
        <v>0</v>
      </c>
      <c r="I54" s="8">
        <v>6.9800000000000001E-2</v>
      </c>
      <c r="J54" s="8">
        <v>0</v>
      </c>
      <c r="K54" s="8">
        <v>6.9800000000000001E-2</v>
      </c>
      <c r="L54" s="8">
        <v>138.43</v>
      </c>
      <c r="M54" s="8">
        <v>188.74979999999999</v>
      </c>
      <c r="N54" s="10">
        <v>1.36299934985191</v>
      </c>
      <c r="O54" s="10">
        <v>1.35656065472774</v>
      </c>
      <c r="P54" s="10">
        <v>1.36939720523979</v>
      </c>
      <c r="Q54" s="10">
        <v>1.3695370486240299</v>
      </c>
      <c r="R54" s="8">
        <v>187.78869143396199</v>
      </c>
      <c r="S54" s="8">
        <v>189.62932533107499</v>
      </c>
      <c r="T54" s="8">
        <v>189.61136782403599</v>
      </c>
      <c r="U54" s="9">
        <v>-4.7351094615469798E-3</v>
      </c>
      <c r="V54" s="9">
        <v>5.0187889124681901E-3</v>
      </c>
      <c r="W54" s="9">
        <v>4.9240864853495802E-3</v>
      </c>
      <c r="X54" s="10">
        <v>1.36350357581449</v>
      </c>
      <c r="Y54" s="10">
        <v>1.3555780340485399</v>
      </c>
      <c r="Z54" s="10">
        <v>1.36954824371044</v>
      </c>
      <c r="AA54" s="10">
        <v>1.36961256785936</v>
      </c>
      <c r="AB54" s="8">
        <v>187.65266725333899</v>
      </c>
      <c r="AC54" s="8">
        <v>189.643253586567</v>
      </c>
      <c r="AD54" s="8">
        <v>189.61833195178201</v>
      </c>
      <c r="AE54" s="9">
        <v>-5.8295890659503802E-3</v>
      </c>
      <c r="AF54" s="9">
        <v>4.7223660079807198E-3</v>
      </c>
      <c r="AG54" s="9">
        <v>4.5909441304650299E-3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1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1.1260761624097886E-2</v>
      </c>
      <c r="BL54" s="9"/>
      <c r="BN54">
        <f t="shared" si="10"/>
        <v>1</v>
      </c>
      <c r="BO54">
        <f t="shared" si="11"/>
        <v>0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5.1638223075880958E-3</v>
      </c>
      <c r="BX54" s="12">
        <f t="shared" si="18"/>
        <v>0</v>
      </c>
      <c r="BY54" s="12">
        <f t="shared" si="19"/>
        <v>1.6424583931685981E-2</v>
      </c>
    </row>
    <row r="55" spans="1:77" x14ac:dyDescent="0.3">
      <c r="A55" s="1">
        <v>46101</v>
      </c>
      <c r="B55" s="8">
        <v>135.29</v>
      </c>
      <c r="C55" s="8">
        <v>184.48</v>
      </c>
      <c r="D55" s="9">
        <v>-2.29441600843748E-2</v>
      </c>
      <c r="E55" s="9">
        <v>-2.2511401895312099E-2</v>
      </c>
      <c r="F55" s="8">
        <v>0</v>
      </c>
      <c r="G55" s="8">
        <v>0</v>
      </c>
      <c r="H55" s="8">
        <v>0</v>
      </c>
      <c r="I55" s="8">
        <v>6.9800000000000001E-2</v>
      </c>
      <c r="J55" s="8">
        <v>0</v>
      </c>
      <c r="K55" s="8">
        <v>6.9800000000000001E-2</v>
      </c>
      <c r="L55" s="8">
        <v>135.29</v>
      </c>
      <c r="M55" s="8">
        <v>184.54979999999901</v>
      </c>
      <c r="N55" s="10">
        <v>1.3635893266316801</v>
      </c>
      <c r="O55" s="10">
        <v>1.35656065472774</v>
      </c>
      <c r="P55" s="10">
        <v>1.3685720749704799</v>
      </c>
      <c r="Q55" s="10">
        <v>1.36924334630144</v>
      </c>
      <c r="R55" s="8">
        <v>183.52909097811599</v>
      </c>
      <c r="S55" s="8">
        <v>185.26574789689101</v>
      </c>
      <c r="T55" s="8">
        <v>185.284667308346</v>
      </c>
      <c r="U55" s="9">
        <v>-5.1678676506096699E-3</v>
      </c>
      <c r="V55" s="9">
        <v>4.2502129325015497E-3</v>
      </c>
      <c r="W55" s="9">
        <v>4.3523281141025797E-3</v>
      </c>
      <c r="X55" s="10">
        <v>1.3641052553773301</v>
      </c>
      <c r="Y55" s="10">
        <v>1.3555780340485399</v>
      </c>
      <c r="Z55" s="10">
        <v>1.3687747063157001</v>
      </c>
      <c r="AA55" s="10">
        <v>1.3693446619740499</v>
      </c>
      <c r="AB55" s="8">
        <v>183.39615222642701</v>
      </c>
      <c r="AC55" s="8">
        <v>185.28618189158601</v>
      </c>
      <c r="AD55" s="8">
        <v>185.29488430569299</v>
      </c>
      <c r="AE55" s="9">
        <v>-6.2707663826718704E-3</v>
      </c>
      <c r="AF55" s="9">
        <v>3.9822132013752802E-3</v>
      </c>
      <c r="AG55" s="9">
        <v>4.0291795194214797E-3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0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1.1260761624097886E-2</v>
      </c>
      <c r="BL55" s="9"/>
      <c r="BN55">
        <f t="shared" si="10"/>
        <v>1</v>
      </c>
      <c r="BO55">
        <f t="shared" si="11"/>
        <v>0</v>
      </c>
      <c r="BP55">
        <f t="shared" si="12"/>
        <v>1</v>
      </c>
      <c r="BQ55">
        <f t="shared" si="1"/>
        <v>0</v>
      </c>
      <c r="BR55">
        <f t="shared" si="13"/>
        <v>1</v>
      </c>
      <c r="BS55" s="9">
        <f t="shared" si="14"/>
        <v>2.29441600843748E-2</v>
      </c>
      <c r="BT55" s="9">
        <f t="shared" si="15"/>
        <v>-2.2511401895312099E-2</v>
      </c>
      <c r="BU55" s="9">
        <f t="shared" si="16"/>
        <v>4.3275818906270136E-4</v>
      </c>
      <c r="BV55" s="12">
        <f t="shared" si="17"/>
        <v>5.5965804966507972E-3</v>
      </c>
      <c r="BX55" s="12">
        <f t="shared" si="18"/>
        <v>4.3275818906270136E-4</v>
      </c>
      <c r="BY55" s="12">
        <f t="shared" si="19"/>
        <v>1.6857342120748683E-2</v>
      </c>
    </row>
    <row r="56" spans="1:77" x14ac:dyDescent="0.3">
      <c r="A56" s="1">
        <v>46104</v>
      </c>
      <c r="B56" s="8">
        <v>136.94999999999999</v>
      </c>
      <c r="C56" s="8">
        <v>186.91</v>
      </c>
      <c r="D56" s="9">
        <v>1.2195273093818199E-2</v>
      </c>
      <c r="E56" s="9">
        <v>1.30861610573375E-2</v>
      </c>
      <c r="F56" s="8">
        <v>0.16750000000000001</v>
      </c>
      <c r="G56" s="8">
        <v>0.16750000000000001</v>
      </c>
      <c r="H56" s="8">
        <v>0</v>
      </c>
      <c r="I56" s="8">
        <v>6.9800000000000001E-2</v>
      </c>
      <c r="J56" s="8">
        <v>0.16750000000000001</v>
      </c>
      <c r="K56" s="8">
        <v>6.9800000000000001E-2</v>
      </c>
      <c r="L56" s="8">
        <v>137.11749999999901</v>
      </c>
      <c r="M56" s="8">
        <v>186.97979999999899</v>
      </c>
      <c r="N56" s="10">
        <v>1.3648046732384</v>
      </c>
      <c r="O56" s="10">
        <v>1.35656065472774</v>
      </c>
      <c r="P56" s="10">
        <v>1.36785305746318</v>
      </c>
      <c r="Q56" s="10">
        <v>1.36897361750307</v>
      </c>
      <c r="R56" s="8">
        <v>185.780981664964</v>
      </c>
      <c r="S56" s="8">
        <v>187.425945667207</v>
      </c>
      <c r="T56" s="8">
        <v>187.51787627598301</v>
      </c>
      <c r="U56" s="9">
        <v>-6.0587556141290799E-3</v>
      </c>
      <c r="V56" s="9">
        <v>2.75659337498345E-3</v>
      </c>
      <c r="W56" s="9">
        <v>3.2469634263741099E-3</v>
      </c>
      <c r="X56" s="10">
        <v>1.36364650755738</v>
      </c>
      <c r="Y56" s="10">
        <v>1.3555780340485399</v>
      </c>
      <c r="Z56" s="10">
        <v>1.3679398722403</v>
      </c>
      <c r="AA56" s="10">
        <v>1.36901702489163</v>
      </c>
      <c r="AB56" s="8">
        <v>185.87347108365</v>
      </c>
      <c r="AC56" s="8">
        <v>187.682965793243</v>
      </c>
      <c r="AD56" s="8">
        <v>187.76111668822699</v>
      </c>
      <c r="AE56" s="9">
        <v>-5.9344103912587799E-3</v>
      </c>
      <c r="AF56" s="9">
        <v>3.75359754449305E-3</v>
      </c>
      <c r="AG56" s="9">
        <v>4.1699093190541202E-3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1.1260761624097886E-2</v>
      </c>
      <c r="BL56" s="9"/>
      <c r="BN56">
        <f t="shared" si="10"/>
        <v>1</v>
      </c>
      <c r="BO56">
        <f t="shared" si="11"/>
        <v>0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5.5965804966507972E-3</v>
      </c>
      <c r="BX56" s="12">
        <f t="shared" si="18"/>
        <v>0</v>
      </c>
      <c r="BY56" s="12">
        <f t="shared" si="19"/>
        <v>1.6857342120748683E-2</v>
      </c>
    </row>
    <row r="57" spans="1:77" x14ac:dyDescent="0.3">
      <c r="A57" s="1">
        <v>46105</v>
      </c>
      <c r="B57" s="8">
        <v>136.15</v>
      </c>
      <c r="C57" s="8">
        <v>184.88</v>
      </c>
      <c r="D57" s="9">
        <v>-5.8586765893184796E-3</v>
      </c>
      <c r="E57" s="9">
        <v>-1.0920251611961199E-2</v>
      </c>
      <c r="F57" s="8">
        <v>0</v>
      </c>
      <c r="G57" s="8">
        <v>0.16750000000000001</v>
      </c>
      <c r="H57" s="8">
        <v>0</v>
      </c>
      <c r="I57" s="8">
        <v>6.9800000000000001E-2</v>
      </c>
      <c r="J57" s="8">
        <v>0.16750000000000001</v>
      </c>
      <c r="K57" s="8">
        <v>6.9800000000000001E-2</v>
      </c>
      <c r="L57" s="8">
        <v>136.3175</v>
      </c>
      <c r="M57" s="8">
        <v>184.94979999999899</v>
      </c>
      <c r="N57" s="10">
        <v>1.35791406536907</v>
      </c>
      <c r="O57" s="10">
        <v>1.35656065472774</v>
      </c>
      <c r="P57" s="10">
        <v>1.3664449791689499</v>
      </c>
      <c r="Q57" s="10">
        <v>1.3683758772139401</v>
      </c>
      <c r="R57" s="8">
        <v>184.69573314118199</v>
      </c>
      <c r="S57" s="8">
        <v>186.23319377361199</v>
      </c>
      <c r="T57" s="8">
        <v>186.385758023043</v>
      </c>
      <c r="U57" s="9">
        <v>-9.9718059148627605E-4</v>
      </c>
      <c r="V57" s="9">
        <v>7.2926524495934997E-3</v>
      </c>
      <c r="W57" s="9">
        <v>8.1115279105446504E-3</v>
      </c>
      <c r="X57" s="10">
        <v>1.3567575696443901</v>
      </c>
      <c r="Y57" s="10">
        <v>1.3555780340485399</v>
      </c>
      <c r="Z57" s="10">
        <v>1.3664161443736</v>
      </c>
      <c r="AA57" s="10">
        <v>1.3683614598162599</v>
      </c>
      <c r="AB57" s="8">
        <v>184.78900865641199</v>
      </c>
      <c r="AC57" s="8">
        <v>186.47414353411699</v>
      </c>
      <c r="AD57" s="8">
        <v>186.620978290664</v>
      </c>
      <c r="AE57" s="9">
        <v>-8.6975643324205395E-4</v>
      </c>
      <c r="AF57" s="9">
        <v>8.2081520001084807E-3</v>
      </c>
      <c r="AG57" s="9">
        <v>8.9952690409876197E-3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1.1260761624097886E-2</v>
      </c>
      <c r="BL57" s="9"/>
      <c r="BN57">
        <f t="shared" si="10"/>
        <v>1</v>
      </c>
      <c r="BO57">
        <f t="shared" si="11"/>
        <v>0</v>
      </c>
      <c r="BP57">
        <f t="shared" si="12"/>
        <v>1</v>
      </c>
      <c r="BQ57">
        <f t="shared" si="1"/>
        <v>1</v>
      </c>
      <c r="BR57">
        <f t="shared" si="13"/>
        <v>1</v>
      </c>
      <c r="BS57" s="9">
        <f t="shared" si="14"/>
        <v>5.8586765893184796E-3</v>
      </c>
      <c r="BT57" s="9">
        <f t="shared" si="15"/>
        <v>-1.0920251611961199E-2</v>
      </c>
      <c r="BU57" s="9">
        <f t="shared" si="16"/>
        <v>-5.0615750226427197E-3</v>
      </c>
      <c r="BV57" s="12">
        <f t="shared" si="17"/>
        <v>5.3500547400807744E-4</v>
      </c>
      <c r="BX57" s="12">
        <f t="shared" si="18"/>
        <v>-5.0615750226427197E-3</v>
      </c>
      <c r="BY57" s="12">
        <f t="shared" si="19"/>
        <v>1.1795767098105963E-2</v>
      </c>
    </row>
    <row r="58" spans="1:77" x14ac:dyDescent="0.3">
      <c r="A58" s="1">
        <v>46106</v>
      </c>
      <c r="B58" s="8">
        <v>136.76</v>
      </c>
      <c r="C58" s="8">
        <v>185.94</v>
      </c>
      <c r="D58" s="9">
        <v>4.4703456513317599E-3</v>
      </c>
      <c r="E58" s="9">
        <v>5.7170750615866102E-3</v>
      </c>
      <c r="F58" s="8">
        <v>0</v>
      </c>
      <c r="G58" s="8">
        <v>0.16750000000000001</v>
      </c>
      <c r="H58" s="8">
        <v>0</v>
      </c>
      <c r="I58" s="8">
        <v>6.9800000000000001E-2</v>
      </c>
      <c r="J58" s="8">
        <v>0.16750000000000001</v>
      </c>
      <c r="K58" s="8">
        <v>6.9800000000000001E-2</v>
      </c>
      <c r="L58" s="8">
        <v>136.92749999999899</v>
      </c>
      <c r="M58" s="8">
        <v>186.00979999999899</v>
      </c>
      <c r="N58" s="10">
        <v>1.3596080725358199</v>
      </c>
      <c r="O58" s="10">
        <v>1.35656065472774</v>
      </c>
      <c r="P58" s="10">
        <v>1.3652057579385899</v>
      </c>
      <c r="Q58" s="10">
        <v>1.3678365969025501</v>
      </c>
      <c r="R58" s="8">
        <v>185.52323514056599</v>
      </c>
      <c r="S58" s="8">
        <v>186.875015351146</v>
      </c>
      <c r="T58" s="8">
        <v>187.13908496777901</v>
      </c>
      <c r="U58" s="9">
        <v>-2.2439100017411602E-3</v>
      </c>
      <c r="V58" s="9">
        <v>5.0159852638382704E-3</v>
      </c>
      <c r="W58" s="9">
        <v>6.4280692483014001E-3</v>
      </c>
      <c r="X58" s="10">
        <v>1.35845465666137</v>
      </c>
      <c r="Y58" s="10">
        <v>1.3555780340485399</v>
      </c>
      <c r="Z58" s="10">
        <v>1.36506158155579</v>
      </c>
      <c r="AA58" s="10">
        <v>1.3677645087111501</v>
      </c>
      <c r="AB58" s="8">
        <v>185.61591125718101</v>
      </c>
      <c r="AC58" s="8">
        <v>187.09994660871601</v>
      </c>
      <c r="AD58" s="8">
        <v>187.36631378899199</v>
      </c>
      <c r="AE58" s="9">
        <v>-2.1198150633038302E-3</v>
      </c>
      <c r="AF58" s="9">
        <v>5.8435874204466002E-3</v>
      </c>
      <c r="AG58" s="9">
        <v>7.26623748733641E-3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1.1260761624097886E-2</v>
      </c>
      <c r="BL58" s="9"/>
      <c r="BN58">
        <f t="shared" si="10"/>
        <v>1</v>
      </c>
      <c r="BO58">
        <f t="shared" si="11"/>
        <v>0</v>
      </c>
      <c r="BP58">
        <f t="shared" si="12"/>
        <v>1</v>
      </c>
      <c r="BQ58">
        <f t="shared" si="1"/>
        <v>1</v>
      </c>
      <c r="BR58">
        <f t="shared" si="13"/>
        <v>1</v>
      </c>
      <c r="BS58" s="9">
        <f t="shared" si="14"/>
        <v>-4.4703456513317599E-3</v>
      </c>
      <c r="BT58" s="9">
        <f t="shared" si="15"/>
        <v>5.7170750615866102E-3</v>
      </c>
      <c r="BU58" s="9">
        <f t="shared" si="16"/>
        <v>1.2467294102548503E-3</v>
      </c>
      <c r="BV58" s="12">
        <f t="shared" si="17"/>
        <v>1.7817348842629277E-3</v>
      </c>
      <c r="BX58" s="12">
        <f t="shared" si="18"/>
        <v>1.2467294102548503E-3</v>
      </c>
      <c r="BY58" s="12">
        <f t="shared" si="19"/>
        <v>1.3042496508360812E-2</v>
      </c>
    </row>
    <row r="59" spans="1:77" x14ac:dyDescent="0.3">
      <c r="A59" s="1">
        <v>46107</v>
      </c>
      <c r="B59" s="8">
        <v>132.5</v>
      </c>
      <c r="C59" s="8">
        <v>180.01</v>
      </c>
      <c r="D59" s="9">
        <v>-3.1644919344823601E-2</v>
      </c>
      <c r="E59" s="9">
        <v>-3.2411636125098703E-2</v>
      </c>
      <c r="F59" s="8">
        <v>0</v>
      </c>
      <c r="G59" s="8">
        <v>0.16750000000000001</v>
      </c>
      <c r="H59" s="8">
        <v>0</v>
      </c>
      <c r="I59" s="8">
        <v>6.9800000000000001E-2</v>
      </c>
      <c r="J59" s="8">
        <v>0.16750000000000001</v>
      </c>
      <c r="K59" s="8">
        <v>6.9800000000000001E-2</v>
      </c>
      <c r="L59" s="8">
        <v>132.66749999999999</v>
      </c>
      <c r="M59" s="8">
        <v>180.07979999999901</v>
      </c>
      <c r="N59" s="10">
        <v>1.3585660377358399</v>
      </c>
      <c r="O59" s="10">
        <v>1.35656065472774</v>
      </c>
      <c r="P59" s="10">
        <v>1.3639178463320301</v>
      </c>
      <c r="Q59" s="10">
        <v>1.3672591190573999</v>
      </c>
      <c r="R59" s="8">
        <v>179.74428675142599</v>
      </c>
      <c r="S59" s="8">
        <v>180.88976292686399</v>
      </c>
      <c r="T59" s="8">
        <v>181.23834908958699</v>
      </c>
      <c r="U59" s="9">
        <v>-1.4771932214659299E-3</v>
      </c>
      <c r="V59" s="9">
        <v>4.8753962172474003E-3</v>
      </c>
      <c r="W59" s="9">
        <v>6.8006058810343396E-3</v>
      </c>
      <c r="X59" s="10">
        <v>1.3573769008988601</v>
      </c>
      <c r="Y59" s="10">
        <v>1.3555780340485399</v>
      </c>
      <c r="Z59" s="10">
        <v>1.3636547562655299</v>
      </c>
      <c r="AA59" s="10">
        <v>1.36712757402415</v>
      </c>
      <c r="AB59" s="8">
        <v>179.841148832134</v>
      </c>
      <c r="AC59" s="8">
        <v>181.09930737105299</v>
      </c>
      <c r="AD59" s="8">
        <v>181.457897959436</v>
      </c>
      <c r="AE59" s="9">
        <v>-1.3261312163917801E-3</v>
      </c>
      <c r="AF59" s="9">
        <v>5.6454543354560001E-3</v>
      </c>
      <c r="AG59" s="9">
        <v>7.6235736503655997E-3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1.1260761624097886E-2</v>
      </c>
      <c r="BL59" s="9"/>
      <c r="BN59">
        <f t="shared" si="10"/>
        <v>1</v>
      </c>
      <c r="BO59">
        <f t="shared" si="11"/>
        <v>0</v>
      </c>
      <c r="BP59">
        <f t="shared" si="12"/>
        <v>1</v>
      </c>
      <c r="BQ59">
        <f t="shared" si="1"/>
        <v>1</v>
      </c>
      <c r="BR59">
        <f t="shared" si="13"/>
        <v>1</v>
      </c>
      <c r="BS59" s="9">
        <f t="shared" si="14"/>
        <v>3.1644919344823601E-2</v>
      </c>
      <c r="BT59" s="9">
        <f t="shared" si="15"/>
        <v>-3.2411636125098703E-2</v>
      </c>
      <c r="BU59" s="9">
        <f t="shared" si="16"/>
        <v>-7.6671678027510209E-4</v>
      </c>
      <c r="BV59" s="12">
        <f t="shared" si="17"/>
        <v>1.0150181039878256E-3</v>
      </c>
      <c r="BX59" s="12">
        <f t="shared" si="18"/>
        <v>-7.6671678027510209E-4</v>
      </c>
      <c r="BY59" s="12">
        <f t="shared" si="19"/>
        <v>1.227577972808571E-2</v>
      </c>
    </row>
    <row r="60" spans="1:77" x14ac:dyDescent="0.3">
      <c r="A60" s="1">
        <v>46108</v>
      </c>
      <c r="B60" s="8">
        <v>129.91999999999999</v>
      </c>
      <c r="C60" s="8">
        <v>176.09</v>
      </c>
      <c r="D60" s="9">
        <v>-1.9663769012909098E-2</v>
      </c>
      <c r="E60" s="9">
        <v>-2.20171769299265E-2</v>
      </c>
      <c r="F60" s="8">
        <v>0</v>
      </c>
      <c r="G60" s="8">
        <v>0.16750000000000001</v>
      </c>
      <c r="H60" s="8">
        <v>0</v>
      </c>
      <c r="I60" s="8">
        <v>6.9800000000000001E-2</v>
      </c>
      <c r="J60" s="8">
        <v>0.16750000000000001</v>
      </c>
      <c r="K60" s="8">
        <v>6.9800000000000001E-2</v>
      </c>
      <c r="L60" s="8">
        <v>130.08749999999901</v>
      </c>
      <c r="M60" s="8">
        <v>176.15979999999999</v>
      </c>
      <c r="N60" s="10">
        <v>1.3553725369458101</v>
      </c>
      <c r="O60" s="10">
        <v>1.35656065472774</v>
      </c>
      <c r="P60" s="10">
        <v>1.3625837549973701</v>
      </c>
      <c r="Q60" s="10">
        <v>1.36671555218893</v>
      </c>
      <c r="R60" s="8">
        <v>176.24436026222801</v>
      </c>
      <c r="S60" s="8">
        <v>177.20020659545699</v>
      </c>
      <c r="T60" s="8">
        <v>177.63430474793799</v>
      </c>
      <c r="U60" s="9">
        <v>8.7621469555132199E-4</v>
      </c>
      <c r="V60" s="9">
        <v>6.2849760861999199E-3</v>
      </c>
      <c r="W60" s="9">
        <v>8.7317412974196994E-3</v>
      </c>
      <c r="X60" s="10">
        <v>1.3541639281253</v>
      </c>
      <c r="Y60" s="10">
        <v>1.3555780340485399</v>
      </c>
      <c r="Z60" s="10">
        <v>1.3621998040488199</v>
      </c>
      <c r="AA60" s="10">
        <v>1.36652357671465</v>
      </c>
      <c r="AB60" s="8">
        <v>176.34375750428899</v>
      </c>
      <c r="AC60" s="8">
        <v>177.39443810569199</v>
      </c>
      <c r="AD60" s="8">
        <v>177.84620828586699</v>
      </c>
      <c r="AE60" s="9">
        <v>1.0437200820986501E-3</v>
      </c>
      <c r="AF60" s="9">
        <v>6.9841794627047296E-3</v>
      </c>
      <c r="AG60" s="9">
        <v>9.5276407941342501E-3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1.1260761624097886E-2</v>
      </c>
      <c r="BL60" s="9"/>
      <c r="BN60">
        <f t="shared" si="10"/>
        <v>1</v>
      </c>
      <c r="BO60">
        <f t="shared" si="11"/>
        <v>0</v>
      </c>
      <c r="BP60">
        <f t="shared" si="12"/>
        <v>1</v>
      </c>
      <c r="BQ60">
        <f t="shared" si="1"/>
        <v>1</v>
      </c>
      <c r="BR60">
        <f t="shared" si="13"/>
        <v>1</v>
      </c>
      <c r="BS60" s="9">
        <f t="shared" si="14"/>
        <v>1.9663769012909098E-2</v>
      </c>
      <c r="BT60" s="9">
        <f t="shared" si="15"/>
        <v>-2.20171769299265E-2</v>
      </c>
      <c r="BU60" s="9">
        <f t="shared" si="16"/>
        <v>-2.3534079170174013E-3</v>
      </c>
      <c r="BV60" s="12">
        <f t="shared" si="17"/>
        <v>-1.3383898130295757E-3</v>
      </c>
      <c r="BX60" s="12">
        <f t="shared" si="18"/>
        <v>-2.3534079170174013E-3</v>
      </c>
      <c r="BY60" s="12">
        <f t="shared" si="19"/>
        <v>9.922371811068309E-3</v>
      </c>
    </row>
    <row r="61" spans="1:77" x14ac:dyDescent="0.3">
      <c r="A61" s="1">
        <v>46111</v>
      </c>
      <c r="B61" s="8">
        <v>127.5</v>
      </c>
      <c r="C61" s="8">
        <v>173.53</v>
      </c>
      <c r="D61" s="9">
        <v>-1.8802511814886898E-2</v>
      </c>
      <c r="E61" s="9">
        <v>-1.46447328702741E-2</v>
      </c>
      <c r="F61" s="8">
        <v>0</v>
      </c>
      <c r="G61" s="8">
        <v>0.16750000000000001</v>
      </c>
      <c r="H61" s="8">
        <v>0</v>
      </c>
      <c r="I61" s="8">
        <v>6.9800000000000001E-2</v>
      </c>
      <c r="J61" s="8">
        <v>0.16750000000000001</v>
      </c>
      <c r="K61" s="8">
        <v>6.9800000000000001E-2</v>
      </c>
      <c r="L61" s="8">
        <v>127.6675</v>
      </c>
      <c r="M61" s="8">
        <v>173.59979999999999</v>
      </c>
      <c r="N61" s="10">
        <v>1.36101960784313</v>
      </c>
      <c r="O61" s="10">
        <v>1.35656065472774</v>
      </c>
      <c r="P61" s="10">
        <v>1.3618720538707401</v>
      </c>
      <c r="Q61" s="10">
        <v>1.3662664609170401</v>
      </c>
      <c r="R61" s="8">
        <v>172.961483477787</v>
      </c>
      <c r="S61" s="8">
        <v>173.72942876216399</v>
      </c>
      <c r="T61" s="8">
        <v>174.25623290408799</v>
      </c>
      <c r="U61" s="9">
        <v>-3.2815642490612602E-3</v>
      </c>
      <c r="V61" s="9">
        <v>1.1485867197357699E-3</v>
      </c>
      <c r="W61" s="9">
        <v>4.1763237928332704E-3</v>
      </c>
      <c r="X61" s="10">
        <v>1.3597806802827599</v>
      </c>
      <c r="Y61" s="10">
        <v>1.3555780340485399</v>
      </c>
      <c r="Z61" s="10">
        <v>1.36136421016616</v>
      </c>
      <c r="AA61" s="10">
        <v>1.36601253906475</v>
      </c>
      <c r="AB61" s="8">
        <v>173.06325866189201</v>
      </c>
      <c r="AC61" s="8">
        <v>173.90864348340301</v>
      </c>
      <c r="AD61" s="8">
        <v>174.460648730218</v>
      </c>
      <c r="AE61" s="9">
        <v>-3.0954654851472201E-3</v>
      </c>
      <c r="AF61" s="9">
        <v>1.7774737305425599E-3</v>
      </c>
      <c r="AG61" s="9">
        <v>4.9465573503660702E-3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1.1260761624097886E-2</v>
      </c>
      <c r="BL61" s="9"/>
      <c r="BN61">
        <f t="shared" si="10"/>
        <v>1</v>
      </c>
      <c r="BO61">
        <f t="shared" si="11"/>
        <v>0</v>
      </c>
      <c r="BP61">
        <f t="shared" si="12"/>
        <v>1</v>
      </c>
      <c r="BQ61">
        <f t="shared" si="1"/>
        <v>1</v>
      </c>
      <c r="BR61">
        <f t="shared" si="13"/>
        <v>1</v>
      </c>
      <c r="BS61" s="9">
        <f t="shared" si="14"/>
        <v>1.8802511814886898E-2</v>
      </c>
      <c r="BT61" s="9">
        <f t="shared" si="15"/>
        <v>-1.46447328702741E-2</v>
      </c>
      <c r="BU61" s="9">
        <f t="shared" si="16"/>
        <v>4.1577789446127986E-3</v>
      </c>
      <c r="BV61" s="12">
        <f t="shared" si="17"/>
        <v>2.8193891315832229E-3</v>
      </c>
      <c r="BX61" s="12">
        <f t="shared" si="18"/>
        <v>4.1577789446127986E-3</v>
      </c>
      <c r="BY61" s="12">
        <f t="shared" si="19"/>
        <v>1.4080150755681108E-2</v>
      </c>
    </row>
    <row r="62" spans="1:77" x14ac:dyDescent="0.3">
      <c r="A62" s="1">
        <v>46112</v>
      </c>
      <c r="B62" s="8">
        <v>132.9</v>
      </c>
      <c r="C62" s="8">
        <v>181.42</v>
      </c>
      <c r="D62" s="9">
        <v>4.1480601120718899E-2</v>
      </c>
      <c r="E62" s="9">
        <v>4.4464290084385502E-2</v>
      </c>
      <c r="F62" s="8">
        <v>0</v>
      </c>
      <c r="G62" s="8">
        <v>0.16750000000000001</v>
      </c>
      <c r="H62" s="8">
        <v>0</v>
      </c>
      <c r="I62" s="8">
        <v>6.9800000000000001E-2</v>
      </c>
      <c r="J62" s="8">
        <v>0.16750000000000001</v>
      </c>
      <c r="K62" s="8">
        <v>6.9800000000000001E-2</v>
      </c>
      <c r="L62" s="8">
        <v>133.0675</v>
      </c>
      <c r="M62" s="8">
        <v>181.48979999999901</v>
      </c>
      <c r="N62" s="10">
        <v>1.3650865312264799</v>
      </c>
      <c r="O62" s="10">
        <v>1.35656065472774</v>
      </c>
      <c r="P62" s="10">
        <v>1.3616385542056599</v>
      </c>
      <c r="Q62" s="10">
        <v>1.3658262420238201</v>
      </c>
      <c r="R62" s="8">
        <v>180.286911013317</v>
      </c>
      <c r="S62" s="8">
        <v>180.99279595942201</v>
      </c>
      <c r="T62" s="8">
        <v>181.57681265587499</v>
      </c>
      <c r="U62" s="9">
        <v>-6.2652532127280896E-3</v>
      </c>
      <c r="V62" s="9">
        <v>-2.3575560422245899E-3</v>
      </c>
      <c r="W62" s="9">
        <v>8.63989215129941E-4</v>
      </c>
      <c r="X62" s="10">
        <v>1.3638927611926199</v>
      </c>
      <c r="Y62" s="10">
        <v>1.3555780340485399</v>
      </c>
      <c r="Z62" s="10">
        <v>1.36096131199848</v>
      </c>
      <c r="AA62" s="10">
        <v>1.36551263166984</v>
      </c>
      <c r="AB62" s="8">
        <v>180.383380045754</v>
      </c>
      <c r="AC62" s="8">
        <v>181.15333203628501</v>
      </c>
      <c r="AD62" s="8">
        <v>181.77187354199901</v>
      </c>
      <c r="AE62" s="9">
        <v>-6.1149787436423101E-3</v>
      </c>
      <c r="AF62" s="9">
        <v>-1.8556428099150001E-3</v>
      </c>
      <c r="AG62" s="9">
        <v>1.5530050056849301E-3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1.1260761624097886E-2</v>
      </c>
      <c r="BL62" s="9"/>
      <c r="BN62">
        <f t="shared" si="10"/>
        <v>0</v>
      </c>
      <c r="BO62">
        <f t="shared" si="11"/>
        <v>0</v>
      </c>
      <c r="BP62">
        <f t="shared" si="12"/>
        <v>1</v>
      </c>
      <c r="BQ62">
        <f t="shared" si="1"/>
        <v>1</v>
      </c>
      <c r="BR62">
        <f t="shared" si="13"/>
        <v>1</v>
      </c>
      <c r="BS62" s="9">
        <f t="shared" si="14"/>
        <v>-4.1480601120718899E-2</v>
      </c>
      <c r="BT62" s="9">
        <f t="shared" si="15"/>
        <v>4.4464290084385502E-2</v>
      </c>
      <c r="BU62" s="9">
        <f t="shared" si="16"/>
        <v>2.9836889636666031E-3</v>
      </c>
      <c r="BV62" s="12">
        <f t="shared" si="17"/>
        <v>5.803078095249826E-3</v>
      </c>
      <c r="BX62" s="12">
        <f t="shared" si="18"/>
        <v>2.9836889636666031E-3</v>
      </c>
      <c r="BY62" s="12">
        <f t="shared" si="19"/>
        <v>1.7063839719347711E-2</v>
      </c>
    </row>
    <row r="63" spans="1:77" x14ac:dyDescent="0.3">
      <c r="A63" s="1">
        <v>46113</v>
      </c>
      <c r="B63" s="8">
        <v>134.91</v>
      </c>
      <c r="C63" s="8">
        <v>184.42</v>
      </c>
      <c r="D63" s="9">
        <v>1.5010923731526E-2</v>
      </c>
      <c r="E63" s="9">
        <v>1.64009799241971E-2</v>
      </c>
      <c r="F63" s="8">
        <v>0</v>
      </c>
      <c r="G63" s="8">
        <v>0.16750000000000001</v>
      </c>
      <c r="H63" s="8">
        <v>0</v>
      </c>
      <c r="I63" s="8">
        <v>6.9800000000000001E-2</v>
      </c>
      <c r="J63" s="8">
        <v>0.16750000000000001</v>
      </c>
      <c r="K63" s="8">
        <v>6.9800000000000001E-2</v>
      </c>
      <c r="L63" s="8">
        <v>135.07749999999999</v>
      </c>
      <c r="M63" s="8">
        <v>184.48979999999901</v>
      </c>
      <c r="N63" s="10">
        <v>1.3669853976725199</v>
      </c>
      <c r="O63" s="10">
        <v>1.35656065472774</v>
      </c>
      <c r="P63" s="10">
        <v>1.3615945599050701</v>
      </c>
      <c r="Q63" s="10">
        <v>1.3657258551568801</v>
      </c>
      <c r="R63" s="8">
        <v>183.01359792932001</v>
      </c>
      <c r="S63" s="8">
        <v>183.69865734788601</v>
      </c>
      <c r="T63" s="8">
        <v>184.26361831143399</v>
      </c>
      <c r="U63" s="9">
        <v>-7.6553094053990996E-3</v>
      </c>
      <c r="V63" s="9">
        <v>-3.9190818557312997E-3</v>
      </c>
      <c r="W63" s="9">
        <v>-8.4832463487260004E-4</v>
      </c>
      <c r="X63" s="10">
        <v>1.3658070367011499</v>
      </c>
      <c r="Y63" s="10">
        <v>1.3555780340485399</v>
      </c>
      <c r="Z63" s="10">
        <v>1.36074888722556</v>
      </c>
      <c r="AA63" s="10">
        <v>1.3653533267543201</v>
      </c>
      <c r="AB63" s="8">
        <v>183.10809189419101</v>
      </c>
      <c r="AC63" s="8">
        <v>183.83525162147399</v>
      </c>
      <c r="AD63" s="8">
        <v>184.45003250438299</v>
      </c>
      <c r="AE63" s="9">
        <v>-7.5175328441400898E-3</v>
      </c>
      <c r="AF63" s="9">
        <v>-3.55419249752509E-3</v>
      </c>
      <c r="AG63" s="9">
        <v>-2.1557713354507699E-4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1.1260761624097886E-2</v>
      </c>
      <c r="BL63" s="9"/>
      <c r="BN63">
        <f t="shared" si="10"/>
        <v>0</v>
      </c>
      <c r="BO63">
        <f t="shared" si="11"/>
        <v>1</v>
      </c>
      <c r="BP63">
        <f t="shared" si="12"/>
        <v>1</v>
      </c>
      <c r="BQ63">
        <f t="shared" si="1"/>
        <v>1</v>
      </c>
      <c r="BR63">
        <f t="shared" si="13"/>
        <v>1</v>
      </c>
      <c r="BS63" s="9">
        <f t="shared" si="14"/>
        <v>-1.5010923731526E-2</v>
      </c>
      <c r="BT63" s="9">
        <f t="shared" si="15"/>
        <v>1.64009799241971E-2</v>
      </c>
      <c r="BU63" s="9">
        <f t="shared" si="16"/>
        <v>1.3900561926711002E-3</v>
      </c>
      <c r="BV63" s="12">
        <f t="shared" si="17"/>
        <v>7.1931342879209261E-3</v>
      </c>
      <c r="BX63" s="12">
        <f t="shared" si="18"/>
        <v>1.3900561926711002E-3</v>
      </c>
      <c r="BY63" s="12">
        <f t="shared" si="19"/>
        <v>1.8453895912018813E-2</v>
      </c>
    </row>
    <row r="64" spans="1:77" x14ac:dyDescent="0.3">
      <c r="A64" s="1">
        <v>46114</v>
      </c>
      <c r="B64" s="8">
        <v>135.99</v>
      </c>
      <c r="C64" s="8">
        <v>185.38</v>
      </c>
      <c r="D64" s="9">
        <v>7.9734641701419504E-3</v>
      </c>
      <c r="E64" s="9">
        <v>5.1920073366915299E-3</v>
      </c>
      <c r="F64" s="8">
        <v>0</v>
      </c>
      <c r="G64" s="8">
        <v>0.16750000000000001</v>
      </c>
      <c r="H64" s="8">
        <v>0</v>
      </c>
      <c r="I64" s="8">
        <v>6.9800000000000001E-2</v>
      </c>
      <c r="J64" s="8">
        <v>0.16750000000000001</v>
      </c>
      <c r="K64" s="8">
        <v>6.9800000000000001E-2</v>
      </c>
      <c r="L64" s="8">
        <v>136.1575</v>
      </c>
      <c r="M64" s="8">
        <v>185.44979999999899</v>
      </c>
      <c r="N64" s="10">
        <v>1.36318846974042</v>
      </c>
      <c r="O64" s="10">
        <v>1.35656065472774</v>
      </c>
      <c r="P64" s="10">
        <v>1.3616134718939199</v>
      </c>
      <c r="Q64" s="10">
        <v>1.3655053385668501</v>
      </c>
      <c r="R64" s="8">
        <v>184.478683436426</v>
      </c>
      <c r="S64" s="8">
        <v>185.16324420148999</v>
      </c>
      <c r="T64" s="8">
        <v>185.72505904278401</v>
      </c>
      <c r="U64" s="9">
        <v>-4.8738525719485897E-3</v>
      </c>
      <c r="V64" s="9">
        <v>-1.16993536719367E-3</v>
      </c>
      <c r="W64" s="9">
        <v>1.85963049447752E-3</v>
      </c>
      <c r="X64" s="10">
        <v>1.3620241264711801</v>
      </c>
      <c r="Y64" s="10">
        <v>1.3555780340485399</v>
      </c>
      <c r="Z64" s="10">
        <v>1.36060094229123</v>
      </c>
      <c r="AA64" s="10">
        <v>1.3650745930008401</v>
      </c>
      <c r="AB64" s="8">
        <v>184.57211617096399</v>
      </c>
      <c r="AC64" s="8">
        <v>185.27616661241501</v>
      </c>
      <c r="AD64" s="8">
        <v>185.903095587552</v>
      </c>
      <c r="AE64" s="9">
        <v>-4.7439648124363498E-3</v>
      </c>
      <c r="AF64" s="9">
        <v>-9.3672100644752096E-4</v>
      </c>
      <c r="AG64" s="9">
        <v>2.4413210080064598E-3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1.1260761624097886E-2</v>
      </c>
      <c r="BL64" s="9"/>
      <c r="BN64">
        <f t="shared" si="10"/>
        <v>1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7.1931342879209261E-3</v>
      </c>
      <c r="BX64" s="12">
        <f t="shared" si="18"/>
        <v>0</v>
      </c>
      <c r="BY64" s="12">
        <f t="shared" si="19"/>
        <v>1.8453895912018813E-2</v>
      </c>
    </row>
    <row r="65" spans="1:77" x14ac:dyDescent="0.3">
      <c r="A65" s="1">
        <v>46118</v>
      </c>
      <c r="B65" s="8">
        <v>136.78</v>
      </c>
      <c r="C65" s="8">
        <v>186.55</v>
      </c>
      <c r="D65" s="9">
        <v>5.7924420490823199E-3</v>
      </c>
      <c r="E65" s="9">
        <v>6.2915272194802498E-3</v>
      </c>
      <c r="F65" s="8">
        <v>0</v>
      </c>
      <c r="G65" s="8">
        <v>0.16750000000000001</v>
      </c>
      <c r="H65" s="8">
        <v>0</v>
      </c>
      <c r="I65" s="8">
        <v>6.9800000000000001E-2</v>
      </c>
      <c r="J65" s="8">
        <v>0.16750000000000001</v>
      </c>
      <c r="K65" s="8">
        <v>6.9800000000000001E-2</v>
      </c>
      <c r="L65" s="8">
        <v>136.94749999999999</v>
      </c>
      <c r="M65" s="8">
        <v>186.6198</v>
      </c>
      <c r="N65" s="10">
        <v>1.36386898669396</v>
      </c>
      <c r="O65" s="10">
        <v>1.35656065472774</v>
      </c>
      <c r="P65" s="10">
        <v>1.36164143790015</v>
      </c>
      <c r="Q65" s="10">
        <v>1.3651067564353101</v>
      </c>
      <c r="R65" s="8">
        <v>185.55036635366099</v>
      </c>
      <c r="S65" s="8">
        <v>186.24149068565001</v>
      </c>
      <c r="T65" s="8">
        <v>186.773820209175</v>
      </c>
      <c r="U65" s="9">
        <v>-5.3729377423466299E-3</v>
      </c>
      <c r="V65" s="9">
        <v>-1.6551310450295599E-3</v>
      </c>
      <c r="W65" s="9">
        <v>1.19906753266527E-3</v>
      </c>
      <c r="X65" s="10">
        <v>1.36271052775698</v>
      </c>
      <c r="Y65" s="10">
        <v>1.3555780340485399</v>
      </c>
      <c r="Z65" s="10">
        <v>1.3604614695292001</v>
      </c>
      <c r="AA65" s="10">
        <v>1.3646180879224501</v>
      </c>
      <c r="AB65" s="8">
        <v>185.643022817862</v>
      </c>
      <c r="AC65" s="8">
        <v>186.33089754442901</v>
      </c>
      <c r="AD65" s="8">
        <v>186.94355282498199</v>
      </c>
      <c r="AE65" s="9">
        <v>-5.2477946435428796E-3</v>
      </c>
      <c r="AF65" s="9">
        <v>-1.5492799196235899E-3</v>
      </c>
      <c r="AG65" s="9">
        <v>1.7333226270278401E-3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1.1260761624097886E-2</v>
      </c>
      <c r="BL65" s="9"/>
      <c r="BN65">
        <f t="shared" si="10"/>
        <v>0</v>
      </c>
      <c r="BO65">
        <f t="shared" si="11"/>
        <v>0</v>
      </c>
      <c r="BP65">
        <f t="shared" si="12"/>
        <v>1</v>
      </c>
      <c r="BQ65">
        <f t="shared" si="1"/>
        <v>1</v>
      </c>
      <c r="BR65">
        <f t="shared" si="13"/>
        <v>1</v>
      </c>
      <c r="BS65" s="9">
        <f t="shared" si="14"/>
        <v>-5.7924420490823199E-3</v>
      </c>
      <c r="BT65" s="9">
        <f t="shared" si="15"/>
        <v>6.2915272194802498E-3</v>
      </c>
      <c r="BU65" s="9">
        <f t="shared" si="16"/>
        <v>4.9908517039792995E-4</v>
      </c>
      <c r="BV65" s="12">
        <f t="shared" si="17"/>
        <v>7.6922194583188561E-3</v>
      </c>
      <c r="BX65" s="12">
        <f t="shared" si="18"/>
        <v>4.9908517039792995E-4</v>
      </c>
      <c r="BY65" s="12">
        <f t="shared" si="19"/>
        <v>1.8952981082416741E-2</v>
      </c>
    </row>
    <row r="66" spans="1:77" x14ac:dyDescent="0.3">
      <c r="A66" s="1">
        <v>46119</v>
      </c>
      <c r="B66" s="8">
        <v>137.43</v>
      </c>
      <c r="C66" s="8">
        <v>187.31</v>
      </c>
      <c r="D66" s="9">
        <v>4.7409008968104897E-3</v>
      </c>
      <c r="E66" s="9">
        <v>4.0656986406340896E-3</v>
      </c>
      <c r="F66" s="8">
        <v>0</v>
      </c>
      <c r="G66" s="8">
        <v>0.16750000000000001</v>
      </c>
      <c r="H66" s="8">
        <v>0</v>
      </c>
      <c r="I66" s="8">
        <v>6.9800000000000001E-2</v>
      </c>
      <c r="J66" s="8">
        <v>0.16750000000000001</v>
      </c>
      <c r="K66" s="8">
        <v>6.9800000000000001E-2</v>
      </c>
      <c r="L66" s="8">
        <v>137.5975</v>
      </c>
      <c r="M66" s="8">
        <v>187.37979999999999</v>
      </c>
      <c r="N66" s="10">
        <v>1.36294841009968</v>
      </c>
      <c r="O66" s="10">
        <v>1.35656065472774</v>
      </c>
      <c r="P66" s="10">
        <v>1.36145581158627</v>
      </c>
      <c r="Q66" s="10">
        <v>1.36465443452473</v>
      </c>
      <c r="R66" s="8">
        <v>186.432130779234</v>
      </c>
      <c r="S66" s="8">
        <v>187.13038281061699</v>
      </c>
      <c r="T66" s="8">
        <v>187.60662153690501</v>
      </c>
      <c r="U66" s="9">
        <v>-4.69773548617013E-3</v>
      </c>
      <c r="V66" s="9">
        <v>-9.5939012673303299E-4</v>
      </c>
      <c r="W66" s="9">
        <v>1.5823336803761001E-3</v>
      </c>
      <c r="X66" s="10">
        <v>1.3617965442686</v>
      </c>
      <c r="Y66" s="10">
        <v>1.3555780340485399</v>
      </c>
      <c r="Z66" s="10">
        <v>1.3602764732003201</v>
      </c>
      <c r="AA66" s="10">
        <v>1.3641081727203099</v>
      </c>
      <c r="AB66" s="8">
        <v>186.524148539994</v>
      </c>
      <c r="AC66" s="8">
        <v>187.19609705354401</v>
      </c>
      <c r="AD66" s="8">
        <v>187.768037352909</v>
      </c>
      <c r="AE66" s="9">
        <v>-4.5768596828313296E-3</v>
      </c>
      <c r="AF66" s="9">
        <v>-9.8085841950090692E-4</v>
      </c>
      <c r="AG66" s="9">
        <v>2.0697839776981598E-3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1.1260761624097886E-2</v>
      </c>
      <c r="BL66" s="9"/>
      <c r="BN66">
        <f t="shared" si="10"/>
        <v>0</v>
      </c>
      <c r="BO66">
        <f t="shared" si="11"/>
        <v>0</v>
      </c>
      <c r="BP66">
        <f t="shared" si="12"/>
        <v>1</v>
      </c>
      <c r="BQ66">
        <f t="shared" si="1"/>
        <v>1</v>
      </c>
      <c r="BR66">
        <f t="shared" si="13"/>
        <v>1</v>
      </c>
      <c r="BS66" s="9">
        <f t="shared" si="14"/>
        <v>-4.7409008968104897E-3</v>
      </c>
      <c r="BT66" s="9">
        <f t="shared" si="15"/>
        <v>4.0656986406340896E-3</v>
      </c>
      <c r="BU66" s="9">
        <f t="shared" si="16"/>
        <v>-6.7520225617640015E-4</v>
      </c>
      <c r="BV66" s="12">
        <f t="shared" si="17"/>
        <v>7.0170172021424559E-3</v>
      </c>
      <c r="BX66" s="12">
        <f t="shared" si="18"/>
        <v>-6.7520225617640015E-4</v>
      </c>
      <c r="BY66" s="12">
        <f t="shared" si="19"/>
        <v>1.8277778826240342E-2</v>
      </c>
    </row>
    <row r="67" spans="1:77" x14ac:dyDescent="0.3">
      <c r="A67" s="1">
        <v>46120</v>
      </c>
      <c r="B67" s="8">
        <v>141.69</v>
      </c>
      <c r="C67" s="8">
        <v>193.1</v>
      </c>
      <c r="D67" s="9">
        <v>3.0526876009374902E-2</v>
      </c>
      <c r="E67" s="9">
        <v>3.0443191126667699E-2</v>
      </c>
      <c r="F67" s="8">
        <v>0</v>
      </c>
      <c r="G67" s="8">
        <v>0.16750000000000001</v>
      </c>
      <c r="H67" s="8">
        <v>0</v>
      </c>
      <c r="I67" s="8">
        <v>6.9800000000000001E-2</v>
      </c>
      <c r="J67" s="8">
        <v>0.16750000000000001</v>
      </c>
      <c r="K67" s="8">
        <v>6.9800000000000001E-2</v>
      </c>
      <c r="L67" s="8">
        <v>141.85749999999999</v>
      </c>
      <c r="M67" s="8">
        <v>193.16979999999899</v>
      </c>
      <c r="N67" s="10">
        <v>1.3628343566941901</v>
      </c>
      <c r="O67" s="10">
        <v>1.35656065472774</v>
      </c>
      <c r="P67" s="10">
        <v>1.3619478407187899</v>
      </c>
      <c r="Q67" s="10">
        <v>1.3641964099438699</v>
      </c>
      <c r="R67" s="8">
        <v>192.211079168374</v>
      </c>
      <c r="S67" s="8">
        <v>192.90467394365899</v>
      </c>
      <c r="T67" s="8">
        <v>193.35788682780901</v>
      </c>
      <c r="U67" s="9">
        <v>-4.6140506034630102E-3</v>
      </c>
      <c r="V67" s="9">
        <v>-1.0120399373203799E-3</v>
      </c>
      <c r="W67" s="9">
        <v>1.33461820746034E-3</v>
      </c>
      <c r="X67" s="10">
        <v>1.3617172162205</v>
      </c>
      <c r="Y67" s="10">
        <v>1.3555780340485399</v>
      </c>
      <c r="Z67" s="10">
        <v>1.36077243785793</v>
      </c>
      <c r="AA67" s="10">
        <v>1.3635942911157599</v>
      </c>
      <c r="AB67" s="8">
        <v>192.29891096504099</v>
      </c>
      <c r="AC67" s="8">
        <v>192.96541979701499</v>
      </c>
      <c r="AD67" s="8">
        <v>193.50897511167099</v>
      </c>
      <c r="AE67" s="9">
        <v>-4.5186054898254903E-3</v>
      </c>
      <c r="AF67" s="9">
        <v>-1.05859404474045E-3</v>
      </c>
      <c r="AG67" s="9">
        <v>1.75429954002573E-3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1.1260761624097886E-2</v>
      </c>
      <c r="BL67" s="9"/>
      <c r="BN67">
        <f t="shared" si="10"/>
        <v>0</v>
      </c>
      <c r="BO67">
        <f t="shared" si="11"/>
        <v>0</v>
      </c>
      <c r="BP67">
        <f t="shared" si="12"/>
        <v>1</v>
      </c>
      <c r="BQ67">
        <f t="shared" si="1"/>
        <v>1</v>
      </c>
      <c r="BR67">
        <f t="shared" si="13"/>
        <v>1</v>
      </c>
      <c r="BS67" s="9">
        <f t="shared" si="14"/>
        <v>-3.0526876009374902E-2</v>
      </c>
      <c r="BT67" s="9">
        <f t="shared" si="15"/>
        <v>3.0443191126667699E-2</v>
      </c>
      <c r="BU67" s="9">
        <f t="shared" si="16"/>
        <v>-8.3684882707203007E-5</v>
      </c>
      <c r="BV67" s="12">
        <f t="shared" si="17"/>
        <v>6.9333323194352529E-3</v>
      </c>
      <c r="BX67" s="12">
        <f t="shared" si="18"/>
        <v>-8.3684882707203007E-5</v>
      </c>
      <c r="BY67" s="12">
        <f t="shared" si="19"/>
        <v>1.8194093943533138E-2</v>
      </c>
    </row>
    <row r="68" spans="1:77" x14ac:dyDescent="0.3">
      <c r="A68" s="1">
        <v>46121</v>
      </c>
      <c r="B68" s="8">
        <v>142.07</v>
      </c>
      <c r="C68" s="8">
        <v>193.64</v>
      </c>
      <c r="D68" s="9">
        <v>2.67832130785028E-3</v>
      </c>
      <c r="E68" s="9">
        <v>2.7925756370248602E-3</v>
      </c>
      <c r="F68" s="8">
        <v>0</v>
      </c>
      <c r="G68" s="8">
        <v>0.16750000000000001</v>
      </c>
      <c r="H68" s="8">
        <v>0</v>
      </c>
      <c r="I68" s="8">
        <v>6.9800000000000001E-2</v>
      </c>
      <c r="J68" s="8">
        <v>0.16750000000000001</v>
      </c>
      <c r="K68" s="8">
        <v>6.9800000000000001E-2</v>
      </c>
      <c r="L68" s="8">
        <v>142.23749999999899</v>
      </c>
      <c r="M68" s="8">
        <v>193.70979999999901</v>
      </c>
      <c r="N68" s="10">
        <v>1.36299007531498</v>
      </c>
      <c r="O68" s="10">
        <v>1.35656065472774</v>
      </c>
      <c r="P68" s="10">
        <v>1.3622860409966999</v>
      </c>
      <c r="Q68" s="10">
        <v>1.3637458994676499</v>
      </c>
      <c r="R68" s="8">
        <v>192.726572217171</v>
      </c>
      <c r="S68" s="8">
        <v>193.491929730918</v>
      </c>
      <c r="T68" s="8">
        <v>193.811383960726</v>
      </c>
      <c r="U68" s="9">
        <v>-4.7283049326374803E-3</v>
      </c>
      <c r="V68" s="9">
        <v>-7.6496028836925596E-4</v>
      </c>
      <c r="W68" s="9">
        <v>8.8467342742099301E-4</v>
      </c>
      <c r="X68" s="10">
        <v>1.3618757360049201</v>
      </c>
      <c r="Y68" s="10">
        <v>1.3555780340485399</v>
      </c>
      <c r="Z68" s="10">
        <v>1.36111454579229</v>
      </c>
      <c r="AA68" s="10">
        <v>1.3630880636740399</v>
      </c>
      <c r="AB68" s="8">
        <v>192.814030617979</v>
      </c>
      <c r="AC68" s="8">
        <v>193.55286962981799</v>
      </c>
      <c r="AD68" s="8">
        <v>193.95424298257899</v>
      </c>
      <c r="AE68" s="9">
        <v>-4.6350103912758296E-3</v>
      </c>
      <c r="AF68" s="9">
        <v>-8.1045962380872302E-4</v>
      </c>
      <c r="AG68" s="9">
        <v>1.26110749449579E-3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1.1260761624097886E-2</v>
      </c>
      <c r="BL68" s="9"/>
      <c r="BN68">
        <f t="shared" si="10"/>
        <v>0</v>
      </c>
      <c r="BO68">
        <f t="shared" si="11"/>
        <v>0</v>
      </c>
      <c r="BP68">
        <f t="shared" si="12"/>
        <v>1</v>
      </c>
      <c r="BQ68">
        <f t="shared" si="1"/>
        <v>1</v>
      </c>
      <c r="BR68">
        <f t="shared" si="13"/>
        <v>1</v>
      </c>
      <c r="BS68" s="9">
        <f t="shared" si="14"/>
        <v>-2.67832130785028E-3</v>
      </c>
      <c r="BT68" s="9">
        <f t="shared" si="15"/>
        <v>2.7925756370248602E-3</v>
      </c>
      <c r="BU68" s="9">
        <f t="shared" si="16"/>
        <v>1.1425432917458022E-4</v>
      </c>
      <c r="BV68" s="12">
        <f t="shared" si="17"/>
        <v>7.0475866486098332E-3</v>
      </c>
      <c r="BX68" s="12">
        <f t="shared" si="18"/>
        <v>1.1425432917458022E-4</v>
      </c>
      <c r="BY68" s="12">
        <f t="shared" si="19"/>
        <v>1.830834827270772E-2</v>
      </c>
    </row>
    <row r="69" spans="1:77" x14ac:dyDescent="0.3">
      <c r="A69" s="1">
        <v>46122</v>
      </c>
      <c r="B69" s="8">
        <v>142.62</v>
      </c>
      <c r="C69" s="8">
        <v>194.27</v>
      </c>
      <c r="D69" s="9">
        <v>3.8638567161720099E-3</v>
      </c>
      <c r="E69" s="9">
        <v>3.2481789791958498E-3</v>
      </c>
      <c r="F69" s="8">
        <v>0</v>
      </c>
      <c r="G69" s="8">
        <v>0.16750000000000001</v>
      </c>
      <c r="H69" s="8">
        <v>0</v>
      </c>
      <c r="I69" s="8">
        <v>6.9800000000000001E-2</v>
      </c>
      <c r="J69" s="8">
        <v>0.16750000000000001</v>
      </c>
      <c r="K69" s="8">
        <v>6.9800000000000001E-2</v>
      </c>
      <c r="L69" s="8">
        <v>142.78749999999999</v>
      </c>
      <c r="M69" s="8">
        <v>194.3398</v>
      </c>
      <c r="N69" s="10">
        <v>1.3621511709437599</v>
      </c>
      <c r="O69" s="10">
        <v>1.35656065472774</v>
      </c>
      <c r="P69" s="10">
        <v>1.3626445543174901</v>
      </c>
      <c r="Q69" s="10">
        <v>1.3632812003247601</v>
      </c>
      <c r="R69" s="8">
        <v>193.47268057727101</v>
      </c>
      <c r="S69" s="8">
        <v>194.28923516694999</v>
      </c>
      <c r="T69" s="8">
        <v>194.49744018207599</v>
      </c>
      <c r="U69" s="9">
        <v>-4.1126271956614599E-3</v>
      </c>
      <c r="V69" s="9">
        <v>9.90076427218256E-5</v>
      </c>
      <c r="W69" s="9">
        <v>1.1700579036022999E-3</v>
      </c>
      <c r="X69" s="10">
        <v>1.36104210802766</v>
      </c>
      <c r="Y69" s="10">
        <v>1.3555780340485399</v>
      </c>
      <c r="Z69" s="10">
        <v>1.36148106650517</v>
      </c>
      <c r="AA69" s="10">
        <v>1.3625679113853499</v>
      </c>
      <c r="AB69" s="8">
        <v>193.55959853670601</v>
      </c>
      <c r="AC69" s="8">
        <v>194.35014320731599</v>
      </c>
      <c r="AD69" s="8">
        <v>194.63193689185701</v>
      </c>
      <c r="AE69" s="9">
        <v>-4.0227054661529796E-3</v>
      </c>
      <c r="AF69" s="9">
        <v>5.3220864084681203E-5</v>
      </c>
      <c r="AG69" s="9">
        <v>1.5020985798145201E-3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1.1260761624097886E-2</v>
      </c>
      <c r="BL69" s="9"/>
      <c r="BN69">
        <f t="shared" si="10"/>
        <v>0</v>
      </c>
      <c r="BO69">
        <f t="shared" si="11"/>
        <v>0</v>
      </c>
      <c r="BP69">
        <f t="shared" si="12"/>
        <v>1</v>
      </c>
      <c r="BQ69">
        <f t="shared" si="1"/>
        <v>1</v>
      </c>
      <c r="BR69">
        <f t="shared" si="13"/>
        <v>1</v>
      </c>
      <c r="BS69" s="9">
        <f t="shared" si="14"/>
        <v>-3.8638567161720099E-3</v>
      </c>
      <c r="BT69" s="9">
        <f t="shared" si="15"/>
        <v>3.2481789791958498E-3</v>
      </c>
      <c r="BU69" s="9">
        <f t="shared" si="16"/>
        <v>-6.1567773697616002E-4</v>
      </c>
      <c r="BV69" s="12">
        <f t="shared" si="17"/>
        <v>6.4319089116336731E-3</v>
      </c>
      <c r="BX69" s="12">
        <f t="shared" si="18"/>
        <v>-6.1567773697616002E-4</v>
      </c>
      <c r="BY69" s="12">
        <f t="shared" si="19"/>
        <v>1.769267053573156E-2</v>
      </c>
    </row>
    <row r="70" spans="1:77" x14ac:dyDescent="0.3">
      <c r="A70" s="1">
        <v>46125</v>
      </c>
      <c r="B70" s="8">
        <v>145.61000000000001</v>
      </c>
      <c r="C70" s="8">
        <v>197.94</v>
      </c>
      <c r="D70" s="9">
        <v>2.07480641226555E-2</v>
      </c>
      <c r="E70" s="9">
        <v>1.8715010417855601E-2</v>
      </c>
      <c r="F70" s="8">
        <v>0</v>
      </c>
      <c r="G70" s="8">
        <v>0.16750000000000001</v>
      </c>
      <c r="H70" s="8">
        <v>0</v>
      </c>
      <c r="I70" s="8">
        <v>6.9800000000000001E-2</v>
      </c>
      <c r="J70" s="8">
        <v>0.16750000000000001</v>
      </c>
      <c r="K70" s="8">
        <v>6.9800000000000001E-2</v>
      </c>
      <c r="L70" s="8">
        <v>145.7775</v>
      </c>
      <c r="M70" s="8">
        <v>198.00979999999899</v>
      </c>
      <c r="N70" s="10">
        <v>1.35938465764713</v>
      </c>
      <c r="O70" s="10">
        <v>1.35656065472774</v>
      </c>
      <c r="P70" s="10">
        <v>1.3630457663876201</v>
      </c>
      <c r="Q70" s="10">
        <v>1.3628147606925001</v>
      </c>
      <c r="R70" s="8">
        <v>197.52879693490701</v>
      </c>
      <c r="S70" s="8">
        <v>198.41467355417001</v>
      </c>
      <c r="T70" s="8">
        <v>198.50737557928801</v>
      </c>
      <c r="U70" s="9">
        <v>-2.0795734908615501E-3</v>
      </c>
      <c r="V70" s="9">
        <v>2.3951970937876699E-3</v>
      </c>
      <c r="W70" s="9">
        <v>2.8623015391366999E-3</v>
      </c>
      <c r="X70" s="10">
        <v>1.3583015211538101</v>
      </c>
      <c r="Y70" s="10">
        <v>1.3555780340485399</v>
      </c>
      <c r="Z70" s="10">
        <v>1.3618948258080199</v>
      </c>
      <c r="AA70" s="10">
        <v>1.36204731492842</v>
      </c>
      <c r="AB70" s="8">
        <v>197.61277685851101</v>
      </c>
      <c r="AC70" s="8">
        <v>198.473306172457</v>
      </c>
      <c r="AD70" s="8">
        <v>198.631743701978</v>
      </c>
      <c r="AE70" s="9">
        <v>-2.00708098067125E-3</v>
      </c>
      <c r="AF70" s="9">
        <v>2.3380889444936E-3</v>
      </c>
      <c r="AG70" s="9">
        <v>3.1360517907362E-3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1.1260761624097886E-2</v>
      </c>
      <c r="BL70" s="9"/>
      <c r="BN70">
        <f t="shared" si="10"/>
        <v>1</v>
      </c>
      <c r="BO70">
        <f t="shared" si="11"/>
        <v>0</v>
      </c>
      <c r="BP70">
        <f t="shared" si="12"/>
        <v>1</v>
      </c>
      <c r="BQ70">
        <f t="shared" si="1"/>
        <v>1</v>
      </c>
      <c r="BR70">
        <f t="shared" si="13"/>
        <v>1</v>
      </c>
      <c r="BS70" s="9">
        <f t="shared" si="14"/>
        <v>-2.07480641226555E-2</v>
      </c>
      <c r="BT70" s="9">
        <f t="shared" si="15"/>
        <v>1.8715010417855601E-2</v>
      </c>
      <c r="BU70" s="9">
        <f t="shared" si="16"/>
        <v>-2.0330537047998989E-3</v>
      </c>
      <c r="BV70" s="12">
        <f t="shared" si="17"/>
        <v>4.3988552068337742E-3</v>
      </c>
      <c r="BX70" s="12">
        <f t="shared" si="18"/>
        <v>-2.0330537047998989E-3</v>
      </c>
      <c r="BY70" s="12">
        <f t="shared" si="19"/>
        <v>1.5659616830931661E-2</v>
      </c>
    </row>
    <row r="71" spans="1:77" x14ac:dyDescent="0.3">
      <c r="A71" s="1">
        <v>46126</v>
      </c>
      <c r="B71" s="8">
        <v>147.94</v>
      </c>
      <c r="C71" s="8">
        <v>201.83</v>
      </c>
      <c r="D71" s="9">
        <v>1.5874971436908299E-2</v>
      </c>
      <c r="E71" s="9">
        <v>1.9461804443482601E-2</v>
      </c>
      <c r="F71" s="8">
        <v>0</v>
      </c>
      <c r="G71" s="8">
        <v>0.16750000000000001</v>
      </c>
      <c r="H71" s="8">
        <v>0</v>
      </c>
      <c r="I71" s="8">
        <v>6.9800000000000001E-2</v>
      </c>
      <c r="J71" s="8">
        <v>0.16750000000000001</v>
      </c>
      <c r="K71" s="8">
        <v>6.9800000000000001E-2</v>
      </c>
      <c r="L71" s="8">
        <v>148.10749999999999</v>
      </c>
      <c r="M71" s="8">
        <v>201.8998</v>
      </c>
      <c r="N71" s="10">
        <v>1.3642692983642</v>
      </c>
      <c r="O71" s="10">
        <v>1.35656065472774</v>
      </c>
      <c r="P71" s="10">
        <v>1.36337073543973</v>
      </c>
      <c r="Q71" s="10">
        <v>1.3626213946552399</v>
      </c>
      <c r="R71" s="8">
        <v>200.68958326042201</v>
      </c>
      <c r="S71" s="8">
        <v>201.64899067938501</v>
      </c>
      <c r="T71" s="8">
        <v>201.61481569684801</v>
      </c>
      <c r="U71" s="9">
        <v>-5.6664064974358301E-3</v>
      </c>
      <c r="V71" s="9">
        <v>-8.9724291444599898E-4</v>
      </c>
      <c r="W71" s="9">
        <v>-1.06673485534844E-3</v>
      </c>
      <c r="X71" s="10">
        <v>1.3631976773627199</v>
      </c>
      <c r="Y71" s="10">
        <v>1.3555780340485399</v>
      </c>
      <c r="Z71" s="10">
        <v>1.36223652551601</v>
      </c>
      <c r="AA71" s="10">
        <v>1.3618003678410899</v>
      </c>
      <c r="AB71" s="8">
        <v>200.77127367784399</v>
      </c>
      <c r="AC71" s="8">
        <v>201.706837913361</v>
      </c>
      <c r="AD71" s="8">
        <v>201.729422695761</v>
      </c>
      <c r="AE71" s="9">
        <v>-5.6052165185791697E-3</v>
      </c>
      <c r="AF71" s="9">
        <v>-9.5618893850683503E-4</v>
      </c>
      <c r="AG71" s="9">
        <v>-8.4422685364554802E-4</v>
      </c>
      <c r="AZ71" s="9"/>
      <c r="BB71">
        <f t="shared" si="2"/>
        <v>0</v>
      </c>
      <c r="BC71">
        <f t="shared" si="3"/>
        <v>0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1.1260761624097886E-2</v>
      </c>
      <c r="BL71" s="9"/>
      <c r="BN71">
        <f t="shared" si="10"/>
        <v>0</v>
      </c>
      <c r="BO71">
        <f t="shared" si="11"/>
        <v>1</v>
      </c>
      <c r="BP71">
        <f t="shared" si="12"/>
        <v>1</v>
      </c>
      <c r="BQ71">
        <f t="shared" si="1"/>
        <v>1</v>
      </c>
      <c r="BR71">
        <f t="shared" si="13"/>
        <v>1</v>
      </c>
      <c r="BS71" s="9">
        <f t="shared" si="14"/>
        <v>-1.5874971436908299E-2</v>
      </c>
      <c r="BT71" s="9">
        <f t="shared" si="15"/>
        <v>1.9461804443482601E-2</v>
      </c>
      <c r="BU71" s="9">
        <f t="shared" si="16"/>
        <v>3.5868330065743012E-3</v>
      </c>
      <c r="BV71" s="12">
        <f t="shared" si="17"/>
        <v>7.9856882134080754E-3</v>
      </c>
      <c r="BX71" s="12">
        <f t="shared" si="18"/>
        <v>3.5868330065743012E-3</v>
      </c>
      <c r="BY71" s="12">
        <f t="shared" si="19"/>
        <v>1.9246449837505963E-2</v>
      </c>
    </row>
    <row r="72" spans="1:77" x14ac:dyDescent="0.3">
      <c r="A72" s="1">
        <v>46127</v>
      </c>
      <c r="B72" s="8">
        <v>150.30000000000001</v>
      </c>
      <c r="C72" s="8">
        <v>205.23</v>
      </c>
      <c r="D72" s="9">
        <v>1.58265105992073E-2</v>
      </c>
      <c r="E72" s="9">
        <v>1.67055425289886E-2</v>
      </c>
      <c r="F72" s="8">
        <v>0</v>
      </c>
      <c r="G72" s="8">
        <v>0.16750000000000001</v>
      </c>
      <c r="H72" s="8">
        <v>0</v>
      </c>
      <c r="I72" s="8">
        <v>6.9800000000000001E-2</v>
      </c>
      <c r="J72" s="8">
        <v>0.16750000000000001</v>
      </c>
      <c r="K72" s="8">
        <v>6.9800000000000001E-2</v>
      </c>
      <c r="L72" s="8">
        <v>150.4675</v>
      </c>
      <c r="M72" s="8">
        <v>205.29979999999901</v>
      </c>
      <c r="N72" s="10">
        <v>1.36546906187624</v>
      </c>
      <c r="O72" s="10">
        <v>1.35656065472774</v>
      </c>
      <c r="P72" s="10">
        <v>1.36340898850471</v>
      </c>
      <c r="Q72" s="10">
        <v>1.3625237713551801</v>
      </c>
      <c r="R72" s="8">
        <v>203.89106640558001</v>
      </c>
      <c r="S72" s="8">
        <v>204.91462153659199</v>
      </c>
      <c r="T72" s="8">
        <v>204.80199561668201</v>
      </c>
      <c r="U72" s="9">
        <v>-6.5454384272170601E-3</v>
      </c>
      <c r="V72" s="9">
        <v>-1.53788936392531E-3</v>
      </c>
      <c r="W72" s="9">
        <v>-2.0876641010538601E-3</v>
      </c>
      <c r="X72" s="10">
        <v>1.36441291308754</v>
      </c>
      <c r="Y72" s="10">
        <v>1.3555780340485399</v>
      </c>
      <c r="Z72" s="10">
        <v>1.3622885407055101</v>
      </c>
      <c r="AA72" s="10">
        <v>1.36162492635199</v>
      </c>
      <c r="AB72" s="8">
        <v>203.97043783819899</v>
      </c>
      <c r="AC72" s="8">
        <v>204.97232440308099</v>
      </c>
      <c r="AD72" s="8">
        <v>204.906696848129</v>
      </c>
      <c r="AE72" s="9">
        <v>-6.4962790547631599E-3</v>
      </c>
      <c r="AF72" s="9">
        <v>-1.59638272739492E-3</v>
      </c>
      <c r="AG72" s="9">
        <v>-1.9166116345140699E-3</v>
      </c>
      <c r="AZ72" s="9"/>
      <c r="BB72">
        <f t="shared" si="2"/>
        <v>1</v>
      </c>
      <c r="BC72">
        <f t="shared" si="3"/>
        <v>0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1.1260761624097886E-2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7.9856882134080754E-3</v>
      </c>
      <c r="BX72" s="12">
        <f t="shared" si="18"/>
        <v>0</v>
      </c>
      <c r="BY72" s="12">
        <f t="shared" si="19"/>
        <v>1.9246449837505963E-2</v>
      </c>
    </row>
    <row r="73" spans="1:77" x14ac:dyDescent="0.3">
      <c r="A73" s="1">
        <v>46128</v>
      </c>
      <c r="B73" s="8">
        <v>152.02000000000001</v>
      </c>
      <c r="C73" s="8">
        <v>206.56</v>
      </c>
      <c r="D73" s="9">
        <v>1.13787943789656E-2</v>
      </c>
      <c r="E73" s="9">
        <v>6.4596256573160602E-3</v>
      </c>
      <c r="F73" s="8">
        <v>0</v>
      </c>
      <c r="G73" s="8">
        <v>0.16750000000000001</v>
      </c>
      <c r="H73" s="8">
        <v>0</v>
      </c>
      <c r="I73" s="8">
        <v>6.9800000000000001E-2</v>
      </c>
      <c r="J73" s="8">
        <v>0.16750000000000001</v>
      </c>
      <c r="K73" s="8">
        <v>6.9800000000000001E-2</v>
      </c>
      <c r="L73" s="8">
        <v>152.1875</v>
      </c>
      <c r="M73" s="8">
        <v>206.62979999999999</v>
      </c>
      <c r="N73" s="10">
        <v>1.35876858308117</v>
      </c>
      <c r="O73" s="10">
        <v>1.35656065472774</v>
      </c>
      <c r="P73" s="10">
        <v>1.3625873070455701</v>
      </c>
      <c r="Q73" s="10">
        <v>1.36209093347532</v>
      </c>
      <c r="R73" s="8">
        <v>206.22435073171201</v>
      </c>
      <c r="S73" s="8">
        <v>207.26543443248599</v>
      </c>
      <c r="T73" s="8">
        <v>207.13086372141501</v>
      </c>
      <c r="U73" s="9">
        <v>-1.6262697055676699E-3</v>
      </c>
      <c r="V73" s="9">
        <v>3.4093366772374499E-3</v>
      </c>
      <c r="W73" s="9">
        <v>2.75985830882272E-3</v>
      </c>
      <c r="X73" s="10">
        <v>1.3577317453798701</v>
      </c>
      <c r="Y73" s="10">
        <v>1.3555780340485399</v>
      </c>
      <c r="Z73" s="10">
        <v>1.36148101157338</v>
      </c>
      <c r="AA73" s="10">
        <v>1.3611149493994701</v>
      </c>
      <c r="AB73" s="8">
        <v>206.30203205676199</v>
      </c>
      <c r="AC73" s="8">
        <v>207.32328728861901</v>
      </c>
      <c r="AD73" s="8">
        <v>207.22229347919401</v>
      </c>
      <c r="AE73" s="9">
        <v>-1.58751632414417E-3</v>
      </c>
      <c r="AF73" s="9">
        <v>3.3505629439080399E-3</v>
      </c>
      <c r="AG73" s="9">
        <v>2.8633122476804298E-3</v>
      </c>
      <c r="AZ73" s="9"/>
      <c r="BB73">
        <f t="shared" si="2"/>
        <v>0</v>
      </c>
      <c r="BC73">
        <f t="shared" si="3"/>
        <v>1</v>
      </c>
      <c r="BD73">
        <f t="shared" si="4"/>
        <v>1</v>
      </c>
      <c r="BE73">
        <f t="shared" si="0"/>
        <v>1</v>
      </c>
      <c r="BF73">
        <f t="shared" si="5"/>
        <v>1</v>
      </c>
      <c r="BG73" s="9">
        <f t="shared" si="6"/>
        <v>1.13787943789656E-2</v>
      </c>
      <c r="BH73" s="9">
        <f t="shared" si="7"/>
        <v>-6.4596256573160602E-3</v>
      </c>
      <c r="BI73" s="9">
        <f t="shared" si="8"/>
        <v>4.9191687216495394E-3</v>
      </c>
      <c r="BJ73" s="12">
        <f t="shared" si="9"/>
        <v>1.6179930345747426E-2</v>
      </c>
      <c r="BL73" s="9"/>
      <c r="BN73">
        <f t="shared" si="10"/>
        <v>1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7.9856882134080754E-3</v>
      </c>
      <c r="BX73" s="12">
        <f t="shared" si="18"/>
        <v>4.9191687216495394E-3</v>
      </c>
      <c r="BY73" s="12">
        <f t="shared" si="19"/>
        <v>2.4165618559155503E-2</v>
      </c>
    </row>
    <row r="74" spans="1:77" x14ac:dyDescent="0.3">
      <c r="A74" s="1">
        <v>46129</v>
      </c>
      <c r="B74" s="8">
        <v>154.35</v>
      </c>
      <c r="C74" s="8">
        <v>210.07</v>
      </c>
      <c r="D74" s="9">
        <v>1.5210659810273801E-2</v>
      </c>
      <c r="E74" s="9">
        <v>1.6849881409256501E-2</v>
      </c>
      <c r="F74" s="8">
        <v>0</v>
      </c>
      <c r="G74" s="8">
        <v>0.16750000000000001</v>
      </c>
      <c r="H74" s="8">
        <v>0</v>
      </c>
      <c r="I74" s="8">
        <v>6.9800000000000001E-2</v>
      </c>
      <c r="J74" s="8">
        <v>0.16750000000000001</v>
      </c>
      <c r="K74" s="8">
        <v>6.9800000000000001E-2</v>
      </c>
      <c r="L74" s="8">
        <v>154.51749999999899</v>
      </c>
      <c r="M74" s="8">
        <v>210.13979999999901</v>
      </c>
      <c r="N74" s="10">
        <v>1.3609977324263001</v>
      </c>
      <c r="O74" s="10">
        <v>1.35656065472774</v>
      </c>
      <c r="P74" s="10">
        <v>1.36236823331416</v>
      </c>
      <c r="Q74" s="10">
        <v>1.3619908526040401</v>
      </c>
      <c r="R74" s="8">
        <v>209.38513705722701</v>
      </c>
      <c r="S74" s="8">
        <v>210.31535084248401</v>
      </c>
      <c r="T74" s="8">
        <v>210.23873558191599</v>
      </c>
      <c r="U74" s="9">
        <v>-3.26549130455048E-3</v>
      </c>
      <c r="V74" s="9">
        <v>1.1672665084592399E-3</v>
      </c>
      <c r="W74" s="9">
        <v>8.0291260540937403E-4</v>
      </c>
      <c r="X74" s="10">
        <v>1.35997411296455</v>
      </c>
      <c r="Y74" s="10">
        <v>1.3555780340485399</v>
      </c>
      <c r="Z74" s="10">
        <v>1.3612760102227099</v>
      </c>
      <c r="AA74" s="10">
        <v>1.3609384762569701</v>
      </c>
      <c r="AB74" s="8">
        <v>209.460528876095</v>
      </c>
      <c r="AC74" s="8">
        <v>210.37264220578999</v>
      </c>
      <c r="AD74" s="8">
        <v>210.31607919383299</v>
      </c>
      <c r="AE74" s="9">
        <v>-3.2377082215819999E-3</v>
      </c>
      <c r="AF74" s="9">
        <v>1.1074213564997799E-3</v>
      </c>
      <c r="AG74" s="9">
        <v>8.3851463559104903E-4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1.6179930345747426E-2</v>
      </c>
      <c r="BL74" s="9"/>
      <c r="BN74">
        <f t="shared" si="10"/>
        <v>0</v>
      </c>
      <c r="BO74">
        <f t="shared" si="11"/>
        <v>0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-1.5210659810273801E-2</v>
      </c>
      <c r="BT74" s="9">
        <f t="shared" si="15"/>
        <v>1.6849881409256501E-2</v>
      </c>
      <c r="BU74" s="9">
        <f t="shared" si="16"/>
        <v>1.6392215989827E-3</v>
      </c>
      <c r="BV74" s="12">
        <f t="shared" si="17"/>
        <v>9.6249098123907754E-3</v>
      </c>
      <c r="BX74" s="12">
        <f t="shared" si="18"/>
        <v>1.6392215989827E-3</v>
      </c>
      <c r="BY74" s="12">
        <f t="shared" si="19"/>
        <v>2.5804840158138203E-2</v>
      </c>
    </row>
    <row r="75" spans="1:77" x14ac:dyDescent="0.3">
      <c r="A75" s="1">
        <v>46132</v>
      </c>
      <c r="B75" s="8">
        <v>154.56</v>
      </c>
      <c r="C75" s="8">
        <v>210.43</v>
      </c>
      <c r="D75" s="9">
        <v>1.3596195160396501E-3</v>
      </c>
      <c r="E75" s="9">
        <v>1.71224774294299E-3</v>
      </c>
      <c r="F75" s="8">
        <v>0</v>
      </c>
      <c r="G75" s="8">
        <v>0.16750000000000001</v>
      </c>
      <c r="H75" s="8">
        <v>0</v>
      </c>
      <c r="I75" s="8">
        <v>6.9800000000000001E-2</v>
      </c>
      <c r="J75" s="8">
        <v>0.16750000000000001</v>
      </c>
      <c r="K75" s="8">
        <v>6.9800000000000001E-2</v>
      </c>
      <c r="L75" s="8">
        <v>154.72749999999999</v>
      </c>
      <c r="M75" s="8">
        <v>210.49979999999999</v>
      </c>
      <c r="N75" s="10">
        <v>1.36147774327122</v>
      </c>
      <c r="O75" s="10">
        <v>1.35656065472774</v>
      </c>
      <c r="P75" s="10">
        <v>1.3621291089718901</v>
      </c>
      <c r="Q75" s="10">
        <v>1.3618852734360201</v>
      </c>
      <c r="R75" s="8">
        <v>209.67001479472</v>
      </c>
      <c r="S75" s="8">
        <v>210.56763414103699</v>
      </c>
      <c r="T75" s="8">
        <v>210.50930617848101</v>
      </c>
      <c r="U75" s="9">
        <v>-3.61811953145387E-3</v>
      </c>
      <c r="V75" s="9">
        <v>6.5384759808309904E-4</v>
      </c>
      <c r="W75" s="9">
        <v>3.7680576869581899E-4</v>
      </c>
      <c r="X75" s="10">
        <v>1.36045499345623</v>
      </c>
      <c r="Y75" s="10">
        <v>1.3555780340485399</v>
      </c>
      <c r="Z75" s="10">
        <v>1.36105045679264</v>
      </c>
      <c r="AA75" s="10">
        <v>1.3607559631609201</v>
      </c>
      <c r="AB75" s="8">
        <v>209.74520026324501</v>
      </c>
      <c r="AC75" s="8">
        <v>210.62683387173499</v>
      </c>
      <c r="AD75" s="8">
        <v>210.57460808505101</v>
      </c>
      <c r="AE75" s="9">
        <v>-3.59124104885556E-3</v>
      </c>
      <c r="AF75" s="9">
        <v>6.0330487493055296E-4</v>
      </c>
      <c r="AG75" s="9">
        <v>3.5532003086584499E-4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1.6179930345747426E-2</v>
      </c>
      <c r="BL75" s="9"/>
      <c r="BN75">
        <f t="shared" si="10"/>
        <v>0</v>
      </c>
      <c r="BO75">
        <f t="shared" si="11"/>
        <v>0</v>
      </c>
      <c r="BP75">
        <f t="shared" si="12"/>
        <v>1</v>
      </c>
      <c r="BQ75">
        <f t="shared" si="1"/>
        <v>1</v>
      </c>
      <c r="BR75">
        <f t="shared" si="13"/>
        <v>1</v>
      </c>
      <c r="BS75" s="9">
        <f t="shared" si="14"/>
        <v>-1.3596195160396501E-3</v>
      </c>
      <c r="BT75" s="9">
        <f t="shared" si="15"/>
        <v>1.71224774294299E-3</v>
      </c>
      <c r="BU75" s="9">
        <f t="shared" si="16"/>
        <v>3.5262822690333988E-4</v>
      </c>
      <c r="BV75" s="12">
        <f t="shared" si="17"/>
        <v>9.9775380392941159E-3</v>
      </c>
      <c r="BX75" s="12">
        <f t="shared" si="18"/>
        <v>3.5262822690333988E-4</v>
      </c>
      <c r="BY75" s="12">
        <f t="shared" si="19"/>
        <v>2.6157468385041543E-2</v>
      </c>
    </row>
    <row r="76" spans="1:77" x14ac:dyDescent="0.3">
      <c r="A76" s="1">
        <v>46133</v>
      </c>
      <c r="B76" s="8">
        <v>154.69</v>
      </c>
      <c r="C76" s="8">
        <v>209.44</v>
      </c>
      <c r="D76" s="9">
        <v>8.4074378436575499E-4</v>
      </c>
      <c r="E76" s="9">
        <v>-4.7157540889422797E-3</v>
      </c>
      <c r="F76" s="8">
        <v>0</v>
      </c>
      <c r="G76" s="8">
        <v>0.16750000000000001</v>
      </c>
      <c r="H76" s="8">
        <v>0</v>
      </c>
      <c r="I76" s="8">
        <v>6.9800000000000001E-2</v>
      </c>
      <c r="J76" s="8">
        <v>0.16750000000000001</v>
      </c>
      <c r="K76" s="8">
        <v>6.9800000000000001E-2</v>
      </c>
      <c r="L76" s="8">
        <v>154.85749999999999</v>
      </c>
      <c r="M76" s="8">
        <v>209.50979999999899</v>
      </c>
      <c r="N76" s="10">
        <v>1.35393367379921</v>
      </c>
      <c r="O76" s="10">
        <v>1.35656065472774</v>
      </c>
      <c r="P76" s="10">
        <v>1.36122763534184</v>
      </c>
      <c r="Q76" s="10">
        <v>1.3613417234640599</v>
      </c>
      <c r="R76" s="8">
        <v>209.846367679835</v>
      </c>
      <c r="S76" s="8">
        <v>210.707751866861</v>
      </c>
      <c r="T76" s="8">
        <v>210.67003294781799</v>
      </c>
      <c r="U76" s="9">
        <v>1.93837834185404E-3</v>
      </c>
      <c r="V76" s="9">
        <v>6.0348089867875198E-3</v>
      </c>
      <c r="W76" s="9">
        <v>5.85578237217293E-3</v>
      </c>
      <c r="X76" s="10">
        <v>1.3529199425278</v>
      </c>
      <c r="Y76" s="10">
        <v>1.3555780340485399</v>
      </c>
      <c r="Z76" s="10">
        <v>1.3601627966185601</v>
      </c>
      <c r="AA76" s="10">
        <v>1.36021963490944</v>
      </c>
      <c r="AB76" s="8">
        <v>209.92142540767199</v>
      </c>
      <c r="AC76" s="8">
        <v>210.76887111276599</v>
      </c>
      <c r="AD76" s="8">
        <v>210.72326656519201</v>
      </c>
      <c r="AE76" s="9">
        <v>1.9627796639178998E-3</v>
      </c>
      <c r="AF76" s="9">
        <v>5.9916192087489696E-3</v>
      </c>
      <c r="AG76" s="9">
        <v>5.7752234866206504E-3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1.6179930345747426E-2</v>
      </c>
      <c r="BL76" s="9"/>
      <c r="BN76">
        <f t="shared" si="10"/>
        <v>1</v>
      </c>
      <c r="BO76">
        <f t="shared" si="11"/>
        <v>0</v>
      </c>
      <c r="BP76">
        <f t="shared" si="12"/>
        <v>1</v>
      </c>
      <c r="BQ76">
        <f t="shared" si="1"/>
        <v>1</v>
      </c>
      <c r="BR76">
        <f t="shared" si="13"/>
        <v>1</v>
      </c>
      <c r="BS76" s="9">
        <f t="shared" si="14"/>
        <v>-8.4074378436575499E-4</v>
      </c>
      <c r="BT76" s="9">
        <f t="shared" si="15"/>
        <v>-4.7157540889422797E-3</v>
      </c>
      <c r="BU76" s="9">
        <f t="shared" si="16"/>
        <v>-5.5564978733080349E-3</v>
      </c>
      <c r="BV76" s="12">
        <f t="shared" si="17"/>
        <v>4.421040165986081E-3</v>
      </c>
      <c r="BX76" s="12">
        <f t="shared" si="18"/>
        <v>-5.5564978733080349E-3</v>
      </c>
      <c r="BY76" s="12">
        <f t="shared" si="19"/>
        <v>2.0600970511733509E-2</v>
      </c>
    </row>
    <row r="77" spans="1:77" x14ac:dyDescent="0.3">
      <c r="A77" s="1">
        <v>46134</v>
      </c>
      <c r="B77" s="8">
        <v>158.09</v>
      </c>
      <c r="C77" s="8">
        <v>214.13</v>
      </c>
      <c r="D77" s="9">
        <v>2.17413768595228E-2</v>
      </c>
      <c r="E77" s="9">
        <v>2.2146005056535599E-2</v>
      </c>
      <c r="F77" s="8">
        <v>0</v>
      </c>
      <c r="G77" s="8">
        <v>0.16750000000000001</v>
      </c>
      <c r="H77" s="8">
        <v>0</v>
      </c>
      <c r="I77" s="8">
        <v>6.9800000000000001E-2</v>
      </c>
      <c r="J77" s="8">
        <v>0.16750000000000001</v>
      </c>
      <c r="K77" s="8">
        <v>6.9800000000000001E-2</v>
      </c>
      <c r="L77" s="8">
        <v>158.25749999999999</v>
      </c>
      <c r="M77" s="8">
        <v>214.19979999999899</v>
      </c>
      <c r="N77" s="10">
        <v>1.3544816243911599</v>
      </c>
      <c r="O77" s="10">
        <v>1.35656065472774</v>
      </c>
      <c r="P77" s="10">
        <v>1.3603923621115399</v>
      </c>
      <c r="Q77" s="10">
        <v>1.36117010141516</v>
      </c>
      <c r="R77" s="8">
        <v>214.458673905909</v>
      </c>
      <c r="S77" s="8">
        <v>215.196476871192</v>
      </c>
      <c r="T77" s="8">
        <v>215.21451306243301</v>
      </c>
      <c r="U77" s="9">
        <v>1.5337501448412E-3</v>
      </c>
      <c r="V77" s="9">
        <v>4.9681495190974203E-3</v>
      </c>
      <c r="W77" s="9">
        <v>5.0519586767337902E-3</v>
      </c>
      <c r="X77" s="10">
        <v>1.35348909214413</v>
      </c>
      <c r="Y77" s="10">
        <v>1.3555780340485399</v>
      </c>
      <c r="Z77" s="10">
        <v>1.3593399842109199</v>
      </c>
      <c r="AA77" s="10">
        <v>1.3600562110344301</v>
      </c>
      <c r="AB77" s="8">
        <v>214.53039072343699</v>
      </c>
      <c r="AC77" s="8">
        <v>215.25596378586201</v>
      </c>
      <c r="AD77" s="8">
        <v>215.26495887168099</v>
      </c>
      <c r="AE77" s="9">
        <v>1.5421857201177399E-3</v>
      </c>
      <c r="AF77" s="9">
        <v>4.9186249398721097E-3</v>
      </c>
      <c r="AG77" s="9">
        <v>4.9604119255768396E-3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1.6179930345747426E-2</v>
      </c>
      <c r="BL77" s="9"/>
      <c r="BN77">
        <f t="shared" si="10"/>
        <v>1</v>
      </c>
      <c r="BO77">
        <f t="shared" si="11"/>
        <v>0</v>
      </c>
      <c r="BP77">
        <f t="shared" si="12"/>
        <v>1</v>
      </c>
      <c r="BQ77">
        <f t="shared" si="1"/>
        <v>1</v>
      </c>
      <c r="BR77">
        <f t="shared" si="13"/>
        <v>1</v>
      </c>
      <c r="BS77" s="9">
        <f t="shared" si="14"/>
        <v>-2.17413768595228E-2</v>
      </c>
      <c r="BT77" s="9">
        <f t="shared" si="15"/>
        <v>2.2146005056535599E-2</v>
      </c>
      <c r="BU77" s="9">
        <f t="shared" si="16"/>
        <v>4.0462819701279906E-4</v>
      </c>
      <c r="BV77" s="12">
        <f t="shared" si="17"/>
        <v>4.8256683629988801E-3</v>
      </c>
      <c r="BX77" s="12">
        <f t="shared" si="18"/>
        <v>4.0462819701279906E-4</v>
      </c>
      <c r="BY77" s="12">
        <f t="shared" si="19"/>
        <v>2.1005598708746308E-2</v>
      </c>
    </row>
    <row r="78" spans="1:77" x14ac:dyDescent="0.3">
      <c r="A78" s="1">
        <v>46135</v>
      </c>
      <c r="B78" s="8">
        <v>155.84</v>
      </c>
      <c r="C78" s="8">
        <v>211.56</v>
      </c>
      <c r="D78" s="9">
        <v>-1.4334651213871299E-2</v>
      </c>
      <c r="E78" s="9">
        <v>-1.20746610203461E-2</v>
      </c>
      <c r="F78" s="8">
        <v>0</v>
      </c>
      <c r="G78" s="8">
        <v>0.16750000000000001</v>
      </c>
      <c r="H78" s="8">
        <v>0</v>
      </c>
      <c r="I78" s="8">
        <v>6.9800000000000001E-2</v>
      </c>
      <c r="J78" s="8">
        <v>0.16750000000000001</v>
      </c>
      <c r="K78" s="8">
        <v>6.9800000000000001E-2</v>
      </c>
      <c r="L78" s="8">
        <v>156.00749999999999</v>
      </c>
      <c r="M78" s="8">
        <v>211.62979999999999</v>
      </c>
      <c r="N78" s="10">
        <v>1.3575462012320301</v>
      </c>
      <c r="O78" s="10">
        <v>1.35656065472774</v>
      </c>
      <c r="P78" s="10">
        <v>1.3598479747032399</v>
      </c>
      <c r="Q78" s="10">
        <v>1.36106700784997</v>
      </c>
      <c r="R78" s="8">
        <v>211.40641243277199</v>
      </c>
      <c r="S78" s="8">
        <v>212.00354571146201</v>
      </c>
      <c r="T78" s="8">
        <v>212.12474860453901</v>
      </c>
      <c r="U78" s="9">
        <v>-7.2624004868392805E-4</v>
      </c>
      <c r="V78" s="9">
        <v>2.09435338844049E-3</v>
      </c>
      <c r="W78" s="9">
        <v>2.6658922270437401E-3</v>
      </c>
      <c r="X78" s="10">
        <v>1.35653606397128</v>
      </c>
      <c r="Y78" s="10">
        <v>1.3555780340485399</v>
      </c>
      <c r="Z78" s="10">
        <v>1.35880601700756</v>
      </c>
      <c r="AA78" s="10">
        <v>1.3599602813999201</v>
      </c>
      <c r="AB78" s="8">
        <v>211.48034014682699</v>
      </c>
      <c r="AC78" s="8">
        <v>212.06723258678599</v>
      </c>
      <c r="AD78" s="8">
        <v>212.17896934295399</v>
      </c>
      <c r="AE78" s="9">
        <v>-7.0648204903186703E-4</v>
      </c>
      <c r="AF78" s="9">
        <v>2.0648374124012702E-3</v>
      </c>
      <c r="AG78" s="9">
        <v>2.5915917274349802E-3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1.6179930345747426E-2</v>
      </c>
      <c r="BL78" s="9"/>
      <c r="BN78">
        <f t="shared" si="10"/>
        <v>1</v>
      </c>
      <c r="BO78">
        <f t="shared" si="11"/>
        <v>0</v>
      </c>
      <c r="BP78">
        <f t="shared" si="12"/>
        <v>1</v>
      </c>
      <c r="BQ78">
        <f t="shared" si="1"/>
        <v>1</v>
      </c>
      <c r="BR78">
        <f t="shared" si="13"/>
        <v>1</v>
      </c>
      <c r="BS78" s="9">
        <f t="shared" si="14"/>
        <v>1.4334651213871299E-2</v>
      </c>
      <c r="BT78" s="9">
        <f t="shared" si="15"/>
        <v>-1.20746610203461E-2</v>
      </c>
      <c r="BU78" s="9">
        <f t="shared" si="16"/>
        <v>2.2599901935251993E-3</v>
      </c>
      <c r="BV78" s="12">
        <f t="shared" si="17"/>
        <v>7.0856585565240793E-3</v>
      </c>
      <c r="BX78" s="12">
        <f t="shared" si="18"/>
        <v>2.2599901935251993E-3</v>
      </c>
      <c r="BY78" s="12">
        <f t="shared" si="19"/>
        <v>2.3265588902271508E-2</v>
      </c>
    </row>
    <row r="79" spans="1:77" x14ac:dyDescent="0.3">
      <c r="A79" s="1">
        <v>46136</v>
      </c>
      <c r="B79" s="8">
        <v>160.22</v>
      </c>
      <c r="C79" s="8">
        <v>217.17</v>
      </c>
      <c r="D79" s="9">
        <v>2.7718030892745799E-2</v>
      </c>
      <c r="E79" s="9">
        <v>2.6171810775380399E-2</v>
      </c>
      <c r="F79" s="8">
        <v>0</v>
      </c>
      <c r="G79" s="8">
        <v>0.16750000000000001</v>
      </c>
      <c r="H79" s="8">
        <v>0</v>
      </c>
      <c r="I79" s="8">
        <v>6.9800000000000001E-2</v>
      </c>
      <c r="J79" s="8">
        <v>0.16750000000000001</v>
      </c>
      <c r="K79" s="8">
        <v>6.9800000000000001E-2</v>
      </c>
      <c r="L79" s="8">
        <v>160.38749999999999</v>
      </c>
      <c r="M79" s="8">
        <v>217.23979999999901</v>
      </c>
      <c r="N79" s="10">
        <v>1.3554487579578001</v>
      </c>
      <c r="O79" s="10">
        <v>1.35656065472774</v>
      </c>
      <c r="P79" s="10">
        <v>1.35917773340465</v>
      </c>
      <c r="Q79" s="10">
        <v>1.3609111438610699</v>
      </c>
      <c r="R79" s="8">
        <v>217.34814810047899</v>
      </c>
      <c r="S79" s="8">
        <v>217.874842506954</v>
      </c>
      <c r="T79" s="8">
        <v>218.07015599772299</v>
      </c>
      <c r="U79" s="9">
        <v>8.1998006868151902E-4</v>
      </c>
      <c r="V79" s="9">
        <v>3.2403240071159798E-3</v>
      </c>
      <c r="W79" s="9">
        <v>4.1363705474228097E-3</v>
      </c>
      <c r="X79" s="10">
        <v>1.35446839685137</v>
      </c>
      <c r="Y79" s="10">
        <v>1.3555780340485399</v>
      </c>
      <c r="Z79" s="10">
        <v>1.3581486458899299</v>
      </c>
      <c r="AA79" s="10">
        <v>1.35981485619755</v>
      </c>
      <c r="AB79" s="8">
        <v>217.41777193595999</v>
      </c>
      <c r="AC79" s="8">
        <v>217.93550005279999</v>
      </c>
      <c r="AD79" s="8">
        <v>218.12062963303001</v>
      </c>
      <c r="AE79" s="9">
        <v>8.1890645601156195E-4</v>
      </c>
      <c r="AF79" s="9">
        <v>3.1973351676521699E-3</v>
      </c>
      <c r="AG79" s="9">
        <v>4.0464441641780598E-3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1.6179930345747426E-2</v>
      </c>
      <c r="BL79" s="9"/>
      <c r="BN79">
        <f t="shared" si="10"/>
        <v>1</v>
      </c>
      <c r="BO79">
        <f t="shared" si="11"/>
        <v>0</v>
      </c>
      <c r="BP79">
        <f t="shared" si="12"/>
        <v>1</v>
      </c>
      <c r="BQ79">
        <f t="shared" si="1"/>
        <v>1</v>
      </c>
      <c r="BR79">
        <f t="shared" si="13"/>
        <v>1</v>
      </c>
      <c r="BS79" s="9">
        <f t="shared" si="14"/>
        <v>-2.7718030892745799E-2</v>
      </c>
      <c r="BT79" s="9">
        <f t="shared" si="15"/>
        <v>2.6171810775380399E-2</v>
      </c>
      <c r="BU79" s="9">
        <f t="shared" si="16"/>
        <v>-1.5462201173653996E-3</v>
      </c>
      <c r="BV79" s="12">
        <f t="shared" si="17"/>
        <v>5.5394384391586797E-3</v>
      </c>
      <c r="BX79" s="12">
        <f t="shared" si="18"/>
        <v>-1.5462201173653996E-3</v>
      </c>
      <c r="BY79" s="12">
        <f t="shared" si="19"/>
        <v>2.1719368784906108E-2</v>
      </c>
    </row>
    <row r="80" spans="1:77" x14ac:dyDescent="0.3">
      <c r="A80" s="1">
        <v>46139</v>
      </c>
      <c r="B80" s="8">
        <v>160.57</v>
      </c>
      <c r="C80" s="8">
        <v>218.42</v>
      </c>
      <c r="D80" s="9">
        <v>2.1821137746224498E-3</v>
      </c>
      <c r="E80" s="9">
        <v>5.73935779642268E-3</v>
      </c>
      <c r="F80" s="8">
        <v>0</v>
      </c>
      <c r="G80" s="8">
        <v>0.16750000000000001</v>
      </c>
      <c r="H80" s="8">
        <v>0</v>
      </c>
      <c r="I80" s="8">
        <v>6.9800000000000001E-2</v>
      </c>
      <c r="J80" s="8">
        <v>0.16750000000000001</v>
      </c>
      <c r="K80" s="8">
        <v>6.9800000000000001E-2</v>
      </c>
      <c r="L80" s="8">
        <v>160.73749999999899</v>
      </c>
      <c r="M80" s="8">
        <v>218.48979999999901</v>
      </c>
      <c r="N80" s="10">
        <v>1.36027900604097</v>
      </c>
      <c r="O80" s="10">
        <v>1.35656065472774</v>
      </c>
      <c r="P80" s="10">
        <v>1.35926716824403</v>
      </c>
      <c r="Q80" s="10">
        <v>1.3611564673158301</v>
      </c>
      <c r="R80" s="8">
        <v>217.822944329634</v>
      </c>
      <c r="S80" s="8">
        <v>218.24316865278399</v>
      </c>
      <c r="T80" s="8">
        <v>218.52150236977201</v>
      </c>
      <c r="U80" s="9">
        <v>-2.7372639531186601E-3</v>
      </c>
      <c r="V80" s="9">
        <v>-8.0992109972131499E-4</v>
      </c>
      <c r="W80" s="9">
        <v>4.64603939190984E-4</v>
      </c>
      <c r="X80" s="10">
        <v>1.3592957461699899</v>
      </c>
      <c r="Y80" s="10">
        <v>1.3555780340485399</v>
      </c>
      <c r="Z80" s="10">
        <v>1.3582480683915501</v>
      </c>
      <c r="AA80" s="10">
        <v>1.3600714470997799</v>
      </c>
      <c r="AB80" s="8">
        <v>217.89222424787701</v>
      </c>
      <c r="AC80" s="8">
        <v>218.305417968733</v>
      </c>
      <c r="AD80" s="8">
        <v>218.57324044805401</v>
      </c>
      <c r="AE80" s="9">
        <v>-2.7387751669262698E-3</v>
      </c>
      <c r="AF80" s="9">
        <v>-8.4424936278234902E-4</v>
      </c>
      <c r="AG80" s="9">
        <v>3.8182340461632102E-4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1.6179930345747426E-2</v>
      </c>
      <c r="BL80" s="9"/>
      <c r="BN80">
        <f t="shared" si="10"/>
        <v>0</v>
      </c>
      <c r="BO80">
        <f t="shared" si="11"/>
        <v>0</v>
      </c>
      <c r="BP80">
        <f t="shared" si="12"/>
        <v>1</v>
      </c>
      <c r="BQ80">
        <f t="shared" si="1"/>
        <v>1</v>
      </c>
      <c r="BR80">
        <f t="shared" si="13"/>
        <v>1</v>
      </c>
      <c r="BS80" s="9">
        <f t="shared" si="14"/>
        <v>-2.1821137746224498E-3</v>
      </c>
      <c r="BT80" s="9">
        <f t="shared" si="15"/>
        <v>5.73935779642268E-3</v>
      </c>
      <c r="BU80" s="9">
        <f t="shared" si="16"/>
        <v>3.5572440218002302E-3</v>
      </c>
      <c r="BV80" s="12">
        <f t="shared" si="17"/>
        <v>9.09668246095891E-3</v>
      </c>
      <c r="BX80" s="12">
        <f t="shared" si="18"/>
        <v>3.5572440218002302E-3</v>
      </c>
      <c r="BY80" s="12">
        <f t="shared" si="19"/>
        <v>2.5276612806706338E-2</v>
      </c>
    </row>
    <row r="81" spans="1:77" x14ac:dyDescent="0.3">
      <c r="A81" s="1">
        <v>46140</v>
      </c>
      <c r="B81" s="8">
        <v>157.85</v>
      </c>
      <c r="C81" s="8">
        <v>215.31</v>
      </c>
      <c r="D81" s="9">
        <v>-1.70847695575926E-2</v>
      </c>
      <c r="E81" s="9">
        <v>-1.4340964659492E-2</v>
      </c>
      <c r="F81" s="8">
        <v>0</v>
      </c>
      <c r="G81" s="8">
        <v>0.16750000000000001</v>
      </c>
      <c r="H81" s="8">
        <v>0</v>
      </c>
      <c r="I81" s="8">
        <v>6.9800000000000001E-2</v>
      </c>
      <c r="J81" s="8">
        <v>0.16750000000000001</v>
      </c>
      <c r="K81" s="8">
        <v>6.9800000000000001E-2</v>
      </c>
      <c r="L81" s="8">
        <v>158.01749999999899</v>
      </c>
      <c r="M81" s="8">
        <v>215.37979999999999</v>
      </c>
      <c r="N81" s="10">
        <v>1.3640164713335401</v>
      </c>
      <c r="O81" s="10">
        <v>1.35656065472774</v>
      </c>
      <c r="P81" s="10">
        <v>1.35924188554096</v>
      </c>
      <c r="Q81" s="10">
        <v>1.36130631049035</v>
      </c>
      <c r="R81" s="8">
        <v>214.13309934877401</v>
      </c>
      <c r="S81" s="8">
        <v>214.56032250732</v>
      </c>
      <c r="T81" s="8">
        <v>214.85854836580401</v>
      </c>
      <c r="U81" s="9">
        <v>-5.4810688512193402E-3</v>
      </c>
      <c r="V81" s="9">
        <v>-3.4879274676684899E-3</v>
      </c>
      <c r="W81" s="9">
        <v>-2.09895308085158E-3</v>
      </c>
      <c r="X81" s="10">
        <v>1.3630123245843</v>
      </c>
      <c r="Y81" s="10">
        <v>1.3555780340485399</v>
      </c>
      <c r="Z81" s="10">
        <v>1.35822953311371</v>
      </c>
      <c r="AA81" s="10">
        <v>1.3602330293148599</v>
      </c>
      <c r="AB81" s="8">
        <v>214.20505199526499</v>
      </c>
      <c r="AC81" s="8">
        <v>214.62696414706201</v>
      </c>
      <c r="AD81" s="8">
        <v>214.91508989209001</v>
      </c>
      <c r="AE81" s="9">
        <v>-5.4692381613893701E-3</v>
      </c>
      <c r="AF81" s="9">
        <v>-3.5015106035104402E-3</v>
      </c>
      <c r="AG81" s="9">
        <v>-2.15996192145678E-3</v>
      </c>
      <c r="AZ81" s="9"/>
      <c r="BB81">
        <f t="shared" si="2"/>
        <v>1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1.6179930345747426E-2</v>
      </c>
      <c r="BL81" s="9"/>
      <c r="BN81">
        <f t="shared" si="10"/>
        <v>0</v>
      </c>
      <c r="BO81">
        <f t="shared" si="11"/>
        <v>1</v>
      </c>
      <c r="BP81">
        <f t="shared" si="12"/>
        <v>1</v>
      </c>
      <c r="BQ81">
        <f t="shared" si="1"/>
        <v>1</v>
      </c>
      <c r="BR81">
        <f t="shared" si="13"/>
        <v>1</v>
      </c>
      <c r="BS81" s="9">
        <f t="shared" si="14"/>
        <v>1.70847695575926E-2</v>
      </c>
      <c r="BT81" s="9">
        <f t="shared" si="15"/>
        <v>-1.4340964659492E-2</v>
      </c>
      <c r="BU81" s="9">
        <f t="shared" si="16"/>
        <v>2.7438048981005998E-3</v>
      </c>
      <c r="BV81" s="12">
        <f t="shared" si="17"/>
        <v>1.184048735905951E-2</v>
      </c>
      <c r="BX81" s="12">
        <f t="shared" si="18"/>
        <v>2.7438048981005998E-3</v>
      </c>
      <c r="BY81" s="12">
        <f t="shared" si="19"/>
        <v>2.8020417704806937E-2</v>
      </c>
    </row>
    <row r="82" spans="1:77" x14ac:dyDescent="0.3">
      <c r="A82" s="1">
        <v>46141</v>
      </c>
      <c r="B82" s="8">
        <v>159.11000000000001</v>
      </c>
      <c r="C82" s="8">
        <v>215.94</v>
      </c>
      <c r="D82" s="9">
        <v>7.9505719157645493E-3</v>
      </c>
      <c r="E82" s="9">
        <v>2.9217412089041599E-3</v>
      </c>
      <c r="F82" s="8">
        <v>0</v>
      </c>
      <c r="G82" s="8">
        <v>0.16750000000000001</v>
      </c>
      <c r="H82" s="8">
        <v>0</v>
      </c>
      <c r="I82" s="8">
        <v>6.9800000000000001E-2</v>
      </c>
      <c r="J82" s="8">
        <v>0.16750000000000001</v>
      </c>
      <c r="K82" s="8">
        <v>6.9800000000000001E-2</v>
      </c>
      <c r="L82" s="8">
        <v>159.2775</v>
      </c>
      <c r="M82" s="8">
        <v>216.00979999999899</v>
      </c>
      <c r="N82" s="10">
        <v>1.3571742819432999</v>
      </c>
      <c r="O82" s="10">
        <v>1.35656065472774</v>
      </c>
      <c r="P82" s="10">
        <v>1.35841240754767</v>
      </c>
      <c r="Q82" s="10">
        <v>1.36091069802619</v>
      </c>
      <c r="R82" s="8">
        <v>215.84236577373099</v>
      </c>
      <c r="S82" s="8">
        <v>216.26897640842299</v>
      </c>
      <c r="T82" s="8">
        <v>216.59744706212001</v>
      </c>
      <c r="U82" s="9">
        <v>-4.5223814435884198E-4</v>
      </c>
      <c r="V82" s="9">
        <v>1.52230282067864E-3</v>
      </c>
      <c r="W82" s="9">
        <v>3.0399567616306101E-3</v>
      </c>
      <c r="X82" s="10">
        <v>1.3561852741284799</v>
      </c>
      <c r="Y82" s="10">
        <v>1.3555780340485399</v>
      </c>
      <c r="Z82" s="10">
        <v>1.3574067692178</v>
      </c>
      <c r="AA82" s="10">
        <v>1.3598476549616501</v>
      </c>
      <c r="AB82" s="8">
        <v>215.91308031816601</v>
      </c>
      <c r="AC82" s="8">
        <v>216.33540446051899</v>
      </c>
      <c r="AD82" s="8">
        <v>216.654516326698</v>
      </c>
      <c r="AE82" s="9">
        <v>-4.47856262574794E-4</v>
      </c>
      <c r="AF82" s="9">
        <v>1.5062247422586901E-3</v>
      </c>
      <c r="AG82" s="9">
        <v>2.9802171316230799E-3</v>
      </c>
      <c r="AZ82" s="9"/>
      <c r="BB82">
        <f t="shared" si="2"/>
        <v>0</v>
      </c>
      <c r="BC82">
        <f t="shared" si="3"/>
        <v>1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7.9505719157645493E-3</v>
      </c>
      <c r="BH82" s="9">
        <f t="shared" si="7"/>
        <v>-2.9217412089041599E-3</v>
      </c>
      <c r="BI82" s="9">
        <f t="shared" si="8"/>
        <v>5.0288307068603894E-3</v>
      </c>
      <c r="BJ82" s="12">
        <f t="shared" si="9"/>
        <v>2.1208761052607814E-2</v>
      </c>
      <c r="BL82" s="9"/>
      <c r="BN82">
        <f t="shared" si="10"/>
        <v>1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1.184048735905951E-2</v>
      </c>
      <c r="BX82" s="12">
        <f t="shared" si="18"/>
        <v>5.0288307068603894E-3</v>
      </c>
      <c r="BY82" s="12">
        <f t="shared" si="19"/>
        <v>3.3049248411667329E-2</v>
      </c>
    </row>
    <row r="83" spans="1:77" x14ac:dyDescent="0.3">
      <c r="A83" s="1">
        <v>46142</v>
      </c>
      <c r="B83" s="8">
        <v>159.5</v>
      </c>
      <c r="C83" s="8">
        <v>218.11</v>
      </c>
      <c r="D83" s="9">
        <v>2.4481353051339898E-3</v>
      </c>
      <c r="E83" s="9">
        <v>9.9989313647667905E-3</v>
      </c>
      <c r="F83" s="8">
        <v>0</v>
      </c>
      <c r="G83" s="8">
        <v>0.16750000000000001</v>
      </c>
      <c r="H83" s="8">
        <v>0</v>
      </c>
      <c r="I83" s="8">
        <v>6.9800000000000001E-2</v>
      </c>
      <c r="J83" s="8">
        <v>0.16750000000000001</v>
      </c>
      <c r="K83" s="8">
        <v>6.9800000000000001E-2</v>
      </c>
      <c r="L83" s="8">
        <v>159.66749999999999</v>
      </c>
      <c r="M83" s="8">
        <v>218.1798</v>
      </c>
      <c r="N83" s="10">
        <v>1.36746081504702</v>
      </c>
      <c r="O83" s="10">
        <v>1.35656065472774</v>
      </c>
      <c r="P83" s="10">
        <v>1.3592816307442599</v>
      </c>
      <c r="Q83" s="10">
        <v>1.3609344688949101</v>
      </c>
      <c r="R83" s="8">
        <v>216.37142442907501</v>
      </c>
      <c r="S83" s="8">
        <v>216.666779003854</v>
      </c>
      <c r="T83" s="8">
        <v>217.065256335177</v>
      </c>
      <c r="U83" s="9">
        <v>-8.0030342039916595E-3</v>
      </c>
      <c r="V83" s="9">
        <v>-6.63892998299537E-3</v>
      </c>
      <c r="W83" s="9">
        <v>-4.8014939120217997E-3</v>
      </c>
      <c r="X83" s="10">
        <v>1.3664634318192399</v>
      </c>
      <c r="Y83" s="10">
        <v>1.3555780340485399</v>
      </c>
      <c r="Z83" s="10">
        <v>1.3582799378617401</v>
      </c>
      <c r="AA83" s="10">
        <v>1.3598804747175599</v>
      </c>
      <c r="AB83" s="8">
        <v>216.44175575144499</v>
      </c>
      <c r="AC83" s="8">
        <v>216.733745324083</v>
      </c>
      <c r="AD83" s="8">
        <v>217.12347544859</v>
      </c>
      <c r="AE83" s="9">
        <v>-7.99800879868931E-3</v>
      </c>
      <c r="AF83" s="9">
        <v>-6.6498733841203897E-3</v>
      </c>
      <c r="AG83" s="9">
        <v>-4.8532904961348603E-3</v>
      </c>
      <c r="AZ83" s="9"/>
      <c r="BB83">
        <f t="shared" si="2"/>
        <v>1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2.1208761052607814E-2</v>
      </c>
      <c r="BL83" s="9"/>
      <c r="BN83">
        <f t="shared" si="10"/>
        <v>0</v>
      </c>
      <c r="BO83">
        <f t="shared" si="11"/>
        <v>1</v>
      </c>
      <c r="BP83">
        <f t="shared" si="12"/>
        <v>1</v>
      </c>
      <c r="BQ83">
        <f t="shared" si="1"/>
        <v>1</v>
      </c>
      <c r="BR83">
        <f t="shared" si="13"/>
        <v>1</v>
      </c>
      <c r="BS83" s="9">
        <f t="shared" si="14"/>
        <v>-2.4481353051339898E-3</v>
      </c>
      <c r="BT83" s="9">
        <f t="shared" si="15"/>
        <v>9.9989313647667905E-3</v>
      </c>
      <c r="BU83" s="9">
        <f t="shared" si="16"/>
        <v>7.5507960596328007E-3</v>
      </c>
      <c r="BV83" s="12">
        <f t="shared" si="17"/>
        <v>1.9391283418692312E-2</v>
      </c>
      <c r="BX83" s="12">
        <f t="shared" si="18"/>
        <v>7.5507960596328007E-3</v>
      </c>
      <c r="BY83" s="12">
        <f t="shared" si="19"/>
        <v>4.0600044471300126E-2</v>
      </c>
    </row>
    <row r="84" spans="1:77" x14ac:dyDescent="0.3">
      <c r="A84" s="1">
        <v>46143</v>
      </c>
      <c r="B84" s="8">
        <v>161.87</v>
      </c>
      <c r="C84" s="8">
        <v>221.01</v>
      </c>
      <c r="D84" s="9">
        <v>1.4749621720969899E-2</v>
      </c>
      <c r="E84" s="9">
        <v>1.32084266790707E-2</v>
      </c>
      <c r="F84" s="8">
        <v>0</v>
      </c>
      <c r="G84" s="8">
        <v>0.16750000000000001</v>
      </c>
      <c r="H84" s="8">
        <v>0</v>
      </c>
      <c r="I84" s="8">
        <v>6.9800000000000001E-2</v>
      </c>
      <c r="J84" s="8">
        <v>0.16750000000000001</v>
      </c>
      <c r="K84" s="8">
        <v>6.9800000000000001E-2</v>
      </c>
      <c r="L84" s="8">
        <v>162.03749999999999</v>
      </c>
      <c r="M84" s="8">
        <v>221.07979999999901</v>
      </c>
      <c r="N84" s="10">
        <v>1.3653549144375099</v>
      </c>
      <c r="O84" s="10">
        <v>1.35656065472774</v>
      </c>
      <c r="P84" s="10">
        <v>1.35971734894538</v>
      </c>
      <c r="Q84" s="10">
        <v>1.36104279112977</v>
      </c>
      <c r="R84" s="8">
        <v>219.58647318077999</v>
      </c>
      <c r="S84" s="8">
        <v>220.026917568573</v>
      </c>
      <c r="T84" s="8">
        <v>220.29446248002</v>
      </c>
      <c r="U84" s="9">
        <v>-6.4618391620924398E-3</v>
      </c>
      <c r="V84" s="9">
        <v>-4.4580579105127699E-3</v>
      </c>
      <c r="W84" s="9">
        <v>-3.2428321390869401E-3</v>
      </c>
      <c r="X84" s="10">
        <v>1.36437429607343</v>
      </c>
      <c r="Y84" s="10">
        <v>1.3555780340485399</v>
      </c>
      <c r="Z84" s="10">
        <v>1.35871995617263</v>
      </c>
      <c r="AA84" s="10">
        <v>1.3599979831976701</v>
      </c>
      <c r="AB84" s="8">
        <v>219.65447569214001</v>
      </c>
      <c r="AC84" s="8">
        <v>220.09228543127199</v>
      </c>
      <c r="AD84" s="8">
        <v>220.351632422047</v>
      </c>
      <c r="AE84" s="9">
        <v>-6.4679756282616501E-3</v>
      </c>
      <c r="AF84" s="9">
        <v>-4.4767846861531197E-3</v>
      </c>
      <c r="AG84" s="9">
        <v>-3.2991227399386701E-3</v>
      </c>
      <c r="AZ84" s="9"/>
      <c r="BB84">
        <f t="shared" si="2"/>
        <v>1</v>
      </c>
      <c r="BC84">
        <f t="shared" si="3"/>
        <v>0</v>
      </c>
      <c r="BD84">
        <f t="shared" si="4"/>
        <v>1</v>
      </c>
      <c r="BE84">
        <f t="shared" si="0"/>
        <v>1</v>
      </c>
      <c r="BF84">
        <f t="shared" si="5"/>
        <v>1</v>
      </c>
      <c r="BG84" s="9">
        <f t="shared" si="6"/>
        <v>1.4749621720969899E-2</v>
      </c>
      <c r="BH84" s="9">
        <f t="shared" si="7"/>
        <v>-1.32084266790707E-2</v>
      </c>
      <c r="BI84" s="9">
        <f t="shared" si="8"/>
        <v>1.5411950418991998E-3</v>
      </c>
      <c r="BJ84" s="12">
        <f t="shared" si="9"/>
        <v>2.2749956094507015E-2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1.9391283418692312E-2</v>
      </c>
      <c r="BX84" s="12">
        <f t="shared" si="18"/>
        <v>1.5411950418991998E-3</v>
      </c>
      <c r="BY84" s="12">
        <f t="shared" si="19"/>
        <v>4.2141239513199327E-2</v>
      </c>
    </row>
    <row r="85" spans="1:77" x14ac:dyDescent="0.3">
      <c r="A85" s="1">
        <v>46146</v>
      </c>
      <c r="B85" s="8">
        <v>162.05000000000001</v>
      </c>
      <c r="C85" s="8">
        <v>221.03</v>
      </c>
      <c r="D85" s="9">
        <v>1.11138564168736E-3</v>
      </c>
      <c r="E85" s="9">
        <v>9.0489548518962206E-5</v>
      </c>
      <c r="F85" s="8">
        <v>0</v>
      </c>
      <c r="G85" s="8">
        <v>0.16750000000000001</v>
      </c>
      <c r="H85" s="8">
        <v>0</v>
      </c>
      <c r="I85" s="8">
        <v>6.9800000000000001E-2</v>
      </c>
      <c r="J85" s="8">
        <v>0.16750000000000001</v>
      </c>
      <c r="K85" s="8">
        <v>6.9800000000000001E-2</v>
      </c>
      <c r="L85" s="8">
        <v>162.2175</v>
      </c>
      <c r="M85" s="8">
        <v>221.09979999999999</v>
      </c>
      <c r="N85" s="10">
        <v>1.3639617402036399</v>
      </c>
      <c r="O85" s="10">
        <v>1.35656065472774</v>
      </c>
      <c r="P85" s="10">
        <v>1.3599657486386201</v>
      </c>
      <c r="Q85" s="10">
        <v>1.3610474288052501</v>
      </c>
      <c r="R85" s="8">
        <v>219.83065409863099</v>
      </c>
      <c r="S85" s="8">
        <v>220.34219639659801</v>
      </c>
      <c r="T85" s="8">
        <v>220.556984302579</v>
      </c>
      <c r="U85" s="9">
        <v>-5.4409430689239396E-3</v>
      </c>
      <c r="V85" s="9">
        <v>-3.1166628336338101E-3</v>
      </c>
      <c r="W85" s="9">
        <v>-2.1423452010555601E-3</v>
      </c>
      <c r="X85" s="10">
        <v>1.36298364849661</v>
      </c>
      <c r="Y85" s="10">
        <v>1.3555780340485399</v>
      </c>
      <c r="Z85" s="10">
        <v>1.3589728216766599</v>
      </c>
      <c r="AA85" s="10">
        <v>1.36001163923465</v>
      </c>
      <c r="AB85" s="8">
        <v>219.898479738269</v>
      </c>
      <c r="AC85" s="8">
        <v>220.40815449043299</v>
      </c>
      <c r="AD85" s="8">
        <v>220.61547283936801</v>
      </c>
      <c r="AE85" s="9">
        <v>-5.44819918116365E-3</v>
      </c>
      <c r="AF85" s="9">
        <v>-3.1331081051598499E-3</v>
      </c>
      <c r="AG85" s="9">
        <v>-2.1929391375179099E-3</v>
      </c>
      <c r="AZ85" s="9"/>
      <c r="BB85">
        <f t="shared" si="2"/>
        <v>1</v>
      </c>
      <c r="BC85">
        <f t="shared" si="3"/>
        <v>0</v>
      </c>
      <c r="BD85">
        <f t="shared" si="4"/>
        <v>1</v>
      </c>
      <c r="BE85">
        <f t="shared" si="0"/>
        <v>1</v>
      </c>
      <c r="BF85">
        <f t="shared" si="5"/>
        <v>1</v>
      </c>
      <c r="BG85" s="9">
        <f t="shared" si="6"/>
        <v>1.11138564168736E-3</v>
      </c>
      <c r="BH85" s="9">
        <f t="shared" si="7"/>
        <v>-9.0489548518962206E-5</v>
      </c>
      <c r="BI85" s="9">
        <f t="shared" si="8"/>
        <v>1.0208960931683978E-3</v>
      </c>
      <c r="BJ85" s="12">
        <f t="shared" si="9"/>
        <v>2.3770852187675412E-2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1.9391283418692312E-2</v>
      </c>
      <c r="BX85" s="12">
        <f t="shared" si="18"/>
        <v>1.0208960931683978E-3</v>
      </c>
      <c r="BY85" s="12">
        <f t="shared" si="19"/>
        <v>4.3162135606367724E-2</v>
      </c>
    </row>
    <row r="86" spans="1:77" x14ac:dyDescent="0.3">
      <c r="A86" s="1">
        <v>46147</v>
      </c>
      <c r="B86" s="8">
        <v>165.63</v>
      </c>
      <c r="C86" s="8">
        <v>225.18</v>
      </c>
      <c r="D86" s="9">
        <v>2.1851455376506498E-2</v>
      </c>
      <c r="E86" s="9">
        <v>1.8601643463633698E-2</v>
      </c>
      <c r="F86" s="8">
        <v>0</v>
      </c>
      <c r="G86" s="8">
        <v>0.16750000000000001</v>
      </c>
      <c r="H86" s="8">
        <v>0</v>
      </c>
      <c r="I86" s="8">
        <v>6.9800000000000001E-2</v>
      </c>
      <c r="J86" s="8">
        <v>0.16750000000000001</v>
      </c>
      <c r="K86" s="8">
        <v>6.9800000000000001E-2</v>
      </c>
      <c r="L86" s="8">
        <v>165.79749999999899</v>
      </c>
      <c r="M86" s="8">
        <v>225.24979999999999</v>
      </c>
      <c r="N86" s="10">
        <v>1.3595363158848</v>
      </c>
      <c r="O86" s="10">
        <v>1.35656065472774</v>
      </c>
      <c r="P86" s="10">
        <v>1.3605260128471801</v>
      </c>
      <c r="Q86" s="10">
        <v>1.3608768240945099</v>
      </c>
      <c r="R86" s="8">
        <v>224.68714124255601</v>
      </c>
      <c r="S86" s="8">
        <v>225.251126947015</v>
      </c>
      <c r="T86" s="8">
        <v>225.43028563301399</v>
      </c>
      <c r="U86" s="9">
        <v>-2.1911311560512399E-3</v>
      </c>
      <c r="V86" s="9">
        <v>3.1581719535391997E-4</v>
      </c>
      <c r="W86" s="9">
        <v>1.11087414883014E-3</v>
      </c>
      <c r="X86" s="10">
        <v>1.3585838145931</v>
      </c>
      <c r="Y86" s="10">
        <v>1.3555780340485399</v>
      </c>
      <c r="Z86" s="10">
        <v>1.3595392088831899</v>
      </c>
      <c r="AA86" s="10">
        <v>1.3598510027508799</v>
      </c>
      <c r="AB86" s="8">
        <v>224.751449100163</v>
      </c>
      <c r="AC86" s="8">
        <v>225.31429640193701</v>
      </c>
      <c r="AD86" s="8">
        <v>225.486529756008</v>
      </c>
      <c r="AE86" s="9">
        <v>-2.21488764559868E-3</v>
      </c>
      <c r="AF86" s="9">
        <v>2.8629179685256E-4</v>
      </c>
      <c r="AG86" s="9">
        <v>1.05041356618774E-3</v>
      </c>
      <c r="AZ86" s="9"/>
      <c r="BB86">
        <f t="shared" si="2"/>
        <v>0</v>
      </c>
      <c r="BC86">
        <f t="shared" si="3"/>
        <v>1</v>
      </c>
      <c r="BD86">
        <f t="shared" si="4"/>
        <v>1</v>
      </c>
      <c r="BE86">
        <f t="shared" ref="BE86:BE149" si="20">IF(F87+H87&gt;0,0,1)</f>
        <v>1</v>
      </c>
      <c r="BF86">
        <f t="shared" si="5"/>
        <v>1</v>
      </c>
      <c r="BG86" s="9">
        <f t="shared" si="6"/>
        <v>2.1851455376506498E-2</v>
      </c>
      <c r="BH86" s="9">
        <f t="shared" si="7"/>
        <v>-1.8601643463633698E-2</v>
      </c>
      <c r="BI86" s="9">
        <f t="shared" si="8"/>
        <v>3.2498119128727999E-3</v>
      </c>
      <c r="BJ86" s="12">
        <f t="shared" si="9"/>
        <v>2.7020664100548212E-2</v>
      </c>
      <c r="BL86" s="9"/>
      <c r="BN86">
        <f t="shared" si="10"/>
        <v>0</v>
      </c>
      <c r="BO86">
        <f t="shared" si="11"/>
        <v>0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1.9391283418692312E-2</v>
      </c>
      <c r="BX86" s="12">
        <f t="shared" si="18"/>
        <v>3.2498119128727999E-3</v>
      </c>
      <c r="BY86" s="12">
        <f t="shared" si="19"/>
        <v>4.6411947519240521E-2</v>
      </c>
    </row>
    <row r="87" spans="1:77" x14ac:dyDescent="0.3">
      <c r="A87" s="1">
        <v>46148</v>
      </c>
      <c r="B87" s="8">
        <v>170.03</v>
      </c>
      <c r="C87" s="8">
        <v>232.12</v>
      </c>
      <c r="D87" s="9">
        <v>2.6218507105331398E-2</v>
      </c>
      <c r="E87" s="9">
        <v>3.0354396947422899E-2</v>
      </c>
      <c r="F87" s="8">
        <v>0</v>
      </c>
      <c r="G87" s="8">
        <v>0.16750000000000001</v>
      </c>
      <c r="H87" s="8">
        <v>0</v>
      </c>
      <c r="I87" s="8">
        <v>6.9800000000000001E-2</v>
      </c>
      <c r="J87" s="8">
        <v>0.16750000000000001</v>
      </c>
      <c r="K87" s="8">
        <v>6.9800000000000001E-2</v>
      </c>
      <c r="L87" s="8">
        <v>170.19749999999999</v>
      </c>
      <c r="M87" s="8">
        <v>232.18979999999999</v>
      </c>
      <c r="N87" s="10">
        <v>1.3651708522025501</v>
      </c>
      <c r="O87" s="10">
        <v>1.35656065472774</v>
      </c>
      <c r="P87" s="10">
        <v>1.3615949356283199</v>
      </c>
      <c r="Q87" s="10">
        <v>1.3609936488699299</v>
      </c>
      <c r="R87" s="8">
        <v>230.65600812335799</v>
      </c>
      <c r="S87" s="8">
        <v>231.330237964406</v>
      </c>
      <c r="T87" s="8">
        <v>231.38988640079</v>
      </c>
      <c r="U87" s="9">
        <v>-6.3270209981427898E-3</v>
      </c>
      <c r="V87" s="9">
        <v>-3.4081881305543702E-3</v>
      </c>
      <c r="W87" s="9">
        <v>-3.15037165111788E-3</v>
      </c>
      <c r="X87" s="10">
        <v>1.3642374300444999</v>
      </c>
      <c r="Y87" s="10">
        <v>1.3555780340485399</v>
      </c>
      <c r="Z87" s="10">
        <v>1.3606140426732301</v>
      </c>
      <c r="AA87" s="10">
        <v>1.3599770134420801</v>
      </c>
      <c r="AB87" s="8">
        <v>230.715992449976</v>
      </c>
      <c r="AC87" s="8">
        <v>231.39017450389801</v>
      </c>
      <c r="AD87" s="8">
        <v>231.44324104069301</v>
      </c>
      <c r="AE87" s="9">
        <v>-6.3676564602852597E-3</v>
      </c>
      <c r="AF87" s="9">
        <v>-3.4497878817495498E-3</v>
      </c>
      <c r="AG87" s="9">
        <v>-3.2204762752610699E-3</v>
      </c>
      <c r="AZ87" s="9"/>
      <c r="BB87">
        <f t="shared" ref="BB87:BB150" si="22">IF($AG87&lt;BA$20,1,0)</f>
        <v>1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2.7020664100548212E-2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1.9391283418692312E-2</v>
      </c>
      <c r="BX87" s="12">
        <f t="shared" ref="BX87:BX150" si="38">BI87+BU87</f>
        <v>0</v>
      </c>
      <c r="BY87" s="12">
        <f t="shared" ref="BY87:BY150" si="39">BY86+BX87</f>
        <v>4.6411947519240521E-2</v>
      </c>
    </row>
    <row r="88" spans="1:77" x14ac:dyDescent="0.3">
      <c r="A88" s="1">
        <v>46149</v>
      </c>
      <c r="B88" s="8">
        <v>169.69</v>
      </c>
      <c r="C88" s="8">
        <v>232.26</v>
      </c>
      <c r="D88" s="9">
        <v>-2.0016490846597799E-3</v>
      </c>
      <c r="E88" s="9">
        <v>6.0295449520412396E-4</v>
      </c>
      <c r="F88" s="8">
        <v>0</v>
      </c>
      <c r="G88" s="8">
        <v>0.16750000000000001</v>
      </c>
      <c r="H88" s="8">
        <v>0</v>
      </c>
      <c r="I88" s="8">
        <v>6.9800000000000001E-2</v>
      </c>
      <c r="J88" s="8">
        <v>0.16750000000000001</v>
      </c>
      <c r="K88" s="8">
        <v>6.9800000000000001E-2</v>
      </c>
      <c r="L88" s="8">
        <v>169.85749999999999</v>
      </c>
      <c r="M88" s="8">
        <v>232.32979999999901</v>
      </c>
      <c r="N88" s="10">
        <v>1.36873121574636</v>
      </c>
      <c r="O88" s="10">
        <v>1.35656065472774</v>
      </c>
      <c r="P88" s="10">
        <v>1.36271343707975</v>
      </c>
      <c r="Q88" s="10">
        <v>1.3612807058915</v>
      </c>
      <c r="R88" s="8">
        <v>230.194777500751</v>
      </c>
      <c r="S88" s="8">
        <v>231.04904462676899</v>
      </c>
      <c r="T88" s="8">
        <v>230.94701227673801</v>
      </c>
      <c r="U88" s="9">
        <v>-8.9316245780067093E-3</v>
      </c>
      <c r="V88" s="9">
        <v>-5.2274314297307304E-3</v>
      </c>
      <c r="W88" s="9">
        <v>-5.6691336917534503E-3</v>
      </c>
      <c r="X88" s="10">
        <v>1.3677924142295701</v>
      </c>
      <c r="Y88" s="10">
        <v>1.3555780340485399</v>
      </c>
      <c r="Z88" s="10">
        <v>1.36173967769906</v>
      </c>
      <c r="AA88" s="10">
        <v>1.3602728473533101</v>
      </c>
      <c r="AB88" s="8">
        <v>230.2550959184</v>
      </c>
      <c r="AC88" s="8">
        <v>231.110499753369</v>
      </c>
      <c r="AD88" s="8">
        <v>231.00229556073799</v>
      </c>
      <c r="AE88" s="9">
        <v>-8.9701069415168699E-3</v>
      </c>
      <c r="AF88" s="9">
        <v>-5.2619638846138402E-3</v>
      </c>
      <c r="AG88" s="9">
        <v>-5.7302659775463304E-3</v>
      </c>
      <c r="AZ88" s="9"/>
      <c r="BB88">
        <f t="shared" si="22"/>
        <v>1</v>
      </c>
      <c r="BC88">
        <f t="shared" si="23"/>
        <v>0</v>
      </c>
      <c r="BD88">
        <f t="shared" si="24"/>
        <v>1</v>
      </c>
      <c r="BE88">
        <f t="shared" si="20"/>
        <v>1</v>
      </c>
      <c r="BF88">
        <f t="shared" si="25"/>
        <v>1</v>
      </c>
      <c r="BG88" s="9">
        <f t="shared" si="26"/>
        <v>-2.0016490846597799E-3</v>
      </c>
      <c r="BH88" s="9">
        <f t="shared" si="27"/>
        <v>-6.0295449520412396E-4</v>
      </c>
      <c r="BI88" s="9">
        <f t="shared" si="28"/>
        <v>-2.6046035798639039E-3</v>
      </c>
      <c r="BJ88" s="12">
        <f t="shared" si="29"/>
        <v>2.4416060520684308E-2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1.9391283418692312E-2</v>
      </c>
      <c r="BX88" s="12">
        <f t="shared" si="38"/>
        <v>-2.6046035798639039E-3</v>
      </c>
      <c r="BY88" s="12">
        <f t="shared" si="39"/>
        <v>4.3807343939376617E-2</v>
      </c>
    </row>
    <row r="89" spans="1:77" x14ac:dyDescent="0.3">
      <c r="A89" s="1">
        <v>46150</v>
      </c>
      <c r="B89" s="8">
        <v>175.52</v>
      </c>
      <c r="C89" s="8">
        <v>238.64</v>
      </c>
      <c r="D89" s="9">
        <v>3.3779753542185403E-2</v>
      </c>
      <c r="E89" s="9">
        <v>2.7098706388881299E-2</v>
      </c>
      <c r="F89" s="8">
        <v>0</v>
      </c>
      <c r="G89" s="8">
        <v>0.16750000000000001</v>
      </c>
      <c r="H89" s="8">
        <v>0</v>
      </c>
      <c r="I89" s="8">
        <v>6.9800000000000001E-2</v>
      </c>
      <c r="J89" s="8">
        <v>0.16750000000000001</v>
      </c>
      <c r="K89" s="8">
        <v>6.9800000000000001E-2</v>
      </c>
      <c r="L89" s="8">
        <v>175.6875</v>
      </c>
      <c r="M89" s="8">
        <v>238.70979999999901</v>
      </c>
      <c r="N89" s="10">
        <v>1.3596171376481301</v>
      </c>
      <c r="O89" s="10">
        <v>1.35656065472774</v>
      </c>
      <c r="P89" s="10">
        <v>1.3631302750487799</v>
      </c>
      <c r="Q89" s="10">
        <v>1.3611540042267101</v>
      </c>
      <c r="R89" s="8">
        <v>238.103526117814</v>
      </c>
      <c r="S89" s="8">
        <v>239.18346247623799</v>
      </c>
      <c r="T89" s="8">
        <v>238.93198949807601</v>
      </c>
      <c r="U89" s="9">
        <v>-2.2505774247025298E-3</v>
      </c>
      <c r="V89" s="9">
        <v>2.27474267490058E-3</v>
      </c>
      <c r="W89" s="9">
        <v>1.2228084597940699E-3</v>
      </c>
      <c r="X89" s="10">
        <v>1.35871817858413</v>
      </c>
      <c r="Y89" s="10">
        <v>1.3555780340485399</v>
      </c>
      <c r="Z89" s="10">
        <v>1.3621646558723399</v>
      </c>
      <c r="AA89" s="10">
        <v>1.36015665088113</v>
      </c>
      <c r="AB89" s="8">
        <v>238.15811585690301</v>
      </c>
      <c r="AC89" s="8">
        <v>239.240639625754</v>
      </c>
      <c r="AD89" s="8">
        <v>238.98293586938499</v>
      </c>
      <c r="AE89" s="9">
        <v>-2.3137827934162202E-3</v>
      </c>
      <c r="AF89" s="9">
        <v>2.22131752591292E-3</v>
      </c>
      <c r="AG89" s="9">
        <v>1.1435631260088E-3</v>
      </c>
      <c r="AZ89" s="9"/>
      <c r="BB89">
        <f t="shared" si="22"/>
        <v>0</v>
      </c>
      <c r="BC89">
        <f t="shared" si="23"/>
        <v>1</v>
      </c>
      <c r="BD89">
        <f t="shared" si="24"/>
        <v>1</v>
      </c>
      <c r="BE89">
        <f t="shared" si="20"/>
        <v>1</v>
      </c>
      <c r="BF89">
        <f t="shared" si="25"/>
        <v>1</v>
      </c>
      <c r="BG89" s="9">
        <f t="shared" si="26"/>
        <v>3.3779753542185403E-2</v>
      </c>
      <c r="BH89" s="9">
        <f t="shared" si="27"/>
        <v>-2.7098706388881299E-2</v>
      </c>
      <c r="BI89" s="9">
        <f t="shared" si="28"/>
        <v>6.6810471533041045E-3</v>
      </c>
      <c r="BJ89" s="12">
        <f t="shared" si="29"/>
        <v>3.1097107673988413E-2</v>
      </c>
      <c r="BL89" s="9"/>
      <c r="BN89">
        <f t="shared" si="30"/>
        <v>0</v>
      </c>
      <c r="BO89">
        <f t="shared" si="31"/>
        <v>0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1.9391283418692312E-2</v>
      </c>
      <c r="BX89" s="12">
        <f t="shared" si="38"/>
        <v>6.6810471533041045E-3</v>
      </c>
      <c r="BY89" s="12">
        <f t="shared" si="39"/>
        <v>5.0488391092680718E-2</v>
      </c>
    </row>
    <row r="90" spans="1:77" x14ac:dyDescent="0.3">
      <c r="A90" s="1">
        <v>46153</v>
      </c>
      <c r="B90" s="8">
        <v>177.88</v>
      </c>
      <c r="C90" s="8">
        <v>240.04</v>
      </c>
      <c r="D90" s="9">
        <v>1.3356169115575601E-2</v>
      </c>
      <c r="E90" s="9">
        <v>5.8494359148189602E-3</v>
      </c>
      <c r="F90" s="8">
        <v>0</v>
      </c>
      <c r="G90" s="8">
        <v>0.16750000000000001</v>
      </c>
      <c r="H90" s="8">
        <v>0</v>
      </c>
      <c r="I90" s="8">
        <v>6.9800000000000001E-2</v>
      </c>
      <c r="J90" s="8">
        <v>0.16750000000000001</v>
      </c>
      <c r="K90" s="8">
        <v>6.9800000000000001E-2</v>
      </c>
      <c r="L90" s="8">
        <v>178.04749999999899</v>
      </c>
      <c r="M90" s="8">
        <v>240.10979999999901</v>
      </c>
      <c r="N90" s="10">
        <v>1.3494490667865899</v>
      </c>
      <c r="O90" s="10">
        <v>1.35656065472774</v>
      </c>
      <c r="P90" s="10">
        <v>1.3620472811233399</v>
      </c>
      <c r="Q90" s="10">
        <v>1.3606572246836901</v>
      </c>
      <c r="R90" s="8">
        <v>241.305009262971</v>
      </c>
      <c r="S90" s="8">
        <v>242.47361332567701</v>
      </c>
      <c r="T90" s="8">
        <v>242.12207427184799</v>
      </c>
      <c r="U90" s="9">
        <v>5.2561557760540103E-3</v>
      </c>
      <c r="V90" s="9">
        <v>1.00873173077442E-2</v>
      </c>
      <c r="W90" s="9">
        <v>8.63646198859188E-3</v>
      </c>
      <c r="X90" s="10">
        <v>1.3485715890422501</v>
      </c>
      <c r="Y90" s="10">
        <v>1.3555780340485399</v>
      </c>
      <c r="Z90" s="10">
        <v>1.36109224015956</v>
      </c>
      <c r="AA90" s="10">
        <v>1.35967015427555</v>
      </c>
      <c r="AB90" s="8">
        <v>241.35728001725701</v>
      </c>
      <c r="AC90" s="8">
        <v>242.53001156643001</v>
      </c>
      <c r="AD90" s="8">
        <v>242.172491297759</v>
      </c>
      <c r="AE90" s="9">
        <v>5.1820066650467801E-3</v>
      </c>
      <c r="AF90" s="9">
        <v>1.00291430360728E-2</v>
      </c>
      <c r="AG90" s="9">
        <v>8.5539274908808492E-3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3.1097107673988413E-2</v>
      </c>
      <c r="BL90" s="9"/>
      <c r="BN90">
        <f t="shared" si="30"/>
        <v>1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1.9391283418692312E-2</v>
      </c>
      <c r="BX90" s="12">
        <f t="shared" si="38"/>
        <v>0</v>
      </c>
      <c r="BY90" s="12">
        <f t="shared" si="39"/>
        <v>5.0488391092680718E-2</v>
      </c>
    </row>
    <row r="91" spans="1:77" x14ac:dyDescent="0.3">
      <c r="A91" s="1">
        <v>46154</v>
      </c>
      <c r="B91" s="8">
        <v>175.2</v>
      </c>
      <c r="C91" s="8">
        <v>237.07</v>
      </c>
      <c r="D91" s="9">
        <v>-1.51809871402046E-2</v>
      </c>
      <c r="E91" s="9">
        <v>-1.2450119946171101E-2</v>
      </c>
      <c r="F91" s="8">
        <v>0</v>
      </c>
      <c r="G91" s="8">
        <v>0.16750000000000001</v>
      </c>
      <c r="H91" s="8">
        <v>0</v>
      </c>
      <c r="I91" s="8">
        <v>6.9800000000000001E-2</v>
      </c>
      <c r="J91" s="8">
        <v>0.16750000000000001</v>
      </c>
      <c r="K91" s="8">
        <v>6.9800000000000001E-2</v>
      </c>
      <c r="L91" s="8">
        <v>175.36749999999901</v>
      </c>
      <c r="M91" s="8">
        <v>237.13979999999901</v>
      </c>
      <c r="N91" s="10">
        <v>1.35313926940639</v>
      </c>
      <c r="O91" s="10">
        <v>1.35656065472774</v>
      </c>
      <c r="P91" s="10">
        <v>1.36095956093063</v>
      </c>
      <c r="Q91" s="10">
        <v>1.3601007232358</v>
      </c>
      <c r="R91" s="8">
        <v>237.66942670830099</v>
      </c>
      <c r="S91" s="8">
        <v>238.63068365281001</v>
      </c>
      <c r="T91" s="8">
        <v>238.38714576458199</v>
      </c>
      <c r="U91" s="9">
        <v>2.5252885820203201E-3</v>
      </c>
      <c r="V91" s="9">
        <v>6.56164393310253E-3</v>
      </c>
      <c r="W91" s="9">
        <v>5.5405587896608099E-3</v>
      </c>
      <c r="X91" s="10">
        <v>1.3522448572283901</v>
      </c>
      <c r="Y91" s="10">
        <v>1.3555780340485399</v>
      </c>
      <c r="Z91" s="10">
        <v>1.3600154934239701</v>
      </c>
      <c r="AA91" s="10">
        <v>1.35912251326884</v>
      </c>
      <c r="AB91" s="8">
        <v>237.72433088600701</v>
      </c>
      <c r="AC91" s="8">
        <v>238.69134342618199</v>
      </c>
      <c r="AD91" s="8">
        <v>238.441955779919</v>
      </c>
      <c r="AE91" s="9">
        <v>2.46188812007622E-3</v>
      </c>
      <c r="AF91" s="9">
        <v>6.5214265455883604E-3</v>
      </c>
      <c r="AG91" s="9">
        <v>5.4760680707602203E-3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3.1097107673988413E-2</v>
      </c>
      <c r="BL91" s="9"/>
      <c r="BN91">
        <f t="shared" si="30"/>
        <v>1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1.51809871402046E-2</v>
      </c>
      <c r="BT91" s="9">
        <f t="shared" si="35"/>
        <v>-1.2450119946171101E-2</v>
      </c>
      <c r="BU91" s="9">
        <f t="shared" si="36"/>
        <v>2.730867194033499E-3</v>
      </c>
      <c r="BV91" s="12">
        <f t="shared" si="37"/>
        <v>2.2122150612725811E-2</v>
      </c>
      <c r="BX91" s="12">
        <f t="shared" si="38"/>
        <v>2.730867194033499E-3</v>
      </c>
      <c r="BY91" s="12">
        <f t="shared" si="39"/>
        <v>5.3219258286714213E-2</v>
      </c>
    </row>
    <row r="92" spans="1:77" x14ac:dyDescent="0.3">
      <c r="A92" s="1">
        <v>46155</v>
      </c>
      <c r="B92" s="8">
        <v>176.85</v>
      </c>
      <c r="C92" s="8">
        <v>240.66</v>
      </c>
      <c r="D92" s="9">
        <v>9.3737371491985095E-3</v>
      </c>
      <c r="E92" s="9">
        <v>1.5029692834875499E-2</v>
      </c>
      <c r="F92" s="8">
        <v>0</v>
      </c>
      <c r="G92" s="8">
        <v>0.16750000000000001</v>
      </c>
      <c r="H92" s="8">
        <v>0</v>
      </c>
      <c r="I92" s="8">
        <v>6.9800000000000001E-2</v>
      </c>
      <c r="J92" s="8">
        <v>0.16750000000000001</v>
      </c>
      <c r="K92" s="8">
        <v>6.9800000000000001E-2</v>
      </c>
      <c r="L92" s="8">
        <v>177.01749999999899</v>
      </c>
      <c r="M92" s="8">
        <v>240.72979999999899</v>
      </c>
      <c r="N92" s="10">
        <v>1.36081424936386</v>
      </c>
      <c r="O92" s="10">
        <v>1.35656065472774</v>
      </c>
      <c r="P92" s="10">
        <v>1.3613235576726801</v>
      </c>
      <c r="Q92" s="10">
        <v>1.35986798261018</v>
      </c>
      <c r="R92" s="8">
        <v>239.90775178860201</v>
      </c>
      <c r="S92" s="8">
        <v>240.68569835058199</v>
      </c>
      <c r="T92" s="8">
        <v>240.53381290425099</v>
      </c>
      <c r="U92" s="9">
        <v>-3.1306671036565501E-3</v>
      </c>
      <c r="V92" s="9">
        <v>1.06777107159229E-4</v>
      </c>
      <c r="W92" s="9">
        <v>-5.2447515016713897E-4</v>
      </c>
      <c r="X92" s="10">
        <v>1.3599209117742499</v>
      </c>
      <c r="Y92" s="10">
        <v>1.3555780340485399</v>
      </c>
      <c r="Z92" s="10">
        <v>1.36038905718855</v>
      </c>
      <c r="AA92" s="10">
        <v>1.35889791320317</v>
      </c>
      <c r="AB92" s="8">
        <v>239.961034642187</v>
      </c>
      <c r="AC92" s="8">
        <v>240.74654260717799</v>
      </c>
      <c r="AD92" s="8">
        <v>240.58846949256699</v>
      </c>
      <c r="AE92" s="9">
        <v>-3.1985881895114201E-3</v>
      </c>
      <c r="AF92" s="9">
        <v>6.9546956739779606E-5</v>
      </c>
      <c r="AG92" s="9">
        <v>-5.8726427169868102E-4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3.1097107673988413E-2</v>
      </c>
      <c r="BL92" s="9"/>
      <c r="BN92">
        <f t="shared" si="30"/>
        <v>0</v>
      </c>
      <c r="BO92">
        <f t="shared" si="31"/>
        <v>1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-9.3737371491985095E-3</v>
      </c>
      <c r="BT92" s="9">
        <f t="shared" si="35"/>
        <v>1.5029692834875499E-2</v>
      </c>
      <c r="BU92" s="9">
        <f t="shared" si="36"/>
        <v>5.6559556856769898E-3</v>
      </c>
      <c r="BV92" s="12">
        <f t="shared" si="37"/>
        <v>2.7778106298402799E-2</v>
      </c>
      <c r="BX92" s="12">
        <f t="shared" si="38"/>
        <v>5.6559556856769898E-3</v>
      </c>
      <c r="BY92" s="12">
        <f t="shared" si="39"/>
        <v>5.8875213972391205E-2</v>
      </c>
    </row>
    <row r="93" spans="1:77" x14ac:dyDescent="0.3">
      <c r="A93" s="1">
        <v>46156</v>
      </c>
      <c r="B93" s="8">
        <v>179.5</v>
      </c>
      <c r="C93" s="8">
        <v>243.06</v>
      </c>
      <c r="D93" s="9">
        <v>1.4873292276844001E-2</v>
      </c>
      <c r="E93" s="9">
        <v>9.9231774326377503E-3</v>
      </c>
      <c r="F93" s="8">
        <v>0</v>
      </c>
      <c r="G93" s="8">
        <v>0.16750000000000001</v>
      </c>
      <c r="H93" s="8">
        <v>0</v>
      </c>
      <c r="I93" s="8">
        <v>6.9800000000000001E-2</v>
      </c>
      <c r="J93" s="8">
        <v>0.16750000000000001</v>
      </c>
      <c r="K93" s="8">
        <v>6.9800000000000001E-2</v>
      </c>
      <c r="L93" s="8">
        <v>179.66749999999999</v>
      </c>
      <c r="M93" s="8">
        <v>243.12979999999999</v>
      </c>
      <c r="N93" s="10">
        <v>1.35409470752089</v>
      </c>
      <c r="O93" s="10">
        <v>1.35656065472774</v>
      </c>
      <c r="P93" s="10">
        <v>1.3599869469200701</v>
      </c>
      <c r="Q93" s="10">
        <v>1.35963428883216</v>
      </c>
      <c r="R93" s="8">
        <v>243.50263752363</v>
      </c>
      <c r="S93" s="8">
        <v>244.357578602247</v>
      </c>
      <c r="T93" s="8">
        <v>244.09630287852701</v>
      </c>
      <c r="U93" s="9">
        <v>1.81944774054962E-3</v>
      </c>
      <c r="V93" s="9">
        <v>5.3243121485797903E-3</v>
      </c>
      <c r="W93" s="9">
        <v>4.2545049117258702E-3</v>
      </c>
      <c r="X93" s="10">
        <v>1.3532208106641399</v>
      </c>
      <c r="Y93" s="10">
        <v>1.3555780340485399</v>
      </c>
      <c r="Z93" s="10">
        <v>1.3590647950730399</v>
      </c>
      <c r="AA93" s="10">
        <v>1.3586723664673901</v>
      </c>
      <c r="AB93" s="8">
        <v>243.55331643241601</v>
      </c>
      <c r="AC93" s="8">
        <v>244.417700932424</v>
      </c>
      <c r="AD93" s="8">
        <v>244.149790820432</v>
      </c>
      <c r="AE93" s="9">
        <v>1.7404201009716899E-3</v>
      </c>
      <c r="AF93" s="9">
        <v>5.2831936401350104E-3</v>
      </c>
      <c r="AG93" s="9">
        <v>4.1864766322792599E-3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3.1097107673988413E-2</v>
      </c>
      <c r="BL93" s="9"/>
      <c r="BN93">
        <f t="shared" si="30"/>
        <v>1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2.7778106298402799E-2</v>
      </c>
      <c r="BX93" s="12">
        <f t="shared" si="38"/>
        <v>0</v>
      </c>
      <c r="BY93" s="12">
        <f t="shared" si="39"/>
        <v>5.8875213972391205E-2</v>
      </c>
    </row>
    <row r="94" spans="1:77" x14ac:dyDescent="0.3">
      <c r="A94" s="1">
        <v>46157</v>
      </c>
      <c r="B94" s="8">
        <v>176.26</v>
      </c>
      <c r="C94" s="8">
        <v>238.8</v>
      </c>
      <c r="D94" s="9">
        <v>-1.8215030256819101E-2</v>
      </c>
      <c r="E94" s="9">
        <v>-1.7681944924207101E-2</v>
      </c>
      <c r="F94" s="8">
        <v>0</v>
      </c>
      <c r="G94" s="8">
        <v>0.16750000000000001</v>
      </c>
      <c r="H94" s="8">
        <v>0</v>
      </c>
      <c r="I94" s="8">
        <v>6.9800000000000001E-2</v>
      </c>
      <c r="J94" s="8">
        <v>0.16750000000000001</v>
      </c>
      <c r="K94" s="8">
        <v>6.9800000000000001E-2</v>
      </c>
      <c r="L94" s="8">
        <v>176.42749999999899</v>
      </c>
      <c r="M94" s="8">
        <v>238.8698</v>
      </c>
      <c r="N94" s="10">
        <v>1.3548167479859301</v>
      </c>
      <c r="O94" s="10">
        <v>1.35656065472774</v>
      </c>
      <c r="P94" s="10">
        <v>1.3589331302749099</v>
      </c>
      <c r="Q94" s="10">
        <v>1.3593252396101401</v>
      </c>
      <c r="R94" s="8">
        <v>239.107381002312</v>
      </c>
      <c r="S94" s="8">
        <v>239.71129926413201</v>
      </c>
      <c r="T94" s="8">
        <v>239.64913974955701</v>
      </c>
      <c r="U94" s="9">
        <v>1.2863624079375701E-3</v>
      </c>
      <c r="V94" s="9">
        <v>3.8088980020823098E-3</v>
      </c>
      <c r="W94" s="9">
        <v>3.54955446905776E-3</v>
      </c>
      <c r="X94" s="10">
        <v>1.3539261169602199</v>
      </c>
      <c r="Y94" s="10">
        <v>1.3555780340485399</v>
      </c>
      <c r="Z94" s="10">
        <v>1.3580199771617201</v>
      </c>
      <c r="AA94" s="10">
        <v>1.35836996666717</v>
      </c>
      <c r="AB94" s="8">
        <v>239.16124360209901</v>
      </c>
      <c r="AC94" s="8">
        <v>239.77640413274901</v>
      </c>
      <c r="AD94" s="8">
        <v>239.70716893492499</v>
      </c>
      <c r="AE94" s="9">
        <v>1.2193502581474499E-3</v>
      </c>
      <c r="AF94" s="9">
        <v>3.7882060240176699E-3</v>
      </c>
      <c r="AG94" s="9">
        <v>3.4994153242171901E-3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3.1097107673988413E-2</v>
      </c>
      <c r="BL94" s="9"/>
      <c r="BN94">
        <f t="shared" si="30"/>
        <v>1</v>
      </c>
      <c r="BO94">
        <f t="shared" si="31"/>
        <v>0</v>
      </c>
      <c r="BP94">
        <f t="shared" si="32"/>
        <v>1</v>
      </c>
      <c r="BQ94">
        <f t="shared" si="21"/>
        <v>1</v>
      </c>
      <c r="BR94">
        <f t="shared" si="33"/>
        <v>1</v>
      </c>
      <c r="BS94" s="9">
        <f t="shared" si="34"/>
        <v>1.8215030256819101E-2</v>
      </c>
      <c r="BT94" s="9">
        <f t="shared" si="35"/>
        <v>-1.7681944924207101E-2</v>
      </c>
      <c r="BU94" s="9">
        <f t="shared" si="36"/>
        <v>5.3308533261199956E-4</v>
      </c>
      <c r="BV94" s="12">
        <f t="shared" si="37"/>
        <v>2.8311191631014799E-2</v>
      </c>
      <c r="BX94" s="12">
        <f t="shared" si="38"/>
        <v>5.3308533261199956E-4</v>
      </c>
      <c r="BY94" s="12">
        <f t="shared" si="39"/>
        <v>5.9408299305003201E-2</v>
      </c>
    </row>
    <row r="95" spans="1:77" x14ac:dyDescent="0.3">
      <c r="A95" s="1">
        <v>46160</v>
      </c>
      <c r="B95" s="8">
        <v>174.36</v>
      </c>
      <c r="C95" s="8">
        <v>236.39</v>
      </c>
      <c r="D95" s="9">
        <v>-1.0838050301322399E-2</v>
      </c>
      <c r="E95" s="9">
        <v>-1.0143398065657399E-2</v>
      </c>
      <c r="F95" s="8">
        <v>0</v>
      </c>
      <c r="G95" s="8">
        <v>0.16750000000000001</v>
      </c>
      <c r="H95" s="8">
        <v>0</v>
      </c>
      <c r="I95" s="8">
        <v>6.9800000000000001E-2</v>
      </c>
      <c r="J95" s="8">
        <v>0.16750000000000001</v>
      </c>
      <c r="K95" s="8">
        <v>6.9800000000000001E-2</v>
      </c>
      <c r="L95" s="8">
        <v>174.5275</v>
      </c>
      <c r="M95" s="8">
        <v>236.45979999999901</v>
      </c>
      <c r="N95" s="10">
        <v>1.3557582014223399</v>
      </c>
      <c r="O95" s="10">
        <v>1.35656065472774</v>
      </c>
      <c r="P95" s="10">
        <v>1.35811277639678</v>
      </c>
      <c r="Q95" s="10">
        <v>1.3590392625176999</v>
      </c>
      <c r="R95" s="8">
        <v>236.529915758329</v>
      </c>
      <c r="S95" s="8">
        <v>236.94358059473399</v>
      </c>
      <c r="T95" s="8">
        <v>237.01194877842499</v>
      </c>
      <c r="U95" s="9">
        <v>5.9171017227271797E-4</v>
      </c>
      <c r="V95" s="9">
        <v>2.3390727800790098E-3</v>
      </c>
      <c r="W95" s="9">
        <v>2.6275731980640198E-3</v>
      </c>
      <c r="X95" s="10">
        <v>1.35485697096446</v>
      </c>
      <c r="Y95" s="10">
        <v>1.3555780340485399</v>
      </c>
      <c r="Z95" s="10">
        <v>1.3572073094085</v>
      </c>
      <c r="AA95" s="10">
        <v>1.35809006554258</v>
      </c>
      <c r="AB95" s="8">
        <v>236.58564533740599</v>
      </c>
      <c r="AC95" s="8">
        <v>237.01183156409201</v>
      </c>
      <c r="AD95" s="8">
        <v>237.072914357505</v>
      </c>
      <c r="AE95" s="9">
        <v>5.3206448393574299E-4</v>
      </c>
      <c r="AF95" s="9">
        <v>2.33184747482527E-3</v>
      </c>
      <c r="AG95" s="9">
        <v>2.5895347101850198E-3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3.1097107673988413E-2</v>
      </c>
      <c r="BL95" s="9"/>
      <c r="BN95">
        <f t="shared" si="30"/>
        <v>1</v>
      </c>
      <c r="BO95">
        <f t="shared" si="31"/>
        <v>0</v>
      </c>
      <c r="BP95">
        <f t="shared" si="32"/>
        <v>1</v>
      </c>
      <c r="BQ95">
        <f t="shared" si="21"/>
        <v>1</v>
      </c>
      <c r="BR95">
        <f t="shared" si="33"/>
        <v>1</v>
      </c>
      <c r="BS95" s="9">
        <f t="shared" si="34"/>
        <v>1.0838050301322399E-2</v>
      </c>
      <c r="BT95" s="9">
        <f t="shared" si="35"/>
        <v>-1.0143398065657399E-2</v>
      </c>
      <c r="BU95" s="9">
        <f t="shared" si="36"/>
        <v>6.9465223566500013E-4</v>
      </c>
      <c r="BV95" s="12">
        <f t="shared" si="37"/>
        <v>2.9005843866679801E-2</v>
      </c>
      <c r="BX95" s="12">
        <f t="shared" si="38"/>
        <v>6.9465223566500013E-4</v>
      </c>
      <c r="BY95" s="12">
        <f t="shared" si="39"/>
        <v>6.0102951540668199E-2</v>
      </c>
    </row>
    <row r="96" spans="1:77" x14ac:dyDescent="0.3">
      <c r="A96" s="1">
        <v>46161</v>
      </c>
      <c r="B96" s="8">
        <v>173.24</v>
      </c>
      <c r="C96" s="8">
        <v>234.56</v>
      </c>
      <c r="D96" s="9">
        <v>-6.4442110237659701E-3</v>
      </c>
      <c r="E96" s="9">
        <v>-7.7715647545028898E-3</v>
      </c>
      <c r="F96" s="8">
        <v>0</v>
      </c>
      <c r="G96" s="8">
        <v>0.16750000000000001</v>
      </c>
      <c r="H96" s="8">
        <v>0</v>
      </c>
      <c r="I96" s="8">
        <v>6.9800000000000001E-2</v>
      </c>
      <c r="J96" s="8">
        <v>0.16750000000000001</v>
      </c>
      <c r="K96" s="8">
        <v>6.9800000000000001E-2</v>
      </c>
      <c r="L96" s="8">
        <v>173.4075</v>
      </c>
      <c r="M96" s="8">
        <v>234.62979999999999</v>
      </c>
      <c r="N96" s="10">
        <v>1.3539598245208899</v>
      </c>
      <c r="O96" s="10">
        <v>1.35656065472774</v>
      </c>
      <c r="P96" s="10">
        <v>1.3575551272603901</v>
      </c>
      <c r="Q96" s="10">
        <v>1.35904057005378</v>
      </c>
      <c r="R96" s="8">
        <v>235.010567825034</v>
      </c>
      <c r="S96" s="8">
        <v>235.27945738297899</v>
      </c>
      <c r="T96" s="8">
        <v>235.439961838567</v>
      </c>
      <c r="U96" s="9">
        <v>1.9190639030096999E-3</v>
      </c>
      <c r="V96" s="9">
        <v>3.0625692840804998E-3</v>
      </c>
      <c r="W96" s="9">
        <v>3.74452314132122E-3</v>
      </c>
      <c r="X96" s="10">
        <v>1.35305451032971</v>
      </c>
      <c r="Y96" s="10">
        <v>1.3555780340485399</v>
      </c>
      <c r="Z96" s="10">
        <v>1.3566543789821599</v>
      </c>
      <c r="AA96" s="10">
        <v>1.35809679393268</v>
      </c>
      <c r="AB96" s="8">
        <v>235.06739793927201</v>
      </c>
      <c r="AC96" s="8">
        <v>235.349926506255</v>
      </c>
      <c r="AD96" s="8">
        <v>235.503003040576</v>
      </c>
      <c r="AE96" s="9">
        <v>1.86331989120952E-3</v>
      </c>
      <c r="AF96" s="9">
        <v>3.0645026975020802E-3</v>
      </c>
      <c r="AG96" s="9">
        <v>3.7147122644731701E-3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3.1097107673988413E-2</v>
      </c>
      <c r="BL96" s="9"/>
      <c r="BN96">
        <f t="shared" si="30"/>
        <v>1</v>
      </c>
      <c r="BO96">
        <f t="shared" si="31"/>
        <v>0</v>
      </c>
      <c r="BP96">
        <f t="shared" si="32"/>
        <v>1</v>
      </c>
      <c r="BQ96">
        <f t="shared" si="21"/>
        <v>1</v>
      </c>
      <c r="BR96">
        <f t="shared" si="33"/>
        <v>1</v>
      </c>
      <c r="BS96" s="9">
        <f t="shared" si="34"/>
        <v>6.4442110237659701E-3</v>
      </c>
      <c r="BT96" s="9">
        <f t="shared" si="35"/>
        <v>-7.7715647545028898E-3</v>
      </c>
      <c r="BU96" s="9">
        <f t="shared" si="36"/>
        <v>-1.3273537307369196E-3</v>
      </c>
      <c r="BV96" s="12">
        <f t="shared" si="37"/>
        <v>2.7678490135942882E-2</v>
      </c>
      <c r="BX96" s="12">
        <f t="shared" si="38"/>
        <v>-1.3273537307369196E-3</v>
      </c>
      <c r="BY96" s="12">
        <f t="shared" si="39"/>
        <v>5.8775597809931281E-2</v>
      </c>
    </row>
    <row r="97" spans="1:77" x14ac:dyDescent="0.3">
      <c r="A97" s="1">
        <v>46162</v>
      </c>
      <c r="B97" s="8">
        <v>177.14</v>
      </c>
      <c r="C97" s="8">
        <v>239.33</v>
      </c>
      <c r="D97" s="9">
        <v>2.2262464035010799E-2</v>
      </c>
      <c r="E97" s="9">
        <v>2.01319340082367E-2</v>
      </c>
      <c r="F97" s="8">
        <v>0</v>
      </c>
      <c r="G97" s="8">
        <v>0.16750000000000001</v>
      </c>
      <c r="H97" s="8">
        <v>0</v>
      </c>
      <c r="I97" s="8">
        <v>6.9800000000000001E-2</v>
      </c>
      <c r="J97" s="8">
        <v>0.16750000000000001</v>
      </c>
      <c r="K97" s="8">
        <v>6.9800000000000001E-2</v>
      </c>
      <c r="L97" s="8">
        <v>177.30749999999901</v>
      </c>
      <c r="M97" s="8">
        <v>239.3998</v>
      </c>
      <c r="N97" s="10">
        <v>1.3510782431974699</v>
      </c>
      <c r="O97" s="10">
        <v>1.35656065472774</v>
      </c>
      <c r="P97" s="10">
        <v>1.35614586635988</v>
      </c>
      <c r="Q97" s="10">
        <v>1.3588704009940999</v>
      </c>
      <c r="R97" s="8">
        <v>240.301154378473</v>
      </c>
      <c r="S97" s="8">
        <v>240.477315242906</v>
      </c>
      <c r="T97" s="8">
        <v>240.74044657932799</v>
      </c>
      <c r="U97" s="9">
        <v>4.0495939297837602E-3</v>
      </c>
      <c r="V97" s="9">
        <v>4.78240907625115E-3</v>
      </c>
      <c r="W97" s="9">
        <v>5.8760152708776997E-3</v>
      </c>
      <c r="X97" s="10">
        <v>1.35019556420343</v>
      </c>
      <c r="Y97" s="10">
        <v>1.3555780340485399</v>
      </c>
      <c r="Z97" s="10">
        <v>1.35525019239805</v>
      </c>
      <c r="AA97" s="10">
        <v>1.35793211753564</v>
      </c>
      <c r="AB97" s="8">
        <v>240.35415227206099</v>
      </c>
      <c r="AC97" s="8">
        <v>240.54499630138</v>
      </c>
      <c r="AD97" s="8">
        <v>240.80074729021899</v>
      </c>
      <c r="AE97" s="9">
        <v>3.9785124286192599E-3</v>
      </c>
      <c r="AF97" s="9">
        <v>4.77220915236342E-3</v>
      </c>
      <c r="AG97" s="9">
        <v>5.8348590929118401E-3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3.1097107673988413E-2</v>
      </c>
      <c r="BL97" s="9"/>
      <c r="BN97">
        <f t="shared" si="30"/>
        <v>1</v>
      </c>
      <c r="BO97">
        <f t="shared" si="31"/>
        <v>0</v>
      </c>
      <c r="BP97">
        <f t="shared" si="32"/>
        <v>1</v>
      </c>
      <c r="BQ97">
        <f t="shared" si="21"/>
        <v>1</v>
      </c>
      <c r="BR97">
        <f t="shared" si="33"/>
        <v>1</v>
      </c>
      <c r="BS97" s="9">
        <f t="shared" si="34"/>
        <v>-2.2262464035010799E-2</v>
      </c>
      <c r="BT97" s="9">
        <f t="shared" si="35"/>
        <v>2.01319340082367E-2</v>
      </c>
      <c r="BU97" s="9">
        <f t="shared" si="36"/>
        <v>-2.1305300267740988E-3</v>
      </c>
      <c r="BV97" s="12">
        <f t="shared" si="37"/>
        <v>2.5547960109168783E-2</v>
      </c>
      <c r="BX97" s="12">
        <f t="shared" si="38"/>
        <v>-2.1305300267740988E-3</v>
      </c>
      <c r="BY97" s="12">
        <f t="shared" si="39"/>
        <v>5.6645067783157185E-2</v>
      </c>
    </row>
    <row r="98" spans="1:77" x14ac:dyDescent="0.3">
      <c r="A98" s="1">
        <v>46163</v>
      </c>
      <c r="B98" s="8">
        <v>178.6</v>
      </c>
      <c r="C98" s="8">
        <v>240.08</v>
      </c>
      <c r="D98" s="9">
        <v>8.2082880609618304E-3</v>
      </c>
      <c r="E98" s="9">
        <v>3.12884842558842E-3</v>
      </c>
      <c r="F98" s="8">
        <v>0</v>
      </c>
      <c r="G98" s="8">
        <v>0.16750000000000001</v>
      </c>
      <c r="H98" s="8">
        <v>0</v>
      </c>
      <c r="I98" s="8">
        <v>6.9800000000000001E-2</v>
      </c>
      <c r="J98" s="8">
        <v>0.16750000000000001</v>
      </c>
      <c r="K98" s="8">
        <v>6.9800000000000001E-2</v>
      </c>
      <c r="L98" s="8">
        <v>178.76749999999899</v>
      </c>
      <c r="M98" s="8">
        <v>240.1498</v>
      </c>
      <c r="N98" s="10">
        <v>1.3442329227323599</v>
      </c>
      <c r="O98" s="10">
        <v>1.35656065472774</v>
      </c>
      <c r="P98" s="10">
        <v>1.3536960370584801</v>
      </c>
      <c r="Q98" s="10">
        <v>1.3582047370691199</v>
      </c>
      <c r="R98" s="8">
        <v>242.28173293437499</v>
      </c>
      <c r="S98" s="8">
        <v>242.20765173187601</v>
      </c>
      <c r="T98" s="8">
        <v>242.69425361754699</v>
      </c>
      <c r="U98" s="9">
        <v>9.1290335651572907E-3</v>
      </c>
      <c r="V98" s="9">
        <v>8.8232221050036207E-3</v>
      </c>
      <c r="W98" s="9">
        <v>1.08302344249916E-2</v>
      </c>
      <c r="X98" s="10">
        <v>1.3433638664746099</v>
      </c>
      <c r="Y98" s="10">
        <v>1.3555780340485399</v>
      </c>
      <c r="Z98" s="10">
        <v>1.35280733762256</v>
      </c>
      <c r="AA98" s="10">
        <v>1.35727350766081</v>
      </c>
      <c r="AB98" s="8">
        <v>242.33329620177199</v>
      </c>
      <c r="AC98" s="8">
        <v>242.274688769519</v>
      </c>
      <c r="AD98" s="8">
        <v>242.75412982155299</v>
      </c>
      <c r="AE98" s="9">
        <v>9.0511403425897908E-3</v>
      </c>
      <c r="AF98" s="9">
        <v>8.8092647055549502E-3</v>
      </c>
      <c r="AG98" s="9">
        <v>1.07862243822162E-2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3.1097107673988413E-2</v>
      </c>
      <c r="BL98" s="9"/>
      <c r="BN98">
        <f t="shared" si="30"/>
        <v>1</v>
      </c>
      <c r="BO98">
        <f t="shared" si="31"/>
        <v>0</v>
      </c>
      <c r="BP98">
        <f t="shared" si="32"/>
        <v>1</v>
      </c>
      <c r="BQ98">
        <f t="shared" si="21"/>
        <v>1</v>
      </c>
      <c r="BR98">
        <f t="shared" si="33"/>
        <v>1</v>
      </c>
      <c r="BS98" s="9">
        <f t="shared" si="34"/>
        <v>-8.2082880609618304E-3</v>
      </c>
      <c r="BT98" s="9">
        <f t="shared" si="35"/>
        <v>3.12884842558842E-3</v>
      </c>
      <c r="BU98" s="9">
        <f t="shared" si="36"/>
        <v>-5.07943963537341E-3</v>
      </c>
      <c r="BV98" s="12">
        <f t="shared" si="37"/>
        <v>2.0468520473795375E-2</v>
      </c>
      <c r="BX98" s="12">
        <f t="shared" si="38"/>
        <v>-5.07943963537341E-3</v>
      </c>
      <c r="BY98" s="12">
        <f t="shared" si="39"/>
        <v>5.1565628147783774E-2</v>
      </c>
    </row>
    <row r="99" spans="1:77" x14ac:dyDescent="0.3">
      <c r="A99" s="1">
        <v>46164</v>
      </c>
      <c r="B99" s="8">
        <v>180.39</v>
      </c>
      <c r="C99" s="8">
        <v>241.77</v>
      </c>
      <c r="D99" s="9">
        <v>9.9725052771882997E-3</v>
      </c>
      <c r="E99" s="9">
        <v>7.0146598724178701E-3</v>
      </c>
      <c r="F99" s="8">
        <v>0</v>
      </c>
      <c r="G99" s="8">
        <v>0.16750000000000001</v>
      </c>
      <c r="H99" s="8">
        <v>0</v>
      </c>
      <c r="I99" s="8">
        <v>6.9800000000000001E-2</v>
      </c>
      <c r="J99" s="8">
        <v>0.16750000000000001</v>
      </c>
      <c r="K99" s="8">
        <v>6.9800000000000001E-2</v>
      </c>
      <c r="L99" s="8">
        <v>180.55749999999901</v>
      </c>
      <c r="M99" s="8">
        <v>241.8398</v>
      </c>
      <c r="N99" s="10">
        <v>1.3402627640113001</v>
      </c>
      <c r="O99" s="10">
        <v>1.35656065472774</v>
      </c>
      <c r="P99" s="10">
        <v>1.3517605996947999</v>
      </c>
      <c r="Q99" s="10">
        <v>1.3574454373717899</v>
      </c>
      <c r="R99" s="8">
        <v>244.70997650633799</v>
      </c>
      <c r="S99" s="8">
        <v>244.19322812498001</v>
      </c>
      <c r="T99" s="8">
        <v>245.00655251989801</v>
      </c>
      <c r="U99" s="9">
        <v>1.20868789699275E-2</v>
      </c>
      <c r="V99" s="9">
        <v>9.9729694316326202E-3</v>
      </c>
      <c r="W99" s="9">
        <v>1.3298094161735099E-2</v>
      </c>
      <c r="X99" s="10">
        <v>1.33940600639685</v>
      </c>
      <c r="Y99" s="10">
        <v>1.3555780340485399</v>
      </c>
      <c r="Z99" s="10">
        <v>1.35087612040383</v>
      </c>
      <c r="AA99" s="10">
        <v>1.3565203881380801</v>
      </c>
      <c r="AB99" s="8">
        <v>244.75978088271901</v>
      </c>
      <c r="AC99" s="8">
        <v>244.25951086278499</v>
      </c>
      <c r="AD99" s="8">
        <v>245.06591135946701</v>
      </c>
      <c r="AE99" s="9">
        <v>1.2001719882922E-2</v>
      </c>
      <c r="AF99" s="9">
        <v>9.9557057362559299E-3</v>
      </c>
      <c r="AG99" s="9">
        <v>1.3251676842935199E-2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3.1097107673988413E-2</v>
      </c>
      <c r="BL99" s="9"/>
      <c r="BN99">
        <f t="shared" si="30"/>
        <v>1</v>
      </c>
      <c r="BO99">
        <f t="shared" si="31"/>
        <v>0</v>
      </c>
      <c r="BP99">
        <f t="shared" si="32"/>
        <v>1</v>
      </c>
      <c r="BQ99">
        <f t="shared" si="21"/>
        <v>1</v>
      </c>
      <c r="BR99">
        <f t="shared" si="33"/>
        <v>1</v>
      </c>
      <c r="BS99" s="9">
        <f t="shared" si="34"/>
        <v>-9.9725052771882997E-3</v>
      </c>
      <c r="BT99" s="9">
        <f t="shared" si="35"/>
        <v>7.0146598724178701E-3</v>
      </c>
      <c r="BU99" s="9">
        <f t="shared" si="36"/>
        <v>-2.9578454047704296E-3</v>
      </c>
      <c r="BV99" s="12">
        <f t="shared" si="37"/>
        <v>1.7510675069024945E-2</v>
      </c>
      <c r="BX99" s="12">
        <f t="shared" si="38"/>
        <v>-2.9578454047704296E-3</v>
      </c>
      <c r="BY99" s="12">
        <f t="shared" si="39"/>
        <v>4.8607782743013347E-2</v>
      </c>
    </row>
    <row r="100" spans="1:77" x14ac:dyDescent="0.3">
      <c r="A100" s="1">
        <v>46168</v>
      </c>
      <c r="B100" s="8">
        <v>185.14</v>
      </c>
      <c r="C100" s="8">
        <v>247.42</v>
      </c>
      <c r="D100" s="9">
        <v>2.5991121919478301E-2</v>
      </c>
      <c r="E100" s="9">
        <v>2.3100436430155798E-2</v>
      </c>
      <c r="F100" s="8">
        <v>0</v>
      </c>
      <c r="G100" s="8">
        <v>0.16750000000000001</v>
      </c>
      <c r="H100" s="8">
        <v>0</v>
      </c>
      <c r="I100" s="8">
        <v>6.9800000000000001E-2</v>
      </c>
      <c r="J100" s="8">
        <v>0.16750000000000001</v>
      </c>
      <c r="K100" s="8">
        <v>6.9800000000000001E-2</v>
      </c>
      <c r="L100" s="8">
        <v>185.30749999999901</v>
      </c>
      <c r="M100" s="8">
        <v>247.48979999999901</v>
      </c>
      <c r="N100" s="10">
        <v>1.3363940801555501</v>
      </c>
      <c r="O100" s="10">
        <v>1.35656065472774</v>
      </c>
      <c r="P100" s="10">
        <v>1.3504551010317001</v>
      </c>
      <c r="Q100" s="10">
        <v>1.3562511910775199</v>
      </c>
      <c r="R100" s="8">
        <v>251.15363961629501</v>
      </c>
      <c r="S100" s="8">
        <v>250.264957427496</v>
      </c>
      <c r="T100" s="8">
        <v>251.31744827501399</v>
      </c>
      <c r="U100" s="9">
        <v>1.49775644592498E-2</v>
      </c>
      <c r="V100" s="9">
        <v>1.14328889145383E-2</v>
      </c>
      <c r="W100" s="9">
        <v>1.5629576757946999E-2</v>
      </c>
      <c r="X100" s="10">
        <v>1.3355627807832899</v>
      </c>
      <c r="Y100" s="10">
        <v>1.3555780340485399</v>
      </c>
      <c r="Z100" s="10">
        <v>1.3495752395779299</v>
      </c>
      <c r="AA100" s="10">
        <v>1.3553337398687499</v>
      </c>
      <c r="AB100" s="8">
        <v>251.19877654445</v>
      </c>
      <c r="AC100" s="8">
        <v>250.327476681733</v>
      </c>
      <c r="AD100" s="8">
        <v>251.373401824898</v>
      </c>
      <c r="AE100" s="9">
        <v>1.4875195099825199E-2</v>
      </c>
      <c r="AF100" s="9">
        <v>1.1400598371542199E-2</v>
      </c>
      <c r="AG100" s="9">
        <v>1.5570121301441199E-2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3.1097107673988413E-2</v>
      </c>
      <c r="BL100" s="9"/>
      <c r="BN100">
        <f t="shared" si="30"/>
        <v>1</v>
      </c>
      <c r="BO100">
        <f t="shared" si="31"/>
        <v>0</v>
      </c>
      <c r="BP100">
        <f t="shared" si="32"/>
        <v>1</v>
      </c>
      <c r="BQ100">
        <f t="shared" si="21"/>
        <v>1</v>
      </c>
      <c r="BR100">
        <f t="shared" si="33"/>
        <v>1</v>
      </c>
      <c r="BS100" s="9">
        <f t="shared" si="34"/>
        <v>-2.5991121919478301E-2</v>
      </c>
      <c r="BT100" s="9">
        <f t="shared" si="35"/>
        <v>2.3100436430155798E-2</v>
      </c>
      <c r="BU100" s="9">
        <f t="shared" si="36"/>
        <v>-2.8906854893225031E-3</v>
      </c>
      <c r="BV100" s="12">
        <f t="shared" si="37"/>
        <v>1.4619989579702442E-2</v>
      </c>
      <c r="BX100" s="12">
        <f t="shared" si="38"/>
        <v>-2.8906854893225031E-3</v>
      </c>
      <c r="BY100" s="12">
        <f t="shared" si="39"/>
        <v>4.5717097253690844E-2</v>
      </c>
    </row>
    <row r="101" spans="1:77" x14ac:dyDescent="0.3">
      <c r="A101" s="1">
        <v>46169</v>
      </c>
      <c r="B101" s="8">
        <v>184.43</v>
      </c>
      <c r="C101" s="8">
        <v>246.33</v>
      </c>
      <c r="D101" s="9">
        <v>-3.8423079443504799E-3</v>
      </c>
      <c r="E101" s="9">
        <v>-4.4151970458783897E-3</v>
      </c>
      <c r="F101" s="8">
        <v>0</v>
      </c>
      <c r="G101" s="8">
        <v>0.16750000000000001</v>
      </c>
      <c r="H101" s="8">
        <v>0</v>
      </c>
      <c r="I101" s="8">
        <v>6.9800000000000001E-2</v>
      </c>
      <c r="J101" s="8">
        <v>0.16750000000000001</v>
      </c>
      <c r="K101" s="8">
        <v>6.9800000000000001E-2</v>
      </c>
      <c r="L101" s="8">
        <v>184.5975</v>
      </c>
      <c r="M101" s="8">
        <v>246.3998</v>
      </c>
      <c r="N101" s="10">
        <v>1.3356286938133699</v>
      </c>
      <c r="O101" s="10">
        <v>1.35656065472774</v>
      </c>
      <c r="P101" s="10">
        <v>1.3487040434724</v>
      </c>
      <c r="Q101" s="10">
        <v>1.35483180220151</v>
      </c>
      <c r="R101" s="8">
        <v>250.19048155143801</v>
      </c>
      <c r="S101" s="8">
        <v>249.064434283276</v>
      </c>
      <c r="T101" s="8">
        <v>250.13340717042701</v>
      </c>
      <c r="U101" s="9">
        <v>1.5550453560777701E-2</v>
      </c>
      <c r="V101" s="9">
        <v>1.1039534822139299E-2</v>
      </c>
      <c r="W101" s="9">
        <v>1.5322303825997601E-2</v>
      </c>
      <c r="X101" s="10">
        <v>1.33479489158845</v>
      </c>
      <c r="Y101" s="10">
        <v>1.3555780340485399</v>
      </c>
      <c r="Z101" s="10">
        <v>1.3478302430139399</v>
      </c>
      <c r="AA101" s="10">
        <v>1.3539228682189599</v>
      </c>
      <c r="AB101" s="8">
        <v>250.23631614027499</v>
      </c>
      <c r="AC101" s="8">
        <v>249.12821528798801</v>
      </c>
      <c r="AD101" s="8">
        <v>250.191220045422</v>
      </c>
      <c r="AE101" s="9">
        <v>1.54503159714204E-2</v>
      </c>
      <c r="AF101" s="9">
        <v>1.10122648030375E-2</v>
      </c>
      <c r="AG101" s="9">
        <v>1.5270085701441401E-2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3.1097107673988413E-2</v>
      </c>
      <c r="BL101" s="9"/>
      <c r="BN101">
        <f t="shared" si="30"/>
        <v>1</v>
      </c>
      <c r="BO101">
        <f t="shared" si="31"/>
        <v>0</v>
      </c>
      <c r="BP101">
        <f t="shared" si="32"/>
        <v>1</v>
      </c>
      <c r="BQ101">
        <f t="shared" si="21"/>
        <v>1</v>
      </c>
      <c r="BR101">
        <f t="shared" si="33"/>
        <v>1</v>
      </c>
      <c r="BS101" s="9">
        <f t="shared" si="34"/>
        <v>3.8423079443504799E-3</v>
      </c>
      <c r="BT101" s="9">
        <f t="shared" si="35"/>
        <v>-4.4151970458783897E-3</v>
      </c>
      <c r="BU101" s="9">
        <f t="shared" si="36"/>
        <v>-5.7288910152790981E-4</v>
      </c>
      <c r="BV101" s="12">
        <f t="shared" si="37"/>
        <v>1.4047100478174533E-2</v>
      </c>
      <c r="BX101" s="12">
        <f t="shared" si="38"/>
        <v>-5.7288910152790981E-4</v>
      </c>
      <c r="BY101" s="12">
        <f t="shared" si="39"/>
        <v>4.5144208152162933E-2</v>
      </c>
    </row>
    <row r="102" spans="1:77" x14ac:dyDescent="0.3">
      <c r="A102" s="1">
        <v>46170</v>
      </c>
      <c r="B102" s="8">
        <v>186.85</v>
      </c>
      <c r="C102" s="8">
        <v>249.53</v>
      </c>
      <c r="D102" s="9">
        <v>1.3036168236778301E-2</v>
      </c>
      <c r="E102" s="9">
        <v>1.29070480554209E-2</v>
      </c>
      <c r="F102" s="8">
        <v>0</v>
      </c>
      <c r="G102" s="8">
        <v>0.16750000000000001</v>
      </c>
      <c r="H102" s="8">
        <v>0</v>
      </c>
      <c r="I102" s="8">
        <v>6.9800000000000001E-2</v>
      </c>
      <c r="J102" s="8">
        <v>0.16750000000000001</v>
      </c>
      <c r="K102" s="8">
        <v>6.9800000000000001E-2</v>
      </c>
      <c r="L102" s="8">
        <v>187.01749999999899</v>
      </c>
      <c r="M102" s="8">
        <v>249.59979999999999</v>
      </c>
      <c r="N102" s="10">
        <v>1.3354562483275301</v>
      </c>
      <c r="O102" s="10">
        <v>1.35656065472774</v>
      </c>
      <c r="P102" s="10">
        <v>1.3461682433687601</v>
      </c>
      <c r="Q102" s="10">
        <v>1.35374590052072</v>
      </c>
      <c r="R102" s="8">
        <v>253.473358335879</v>
      </c>
      <c r="S102" s="8">
        <v>252.005350522817</v>
      </c>
      <c r="T102" s="8">
        <v>253.150322241353</v>
      </c>
      <c r="U102" s="9">
        <v>1.5679573742135099E-2</v>
      </c>
      <c r="V102" s="9">
        <v>9.8711710751991106E-3</v>
      </c>
      <c r="W102" s="9">
        <v>1.4404322897418701E-2</v>
      </c>
      <c r="X102" s="10">
        <v>1.3346333899234</v>
      </c>
      <c r="Y102" s="10">
        <v>1.3555780340485399</v>
      </c>
      <c r="Z102" s="10">
        <v>1.3453014908288501</v>
      </c>
      <c r="AA102" s="10">
        <v>1.3528452740087</v>
      </c>
      <c r="AB102" s="8">
        <v>253.516814982673</v>
      </c>
      <c r="AC102" s="8">
        <v>252.06784247286001</v>
      </c>
      <c r="AD102" s="8">
        <v>253.20727000713899</v>
      </c>
      <c r="AE102" s="9">
        <v>1.5571316911111299E-2</v>
      </c>
      <c r="AF102" s="9">
        <v>9.8394322284994507E-3</v>
      </c>
      <c r="AG102" s="9">
        <v>1.4349567153374E-2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3.1097107673988413E-2</v>
      </c>
      <c r="BL102" s="9"/>
      <c r="BN102">
        <f t="shared" si="30"/>
        <v>1</v>
      </c>
      <c r="BO102">
        <f t="shared" si="31"/>
        <v>0</v>
      </c>
      <c r="BP102">
        <f t="shared" si="32"/>
        <v>1</v>
      </c>
      <c r="BQ102">
        <f t="shared" si="21"/>
        <v>1</v>
      </c>
      <c r="BR102">
        <f t="shared" si="33"/>
        <v>1</v>
      </c>
      <c r="BS102" s="9">
        <f t="shared" si="34"/>
        <v>-1.3036168236778301E-2</v>
      </c>
      <c r="BT102" s="9">
        <f t="shared" si="35"/>
        <v>1.29070480554209E-2</v>
      </c>
      <c r="BU102" s="9">
        <f t="shared" si="36"/>
        <v>-1.2912018135740125E-4</v>
      </c>
      <c r="BV102" s="12">
        <f t="shared" si="37"/>
        <v>1.3917980296817132E-2</v>
      </c>
      <c r="BX102" s="12">
        <f t="shared" si="38"/>
        <v>-1.2912018135740125E-4</v>
      </c>
      <c r="BY102" s="12">
        <f t="shared" si="39"/>
        <v>4.5015087970805528E-2</v>
      </c>
    </row>
    <row r="103" spans="1:77" x14ac:dyDescent="0.3">
      <c r="A103" s="1">
        <v>46171</v>
      </c>
      <c r="B103" s="8">
        <v>191.02</v>
      </c>
      <c r="C103" s="8">
        <v>252.92</v>
      </c>
      <c r="D103" s="9">
        <v>2.2071978675098601E-2</v>
      </c>
      <c r="E103" s="9">
        <v>1.3494084746184199E-2</v>
      </c>
      <c r="F103" s="8">
        <v>0</v>
      </c>
      <c r="G103" s="8">
        <v>0.16750000000000001</v>
      </c>
      <c r="H103" s="8">
        <v>0</v>
      </c>
      <c r="I103" s="8">
        <v>6.9800000000000001E-2</v>
      </c>
      <c r="J103" s="8">
        <v>0.16750000000000001</v>
      </c>
      <c r="K103" s="8">
        <v>6.9800000000000001E-2</v>
      </c>
      <c r="L103" s="8">
        <v>191.1875</v>
      </c>
      <c r="M103" s="8">
        <v>252.98979999999901</v>
      </c>
      <c r="N103" s="10">
        <v>1.3240498377133201</v>
      </c>
      <c r="O103" s="10">
        <v>1.35656065472774</v>
      </c>
      <c r="P103" s="10">
        <v>1.3431637563880101</v>
      </c>
      <c r="Q103" s="10">
        <v>1.3515753516540401</v>
      </c>
      <c r="R103" s="8">
        <v>259.13021626609401</v>
      </c>
      <c r="S103" s="8">
        <v>257.14505784830101</v>
      </c>
      <c r="T103" s="8">
        <v>258.59254191746902</v>
      </c>
      <c r="U103" s="9">
        <v>2.4257467671049499E-2</v>
      </c>
      <c r="V103" s="9">
        <v>1.6567119900859999E-2</v>
      </c>
      <c r="W103" s="9">
        <v>2.21803925051208E-2</v>
      </c>
      <c r="X103" s="10">
        <v>1.32325491990846</v>
      </c>
      <c r="Y103" s="10">
        <v>1.3555780340485399</v>
      </c>
      <c r="Z103" s="10">
        <v>1.34230490175329</v>
      </c>
      <c r="AA103" s="10">
        <v>1.3506848484131599</v>
      </c>
      <c r="AB103" s="8">
        <v>259.16957538465499</v>
      </c>
      <c r="AC103" s="8">
        <v>257.20482877784201</v>
      </c>
      <c r="AD103" s="8">
        <v>258.64710582453898</v>
      </c>
      <c r="AE103" s="9">
        <v>2.41334069621854E-2</v>
      </c>
      <c r="AF103" s="9">
        <v>1.65235948863688E-2</v>
      </c>
      <c r="AG103" s="9">
        <v>2.2115435134021699E-2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3.1097107673988413E-2</v>
      </c>
      <c r="BL103" s="9"/>
      <c r="BN103">
        <f t="shared" si="30"/>
        <v>1</v>
      </c>
      <c r="BO103">
        <f t="shared" si="31"/>
        <v>0</v>
      </c>
      <c r="BP103">
        <f t="shared" si="32"/>
        <v>1</v>
      </c>
      <c r="BQ103">
        <f t="shared" si="21"/>
        <v>1</v>
      </c>
      <c r="BR103">
        <f t="shared" si="33"/>
        <v>1</v>
      </c>
      <c r="BS103" s="9">
        <f t="shared" si="34"/>
        <v>-2.2071978675098601E-2</v>
      </c>
      <c r="BT103" s="9">
        <f t="shared" si="35"/>
        <v>1.3494084746184199E-2</v>
      </c>
      <c r="BU103" s="9">
        <f t="shared" si="36"/>
        <v>-8.5778939289144016E-3</v>
      </c>
      <c r="BV103" s="12">
        <f t="shared" si="37"/>
        <v>5.3400863679027299E-3</v>
      </c>
      <c r="BX103" s="12">
        <f t="shared" si="38"/>
        <v>-8.5778939289144016E-3</v>
      </c>
      <c r="BY103" s="12">
        <f t="shared" si="39"/>
        <v>3.6437194041891129E-2</v>
      </c>
    </row>
    <row r="104" spans="1:77" x14ac:dyDescent="0.3">
      <c r="A104" s="1">
        <v>46174</v>
      </c>
      <c r="B104" s="8">
        <v>195.76</v>
      </c>
      <c r="C104" s="8">
        <v>257.97000000000003</v>
      </c>
      <c r="D104" s="9">
        <v>2.4511284527824501E-2</v>
      </c>
      <c r="E104" s="9">
        <v>1.9770065900502499E-2</v>
      </c>
      <c r="F104" s="8">
        <v>0</v>
      </c>
      <c r="G104" s="8">
        <v>0.16750000000000001</v>
      </c>
      <c r="H104" s="8">
        <v>0</v>
      </c>
      <c r="I104" s="8">
        <v>6.9800000000000001E-2</v>
      </c>
      <c r="J104" s="8">
        <v>0.16750000000000001</v>
      </c>
      <c r="K104" s="8">
        <v>6.9800000000000001E-2</v>
      </c>
      <c r="L104" s="8">
        <v>195.92749999999899</v>
      </c>
      <c r="M104" s="8">
        <v>258.03980000000001</v>
      </c>
      <c r="N104" s="10">
        <v>1.3177870862280301</v>
      </c>
      <c r="O104" s="10">
        <v>1.35656065472774</v>
      </c>
      <c r="P104" s="10">
        <v>1.33946079021222</v>
      </c>
      <c r="Q104" s="10">
        <v>1.3491969602435601</v>
      </c>
      <c r="R104" s="8">
        <v>265.56031376950301</v>
      </c>
      <c r="S104" s="8">
        <v>262.93773695051601</v>
      </c>
      <c r="T104" s="8">
        <v>264.58439083979499</v>
      </c>
      <c r="U104" s="9">
        <v>2.89986862983714E-2</v>
      </c>
      <c r="V104" s="9">
        <v>1.90739634261099E-2</v>
      </c>
      <c r="W104" s="9">
        <v>2.53169593147064E-2</v>
      </c>
      <c r="X104" s="10">
        <v>1.3170167536461099</v>
      </c>
      <c r="Y104" s="10">
        <v>1.3555780340485399</v>
      </c>
      <c r="Z104" s="10">
        <v>1.33861396542188</v>
      </c>
      <c r="AA104" s="10">
        <v>1.3483169712917999</v>
      </c>
      <c r="AB104" s="8">
        <v>265.59501526604498</v>
      </c>
      <c r="AC104" s="8">
        <v>262.99444363826802</v>
      </c>
      <c r="AD104" s="8">
        <v>264.63630563747</v>
      </c>
      <c r="AE104" s="9">
        <v>2.8858813012429301E-2</v>
      </c>
      <c r="AF104" s="9">
        <v>1.90190685137888E-2</v>
      </c>
      <c r="AG104" s="9">
        <v>2.5242615192632899E-2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3.1097107673988413E-2</v>
      </c>
      <c r="BL104" s="9"/>
      <c r="BN104">
        <f t="shared" si="30"/>
        <v>1</v>
      </c>
      <c r="BO104">
        <f t="shared" si="31"/>
        <v>0</v>
      </c>
      <c r="BP104">
        <f t="shared" si="32"/>
        <v>1</v>
      </c>
      <c r="BQ104">
        <f t="shared" si="21"/>
        <v>1</v>
      </c>
      <c r="BR104">
        <f t="shared" si="33"/>
        <v>1</v>
      </c>
      <c r="BS104" s="9">
        <f t="shared" si="34"/>
        <v>-2.4511284527824501E-2</v>
      </c>
      <c r="BT104" s="9">
        <f t="shared" si="35"/>
        <v>1.9770065900502499E-2</v>
      </c>
      <c r="BU104" s="9">
        <f t="shared" si="36"/>
        <v>-4.7412186273220018E-3</v>
      </c>
      <c r="BV104" s="12">
        <f t="shared" si="37"/>
        <v>5.9886774058072814E-4</v>
      </c>
      <c r="BX104" s="12">
        <f t="shared" si="38"/>
        <v>-4.7412186273220018E-3</v>
      </c>
      <c r="BY104" s="12">
        <f t="shared" si="39"/>
        <v>3.169597541456913E-2</v>
      </c>
    </row>
    <row r="105" spans="1:77" x14ac:dyDescent="0.3">
      <c r="A105" s="1">
        <v>46175</v>
      </c>
      <c r="B105" s="8">
        <v>198.21</v>
      </c>
      <c r="C105" s="8">
        <v>259.94</v>
      </c>
      <c r="D105" s="9">
        <v>1.24376555754878E-2</v>
      </c>
      <c r="E105" s="9">
        <v>7.6075360625273598E-3</v>
      </c>
      <c r="F105" s="8">
        <v>0</v>
      </c>
      <c r="G105" s="8">
        <v>0.16750000000000001</v>
      </c>
      <c r="H105" s="8">
        <v>0</v>
      </c>
      <c r="I105" s="8">
        <v>6.9800000000000001E-2</v>
      </c>
      <c r="J105" s="8">
        <v>0.16750000000000001</v>
      </c>
      <c r="K105" s="8">
        <v>6.9800000000000001E-2</v>
      </c>
      <c r="L105" s="8">
        <v>198.3775</v>
      </c>
      <c r="M105" s="8">
        <v>260.00979999999998</v>
      </c>
      <c r="N105" s="10">
        <v>1.3114373644114801</v>
      </c>
      <c r="O105" s="10">
        <v>1.35656065472774</v>
      </c>
      <c r="P105" s="10">
        <v>1.3350287065111299</v>
      </c>
      <c r="Q105" s="10">
        <v>1.3465707414539601</v>
      </c>
      <c r="R105" s="8">
        <v>268.88388737358599</v>
      </c>
      <c r="S105" s="8">
        <v>265.49452322796401</v>
      </c>
      <c r="T105" s="8">
        <v>267.42432948987698</v>
      </c>
      <c r="U105" s="9">
        <v>3.3828805811332102E-2</v>
      </c>
      <c r="V105" s="9">
        <v>2.1143377172527698E-2</v>
      </c>
      <c r="W105" s="9">
        <v>2.8385810752736301E-2</v>
      </c>
      <c r="X105" s="10">
        <v>1.31068190697029</v>
      </c>
      <c r="Y105" s="10">
        <v>1.3555780340485399</v>
      </c>
      <c r="Z105" s="10">
        <v>1.33419645902246</v>
      </c>
      <c r="AA105" s="10">
        <v>1.34570188421548</v>
      </c>
      <c r="AB105" s="8">
        <v>268.91618144946398</v>
      </c>
      <c r="AC105" s="8">
        <v>265.55089192547899</v>
      </c>
      <c r="AD105" s="8">
        <v>267.47574997243902</v>
      </c>
      <c r="AE105" s="9">
        <v>3.3680415309065299E-2</v>
      </c>
      <c r="AF105" s="9">
        <v>2.1087183035345701E-2</v>
      </c>
      <c r="AG105" s="9">
        <v>2.8309585305189702E-2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3.1097107673988413E-2</v>
      </c>
      <c r="BL105" s="9"/>
      <c r="BN105">
        <f t="shared" si="30"/>
        <v>1</v>
      </c>
      <c r="BO105">
        <f t="shared" si="31"/>
        <v>0</v>
      </c>
      <c r="BP105">
        <f t="shared" si="32"/>
        <v>1</v>
      </c>
      <c r="BQ105">
        <f t="shared" si="21"/>
        <v>1</v>
      </c>
      <c r="BR105">
        <f t="shared" si="33"/>
        <v>1</v>
      </c>
      <c r="BS105" s="9">
        <f t="shared" si="34"/>
        <v>-1.24376555754878E-2</v>
      </c>
      <c r="BT105" s="9">
        <f t="shared" si="35"/>
        <v>7.6075360625273598E-3</v>
      </c>
      <c r="BU105" s="9">
        <f t="shared" si="36"/>
        <v>-4.8301195129604405E-3</v>
      </c>
      <c r="BV105" s="12">
        <f t="shared" si="37"/>
        <v>-4.2312517723797124E-3</v>
      </c>
      <c r="BX105" s="12">
        <f t="shared" si="38"/>
        <v>-4.8301195129604405E-3</v>
      </c>
      <c r="BY105" s="12">
        <f t="shared" si="39"/>
        <v>2.6865855901608691E-2</v>
      </c>
    </row>
    <row r="106" spans="1:77" x14ac:dyDescent="0.3">
      <c r="A106" s="1">
        <v>46176</v>
      </c>
      <c r="B106" s="8">
        <v>196.23</v>
      </c>
      <c r="C106" s="8">
        <v>257.56</v>
      </c>
      <c r="D106" s="9">
        <v>-1.0039634068672899E-2</v>
      </c>
      <c r="E106" s="9">
        <v>-9.1981324834596208E-3</v>
      </c>
      <c r="F106" s="8">
        <v>0</v>
      </c>
      <c r="G106" s="8">
        <v>0.16750000000000001</v>
      </c>
      <c r="H106" s="8">
        <v>0</v>
      </c>
      <c r="I106" s="8">
        <v>6.9800000000000001E-2</v>
      </c>
      <c r="J106" s="8">
        <v>0.16750000000000001</v>
      </c>
      <c r="K106" s="8">
        <v>6.9800000000000001E-2</v>
      </c>
      <c r="L106" s="8">
        <v>196.39749999999901</v>
      </c>
      <c r="M106" s="8">
        <v>257.62979999999999</v>
      </c>
      <c r="N106" s="10">
        <v>1.31254140549355</v>
      </c>
      <c r="O106" s="10">
        <v>1.35656065472774</v>
      </c>
      <c r="P106" s="10">
        <v>1.3308868646084</v>
      </c>
      <c r="Q106" s="10">
        <v>1.34422099593439</v>
      </c>
      <c r="R106" s="8">
        <v>266.19789727722502</v>
      </c>
      <c r="S106" s="8">
        <v>261.97268307867898</v>
      </c>
      <c r="T106" s="8">
        <v>264.23757659551001</v>
      </c>
      <c r="U106" s="9">
        <v>3.2987304226118501E-2</v>
      </c>
      <c r="V106" s="9">
        <v>1.69875325968699E-2</v>
      </c>
      <c r="W106" s="9">
        <v>2.5595907145513401E-2</v>
      </c>
      <c r="X106" s="10">
        <v>1.31177739024172</v>
      </c>
      <c r="Y106" s="10">
        <v>1.3555780340485399</v>
      </c>
      <c r="Z106" s="10">
        <v>1.3300687470136601</v>
      </c>
      <c r="AA106" s="10">
        <v>1.3433615629979101</v>
      </c>
      <c r="AB106" s="8">
        <v>266.23213694204799</v>
      </c>
      <c r="AC106" s="8">
        <v>262.03284906086401</v>
      </c>
      <c r="AD106" s="8">
        <v>264.29248580520999</v>
      </c>
      <c r="AE106" s="9">
        <v>3.2844952706219503E-2</v>
      </c>
      <c r="AF106" s="9">
        <v>1.69462032275993E-2</v>
      </c>
      <c r="AG106" s="9">
        <v>2.5532719885258601E-2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3.1097107673988413E-2</v>
      </c>
      <c r="BL106" s="9"/>
      <c r="BN106">
        <f t="shared" si="30"/>
        <v>1</v>
      </c>
      <c r="BO106">
        <f t="shared" si="31"/>
        <v>0</v>
      </c>
      <c r="BP106">
        <f t="shared" si="32"/>
        <v>1</v>
      </c>
      <c r="BQ106">
        <f t="shared" si="21"/>
        <v>1</v>
      </c>
      <c r="BR106">
        <f t="shared" si="33"/>
        <v>1</v>
      </c>
      <c r="BS106" s="9">
        <f t="shared" si="34"/>
        <v>1.0039634068672899E-2</v>
      </c>
      <c r="BT106" s="9">
        <f t="shared" si="35"/>
        <v>-9.1981324834596208E-3</v>
      </c>
      <c r="BU106" s="9">
        <f t="shared" si="36"/>
        <v>8.4150158521327859E-4</v>
      </c>
      <c r="BV106" s="12">
        <f t="shared" si="37"/>
        <v>-3.3897501871664338E-3</v>
      </c>
      <c r="BX106" s="12">
        <f t="shared" si="38"/>
        <v>8.4150158521327859E-4</v>
      </c>
      <c r="BY106" s="12">
        <f t="shared" si="39"/>
        <v>2.770735748682197E-2</v>
      </c>
    </row>
    <row r="107" spans="1:77" x14ac:dyDescent="0.3">
      <c r="A107" s="1">
        <v>46177</v>
      </c>
      <c r="B107" s="8">
        <v>193.17</v>
      </c>
      <c r="C107" s="8">
        <v>256.42</v>
      </c>
      <c r="D107" s="9">
        <v>-1.57168104230292E-2</v>
      </c>
      <c r="E107" s="9">
        <v>-4.4359775454281304E-3</v>
      </c>
      <c r="F107" s="8">
        <v>0</v>
      </c>
      <c r="G107" s="8">
        <v>0.16750000000000001</v>
      </c>
      <c r="H107" s="8">
        <v>0</v>
      </c>
      <c r="I107" s="8">
        <v>6.9800000000000001E-2</v>
      </c>
      <c r="J107" s="8">
        <v>0.16750000000000001</v>
      </c>
      <c r="K107" s="8">
        <v>6.9800000000000001E-2</v>
      </c>
      <c r="L107" s="8">
        <v>193.33749999999901</v>
      </c>
      <c r="M107" s="8">
        <v>256.4898</v>
      </c>
      <c r="N107" s="10">
        <v>1.3274317958274999</v>
      </c>
      <c r="O107" s="10">
        <v>1.35656065472774</v>
      </c>
      <c r="P107" s="10">
        <v>1.3285222198714</v>
      </c>
      <c r="Q107" s="10">
        <v>1.3423340431156401</v>
      </c>
      <c r="R107" s="8">
        <v>262.04682167375802</v>
      </c>
      <c r="S107" s="8">
        <v>257.08741563640399</v>
      </c>
      <c r="T107" s="8">
        <v>259.66316978464698</v>
      </c>
      <c r="U107" s="9">
        <v>2.1706471348517501E-2</v>
      </c>
      <c r="V107" s="9">
        <v>2.5994405996778102E-3</v>
      </c>
      <c r="W107" s="9">
        <v>1.2568565176036E-2</v>
      </c>
      <c r="X107" s="10">
        <v>1.3266427878709499</v>
      </c>
      <c r="Y107" s="10">
        <v>1.3555780340485399</v>
      </c>
      <c r="Z107" s="10">
        <v>1.32771346938041</v>
      </c>
      <c r="AA107" s="10">
        <v>1.34148183088923</v>
      </c>
      <c r="AB107" s="8">
        <v>262.08406815785997</v>
      </c>
      <c r="AC107" s="8">
        <v>257.15216637575401</v>
      </c>
      <c r="AD107" s="8">
        <v>259.72216618610901</v>
      </c>
      <c r="AE107" s="9">
        <v>2.1576425386326401E-2</v>
      </c>
      <c r="AF107" s="9">
        <v>2.5790990077633599E-3</v>
      </c>
      <c r="AG107" s="9">
        <v>1.2523570334321501E-2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3.1097107673988413E-2</v>
      </c>
      <c r="BL107" s="9"/>
      <c r="BN107">
        <f t="shared" si="30"/>
        <v>1</v>
      </c>
      <c r="BO107">
        <f t="shared" si="31"/>
        <v>0</v>
      </c>
      <c r="BP107">
        <f t="shared" si="32"/>
        <v>1</v>
      </c>
      <c r="BQ107">
        <f t="shared" si="21"/>
        <v>1</v>
      </c>
      <c r="BR107">
        <f t="shared" si="33"/>
        <v>1</v>
      </c>
      <c r="BS107" s="9">
        <f t="shared" si="34"/>
        <v>1.57168104230292E-2</v>
      </c>
      <c r="BT107" s="9">
        <f t="shared" si="35"/>
        <v>-4.4359775454281304E-3</v>
      </c>
      <c r="BU107" s="9">
        <f t="shared" si="36"/>
        <v>1.1280832877601069E-2</v>
      </c>
      <c r="BV107" s="12">
        <f t="shared" si="37"/>
        <v>7.8910826904346355E-3</v>
      </c>
      <c r="BX107" s="12">
        <f t="shared" si="38"/>
        <v>1.1280832877601069E-2</v>
      </c>
      <c r="BY107" s="12">
        <f t="shared" si="39"/>
        <v>3.8988190364423039E-2</v>
      </c>
    </row>
    <row r="108" spans="1:77" x14ac:dyDescent="0.3">
      <c r="A108" s="1">
        <v>46178</v>
      </c>
      <c r="B108" s="8">
        <v>180.3</v>
      </c>
      <c r="C108" s="8">
        <v>241.25</v>
      </c>
      <c r="D108" s="9">
        <v>-6.8948500008930005E-2</v>
      </c>
      <c r="E108" s="9">
        <v>-6.0982984905459302E-2</v>
      </c>
      <c r="F108" s="8">
        <v>0</v>
      </c>
      <c r="G108" s="8">
        <v>0.16750000000000001</v>
      </c>
      <c r="H108" s="8">
        <v>0</v>
      </c>
      <c r="I108" s="8">
        <v>6.9800000000000001E-2</v>
      </c>
      <c r="J108" s="8">
        <v>0.16750000000000001</v>
      </c>
      <c r="K108" s="8">
        <v>6.9800000000000001E-2</v>
      </c>
      <c r="L108" s="8">
        <v>180.4675</v>
      </c>
      <c r="M108" s="8">
        <v>241.31979999999999</v>
      </c>
      <c r="N108" s="10">
        <v>1.33804769828064</v>
      </c>
      <c r="O108" s="10">
        <v>1.35656065472774</v>
      </c>
      <c r="P108" s="10">
        <v>1.3279036974262299</v>
      </c>
      <c r="Q108" s="10">
        <v>1.34079986724236</v>
      </c>
      <c r="R108" s="8">
        <v>244.58788604741201</v>
      </c>
      <c r="S108" s="8">
        <v>239.532556242814</v>
      </c>
      <c r="T108" s="8">
        <v>242.02282797375099</v>
      </c>
      <c r="U108" s="9">
        <v>1.37409562450467E-2</v>
      </c>
      <c r="V108" s="9">
        <v>-7.1443983983498702E-3</v>
      </c>
      <c r="W108" s="9">
        <v>3.19831195879763E-3</v>
      </c>
      <c r="X108" s="10">
        <v>1.33719256929918</v>
      </c>
      <c r="Y108" s="10">
        <v>1.3555780340485399</v>
      </c>
      <c r="Z108" s="10">
        <v>1.3270963396628701</v>
      </c>
      <c r="AA108" s="10">
        <v>1.3399518386427101</v>
      </c>
      <c r="AB108" s="8">
        <v>244.63777885965499</v>
      </c>
      <c r="AC108" s="8">
        <v>239.60913053541</v>
      </c>
      <c r="AD108" s="8">
        <v>242.093872316003</v>
      </c>
      <c r="AE108" s="9">
        <v>1.3655638122536101E-2</v>
      </c>
      <c r="AF108" s="9">
        <v>-7.1140518720279296E-3</v>
      </c>
      <c r="AG108" s="9">
        <v>3.2025282772034798E-3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3.1097107673988413E-2</v>
      </c>
      <c r="BL108" s="9"/>
      <c r="BN108">
        <f t="shared" si="30"/>
        <v>1</v>
      </c>
      <c r="BO108">
        <f t="shared" si="31"/>
        <v>0</v>
      </c>
      <c r="BP108">
        <f t="shared" si="32"/>
        <v>1</v>
      </c>
      <c r="BQ108">
        <f t="shared" si="21"/>
        <v>1</v>
      </c>
      <c r="BR108">
        <f t="shared" si="33"/>
        <v>1</v>
      </c>
      <c r="BS108" s="9">
        <f t="shared" si="34"/>
        <v>6.8948500008930005E-2</v>
      </c>
      <c r="BT108" s="9">
        <f t="shared" si="35"/>
        <v>-6.0982984905459302E-2</v>
      </c>
      <c r="BU108" s="9">
        <f t="shared" si="36"/>
        <v>7.9655151034707036E-3</v>
      </c>
      <c r="BV108" s="12">
        <f t="shared" si="37"/>
        <v>1.5856597793905337E-2</v>
      </c>
      <c r="BX108" s="12">
        <f t="shared" si="38"/>
        <v>7.9655151034707036E-3</v>
      </c>
      <c r="BY108" s="12">
        <f t="shared" si="39"/>
        <v>4.6953705467893743E-2</v>
      </c>
    </row>
    <row r="109" spans="1:77" x14ac:dyDescent="0.3">
      <c r="A109" s="1">
        <v>46181</v>
      </c>
      <c r="B109" s="8">
        <v>184.18</v>
      </c>
      <c r="C109" s="8">
        <v>245.13</v>
      </c>
      <c r="D109" s="9">
        <v>2.1291410083949299E-2</v>
      </c>
      <c r="E109" s="9">
        <v>1.5954941845630399E-2</v>
      </c>
      <c r="F109" s="8">
        <v>0</v>
      </c>
      <c r="G109" s="8">
        <v>0.16750000000000001</v>
      </c>
      <c r="H109" s="8">
        <v>0</v>
      </c>
      <c r="I109" s="8">
        <v>6.9800000000000001E-2</v>
      </c>
      <c r="J109" s="8">
        <v>0.16750000000000001</v>
      </c>
      <c r="K109" s="8">
        <v>6.9800000000000001E-2</v>
      </c>
      <c r="L109" s="8">
        <v>184.3475</v>
      </c>
      <c r="M109" s="8">
        <v>245.19979999999899</v>
      </c>
      <c r="N109" s="10">
        <v>1.3309262677815099</v>
      </c>
      <c r="O109" s="10">
        <v>1.35656065472774</v>
      </c>
      <c r="P109" s="10">
        <v>1.32697004780325</v>
      </c>
      <c r="Q109" s="10">
        <v>1.33936532374902</v>
      </c>
      <c r="R109" s="8">
        <v>249.85134138775601</v>
      </c>
      <c r="S109" s="8">
        <v>244.573302991963</v>
      </c>
      <c r="T109" s="8">
        <v>246.94851954869699</v>
      </c>
      <c r="U109" s="9">
        <v>1.9077424483365499E-2</v>
      </c>
      <c r="V109" s="9">
        <v>-2.2736103450661099E-3</v>
      </c>
      <c r="W109" s="9">
        <v>7.3912099604191896E-3</v>
      </c>
      <c r="X109" s="10">
        <v>1.33009560748043</v>
      </c>
      <c r="Y109" s="10">
        <v>1.3555780340485399</v>
      </c>
      <c r="Z109" s="10">
        <v>1.3261652997712301</v>
      </c>
      <c r="AA109" s="10">
        <v>1.33852071008753</v>
      </c>
      <c r="AB109" s="8">
        <v>249.897421631763</v>
      </c>
      <c r="AC109" s="8">
        <v>244.646892476001</v>
      </c>
      <c r="AD109" s="8">
        <v>247.016771574188</v>
      </c>
      <c r="AE109" s="9">
        <v>1.8977131786655801E-2</v>
      </c>
      <c r="AF109" s="9">
        <v>-2.2574726635926101E-3</v>
      </c>
      <c r="AG109" s="9">
        <v>7.3828470318378601E-3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3.1097107673988413E-2</v>
      </c>
      <c r="BL109" s="9"/>
      <c r="BN109">
        <f t="shared" si="30"/>
        <v>1</v>
      </c>
      <c r="BO109">
        <f t="shared" si="31"/>
        <v>0</v>
      </c>
      <c r="BP109">
        <f t="shared" si="32"/>
        <v>1</v>
      </c>
      <c r="BQ109">
        <f t="shared" si="21"/>
        <v>1</v>
      </c>
      <c r="BR109">
        <f t="shared" si="33"/>
        <v>1</v>
      </c>
      <c r="BS109" s="9">
        <f t="shared" si="34"/>
        <v>-2.1291410083949299E-2</v>
      </c>
      <c r="BT109" s="9">
        <f t="shared" si="35"/>
        <v>1.5954941845630399E-2</v>
      </c>
      <c r="BU109" s="9">
        <f t="shared" si="36"/>
        <v>-5.3364682383188998E-3</v>
      </c>
      <c r="BV109" s="12">
        <f t="shared" si="37"/>
        <v>1.0520129555586438E-2</v>
      </c>
      <c r="BX109" s="12">
        <f t="shared" si="38"/>
        <v>-5.3364682383188998E-3</v>
      </c>
      <c r="BY109" s="12">
        <f t="shared" si="39"/>
        <v>4.1617237229574847E-2</v>
      </c>
    </row>
    <row r="110" spans="1:77" x14ac:dyDescent="0.3">
      <c r="A110" s="1">
        <v>46182</v>
      </c>
      <c r="B110" s="8">
        <v>180.77</v>
      </c>
      <c r="C110" s="8">
        <v>241.08</v>
      </c>
      <c r="D110" s="9">
        <v>-1.8688035306457799E-2</v>
      </c>
      <c r="E110" s="9">
        <v>-1.66598534498823E-2</v>
      </c>
      <c r="F110" s="8">
        <v>0</v>
      </c>
      <c r="G110" s="8">
        <v>0.16750000000000001</v>
      </c>
      <c r="H110" s="8">
        <v>0</v>
      </c>
      <c r="I110" s="8">
        <v>6.9800000000000001E-2</v>
      </c>
      <c r="J110" s="8">
        <v>0.16750000000000001</v>
      </c>
      <c r="K110" s="8">
        <v>6.9800000000000001E-2</v>
      </c>
      <c r="L110" s="8">
        <v>180.9375</v>
      </c>
      <c r="M110" s="8">
        <v>241.1498</v>
      </c>
      <c r="N110" s="10">
        <v>1.33362836753886</v>
      </c>
      <c r="O110" s="10">
        <v>1.35656065472774</v>
      </c>
      <c r="P110" s="10">
        <v>1.3266934765415801</v>
      </c>
      <c r="Q110" s="10">
        <v>1.3385742887866401</v>
      </c>
      <c r="R110" s="8">
        <v>245.225469555134</v>
      </c>
      <c r="S110" s="8">
        <v>239.876375541394</v>
      </c>
      <c r="T110" s="8">
        <v>242.11706957411201</v>
      </c>
      <c r="U110" s="9">
        <v>1.70492426267899E-2</v>
      </c>
      <c r="V110" s="9">
        <v>-5.0051398942739401E-3</v>
      </c>
      <c r="W110" s="9">
        <v>4.2925391390999301E-3</v>
      </c>
      <c r="X110" s="10">
        <v>1.3327795509499101</v>
      </c>
      <c r="Y110" s="10">
        <v>1.3555780340485399</v>
      </c>
      <c r="Z110" s="10">
        <v>1.32588697678789</v>
      </c>
      <c r="AA110" s="10">
        <v>1.33773110818291</v>
      </c>
      <c r="AB110" s="8">
        <v>245.27490053565799</v>
      </c>
      <c r="AC110" s="8">
        <v>239.95303392735701</v>
      </c>
      <c r="AD110" s="8">
        <v>242.18859098146299</v>
      </c>
      <c r="AE110" s="9">
        <v>1.6961307372327001E-2</v>
      </c>
      <c r="AF110" s="9">
        <v>-4.9751049328412896E-3</v>
      </c>
      <c r="AG110" s="9">
        <v>4.2984070798571996E-3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3.1097107673988413E-2</v>
      </c>
      <c r="BL110" s="9"/>
      <c r="BN110">
        <f t="shared" si="30"/>
        <v>1</v>
      </c>
      <c r="BO110">
        <f t="shared" si="31"/>
        <v>0</v>
      </c>
      <c r="BP110">
        <f t="shared" si="32"/>
        <v>1</v>
      </c>
      <c r="BQ110">
        <f t="shared" si="21"/>
        <v>1</v>
      </c>
      <c r="BR110">
        <f t="shared" si="33"/>
        <v>1</v>
      </c>
      <c r="BS110" s="9">
        <f t="shared" si="34"/>
        <v>1.8688035306457799E-2</v>
      </c>
      <c r="BT110" s="9">
        <f t="shared" si="35"/>
        <v>-1.66598534498823E-2</v>
      </c>
      <c r="BU110" s="9">
        <f t="shared" si="36"/>
        <v>2.0281818565754985E-3</v>
      </c>
      <c r="BV110" s="12">
        <f t="shared" si="37"/>
        <v>1.2548311412161936E-2</v>
      </c>
      <c r="BX110" s="12">
        <f t="shared" si="38"/>
        <v>2.0281818565754985E-3</v>
      </c>
      <c r="BY110" s="12">
        <f t="shared" si="39"/>
        <v>4.3645419086150342E-2</v>
      </c>
    </row>
    <row r="111" spans="1:77" x14ac:dyDescent="0.3">
      <c r="A111" s="1">
        <v>46183</v>
      </c>
      <c r="B111" s="8">
        <v>176.63</v>
      </c>
      <c r="C111" s="8">
        <v>235.4</v>
      </c>
      <c r="D111" s="9">
        <v>-2.3168355819410898E-2</v>
      </c>
      <c r="E111" s="9">
        <v>-2.3842633788667002E-2</v>
      </c>
      <c r="F111" s="8">
        <v>0</v>
      </c>
      <c r="G111" s="8">
        <v>0.16750000000000001</v>
      </c>
      <c r="H111" s="8">
        <v>0</v>
      </c>
      <c r="I111" s="8">
        <v>6.9800000000000001E-2</v>
      </c>
      <c r="J111" s="8">
        <v>0.16750000000000001</v>
      </c>
      <c r="K111" s="8">
        <v>6.9800000000000001E-2</v>
      </c>
      <c r="L111" s="8">
        <v>176.79749999999899</v>
      </c>
      <c r="M111" s="8">
        <v>235.46979999999999</v>
      </c>
      <c r="N111" s="10">
        <v>1.33272943441091</v>
      </c>
      <c r="O111" s="10">
        <v>1.35656065472774</v>
      </c>
      <c r="P111" s="10">
        <v>1.3264035506013301</v>
      </c>
      <c r="Q111" s="10">
        <v>1.3375537970368601</v>
      </c>
      <c r="R111" s="8">
        <v>239.60930844456101</v>
      </c>
      <c r="S111" s="8">
        <v>234.33386876153901</v>
      </c>
      <c r="T111" s="8">
        <v>236.43237662838399</v>
      </c>
      <c r="U111" s="9">
        <v>1.77235205960459E-2</v>
      </c>
      <c r="V111" s="9">
        <v>-4.5393067863455597E-3</v>
      </c>
      <c r="W111" s="9">
        <v>4.3760383008796897E-3</v>
      </c>
      <c r="X111" s="10">
        <v>1.33186159306551</v>
      </c>
      <c r="Y111" s="10">
        <v>1.3555780340485399</v>
      </c>
      <c r="Z111" s="10">
        <v>1.3255936469356</v>
      </c>
      <c r="AA111" s="10">
        <v>1.33671194497477</v>
      </c>
      <c r="AB111" s="8">
        <v>239.66280747469699</v>
      </c>
      <c r="AC111" s="8">
        <v>234.413502778657</v>
      </c>
      <c r="AD111" s="8">
        <v>236.50751559896901</v>
      </c>
      <c r="AE111" s="9">
        <v>1.7650299151033E-2</v>
      </c>
      <c r="AF111" s="9">
        <v>-4.4960056866614802E-3</v>
      </c>
      <c r="AG111" s="9">
        <v>4.3973184168520198E-3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3.1097107673988413E-2</v>
      </c>
      <c r="BL111" s="9"/>
      <c r="BN111">
        <f t="shared" si="30"/>
        <v>1</v>
      </c>
      <c r="BO111">
        <f t="shared" si="31"/>
        <v>0</v>
      </c>
      <c r="BP111">
        <f t="shared" si="32"/>
        <v>1</v>
      </c>
      <c r="BQ111">
        <f t="shared" si="21"/>
        <v>1</v>
      </c>
      <c r="BR111">
        <f t="shared" si="33"/>
        <v>1</v>
      </c>
      <c r="BS111" s="9">
        <f t="shared" si="34"/>
        <v>2.3168355819410898E-2</v>
      </c>
      <c r="BT111" s="9">
        <f t="shared" si="35"/>
        <v>-2.3842633788667002E-2</v>
      </c>
      <c r="BU111" s="9">
        <f t="shared" si="36"/>
        <v>-6.7427796925610337E-4</v>
      </c>
      <c r="BV111" s="12">
        <f t="shared" si="37"/>
        <v>1.1874033442905833E-2</v>
      </c>
      <c r="BX111" s="12">
        <f t="shared" si="38"/>
        <v>-6.7427796925610337E-4</v>
      </c>
      <c r="BY111" s="12">
        <f t="shared" si="39"/>
        <v>4.2971141116894235E-2</v>
      </c>
    </row>
    <row r="112" spans="1:77" x14ac:dyDescent="0.3">
      <c r="A112" s="1">
        <v>46184</v>
      </c>
      <c r="B112" s="8">
        <v>183.21</v>
      </c>
      <c r="C112" s="8">
        <v>243.35</v>
      </c>
      <c r="D112" s="9">
        <v>3.6575886735800998E-2</v>
      </c>
      <c r="E112" s="9">
        <v>3.3214541453286901E-2</v>
      </c>
      <c r="F112" s="8">
        <v>0</v>
      </c>
      <c r="G112" s="8">
        <v>0.16750000000000001</v>
      </c>
      <c r="H112" s="8">
        <v>0</v>
      </c>
      <c r="I112" s="8">
        <v>6.9800000000000001E-2</v>
      </c>
      <c r="J112" s="8">
        <v>0.16750000000000001</v>
      </c>
      <c r="K112" s="8">
        <v>6.9800000000000001E-2</v>
      </c>
      <c r="L112" s="8">
        <v>183.3775</v>
      </c>
      <c r="M112" s="8">
        <v>243.41979999999899</v>
      </c>
      <c r="N112" s="10">
        <v>1.3282571912013501</v>
      </c>
      <c r="O112" s="10">
        <v>1.35656065472774</v>
      </c>
      <c r="P112" s="10">
        <v>1.3256836448887199</v>
      </c>
      <c r="Q112" s="10">
        <v>1.3359259441287401</v>
      </c>
      <c r="R112" s="8">
        <v>248.53547755266999</v>
      </c>
      <c r="S112" s="8">
        <v>243.010394505671</v>
      </c>
      <c r="T112" s="8">
        <v>245.053231155124</v>
      </c>
      <c r="U112" s="9">
        <v>2.1084865878560202E-2</v>
      </c>
      <c r="V112" s="9">
        <v>-1.3965181102679599E-3</v>
      </c>
      <c r="W112" s="9">
        <v>6.97472068646864E-3</v>
      </c>
      <c r="X112" s="10">
        <v>1.3274245749887501</v>
      </c>
      <c r="Y112" s="10">
        <v>1.3555780340485399</v>
      </c>
      <c r="Z112" s="10">
        <v>1.32487276544213</v>
      </c>
      <c r="AA112" s="10">
        <v>1.3350871281354899</v>
      </c>
      <c r="AB112" s="8">
        <v>248.58251093873599</v>
      </c>
      <c r="AC112" s="8">
        <v>243.08404899093301</v>
      </c>
      <c r="AD112" s="8">
        <v>245.122894689611</v>
      </c>
      <c r="AE112" s="9">
        <v>2.0987301574811702E-2</v>
      </c>
      <c r="AF112" s="9">
        <v>-1.3802606621385999E-3</v>
      </c>
      <c r="AG112" s="9">
        <v>6.9721709371022098E-3</v>
      </c>
      <c r="AZ112" s="9"/>
      <c r="BB112">
        <f t="shared" si="22"/>
        <v>0</v>
      </c>
      <c r="BC112">
        <f t="shared" si="23"/>
        <v>1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3.1097107673988413E-2</v>
      </c>
      <c r="BL112" s="9"/>
      <c r="BN112">
        <f t="shared" si="30"/>
        <v>1</v>
      </c>
      <c r="BO112">
        <f t="shared" si="31"/>
        <v>0</v>
      </c>
      <c r="BP112">
        <f t="shared" si="32"/>
        <v>1</v>
      </c>
      <c r="BQ112">
        <f t="shared" si="21"/>
        <v>1</v>
      </c>
      <c r="BR112">
        <f t="shared" si="33"/>
        <v>1</v>
      </c>
      <c r="BS112" s="9">
        <f t="shared" si="34"/>
        <v>-3.6575886735800998E-2</v>
      </c>
      <c r="BT112" s="9">
        <f t="shared" si="35"/>
        <v>3.3214541453286901E-2</v>
      </c>
      <c r="BU112" s="9">
        <f t="shared" si="36"/>
        <v>-3.3613452825140971E-3</v>
      </c>
      <c r="BV112" s="12">
        <f t="shared" si="37"/>
        <v>8.5126881603917355E-3</v>
      </c>
      <c r="BX112" s="12">
        <f t="shared" si="38"/>
        <v>-3.3613452825140971E-3</v>
      </c>
      <c r="BY112" s="12">
        <f t="shared" si="39"/>
        <v>3.9609795834380138E-2</v>
      </c>
    </row>
    <row r="113" spans="1:77" x14ac:dyDescent="0.3">
      <c r="A113" s="1">
        <v>46185</v>
      </c>
      <c r="B113" s="8">
        <v>184.8</v>
      </c>
      <c r="C113" s="8">
        <v>244.83</v>
      </c>
      <c r="D113" s="9">
        <v>8.6411233044308092E-3</v>
      </c>
      <c r="E113" s="9">
        <v>6.0633558697978703E-3</v>
      </c>
      <c r="F113" s="8">
        <v>0</v>
      </c>
      <c r="G113" s="8">
        <v>0.16750000000000001</v>
      </c>
      <c r="H113" s="8">
        <v>0</v>
      </c>
      <c r="I113" s="8">
        <v>6.9800000000000001E-2</v>
      </c>
      <c r="J113" s="8">
        <v>0.16750000000000001</v>
      </c>
      <c r="K113" s="8">
        <v>6.9800000000000001E-2</v>
      </c>
      <c r="L113" s="8">
        <v>184.9675</v>
      </c>
      <c r="M113" s="8">
        <v>244.8998</v>
      </c>
      <c r="N113" s="10">
        <v>1.3248376623376601</v>
      </c>
      <c r="O113" s="10">
        <v>1.35656065472774</v>
      </c>
      <c r="P113" s="10">
        <v>1.3257624273511499</v>
      </c>
      <c r="Q113" s="10">
        <v>1.3344630918695799</v>
      </c>
      <c r="R113" s="8">
        <v>250.692408993687</v>
      </c>
      <c r="S113" s="8">
        <v>244.98633757543499</v>
      </c>
      <c r="T113" s="8">
        <v>246.87911447499101</v>
      </c>
      <c r="U113" s="9">
        <v>2.3662633313192901E-2</v>
      </c>
      <c r="V113" s="9">
        <v>6.38351842317945E-4</v>
      </c>
      <c r="W113" s="9">
        <v>8.3347095950599207E-3</v>
      </c>
      <c r="X113" s="10">
        <v>1.32401529998513</v>
      </c>
      <c r="Y113" s="10">
        <v>1.3555780340485399</v>
      </c>
      <c r="Z113" s="10">
        <v>1.3249488034498</v>
      </c>
      <c r="AA113" s="10">
        <v>1.33362685260154</v>
      </c>
      <c r="AB113" s="8">
        <v>250.73788001287301</v>
      </c>
      <c r="AC113" s="8">
        <v>245.058403241918</v>
      </c>
      <c r="AD113" s="8">
        <v>246.94772837340199</v>
      </c>
      <c r="AE113" s="9">
        <v>2.35589434322723E-2</v>
      </c>
      <c r="AF113" s="9">
        <v>6.4741541792215102E-4</v>
      </c>
      <c r="AG113" s="9">
        <v>8.3275409154916508E-3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0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3.1097107673988413E-2</v>
      </c>
      <c r="BL113" s="9"/>
      <c r="BN113">
        <f t="shared" si="30"/>
        <v>1</v>
      </c>
      <c r="BO113">
        <f t="shared" si="31"/>
        <v>0</v>
      </c>
      <c r="BP113">
        <f t="shared" si="32"/>
        <v>1</v>
      </c>
      <c r="BQ113">
        <f t="shared" si="21"/>
        <v>0</v>
      </c>
      <c r="BR113">
        <f t="shared" si="33"/>
        <v>1</v>
      </c>
      <c r="BS113" s="9">
        <f t="shared" si="34"/>
        <v>-8.6411233044308092E-3</v>
      </c>
      <c r="BT113" s="9">
        <f t="shared" si="35"/>
        <v>6.0633558697978703E-3</v>
      </c>
      <c r="BU113" s="9">
        <f t="shared" si="36"/>
        <v>-2.5777674346329389E-3</v>
      </c>
      <c r="BV113" s="12">
        <f t="shared" si="37"/>
        <v>5.9349207257587966E-3</v>
      </c>
      <c r="BX113" s="12">
        <f t="shared" si="38"/>
        <v>-2.5777674346329389E-3</v>
      </c>
      <c r="BY113" s="12">
        <f t="shared" si="39"/>
        <v>3.7032028399747202E-2</v>
      </c>
    </row>
    <row r="114" spans="1:77" x14ac:dyDescent="0.3">
      <c r="A114" s="1">
        <v>46188</v>
      </c>
      <c r="B114" s="8">
        <v>191.79</v>
      </c>
      <c r="C114" s="8">
        <v>253.97</v>
      </c>
      <c r="D114" s="9">
        <v>3.71268642391612E-2</v>
      </c>
      <c r="E114" s="9">
        <v>3.6652057657491702E-2</v>
      </c>
      <c r="F114" s="8">
        <v>0</v>
      </c>
      <c r="G114" s="8">
        <v>0.16750000000000001</v>
      </c>
      <c r="H114" s="8">
        <v>7.1800000000000003E-2</v>
      </c>
      <c r="I114" s="8">
        <v>0.1416</v>
      </c>
      <c r="J114" s="8">
        <v>0.16750000000000001</v>
      </c>
      <c r="K114" s="8">
        <v>0.1416</v>
      </c>
      <c r="L114" s="8">
        <v>191.95749999999899</v>
      </c>
      <c r="M114" s="8">
        <v>254.11160000000001</v>
      </c>
      <c r="N114" s="10">
        <v>1.3242087700088601</v>
      </c>
      <c r="O114" s="10">
        <v>1.35656065472774</v>
      </c>
      <c r="P114" s="10">
        <v>1.3264045957292301</v>
      </c>
      <c r="Q114" s="10">
        <v>1.3329326929707199</v>
      </c>
      <c r="R114" s="8">
        <v>260.17476797023397</v>
      </c>
      <c r="S114" s="8">
        <v>254.26797594167701</v>
      </c>
      <c r="T114" s="8">
        <v>255.93667638966701</v>
      </c>
      <c r="U114" s="9">
        <v>2.4137439894862299E-2</v>
      </c>
      <c r="V114" s="9">
        <v>1.1725844581666599E-3</v>
      </c>
      <c r="W114" s="9">
        <v>7.7139062219473697E-3</v>
      </c>
      <c r="X114" s="10">
        <v>1.3237909433077599</v>
      </c>
      <c r="Y114" s="10">
        <v>1.3555780340485399</v>
      </c>
      <c r="Z114" s="10">
        <v>1.3256262224159601</v>
      </c>
      <c r="AA114" s="10">
        <v>1.3321200939189199</v>
      </c>
      <c r="AB114" s="8">
        <v>260.21337047087297</v>
      </c>
      <c r="AC114" s="8">
        <v>254.333859938215</v>
      </c>
      <c r="AD114" s="8">
        <v>255.999676558261</v>
      </c>
      <c r="AE114" s="9">
        <v>2.3728409516487602E-2</v>
      </c>
      <c r="AF114" s="9">
        <v>8.7427254203257404E-4</v>
      </c>
      <c r="AG114" s="9">
        <v>7.4026404319657698E-3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3.1097107673988413E-2</v>
      </c>
      <c r="BL114" s="9"/>
      <c r="BN114">
        <f t="shared" si="30"/>
        <v>1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5.9349207257587966E-3</v>
      </c>
      <c r="BX114" s="12">
        <f t="shared" si="38"/>
        <v>0</v>
      </c>
      <c r="BY114" s="12">
        <f t="shared" si="39"/>
        <v>3.7032028399747202E-2</v>
      </c>
    </row>
    <row r="115" spans="1:77" x14ac:dyDescent="0.3">
      <c r="A115" s="1">
        <v>46189</v>
      </c>
      <c r="B115" s="8">
        <v>186.44</v>
      </c>
      <c r="C115" s="8">
        <v>248.07</v>
      </c>
      <c r="D115" s="9">
        <v>-2.8291551942204899E-2</v>
      </c>
      <c r="E115" s="9">
        <v>-2.3505185404567801E-2</v>
      </c>
      <c r="F115" s="8">
        <v>0</v>
      </c>
      <c r="G115" s="8">
        <v>0.16750000000000001</v>
      </c>
      <c r="H115" s="8">
        <v>0</v>
      </c>
      <c r="I115" s="8">
        <v>0.1416</v>
      </c>
      <c r="J115" s="8">
        <v>0.16750000000000001</v>
      </c>
      <c r="K115" s="8">
        <v>0.1416</v>
      </c>
      <c r="L115" s="8">
        <v>186.60749999999999</v>
      </c>
      <c r="M115" s="8">
        <v>248.2116</v>
      </c>
      <c r="N115" s="10">
        <v>1.3305621111349399</v>
      </c>
      <c r="O115" s="10">
        <v>1.35656065472774</v>
      </c>
      <c r="P115" s="10">
        <v>1.3283170704015801</v>
      </c>
      <c r="Q115" s="10">
        <v>1.33167288845635</v>
      </c>
      <c r="R115" s="8">
        <v>252.917168467441</v>
      </c>
      <c r="S115" s="8">
        <v>247.29487282775801</v>
      </c>
      <c r="T115" s="8">
        <v>248.51197127746201</v>
      </c>
      <c r="U115" s="9">
        <v>1.9351073357225398E-2</v>
      </c>
      <c r="V115" s="9">
        <v>-3.1295226907939698E-3</v>
      </c>
      <c r="W115" s="9">
        <v>1.7800541289404899E-3</v>
      </c>
      <c r="X115" s="10">
        <v>1.3301266026285099</v>
      </c>
      <c r="Y115" s="10">
        <v>1.3555780340485399</v>
      </c>
      <c r="Z115" s="10">
        <v>1.32757069198178</v>
      </c>
      <c r="AA115" s="10">
        <v>1.33088357550212</v>
      </c>
      <c r="AB115" s="8">
        <v>252.961027988713</v>
      </c>
      <c r="AC115" s="8">
        <v>247.37179529948699</v>
      </c>
      <c r="AD115" s="8">
        <v>248.58360042597499</v>
      </c>
      <c r="AE115" s="9">
        <v>1.8953829110693099E-2</v>
      </c>
      <c r="AF115" s="9">
        <v>-3.38915917013669E-3</v>
      </c>
      <c r="AG115" s="9">
        <v>1.4976010041312601E-3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3.1097107673988413E-2</v>
      </c>
      <c r="BL115" s="9"/>
      <c r="BN115">
        <f t="shared" si="30"/>
        <v>0</v>
      </c>
      <c r="BO115">
        <f t="shared" si="31"/>
        <v>0</v>
      </c>
      <c r="BP115">
        <f t="shared" si="32"/>
        <v>1</v>
      </c>
      <c r="BQ115">
        <f t="shared" si="21"/>
        <v>1</v>
      </c>
      <c r="BR115">
        <f t="shared" si="33"/>
        <v>1</v>
      </c>
      <c r="BS115" s="9">
        <f t="shared" si="34"/>
        <v>2.8291551942204899E-2</v>
      </c>
      <c r="BT115" s="9">
        <f t="shared" si="35"/>
        <v>-2.3505185404567801E-2</v>
      </c>
      <c r="BU115" s="9">
        <f t="shared" si="36"/>
        <v>4.7863665376370983E-3</v>
      </c>
      <c r="BV115" s="12">
        <f t="shared" si="37"/>
        <v>1.0721287263395895E-2</v>
      </c>
      <c r="BX115" s="12">
        <f t="shared" si="38"/>
        <v>4.7863665376370983E-3</v>
      </c>
      <c r="BY115" s="12">
        <f t="shared" si="39"/>
        <v>4.1818394937384304E-2</v>
      </c>
    </row>
    <row r="116" spans="1:77" x14ac:dyDescent="0.3">
      <c r="A116" s="1">
        <v>46190</v>
      </c>
      <c r="B116" s="8">
        <v>185.8</v>
      </c>
      <c r="C116" s="8">
        <v>246.39</v>
      </c>
      <c r="D116" s="9">
        <v>-3.4386451248020001E-3</v>
      </c>
      <c r="E116" s="9">
        <v>-6.7953179819744396E-3</v>
      </c>
      <c r="F116" s="8">
        <v>0</v>
      </c>
      <c r="G116" s="8">
        <v>0.16750000000000001</v>
      </c>
      <c r="H116" s="8">
        <v>0</v>
      </c>
      <c r="I116" s="8">
        <v>0.1416</v>
      </c>
      <c r="J116" s="8">
        <v>0.16750000000000001</v>
      </c>
      <c r="K116" s="8">
        <v>0.1416</v>
      </c>
      <c r="L116" s="8">
        <v>185.9675</v>
      </c>
      <c r="M116" s="8">
        <v>246.5316</v>
      </c>
      <c r="N116" s="10">
        <v>1.3261033369214199</v>
      </c>
      <c r="O116" s="10">
        <v>1.35656065472774</v>
      </c>
      <c r="P116" s="10">
        <v>1.32967326354436</v>
      </c>
      <c r="Q116" s="10">
        <v>1.3302800640763801</v>
      </c>
      <c r="R116" s="8">
        <v>252.04896964841501</v>
      </c>
      <c r="S116" s="8">
        <v>246.80131168061399</v>
      </c>
      <c r="T116" s="8">
        <v>247.424822675191</v>
      </c>
      <c r="U116" s="9">
        <v>2.2707746214398E-2</v>
      </c>
      <c r="V116" s="9">
        <v>1.6679603481718299E-3</v>
      </c>
      <c r="W116" s="9">
        <v>4.1911426812385596E-3</v>
      </c>
      <c r="X116" s="10">
        <v>1.3256703456248999</v>
      </c>
      <c r="Y116" s="10">
        <v>1.3555780340485399</v>
      </c>
      <c r="Z116" s="10">
        <v>1.3289599875200999</v>
      </c>
      <c r="AA116" s="10">
        <v>1.3295143672668801</v>
      </c>
      <c r="AB116" s="8">
        <v>252.093458046922</v>
      </c>
      <c r="AC116" s="8">
        <v>246.885002661123</v>
      </c>
      <c r="AD116" s="8">
        <v>247.50109132719101</v>
      </c>
      <c r="AE116" s="9">
        <v>2.2309704030794301E-2</v>
      </c>
      <c r="AF116" s="9">
        <v>1.4324719502684701E-3</v>
      </c>
      <c r="AG116" s="9">
        <v>3.9248114091491298E-3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3.1097107673988413E-2</v>
      </c>
      <c r="BL116" s="9"/>
      <c r="BN116">
        <f t="shared" si="30"/>
        <v>1</v>
      </c>
      <c r="BO116">
        <f t="shared" si="31"/>
        <v>0</v>
      </c>
      <c r="BP116">
        <f t="shared" si="32"/>
        <v>1</v>
      </c>
      <c r="BQ116">
        <f t="shared" si="21"/>
        <v>1</v>
      </c>
      <c r="BR116">
        <f t="shared" si="33"/>
        <v>1</v>
      </c>
      <c r="BS116" s="9">
        <f t="shared" si="34"/>
        <v>3.4386451248020001E-3</v>
      </c>
      <c r="BT116" s="9">
        <f t="shared" si="35"/>
        <v>-6.7953179819744396E-3</v>
      </c>
      <c r="BU116" s="9">
        <f t="shared" si="36"/>
        <v>-3.3566728571724396E-3</v>
      </c>
      <c r="BV116" s="12">
        <f t="shared" si="37"/>
        <v>7.3646144062234553E-3</v>
      </c>
      <c r="BX116" s="12">
        <f t="shared" si="38"/>
        <v>-3.3566728571724396E-3</v>
      </c>
      <c r="BY116" s="12">
        <f t="shared" si="39"/>
        <v>3.8461722080211862E-2</v>
      </c>
    </row>
    <row r="117" spans="1:77" x14ac:dyDescent="0.3">
      <c r="A117" s="1">
        <v>46191</v>
      </c>
      <c r="B117" s="8">
        <v>191.44</v>
      </c>
      <c r="C117" s="8">
        <v>253.57</v>
      </c>
      <c r="D117" s="9">
        <v>2.9903617220379701E-2</v>
      </c>
      <c r="E117" s="9">
        <v>2.8724272615305399E-2</v>
      </c>
      <c r="F117" s="8">
        <v>0</v>
      </c>
      <c r="G117" s="8">
        <v>0.16750000000000001</v>
      </c>
      <c r="H117" s="8">
        <v>0</v>
      </c>
      <c r="I117" s="8">
        <v>0.1416</v>
      </c>
      <c r="J117" s="8">
        <v>0.16750000000000001</v>
      </c>
      <c r="K117" s="8">
        <v>0.1416</v>
      </c>
      <c r="L117" s="8">
        <v>191.60749999999999</v>
      </c>
      <c r="M117" s="8">
        <v>253.7116</v>
      </c>
      <c r="N117" s="10">
        <v>1.3245403259506801</v>
      </c>
      <c r="O117" s="10">
        <v>1.35656065472774</v>
      </c>
      <c r="P117" s="10">
        <v>1.32938411655668</v>
      </c>
      <c r="Q117" s="10">
        <v>1.3289531682140401</v>
      </c>
      <c r="R117" s="8">
        <v>259.69997174107903</v>
      </c>
      <c r="S117" s="8">
        <v>254.552649572934</v>
      </c>
      <c r="T117" s="8">
        <v>254.668815466783</v>
      </c>
      <c r="U117" s="9">
        <v>2.3887090819472202E-2</v>
      </c>
      <c r="V117" s="9">
        <v>3.8677701093117801E-3</v>
      </c>
      <c r="W117" s="9">
        <v>4.3240191240902798E-3</v>
      </c>
      <c r="X117" s="10">
        <v>1.3241214461855599</v>
      </c>
      <c r="Y117" s="10">
        <v>1.3555780340485399</v>
      </c>
      <c r="Z117" s="10">
        <v>1.3287078533515599</v>
      </c>
      <c r="AA117" s="10">
        <v>1.3282106613659901</v>
      </c>
      <c r="AB117" s="8">
        <v>259.73891815895598</v>
      </c>
      <c r="AC117" s="8">
        <v>254.63870080875799</v>
      </c>
      <c r="AD117" s="8">
        <v>254.74492412608899</v>
      </c>
      <c r="AE117" s="9">
        <v>2.3478776725896999E-2</v>
      </c>
      <c r="AF117" s="9">
        <v>3.6474920350970698E-3</v>
      </c>
      <c r="AG117" s="9">
        <v>4.0645581270214604E-3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0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3.1097107673988413E-2</v>
      </c>
      <c r="BL117" s="9"/>
      <c r="BN117">
        <f t="shared" si="30"/>
        <v>1</v>
      </c>
      <c r="BO117">
        <f t="shared" si="31"/>
        <v>0</v>
      </c>
      <c r="BP117">
        <f t="shared" si="32"/>
        <v>1</v>
      </c>
      <c r="BQ117">
        <f t="shared" si="21"/>
        <v>0</v>
      </c>
      <c r="BR117">
        <f t="shared" si="33"/>
        <v>1</v>
      </c>
      <c r="BS117" s="9">
        <f t="shared" si="34"/>
        <v>-2.9903617220379701E-2</v>
      </c>
      <c r="BT117" s="9">
        <f t="shared" si="35"/>
        <v>2.8724272615305399E-2</v>
      </c>
      <c r="BU117" s="9">
        <f t="shared" si="36"/>
        <v>-1.179344605074302E-3</v>
      </c>
      <c r="BV117" s="12">
        <f t="shared" si="37"/>
        <v>6.1852698011491533E-3</v>
      </c>
      <c r="BX117" s="12">
        <f t="shared" si="38"/>
        <v>-1.179344605074302E-3</v>
      </c>
      <c r="BY117" s="12">
        <f t="shared" si="39"/>
        <v>3.728237747513756E-2</v>
      </c>
    </row>
    <row r="118" spans="1:77" x14ac:dyDescent="0.3">
      <c r="A118" s="1">
        <v>46195</v>
      </c>
      <c r="B118" s="8">
        <v>192.15</v>
      </c>
      <c r="C118" s="8">
        <v>253.28</v>
      </c>
      <c r="D118" s="9">
        <v>3.7018734107351898E-3</v>
      </c>
      <c r="E118" s="9">
        <v>-1.1443229028140201E-3</v>
      </c>
      <c r="F118" s="8">
        <v>0.22789999999999999</v>
      </c>
      <c r="G118" s="8">
        <v>0.39539999999999997</v>
      </c>
      <c r="H118" s="8">
        <v>0</v>
      </c>
      <c r="I118" s="8">
        <v>0.1416</v>
      </c>
      <c r="J118" s="8">
        <v>0.39539999999999997</v>
      </c>
      <c r="K118" s="8">
        <v>0.1416</v>
      </c>
      <c r="L118" s="8">
        <v>192.5454</v>
      </c>
      <c r="M118" s="8">
        <v>253.42160000000001</v>
      </c>
      <c r="N118" s="10">
        <v>1.31813687223523</v>
      </c>
      <c r="O118" s="10">
        <v>1.35656065472774</v>
      </c>
      <c r="P118" s="10">
        <v>1.32739303395214</v>
      </c>
      <c r="Q118" s="10">
        <v>1.32764836568918</v>
      </c>
      <c r="R118" s="8">
        <v>260.66312980593602</v>
      </c>
      <c r="S118" s="8">
        <v>255.441157996367</v>
      </c>
      <c r="T118" s="8">
        <v>255.35835127232801</v>
      </c>
      <c r="U118" s="9">
        <v>2.8733287133021201E-2</v>
      </c>
      <c r="V118" s="9">
        <v>8.4964856035410607E-3</v>
      </c>
      <c r="W118" s="9">
        <v>8.1722616242246304E-3</v>
      </c>
      <c r="X118" s="10">
        <v>1.3161654342300499</v>
      </c>
      <c r="Y118" s="10">
        <v>1.3555780340485399</v>
      </c>
      <c r="Z118" s="10">
        <v>1.3266051398446499</v>
      </c>
      <c r="AA118" s="10">
        <v>1.3268507397537599</v>
      </c>
      <c r="AB118" s="8">
        <v>261.01031479709002</v>
      </c>
      <c r="AC118" s="8">
        <v>255.83658510671799</v>
      </c>
      <c r="AD118" s="8">
        <v>255.74085307697899</v>
      </c>
      <c r="AE118" s="9">
        <v>2.9505421856772601E-2</v>
      </c>
      <c r="AF118" s="9">
        <v>9.4843962469475102E-3</v>
      </c>
      <c r="AG118" s="9">
        <v>9.1101341168715703E-3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3.1097107673988413E-2</v>
      </c>
      <c r="BL118" s="9"/>
      <c r="BN118">
        <f t="shared" si="30"/>
        <v>1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6.1852698011491533E-3</v>
      </c>
      <c r="BX118" s="12">
        <f t="shared" si="38"/>
        <v>0</v>
      </c>
      <c r="BY118" s="12">
        <f t="shared" si="39"/>
        <v>3.728237747513756E-2</v>
      </c>
    </row>
    <row r="119" spans="1:77" x14ac:dyDescent="0.3">
      <c r="A119" s="1">
        <v>46196</v>
      </c>
      <c r="B119" s="8">
        <v>184.19</v>
      </c>
      <c r="C119" s="8">
        <v>243.37</v>
      </c>
      <c r="D119" s="9">
        <v>-4.2308483479841397E-2</v>
      </c>
      <c r="E119" s="9">
        <v>-3.99126770787019E-2</v>
      </c>
      <c r="F119" s="8">
        <v>0</v>
      </c>
      <c r="G119" s="8">
        <v>0.39539999999999997</v>
      </c>
      <c r="H119" s="8">
        <v>0</v>
      </c>
      <c r="I119" s="8">
        <v>0.1416</v>
      </c>
      <c r="J119" s="8">
        <v>0.39539999999999997</v>
      </c>
      <c r="K119" s="8">
        <v>0.1416</v>
      </c>
      <c r="L119" s="8">
        <v>184.58539999999999</v>
      </c>
      <c r="M119" s="8">
        <v>243.51159999999999</v>
      </c>
      <c r="N119" s="10">
        <v>1.3212986589934299</v>
      </c>
      <c r="O119" s="10">
        <v>1.35656065472774</v>
      </c>
      <c r="P119" s="10">
        <v>1.3264302730733299</v>
      </c>
      <c r="Q119" s="10">
        <v>1.32670016043829</v>
      </c>
      <c r="R119" s="8">
        <v>249.864906994303</v>
      </c>
      <c r="S119" s="8">
        <v>244.492522923645</v>
      </c>
      <c r="T119" s="8">
        <v>244.53955247629099</v>
      </c>
      <c r="U119" s="9">
        <v>2.6337480731881802E-2</v>
      </c>
      <c r="V119" s="9">
        <v>4.6018083039328604E-3</v>
      </c>
      <c r="W119" s="9">
        <v>4.7941455969515304E-3</v>
      </c>
      <c r="X119" s="10">
        <v>1.3192354324881601</v>
      </c>
      <c r="Y119" s="10">
        <v>1.3555780340485399</v>
      </c>
      <c r="Z119" s="10">
        <v>1.3255191223454199</v>
      </c>
      <c r="AA119" s="10">
        <v>1.3258422110583299</v>
      </c>
      <c r="AB119" s="8">
        <v>250.21991364606299</v>
      </c>
      <c r="AC119" s="8">
        <v>244.87194038028099</v>
      </c>
      <c r="AD119" s="8">
        <v>244.91727453774399</v>
      </c>
      <c r="AE119" s="9">
        <v>2.71756057854897E-2</v>
      </c>
      <c r="AF119" s="9">
        <v>5.5708015764341402E-3</v>
      </c>
      <c r="AG119" s="9">
        <v>5.7559185868201199E-3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1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3.1097107673988413E-2</v>
      </c>
      <c r="BL119" s="9"/>
      <c r="BN119">
        <f t="shared" si="30"/>
        <v>1</v>
      </c>
      <c r="BO119">
        <f t="shared" si="31"/>
        <v>0</v>
      </c>
      <c r="BP119">
        <f t="shared" si="32"/>
        <v>1</v>
      </c>
      <c r="BQ119">
        <f t="shared" si="21"/>
        <v>1</v>
      </c>
      <c r="BR119">
        <f t="shared" si="33"/>
        <v>1</v>
      </c>
      <c r="BS119" s="9">
        <f t="shared" si="34"/>
        <v>4.2308483479841397E-2</v>
      </c>
      <c r="BT119" s="9">
        <f t="shared" si="35"/>
        <v>-3.99126770787019E-2</v>
      </c>
      <c r="BU119" s="9">
        <f t="shared" si="36"/>
        <v>2.3958064011394969E-3</v>
      </c>
      <c r="BV119" s="12">
        <f t="shared" si="37"/>
        <v>8.5810762022886511E-3</v>
      </c>
      <c r="BX119" s="12">
        <f t="shared" si="38"/>
        <v>2.3958064011394969E-3</v>
      </c>
      <c r="BY119" s="12">
        <f t="shared" si="39"/>
        <v>3.9678183876277057E-2</v>
      </c>
    </row>
    <row r="120" spans="1:77" x14ac:dyDescent="0.3">
      <c r="A120" s="1">
        <v>46197</v>
      </c>
      <c r="B120" s="8">
        <v>183.05</v>
      </c>
      <c r="C120" s="8">
        <v>242.19</v>
      </c>
      <c r="D120" s="9">
        <v>-6.2084939647662103E-3</v>
      </c>
      <c r="E120" s="9">
        <v>-4.8603769789662002E-3</v>
      </c>
      <c r="F120" s="8">
        <v>0</v>
      </c>
      <c r="G120" s="8">
        <v>0.39539999999999997</v>
      </c>
      <c r="H120" s="8">
        <v>0</v>
      </c>
      <c r="I120" s="8">
        <v>0.1416</v>
      </c>
      <c r="J120" s="8">
        <v>0.39539999999999997</v>
      </c>
      <c r="K120" s="8">
        <v>0.1416</v>
      </c>
      <c r="L120" s="8">
        <v>183.44540000000001</v>
      </c>
      <c r="M120" s="8">
        <v>242.33160000000001</v>
      </c>
      <c r="N120" s="10">
        <v>1.3230811253755801</v>
      </c>
      <c r="O120" s="10">
        <v>1.35656065472774</v>
      </c>
      <c r="P120" s="10">
        <v>1.32537554885701</v>
      </c>
      <c r="Q120" s="10">
        <v>1.3260345126992901</v>
      </c>
      <c r="R120" s="8">
        <v>248.31842784791399</v>
      </c>
      <c r="S120" s="8">
        <v>242.803061486074</v>
      </c>
      <c r="T120" s="8">
        <v>242.85246436822999</v>
      </c>
      <c r="U120" s="9">
        <v>2.49893637460817E-2</v>
      </c>
      <c r="V120" s="9">
        <v>2.5281261167895402E-3</v>
      </c>
      <c r="W120" s="9">
        <v>2.7315743622884602E-3</v>
      </c>
      <c r="X120" s="10">
        <v>1.3210012352449201</v>
      </c>
      <c r="Y120" s="10">
        <v>1.3555780340485399</v>
      </c>
      <c r="Z120" s="10">
        <v>1.3243412907749199</v>
      </c>
      <c r="AA120" s="10">
        <v>1.3251141337814101</v>
      </c>
      <c r="AB120" s="8">
        <v>248.67455468724799</v>
      </c>
      <c r="AC120" s="8">
        <v>243.160385606305</v>
      </c>
      <c r="AD120" s="8">
        <v>243.21965474447899</v>
      </c>
      <c r="AE120" s="9">
        <v>2.5837996137362401E-2</v>
      </c>
      <c r="AF120" s="9">
        <v>3.41421253476018E-3</v>
      </c>
      <c r="AG120" s="9">
        <v>3.6579278748246802E-3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3.1097107673988413E-2</v>
      </c>
      <c r="BL120" s="9"/>
      <c r="BN120">
        <f t="shared" si="30"/>
        <v>1</v>
      </c>
      <c r="BO120">
        <f t="shared" si="31"/>
        <v>0</v>
      </c>
      <c r="BP120">
        <f t="shared" si="32"/>
        <v>1</v>
      </c>
      <c r="BQ120">
        <f t="shared" si="21"/>
        <v>1</v>
      </c>
      <c r="BR120">
        <f t="shared" si="33"/>
        <v>1</v>
      </c>
      <c r="BS120" s="9">
        <f t="shared" si="34"/>
        <v>6.2084939647662103E-3</v>
      </c>
      <c r="BT120" s="9">
        <f t="shared" si="35"/>
        <v>-4.8603769789662002E-3</v>
      </c>
      <c r="BU120" s="9">
        <f t="shared" si="36"/>
        <v>1.3481169858000101E-3</v>
      </c>
      <c r="BV120" s="12">
        <f t="shared" si="37"/>
        <v>9.9291931880886621E-3</v>
      </c>
      <c r="BX120" s="12">
        <f t="shared" si="38"/>
        <v>1.3481169858000101E-3</v>
      </c>
      <c r="BY120" s="12">
        <f t="shared" si="39"/>
        <v>4.1026300862077064E-2</v>
      </c>
    </row>
    <row r="121" spans="1:77" x14ac:dyDescent="0.3">
      <c r="A121" s="1">
        <v>46198</v>
      </c>
      <c r="B121" s="8">
        <v>184.57</v>
      </c>
      <c r="C121" s="8">
        <v>243.99</v>
      </c>
      <c r="D121" s="9">
        <v>8.2694557529545704E-3</v>
      </c>
      <c r="E121" s="9">
        <v>7.40469877175983E-3</v>
      </c>
      <c r="F121" s="8">
        <v>0</v>
      </c>
      <c r="G121" s="8">
        <v>0.39539999999999997</v>
      </c>
      <c r="H121" s="8">
        <v>0</v>
      </c>
      <c r="I121" s="8">
        <v>0.1416</v>
      </c>
      <c r="J121" s="8">
        <v>0.39539999999999997</v>
      </c>
      <c r="K121" s="8">
        <v>0.1416</v>
      </c>
      <c r="L121" s="8">
        <v>184.96539999999999</v>
      </c>
      <c r="M121" s="8">
        <v>244.13159999999999</v>
      </c>
      <c r="N121" s="10">
        <v>1.3219374762962499</v>
      </c>
      <c r="O121" s="10">
        <v>1.35656065472774</v>
      </c>
      <c r="P121" s="10">
        <v>1.3242963530455401</v>
      </c>
      <c r="Q121" s="10">
        <v>1.32534995182344</v>
      </c>
      <c r="R121" s="8">
        <v>250.3804000431</v>
      </c>
      <c r="S121" s="8">
        <v>244.624565052538</v>
      </c>
      <c r="T121" s="8">
        <v>244.746190008909</v>
      </c>
      <c r="U121" s="9">
        <v>2.58541207272764E-2</v>
      </c>
      <c r="V121" s="9">
        <v>2.59740685064918E-3</v>
      </c>
      <c r="W121" s="9">
        <v>3.0944735740573298E-3</v>
      </c>
      <c r="X121" s="10">
        <v>1.31987712296461</v>
      </c>
      <c r="Y121" s="10">
        <v>1.3555780340485399</v>
      </c>
      <c r="Z121" s="10">
        <v>1.32314284376483</v>
      </c>
      <c r="AA121" s="10">
        <v>1.3243682453502199</v>
      </c>
      <c r="AB121" s="8">
        <v>250.735033299002</v>
      </c>
      <c r="AC121" s="8">
        <v>244.957316584701</v>
      </c>
      <c r="AD121" s="8">
        <v>245.10026580053199</v>
      </c>
      <c r="AE121" s="9">
        <v>2.66893131582355E-2</v>
      </c>
      <c r="AF121" s="9">
        <v>3.3765531837197799E-3</v>
      </c>
      <c r="AG121" s="9">
        <v>3.9599508293192299E-3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3.1097107673988413E-2</v>
      </c>
      <c r="BL121" s="9"/>
      <c r="BN121">
        <f t="shared" si="30"/>
        <v>1</v>
      </c>
      <c r="BO121">
        <f t="shared" si="31"/>
        <v>0</v>
      </c>
      <c r="BP121">
        <f t="shared" si="32"/>
        <v>1</v>
      </c>
      <c r="BQ121">
        <f t="shared" si="21"/>
        <v>1</v>
      </c>
      <c r="BR121">
        <f t="shared" si="33"/>
        <v>1</v>
      </c>
      <c r="BS121" s="9">
        <f t="shared" si="34"/>
        <v>-8.2694557529545704E-3</v>
      </c>
      <c r="BT121" s="9">
        <f t="shared" si="35"/>
        <v>7.40469877175983E-3</v>
      </c>
      <c r="BU121" s="9">
        <f t="shared" si="36"/>
        <v>-8.6475698119474042E-4</v>
      </c>
      <c r="BV121" s="12">
        <f t="shared" si="37"/>
        <v>9.0644362068939208E-3</v>
      </c>
      <c r="BX121" s="12">
        <f t="shared" si="38"/>
        <v>-8.6475698119474042E-4</v>
      </c>
      <c r="BY121" s="12">
        <f t="shared" si="39"/>
        <v>4.0161543880882326E-2</v>
      </c>
    </row>
    <row r="122" spans="1:77" x14ac:dyDescent="0.3">
      <c r="A122" s="1">
        <v>46199</v>
      </c>
      <c r="B122" s="8">
        <v>181.11</v>
      </c>
      <c r="C122" s="8">
        <v>239.66</v>
      </c>
      <c r="D122" s="9">
        <v>-1.8924213842755298E-2</v>
      </c>
      <c r="E122" s="9">
        <v>-1.79059885924229E-2</v>
      </c>
      <c r="F122" s="8">
        <v>0</v>
      </c>
      <c r="G122" s="8">
        <v>0.39539999999999997</v>
      </c>
      <c r="H122" s="8">
        <v>0</v>
      </c>
      <c r="I122" s="8">
        <v>0.1416</v>
      </c>
      <c r="J122" s="8">
        <v>0.39539999999999997</v>
      </c>
      <c r="K122" s="8">
        <v>0.1416</v>
      </c>
      <c r="L122" s="8">
        <v>181.50540000000001</v>
      </c>
      <c r="M122" s="8">
        <v>239.80160000000001</v>
      </c>
      <c r="N122" s="10">
        <v>1.32328419192755</v>
      </c>
      <c r="O122" s="10">
        <v>1.35656065472774</v>
      </c>
      <c r="P122" s="10">
        <v>1.32379905311816</v>
      </c>
      <c r="Q122" s="10">
        <v>1.3247413490034401</v>
      </c>
      <c r="R122" s="8">
        <v>245.68670017774201</v>
      </c>
      <c r="S122" s="8">
        <v>239.84331250007801</v>
      </c>
      <c r="T122" s="8">
        <v>240.03412977474301</v>
      </c>
      <c r="U122" s="9">
        <v>2.48358954769442E-2</v>
      </c>
      <c r="V122" s="9">
        <v>7.64593295729879E-4</v>
      </c>
      <c r="W122" s="9">
        <v>1.55986837187212E-3</v>
      </c>
      <c r="X122" s="10">
        <v>1.3211816287559399</v>
      </c>
      <c r="Y122" s="10">
        <v>1.3555780340485399</v>
      </c>
      <c r="Z122" s="10">
        <v>1.3225185491415501</v>
      </c>
      <c r="AA122" s="10">
        <v>1.3236956572918399</v>
      </c>
      <c r="AB122" s="8">
        <v>246.04473330119399</v>
      </c>
      <c r="AC122" s="8">
        <v>240.157571114674</v>
      </c>
      <c r="AD122" s="8">
        <v>240.379988119589</v>
      </c>
      <c r="AE122" s="9">
        <v>2.5701447290756501E-2</v>
      </c>
      <c r="AF122" s="9">
        <v>1.4833394228853799E-3</v>
      </c>
      <c r="AG122" s="9">
        <v>2.4090403031761698E-3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3.1097107673988413E-2</v>
      </c>
      <c r="BL122" s="9"/>
      <c r="BN122">
        <f t="shared" si="30"/>
        <v>1</v>
      </c>
      <c r="BO122">
        <f t="shared" si="31"/>
        <v>0</v>
      </c>
      <c r="BP122">
        <f t="shared" si="32"/>
        <v>1</v>
      </c>
      <c r="BQ122">
        <f t="shared" si="21"/>
        <v>1</v>
      </c>
      <c r="BR122">
        <f t="shared" si="33"/>
        <v>1</v>
      </c>
      <c r="BS122" s="9">
        <f t="shared" si="34"/>
        <v>1.8924213842755298E-2</v>
      </c>
      <c r="BT122" s="9">
        <f t="shared" si="35"/>
        <v>-1.79059885924229E-2</v>
      </c>
      <c r="BU122" s="9">
        <f t="shared" si="36"/>
        <v>1.0182252503323982E-3</v>
      </c>
      <c r="BV122" s="12">
        <f t="shared" si="37"/>
        <v>1.0082661457226319E-2</v>
      </c>
      <c r="BX122" s="12">
        <f t="shared" si="38"/>
        <v>1.0182252503323982E-3</v>
      </c>
      <c r="BY122" s="12">
        <f t="shared" si="39"/>
        <v>4.1179769131214725E-2</v>
      </c>
    </row>
    <row r="123" spans="1:77" x14ac:dyDescent="0.3">
      <c r="A123" s="1">
        <v>46202</v>
      </c>
      <c r="B123" s="8">
        <v>185.41</v>
      </c>
      <c r="C123" s="8">
        <v>246.21</v>
      </c>
      <c r="D123" s="9">
        <v>2.3465007633317402E-2</v>
      </c>
      <c r="E123" s="9">
        <v>2.6963578055359299E-2</v>
      </c>
      <c r="F123" s="8">
        <v>0</v>
      </c>
      <c r="G123" s="8">
        <v>0.39539999999999997</v>
      </c>
      <c r="H123" s="8">
        <v>0</v>
      </c>
      <c r="I123" s="8">
        <v>0.1416</v>
      </c>
      <c r="J123" s="8">
        <v>0.39539999999999997</v>
      </c>
      <c r="K123" s="8">
        <v>0.1416</v>
      </c>
      <c r="L123" s="8">
        <v>185.80539999999999</v>
      </c>
      <c r="M123" s="8">
        <v>246.35159999999999</v>
      </c>
      <c r="N123" s="10">
        <v>1.32792190280998</v>
      </c>
      <c r="O123" s="10">
        <v>1.35656065472774</v>
      </c>
      <c r="P123" s="10">
        <v>1.32410747716539</v>
      </c>
      <c r="Q123" s="10">
        <v>1.3249349522582701</v>
      </c>
      <c r="R123" s="8">
        <v>251.51991099307099</v>
      </c>
      <c r="S123" s="8">
        <v>245.44558243863801</v>
      </c>
      <c r="T123" s="8">
        <v>245.620293518728</v>
      </c>
      <c r="U123" s="9">
        <v>2.1337325054902202E-2</v>
      </c>
      <c r="V123" s="9">
        <v>-3.1095677731357001E-3</v>
      </c>
      <c r="W123" s="9">
        <v>-2.3980091166914299E-3</v>
      </c>
      <c r="X123" s="10">
        <v>1.3258581289887099</v>
      </c>
      <c r="Y123" s="10">
        <v>1.3555780340485399</v>
      </c>
      <c r="Z123" s="10">
        <v>1.3227028320419101</v>
      </c>
      <c r="AA123" s="10">
        <v>1.3238258177458599</v>
      </c>
      <c r="AB123" s="8">
        <v>251.87371884760299</v>
      </c>
      <c r="AC123" s="8">
        <v>245.731088030667</v>
      </c>
      <c r="AD123" s="8">
        <v>245.94980108137401</v>
      </c>
      <c r="AE123" s="9">
        <v>2.21680624335641E-2</v>
      </c>
      <c r="AF123" s="9">
        <v>-2.5219838588851698E-3</v>
      </c>
      <c r="AG123" s="9">
        <v>-1.63232932897958E-3</v>
      </c>
      <c r="AZ123" s="9"/>
      <c r="BB123">
        <f t="shared" si="22"/>
        <v>1</v>
      </c>
      <c r="BC123">
        <f t="shared" si="23"/>
        <v>0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3.1097107673988413E-2</v>
      </c>
      <c r="BL123" s="9"/>
      <c r="BN123">
        <f t="shared" si="30"/>
        <v>0</v>
      </c>
      <c r="BO123">
        <f t="shared" si="31"/>
        <v>1</v>
      </c>
      <c r="BP123">
        <f t="shared" si="32"/>
        <v>1</v>
      </c>
      <c r="BQ123">
        <f t="shared" si="21"/>
        <v>1</v>
      </c>
      <c r="BR123">
        <f t="shared" si="33"/>
        <v>1</v>
      </c>
      <c r="BS123" s="9">
        <f t="shared" si="34"/>
        <v>-2.3465007633317402E-2</v>
      </c>
      <c r="BT123" s="9">
        <f t="shared" si="35"/>
        <v>2.6963578055359299E-2</v>
      </c>
      <c r="BU123" s="9">
        <f t="shared" si="36"/>
        <v>3.4985704220418974E-3</v>
      </c>
      <c r="BV123" s="12">
        <f t="shared" si="37"/>
        <v>1.3581231879268216E-2</v>
      </c>
      <c r="BX123" s="12">
        <f t="shared" si="38"/>
        <v>3.4985704220418974E-3</v>
      </c>
      <c r="BY123" s="12">
        <f t="shared" si="39"/>
        <v>4.4678339553256619E-2</v>
      </c>
    </row>
    <row r="124" spans="1:77" x14ac:dyDescent="0.3">
      <c r="A124" s="1">
        <v>46203</v>
      </c>
      <c r="B124" s="8">
        <v>190.52</v>
      </c>
      <c r="C124" s="8">
        <v>252.23</v>
      </c>
      <c r="D124" s="9">
        <v>2.7187586822897701E-2</v>
      </c>
      <c r="E124" s="9">
        <v>2.4156539358453601E-2</v>
      </c>
      <c r="F124" s="8">
        <v>0</v>
      </c>
      <c r="G124" s="8">
        <v>0.39539999999999997</v>
      </c>
      <c r="H124" s="8">
        <v>0</v>
      </c>
      <c r="I124" s="8">
        <v>0.1416</v>
      </c>
      <c r="J124" s="8">
        <v>0.39539999999999997</v>
      </c>
      <c r="K124" s="8">
        <v>0.1416</v>
      </c>
      <c r="L124" s="8">
        <v>190.91540000000001</v>
      </c>
      <c r="M124" s="8">
        <v>252.3716</v>
      </c>
      <c r="N124" s="10">
        <v>1.32390300230946</v>
      </c>
      <c r="O124" s="10">
        <v>1.35656065472774</v>
      </c>
      <c r="P124" s="10">
        <v>1.32407690039545</v>
      </c>
      <c r="Q124" s="10">
        <v>1.32524074806234</v>
      </c>
      <c r="R124" s="8">
        <v>258.45193593873</v>
      </c>
      <c r="S124" s="8">
        <v>252.26895654955101</v>
      </c>
      <c r="T124" s="8">
        <v>252.42660710424599</v>
      </c>
      <c r="U124" s="9">
        <v>2.4368372519346398E-2</v>
      </c>
      <c r="V124" s="9">
        <v>1.5443659148619499E-4</v>
      </c>
      <c r="W124" s="9">
        <v>7.7917186231489803E-4</v>
      </c>
      <c r="X124" s="10">
        <v>1.32190279045063</v>
      </c>
      <c r="Y124" s="10">
        <v>1.3555780340485399</v>
      </c>
      <c r="Z124" s="10">
        <v>1.3225140167562</v>
      </c>
      <c r="AA124" s="10">
        <v>1.32407011958608</v>
      </c>
      <c r="AB124" s="8">
        <v>258.80072260159102</v>
      </c>
      <c r="AC124" s="8">
        <v>252.52434026041499</v>
      </c>
      <c r="AD124" s="8">
        <v>252.738735525278</v>
      </c>
      <c r="AE124" s="9">
        <v>2.5155750220057001E-2</v>
      </c>
      <c r="AF124" s="9">
        <v>6.0503661406410803E-4</v>
      </c>
      <c r="AG124" s="9">
        <v>1.45368472632328E-3</v>
      </c>
      <c r="AZ124" s="9"/>
      <c r="BB124">
        <f t="shared" si="22"/>
        <v>0</v>
      </c>
      <c r="BC124">
        <f t="shared" si="23"/>
        <v>1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2.7187586822897701E-2</v>
      </c>
      <c r="BH124" s="9">
        <f t="shared" si="27"/>
        <v>-2.4156539358453601E-2</v>
      </c>
      <c r="BI124" s="9">
        <f t="shared" si="28"/>
        <v>3.0310474644440998E-3</v>
      </c>
      <c r="BJ124" s="12">
        <f t="shared" si="29"/>
        <v>3.4128155138432509E-2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1.3581231879268216E-2</v>
      </c>
      <c r="BX124" s="12">
        <f t="shared" si="38"/>
        <v>3.0310474644440998E-3</v>
      </c>
      <c r="BY124" s="12">
        <f t="shared" si="39"/>
        <v>4.7709387017700722E-2</v>
      </c>
    </row>
    <row r="125" spans="1:77" x14ac:dyDescent="0.3">
      <c r="A125" s="1">
        <v>46204</v>
      </c>
      <c r="B125" s="8">
        <v>185.62</v>
      </c>
      <c r="C125" s="8">
        <v>248.75</v>
      </c>
      <c r="D125" s="9">
        <v>-2.60556027654129E-2</v>
      </c>
      <c r="E125" s="9">
        <v>-1.38929936294814E-2</v>
      </c>
      <c r="F125" s="8">
        <v>0</v>
      </c>
      <c r="G125" s="8">
        <v>0.39539999999999997</v>
      </c>
      <c r="H125" s="8">
        <v>0</v>
      </c>
      <c r="I125" s="8">
        <v>0.1416</v>
      </c>
      <c r="J125" s="8">
        <v>0.39539999999999997</v>
      </c>
      <c r="K125" s="8">
        <v>0.1416</v>
      </c>
      <c r="L125" s="8">
        <v>186.0154</v>
      </c>
      <c r="M125" s="8">
        <v>248.89160000000001</v>
      </c>
      <c r="N125" s="10">
        <v>1.3401034371296101</v>
      </c>
      <c r="O125" s="10">
        <v>1.35656065472774</v>
      </c>
      <c r="P125" s="10">
        <v>1.32503103299492</v>
      </c>
      <c r="Q125" s="10">
        <v>1.32667405169825</v>
      </c>
      <c r="R125" s="8">
        <v>251.80478873056401</v>
      </c>
      <c r="S125" s="8">
        <v>245.77515425140399</v>
      </c>
      <c r="T125" s="8">
        <v>245.991187655332</v>
      </c>
      <c r="U125" s="9">
        <v>1.22057633834149E-2</v>
      </c>
      <c r="V125" s="9">
        <v>-1.20312651736444E-2</v>
      </c>
      <c r="W125" s="9">
        <v>-1.1152663287279201E-2</v>
      </c>
      <c r="X125" s="10">
        <v>1.3380160997422701</v>
      </c>
      <c r="Y125" s="10">
        <v>1.3555780340485399</v>
      </c>
      <c r="Z125" s="10">
        <v>1.3233029664675799</v>
      </c>
      <c r="AA125" s="10">
        <v>1.3254368292246801</v>
      </c>
      <c r="AB125" s="8">
        <v>252.158390234753</v>
      </c>
      <c r="AC125" s="8">
        <v>246.00797383251199</v>
      </c>
      <c r="AD125" s="8">
        <v>246.29743292285301</v>
      </c>
      <c r="AE125" s="9">
        <v>1.30399624343985E-2</v>
      </c>
      <c r="AF125" s="9">
        <v>-1.1653510950338701E-2</v>
      </c>
      <c r="AG125" s="9">
        <v>-1.04775778010159E-2</v>
      </c>
      <c r="AZ125" s="9"/>
      <c r="BB125">
        <f t="shared" si="22"/>
        <v>1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3.4128155138432509E-2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1.3581231879268216E-2</v>
      </c>
      <c r="BX125" s="12">
        <f t="shared" si="38"/>
        <v>0</v>
      </c>
      <c r="BY125" s="12">
        <f t="shared" si="39"/>
        <v>4.7709387017700722E-2</v>
      </c>
    </row>
    <row r="126" spans="1:77" x14ac:dyDescent="0.3">
      <c r="A126" s="1">
        <v>46205</v>
      </c>
      <c r="B126" s="8">
        <v>180.59</v>
      </c>
      <c r="C126" s="8">
        <v>243.48</v>
      </c>
      <c r="D126" s="9">
        <v>-2.7472304702994801E-2</v>
      </c>
      <c r="E126" s="9">
        <v>-2.1413572412978501E-2</v>
      </c>
      <c r="F126" s="8">
        <v>0</v>
      </c>
      <c r="G126" s="8">
        <v>0.39539999999999997</v>
      </c>
      <c r="H126" s="8">
        <v>0</v>
      </c>
      <c r="I126" s="8">
        <v>0.1416</v>
      </c>
      <c r="J126" s="8">
        <v>0.39539999999999997</v>
      </c>
      <c r="K126" s="8">
        <v>0.1416</v>
      </c>
      <c r="L126" s="8">
        <v>180.9854</v>
      </c>
      <c r="M126" s="8">
        <v>243.6216</v>
      </c>
      <c r="N126" s="10">
        <v>1.34824741126308</v>
      </c>
      <c r="O126" s="10">
        <v>1.35656065472774</v>
      </c>
      <c r="P126" s="10">
        <v>1.3272454404290901</v>
      </c>
      <c r="Q126" s="10">
        <v>1.32845935198673</v>
      </c>
      <c r="R126" s="8">
        <v>244.981288637283</v>
      </c>
      <c r="S126" s="8">
        <v>239.28735424855299</v>
      </c>
      <c r="T126" s="8">
        <v>239.584066996187</v>
      </c>
      <c r="U126" s="9">
        <v>6.1470310933986003E-3</v>
      </c>
      <c r="V126" s="9">
        <v>-1.73696548693115E-2</v>
      </c>
      <c r="W126" s="9">
        <v>-1.61304379420046E-2</v>
      </c>
      <c r="X126" s="10">
        <v>1.3460842697808699</v>
      </c>
      <c r="Y126" s="10">
        <v>1.3555780340485399</v>
      </c>
      <c r="Z126" s="10">
        <v>1.3253443588831699</v>
      </c>
      <c r="AA126" s="10">
        <v>1.32715217320164</v>
      </c>
      <c r="AB126" s="8">
        <v>245.339832723489</v>
      </c>
      <c r="AC126" s="8">
        <v>239.49851670732099</v>
      </c>
      <c r="AD126" s="8">
        <v>239.88471471196101</v>
      </c>
      <c r="AE126" s="9">
        <v>7.0281199337634903E-3</v>
      </c>
      <c r="AF126" s="9">
        <v>-1.7068978312585598E-2</v>
      </c>
      <c r="AG126" s="9">
        <v>-1.5457749287968E-2</v>
      </c>
      <c r="AZ126" s="9"/>
      <c r="BB126">
        <f t="shared" si="22"/>
        <v>1</v>
      </c>
      <c r="BC126">
        <f t="shared" si="23"/>
        <v>0</v>
      </c>
      <c r="BD126">
        <f t="shared" si="24"/>
        <v>1</v>
      </c>
      <c r="BE126">
        <f t="shared" si="20"/>
        <v>1</v>
      </c>
      <c r="BF126">
        <f t="shared" si="25"/>
        <v>1</v>
      </c>
      <c r="BG126" s="9">
        <f t="shared" si="26"/>
        <v>-2.7472304702994801E-2</v>
      </c>
      <c r="BH126" s="9">
        <f t="shared" si="27"/>
        <v>2.1413572412978501E-2</v>
      </c>
      <c r="BI126" s="9">
        <f t="shared" si="28"/>
        <v>-6.0587322900162999E-3</v>
      </c>
      <c r="BJ126" s="12">
        <f t="shared" si="29"/>
        <v>2.8069422848416209E-2</v>
      </c>
      <c r="BL126" s="9"/>
      <c r="BN126">
        <f t="shared" si="30"/>
        <v>0</v>
      </c>
      <c r="BO126">
        <f t="shared" si="31"/>
        <v>1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1.3581231879268216E-2</v>
      </c>
      <c r="BX126" s="12">
        <f t="shared" si="38"/>
        <v>-6.0587322900162999E-3</v>
      </c>
      <c r="BY126" s="12">
        <f t="shared" si="39"/>
        <v>4.1650654727684422E-2</v>
      </c>
    </row>
    <row r="127" spans="1:77" x14ac:dyDescent="0.3">
      <c r="A127" s="1">
        <v>46209</v>
      </c>
      <c r="B127" s="8">
        <v>183.57</v>
      </c>
      <c r="C127" s="8">
        <v>247.39</v>
      </c>
      <c r="D127" s="9">
        <v>1.6366797678306799E-2</v>
      </c>
      <c r="E127" s="9">
        <v>1.5931235143871101E-2</v>
      </c>
      <c r="F127" s="8">
        <v>0</v>
      </c>
      <c r="G127" s="8">
        <v>0.39539999999999997</v>
      </c>
      <c r="H127" s="8">
        <v>0</v>
      </c>
      <c r="I127" s="8">
        <v>0.1416</v>
      </c>
      <c r="J127" s="8">
        <v>0.39539999999999997</v>
      </c>
      <c r="K127" s="8">
        <v>0.1416</v>
      </c>
      <c r="L127" s="8">
        <v>183.96539999999999</v>
      </c>
      <c r="M127" s="8">
        <v>247.5316</v>
      </c>
      <c r="N127" s="10">
        <v>1.34766029307621</v>
      </c>
      <c r="O127" s="10">
        <v>1.35656065472774</v>
      </c>
      <c r="P127" s="10">
        <v>1.3295574371416401</v>
      </c>
      <c r="Q127" s="10">
        <v>1.32947077684916</v>
      </c>
      <c r="R127" s="8">
        <v>249.02383938837201</v>
      </c>
      <c r="S127" s="8">
        <v>243.642445499568</v>
      </c>
      <c r="T127" s="8">
        <v>243.86528324420399</v>
      </c>
      <c r="U127" s="9">
        <v>6.58259362783433E-3</v>
      </c>
      <c r="V127" s="9">
        <v>-1.52642755032684E-2</v>
      </c>
      <c r="W127" s="9">
        <v>-1.4350083801201299E-2</v>
      </c>
      <c r="X127" s="10">
        <v>1.3455334535733301</v>
      </c>
      <c r="Y127" s="10">
        <v>1.3555780340485399</v>
      </c>
      <c r="Z127" s="10">
        <v>1.3274855596219499</v>
      </c>
      <c r="AA127" s="10">
        <v>1.3280967064867599</v>
      </c>
      <c r="AB127" s="8">
        <v>249.37945526495301</v>
      </c>
      <c r="AC127" s="8">
        <v>243.81750511968701</v>
      </c>
      <c r="AD127" s="8">
        <v>244.15008040390899</v>
      </c>
      <c r="AE127" s="9">
        <v>7.4374025822257E-3</v>
      </c>
      <c r="AF127" s="9">
        <v>-1.51182350096438E-2</v>
      </c>
      <c r="AG127" s="9">
        <v>-1.3755130797054701E-2</v>
      </c>
      <c r="AZ127" s="9"/>
      <c r="BB127">
        <f t="shared" si="22"/>
        <v>1</v>
      </c>
      <c r="BC127">
        <f t="shared" si="23"/>
        <v>0</v>
      </c>
      <c r="BD127">
        <f t="shared" si="24"/>
        <v>1</v>
      </c>
      <c r="BE127">
        <f t="shared" si="20"/>
        <v>1</v>
      </c>
      <c r="BF127">
        <f t="shared" si="25"/>
        <v>1</v>
      </c>
      <c r="BG127" s="9">
        <f t="shared" si="26"/>
        <v>1.6366797678306799E-2</v>
      </c>
      <c r="BH127" s="9">
        <f t="shared" si="27"/>
        <v>-1.5931235143871101E-2</v>
      </c>
      <c r="BI127" s="9">
        <f t="shared" si="28"/>
        <v>4.3556253443569753E-4</v>
      </c>
      <c r="BJ127" s="12">
        <f t="shared" si="29"/>
        <v>2.8504985382851906E-2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1.3581231879268216E-2</v>
      </c>
      <c r="BX127" s="12">
        <f t="shared" si="38"/>
        <v>4.3556253443569753E-4</v>
      </c>
      <c r="BY127" s="12">
        <f t="shared" si="39"/>
        <v>4.2086217262120119E-2</v>
      </c>
    </row>
    <row r="128" spans="1:77" x14ac:dyDescent="0.3">
      <c r="A128" s="1">
        <v>46210</v>
      </c>
      <c r="B128" s="8">
        <v>179.18</v>
      </c>
      <c r="C128" s="8">
        <v>243.28</v>
      </c>
      <c r="D128" s="9">
        <v>-2.4205178973126299E-2</v>
      </c>
      <c r="E128" s="9">
        <v>-1.6752995400485599E-2</v>
      </c>
      <c r="F128" s="8">
        <v>0</v>
      </c>
      <c r="G128" s="8">
        <v>0.39539999999999997</v>
      </c>
      <c r="H128" s="8">
        <v>0</v>
      </c>
      <c r="I128" s="8">
        <v>0.1416</v>
      </c>
      <c r="J128" s="8">
        <v>0.39539999999999997</v>
      </c>
      <c r="K128" s="8">
        <v>0.1416</v>
      </c>
      <c r="L128" s="8">
        <v>179.5754</v>
      </c>
      <c r="M128" s="8">
        <v>243.42160000000001</v>
      </c>
      <c r="N128" s="10">
        <v>1.3577408192878599</v>
      </c>
      <c r="O128" s="10">
        <v>1.35656065472774</v>
      </c>
      <c r="P128" s="10">
        <v>1.3335178318469001</v>
      </c>
      <c r="Q128" s="10">
        <v>1.33045543289952</v>
      </c>
      <c r="R128" s="8">
        <v>243.06853811411699</v>
      </c>
      <c r="S128" s="8">
        <v>238.230101587039</v>
      </c>
      <c r="T128" s="8">
        <v>238.21457379583299</v>
      </c>
      <c r="U128" s="9">
        <v>-8.6958994480654803E-4</v>
      </c>
      <c r="V128" s="9">
        <v>-2.0976023369760601E-2</v>
      </c>
      <c r="W128" s="9">
        <v>-2.1041205297543299E-2</v>
      </c>
      <c r="X128" s="10">
        <v>1.35553978997123</v>
      </c>
      <c r="Y128" s="10">
        <v>1.3555780340485399</v>
      </c>
      <c r="Z128" s="10">
        <v>1.3314229951960701</v>
      </c>
      <c r="AA128" s="10">
        <v>1.3290140675203601</v>
      </c>
      <c r="AB128" s="8">
        <v>243.42846769548001</v>
      </c>
      <c r="AC128" s="8">
        <v>238.38375036333599</v>
      </c>
      <c r="AD128" s="8">
        <v>238.493497306042</v>
      </c>
      <c r="AE128" s="9">
        <v>2.8212774062101299E-5</v>
      </c>
      <c r="AF128" s="9">
        <v>-2.0913147785707499E-2</v>
      </c>
      <c r="AG128" s="9">
        <v>-2.04528744336866E-2</v>
      </c>
      <c r="AZ128" s="9"/>
      <c r="BB128">
        <f t="shared" si="22"/>
        <v>1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-2.4205178973126299E-2</v>
      </c>
      <c r="BH128" s="9">
        <f t="shared" si="27"/>
        <v>1.6752995400485599E-2</v>
      </c>
      <c r="BI128" s="9">
        <f t="shared" si="28"/>
        <v>-7.4521835726406999E-3</v>
      </c>
      <c r="BJ128" s="12">
        <f t="shared" si="29"/>
        <v>2.1052801810211207E-2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1.3581231879268216E-2</v>
      </c>
      <c r="BX128" s="12">
        <f t="shared" si="38"/>
        <v>-7.4521835726406999E-3</v>
      </c>
      <c r="BY128" s="12">
        <f t="shared" si="39"/>
        <v>3.463403368947942E-2</v>
      </c>
    </row>
    <row r="129" spans="1:77" x14ac:dyDescent="0.3">
      <c r="A129" s="1">
        <v>46211</v>
      </c>
      <c r="B129" s="8">
        <v>181.4</v>
      </c>
      <c r="C129" s="8">
        <v>245.1</v>
      </c>
      <c r="D129" s="9">
        <v>1.23136505116038E-2</v>
      </c>
      <c r="E129" s="9">
        <v>7.4532471649576297E-3</v>
      </c>
      <c r="F129" s="8">
        <v>0</v>
      </c>
      <c r="G129" s="8">
        <v>0.39539999999999997</v>
      </c>
      <c r="H129" s="8">
        <v>0</v>
      </c>
      <c r="I129" s="8">
        <v>0.1416</v>
      </c>
      <c r="J129" s="8">
        <v>0.39539999999999997</v>
      </c>
      <c r="K129" s="8">
        <v>0.1416</v>
      </c>
      <c r="L129" s="8">
        <v>181.7954</v>
      </c>
      <c r="M129" s="8">
        <v>245.24160000000001</v>
      </c>
      <c r="N129" s="10">
        <v>1.35115766262403</v>
      </c>
      <c r="O129" s="10">
        <v>1.35656065472774</v>
      </c>
      <c r="P129" s="10">
        <v>1.33650373220996</v>
      </c>
      <c r="Q129" s="10">
        <v>1.33146700264165</v>
      </c>
      <c r="R129" s="8">
        <v>246.080102767613</v>
      </c>
      <c r="S129" s="8">
        <v>241.90013469702799</v>
      </c>
      <c r="T129" s="8">
        <v>241.34461552797401</v>
      </c>
      <c r="U129" s="9">
        <v>3.9908134018397396E-3</v>
      </c>
      <c r="V129" s="9">
        <v>-1.31413160888531E-2</v>
      </c>
      <c r="W129" s="9">
        <v>-1.54404384838734E-2</v>
      </c>
      <c r="X129" s="10">
        <v>1.34899782942802</v>
      </c>
      <c r="Y129" s="10">
        <v>1.3555780340485399</v>
      </c>
      <c r="Z129" s="10">
        <v>1.33439923489006</v>
      </c>
      <c r="AA129" s="10">
        <v>1.32995917861774</v>
      </c>
      <c r="AB129" s="8">
        <v>246.437850931068</v>
      </c>
      <c r="AC129" s="8">
        <v>242.046575980868</v>
      </c>
      <c r="AD129" s="8">
        <v>241.60864401049099</v>
      </c>
      <c r="AE129" s="9">
        <v>4.8659885589650599E-3</v>
      </c>
      <c r="AF129" s="9">
        <v>-1.3113676725403801E-2</v>
      </c>
      <c r="AG129" s="9">
        <v>-1.49246034846189E-2</v>
      </c>
      <c r="AZ129" s="9"/>
      <c r="BB129">
        <f t="shared" si="22"/>
        <v>1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1.23136505116038E-2</v>
      </c>
      <c r="BH129" s="9">
        <f t="shared" si="27"/>
        <v>-7.4532471649576297E-3</v>
      </c>
      <c r="BI129" s="9">
        <f t="shared" si="28"/>
        <v>4.8604033466461702E-3</v>
      </c>
      <c r="BJ129" s="12">
        <f t="shared" si="29"/>
        <v>2.5913205156857376E-2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1.3581231879268216E-2</v>
      </c>
      <c r="BX129" s="12">
        <f t="shared" si="38"/>
        <v>4.8604033466461702E-3</v>
      </c>
      <c r="BY129" s="12">
        <f t="shared" si="39"/>
        <v>3.9494437036125589E-2</v>
      </c>
    </row>
    <row r="130" spans="1:77" x14ac:dyDescent="0.3">
      <c r="A130" s="1">
        <v>46212</v>
      </c>
      <c r="B130" s="8">
        <v>185.35</v>
      </c>
      <c r="C130" s="8">
        <v>249.28</v>
      </c>
      <c r="D130" s="9">
        <v>2.1541391915705001E-2</v>
      </c>
      <c r="E130" s="9">
        <v>1.6910472148316501E-2</v>
      </c>
      <c r="F130" s="8">
        <v>0</v>
      </c>
      <c r="G130" s="8">
        <v>0.39539999999999997</v>
      </c>
      <c r="H130" s="8">
        <v>0</v>
      </c>
      <c r="I130" s="8">
        <v>0.1416</v>
      </c>
      <c r="J130" s="8">
        <v>0.39539999999999997</v>
      </c>
      <c r="K130" s="8">
        <v>0.1416</v>
      </c>
      <c r="L130" s="8">
        <v>185.74539999999999</v>
      </c>
      <c r="M130" s="8">
        <v>249.42160000000001</v>
      </c>
      <c r="N130" s="10">
        <v>1.34491502562719</v>
      </c>
      <c r="O130" s="10">
        <v>1.35656065472774</v>
      </c>
      <c r="P130" s="10">
        <v>1.33868712223512</v>
      </c>
      <c r="Q130" s="10">
        <v>1.33203133554606</v>
      </c>
      <c r="R130" s="8">
        <v>251.43851735378701</v>
      </c>
      <c r="S130" s="8">
        <v>247.720966765117</v>
      </c>
      <c r="T130" s="8">
        <v>246.78740893963001</v>
      </c>
      <c r="U130" s="9">
        <v>8.6217331692280703E-3</v>
      </c>
      <c r="V130" s="9">
        <v>-6.2737839674772101E-3</v>
      </c>
      <c r="W130" s="9">
        <v>-1.0049489215013601E-2</v>
      </c>
      <c r="X130" s="10">
        <v>1.34281441155474</v>
      </c>
      <c r="Y130" s="10">
        <v>1.3555780340485399</v>
      </c>
      <c r="Z130" s="10">
        <v>1.3365805525210399</v>
      </c>
      <c r="AA130" s="10">
        <v>1.3304609216479799</v>
      </c>
      <c r="AB130" s="8">
        <v>251.79238416556001</v>
      </c>
      <c r="AC130" s="8">
        <v>247.85851964434801</v>
      </c>
      <c r="AD130" s="8">
        <v>247.033799616024</v>
      </c>
      <c r="AE130" s="9">
        <v>9.4602382286288304E-3</v>
      </c>
      <c r="AF130" s="9">
        <v>-6.2865392832756103E-3</v>
      </c>
      <c r="AG130" s="9">
        <v>-9.6194695376847598E-3</v>
      </c>
      <c r="AZ130" s="9"/>
      <c r="BB130">
        <f t="shared" si="22"/>
        <v>1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2.1541391915705001E-2</v>
      </c>
      <c r="BH130" s="9">
        <f t="shared" si="27"/>
        <v>-1.6910472148316501E-2</v>
      </c>
      <c r="BI130" s="9">
        <f t="shared" si="28"/>
        <v>4.6309197673885007E-3</v>
      </c>
      <c r="BJ130" s="12">
        <f t="shared" si="29"/>
        <v>3.0544124924245877E-2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1.3581231879268216E-2</v>
      </c>
      <c r="BX130" s="12">
        <f t="shared" si="38"/>
        <v>4.6309197673885007E-3</v>
      </c>
      <c r="BY130" s="12">
        <f t="shared" si="39"/>
        <v>4.4125356803514093E-2</v>
      </c>
    </row>
    <row r="131" spans="1:77" x14ac:dyDescent="0.3">
      <c r="A131" s="1">
        <v>46213</v>
      </c>
      <c r="B131" s="8">
        <v>185.78</v>
      </c>
      <c r="C131" s="8">
        <v>250.08</v>
      </c>
      <c r="D131" s="9">
        <v>2.3172483626336198E-3</v>
      </c>
      <c r="E131" s="9">
        <v>3.20410399078306E-3</v>
      </c>
      <c r="F131" s="8">
        <v>0</v>
      </c>
      <c r="G131" s="8">
        <v>0.39539999999999997</v>
      </c>
      <c r="H131" s="8">
        <v>0</v>
      </c>
      <c r="I131" s="8">
        <v>0.1416</v>
      </c>
      <c r="J131" s="8">
        <v>0.39539999999999997</v>
      </c>
      <c r="K131" s="8">
        <v>0.1416</v>
      </c>
      <c r="L131" s="8">
        <v>186.1754</v>
      </c>
      <c r="M131" s="8">
        <v>250.2216</v>
      </c>
      <c r="N131" s="10">
        <v>1.3461083001399501</v>
      </c>
      <c r="O131" s="10">
        <v>1.35656065472774</v>
      </c>
      <c r="P131" s="10">
        <v>1.3411042046194901</v>
      </c>
      <c r="Q131" s="10">
        <v>1.33270027883252</v>
      </c>
      <c r="R131" s="8">
        <v>252.02183843532001</v>
      </c>
      <c r="S131" s="8">
        <v>248.701293568842</v>
      </c>
      <c r="T131" s="8">
        <v>247.46478151774801</v>
      </c>
      <c r="U131" s="9">
        <v>7.7348775410785503E-3</v>
      </c>
      <c r="V131" s="9">
        <v>-5.5283145550906196E-3</v>
      </c>
      <c r="W131" s="9">
        <v>-1.0512591687570899E-2</v>
      </c>
      <c r="X131" s="10">
        <v>1.3440100034698399</v>
      </c>
      <c r="Y131" s="10">
        <v>1.3555780340485399</v>
      </c>
      <c r="Z131" s="10">
        <v>1.33899384057156</v>
      </c>
      <c r="AA131" s="10">
        <v>1.3310683421681999</v>
      </c>
      <c r="AB131" s="8">
        <v>252.3752827202</v>
      </c>
      <c r="AC131" s="8">
        <v>248.83841899782499</v>
      </c>
      <c r="AD131" s="8">
        <v>247.69909427218201</v>
      </c>
      <c r="AE131" s="9">
        <v>8.5702716291497297E-3</v>
      </c>
      <c r="AF131" s="9">
        <v>-5.5431591040110799E-3</v>
      </c>
      <c r="AG131" s="9">
        <v>-1.0132245304678201E-2</v>
      </c>
      <c r="AZ131" s="9"/>
      <c r="BB131">
        <f t="shared" si="22"/>
        <v>1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2.3172483626336198E-3</v>
      </c>
      <c r="BH131" s="9">
        <f t="shared" si="27"/>
        <v>-3.20410399078306E-3</v>
      </c>
      <c r="BI131" s="9">
        <f t="shared" si="28"/>
        <v>-8.8685562814944021E-4</v>
      </c>
      <c r="BJ131" s="12">
        <f t="shared" si="29"/>
        <v>2.9657269296096436E-2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1.3581231879268216E-2</v>
      </c>
      <c r="BX131" s="12">
        <f t="shared" si="38"/>
        <v>-8.8685562814944021E-4</v>
      </c>
      <c r="BY131" s="12">
        <f t="shared" si="39"/>
        <v>4.3238501175364652E-2</v>
      </c>
    </row>
    <row r="132" spans="1:77" x14ac:dyDescent="0.3">
      <c r="A132" s="1">
        <v>46216</v>
      </c>
      <c r="B132" s="8">
        <v>181.28</v>
      </c>
      <c r="C132" s="8">
        <v>244.77</v>
      </c>
      <c r="D132" s="9">
        <v>-2.4520380679678499E-2</v>
      </c>
      <c r="E132" s="9">
        <v>-2.1461872564347902E-2</v>
      </c>
      <c r="F132" s="8">
        <v>0</v>
      </c>
      <c r="G132" s="8">
        <v>0.39539999999999997</v>
      </c>
      <c r="H132" s="8">
        <v>0</v>
      </c>
      <c r="I132" s="8">
        <v>0.1416</v>
      </c>
      <c r="J132" s="8">
        <v>0.39539999999999997</v>
      </c>
      <c r="K132" s="8">
        <v>0.1416</v>
      </c>
      <c r="L132" s="8">
        <v>181.6754</v>
      </c>
      <c r="M132" s="8">
        <v>244.91159999999999</v>
      </c>
      <c r="N132" s="10">
        <v>1.3502316857899299</v>
      </c>
      <c r="O132" s="10">
        <v>1.35656065472774</v>
      </c>
      <c r="P132" s="10">
        <v>1.34379895400573</v>
      </c>
      <c r="Q132" s="10">
        <v>1.33379900356194</v>
      </c>
      <c r="R132" s="8">
        <v>245.917315489045</v>
      </c>
      <c r="S132" s="8">
        <v>243.11537021342201</v>
      </c>
      <c r="T132" s="8">
        <v>241.59190654675899</v>
      </c>
      <c r="U132" s="9">
        <v>4.67636942574794E-3</v>
      </c>
      <c r="V132" s="9">
        <v>-6.7828888972088098E-3</v>
      </c>
      <c r="W132" s="9">
        <v>-1.30690280018283E-2</v>
      </c>
      <c r="X132" s="10">
        <v>1.34807244128814</v>
      </c>
      <c r="Y132" s="10">
        <v>1.3555780340485399</v>
      </c>
      <c r="Z132" s="10">
        <v>1.3416829218247801</v>
      </c>
      <c r="AA132" s="10">
        <v>1.33210073548317</v>
      </c>
      <c r="AB132" s="8">
        <v>246.27518156698201</v>
      </c>
      <c r="AC132" s="8">
        <v>243.26224158337499</v>
      </c>
      <c r="AD132" s="8">
        <v>241.82237349074401</v>
      </c>
      <c r="AE132" s="9">
        <v>5.5522058861475201E-3</v>
      </c>
      <c r="AF132" s="9">
        <v>-6.7572841969635198E-3</v>
      </c>
      <c r="AG132" s="9">
        <v>-1.26938662968973E-2</v>
      </c>
      <c r="AZ132" s="9"/>
      <c r="BB132">
        <f t="shared" si="22"/>
        <v>1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-2.4520380679678499E-2</v>
      </c>
      <c r="BH132" s="9">
        <f t="shared" si="27"/>
        <v>2.1461872564347902E-2</v>
      </c>
      <c r="BI132" s="9">
        <f t="shared" si="28"/>
        <v>-3.0585081153305972E-3</v>
      </c>
      <c r="BJ132" s="12">
        <f t="shared" si="29"/>
        <v>2.6598761180765838E-2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1.3581231879268216E-2</v>
      </c>
      <c r="BX132" s="12">
        <f t="shared" si="38"/>
        <v>-3.0585081153305972E-3</v>
      </c>
      <c r="BY132" s="12">
        <f t="shared" si="39"/>
        <v>4.0179993060034058E-2</v>
      </c>
    </row>
    <row r="133" spans="1:77" x14ac:dyDescent="0.3">
      <c r="A133" s="1">
        <v>46217</v>
      </c>
      <c r="B133" s="8">
        <v>183.62</v>
      </c>
      <c r="C133" s="8">
        <v>248.19</v>
      </c>
      <c r="D133" s="9">
        <v>1.2825607435857801E-2</v>
      </c>
      <c r="E133" s="9">
        <v>1.3875587761382599E-2</v>
      </c>
      <c r="F133" s="8">
        <v>0</v>
      </c>
      <c r="G133" s="8">
        <v>0.39539999999999997</v>
      </c>
      <c r="H133" s="8">
        <v>0</v>
      </c>
      <c r="I133" s="8">
        <v>0.1416</v>
      </c>
      <c r="J133" s="8">
        <v>0.39539999999999997</v>
      </c>
      <c r="K133" s="8">
        <v>0.1416</v>
      </c>
      <c r="L133" s="8">
        <v>184.0154</v>
      </c>
      <c r="M133" s="8">
        <v>248.33160000000001</v>
      </c>
      <c r="N133" s="10">
        <v>1.3516501470428</v>
      </c>
      <c r="O133" s="10">
        <v>1.35656065472774</v>
      </c>
      <c r="P133" s="10">
        <v>1.3461717784290099</v>
      </c>
      <c r="Q133" s="10">
        <v>1.3351396277972001</v>
      </c>
      <c r="R133" s="8">
        <v>249.09166742110801</v>
      </c>
      <c r="S133" s="8">
        <v>246.74836393453299</v>
      </c>
      <c r="T133" s="8">
        <v>244.912173034045</v>
      </c>
      <c r="U133" s="9">
        <v>3.6263891002231898E-3</v>
      </c>
      <c r="V133" s="9">
        <v>-5.8255340364110897E-3</v>
      </c>
      <c r="W133" s="9">
        <v>-1.32949130059216E-2</v>
      </c>
      <c r="X133" s="10">
        <v>1.34951531230538</v>
      </c>
      <c r="Y133" s="10">
        <v>1.3555780340485399</v>
      </c>
      <c r="Z133" s="10">
        <v>1.34404864015645</v>
      </c>
      <c r="AA133" s="10">
        <v>1.33337573609918</v>
      </c>
      <c r="AB133" s="8">
        <v>249.44723416665599</v>
      </c>
      <c r="AC133" s="8">
        <v>246.890319532756</v>
      </c>
      <c r="AD133" s="8">
        <v>245.12704968022899</v>
      </c>
      <c r="AE133" s="9">
        <v>4.4824566978847197E-3</v>
      </c>
      <c r="AF133" s="9">
        <v>-5.8207622876201197E-3</v>
      </c>
      <c r="AG133" s="9">
        <v>-1.29883035642247E-2</v>
      </c>
      <c r="AZ133" s="9"/>
      <c r="BB133">
        <f t="shared" si="22"/>
        <v>1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1.2825607435857801E-2</v>
      </c>
      <c r="BH133" s="9">
        <f t="shared" si="27"/>
        <v>-1.3875587761382599E-2</v>
      </c>
      <c r="BI133" s="9">
        <f t="shared" si="28"/>
        <v>-1.0499803255247988E-3</v>
      </c>
      <c r="BJ133" s="12">
        <f t="shared" si="29"/>
        <v>2.5548780855241038E-2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1.3581231879268216E-2</v>
      </c>
      <c r="BX133" s="12">
        <f t="shared" si="38"/>
        <v>-1.0499803255247988E-3</v>
      </c>
      <c r="BY133" s="12">
        <f t="shared" si="39"/>
        <v>3.9130012734509258E-2</v>
      </c>
    </row>
    <row r="134" spans="1:77" x14ac:dyDescent="0.3">
      <c r="A134" s="1">
        <v>46218</v>
      </c>
      <c r="B134" s="8">
        <v>181.58</v>
      </c>
      <c r="C134" s="8">
        <v>248.45</v>
      </c>
      <c r="D134" s="9">
        <v>-1.1172076771942799E-2</v>
      </c>
      <c r="E134" s="9">
        <v>1.0470361781282701E-3</v>
      </c>
      <c r="F134" s="8">
        <v>0</v>
      </c>
      <c r="G134" s="8">
        <v>0.39539999999999997</v>
      </c>
      <c r="H134" s="8">
        <v>0</v>
      </c>
      <c r="I134" s="8">
        <v>0.1416</v>
      </c>
      <c r="J134" s="8">
        <v>0.39539999999999997</v>
      </c>
      <c r="K134" s="8">
        <v>0.1416</v>
      </c>
      <c r="L134" s="8">
        <v>181.97540000000001</v>
      </c>
      <c r="M134" s="8">
        <v>248.5916</v>
      </c>
      <c r="N134" s="10">
        <v>1.3682674303337301</v>
      </c>
      <c r="O134" s="10">
        <v>1.35656065472774</v>
      </c>
      <c r="P134" s="10">
        <v>1.3506082212314401</v>
      </c>
      <c r="Q134" s="10">
        <v>1.3373425608134499</v>
      </c>
      <c r="R134" s="8">
        <v>246.324283685464</v>
      </c>
      <c r="S134" s="8">
        <v>244.43787152714</v>
      </c>
      <c r="T134" s="8">
        <v>242.43465361541601</v>
      </c>
      <c r="U134" s="9">
        <v>-8.5927238498479906E-3</v>
      </c>
      <c r="V134" s="9">
        <v>-1.6280445606813802E-2</v>
      </c>
      <c r="W134" s="9">
        <v>-2.4509413611402301E-2</v>
      </c>
      <c r="X134" s="10">
        <v>1.3660725570599099</v>
      </c>
      <c r="Y134" s="10">
        <v>1.3555780340485399</v>
      </c>
      <c r="Z134" s="10">
        <v>1.3484656168173701</v>
      </c>
      <c r="AA134" s="10">
        <v>1.3354898167867899</v>
      </c>
      <c r="AB134" s="8">
        <v>246.68185497719699</v>
      </c>
      <c r="AC134" s="8">
        <v>244.58378891192601</v>
      </c>
      <c r="AD134" s="8">
        <v>242.64158292694299</v>
      </c>
      <c r="AE134" s="9">
        <v>-7.7119194197416696E-3</v>
      </c>
      <c r="AF134" s="9">
        <v>-1.625344414138E-2</v>
      </c>
      <c r="AG134" s="9">
        <v>-2.42260021595774E-2</v>
      </c>
      <c r="AZ134" s="9"/>
      <c r="BB134">
        <f t="shared" si="22"/>
        <v>1</v>
      </c>
      <c r="BC134">
        <f t="shared" si="23"/>
        <v>0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-1.1172076771942799E-2</v>
      </c>
      <c r="BH134" s="9">
        <f t="shared" si="27"/>
        <v>-1.0470361781282701E-3</v>
      </c>
      <c r="BI134" s="9">
        <f t="shared" si="28"/>
        <v>-1.2219112950071069E-2</v>
      </c>
      <c r="BJ134" s="12">
        <f t="shared" si="29"/>
        <v>1.3329667905169968E-2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1.3581231879268216E-2</v>
      </c>
      <c r="BX134" s="12">
        <f t="shared" si="38"/>
        <v>-1.2219112950071069E-2</v>
      </c>
      <c r="BY134" s="12">
        <f t="shared" si="39"/>
        <v>2.691089978443819E-2</v>
      </c>
    </row>
    <row r="135" spans="1:77" x14ac:dyDescent="0.3">
      <c r="A135" s="1">
        <v>46219</v>
      </c>
      <c r="B135" s="8">
        <v>177.52</v>
      </c>
      <c r="C135" s="8">
        <v>242.7</v>
      </c>
      <c r="D135" s="9">
        <v>-2.2613049319272601E-2</v>
      </c>
      <c r="E135" s="9">
        <v>-2.34155053157739E-2</v>
      </c>
      <c r="F135" s="8">
        <v>0</v>
      </c>
      <c r="G135" s="8">
        <v>0.39539999999999997</v>
      </c>
      <c r="H135" s="8">
        <v>0</v>
      </c>
      <c r="I135" s="8">
        <v>0.1416</v>
      </c>
      <c r="J135" s="8">
        <v>0.39539999999999997</v>
      </c>
      <c r="K135" s="8">
        <v>0.1416</v>
      </c>
      <c r="L135" s="8">
        <v>177.91540000000001</v>
      </c>
      <c r="M135" s="8">
        <v>242.8416</v>
      </c>
      <c r="N135" s="10">
        <v>1.3671698963497001</v>
      </c>
      <c r="O135" s="10">
        <v>1.35656065472774</v>
      </c>
      <c r="P135" s="10">
        <v>1.3533148671534501</v>
      </c>
      <c r="Q135" s="10">
        <v>1.33917295007418</v>
      </c>
      <c r="R135" s="8">
        <v>240.816647427269</v>
      </c>
      <c r="S135" s="8">
        <v>239.75997143300501</v>
      </c>
      <c r="T135" s="8">
        <v>237.40505139560301</v>
      </c>
      <c r="U135" s="9">
        <v>-7.7902678533468498E-3</v>
      </c>
      <c r="V135" s="9">
        <v>-1.21878088724454E-2</v>
      </c>
      <c r="W135" s="9">
        <v>-2.2058352790084799E-2</v>
      </c>
      <c r="X135" s="10">
        <v>1.3649273755953599</v>
      </c>
      <c r="Y135" s="10">
        <v>1.3555780340485399</v>
      </c>
      <c r="Z135" s="10">
        <v>1.35115674440268</v>
      </c>
      <c r="AA135" s="10">
        <v>1.3372298554351301</v>
      </c>
      <c r="AB135" s="8">
        <v>241.17820815895999</v>
      </c>
      <c r="AC135" s="8">
        <v>239.91279960231</v>
      </c>
      <c r="AD135" s="8">
        <v>237.60420494954801</v>
      </c>
      <c r="AE135" s="9">
        <v>-6.87326576913482E-3</v>
      </c>
      <c r="AF135" s="9">
        <v>-1.21338566114386E-2</v>
      </c>
      <c r="AG135" s="9">
        <v>-2.18030940099068E-2</v>
      </c>
      <c r="AZ135" s="9"/>
      <c r="BB135">
        <f t="shared" si="22"/>
        <v>1</v>
      </c>
      <c r="BC135">
        <f t="shared" si="23"/>
        <v>0</v>
      </c>
      <c r="BD135">
        <f t="shared" si="24"/>
        <v>1</v>
      </c>
      <c r="BE135">
        <f t="shared" si="20"/>
        <v>1</v>
      </c>
      <c r="BF135">
        <f t="shared" si="25"/>
        <v>1</v>
      </c>
      <c r="BG135" s="9">
        <f t="shared" si="26"/>
        <v>-2.2613049319272601E-2</v>
      </c>
      <c r="BH135" s="9">
        <f t="shared" si="27"/>
        <v>2.34155053157739E-2</v>
      </c>
      <c r="BI135" s="9">
        <f t="shared" si="28"/>
        <v>8.0245599650129867E-4</v>
      </c>
      <c r="BJ135" s="12">
        <f t="shared" si="29"/>
        <v>1.4132123901671267E-2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1.3581231879268216E-2</v>
      </c>
      <c r="BX135" s="12">
        <f t="shared" si="38"/>
        <v>8.0245599650129867E-4</v>
      </c>
      <c r="BY135" s="12">
        <f t="shared" si="39"/>
        <v>2.7713355780939489E-2</v>
      </c>
    </row>
    <row r="136" spans="1:77" x14ac:dyDescent="0.3">
      <c r="A136" s="1">
        <v>46220</v>
      </c>
      <c r="B136" s="8">
        <v>175.59</v>
      </c>
      <c r="C136" s="8">
        <v>239.24</v>
      </c>
      <c r="D136" s="9">
        <v>-1.09315466530992E-2</v>
      </c>
      <c r="E136" s="9">
        <v>-1.4358880556199299E-2</v>
      </c>
      <c r="F136" s="8">
        <v>0</v>
      </c>
      <c r="G136" s="8">
        <v>0.39539999999999997</v>
      </c>
      <c r="H136" s="8">
        <v>0</v>
      </c>
      <c r="I136" s="8">
        <v>0.1416</v>
      </c>
      <c r="J136" s="8">
        <v>0.39539999999999997</v>
      </c>
      <c r="K136" s="8">
        <v>0.1416</v>
      </c>
      <c r="L136" s="8">
        <v>175.9854</v>
      </c>
      <c r="M136" s="8">
        <v>239.38159999999999</v>
      </c>
      <c r="N136" s="10">
        <v>1.3624921692579299</v>
      </c>
      <c r="O136" s="10">
        <v>1.35656065472774</v>
      </c>
      <c r="P136" s="10">
        <v>1.35473934295293</v>
      </c>
      <c r="Q136" s="10">
        <v>1.34099239169101</v>
      </c>
      <c r="R136" s="8">
        <v>238.19848536364501</v>
      </c>
      <c r="S136" s="8">
        <v>237.628557523474</v>
      </c>
      <c r="T136" s="8">
        <v>235.145378303526</v>
      </c>
      <c r="U136" s="9">
        <v>-4.3629339502467002E-3</v>
      </c>
      <c r="V136" s="9">
        <v>-6.7584603131816802E-3</v>
      </c>
      <c r="W136" s="9">
        <v>-1.72632782266849E-2</v>
      </c>
      <c r="X136" s="10">
        <v>1.3602355649957301</v>
      </c>
      <c r="Y136" s="10">
        <v>1.3555780340485399</v>
      </c>
      <c r="Z136" s="10">
        <v>1.3525718739241701</v>
      </c>
      <c r="AA136" s="10">
        <v>1.3389581164036699</v>
      </c>
      <c r="AB136" s="8">
        <v>238.56194255324601</v>
      </c>
      <c r="AC136" s="8">
        <v>237.78386012640399</v>
      </c>
      <c r="AD136" s="8">
        <v>235.332931000694</v>
      </c>
      <c r="AE136" s="9">
        <v>-3.42993754427371E-3</v>
      </c>
      <c r="AF136" s="9">
        <v>-6.69682103300608E-3</v>
      </c>
      <c r="AG136" s="9">
        <v>-1.7057692161488999E-2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-1.09315466530992E-2</v>
      </c>
      <c r="BH136" s="9">
        <f t="shared" si="27"/>
        <v>1.4358880556199299E-2</v>
      </c>
      <c r="BI136" s="9">
        <f t="shared" si="28"/>
        <v>3.4273339031000993E-3</v>
      </c>
      <c r="BJ136" s="12">
        <f t="shared" si="29"/>
        <v>1.7559457804771368E-2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1.3581231879268216E-2</v>
      </c>
      <c r="BX136" s="12">
        <f t="shared" si="38"/>
        <v>3.4273339031000993E-3</v>
      </c>
      <c r="BY136" s="12">
        <f t="shared" si="39"/>
        <v>3.1140689684039588E-2</v>
      </c>
    </row>
    <row r="137" spans="1:77" x14ac:dyDescent="0.3">
      <c r="A137" s="1">
        <v>46223</v>
      </c>
      <c r="B137" s="8">
        <v>175.71</v>
      </c>
      <c r="C137" s="8">
        <v>239.97</v>
      </c>
      <c r="D137" s="9">
        <v>6.8317679856144599E-4</v>
      </c>
      <c r="E137" s="9">
        <v>3.0466833524838699E-3</v>
      </c>
      <c r="F137" s="8">
        <v>0</v>
      </c>
      <c r="G137" s="8">
        <v>0.39539999999999997</v>
      </c>
      <c r="H137" s="8">
        <v>0</v>
      </c>
      <c r="I137" s="8">
        <v>0.1416</v>
      </c>
      <c r="J137" s="8">
        <v>0.39539999999999997</v>
      </c>
      <c r="K137" s="8">
        <v>0.1416</v>
      </c>
      <c r="L137" s="8">
        <v>176.1054</v>
      </c>
      <c r="M137" s="8">
        <v>240.11160000000001</v>
      </c>
      <c r="N137" s="10">
        <v>1.36571623698138</v>
      </c>
      <c r="O137" s="10">
        <v>1.35656065472774</v>
      </c>
      <c r="P137" s="10">
        <v>1.3565449373434499</v>
      </c>
      <c r="Q137" s="10">
        <v>1.3430511872425399</v>
      </c>
      <c r="R137" s="8">
        <v>238.36127264221199</v>
      </c>
      <c r="S137" s="8">
        <v>238.04124995026001</v>
      </c>
      <c r="T137" s="8">
        <v>235.62577314402799</v>
      </c>
      <c r="U137" s="9">
        <v>-6.7264405041693003E-3</v>
      </c>
      <c r="V137" s="9">
        <v>-8.0699377566465693E-3</v>
      </c>
      <c r="W137" s="9">
        <v>-1.82690760840837E-2</v>
      </c>
      <c r="X137" s="10">
        <v>1.3634539315659799</v>
      </c>
      <c r="Y137" s="10">
        <v>1.3555780340485399</v>
      </c>
      <c r="Z137" s="10">
        <v>1.35436392172343</v>
      </c>
      <c r="AA137" s="10">
        <v>1.3409247406726901</v>
      </c>
      <c r="AB137" s="8">
        <v>238.724611917332</v>
      </c>
      <c r="AC137" s="8">
        <v>238.195210886165</v>
      </c>
      <c r="AD137" s="8">
        <v>235.797754672515</v>
      </c>
      <c r="AE137" s="9">
        <v>-5.7931790754174499E-3</v>
      </c>
      <c r="AF137" s="9">
        <v>-8.0132639756251393E-3</v>
      </c>
      <c r="AG137" s="9">
        <v>-1.8129349374204101E-2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6.8317679856144599E-4</v>
      </c>
      <c r="BH137" s="9">
        <f t="shared" si="27"/>
        <v>-3.0466833524838699E-3</v>
      </c>
      <c r="BI137" s="9">
        <f t="shared" si="28"/>
        <v>-2.363506553922424E-3</v>
      </c>
      <c r="BJ137" s="12">
        <f t="shared" si="29"/>
        <v>1.5195951250848945E-2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1.3581231879268216E-2</v>
      </c>
      <c r="BX137" s="12">
        <f t="shared" si="38"/>
        <v>-2.363506553922424E-3</v>
      </c>
      <c r="BY137" s="12">
        <f t="shared" si="39"/>
        <v>2.8777183130117165E-2</v>
      </c>
    </row>
    <row r="138" spans="1:77" x14ac:dyDescent="0.3">
      <c r="A138" s="1">
        <v>46224</v>
      </c>
      <c r="B138" s="8">
        <v>180.78</v>
      </c>
      <c r="C138" s="8">
        <v>244.45</v>
      </c>
      <c r="D138" s="9">
        <v>2.84459136004643E-2</v>
      </c>
      <c r="E138" s="9">
        <v>1.84968734958143E-2</v>
      </c>
      <c r="F138" s="8">
        <v>0</v>
      </c>
      <c r="G138" s="8">
        <v>0.39539999999999997</v>
      </c>
      <c r="H138" s="8">
        <v>0</v>
      </c>
      <c r="I138" s="8">
        <v>0.1416</v>
      </c>
      <c r="J138" s="8">
        <v>0.39539999999999997</v>
      </c>
      <c r="K138" s="8">
        <v>0.1416</v>
      </c>
      <c r="L138" s="8">
        <v>181.1754</v>
      </c>
      <c r="M138" s="8">
        <v>244.5916</v>
      </c>
      <c r="N138" s="10">
        <v>1.35219603938488</v>
      </c>
      <c r="O138" s="10">
        <v>1.35656065472774</v>
      </c>
      <c r="P138" s="10">
        <v>1.35599045935315</v>
      </c>
      <c r="Q138" s="10">
        <v>1.34475414560003</v>
      </c>
      <c r="R138" s="8">
        <v>245.23903516168201</v>
      </c>
      <c r="S138" s="8">
        <v>245.23619377294901</v>
      </c>
      <c r="T138" s="8">
        <v>242.79679362970799</v>
      </c>
      <c r="U138" s="9">
        <v>3.2225996004807702E-3</v>
      </c>
      <c r="V138" s="9">
        <v>3.2110133324505202E-3</v>
      </c>
      <c r="W138" s="9">
        <v>-6.7859357349600502E-3</v>
      </c>
      <c r="X138" s="10">
        <v>1.35002654885817</v>
      </c>
      <c r="Y138" s="10">
        <v>1.3555780340485399</v>
      </c>
      <c r="Z138" s="10">
        <v>1.35381259761213</v>
      </c>
      <c r="AA138" s="10">
        <v>1.3426177964041</v>
      </c>
      <c r="AB138" s="8">
        <v>245.59739254995799</v>
      </c>
      <c r="AC138" s="8">
        <v>245.377425263812</v>
      </c>
      <c r="AD138" s="8">
        <v>242.942576261272</v>
      </c>
      <c r="AE138" s="9">
        <v>4.10369868248833E-3</v>
      </c>
      <c r="AF138" s="9">
        <v>3.2076555744410301E-3</v>
      </c>
      <c r="AG138" s="9">
        <v>-6.7647771483421897E-3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2.84459136004643E-2</v>
      </c>
      <c r="BH138" s="9">
        <f t="shared" si="27"/>
        <v>-1.84968734958143E-2</v>
      </c>
      <c r="BI138" s="9">
        <f t="shared" si="28"/>
        <v>9.9490401046499997E-3</v>
      </c>
      <c r="BJ138" s="12">
        <f t="shared" si="29"/>
        <v>2.5144991355498945E-2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1.3581231879268216E-2</v>
      </c>
      <c r="BX138" s="12">
        <f t="shared" si="38"/>
        <v>9.9490401046499997E-3</v>
      </c>
      <c r="BY138" s="12">
        <f t="shared" si="39"/>
        <v>3.8726223234767168E-2</v>
      </c>
    </row>
    <row r="139" spans="1:77" x14ac:dyDescent="0.3">
      <c r="A139" s="1">
        <v>46225</v>
      </c>
      <c r="B139" s="8">
        <v>180.27</v>
      </c>
      <c r="C139" s="8">
        <v>243.28</v>
      </c>
      <c r="D139" s="9">
        <v>-2.8250953563185E-3</v>
      </c>
      <c r="E139" s="9">
        <v>-4.7977456555453298E-3</v>
      </c>
      <c r="F139" s="8">
        <v>0</v>
      </c>
      <c r="G139" s="8">
        <v>0.39539999999999997</v>
      </c>
      <c r="H139" s="8">
        <v>0</v>
      </c>
      <c r="I139" s="8">
        <v>0.1416</v>
      </c>
      <c r="J139" s="8">
        <v>0.39539999999999997</v>
      </c>
      <c r="K139" s="8">
        <v>0.1416</v>
      </c>
      <c r="L139" s="8">
        <v>180.66540000000001</v>
      </c>
      <c r="M139" s="8">
        <v>243.42160000000001</v>
      </c>
      <c r="N139" s="10">
        <v>1.3495312586675501</v>
      </c>
      <c r="O139" s="10">
        <v>1.35656065472774</v>
      </c>
      <c r="P139" s="10">
        <v>1.3558278189574999</v>
      </c>
      <c r="Q139" s="10">
        <v>1.34616577558373</v>
      </c>
      <c r="R139" s="8">
        <v>244.54718922776999</v>
      </c>
      <c r="S139" s="8">
        <v>244.444400107593</v>
      </c>
      <c r="T139" s="8">
        <v>242.41882982731701</v>
      </c>
      <c r="U139" s="9">
        <v>5.1952498997074699E-3</v>
      </c>
      <c r="V139" s="9">
        <v>4.7748372630364204E-3</v>
      </c>
      <c r="W139" s="9">
        <v>-3.5461113851811199E-3</v>
      </c>
      <c r="X139" s="10">
        <v>1.3473614759660599</v>
      </c>
      <c r="Y139" s="10">
        <v>1.3555780340485399</v>
      </c>
      <c r="Z139" s="10">
        <v>1.35364896226593</v>
      </c>
      <c r="AA139" s="10">
        <v>1.3440240985779901</v>
      </c>
      <c r="AB139" s="8">
        <v>244.906047752593</v>
      </c>
      <c r="AC139" s="8">
        <v>244.58709447263399</v>
      </c>
      <c r="AD139" s="8">
        <v>242.56458123446501</v>
      </c>
      <c r="AE139" s="9">
        <v>6.0797390109723097E-3</v>
      </c>
      <c r="AF139" s="9">
        <v>4.7765406713618898E-3</v>
      </c>
      <c r="AG139" s="9">
        <v>-3.5269301351135199E-3</v>
      </c>
      <c r="AZ139" s="9"/>
      <c r="BB139">
        <f t="shared" si="22"/>
        <v>1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-2.8250953563185E-3</v>
      </c>
      <c r="BH139" s="9">
        <f t="shared" si="27"/>
        <v>4.7977456555453298E-3</v>
      </c>
      <c r="BI139" s="9">
        <f t="shared" si="28"/>
        <v>1.9726502992268298E-3</v>
      </c>
      <c r="BJ139" s="12">
        <f t="shared" si="29"/>
        <v>2.7117641654725775E-2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1.3581231879268216E-2</v>
      </c>
      <c r="BX139" s="12">
        <f t="shared" si="38"/>
        <v>1.9726502992268298E-3</v>
      </c>
      <c r="BY139" s="12">
        <f t="shared" si="39"/>
        <v>4.0698873533993998E-2</v>
      </c>
    </row>
    <row r="140" spans="1:77" x14ac:dyDescent="0.3">
      <c r="A140" s="1">
        <v>46226</v>
      </c>
      <c r="B140" s="8">
        <v>178.45</v>
      </c>
      <c r="C140" s="8">
        <v>238.54</v>
      </c>
      <c r="D140" s="9">
        <v>-1.0147277077777E-2</v>
      </c>
      <c r="E140" s="9">
        <v>-1.9676032218586201E-2</v>
      </c>
      <c r="F140" s="8">
        <v>0</v>
      </c>
      <c r="G140" s="8">
        <v>0.39539999999999997</v>
      </c>
      <c r="H140" s="8">
        <v>0</v>
      </c>
      <c r="I140" s="8">
        <v>0.1416</v>
      </c>
      <c r="J140" s="8">
        <v>0.39539999999999997</v>
      </c>
      <c r="K140" s="8">
        <v>0.1416</v>
      </c>
      <c r="L140" s="8">
        <v>178.84539999999899</v>
      </c>
      <c r="M140" s="8">
        <v>238.6816</v>
      </c>
      <c r="N140" s="10">
        <v>1.3367329784253199</v>
      </c>
      <c r="O140" s="10">
        <v>1.35656065472774</v>
      </c>
      <c r="P140" s="10">
        <v>1.35500961423732</v>
      </c>
      <c r="Q140" s="10">
        <v>1.34684836823622</v>
      </c>
      <c r="R140" s="8">
        <v>242.07824883616601</v>
      </c>
      <c r="S140" s="8">
        <v>241.947474292967</v>
      </c>
      <c r="T140" s="8">
        <v>240.22328265291799</v>
      </c>
      <c r="U140" s="9">
        <v>1.4724005040516601E-2</v>
      </c>
      <c r="V140" s="9">
        <v>1.41836430715885E-2</v>
      </c>
      <c r="W140" s="9">
        <v>7.0318240765172898E-3</v>
      </c>
      <c r="X140" s="10">
        <v>1.3345694102280501</v>
      </c>
      <c r="Y140" s="10">
        <v>1.3555780340485399</v>
      </c>
      <c r="Z140" s="10">
        <v>1.3528244621332599</v>
      </c>
      <c r="AA140" s="10">
        <v>1.3447025073271499</v>
      </c>
      <c r="AB140" s="8">
        <v>242.43889573062501</v>
      </c>
      <c r="AC140" s="8">
        <v>242.09389011603599</v>
      </c>
      <c r="AD140" s="8">
        <v>240.37252751982101</v>
      </c>
      <c r="AE140" s="9">
        <v>1.56192560900748E-2</v>
      </c>
      <c r="AF140" s="9">
        <v>1.41951804321526E-2</v>
      </c>
      <c r="AG140" s="9">
        <v>7.0594717595355103E-3</v>
      </c>
      <c r="AZ140" s="9"/>
      <c r="BB140">
        <f t="shared" si="22"/>
        <v>0</v>
      </c>
      <c r="BC140">
        <f t="shared" si="23"/>
        <v>1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-1.0147277077777E-2</v>
      </c>
      <c r="BH140" s="9">
        <f t="shared" si="27"/>
        <v>1.9676032218586201E-2</v>
      </c>
      <c r="BI140" s="9">
        <f t="shared" si="28"/>
        <v>9.528755140809201E-3</v>
      </c>
      <c r="BJ140" s="12">
        <f t="shared" si="29"/>
        <v>3.6646396795534976E-2</v>
      </c>
      <c r="BL140" s="9"/>
      <c r="BN140">
        <f t="shared" si="30"/>
        <v>1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1.3581231879268216E-2</v>
      </c>
      <c r="BX140" s="12">
        <f t="shared" si="38"/>
        <v>9.528755140809201E-3</v>
      </c>
      <c r="BY140" s="12">
        <f t="shared" si="39"/>
        <v>5.0227628674803196E-2</v>
      </c>
    </row>
    <row r="141" spans="1:77" x14ac:dyDescent="0.3">
      <c r="A141" s="1">
        <v>46227</v>
      </c>
      <c r="B141" s="8">
        <v>175.88</v>
      </c>
      <c r="C141" s="8">
        <v>236.08</v>
      </c>
      <c r="D141" s="9">
        <v>-1.4506505623559899E-2</v>
      </c>
      <c r="E141" s="9">
        <v>-1.03662805158389E-2</v>
      </c>
      <c r="F141" s="8">
        <v>0</v>
      </c>
      <c r="G141" s="8">
        <v>0.39539999999999997</v>
      </c>
      <c r="H141" s="8">
        <v>0</v>
      </c>
      <c r="I141" s="8">
        <v>0.1416</v>
      </c>
      <c r="J141" s="8">
        <v>0.39539999999999997</v>
      </c>
      <c r="K141" s="8">
        <v>0.1416</v>
      </c>
      <c r="L141" s="8">
        <v>176.27539999999999</v>
      </c>
      <c r="M141" s="8">
        <v>236.2216</v>
      </c>
      <c r="N141" s="10">
        <v>1.34227882647259</v>
      </c>
      <c r="O141" s="10">
        <v>1.35656065472774</v>
      </c>
      <c r="P141" s="10">
        <v>1.35462666687058</v>
      </c>
      <c r="Q141" s="10">
        <v>1.3478654357450399</v>
      </c>
      <c r="R141" s="8">
        <v>238.59188795351599</v>
      </c>
      <c r="S141" s="8">
        <v>238.31909095206001</v>
      </c>
      <c r="T141" s="8">
        <v>236.88369100538699</v>
      </c>
      <c r="U141" s="9">
        <v>1.0583779932795599E-2</v>
      </c>
      <c r="V141" s="9">
        <v>9.4397633625155491E-3</v>
      </c>
      <c r="W141" s="9">
        <v>3.39853478914608E-3</v>
      </c>
      <c r="X141" s="10">
        <v>1.3400712748347099</v>
      </c>
      <c r="Y141" s="10">
        <v>1.3555780340485399</v>
      </c>
      <c r="Z141" s="10">
        <v>1.3524305892697499</v>
      </c>
      <c r="AA141" s="10">
        <v>1.34571221492065</v>
      </c>
      <c r="AB141" s="8">
        <v>238.95506018312</v>
      </c>
      <c r="AC141" s="8">
        <v>238.46967319232601</v>
      </c>
      <c r="AD141" s="8">
        <v>237.03797236009601</v>
      </c>
      <c r="AE141" s="9">
        <v>1.15051540368932E-2</v>
      </c>
      <c r="AF141" s="9">
        <v>9.4717983093853698E-3</v>
      </c>
      <c r="AG141" s="9">
        <v>3.450001722166E-3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3.6646396795534976E-2</v>
      </c>
      <c r="BL141" s="9"/>
      <c r="BN141">
        <f t="shared" si="30"/>
        <v>1</v>
      </c>
      <c r="BO141">
        <f t="shared" si="31"/>
        <v>0</v>
      </c>
      <c r="BP141">
        <f t="shared" si="32"/>
        <v>1</v>
      </c>
      <c r="BQ141">
        <f t="shared" si="21"/>
        <v>1</v>
      </c>
      <c r="BR141">
        <f t="shared" si="33"/>
        <v>1</v>
      </c>
      <c r="BS141" s="9">
        <f t="shared" si="34"/>
        <v>1.4506505623559899E-2</v>
      </c>
      <c r="BT141" s="9">
        <f t="shared" si="35"/>
        <v>-1.03662805158389E-2</v>
      </c>
      <c r="BU141" s="9">
        <f t="shared" si="36"/>
        <v>4.1402251077209996E-3</v>
      </c>
      <c r="BV141" s="12">
        <f t="shared" si="37"/>
        <v>1.7721456986989216E-2</v>
      </c>
      <c r="BX141" s="12">
        <f t="shared" si="38"/>
        <v>4.1402251077209996E-3</v>
      </c>
      <c r="BY141" s="12">
        <f t="shared" si="39"/>
        <v>5.4367853782524192E-2</v>
      </c>
    </row>
    <row r="142" spans="1:77" x14ac:dyDescent="0.3">
      <c r="A142" s="1">
        <v>46230</v>
      </c>
      <c r="B142" s="8">
        <v>174.3</v>
      </c>
      <c r="C142" s="8">
        <v>235.05</v>
      </c>
      <c r="D142" s="9">
        <v>-9.0239917866340898E-3</v>
      </c>
      <c r="E142" s="9">
        <v>-4.3724731645444501E-3</v>
      </c>
      <c r="F142" s="8">
        <v>0</v>
      </c>
      <c r="G142" s="8">
        <v>0.39539999999999997</v>
      </c>
      <c r="H142" s="8">
        <v>0</v>
      </c>
      <c r="I142" s="8">
        <v>0.1416</v>
      </c>
      <c r="J142" s="8">
        <v>0.39539999999999997</v>
      </c>
      <c r="K142" s="8">
        <v>0.1416</v>
      </c>
      <c r="L142" s="8">
        <v>174.69540000000001</v>
      </c>
      <c r="M142" s="8">
        <v>235.19159999999999</v>
      </c>
      <c r="N142" s="10">
        <v>1.3485370051635099</v>
      </c>
      <c r="O142" s="10">
        <v>1.35656065472774</v>
      </c>
      <c r="P142" s="10">
        <v>1.3544571988079399</v>
      </c>
      <c r="Q142" s="10">
        <v>1.3491280764068301</v>
      </c>
      <c r="R142" s="8">
        <v>236.448522119046</v>
      </c>
      <c r="S142" s="8">
        <v>236.11142803554301</v>
      </c>
      <c r="T142" s="8">
        <v>234.93294545035999</v>
      </c>
      <c r="U142" s="9">
        <v>5.9322613107059604E-3</v>
      </c>
      <c r="V142" s="9">
        <v>4.50558881944113E-3</v>
      </c>
      <c r="W142" s="9">
        <v>-4.9812255186115198E-4</v>
      </c>
      <c r="X142" s="10">
        <v>1.3462953231739301</v>
      </c>
      <c r="Y142" s="10">
        <v>1.3555780340485399</v>
      </c>
      <c r="Z142" s="10">
        <v>1.35225287745833</v>
      </c>
      <c r="AA142" s="10">
        <v>1.3469678996415499</v>
      </c>
      <c r="AB142" s="8">
        <v>236.81324688932301</v>
      </c>
      <c r="AC142" s="8">
        <v>236.26340276471501</v>
      </c>
      <c r="AD142" s="8">
        <v>235.08973367044999</v>
      </c>
      <c r="AE142" s="9">
        <v>6.8713415997994501E-3</v>
      </c>
      <c r="AF142" s="9">
        <v>4.5467949429247997E-3</v>
      </c>
      <c r="AG142" s="9">
        <v>-4.3321443506017502E-4</v>
      </c>
      <c r="AZ142" s="9"/>
      <c r="BB142">
        <f t="shared" si="22"/>
        <v>0</v>
      </c>
      <c r="BC142">
        <f t="shared" si="23"/>
        <v>0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3.6646396795534976E-2</v>
      </c>
      <c r="BL142" s="9"/>
      <c r="BN142">
        <f t="shared" si="30"/>
        <v>0</v>
      </c>
      <c r="BO142">
        <f t="shared" si="31"/>
        <v>1</v>
      </c>
      <c r="BP142">
        <f t="shared" si="32"/>
        <v>1</v>
      </c>
      <c r="BQ142">
        <f t="shared" si="21"/>
        <v>1</v>
      </c>
      <c r="BR142">
        <f t="shared" si="33"/>
        <v>1</v>
      </c>
      <c r="BS142" s="9">
        <f t="shared" si="34"/>
        <v>9.0239917866340898E-3</v>
      </c>
      <c r="BT142" s="9">
        <f t="shared" si="35"/>
        <v>-4.3724731645444501E-3</v>
      </c>
      <c r="BU142" s="9">
        <f t="shared" si="36"/>
        <v>4.6515186220896397E-3</v>
      </c>
      <c r="BV142" s="12">
        <f t="shared" si="37"/>
        <v>2.2372975609078857E-2</v>
      </c>
      <c r="BX142" s="12">
        <f t="shared" si="38"/>
        <v>4.6515186220896397E-3</v>
      </c>
      <c r="BY142" s="12">
        <f t="shared" si="39"/>
        <v>5.9019372404613829E-2</v>
      </c>
    </row>
    <row r="143" spans="1:77" x14ac:dyDescent="0.3">
      <c r="A143" s="1">
        <v>46231</v>
      </c>
      <c r="B143" s="8">
        <v>171.09</v>
      </c>
      <c r="C143" s="8">
        <v>232.2</v>
      </c>
      <c r="D143" s="9">
        <v>-1.8588218689417998E-2</v>
      </c>
      <c r="E143" s="9">
        <v>-1.21991882063485E-2</v>
      </c>
      <c r="F143" s="8">
        <v>0</v>
      </c>
      <c r="G143" s="8">
        <v>0.39539999999999997</v>
      </c>
      <c r="H143" s="8">
        <v>0</v>
      </c>
      <c r="I143" s="8">
        <v>0.1416</v>
      </c>
      <c r="J143" s="8">
        <v>0.39539999999999997</v>
      </c>
      <c r="K143" s="8">
        <v>0.1416</v>
      </c>
      <c r="L143" s="8">
        <v>171.4854</v>
      </c>
      <c r="M143" s="8">
        <v>232.3416</v>
      </c>
      <c r="N143" s="10">
        <v>1.35718043135192</v>
      </c>
      <c r="O143" s="10">
        <v>1.35656065472774</v>
      </c>
      <c r="P143" s="10">
        <v>1.35501022723885</v>
      </c>
      <c r="Q143" s="10">
        <v>1.3505910028339301</v>
      </c>
      <c r="R143" s="8">
        <v>232.09396241736999</v>
      </c>
      <c r="S143" s="8">
        <v>231.734082144051</v>
      </c>
      <c r="T143" s="8">
        <v>230.822322592446</v>
      </c>
      <c r="U143" s="9">
        <v>-4.5676917236357501E-4</v>
      </c>
      <c r="V143" s="9">
        <v>-2.0085526393428298E-3</v>
      </c>
      <c r="W143" s="9">
        <v>-5.95082096860821E-3</v>
      </c>
      <c r="X143" s="10">
        <v>1.3548768583214601</v>
      </c>
      <c r="Y143" s="10">
        <v>1.3555780340485399</v>
      </c>
      <c r="Z143" s="10">
        <v>1.3527890320599401</v>
      </c>
      <c r="AA143" s="10">
        <v>1.3484188361081899</v>
      </c>
      <c r="AB143" s="8">
        <v>232.461841400027</v>
      </c>
      <c r="AC143" s="8">
        <v>231.89162559209299</v>
      </c>
      <c r="AD143" s="8">
        <v>230.98532905719199</v>
      </c>
      <c r="AE143" s="9">
        <v>5.1738602600680803E-4</v>
      </c>
      <c r="AF143" s="9">
        <v>-1.9385710630773899E-3</v>
      </c>
      <c r="AG143" s="9">
        <v>-5.8545045911288802E-3</v>
      </c>
      <c r="AZ143" s="9"/>
      <c r="BB143">
        <f t="shared" si="22"/>
        <v>1</v>
      </c>
      <c r="BC143">
        <f t="shared" si="23"/>
        <v>0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3.6646396795534976E-2</v>
      </c>
      <c r="BL143" s="9"/>
      <c r="BN143">
        <f t="shared" si="30"/>
        <v>0</v>
      </c>
      <c r="BO143">
        <f t="shared" si="31"/>
        <v>1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2.2372975609078857E-2</v>
      </c>
      <c r="BX143" s="12">
        <f t="shared" si="38"/>
        <v>0</v>
      </c>
      <c r="BY143" s="12">
        <f t="shared" si="39"/>
        <v>5.9019372404613829E-2</v>
      </c>
    </row>
    <row r="144" spans="1:77" x14ac:dyDescent="0.3">
      <c r="A144" s="1">
        <v>46232</v>
      </c>
      <c r="B144" s="8">
        <v>166.57</v>
      </c>
      <c r="C144" s="8">
        <v>227.34</v>
      </c>
      <c r="D144" s="9">
        <v>-2.67740923475407E-2</v>
      </c>
      <c r="E144" s="9">
        <v>-2.1152375005226601E-2</v>
      </c>
      <c r="F144" s="8">
        <v>0</v>
      </c>
      <c r="G144" s="8">
        <v>0.39539999999999997</v>
      </c>
      <c r="H144" s="8">
        <v>0</v>
      </c>
      <c r="I144" s="8">
        <v>0.1416</v>
      </c>
      <c r="J144" s="8">
        <v>0.39539999999999997</v>
      </c>
      <c r="K144" s="8">
        <v>0.1416</v>
      </c>
      <c r="L144" s="8">
        <v>166.96539999999999</v>
      </c>
      <c r="M144" s="8">
        <v>227.48159999999999</v>
      </c>
      <c r="N144" s="10">
        <v>1.3648316023293501</v>
      </c>
      <c r="O144" s="10">
        <v>1.35656065472774</v>
      </c>
      <c r="P144" s="10">
        <v>1.3546666444384099</v>
      </c>
      <c r="Q144" s="10">
        <v>1.35263743283493</v>
      </c>
      <c r="R144" s="8">
        <v>225.96230825800001</v>
      </c>
      <c r="S144" s="8">
        <v>225.704053551176</v>
      </c>
      <c r="T144" s="8">
        <v>224.96794334204799</v>
      </c>
      <c r="U144" s="9">
        <v>-6.0784865146777303E-3</v>
      </c>
      <c r="V144" s="9">
        <v>-7.2220506886147501E-3</v>
      </c>
      <c r="W144" s="9">
        <v>-1.04887762398725E-2</v>
      </c>
      <c r="X144" s="10">
        <v>1.36244754901314</v>
      </c>
      <c r="Y144" s="10">
        <v>1.3555780340485399</v>
      </c>
      <c r="Z144" s="10">
        <v>1.3524265312552599</v>
      </c>
      <c r="AA144" s="10">
        <v>1.35044607403632</v>
      </c>
      <c r="AB144" s="8">
        <v>226.33462868612801</v>
      </c>
      <c r="AC144" s="8">
        <v>225.8689618535</v>
      </c>
      <c r="AD144" s="8">
        <v>225.13929033833901</v>
      </c>
      <c r="AE144" s="9">
        <v>-5.0547939167988904E-3</v>
      </c>
      <c r="AF144" s="9">
        <v>-7.1143396920748002E-3</v>
      </c>
      <c r="AG144" s="9">
        <v>-1.03500771680678E-2</v>
      </c>
      <c r="AZ144" s="9"/>
      <c r="BB144">
        <f t="shared" si="22"/>
        <v>1</v>
      </c>
      <c r="BC144">
        <f t="shared" si="23"/>
        <v>0</v>
      </c>
      <c r="BD144">
        <f t="shared" si="24"/>
        <v>1</v>
      </c>
      <c r="BE144">
        <f t="shared" si="20"/>
        <v>1</v>
      </c>
      <c r="BF144">
        <f t="shared" si="25"/>
        <v>1</v>
      </c>
      <c r="BG144" s="9">
        <f t="shared" si="26"/>
        <v>-2.67740923475407E-2</v>
      </c>
      <c r="BH144" s="9">
        <f t="shared" si="27"/>
        <v>2.1152375005226601E-2</v>
      </c>
      <c r="BI144" s="9">
        <f t="shared" si="28"/>
        <v>-5.621717342314099E-3</v>
      </c>
      <c r="BJ144" s="12">
        <f t="shared" si="29"/>
        <v>3.1024679453220877E-2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2.2372975609078857E-2</v>
      </c>
      <c r="BX144" s="12">
        <f t="shared" si="38"/>
        <v>-5.621717342314099E-3</v>
      </c>
      <c r="BY144" s="12">
        <f t="shared" si="39"/>
        <v>5.339765506229973E-2</v>
      </c>
    </row>
    <row r="145" spans="1:77" x14ac:dyDescent="0.3">
      <c r="A145" s="1">
        <v>46233</v>
      </c>
      <c r="B145" s="8">
        <v>175.73</v>
      </c>
      <c r="C145" s="8">
        <v>236.96</v>
      </c>
      <c r="D145" s="9">
        <v>5.3533084717738398E-2</v>
      </c>
      <c r="E145" s="9">
        <v>4.1444656260924202E-2</v>
      </c>
      <c r="F145" s="8">
        <v>0</v>
      </c>
      <c r="G145" s="8">
        <v>0.39539999999999997</v>
      </c>
      <c r="H145" s="8">
        <v>0</v>
      </c>
      <c r="I145" s="8">
        <v>0.1416</v>
      </c>
      <c r="J145" s="8">
        <v>0.39539999999999997</v>
      </c>
      <c r="K145" s="8">
        <v>0.1416</v>
      </c>
      <c r="L145" s="8">
        <v>176.12539999999899</v>
      </c>
      <c r="M145" s="8">
        <v>237.10159999999999</v>
      </c>
      <c r="N145" s="10">
        <v>1.34843225402606</v>
      </c>
      <c r="O145" s="10">
        <v>1.35656065472774</v>
      </c>
      <c r="P145" s="10">
        <v>1.35279288020605</v>
      </c>
      <c r="Q145" s="10">
        <v>1.3530538736797499</v>
      </c>
      <c r="R145" s="8">
        <v>238.388403855306</v>
      </c>
      <c r="S145" s="8">
        <v>238.05556942716299</v>
      </c>
      <c r="T145" s="8">
        <v>237.69897607208199</v>
      </c>
      <c r="U145" s="9">
        <v>6.0099419421364301E-3</v>
      </c>
      <c r="V145" s="9">
        <v>4.6127808866887002E-3</v>
      </c>
      <c r="W145" s="9">
        <v>3.1137161894319401E-3</v>
      </c>
      <c r="X145" s="10">
        <v>1.3462090079000499</v>
      </c>
      <c r="Y145" s="10">
        <v>1.3555780340485399</v>
      </c>
      <c r="Z145" s="10">
        <v>1.3505546944857301</v>
      </c>
      <c r="AA145" s="10">
        <v>1.3508557194442099</v>
      </c>
      <c r="AB145" s="8">
        <v>238.75172347801299</v>
      </c>
      <c r="AC145" s="8">
        <v>238.19666378794599</v>
      </c>
      <c r="AD145" s="8">
        <v>237.84785496807601</v>
      </c>
      <c r="AE145" s="9">
        <v>6.9354568347621201E-3</v>
      </c>
      <c r="AF145" s="9">
        <v>4.6079096389992904E-3</v>
      </c>
      <c r="AG145" s="9">
        <v>3.1424631584722998E-3</v>
      </c>
      <c r="AZ145" s="9"/>
      <c r="BB145">
        <f t="shared" si="22"/>
        <v>0</v>
      </c>
      <c r="BC145">
        <f t="shared" si="23"/>
        <v>1</v>
      </c>
      <c r="BD145">
        <f t="shared" si="24"/>
        <v>1</v>
      </c>
      <c r="BE145">
        <f t="shared" si="20"/>
        <v>1</v>
      </c>
      <c r="BF145">
        <f t="shared" si="25"/>
        <v>1</v>
      </c>
      <c r="BG145" s="9">
        <f t="shared" si="26"/>
        <v>5.3533084717738398E-2</v>
      </c>
      <c r="BH145" s="9">
        <f t="shared" si="27"/>
        <v>-4.1444656260924202E-2</v>
      </c>
      <c r="BI145" s="9">
        <f t="shared" si="28"/>
        <v>1.2088428456814196E-2</v>
      </c>
      <c r="BJ145" s="12">
        <f t="shared" si="29"/>
        <v>4.3113107910035073E-2</v>
      </c>
      <c r="BL145" s="9"/>
      <c r="BN145">
        <f t="shared" si="30"/>
        <v>1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2.2372975609078857E-2</v>
      </c>
      <c r="BX145" s="12">
        <f t="shared" si="38"/>
        <v>1.2088428456814196E-2</v>
      </c>
      <c r="BY145" s="12">
        <f t="shared" si="39"/>
        <v>6.5486083519113919E-2</v>
      </c>
    </row>
    <row r="146" spans="1:77" x14ac:dyDescent="0.3">
      <c r="A146" s="1">
        <v>46234</v>
      </c>
      <c r="B146" s="8">
        <v>175.35</v>
      </c>
      <c r="C146" s="8">
        <v>238.04</v>
      </c>
      <c r="D146" s="9">
        <v>-2.1647496205676E-3</v>
      </c>
      <c r="E146" s="9">
        <v>4.5473762571626398E-3</v>
      </c>
      <c r="F146" s="8">
        <v>0</v>
      </c>
      <c r="G146" s="8">
        <v>0.39539999999999997</v>
      </c>
      <c r="H146" s="8">
        <v>0</v>
      </c>
      <c r="I146" s="8">
        <v>0.1416</v>
      </c>
      <c r="J146" s="8">
        <v>0.39539999999999997</v>
      </c>
      <c r="K146" s="8">
        <v>0.1416</v>
      </c>
      <c r="L146" s="8">
        <v>175.74539999999999</v>
      </c>
      <c r="M146" s="8">
        <v>238.1816</v>
      </c>
      <c r="N146" s="10">
        <v>1.35751354433989</v>
      </c>
      <c r="O146" s="10">
        <v>1.35656065472774</v>
      </c>
      <c r="P146" s="10">
        <v>1.3522950177142401</v>
      </c>
      <c r="Q146" s="10">
        <v>1.3535171803335899</v>
      </c>
      <c r="R146" s="8">
        <v>237.87291080650999</v>
      </c>
      <c r="S146" s="8">
        <v>237.21223154413099</v>
      </c>
      <c r="T146" s="8">
        <v>237.257996749744</v>
      </c>
      <c r="U146" s="9">
        <v>-7.0218393559384599E-4</v>
      </c>
      <c r="V146" s="9">
        <v>-3.48349460765904E-3</v>
      </c>
      <c r="W146" s="9">
        <v>-3.2905838494025502E-3</v>
      </c>
      <c r="X146" s="10">
        <v>1.35526505956912</v>
      </c>
      <c r="Y146" s="10">
        <v>1.3555780340485399</v>
      </c>
      <c r="Z146" s="10">
        <v>1.35005764394307</v>
      </c>
      <c r="AA146" s="10">
        <v>1.3513147589336201</v>
      </c>
      <c r="AB146" s="8">
        <v>238.23660382507401</v>
      </c>
      <c r="AC146" s="8">
        <v>237.35377500427299</v>
      </c>
      <c r="AD146" s="8">
        <v>237.40667875601</v>
      </c>
      <c r="AE146" s="9">
        <v>2.3090564078955E-4</v>
      </c>
      <c r="AF146" s="9">
        <v>-3.4816582550003402E-3</v>
      </c>
      <c r="AG146" s="9">
        <v>-3.2587932225933902E-3</v>
      </c>
      <c r="AZ146" s="9"/>
      <c r="BB146">
        <f t="shared" si="22"/>
        <v>1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4.3113107910035073E-2</v>
      </c>
      <c r="BL146" s="9"/>
      <c r="BN146">
        <f t="shared" si="30"/>
        <v>0</v>
      </c>
      <c r="BO146">
        <f t="shared" si="31"/>
        <v>1</v>
      </c>
      <c r="BP146">
        <f t="shared" si="32"/>
        <v>1</v>
      </c>
      <c r="BQ146">
        <f t="shared" si="21"/>
        <v>1</v>
      </c>
      <c r="BR146">
        <f t="shared" si="33"/>
        <v>1</v>
      </c>
      <c r="BS146" s="9">
        <f t="shared" si="34"/>
        <v>2.1647496205676E-3</v>
      </c>
      <c r="BT146" s="9">
        <f t="shared" si="35"/>
        <v>4.5473762571626398E-3</v>
      </c>
      <c r="BU146" s="9">
        <f t="shared" si="36"/>
        <v>6.7121258777302403E-3</v>
      </c>
      <c r="BV146" s="12">
        <f t="shared" si="37"/>
        <v>2.9085101486809095E-2</v>
      </c>
      <c r="BX146" s="12">
        <f t="shared" si="38"/>
        <v>6.7121258777302403E-3</v>
      </c>
      <c r="BY146" s="12">
        <f t="shared" si="39"/>
        <v>7.2198209396844154E-2</v>
      </c>
    </row>
    <row r="147" spans="1:77" x14ac:dyDescent="0.3">
      <c r="A147" s="1">
        <v>46237</v>
      </c>
      <c r="B147" s="8">
        <v>178.04</v>
      </c>
      <c r="C147" s="8">
        <v>243.68</v>
      </c>
      <c r="D147" s="9">
        <v>1.52242675614663E-2</v>
      </c>
      <c r="E147" s="9">
        <v>2.3417162370200299E-2</v>
      </c>
      <c r="F147" s="8">
        <v>0</v>
      </c>
      <c r="G147" s="8">
        <v>0.39539999999999997</v>
      </c>
      <c r="H147" s="8">
        <v>0</v>
      </c>
      <c r="I147" s="8">
        <v>0.1416</v>
      </c>
      <c r="J147" s="8">
        <v>0.39539999999999997</v>
      </c>
      <c r="K147" s="8">
        <v>0.1416</v>
      </c>
      <c r="L147" s="8">
        <v>178.43539999999999</v>
      </c>
      <c r="M147" s="8">
        <v>243.82159999999999</v>
      </c>
      <c r="N147" s="10">
        <v>1.3686811952370199</v>
      </c>
      <c r="O147" s="10">
        <v>1.35656065472774</v>
      </c>
      <c r="P147" s="10">
        <v>1.3525915135398101</v>
      </c>
      <c r="Q147" s="10">
        <v>1.35456822544163</v>
      </c>
      <c r="R147" s="8">
        <v>241.52205896772799</v>
      </c>
      <c r="S147" s="8">
        <v>240.762604953844</v>
      </c>
      <c r="T147" s="8">
        <v>240.98019878659201</v>
      </c>
      <c r="U147" s="9">
        <v>-8.8950787443279108E-3</v>
      </c>
      <c r="V147" s="9">
        <v>-1.20444828138816E-2</v>
      </c>
      <c r="W147" s="9">
        <v>-1.1141121742969801E-2</v>
      </c>
      <c r="X147" s="10">
        <v>1.36644186075184</v>
      </c>
      <c r="Y147" s="10">
        <v>1.3555780340485399</v>
      </c>
      <c r="Z147" s="10">
        <v>1.3503564368616501</v>
      </c>
      <c r="AA147" s="10">
        <v>1.3523601792925399</v>
      </c>
      <c r="AB147" s="8">
        <v>241.88310873666501</v>
      </c>
      <c r="AC147" s="8">
        <v>240.898075720039</v>
      </c>
      <c r="AD147" s="8">
        <v>241.12238953622401</v>
      </c>
      <c r="AE147" s="9">
        <v>-7.9822226187128698E-3</v>
      </c>
      <c r="AF147" s="9">
        <v>-1.2062888623198801E-2</v>
      </c>
      <c r="AG147" s="9">
        <v>-1.11321653508664E-2</v>
      </c>
      <c r="AZ147" s="9"/>
      <c r="BB147">
        <f t="shared" si="22"/>
        <v>1</v>
      </c>
      <c r="BC147">
        <f t="shared" si="23"/>
        <v>0</v>
      </c>
      <c r="BD147">
        <f t="shared" si="24"/>
        <v>1</v>
      </c>
      <c r="BE147">
        <f t="shared" si="20"/>
        <v>1</v>
      </c>
      <c r="BF147">
        <f t="shared" si="25"/>
        <v>1</v>
      </c>
      <c r="BG147" s="9">
        <f t="shared" si="26"/>
        <v>1.52242675614663E-2</v>
      </c>
      <c r="BH147" s="9">
        <f t="shared" si="27"/>
        <v>-2.3417162370200299E-2</v>
      </c>
      <c r="BI147" s="9">
        <f t="shared" si="28"/>
        <v>-8.1928948087339991E-3</v>
      </c>
      <c r="BJ147" s="12">
        <f t="shared" si="29"/>
        <v>3.492021310130107E-2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2.9085101486809095E-2</v>
      </c>
      <c r="BX147" s="12">
        <f t="shared" si="38"/>
        <v>-8.1928948087339991E-3</v>
      </c>
      <c r="BY147" s="12">
        <f t="shared" si="39"/>
        <v>6.4005314588110152E-2</v>
      </c>
    </row>
    <row r="148" spans="1:77" x14ac:dyDescent="0.3">
      <c r="A148" s="1">
        <v>46238</v>
      </c>
      <c r="B148" s="8">
        <v>186.9</v>
      </c>
      <c r="C148" s="8">
        <v>253.55</v>
      </c>
      <c r="D148" s="9">
        <v>4.8565470313863497E-2</v>
      </c>
      <c r="E148" s="9">
        <v>3.9705153094176403E-2</v>
      </c>
      <c r="F148" s="8">
        <v>0</v>
      </c>
      <c r="G148" s="8">
        <v>0.39539999999999997</v>
      </c>
      <c r="H148" s="8">
        <v>0</v>
      </c>
      <c r="I148" s="8">
        <v>0.1416</v>
      </c>
      <c r="J148" s="8">
        <v>0.39539999999999997</v>
      </c>
      <c r="K148" s="8">
        <v>0.1416</v>
      </c>
      <c r="L148" s="8">
        <v>187.2954</v>
      </c>
      <c r="M148" s="8">
        <v>253.69159999999999</v>
      </c>
      <c r="N148" s="10">
        <v>1.3566078116639899</v>
      </c>
      <c r="O148" s="10">
        <v>1.35656065472774</v>
      </c>
      <c r="P148" s="10">
        <v>1.3530326907677199</v>
      </c>
      <c r="Q148" s="10">
        <v>1.35451157506044</v>
      </c>
      <c r="R148" s="8">
        <v>253.541186368615</v>
      </c>
      <c r="S148" s="8">
        <v>252.79935388059101</v>
      </c>
      <c r="T148" s="8">
        <v>253.168801335041</v>
      </c>
      <c r="U148" s="9">
        <v>-3.4761524640634201E-5</v>
      </c>
      <c r="V148" s="9">
        <v>-2.9649358236844099E-3</v>
      </c>
      <c r="W148" s="9">
        <v>-1.5045770390434499E-3</v>
      </c>
      <c r="X148" s="10">
        <v>1.3544998969542199</v>
      </c>
      <c r="Y148" s="10">
        <v>1.3555780340485399</v>
      </c>
      <c r="Z148" s="10">
        <v>1.35080377167126</v>
      </c>
      <c r="AA148" s="10">
        <v>1.35230818464169</v>
      </c>
      <c r="AB148" s="8">
        <v>253.89353011833501</v>
      </c>
      <c r="AC148" s="8">
        <v>252.915548984579</v>
      </c>
      <c r="AD148" s="8">
        <v>253.29084072466901</v>
      </c>
      <c r="AE148" s="9">
        <v>7.9565029393595301E-4</v>
      </c>
      <c r="AF148" s="9">
        <v>-3.0637215601975599E-3</v>
      </c>
      <c r="AG148" s="9">
        <v>-1.58095952289883E-3</v>
      </c>
      <c r="AZ148" s="9"/>
      <c r="BB148">
        <f t="shared" si="22"/>
        <v>1</v>
      </c>
      <c r="BC148">
        <f t="shared" si="23"/>
        <v>0</v>
      </c>
      <c r="BD148">
        <f t="shared" si="24"/>
        <v>1</v>
      </c>
      <c r="BE148">
        <f t="shared" si="20"/>
        <v>1</v>
      </c>
      <c r="BF148">
        <f t="shared" si="25"/>
        <v>1</v>
      </c>
      <c r="BG148" s="9">
        <f t="shared" si="26"/>
        <v>4.8565470313863497E-2</v>
      </c>
      <c r="BH148" s="9">
        <f t="shared" si="27"/>
        <v>-3.9705153094176403E-2</v>
      </c>
      <c r="BI148" s="9">
        <f t="shared" si="28"/>
        <v>8.8603172196870944E-3</v>
      </c>
      <c r="BJ148" s="12">
        <f t="shared" si="29"/>
        <v>4.3780530320988165E-2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2.9085101486809095E-2</v>
      </c>
      <c r="BX148" s="12">
        <f t="shared" si="38"/>
        <v>8.8603172196870944E-3</v>
      </c>
      <c r="BY148" s="12">
        <f t="shared" si="39"/>
        <v>7.2865631807797246E-2</v>
      </c>
    </row>
    <row r="149" spans="1:77" x14ac:dyDescent="0.3">
      <c r="A149" s="1">
        <v>46239</v>
      </c>
      <c r="B149" s="8">
        <v>185.91</v>
      </c>
      <c r="C149" s="8">
        <v>251.27</v>
      </c>
      <c r="D149" s="9">
        <v>-5.3110288193913601E-3</v>
      </c>
      <c r="E149" s="9">
        <v>-9.0329840457631493E-3</v>
      </c>
      <c r="F149" s="8">
        <v>0</v>
      </c>
      <c r="G149" s="8">
        <v>0.39539999999999997</v>
      </c>
      <c r="H149" s="8">
        <v>0</v>
      </c>
      <c r="I149" s="8">
        <v>0.1416</v>
      </c>
      <c r="J149" s="8">
        <v>0.39539999999999997</v>
      </c>
      <c r="K149" s="8">
        <v>0.1416</v>
      </c>
      <c r="L149" s="8">
        <v>186.30539999999999</v>
      </c>
      <c r="M149" s="8">
        <v>251.41159999999999</v>
      </c>
      <c r="N149" s="10">
        <v>1.3515679629928401</v>
      </c>
      <c r="O149" s="10">
        <v>1.35656065472774</v>
      </c>
      <c r="P149" s="10">
        <v>1.35323636120025</v>
      </c>
      <c r="Q149" s="10">
        <v>1.35453209007888</v>
      </c>
      <c r="R149" s="8">
        <v>252.198191320435</v>
      </c>
      <c r="S149" s="8">
        <v>251.54230754062701</v>
      </c>
      <c r="T149" s="8">
        <v>251.817246919486</v>
      </c>
      <c r="U149" s="9">
        <v>3.6871937017311398E-3</v>
      </c>
      <c r="V149" s="9">
        <v>1.0831380344751701E-3</v>
      </c>
      <c r="W149" s="9">
        <v>2.1755555867597198E-3</v>
      </c>
      <c r="X149" s="10">
        <v>1.34945954330899</v>
      </c>
      <c r="Y149" s="10">
        <v>1.3555780340485399</v>
      </c>
      <c r="Z149" s="10">
        <v>1.3510135784055499</v>
      </c>
      <c r="AA149" s="10">
        <v>1.35233127033574</v>
      </c>
      <c r="AB149" s="8">
        <v>252.55150786462701</v>
      </c>
      <c r="AC149" s="8">
        <v>251.662037002723</v>
      </c>
      <c r="AD149" s="8">
        <v>251.94231726294501</v>
      </c>
      <c r="AE149" s="9">
        <v>4.5237827563903597E-3</v>
      </c>
      <c r="AF149" s="9">
        <v>9.9562769738131504E-4</v>
      </c>
      <c r="AG149" s="9">
        <v>2.1087248610035798E-3</v>
      </c>
      <c r="AZ149" s="9"/>
      <c r="BB149">
        <f t="shared" si="22"/>
        <v>0</v>
      </c>
      <c r="BC149">
        <f t="shared" si="23"/>
        <v>1</v>
      </c>
      <c r="BD149">
        <f t="shared" si="24"/>
        <v>1</v>
      </c>
      <c r="BE149">
        <f t="shared" si="20"/>
        <v>1</v>
      </c>
      <c r="BF149">
        <f t="shared" si="25"/>
        <v>1</v>
      </c>
      <c r="BG149" s="9">
        <f t="shared" si="26"/>
        <v>-5.3110288193913601E-3</v>
      </c>
      <c r="BH149" s="9">
        <f t="shared" si="27"/>
        <v>9.0329840457631493E-3</v>
      </c>
      <c r="BI149" s="9">
        <f t="shared" si="28"/>
        <v>3.7219552263717893E-3</v>
      </c>
      <c r="BJ149" s="12">
        <f t="shared" si="29"/>
        <v>4.7502485547359953E-2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2.9085101486809095E-2</v>
      </c>
      <c r="BX149" s="12">
        <f t="shared" si="38"/>
        <v>3.7219552263717893E-3</v>
      </c>
      <c r="BY149" s="12">
        <f t="shared" si="39"/>
        <v>7.6587587034169041E-2</v>
      </c>
    </row>
    <row r="150" spans="1:77" x14ac:dyDescent="0.3">
      <c r="A150" s="1">
        <v>46240</v>
      </c>
      <c r="B150" s="8">
        <v>185.33</v>
      </c>
      <c r="C150" s="8">
        <v>250.59</v>
      </c>
      <c r="D150" s="9">
        <v>-3.1246658329068199E-3</v>
      </c>
      <c r="E150" s="9">
        <v>-2.7099207593403399E-3</v>
      </c>
      <c r="F150" s="8">
        <v>0</v>
      </c>
      <c r="G150" s="8">
        <v>0.39539999999999997</v>
      </c>
      <c r="H150" s="8">
        <v>0</v>
      </c>
      <c r="I150" s="8">
        <v>0.1416</v>
      </c>
      <c r="J150" s="8">
        <v>0.39539999999999997</v>
      </c>
      <c r="K150" s="8">
        <v>0.1416</v>
      </c>
      <c r="L150" s="8">
        <v>185.72540000000001</v>
      </c>
      <c r="M150" s="8">
        <v>250.73159999999999</v>
      </c>
      <c r="N150" s="10">
        <v>1.35212863540711</v>
      </c>
      <c r="O150" s="10">
        <v>1.35656065472774</v>
      </c>
      <c r="P150" s="10">
        <v>1.3547759268984301</v>
      </c>
      <c r="Q150" s="10">
        <v>1.3548927705678699</v>
      </c>
      <c r="R150" s="8">
        <v>251.411386140693</v>
      </c>
      <c r="S150" s="8">
        <v>250.79529482124201</v>
      </c>
      <c r="T150" s="8">
        <v>251.03543225431901</v>
      </c>
      <c r="U150" s="9">
        <v>3.2724486281645198E-3</v>
      </c>
      <c r="V150" s="9">
        <v>8.1891046600699401E-4</v>
      </c>
      <c r="W150" s="9">
        <v>1.7759560929452699E-3</v>
      </c>
      <c r="X150" s="10">
        <v>1.35001243771718</v>
      </c>
      <c r="Y150" s="10">
        <v>1.3555780340485399</v>
      </c>
      <c r="Z150" s="10">
        <v>1.3525578811544701</v>
      </c>
      <c r="AA150" s="10">
        <v>1.3526911716438601</v>
      </c>
      <c r="AB150" s="8">
        <v>251.76527260487899</v>
      </c>
      <c r="AC150" s="8">
        <v>250.91753725480299</v>
      </c>
      <c r="AD150" s="8">
        <v>251.16226611561399</v>
      </c>
      <c r="AE150" s="9">
        <v>4.1141512285884597E-3</v>
      </c>
      <c r="AF150" s="9">
        <v>7.4130402909018699E-4</v>
      </c>
      <c r="AG150" s="9">
        <v>1.7161645136182201E-3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4.7502485547359953E-2</v>
      </c>
      <c r="BL150" s="9"/>
      <c r="BN150">
        <f t="shared" si="30"/>
        <v>0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2.9085101486809095E-2</v>
      </c>
      <c r="BX150" s="12">
        <f t="shared" si="38"/>
        <v>0</v>
      </c>
      <c r="BY150" s="12">
        <f t="shared" si="39"/>
        <v>7.6587587034169041E-2</v>
      </c>
    </row>
    <row r="151" spans="1:77" x14ac:dyDescent="0.3">
      <c r="A151" s="1">
        <v>46241</v>
      </c>
      <c r="B151" s="8">
        <v>187.97</v>
      </c>
      <c r="C151" s="8">
        <v>254.05</v>
      </c>
      <c r="D151" s="9">
        <v>1.4144355819285E-2</v>
      </c>
      <c r="E151" s="9">
        <v>1.3712960603816399E-2</v>
      </c>
      <c r="F151" s="8">
        <v>0</v>
      </c>
      <c r="G151" s="8">
        <v>0.39539999999999997</v>
      </c>
      <c r="H151" s="8">
        <v>0</v>
      </c>
      <c r="I151" s="8">
        <v>0.1416</v>
      </c>
      <c r="J151" s="8">
        <v>0.39539999999999997</v>
      </c>
      <c r="K151" s="8">
        <v>0.1416</v>
      </c>
      <c r="L151" s="8">
        <v>188.36539999999999</v>
      </c>
      <c r="M151" s="8">
        <v>254.19159999999999</v>
      </c>
      <c r="N151" s="10">
        <v>1.3515454593818099</v>
      </c>
      <c r="O151" s="10">
        <v>1.35656065472774</v>
      </c>
      <c r="P151" s="10">
        <v>1.35570259018935</v>
      </c>
      <c r="Q151" s="10">
        <v>1.3551646285299701</v>
      </c>
      <c r="R151" s="8">
        <v>254.99270626917399</v>
      </c>
      <c r="S151" s="8">
        <v>254.65723097909799</v>
      </c>
      <c r="T151" s="8">
        <v>254.67919408364301</v>
      </c>
      <c r="U151" s="9">
        <v>3.7038438436334501E-3</v>
      </c>
      <c r="V151" s="9">
        <v>2.3873506430635602E-3</v>
      </c>
      <c r="W151" s="9">
        <v>2.47359267673202E-3</v>
      </c>
      <c r="X151" s="10">
        <v>1.34946014501601</v>
      </c>
      <c r="Y151" s="10">
        <v>1.3555780340485399</v>
      </c>
      <c r="Z151" s="10">
        <v>1.3534967681726</v>
      </c>
      <c r="AA151" s="10">
        <v>1.3529636787211701</v>
      </c>
      <c r="AB151" s="8">
        <v>255.343998614767</v>
      </c>
      <c r="AC151" s="8">
        <v>254.775106306814</v>
      </c>
      <c r="AD151" s="8">
        <v>254.80021362316501</v>
      </c>
      <c r="AE151" s="9">
        <v>4.5233368690803001E-3</v>
      </c>
      <c r="AF151" s="9">
        <v>2.29290660952341E-3</v>
      </c>
      <c r="AG151" s="9">
        <v>2.3914487303442599E-3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4.7502485547359953E-2</v>
      </c>
      <c r="BL151" s="9"/>
      <c r="BN151">
        <f t="shared" ref="BN151:BN167" si="50">IF($AG151&gt;BM$20,1,0)</f>
        <v>1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2.9085101486809095E-2</v>
      </c>
      <c r="BX151" s="12">
        <f t="shared" ref="BX151:BX167" si="58">BI151+BU151</f>
        <v>0</v>
      </c>
      <c r="BY151" s="12">
        <f t="shared" ref="BY151:BY167" si="59">BY150+BX151</f>
        <v>7.6587587034169041E-2</v>
      </c>
    </row>
    <row r="152" spans="1:77" x14ac:dyDescent="0.3">
      <c r="A152" s="1">
        <v>46244</v>
      </c>
      <c r="B152" s="8">
        <v>186.32</v>
      </c>
      <c r="C152" s="8">
        <v>252.38</v>
      </c>
      <c r="D152" s="9">
        <v>-8.8167500524184705E-3</v>
      </c>
      <c r="E152" s="9">
        <v>-6.5952098149763801E-3</v>
      </c>
      <c r="F152" s="8">
        <v>0</v>
      </c>
      <c r="G152" s="8">
        <v>0.39539999999999997</v>
      </c>
      <c r="H152" s="8">
        <v>0</v>
      </c>
      <c r="I152" s="8">
        <v>0.1416</v>
      </c>
      <c r="J152" s="8">
        <v>0.39539999999999997</v>
      </c>
      <c r="K152" s="8">
        <v>0.1416</v>
      </c>
      <c r="L152" s="8">
        <v>186.71539999999999</v>
      </c>
      <c r="M152" s="8">
        <v>252.52160000000001</v>
      </c>
      <c r="N152" s="10">
        <v>1.35455130957492</v>
      </c>
      <c r="O152" s="10">
        <v>1.35656065472774</v>
      </c>
      <c r="P152" s="10">
        <v>1.3563040206304899</v>
      </c>
      <c r="Q152" s="10">
        <v>1.35538060971921</v>
      </c>
      <c r="R152" s="8">
        <v>252.754381188873</v>
      </c>
      <c r="S152" s="8">
        <v>252.59450660408001</v>
      </c>
      <c r="T152" s="8">
        <v>252.49427358770399</v>
      </c>
      <c r="U152" s="9">
        <v>1.4823036061913199E-3</v>
      </c>
      <c r="V152" s="9">
        <v>8.4957404453903996E-4</v>
      </c>
      <c r="W152" s="9">
        <v>4.5268137290267399E-4</v>
      </c>
      <c r="X152" s="10">
        <v>1.35244120195763</v>
      </c>
      <c r="Y152" s="10">
        <v>1.3555780340485399</v>
      </c>
      <c r="Z152" s="10">
        <v>1.3541113560509701</v>
      </c>
      <c r="AA152" s="10">
        <v>1.3531821167546501</v>
      </c>
      <c r="AB152" s="8">
        <v>253.10729485858701</v>
      </c>
      <c r="AC152" s="8">
        <v>252.71869046805401</v>
      </c>
      <c r="AD152" s="8">
        <v>252.619154457896</v>
      </c>
      <c r="AE152" s="9">
        <v>2.31669956562779E-3</v>
      </c>
      <c r="AF152" s="9">
        <v>7.8018511892221601E-4</v>
      </c>
      <c r="AG152" s="9">
        <v>3.8624663818119601E-4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4.7502485547359953E-2</v>
      </c>
      <c r="BL152" s="9"/>
      <c r="BN152">
        <f t="shared" si="50"/>
        <v>0</v>
      </c>
      <c r="BO152">
        <f t="shared" si="51"/>
        <v>0</v>
      </c>
      <c r="BP152">
        <f t="shared" si="52"/>
        <v>1</v>
      </c>
      <c r="BQ152">
        <f t="shared" si="41"/>
        <v>1</v>
      </c>
      <c r="BR152">
        <f t="shared" si="53"/>
        <v>1</v>
      </c>
      <c r="BS152" s="9">
        <f t="shared" si="54"/>
        <v>8.8167500524184705E-3</v>
      </c>
      <c r="BT152" s="9">
        <f t="shared" si="55"/>
        <v>-6.5952098149763801E-3</v>
      </c>
      <c r="BU152" s="9">
        <f t="shared" si="56"/>
        <v>2.2215402374420904E-3</v>
      </c>
      <c r="BV152" s="12">
        <f t="shared" si="57"/>
        <v>3.1306641724251183E-2</v>
      </c>
      <c r="BX152" s="12">
        <f t="shared" si="58"/>
        <v>2.2215402374420904E-3</v>
      </c>
      <c r="BY152" s="12">
        <f t="shared" si="59"/>
        <v>7.8809127271611129E-2</v>
      </c>
    </row>
    <row r="153" spans="1:77" x14ac:dyDescent="0.3">
      <c r="A153" s="1">
        <v>46245</v>
      </c>
      <c r="B153" s="8">
        <v>186.09</v>
      </c>
      <c r="C153" s="8">
        <v>251.02</v>
      </c>
      <c r="D153" s="9">
        <v>-1.2351979229496301E-3</v>
      </c>
      <c r="E153" s="9">
        <v>-5.4032709924643398E-3</v>
      </c>
      <c r="F153" s="8">
        <v>0</v>
      </c>
      <c r="G153" s="8">
        <v>0.39539999999999997</v>
      </c>
      <c r="H153" s="8">
        <v>0</v>
      </c>
      <c r="I153" s="8">
        <v>0.1416</v>
      </c>
      <c r="J153" s="8">
        <v>0.39539999999999997</v>
      </c>
      <c r="K153" s="8">
        <v>0.1416</v>
      </c>
      <c r="L153" s="8">
        <v>186.4854</v>
      </c>
      <c r="M153" s="8">
        <v>251.16159999999999</v>
      </c>
      <c r="N153" s="10">
        <v>1.3489171906066899</v>
      </c>
      <c r="O153" s="10">
        <v>1.35656065472774</v>
      </c>
      <c r="P153" s="10">
        <v>1.3554776965559701</v>
      </c>
      <c r="Q153" s="10">
        <v>1.3552439618974099</v>
      </c>
      <c r="R153" s="8">
        <v>252.442372238286</v>
      </c>
      <c r="S153" s="8">
        <v>252.394615199128</v>
      </c>
      <c r="T153" s="8">
        <v>252.22277766264901</v>
      </c>
      <c r="U153" s="9">
        <v>5.6503766757060999E-3</v>
      </c>
      <c r="V153" s="9">
        <v>5.4611788138669596E-3</v>
      </c>
      <c r="W153" s="9">
        <v>4.7801180912204E-3</v>
      </c>
      <c r="X153" s="10">
        <v>1.34681642637975</v>
      </c>
      <c r="Y153" s="10">
        <v>1.3555780340485399</v>
      </c>
      <c r="Z153" s="10">
        <v>1.35330531285679</v>
      </c>
      <c r="AA153" s="10">
        <v>1.3530471724583699</v>
      </c>
      <c r="AB153" s="8">
        <v>252.79551191075601</v>
      </c>
      <c r="AC153" s="8">
        <v>252.52199787770701</v>
      </c>
      <c r="AD153" s="8">
        <v>252.348708315837</v>
      </c>
      <c r="AE153" s="9">
        <v>6.4843519307570098E-3</v>
      </c>
      <c r="AF153" s="9">
        <v>5.4018085616430204E-3</v>
      </c>
      <c r="AG153" s="9">
        <v>4.7153374847950904E-3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4.7502485547359953E-2</v>
      </c>
      <c r="BL153" s="9"/>
      <c r="BN153">
        <f t="shared" si="50"/>
        <v>1</v>
      </c>
      <c r="BO153">
        <f t="shared" si="51"/>
        <v>0</v>
      </c>
      <c r="BP153">
        <f t="shared" si="52"/>
        <v>1</v>
      </c>
      <c r="BQ153">
        <f t="shared" si="41"/>
        <v>1</v>
      </c>
      <c r="BR153">
        <f t="shared" si="53"/>
        <v>1</v>
      </c>
      <c r="BS153" s="9">
        <f t="shared" si="54"/>
        <v>1.2351979229496301E-3</v>
      </c>
      <c r="BT153" s="9">
        <f t="shared" si="55"/>
        <v>-5.4032709924643398E-3</v>
      </c>
      <c r="BU153" s="9">
        <f t="shared" si="56"/>
        <v>-4.1680730695147095E-3</v>
      </c>
      <c r="BV153" s="12">
        <f t="shared" si="57"/>
        <v>2.7138568654736475E-2</v>
      </c>
      <c r="BX153" s="12">
        <f t="shared" si="58"/>
        <v>-4.1680730695147095E-3</v>
      </c>
      <c r="BY153" s="12">
        <f t="shared" si="59"/>
        <v>7.4641054202096421E-2</v>
      </c>
    </row>
    <row r="154" spans="1:77" x14ac:dyDescent="0.3">
      <c r="A154" s="1">
        <v>46246</v>
      </c>
      <c r="B154" s="8">
        <v>188.86</v>
      </c>
      <c r="C154" s="8">
        <v>253.08</v>
      </c>
      <c r="D154" s="9">
        <v>1.4775572181787201E-2</v>
      </c>
      <c r="E154" s="9">
        <v>8.1730270463833896E-3</v>
      </c>
      <c r="F154" s="8">
        <v>0</v>
      </c>
      <c r="G154" s="8">
        <v>0.39539999999999997</v>
      </c>
      <c r="H154" s="8">
        <v>0</v>
      </c>
      <c r="I154" s="8">
        <v>0.1416</v>
      </c>
      <c r="J154" s="8">
        <v>0.39539999999999997</v>
      </c>
      <c r="K154" s="8">
        <v>0.1416</v>
      </c>
      <c r="L154" s="8">
        <v>189.25540000000001</v>
      </c>
      <c r="M154" s="8">
        <v>253.2216</v>
      </c>
      <c r="N154" s="10">
        <v>1.3400402414486901</v>
      </c>
      <c r="O154" s="10">
        <v>1.35656065472774</v>
      </c>
      <c r="P154" s="10">
        <v>1.3529985604679</v>
      </c>
      <c r="Q154" s="10">
        <v>1.35383260245316</v>
      </c>
      <c r="R154" s="8">
        <v>256.20004525188199</v>
      </c>
      <c r="S154" s="8">
        <v>255.99551777156</v>
      </c>
      <c r="T154" s="8">
        <v>255.951374643945</v>
      </c>
      <c r="U154" s="9">
        <v>1.22529218111099E-2</v>
      </c>
      <c r="V154" s="9">
        <v>1.14542913427592E-2</v>
      </c>
      <c r="W154" s="9">
        <v>1.1281839362373799E-2</v>
      </c>
      <c r="X154" s="10">
        <v>1.3379887707299201</v>
      </c>
      <c r="Y154" s="10">
        <v>1.3555780340485399</v>
      </c>
      <c r="Z154" s="10">
        <v>1.3508594350284699</v>
      </c>
      <c r="AA154" s="10">
        <v>1.3516429831418699</v>
      </c>
      <c r="AB154" s="8">
        <v>256.55046306507001</v>
      </c>
      <c r="AC154" s="8">
        <v>256.12033830683799</v>
      </c>
      <c r="AD154" s="8">
        <v>256.07148384247699</v>
      </c>
      <c r="AE154" s="9">
        <v>1.30603876680431E-2</v>
      </c>
      <c r="AF154" s="9">
        <v>1.13824108532818E-2</v>
      </c>
      <c r="AG154" s="9">
        <v>1.11916445723834E-2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4.7502485547359953E-2</v>
      </c>
      <c r="BL154" s="9"/>
      <c r="BN154">
        <f t="shared" si="50"/>
        <v>1</v>
      </c>
      <c r="BO154">
        <f t="shared" si="51"/>
        <v>0</v>
      </c>
      <c r="BP154">
        <f t="shared" si="52"/>
        <v>1</v>
      </c>
      <c r="BQ154">
        <f t="shared" si="41"/>
        <v>1</v>
      </c>
      <c r="BR154">
        <f t="shared" si="53"/>
        <v>1</v>
      </c>
      <c r="BS154" s="9">
        <f t="shared" si="54"/>
        <v>-1.4775572181787201E-2</v>
      </c>
      <c r="BT154" s="9">
        <f t="shared" si="55"/>
        <v>8.1730270463833896E-3</v>
      </c>
      <c r="BU154" s="9">
        <f t="shared" si="56"/>
        <v>-6.602545135403811E-3</v>
      </c>
      <c r="BV154" s="12">
        <f t="shared" si="57"/>
        <v>2.0536023519332664E-2</v>
      </c>
      <c r="BX154" s="12">
        <f t="shared" si="58"/>
        <v>-6.602545135403811E-3</v>
      </c>
      <c r="BY154" s="12">
        <f t="shared" si="59"/>
        <v>6.8038509066692607E-2</v>
      </c>
    </row>
    <row r="155" spans="1:77" x14ac:dyDescent="0.3">
      <c r="A155" s="1">
        <v>46247</v>
      </c>
      <c r="B155" s="8">
        <v>190.77</v>
      </c>
      <c r="C155" s="8">
        <v>256.58999999999997</v>
      </c>
      <c r="D155" s="9">
        <v>1.00625141125028E-2</v>
      </c>
      <c r="E155" s="9">
        <v>1.3773835982116201E-2</v>
      </c>
      <c r="F155" s="8">
        <v>0</v>
      </c>
      <c r="G155" s="8">
        <v>0.39539999999999997</v>
      </c>
      <c r="H155" s="8">
        <v>0</v>
      </c>
      <c r="I155" s="8">
        <v>0.1416</v>
      </c>
      <c r="J155" s="8">
        <v>0.39539999999999997</v>
      </c>
      <c r="K155" s="8">
        <v>0.1416</v>
      </c>
      <c r="L155" s="8">
        <v>191.16540000000001</v>
      </c>
      <c r="M155" s="8">
        <v>256.73159999999899</v>
      </c>
      <c r="N155" s="10">
        <v>1.3450228023274</v>
      </c>
      <c r="O155" s="10">
        <v>1.35656065472774</v>
      </c>
      <c r="P155" s="10">
        <v>1.3526576152980401</v>
      </c>
      <c r="Q155" s="10">
        <v>1.3527252477520399</v>
      </c>
      <c r="R155" s="8">
        <v>258.79107610241198</v>
      </c>
      <c r="S155" s="8">
        <v>258.11153538046199</v>
      </c>
      <c r="T155" s="8">
        <v>258.27064556998897</v>
      </c>
      <c r="U155" s="9">
        <v>8.5415999414963709E-3</v>
      </c>
      <c r="V155" s="9">
        <v>5.91231891898734E-3</v>
      </c>
      <c r="W155" s="9">
        <v>6.5285686674576701E-3</v>
      </c>
      <c r="X155" s="10">
        <v>1.3429815228069499</v>
      </c>
      <c r="Y155" s="10">
        <v>1.3555780340485399</v>
      </c>
      <c r="Z155" s="10">
        <v>1.3505366865191599</v>
      </c>
      <c r="AA155" s="10">
        <v>1.35054569050245</v>
      </c>
      <c r="AB155" s="8">
        <v>259.13961711010302</v>
      </c>
      <c r="AC155" s="8">
        <v>258.23758424099202</v>
      </c>
      <c r="AD155" s="8">
        <v>258.38737152950898</v>
      </c>
      <c r="AE155" s="9">
        <v>9.3357974620853108E-3</v>
      </c>
      <c r="AF155" s="9">
        <v>5.84884913608645E-3</v>
      </c>
      <c r="AG155" s="9">
        <v>6.4287177275674104E-3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4.7502485547359953E-2</v>
      </c>
      <c r="BL155" s="9"/>
      <c r="BN155">
        <f t="shared" si="50"/>
        <v>1</v>
      </c>
      <c r="BO155">
        <f t="shared" si="51"/>
        <v>0</v>
      </c>
      <c r="BP155">
        <f t="shared" si="52"/>
        <v>1</v>
      </c>
      <c r="BQ155">
        <f t="shared" si="41"/>
        <v>1</v>
      </c>
      <c r="BR155">
        <f t="shared" si="53"/>
        <v>1</v>
      </c>
      <c r="BS155" s="9">
        <f t="shared" si="54"/>
        <v>-1.00625141125028E-2</v>
      </c>
      <c r="BT155" s="9">
        <f t="shared" si="55"/>
        <v>1.3773835982116201E-2</v>
      </c>
      <c r="BU155" s="9">
        <f t="shared" si="56"/>
        <v>3.7113218696134005E-3</v>
      </c>
      <c r="BV155" s="12">
        <f t="shared" si="57"/>
        <v>2.4247345388946066E-2</v>
      </c>
      <c r="BX155" s="12">
        <f t="shared" si="58"/>
        <v>3.7113218696134005E-3</v>
      </c>
      <c r="BY155" s="12">
        <f t="shared" si="59"/>
        <v>7.1749830936306006E-2</v>
      </c>
    </row>
    <row r="156" spans="1:77" x14ac:dyDescent="0.3">
      <c r="A156" s="1">
        <v>46248</v>
      </c>
      <c r="B156" s="8">
        <v>190.01</v>
      </c>
      <c r="C156" s="8">
        <v>255.5</v>
      </c>
      <c r="D156" s="9">
        <v>-3.9918115929856004E-3</v>
      </c>
      <c r="E156" s="9">
        <v>-4.2570706170407804E-3</v>
      </c>
      <c r="F156" s="8">
        <v>0</v>
      </c>
      <c r="G156" s="8">
        <v>0.39539999999999997</v>
      </c>
      <c r="H156" s="8">
        <v>0</v>
      </c>
      <c r="I156" s="8">
        <v>0.1416</v>
      </c>
      <c r="J156" s="8">
        <v>0.39539999999999997</v>
      </c>
      <c r="K156" s="8">
        <v>0.1416</v>
      </c>
      <c r="L156" s="8">
        <v>190.40539999999999</v>
      </c>
      <c r="M156" s="8">
        <v>255.64160000000001</v>
      </c>
      <c r="N156" s="10">
        <v>1.34466607020683</v>
      </c>
      <c r="O156" s="10">
        <v>1.35656065472774</v>
      </c>
      <c r="P156" s="10">
        <v>1.3513728678847301</v>
      </c>
      <c r="Q156" s="10">
        <v>1.3518339427994901</v>
      </c>
      <c r="R156" s="8">
        <v>257.76009000481901</v>
      </c>
      <c r="S156" s="8">
        <v>257.01847348278</v>
      </c>
      <c r="T156" s="8">
        <v>257.03132432536597</v>
      </c>
      <c r="U156" s="9">
        <v>8.8068589655517608E-3</v>
      </c>
      <c r="V156" s="9">
        <v>5.9255539240826299E-3</v>
      </c>
      <c r="W156" s="9">
        <v>5.9755523586441199E-3</v>
      </c>
      <c r="X156" s="10">
        <v>1.3426173837506701</v>
      </c>
      <c r="Y156" s="10">
        <v>1.3555780340485399</v>
      </c>
      <c r="Z156" s="10">
        <v>1.3492719189373199</v>
      </c>
      <c r="AA156" s="10">
        <v>1.3496647814401901</v>
      </c>
      <c r="AB156" s="8">
        <v>258.10937780422603</v>
      </c>
      <c r="AC156" s="8">
        <v>257.149478011356</v>
      </c>
      <c r="AD156" s="8">
        <v>257.151192418395</v>
      </c>
      <c r="AE156" s="9">
        <v>9.6069764960225006E-3</v>
      </c>
      <c r="AF156" s="9">
        <v>5.8810787554809197E-3</v>
      </c>
      <c r="AG156" s="9">
        <v>5.8877457000805202E-3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4.7502485547359953E-2</v>
      </c>
      <c r="BL156" s="9"/>
      <c r="BN156">
        <f t="shared" si="50"/>
        <v>1</v>
      </c>
      <c r="BO156">
        <f t="shared" si="51"/>
        <v>0</v>
      </c>
      <c r="BP156">
        <f t="shared" si="52"/>
        <v>1</v>
      </c>
      <c r="BQ156">
        <f t="shared" si="41"/>
        <v>1</v>
      </c>
      <c r="BR156">
        <f t="shared" si="53"/>
        <v>1</v>
      </c>
      <c r="BS156" s="9">
        <f t="shared" si="54"/>
        <v>3.9918115929856004E-3</v>
      </c>
      <c r="BT156" s="9">
        <f t="shared" si="55"/>
        <v>-4.2570706170407804E-3</v>
      </c>
      <c r="BU156" s="9">
        <f t="shared" si="56"/>
        <v>-2.6525902405518005E-4</v>
      </c>
      <c r="BV156" s="12">
        <f t="shared" si="57"/>
        <v>2.3982086364890888E-2</v>
      </c>
      <c r="BX156" s="12">
        <f t="shared" si="58"/>
        <v>-2.6525902405518005E-4</v>
      </c>
      <c r="BY156" s="12">
        <f t="shared" si="59"/>
        <v>7.1484571912250827E-2</v>
      </c>
    </row>
    <row r="157" spans="1:77" x14ac:dyDescent="0.3">
      <c r="A157" s="1">
        <v>46251</v>
      </c>
      <c r="B157" s="8">
        <v>190.32</v>
      </c>
      <c r="C157" s="8">
        <v>254.79</v>
      </c>
      <c r="D157" s="9">
        <v>1.6301636402616E-3</v>
      </c>
      <c r="E157" s="9">
        <v>-2.7827331837315498E-3</v>
      </c>
      <c r="F157" s="8">
        <v>0</v>
      </c>
      <c r="G157" s="8">
        <v>0.39539999999999997</v>
      </c>
      <c r="H157" s="8">
        <v>0</v>
      </c>
      <c r="I157" s="8">
        <v>0.1416</v>
      </c>
      <c r="J157" s="8">
        <v>0.39539999999999997</v>
      </c>
      <c r="K157" s="8">
        <v>0.1416</v>
      </c>
      <c r="L157" s="8">
        <v>190.71539999999999</v>
      </c>
      <c r="M157" s="8">
        <v>254.9316</v>
      </c>
      <c r="N157" s="10">
        <v>1.33874527112232</v>
      </c>
      <c r="O157" s="10">
        <v>1.35656065472774</v>
      </c>
      <c r="P157" s="10">
        <v>1.34837927547326</v>
      </c>
      <c r="Q157" s="10">
        <v>1.35048539450653</v>
      </c>
      <c r="R157" s="8">
        <v>258.180623807784</v>
      </c>
      <c r="S157" s="8">
        <v>257.19328421582202</v>
      </c>
      <c r="T157" s="8">
        <v>257.281035993599</v>
      </c>
      <c r="U157" s="9">
        <v>1.3219755789545099E-2</v>
      </c>
      <c r="V157" s="9">
        <v>9.3882044265423004E-3</v>
      </c>
      <c r="W157" s="9">
        <v>9.7293362388819402E-3</v>
      </c>
      <c r="X157" s="10">
        <v>1.33671218999619</v>
      </c>
      <c r="Y157" s="10">
        <v>1.3555780340485399</v>
      </c>
      <c r="Z157" s="10">
        <v>1.3462989518617501</v>
      </c>
      <c r="AA157" s="10">
        <v>1.3483276943617</v>
      </c>
      <c r="AB157" s="8">
        <v>258.52960699478098</v>
      </c>
      <c r="AC157" s="8">
        <v>257.32693372889798</v>
      </c>
      <c r="AD157" s="8">
        <v>257.40185865827902</v>
      </c>
      <c r="AE157" s="9">
        <v>1.4014947336139401E-2</v>
      </c>
      <c r="AF157" s="9">
        <v>9.3521182354919796E-3</v>
      </c>
      <c r="AG157" s="9">
        <v>9.6432421478060398E-3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4.7502485547359953E-2</v>
      </c>
      <c r="BL157" s="9"/>
      <c r="BN157">
        <f t="shared" si="50"/>
        <v>1</v>
      </c>
      <c r="BO157">
        <f t="shared" si="51"/>
        <v>0</v>
      </c>
      <c r="BP157">
        <f t="shared" si="52"/>
        <v>1</v>
      </c>
      <c r="BQ157">
        <f t="shared" si="41"/>
        <v>1</v>
      </c>
      <c r="BR157">
        <f t="shared" si="53"/>
        <v>1</v>
      </c>
      <c r="BS157" s="9">
        <f t="shared" si="54"/>
        <v>-1.6301636402616E-3</v>
      </c>
      <c r="BT157" s="9">
        <f t="shared" si="55"/>
        <v>-2.7827331837315498E-3</v>
      </c>
      <c r="BU157" s="9">
        <f t="shared" si="56"/>
        <v>-4.4128968239931501E-3</v>
      </c>
      <c r="BV157" s="12">
        <f t="shared" si="57"/>
        <v>1.9569189540897737E-2</v>
      </c>
      <c r="BX157" s="12">
        <f t="shared" si="58"/>
        <v>-4.4128968239931501E-3</v>
      </c>
      <c r="BY157" s="12">
        <f t="shared" si="59"/>
        <v>6.7071675088257676E-2</v>
      </c>
    </row>
    <row r="158" spans="1:77" x14ac:dyDescent="0.3">
      <c r="A158" s="1">
        <v>46252</v>
      </c>
      <c r="B158" s="8">
        <v>185.62</v>
      </c>
      <c r="C158" s="8">
        <v>249.58</v>
      </c>
      <c r="D158" s="9">
        <v>-2.5005292827455401E-2</v>
      </c>
      <c r="E158" s="9">
        <v>-2.0660171380319201E-2</v>
      </c>
      <c r="F158" s="8">
        <v>0</v>
      </c>
      <c r="G158" s="8">
        <v>0.39539999999999997</v>
      </c>
      <c r="H158" s="8">
        <v>0</v>
      </c>
      <c r="I158" s="8">
        <v>0.1416</v>
      </c>
      <c r="J158" s="8">
        <v>0.39539999999999997</v>
      </c>
      <c r="K158" s="8">
        <v>0.1416</v>
      </c>
      <c r="L158" s="8">
        <v>186.0154</v>
      </c>
      <c r="M158" s="8">
        <v>249.7216</v>
      </c>
      <c r="N158" s="10">
        <v>1.3445749380454599</v>
      </c>
      <c r="O158" s="10">
        <v>1.35656065472774</v>
      </c>
      <c r="P158" s="10">
        <v>1.34717598811141</v>
      </c>
      <c r="Q158" s="10">
        <v>1.35010433943956</v>
      </c>
      <c r="R158" s="8">
        <v>251.80478873056401</v>
      </c>
      <c r="S158" s="8">
        <v>250.28616111334699</v>
      </c>
      <c r="T158" s="8">
        <v>250.677098928303</v>
      </c>
      <c r="U158" s="9">
        <v>8.8746343424087794E-3</v>
      </c>
      <c r="V158" s="9">
        <v>2.8254026299447299E-3</v>
      </c>
      <c r="W158" s="9">
        <v>4.3861474010552896E-3</v>
      </c>
      <c r="X158" s="10">
        <v>1.3424780958995799</v>
      </c>
      <c r="Y158" s="10">
        <v>1.3555780340485399</v>
      </c>
      <c r="Z158" s="10">
        <v>1.3450967717562901</v>
      </c>
      <c r="AA158" s="10">
        <v>1.3479502717137699</v>
      </c>
      <c r="AB158" s="8">
        <v>252.158390234753</v>
      </c>
      <c r="AC158" s="8">
        <v>250.43233805014501</v>
      </c>
      <c r="AD158" s="8">
        <v>250.80971539776999</v>
      </c>
      <c r="AE158" s="9">
        <v>9.7107253960261094E-3</v>
      </c>
      <c r="AF158" s="9">
        <v>2.8420791059903601E-3</v>
      </c>
      <c r="AG158" s="9">
        <v>4.3478482900930603E-3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4.7502485547359953E-2</v>
      </c>
      <c r="BL158" s="9"/>
      <c r="BN158">
        <f t="shared" si="50"/>
        <v>1</v>
      </c>
      <c r="BO158">
        <f t="shared" si="51"/>
        <v>0</v>
      </c>
      <c r="BP158">
        <f t="shared" si="52"/>
        <v>1</v>
      </c>
      <c r="BQ158">
        <f t="shared" si="41"/>
        <v>1</v>
      </c>
      <c r="BR158">
        <f t="shared" si="53"/>
        <v>1</v>
      </c>
      <c r="BS158" s="9">
        <f t="shared" si="54"/>
        <v>2.5005292827455401E-2</v>
      </c>
      <c r="BT158" s="9">
        <f t="shared" si="55"/>
        <v>-2.0660171380319201E-2</v>
      </c>
      <c r="BU158" s="9">
        <f t="shared" si="56"/>
        <v>4.3451214471362E-3</v>
      </c>
      <c r="BV158" s="12">
        <f t="shared" si="57"/>
        <v>2.3914310988033937E-2</v>
      </c>
      <c r="BX158" s="12">
        <f t="shared" si="58"/>
        <v>4.3451214471362E-3</v>
      </c>
      <c r="BY158" s="12">
        <f t="shared" si="59"/>
        <v>7.1416796535393873E-2</v>
      </c>
    </row>
    <row r="159" spans="1:77" x14ac:dyDescent="0.3">
      <c r="A159" s="1">
        <v>46253</v>
      </c>
      <c r="B159" s="8">
        <v>183.64</v>
      </c>
      <c r="C159" s="8">
        <v>247.8</v>
      </c>
      <c r="D159" s="9">
        <v>-1.0724253786225499E-2</v>
      </c>
      <c r="E159" s="9">
        <v>-7.1575358846662496E-3</v>
      </c>
      <c r="F159" s="8">
        <v>0</v>
      </c>
      <c r="G159" s="8">
        <v>0.39539999999999997</v>
      </c>
      <c r="H159" s="8">
        <v>0</v>
      </c>
      <c r="I159" s="8">
        <v>0.1416</v>
      </c>
      <c r="J159" s="8">
        <v>0.39539999999999997</v>
      </c>
      <c r="K159" s="8">
        <v>0.1416</v>
      </c>
      <c r="L159" s="8">
        <v>184.03539999999899</v>
      </c>
      <c r="M159" s="8">
        <v>247.94159999999999</v>
      </c>
      <c r="N159" s="10">
        <v>1.34937922021346</v>
      </c>
      <c r="O159" s="10">
        <v>1.35656065472774</v>
      </c>
      <c r="P159" s="10">
        <v>1.3469571138334699</v>
      </c>
      <c r="Q159" s="10">
        <v>1.35009673751686</v>
      </c>
      <c r="R159" s="8">
        <v>249.11879863420299</v>
      </c>
      <c r="S159" s="8">
        <v>247.39539845677899</v>
      </c>
      <c r="T159" s="8">
        <v>247.933160894682</v>
      </c>
      <c r="U159" s="9">
        <v>5.3079164408493303E-3</v>
      </c>
      <c r="V159" s="9">
        <v>-1.6341090184425499E-3</v>
      </c>
      <c r="W159" s="9">
        <v>5.3722812347071602E-4</v>
      </c>
      <c r="X159" s="10">
        <v>1.3472494965642401</v>
      </c>
      <c r="Y159" s="10">
        <v>1.3555780340485399</v>
      </c>
      <c r="Z159" s="10">
        <v>1.3448757670818099</v>
      </c>
      <c r="AA159" s="10">
        <v>1.3479446727436799</v>
      </c>
      <c r="AB159" s="8">
        <v>249.47434572733701</v>
      </c>
      <c r="AC159" s="8">
        <v>247.545422428877</v>
      </c>
      <c r="AD159" s="8">
        <v>248.07056743495301</v>
      </c>
      <c r="AE159" s="9">
        <v>6.1628526054951097E-3</v>
      </c>
      <c r="AF159" s="9">
        <v>-1.59914442807234E-3</v>
      </c>
      <c r="AG159" s="9">
        <v>5.2001723476669405E-4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4.7502485547359953E-2</v>
      </c>
      <c r="BL159" s="9"/>
      <c r="BN159">
        <f t="shared" si="50"/>
        <v>0</v>
      </c>
      <c r="BO159">
        <f t="shared" si="51"/>
        <v>0</v>
      </c>
      <c r="BP159">
        <f t="shared" si="52"/>
        <v>1</v>
      </c>
      <c r="BQ159">
        <f t="shared" si="41"/>
        <v>1</v>
      </c>
      <c r="BR159">
        <f t="shared" si="53"/>
        <v>1</v>
      </c>
      <c r="BS159" s="9">
        <f t="shared" si="54"/>
        <v>1.0724253786225499E-2</v>
      </c>
      <c r="BT159" s="9">
        <f t="shared" si="55"/>
        <v>-7.1575358846662496E-3</v>
      </c>
      <c r="BU159" s="9">
        <f t="shared" si="56"/>
        <v>3.5667179015592496E-3</v>
      </c>
      <c r="BV159" s="12">
        <f t="shared" si="57"/>
        <v>2.7481028889593188E-2</v>
      </c>
      <c r="BX159" s="12">
        <f t="shared" si="58"/>
        <v>3.5667179015592496E-3</v>
      </c>
      <c r="BY159" s="12">
        <f t="shared" si="59"/>
        <v>7.4983514436953128E-2</v>
      </c>
    </row>
    <row r="160" spans="1:77" x14ac:dyDescent="0.3">
      <c r="A160" s="1">
        <v>46254</v>
      </c>
      <c r="B160" s="8">
        <v>183.1</v>
      </c>
      <c r="C160" s="8">
        <v>246.8</v>
      </c>
      <c r="D160" s="9">
        <v>-2.94486770055627E-3</v>
      </c>
      <c r="E160" s="9">
        <v>-4.04367716380936E-3</v>
      </c>
      <c r="F160" s="8">
        <v>0</v>
      </c>
      <c r="G160" s="8">
        <v>0.39539999999999997</v>
      </c>
      <c r="H160" s="8">
        <v>0</v>
      </c>
      <c r="I160" s="8">
        <v>0.1416</v>
      </c>
      <c r="J160" s="8">
        <v>0.39539999999999997</v>
      </c>
      <c r="K160" s="8">
        <v>0.1416</v>
      </c>
      <c r="L160" s="8">
        <v>183.49539999999999</v>
      </c>
      <c r="M160" s="8">
        <v>246.94159999999999</v>
      </c>
      <c r="N160" s="10">
        <v>1.34789732386673</v>
      </c>
      <c r="O160" s="10">
        <v>1.35656065472774</v>
      </c>
      <c r="P160" s="10">
        <v>1.34653398267943</v>
      </c>
      <c r="Q160" s="10">
        <v>1.3506549547889299</v>
      </c>
      <c r="R160" s="8">
        <v>248.38625588065</v>
      </c>
      <c r="S160" s="8">
        <v>246.627847542908</v>
      </c>
      <c r="T160" s="8">
        <v>247.20271263933699</v>
      </c>
      <c r="U160" s="9">
        <v>6.4067259041025396E-3</v>
      </c>
      <c r="V160" s="9">
        <v>-6.9778171188925205E-4</v>
      </c>
      <c r="W160" s="9">
        <v>1.6304069521983599E-3</v>
      </c>
      <c r="X160" s="10">
        <v>1.34576452597721</v>
      </c>
      <c r="Y160" s="10">
        <v>1.3555780340485399</v>
      </c>
      <c r="Z160" s="10">
        <v>1.34445097590782</v>
      </c>
      <c r="AA160" s="10">
        <v>1.3485044285311401</v>
      </c>
      <c r="AB160" s="8">
        <v>248.74233358895</v>
      </c>
      <c r="AC160" s="8">
        <v>246.77851683098399</v>
      </c>
      <c r="AD160" s="8">
        <v>247.34164690297101</v>
      </c>
      <c r="AE160" s="9">
        <v>7.2656843955317598E-3</v>
      </c>
      <c r="AF160" s="9">
        <v>-6.6063005896197099E-4</v>
      </c>
      <c r="AG160" s="9">
        <v>1.61869532430192E-3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4.7502485547359953E-2</v>
      </c>
      <c r="BL160" s="9"/>
      <c r="BN160">
        <f t="shared" si="50"/>
        <v>0</v>
      </c>
      <c r="BO160">
        <f t="shared" si="51"/>
        <v>0</v>
      </c>
      <c r="BP160">
        <f t="shared" si="52"/>
        <v>1</v>
      </c>
      <c r="BQ160">
        <f t="shared" si="41"/>
        <v>1</v>
      </c>
      <c r="BR160">
        <f t="shared" si="53"/>
        <v>1</v>
      </c>
      <c r="BS160" s="9">
        <f t="shared" si="54"/>
        <v>2.94486770055627E-3</v>
      </c>
      <c r="BT160" s="9">
        <f t="shared" si="55"/>
        <v>-4.04367716380936E-3</v>
      </c>
      <c r="BU160" s="9">
        <f t="shared" si="56"/>
        <v>-1.09880946325309E-3</v>
      </c>
      <c r="BV160" s="12">
        <f t="shared" si="57"/>
        <v>2.6382219426340097E-2</v>
      </c>
      <c r="BX160" s="12">
        <f t="shared" si="58"/>
        <v>-1.09880946325309E-3</v>
      </c>
      <c r="BY160" s="12">
        <f t="shared" si="59"/>
        <v>7.3884704973700033E-2</v>
      </c>
    </row>
    <row r="161" spans="1:77" x14ac:dyDescent="0.3">
      <c r="A161" s="1">
        <v>46255</v>
      </c>
      <c r="B161" s="8">
        <v>183.31</v>
      </c>
      <c r="C161" s="8">
        <v>247.25</v>
      </c>
      <c r="D161" s="9">
        <v>1.1462570508083401E-3</v>
      </c>
      <c r="E161" s="9">
        <v>1.82167847158868E-3</v>
      </c>
      <c r="F161" s="8">
        <v>0</v>
      </c>
      <c r="G161" s="8">
        <v>0.39539999999999997</v>
      </c>
      <c r="H161" s="8">
        <v>0</v>
      </c>
      <c r="I161" s="8">
        <v>0.1416</v>
      </c>
      <c r="J161" s="8">
        <v>0.39539999999999997</v>
      </c>
      <c r="K161" s="8">
        <v>0.1416</v>
      </c>
      <c r="L161" s="8">
        <v>183.7054</v>
      </c>
      <c r="M161" s="8">
        <v>247.39160000000001</v>
      </c>
      <c r="N161" s="10">
        <v>1.3488080301129199</v>
      </c>
      <c r="O161" s="10">
        <v>1.35656065472774</v>
      </c>
      <c r="P161" s="10">
        <v>1.3462602397525401</v>
      </c>
      <c r="Q161" s="10">
        <v>1.35098141497094</v>
      </c>
      <c r="R161" s="8">
        <v>248.67113361814299</v>
      </c>
      <c r="S161" s="8">
        <v>246.83314436496701</v>
      </c>
      <c r="T161" s="8">
        <v>247.58855976235901</v>
      </c>
      <c r="U161" s="9">
        <v>5.73130448332219E-3</v>
      </c>
      <c r="V161" s="9">
        <v>-1.68739103406323E-3</v>
      </c>
      <c r="W161" s="9">
        <v>1.3683647262620301E-3</v>
      </c>
      <c r="X161" s="10">
        <v>1.3466757101315401</v>
      </c>
      <c r="Y161" s="10">
        <v>1.3555780340485399</v>
      </c>
      <c r="Z161" s="10">
        <v>1.3441725324193701</v>
      </c>
      <c r="AA161" s="10">
        <v>1.34883465029598</v>
      </c>
      <c r="AB161" s="8">
        <v>249.02700497610101</v>
      </c>
      <c r="AC161" s="8">
        <v>246.982904309536</v>
      </c>
      <c r="AD161" s="8">
        <v>247.72754544508501</v>
      </c>
      <c r="AE161" s="9">
        <v>6.5888380337105002E-3</v>
      </c>
      <c r="AF161" s="9">
        <v>-1.65338535868898E-3</v>
      </c>
      <c r="AG161" s="9">
        <v>1.35702890801308E-3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4.7502485547359953E-2</v>
      </c>
      <c r="BL161" s="9"/>
      <c r="BN161">
        <f t="shared" si="50"/>
        <v>0</v>
      </c>
      <c r="BO161">
        <f t="shared" si="51"/>
        <v>0</v>
      </c>
      <c r="BP161">
        <f t="shared" si="52"/>
        <v>1</v>
      </c>
      <c r="BQ161">
        <f t="shared" si="41"/>
        <v>1</v>
      </c>
      <c r="BR161">
        <f t="shared" si="53"/>
        <v>1</v>
      </c>
      <c r="BS161" s="9">
        <f t="shared" si="54"/>
        <v>-1.1462570508083401E-3</v>
      </c>
      <c r="BT161" s="9">
        <f t="shared" si="55"/>
        <v>1.82167847158868E-3</v>
      </c>
      <c r="BU161" s="9">
        <f t="shared" si="56"/>
        <v>6.7542142078033988E-4</v>
      </c>
      <c r="BV161" s="12">
        <f t="shared" si="57"/>
        <v>2.7057640847120437E-2</v>
      </c>
      <c r="BX161" s="12">
        <f t="shared" si="58"/>
        <v>6.7542142078033988E-4</v>
      </c>
      <c r="BY161" s="12">
        <f t="shared" si="59"/>
        <v>7.4560126394480369E-2</v>
      </c>
    </row>
    <row r="162" spans="1:77" x14ac:dyDescent="0.3">
      <c r="A162" s="1">
        <v>46258</v>
      </c>
      <c r="B162" s="8">
        <v>180.05</v>
      </c>
      <c r="C162" s="8">
        <v>244.11</v>
      </c>
      <c r="D162" s="9">
        <v>-1.7944118636388999E-2</v>
      </c>
      <c r="E162" s="9">
        <v>-1.2781027126145801E-2</v>
      </c>
      <c r="F162" s="8">
        <v>0</v>
      </c>
      <c r="G162" s="8">
        <v>0.39539999999999997</v>
      </c>
      <c r="H162" s="8">
        <v>0</v>
      </c>
      <c r="I162" s="8">
        <v>0.1416</v>
      </c>
      <c r="J162" s="8">
        <v>0.39539999999999997</v>
      </c>
      <c r="K162" s="8">
        <v>0.1416</v>
      </c>
      <c r="L162" s="8">
        <v>180.44540000000001</v>
      </c>
      <c r="M162" s="8">
        <v>244.2516</v>
      </c>
      <c r="N162" s="10">
        <v>1.3557900583171301</v>
      </c>
      <c r="O162" s="10">
        <v>1.35656065472774</v>
      </c>
      <c r="P162" s="10">
        <v>1.3463841146267601</v>
      </c>
      <c r="Q162" s="10">
        <v>1.3513440676286299</v>
      </c>
      <c r="R162" s="8">
        <v>244.24874588373001</v>
      </c>
      <c r="S162" s="8">
        <v>242.394156167446</v>
      </c>
      <c r="T162" s="8">
        <v>243.24420376551899</v>
      </c>
      <c r="U162" s="9">
        <v>5.6821297307886002E-4</v>
      </c>
      <c r="V162" s="9">
        <v>-7.0537976922310404E-3</v>
      </c>
      <c r="W162" s="9">
        <v>-3.5530508965377302E-3</v>
      </c>
      <c r="X162" s="10">
        <v>1.3536039156442801</v>
      </c>
      <c r="Y162" s="10">
        <v>1.3555780340485399</v>
      </c>
      <c r="Z162" s="10">
        <v>1.3442888037880301</v>
      </c>
      <c r="AA162" s="10">
        <v>1.3492000799195001</v>
      </c>
      <c r="AB162" s="8">
        <v>244.60782058510199</v>
      </c>
      <c r="AC162" s="8">
        <v>242.54975028142599</v>
      </c>
      <c r="AD162" s="8">
        <v>243.391008006519</v>
      </c>
      <c r="AE162" s="9">
        <v>1.4573541314759099E-3</v>
      </c>
      <c r="AF162" s="9">
        <v>-6.9919964310758698E-3</v>
      </c>
      <c r="AG162" s="9">
        <v>-3.5296049721509899E-3</v>
      </c>
      <c r="BB162">
        <f t="shared" si="42"/>
        <v>1</v>
      </c>
      <c r="BC162">
        <f t="shared" si="43"/>
        <v>0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4.7502485547359953E-2</v>
      </c>
      <c r="BL162" s="9"/>
      <c r="BN162">
        <f t="shared" si="50"/>
        <v>0</v>
      </c>
      <c r="BO162">
        <f t="shared" si="51"/>
        <v>1</v>
      </c>
      <c r="BP162">
        <f t="shared" si="52"/>
        <v>1</v>
      </c>
      <c r="BQ162">
        <f t="shared" si="41"/>
        <v>1</v>
      </c>
      <c r="BR162">
        <f t="shared" si="53"/>
        <v>1</v>
      </c>
      <c r="BS162" s="9">
        <f t="shared" si="54"/>
        <v>1.7944118636388999E-2</v>
      </c>
      <c r="BT162" s="9">
        <f t="shared" si="55"/>
        <v>-1.2781027126145801E-2</v>
      </c>
      <c r="BU162" s="9">
        <f t="shared" si="56"/>
        <v>5.1630915102431982E-3</v>
      </c>
      <c r="BV162" s="12">
        <f t="shared" si="57"/>
        <v>3.2220732357363634E-2</v>
      </c>
      <c r="BX162" s="12">
        <f t="shared" si="58"/>
        <v>5.1630915102431982E-3</v>
      </c>
      <c r="BY162" s="12">
        <f t="shared" si="59"/>
        <v>7.9723217904723573E-2</v>
      </c>
    </row>
    <row r="163" spans="1:77" x14ac:dyDescent="0.3">
      <c r="A163" s="1">
        <v>46259</v>
      </c>
      <c r="B163" s="8">
        <v>181.74</v>
      </c>
      <c r="C163" s="8">
        <v>246.04</v>
      </c>
      <c r="D163" s="9">
        <v>9.3425041723166E-3</v>
      </c>
      <c r="E163" s="9">
        <v>7.8751809634918599E-3</v>
      </c>
      <c r="F163" s="8">
        <v>0</v>
      </c>
      <c r="G163" s="8">
        <v>0.39539999999999997</v>
      </c>
      <c r="H163" s="8">
        <v>0</v>
      </c>
      <c r="I163" s="8">
        <v>0.1416</v>
      </c>
      <c r="J163" s="8">
        <v>0.39539999999999997</v>
      </c>
      <c r="K163" s="8">
        <v>0.1416</v>
      </c>
      <c r="L163" s="8">
        <v>182.1354</v>
      </c>
      <c r="M163" s="8">
        <v>246.1816</v>
      </c>
      <c r="N163" s="10">
        <v>1.35380213491801</v>
      </c>
      <c r="O163" s="10">
        <v>1.35656065472774</v>
      </c>
      <c r="P163" s="10">
        <v>1.34687260905789</v>
      </c>
      <c r="Q163" s="10">
        <v>1.35117515280693</v>
      </c>
      <c r="R163" s="8">
        <v>246.54133339021999</v>
      </c>
      <c r="S163" s="8">
        <v>244.69184899226801</v>
      </c>
      <c r="T163" s="8">
        <v>245.593270850827</v>
      </c>
      <c r="U163" s="9">
        <v>2.0355361819037699E-3</v>
      </c>
      <c r="V163" s="9">
        <v>-5.4944646536589101E-3</v>
      </c>
      <c r="W163" s="9">
        <v>-1.8173272583837999E-3</v>
      </c>
      <c r="X163" s="10">
        <v>1.35164059265798</v>
      </c>
      <c r="Y163" s="10">
        <v>1.3555780340485399</v>
      </c>
      <c r="Z163" s="10">
        <v>1.3447712204158599</v>
      </c>
      <c r="AA163" s="10">
        <v>1.3490382666363301</v>
      </c>
      <c r="AB163" s="8">
        <v>246.898747462644</v>
      </c>
      <c r="AC163" s="8">
        <v>244.84257899345599</v>
      </c>
      <c r="AD163" s="8">
        <v>245.73709623617</v>
      </c>
      <c r="AE163" s="9">
        <v>2.9088483124818099E-3</v>
      </c>
      <c r="AF163" s="9">
        <v>-5.4540056602383801E-3</v>
      </c>
      <c r="AG163" s="9">
        <v>-1.8072250077563799E-3</v>
      </c>
      <c r="BB163">
        <f t="shared" si="42"/>
        <v>1</v>
      </c>
      <c r="BC163">
        <f t="shared" si="43"/>
        <v>0</v>
      </c>
      <c r="BD163">
        <f t="shared" si="44"/>
        <v>1</v>
      </c>
      <c r="BE163">
        <f t="shared" si="40"/>
        <v>1</v>
      </c>
      <c r="BF163">
        <f t="shared" si="45"/>
        <v>1</v>
      </c>
      <c r="BG163" s="9">
        <f t="shared" si="46"/>
        <v>9.3425041723166E-3</v>
      </c>
      <c r="BH163" s="9">
        <f t="shared" si="47"/>
        <v>-7.8751809634918599E-3</v>
      </c>
      <c r="BI163" s="9">
        <f t="shared" si="48"/>
        <v>1.46732320882474E-3</v>
      </c>
      <c r="BJ163" s="12">
        <f t="shared" si="49"/>
        <v>4.8969808756184695E-2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3.2220732357363634E-2</v>
      </c>
      <c r="BX163" s="12">
        <f t="shared" si="58"/>
        <v>1.46732320882474E-3</v>
      </c>
      <c r="BY163" s="12">
        <f t="shared" si="59"/>
        <v>8.1190541113548315E-2</v>
      </c>
    </row>
    <row r="164" spans="1:77" x14ac:dyDescent="0.3">
      <c r="A164" s="1">
        <v>46260</v>
      </c>
      <c r="B164" s="8">
        <v>182.84</v>
      </c>
      <c r="C164" s="8">
        <v>246.67</v>
      </c>
      <c r="D164" s="9">
        <v>6.0343591963425598E-3</v>
      </c>
      <c r="E164" s="9">
        <v>2.5572866121449599E-3</v>
      </c>
      <c r="F164" s="8">
        <v>0</v>
      </c>
      <c r="G164" s="8">
        <v>0.39539999999999997</v>
      </c>
      <c r="H164" s="8">
        <v>0</v>
      </c>
      <c r="I164" s="8">
        <v>0.1416</v>
      </c>
      <c r="J164" s="8">
        <v>0.39539999999999997</v>
      </c>
      <c r="K164" s="8">
        <v>0.1416</v>
      </c>
      <c r="L164" s="8">
        <v>183.2354</v>
      </c>
      <c r="M164" s="8">
        <v>246.8116</v>
      </c>
      <c r="N164" s="10">
        <v>1.3491030409100799</v>
      </c>
      <c r="O164" s="10">
        <v>1.35656065472774</v>
      </c>
      <c r="P164" s="10">
        <v>1.3477788890040301</v>
      </c>
      <c r="Q164" s="10">
        <v>1.35038872473597</v>
      </c>
      <c r="R164" s="8">
        <v>248.033550110421</v>
      </c>
      <c r="S164" s="8">
        <v>246.262187840146</v>
      </c>
      <c r="T164" s="8">
        <v>247.04886493922001</v>
      </c>
      <c r="U164" s="9">
        <v>5.5126087661015897E-3</v>
      </c>
      <c r="V164" s="9">
        <v>-1.6546383577985999E-3</v>
      </c>
      <c r="W164" s="9">
        <v>1.5347398711714701E-3</v>
      </c>
      <c r="X164" s="10">
        <v>1.3469646149161101</v>
      </c>
      <c r="Y164" s="10">
        <v>1.3555780340485399</v>
      </c>
      <c r="Z164" s="10">
        <v>1.34566880483448</v>
      </c>
      <c r="AA164" s="10">
        <v>1.34826411993147</v>
      </c>
      <c r="AB164" s="8">
        <v>248.38988330009801</v>
      </c>
      <c r="AC164" s="8">
        <v>246.40969248138799</v>
      </c>
      <c r="AD164" s="8">
        <v>247.191566402414</v>
      </c>
      <c r="AE164" s="9">
        <v>6.3743292271805302E-3</v>
      </c>
      <c r="AF164" s="9">
        <v>-1.62972529245472E-3</v>
      </c>
      <c r="AG164" s="9">
        <v>1.53831595903193E-3</v>
      </c>
      <c r="BB164">
        <f t="shared" si="42"/>
        <v>0</v>
      </c>
      <c r="BC164">
        <f t="shared" si="43"/>
        <v>1</v>
      </c>
      <c r="BD164">
        <f t="shared" si="44"/>
        <v>1</v>
      </c>
      <c r="BE164">
        <f t="shared" si="40"/>
        <v>1</v>
      </c>
      <c r="BF164">
        <f t="shared" si="45"/>
        <v>1</v>
      </c>
      <c r="BG164" s="9">
        <f t="shared" si="46"/>
        <v>6.0343591963425598E-3</v>
      </c>
      <c r="BH164" s="9">
        <f t="shared" si="47"/>
        <v>-2.5572866121449599E-3</v>
      </c>
      <c r="BI164" s="9">
        <f t="shared" si="48"/>
        <v>3.4770725841975999E-3</v>
      </c>
      <c r="BJ164" s="12">
        <f t="shared" si="49"/>
        <v>5.2446881340382293E-2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3.2220732357363634E-2</v>
      </c>
      <c r="BX164" s="12">
        <f t="shared" si="58"/>
        <v>3.4770725841975999E-3</v>
      </c>
      <c r="BY164" s="12">
        <f t="shared" si="59"/>
        <v>8.4667613697745919E-2</v>
      </c>
    </row>
    <row r="165" spans="1:77" x14ac:dyDescent="0.3">
      <c r="A165" s="1">
        <v>46261</v>
      </c>
      <c r="B165" s="8">
        <v>188.61</v>
      </c>
      <c r="C165" s="8">
        <v>253.81</v>
      </c>
      <c r="D165" s="9">
        <v>3.1069937599535701E-2</v>
      </c>
      <c r="E165" s="9">
        <v>2.8534544655002499E-2</v>
      </c>
      <c r="F165" s="8">
        <v>0</v>
      </c>
      <c r="G165" s="8">
        <v>0.39539999999999997</v>
      </c>
      <c r="H165" s="8">
        <v>0</v>
      </c>
      <c r="I165" s="8">
        <v>0.1416</v>
      </c>
      <c r="J165" s="8">
        <v>0.39539999999999997</v>
      </c>
      <c r="K165" s="8">
        <v>0.1416</v>
      </c>
      <c r="L165" s="8">
        <v>189.00540000000001</v>
      </c>
      <c r="M165" s="8">
        <v>253.95160000000001</v>
      </c>
      <c r="N165" s="10">
        <v>1.34568686708021</v>
      </c>
      <c r="O165" s="10">
        <v>1.35656065472774</v>
      </c>
      <c r="P165" s="10">
        <v>1.3478452954793101</v>
      </c>
      <c r="Q165" s="10">
        <v>1.35025145538868</v>
      </c>
      <c r="R165" s="8">
        <v>255.86090508820001</v>
      </c>
      <c r="S165" s="8">
        <v>254.20457625505099</v>
      </c>
      <c r="T165" s="8">
        <v>254.69681737245099</v>
      </c>
      <c r="U165" s="9">
        <v>8.0480017106346596E-3</v>
      </c>
      <c r="V165" s="9">
        <v>1.55340556290904E-3</v>
      </c>
      <c r="W165" s="9">
        <v>3.4879307069820898E-3</v>
      </c>
      <c r="X165" s="10">
        <v>1.34362087009154</v>
      </c>
      <c r="Y165" s="10">
        <v>1.3555780340485399</v>
      </c>
      <c r="Z165" s="10">
        <v>1.3457327395629399</v>
      </c>
      <c r="AA165" s="10">
        <v>1.3481347130410499</v>
      </c>
      <c r="AB165" s="8">
        <v>256.21156855655801</v>
      </c>
      <c r="AC165" s="8">
        <v>254.338670725263</v>
      </c>
      <c r="AD165" s="8">
        <v>254.82919929329699</v>
      </c>
      <c r="AE165" s="9">
        <v>8.8598451601367197E-3</v>
      </c>
      <c r="AF165" s="9">
        <v>1.5230305295127801E-3</v>
      </c>
      <c r="AG165" s="9">
        <v>3.4498163645014799E-3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5.2446881340382293E-2</v>
      </c>
      <c r="BL165" s="9"/>
      <c r="BN165">
        <f t="shared" si="50"/>
        <v>1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3.2220732357363634E-2</v>
      </c>
      <c r="BX165" s="12">
        <f t="shared" si="58"/>
        <v>0</v>
      </c>
      <c r="BY165" s="12">
        <f t="shared" si="59"/>
        <v>8.4667613697745919E-2</v>
      </c>
    </row>
    <row r="166" spans="1:77" x14ac:dyDescent="0.3">
      <c r="A166" s="1">
        <v>46262</v>
      </c>
      <c r="B166" s="8">
        <v>185.69</v>
      </c>
      <c r="C166" s="8">
        <v>251.2</v>
      </c>
      <c r="D166" s="9">
        <v>-1.56027744505752E-2</v>
      </c>
      <c r="E166" s="9">
        <v>-1.03365210132715E-2</v>
      </c>
      <c r="F166" s="8">
        <v>0</v>
      </c>
      <c r="G166" s="8">
        <v>0.39539999999999997</v>
      </c>
      <c r="H166" s="8">
        <v>0</v>
      </c>
      <c r="I166" s="8">
        <v>0.1416</v>
      </c>
      <c r="J166" s="8">
        <v>0.39539999999999997</v>
      </c>
      <c r="K166" s="8">
        <v>0.1416</v>
      </c>
      <c r="L166" s="8">
        <v>186.08539999999999</v>
      </c>
      <c r="M166" s="8">
        <v>251.3416</v>
      </c>
      <c r="N166" s="10">
        <v>1.3527922882223</v>
      </c>
      <c r="O166" s="10">
        <v>1.35656065472774</v>
      </c>
      <c r="P166" s="10">
        <v>1.3486579172808599</v>
      </c>
      <c r="Q166" s="10">
        <v>1.3500153925828</v>
      </c>
      <c r="R166" s="8">
        <v>251.89974797639499</v>
      </c>
      <c r="S166" s="8">
        <v>250.281392917554</v>
      </c>
      <c r="T166" s="8">
        <v>250.728192751124</v>
      </c>
      <c r="U166" s="9">
        <v>2.7817482733309899E-3</v>
      </c>
      <c r="V166" s="9">
        <v>-3.6635780424375099E-3</v>
      </c>
      <c r="W166" s="9">
        <v>-1.8799796251725901E-3</v>
      </c>
      <c r="X166" s="10">
        <v>1.3506787743691799</v>
      </c>
      <c r="Y166" s="10">
        <v>1.3555780340485399</v>
      </c>
      <c r="Z166" s="10">
        <v>1.34653887862479</v>
      </c>
      <c r="AA166" s="10">
        <v>1.3479053987810501</v>
      </c>
      <c r="AB166" s="8">
        <v>252.25328069713601</v>
      </c>
      <c r="AC166" s="8">
        <v>250.421215134665</v>
      </c>
      <c r="AD166" s="8">
        <v>250.86818733012899</v>
      </c>
      <c r="AE166" s="9">
        <v>3.6206948404330702E-3</v>
      </c>
      <c r="AF166" s="9">
        <v>-3.6686094299441E-3</v>
      </c>
      <c r="AG166" s="9">
        <v>-1.8853189326041E-3</v>
      </c>
      <c r="BB166">
        <f t="shared" si="42"/>
        <v>1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5.2446881340382293E-2</v>
      </c>
      <c r="BL166" s="9"/>
      <c r="BN166">
        <f t="shared" si="50"/>
        <v>0</v>
      </c>
      <c r="BO166">
        <f t="shared" si="51"/>
        <v>1</v>
      </c>
      <c r="BP166">
        <f t="shared" si="52"/>
        <v>1</v>
      </c>
      <c r="BQ166">
        <f t="shared" si="41"/>
        <v>1</v>
      </c>
      <c r="BR166">
        <f t="shared" si="53"/>
        <v>1</v>
      </c>
      <c r="BS166" s="9">
        <f t="shared" si="54"/>
        <v>1.56027744505752E-2</v>
      </c>
      <c r="BT166" s="9">
        <f t="shared" si="55"/>
        <v>-1.03365210132715E-2</v>
      </c>
      <c r="BU166" s="9">
        <f t="shared" si="56"/>
        <v>5.2662534373037004E-3</v>
      </c>
      <c r="BV166" s="12">
        <f t="shared" si="57"/>
        <v>3.7486985794667332E-2</v>
      </c>
      <c r="BX166" s="12">
        <f t="shared" si="58"/>
        <v>5.2662534373037004E-3</v>
      </c>
      <c r="BY166" s="12">
        <f t="shared" si="59"/>
        <v>8.9933867135049625E-2</v>
      </c>
    </row>
    <row r="167" spans="1:77" x14ac:dyDescent="0.3">
      <c r="A167" s="1">
        <v>46265</v>
      </c>
      <c r="B167" s="8">
        <v>186.5</v>
      </c>
      <c r="C167" s="8">
        <v>251.28</v>
      </c>
      <c r="D167" s="9">
        <v>4.3526224713660404E-3</v>
      </c>
      <c r="E167" s="9">
        <v>3.1842063634754999E-4</v>
      </c>
      <c r="F167" s="8">
        <v>0</v>
      </c>
      <c r="G167" s="8">
        <v>0.39539999999999997</v>
      </c>
      <c r="H167" s="8">
        <v>0</v>
      </c>
      <c r="I167" s="8">
        <v>0.1416</v>
      </c>
      <c r="J167" s="8">
        <v>0.39539999999999997</v>
      </c>
      <c r="K167" s="8">
        <v>0.1416</v>
      </c>
      <c r="L167" s="8">
        <v>186.8954</v>
      </c>
      <c r="M167" s="8">
        <v>251.42160000000001</v>
      </c>
      <c r="N167" s="10">
        <v>1.3473458445040201</v>
      </c>
      <c r="O167" s="10">
        <v>1.35656065472774</v>
      </c>
      <c r="P167" s="10">
        <v>1.34951797461903</v>
      </c>
      <c r="Q167" s="10">
        <v>1.34894862504615</v>
      </c>
      <c r="R167" s="8">
        <v>252.99856210672399</v>
      </c>
      <c r="S167" s="8">
        <v>251.52470157288101</v>
      </c>
      <c r="T167" s="8">
        <v>251.77787071669201</v>
      </c>
      <c r="U167" s="9">
        <v>6.81595010834942E-3</v>
      </c>
      <c r="V167" s="9">
        <v>9.7334647601923601E-4</v>
      </c>
      <c r="W167" s="9">
        <v>1.9793781520018299E-3</v>
      </c>
      <c r="X167" s="10">
        <v>1.34525301318277</v>
      </c>
      <c r="Y167" s="10">
        <v>1.3555780340485399</v>
      </c>
      <c r="Z167" s="10">
        <v>1.3473929609434401</v>
      </c>
      <c r="AA167" s="10">
        <v>1.3468459564026001</v>
      </c>
      <c r="AB167" s="8">
        <v>253.35129890471501</v>
      </c>
      <c r="AC167" s="8">
        <v>251.661922336131</v>
      </c>
      <c r="AD167" s="8">
        <v>251.917318667345</v>
      </c>
      <c r="AE167" s="9">
        <v>7.6458475071873701E-3</v>
      </c>
      <c r="AF167" s="9">
        <v>9.5539743896259303E-4</v>
      </c>
      <c r="AG167" s="9">
        <v>1.9697218285117299E-3</v>
      </c>
      <c r="BB167">
        <f t="shared" si="42"/>
        <v>0</v>
      </c>
      <c r="BC167">
        <f t="shared" si="43"/>
        <v>1</v>
      </c>
      <c r="BD167">
        <f t="shared" si="44"/>
        <v>1</v>
      </c>
      <c r="BE167">
        <f t="shared" si="40"/>
        <v>1</v>
      </c>
      <c r="BF167">
        <f t="shared" si="45"/>
        <v>1</v>
      </c>
      <c r="BG167" s="9">
        <f t="shared" si="46"/>
        <v>4.3526224713660404E-3</v>
      </c>
      <c r="BH167" s="9">
        <f t="shared" si="47"/>
        <v>-3.1842063634754999E-4</v>
      </c>
      <c r="BI167" s="9">
        <f t="shared" si="48"/>
        <v>4.0342018350184904E-3</v>
      </c>
      <c r="BJ167" s="12">
        <f t="shared" si="49"/>
        <v>5.6481083175400786E-2</v>
      </c>
      <c r="BL167" s="9"/>
      <c r="BN167">
        <f t="shared" si="50"/>
        <v>0</v>
      </c>
      <c r="BO167">
        <f t="shared" si="51"/>
        <v>0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3.7486985794667332E-2</v>
      </c>
      <c r="BX167" s="12">
        <f t="shared" si="58"/>
        <v>4.0342018350184904E-3</v>
      </c>
      <c r="BY167" s="12">
        <f t="shared" si="59"/>
        <v>9.3968068970068111E-2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XLK_IYW_2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2026-09-03T19:50:19Z</dcterms:created>
  <dcterms:modified xsi:type="dcterms:W3CDTF">2026-09-03T19:59:34Z</dcterms:modified>
</cp:coreProperties>
</file>