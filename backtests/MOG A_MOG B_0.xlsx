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371EC0D3-02A3-40CC-8C9E-148F2C5DB2F6}" xr6:coauthVersionLast="47" xr6:coauthVersionMax="47" xr10:uidLastSave="{00000000-0000-0000-0000-000000000000}"/>
  <bookViews>
    <workbookView xWindow="28680" yWindow="-120" windowWidth="29040" windowHeight="15720" xr2:uid="{AB5C55CB-A2F9-4415-B261-893FCEC1E024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N176" i="1" s="1"/>
  <c r="AX174" i="1"/>
  <c r="AV174" i="1"/>
  <c r="AU174" i="1"/>
  <c r="AY175" i="1" s="1"/>
  <c r="AM174" i="1"/>
  <c r="AK174" i="1"/>
  <c r="AJ174" i="1"/>
  <c r="AX173" i="1"/>
  <c r="AV173" i="1"/>
  <c r="AU173" i="1"/>
  <c r="AM173" i="1"/>
  <c r="AK173" i="1"/>
  <c r="AJ173" i="1"/>
  <c r="AX172" i="1"/>
  <c r="AV172" i="1"/>
  <c r="AU172" i="1"/>
  <c r="AY173" i="1" s="1"/>
  <c r="AM172" i="1"/>
  <c r="AK172" i="1"/>
  <c r="AJ172" i="1"/>
  <c r="AX171" i="1"/>
  <c r="AV171" i="1"/>
  <c r="AU171" i="1"/>
  <c r="AY172" i="1" s="1"/>
  <c r="AM171" i="1"/>
  <c r="AK171" i="1"/>
  <c r="AJ171" i="1"/>
  <c r="AX170" i="1"/>
  <c r="AV170" i="1"/>
  <c r="AU170" i="1"/>
  <c r="AM170" i="1"/>
  <c r="AK170" i="1"/>
  <c r="AJ170" i="1"/>
  <c r="AN171" i="1" s="1"/>
  <c r="AX169" i="1"/>
  <c r="AV169" i="1"/>
  <c r="AU169" i="1"/>
  <c r="AM169" i="1"/>
  <c r="AK169" i="1"/>
  <c r="AJ169" i="1"/>
  <c r="AX168" i="1"/>
  <c r="AV168" i="1"/>
  <c r="AU168" i="1"/>
  <c r="AY169" i="1" s="1"/>
  <c r="AM168" i="1"/>
  <c r="AK168" i="1"/>
  <c r="AJ168" i="1"/>
  <c r="AX167" i="1"/>
  <c r="AV167" i="1"/>
  <c r="AU167" i="1"/>
  <c r="AY168" i="1" s="1"/>
  <c r="AM167" i="1"/>
  <c r="AK167" i="1"/>
  <c r="AJ167" i="1"/>
  <c r="AX166" i="1"/>
  <c r="AV166" i="1"/>
  <c r="AU166" i="1"/>
  <c r="AY167" i="1" s="1"/>
  <c r="AM166" i="1"/>
  <c r="AK166" i="1"/>
  <c r="AJ166" i="1"/>
  <c r="AX165" i="1"/>
  <c r="AV165" i="1"/>
  <c r="AU165" i="1"/>
  <c r="AY166" i="1" s="1"/>
  <c r="AM165" i="1"/>
  <c r="AK165" i="1"/>
  <c r="AJ165" i="1"/>
  <c r="AX164" i="1"/>
  <c r="AV164" i="1"/>
  <c r="AU164" i="1"/>
  <c r="AY165" i="1" s="1"/>
  <c r="AM164" i="1"/>
  <c r="AK164" i="1"/>
  <c r="AJ164" i="1"/>
  <c r="AX163" i="1"/>
  <c r="AV163" i="1"/>
  <c r="AU163" i="1"/>
  <c r="AY164" i="1" s="1"/>
  <c r="AM163" i="1"/>
  <c r="AK163" i="1"/>
  <c r="AJ163" i="1"/>
  <c r="AX162" i="1"/>
  <c r="AV162" i="1"/>
  <c r="AU162" i="1"/>
  <c r="AY163" i="1" s="1"/>
  <c r="AM162" i="1"/>
  <c r="AK162" i="1"/>
  <c r="AJ162" i="1"/>
  <c r="AX161" i="1"/>
  <c r="AV161" i="1"/>
  <c r="AU161" i="1"/>
  <c r="AY162" i="1" s="1"/>
  <c r="AM161" i="1"/>
  <c r="AK161" i="1"/>
  <c r="AJ161" i="1"/>
  <c r="AX160" i="1"/>
  <c r="AV160" i="1"/>
  <c r="AU160" i="1"/>
  <c r="AM160" i="1"/>
  <c r="AK160" i="1"/>
  <c r="AJ160" i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X157" i="1"/>
  <c r="AV157" i="1"/>
  <c r="AU157" i="1"/>
  <c r="AY158" i="1" s="1"/>
  <c r="AM157" i="1"/>
  <c r="AK157" i="1"/>
  <c r="AJ157" i="1"/>
  <c r="AX156" i="1"/>
  <c r="AV156" i="1"/>
  <c r="AU156" i="1"/>
  <c r="AY157" i="1" s="1"/>
  <c r="AM156" i="1"/>
  <c r="AK156" i="1"/>
  <c r="AJ156" i="1"/>
  <c r="AN157" i="1" s="1"/>
  <c r="AX155" i="1"/>
  <c r="AV155" i="1"/>
  <c r="AU155" i="1"/>
  <c r="AM155" i="1"/>
  <c r="AK155" i="1"/>
  <c r="AJ155" i="1"/>
  <c r="AX154" i="1"/>
  <c r="AV154" i="1"/>
  <c r="AU154" i="1"/>
  <c r="AM154" i="1"/>
  <c r="AK154" i="1"/>
  <c r="AJ154" i="1"/>
  <c r="AN155" i="1" s="1"/>
  <c r="AX153" i="1"/>
  <c r="AV153" i="1"/>
  <c r="AU153" i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M149" i="1"/>
  <c r="AK149" i="1"/>
  <c r="AJ149" i="1"/>
  <c r="AN150" i="1" s="1"/>
  <c r="AX148" i="1"/>
  <c r="AV148" i="1"/>
  <c r="AU148" i="1"/>
  <c r="AY149" i="1" s="1"/>
  <c r="AM148" i="1"/>
  <c r="AK148" i="1"/>
  <c r="AJ148" i="1"/>
  <c r="AX147" i="1"/>
  <c r="AV147" i="1"/>
  <c r="AU147" i="1"/>
  <c r="AM147" i="1"/>
  <c r="AK147" i="1"/>
  <c r="AJ147" i="1"/>
  <c r="AN148" i="1" s="1"/>
  <c r="AX146" i="1"/>
  <c r="AV146" i="1"/>
  <c r="AU146" i="1"/>
  <c r="AY147" i="1" s="1"/>
  <c r="AM146" i="1"/>
  <c r="AK146" i="1"/>
  <c r="AJ146" i="1"/>
  <c r="AX145" i="1"/>
  <c r="AV145" i="1"/>
  <c r="AU145" i="1"/>
  <c r="AY146" i="1" s="1"/>
  <c r="AM145" i="1"/>
  <c r="AK145" i="1"/>
  <c r="AJ145" i="1"/>
  <c r="AN146" i="1" s="1"/>
  <c r="AX144" i="1"/>
  <c r="AV144" i="1"/>
  <c r="AU144" i="1"/>
  <c r="AM144" i="1"/>
  <c r="AK144" i="1"/>
  <c r="AJ144" i="1"/>
  <c r="AX143" i="1"/>
  <c r="AV143" i="1"/>
  <c r="AU143" i="1"/>
  <c r="AY144" i="1" s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M141" i="1"/>
  <c r="AK141" i="1"/>
  <c r="AJ141" i="1"/>
  <c r="AN142" i="1" s="1"/>
  <c r="AX140" i="1"/>
  <c r="AV140" i="1"/>
  <c r="AU140" i="1"/>
  <c r="AM140" i="1"/>
  <c r="AK140" i="1"/>
  <c r="AJ140" i="1"/>
  <c r="AN141" i="1" s="1"/>
  <c r="AX139" i="1"/>
  <c r="AV139" i="1"/>
  <c r="AU139" i="1"/>
  <c r="AM139" i="1"/>
  <c r="AK139" i="1"/>
  <c r="AJ139" i="1"/>
  <c r="AN140" i="1" s="1"/>
  <c r="AX138" i="1"/>
  <c r="AV138" i="1"/>
  <c r="AU138" i="1"/>
  <c r="AM138" i="1"/>
  <c r="AK138" i="1"/>
  <c r="AJ138" i="1"/>
  <c r="AN139" i="1" s="1"/>
  <c r="AX137" i="1"/>
  <c r="AV137" i="1"/>
  <c r="AU137" i="1"/>
  <c r="AM137" i="1"/>
  <c r="AK137" i="1"/>
  <c r="AJ137" i="1"/>
  <c r="AN138" i="1" s="1"/>
  <c r="AX136" i="1"/>
  <c r="AV136" i="1"/>
  <c r="AU136" i="1"/>
  <c r="AM136" i="1"/>
  <c r="AK136" i="1"/>
  <c r="AJ136" i="1"/>
  <c r="AN137" i="1" s="1"/>
  <c r="AX135" i="1"/>
  <c r="AV135" i="1"/>
  <c r="AU135" i="1"/>
  <c r="AY136" i="1" s="1"/>
  <c r="AM135" i="1"/>
  <c r="AK135" i="1"/>
  <c r="AJ135" i="1"/>
  <c r="AX134" i="1"/>
  <c r="AV134" i="1"/>
  <c r="AU134" i="1"/>
  <c r="AM134" i="1"/>
  <c r="AK134" i="1"/>
  <c r="AJ134" i="1"/>
  <c r="AN135" i="1" s="1"/>
  <c r="AX133" i="1"/>
  <c r="AV133" i="1"/>
  <c r="AU133" i="1"/>
  <c r="AM133" i="1"/>
  <c r="AK133" i="1"/>
  <c r="AJ133" i="1"/>
  <c r="AN134" i="1" s="1"/>
  <c r="AX132" i="1"/>
  <c r="AV132" i="1"/>
  <c r="AU132" i="1"/>
  <c r="AY133" i="1" s="1"/>
  <c r="AM132" i="1"/>
  <c r="AK132" i="1"/>
  <c r="AJ132" i="1"/>
  <c r="AX131" i="1"/>
  <c r="AV131" i="1"/>
  <c r="AU131" i="1"/>
  <c r="AY132" i="1" s="1"/>
  <c r="AM131" i="1"/>
  <c r="AK131" i="1"/>
  <c r="AJ131" i="1"/>
  <c r="AN132" i="1" s="1"/>
  <c r="AX130" i="1"/>
  <c r="AV130" i="1"/>
  <c r="AU130" i="1"/>
  <c r="AM130" i="1"/>
  <c r="AK130" i="1"/>
  <c r="AJ130" i="1"/>
  <c r="AN131" i="1" s="1"/>
  <c r="AX129" i="1"/>
  <c r="AV129" i="1"/>
  <c r="AU129" i="1"/>
  <c r="AM129" i="1"/>
  <c r="AK129" i="1"/>
  <c r="AJ129" i="1"/>
  <c r="AN130" i="1" s="1"/>
  <c r="AX128" i="1"/>
  <c r="AV128" i="1"/>
  <c r="AU128" i="1"/>
  <c r="AY129" i="1" s="1"/>
  <c r="AM128" i="1"/>
  <c r="AK128" i="1"/>
  <c r="AJ128" i="1"/>
  <c r="AN129" i="1" s="1"/>
  <c r="AX127" i="1"/>
  <c r="AV127" i="1"/>
  <c r="AU127" i="1"/>
  <c r="AY128" i="1" s="1"/>
  <c r="AM127" i="1"/>
  <c r="AK127" i="1"/>
  <c r="AJ127" i="1"/>
  <c r="AX126" i="1"/>
  <c r="AV126" i="1"/>
  <c r="AU126" i="1"/>
  <c r="AY127" i="1" s="1"/>
  <c r="AM126" i="1"/>
  <c r="AK126" i="1"/>
  <c r="AJ126" i="1"/>
  <c r="AX125" i="1"/>
  <c r="AV125" i="1"/>
  <c r="AU125" i="1"/>
  <c r="AY126" i="1" s="1"/>
  <c r="AM125" i="1"/>
  <c r="AK125" i="1"/>
  <c r="AJ125" i="1"/>
  <c r="AX124" i="1"/>
  <c r="AV124" i="1"/>
  <c r="AU124" i="1"/>
  <c r="AM124" i="1"/>
  <c r="AK124" i="1"/>
  <c r="AJ124" i="1"/>
  <c r="AX123" i="1"/>
  <c r="AV123" i="1"/>
  <c r="AU123" i="1"/>
  <c r="AM123" i="1"/>
  <c r="AK123" i="1"/>
  <c r="AJ123" i="1"/>
  <c r="AN124" i="1" s="1"/>
  <c r="AX122" i="1"/>
  <c r="AV122" i="1"/>
  <c r="AU122" i="1"/>
  <c r="AM122" i="1"/>
  <c r="AK122" i="1"/>
  <c r="AJ122" i="1"/>
  <c r="AX121" i="1"/>
  <c r="AV121" i="1"/>
  <c r="AU121" i="1"/>
  <c r="AY122" i="1" s="1"/>
  <c r="AM121" i="1"/>
  <c r="AK121" i="1"/>
  <c r="AJ121" i="1"/>
  <c r="AX120" i="1"/>
  <c r="AV120" i="1"/>
  <c r="AU120" i="1"/>
  <c r="AY121" i="1" s="1"/>
  <c r="AM120" i="1"/>
  <c r="AK120" i="1"/>
  <c r="AJ120" i="1"/>
  <c r="AX119" i="1"/>
  <c r="AV119" i="1"/>
  <c r="AU119" i="1"/>
  <c r="AM119" i="1"/>
  <c r="AK119" i="1"/>
  <c r="AJ119" i="1"/>
  <c r="AN120" i="1" s="1"/>
  <c r="AX118" i="1"/>
  <c r="AV118" i="1"/>
  <c r="AU118" i="1"/>
  <c r="AY119" i="1" s="1"/>
  <c r="AM118" i="1"/>
  <c r="AK118" i="1"/>
  <c r="AJ118" i="1"/>
  <c r="AN119" i="1" s="1"/>
  <c r="AX117" i="1"/>
  <c r="AV117" i="1"/>
  <c r="AU117" i="1"/>
  <c r="AY118" i="1" s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X115" i="1"/>
  <c r="AV115" i="1"/>
  <c r="AU115" i="1"/>
  <c r="AY116" i="1" s="1"/>
  <c r="AM115" i="1"/>
  <c r="AK115" i="1"/>
  <c r="AJ115" i="1"/>
  <c r="AX114" i="1"/>
  <c r="AV114" i="1"/>
  <c r="AU114" i="1"/>
  <c r="AM114" i="1"/>
  <c r="AK114" i="1"/>
  <c r="AJ114" i="1"/>
  <c r="AX113" i="1"/>
  <c r="AV113" i="1"/>
  <c r="AU113" i="1"/>
  <c r="AM113" i="1"/>
  <c r="AK113" i="1"/>
  <c r="AJ113" i="1"/>
  <c r="AX112" i="1"/>
  <c r="AV112" i="1"/>
  <c r="AU112" i="1"/>
  <c r="AM112" i="1"/>
  <c r="AK112" i="1"/>
  <c r="AJ112" i="1"/>
  <c r="AN113" i="1" s="1"/>
  <c r="AX111" i="1"/>
  <c r="AV111" i="1"/>
  <c r="AU111" i="1"/>
  <c r="AM111" i="1"/>
  <c r="AK111" i="1"/>
  <c r="AJ111" i="1"/>
  <c r="AN112" i="1" s="1"/>
  <c r="AX110" i="1"/>
  <c r="AV110" i="1"/>
  <c r="AU110" i="1"/>
  <c r="AM110" i="1"/>
  <c r="AK110" i="1"/>
  <c r="AJ110" i="1"/>
  <c r="AN111" i="1" s="1"/>
  <c r="AX109" i="1"/>
  <c r="AV109" i="1"/>
  <c r="AU109" i="1"/>
  <c r="AY110" i="1" s="1"/>
  <c r="AM109" i="1"/>
  <c r="AK109" i="1"/>
  <c r="AJ109" i="1"/>
  <c r="AX108" i="1"/>
  <c r="AV108" i="1"/>
  <c r="AU108" i="1"/>
  <c r="AY109" i="1" s="1"/>
  <c r="AM108" i="1"/>
  <c r="AK108" i="1"/>
  <c r="AJ108" i="1"/>
  <c r="AN109" i="1" s="1"/>
  <c r="AX107" i="1"/>
  <c r="AV107" i="1"/>
  <c r="AU107" i="1"/>
  <c r="AM107" i="1"/>
  <c r="AK107" i="1"/>
  <c r="AJ107" i="1"/>
  <c r="AX106" i="1"/>
  <c r="AV106" i="1"/>
  <c r="AU106" i="1"/>
  <c r="AM106" i="1"/>
  <c r="AK106" i="1"/>
  <c r="AJ106" i="1"/>
  <c r="AX105" i="1"/>
  <c r="AV105" i="1"/>
  <c r="AU105" i="1"/>
  <c r="AM105" i="1"/>
  <c r="AK105" i="1"/>
  <c r="AJ105" i="1"/>
  <c r="AX104" i="1"/>
  <c r="AV104" i="1"/>
  <c r="AU104" i="1"/>
  <c r="AM104" i="1"/>
  <c r="AK104" i="1"/>
  <c r="AJ104" i="1"/>
  <c r="AN105" i="1" s="1"/>
  <c r="AX103" i="1"/>
  <c r="AV103" i="1"/>
  <c r="AU103" i="1"/>
  <c r="AM103" i="1"/>
  <c r="AK103" i="1"/>
  <c r="AJ103" i="1"/>
  <c r="AN104" i="1" s="1"/>
  <c r="AX102" i="1"/>
  <c r="AV102" i="1"/>
  <c r="AU102" i="1"/>
  <c r="AM102" i="1"/>
  <c r="AK102" i="1"/>
  <c r="AJ102" i="1"/>
  <c r="AN103" i="1" s="1"/>
  <c r="AX101" i="1"/>
  <c r="AV101" i="1"/>
  <c r="AU101" i="1"/>
  <c r="AM101" i="1"/>
  <c r="AK101" i="1"/>
  <c r="AJ101" i="1"/>
  <c r="AN102" i="1" s="1"/>
  <c r="AX100" i="1"/>
  <c r="AV100" i="1"/>
  <c r="AU100" i="1"/>
  <c r="AM100" i="1"/>
  <c r="AK100" i="1"/>
  <c r="AJ100" i="1"/>
  <c r="AX99" i="1"/>
  <c r="AV99" i="1"/>
  <c r="AU99" i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Y98" i="1" s="1"/>
  <c r="AM97" i="1"/>
  <c r="AK97" i="1"/>
  <c r="AJ97" i="1"/>
  <c r="AN98" i="1" s="1"/>
  <c r="AX96" i="1"/>
  <c r="AV96" i="1"/>
  <c r="AU96" i="1"/>
  <c r="AY97" i="1" s="1"/>
  <c r="AM96" i="1"/>
  <c r="AK96" i="1"/>
  <c r="AJ96" i="1"/>
  <c r="AN97" i="1" s="1"/>
  <c r="AX95" i="1"/>
  <c r="AV95" i="1"/>
  <c r="AU95" i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M93" i="1"/>
  <c r="AK93" i="1"/>
  <c r="AJ93" i="1"/>
  <c r="AN94" i="1" s="1"/>
  <c r="AX92" i="1"/>
  <c r="AV92" i="1"/>
  <c r="AU92" i="1"/>
  <c r="AM92" i="1"/>
  <c r="AK92" i="1"/>
  <c r="AJ92" i="1"/>
  <c r="AN93" i="1" s="1"/>
  <c r="AX91" i="1"/>
  <c r="AV91" i="1"/>
  <c r="AU91" i="1"/>
  <c r="AM91" i="1"/>
  <c r="AK91" i="1"/>
  <c r="AJ91" i="1"/>
  <c r="AN92" i="1" s="1"/>
  <c r="AX90" i="1"/>
  <c r="AV90" i="1"/>
  <c r="AU90" i="1"/>
  <c r="AY91" i="1" s="1"/>
  <c r="AM90" i="1"/>
  <c r="AK90" i="1"/>
  <c r="AJ90" i="1"/>
  <c r="AX89" i="1"/>
  <c r="AV89" i="1"/>
  <c r="AU89" i="1"/>
  <c r="AY90" i="1" s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N88" i="1" s="1"/>
  <c r="AX86" i="1"/>
  <c r="AV86" i="1"/>
  <c r="AU86" i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Y83" i="1" s="1"/>
  <c r="AM82" i="1"/>
  <c r="AK82" i="1"/>
  <c r="AJ82" i="1"/>
  <c r="AX81" i="1"/>
  <c r="AV81" i="1"/>
  <c r="AU81" i="1"/>
  <c r="AY82" i="1" s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Y80" i="1" s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Y78" i="1" s="1"/>
  <c r="AM77" i="1"/>
  <c r="AK77" i="1"/>
  <c r="AJ77" i="1"/>
  <c r="AX76" i="1"/>
  <c r="AV76" i="1"/>
  <c r="AU76" i="1"/>
  <c r="AM76" i="1"/>
  <c r="AK76" i="1"/>
  <c r="AJ76" i="1"/>
  <c r="AN77" i="1" s="1"/>
  <c r="AX75" i="1"/>
  <c r="AV75" i="1"/>
  <c r="AU75" i="1"/>
  <c r="AM75" i="1"/>
  <c r="AK75" i="1"/>
  <c r="AJ75" i="1"/>
  <c r="AX74" i="1"/>
  <c r="AV74" i="1"/>
  <c r="AU74" i="1"/>
  <c r="AY75" i="1" s="1"/>
  <c r="AM74" i="1"/>
  <c r="AK74" i="1"/>
  <c r="AJ74" i="1"/>
  <c r="AX73" i="1"/>
  <c r="AV73" i="1"/>
  <c r="AU73" i="1"/>
  <c r="AM73" i="1"/>
  <c r="AK73" i="1"/>
  <c r="AJ73" i="1"/>
  <c r="AN74" i="1" s="1"/>
  <c r="AX72" i="1"/>
  <c r="AV72" i="1"/>
  <c r="AU72" i="1"/>
  <c r="AM72" i="1"/>
  <c r="AK72" i="1"/>
  <c r="AJ72" i="1"/>
  <c r="AN73" i="1" s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X69" i="1"/>
  <c r="AV69" i="1"/>
  <c r="AU69" i="1"/>
  <c r="AM69" i="1"/>
  <c r="AK69" i="1"/>
  <c r="AJ69" i="1"/>
  <c r="AX68" i="1"/>
  <c r="AV68" i="1"/>
  <c r="AU68" i="1"/>
  <c r="AM68" i="1"/>
  <c r="AK68" i="1"/>
  <c r="AJ68" i="1"/>
  <c r="AN69" i="1" s="1"/>
  <c r="AX67" i="1"/>
  <c r="AV67" i="1"/>
  <c r="AU67" i="1"/>
  <c r="AY68" i="1" s="1"/>
  <c r="AM67" i="1"/>
  <c r="AK67" i="1"/>
  <c r="AJ67" i="1"/>
  <c r="AN68" i="1" s="1"/>
  <c r="AX66" i="1"/>
  <c r="AV66" i="1"/>
  <c r="AU66" i="1"/>
  <c r="AM66" i="1"/>
  <c r="AK66" i="1"/>
  <c r="AJ66" i="1"/>
  <c r="AN67" i="1" s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Y64" i="1" s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N62" i="1" s="1"/>
  <c r="AX60" i="1"/>
  <c r="AV60" i="1"/>
  <c r="AU60" i="1"/>
  <c r="AM60" i="1"/>
  <c r="AK60" i="1"/>
  <c r="AJ60" i="1"/>
  <c r="AX59" i="1"/>
  <c r="AV59" i="1"/>
  <c r="AU59" i="1"/>
  <c r="AY60" i="1" s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Y57" i="1" s="1"/>
  <c r="AM56" i="1"/>
  <c r="AK56" i="1"/>
  <c r="AJ56" i="1"/>
  <c r="AX55" i="1"/>
  <c r="AV55" i="1"/>
  <c r="AU55" i="1"/>
  <c r="AY56" i="1" s="1"/>
  <c r="AM55" i="1"/>
  <c r="AK55" i="1"/>
  <c r="AJ55" i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N48" i="1" s="1"/>
  <c r="AX46" i="1"/>
  <c r="AV46" i="1"/>
  <c r="AU46" i="1"/>
  <c r="AY47" i="1" s="1"/>
  <c r="AM46" i="1"/>
  <c r="AK46" i="1"/>
  <c r="AJ46" i="1"/>
  <c r="AN47" i="1" s="1"/>
  <c r="AX45" i="1"/>
  <c r="AV45" i="1"/>
  <c r="AU45" i="1"/>
  <c r="AM45" i="1"/>
  <c r="AK45" i="1"/>
  <c r="AJ45" i="1"/>
  <c r="AN46" i="1" s="1"/>
  <c r="AX44" i="1"/>
  <c r="AV44" i="1"/>
  <c r="AU44" i="1"/>
  <c r="AY45" i="1" s="1"/>
  <c r="AM44" i="1"/>
  <c r="AK44" i="1"/>
  <c r="AJ44" i="1"/>
  <c r="AN45" i="1" s="1"/>
  <c r="AX43" i="1"/>
  <c r="AV43" i="1"/>
  <c r="AU43" i="1"/>
  <c r="AM43" i="1"/>
  <c r="AK43" i="1"/>
  <c r="AJ43" i="1"/>
  <c r="AX42" i="1"/>
  <c r="AV42" i="1"/>
  <c r="AU42" i="1"/>
  <c r="AY43" i="1" s="1"/>
  <c r="AM42" i="1"/>
  <c r="AK42" i="1"/>
  <c r="AJ42" i="1"/>
  <c r="AX41" i="1"/>
  <c r="AV41" i="1"/>
  <c r="AU41" i="1"/>
  <c r="AM41" i="1"/>
  <c r="AK41" i="1"/>
  <c r="AJ41" i="1"/>
  <c r="AN42" i="1" s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N39" i="1" s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N37" i="1" s="1"/>
  <c r="AX35" i="1"/>
  <c r="AV35" i="1"/>
  <c r="AU35" i="1"/>
  <c r="AM35" i="1"/>
  <c r="AK35" i="1"/>
  <c r="AJ35" i="1"/>
  <c r="AX34" i="1"/>
  <c r="AV34" i="1"/>
  <c r="AU34" i="1"/>
  <c r="AY35" i="1" s="1"/>
  <c r="AM34" i="1"/>
  <c r="AK34" i="1"/>
  <c r="AJ34" i="1"/>
  <c r="AX33" i="1"/>
  <c r="AV33" i="1"/>
  <c r="AU33" i="1"/>
  <c r="AM33" i="1"/>
  <c r="AK33" i="1"/>
  <c r="AJ33" i="1"/>
  <c r="AN34" i="1" s="1"/>
  <c r="AX32" i="1"/>
  <c r="AV32" i="1"/>
  <c r="AU32" i="1"/>
  <c r="AM32" i="1"/>
  <c r="AK32" i="1"/>
  <c r="AJ32" i="1"/>
  <c r="AN33" i="1" s="1"/>
  <c r="AX31" i="1"/>
  <c r="AV31" i="1"/>
  <c r="AU31" i="1"/>
  <c r="AM31" i="1"/>
  <c r="AK31" i="1"/>
  <c r="AJ31" i="1"/>
  <c r="AN32" i="1" s="1"/>
  <c r="AX30" i="1"/>
  <c r="AV30" i="1"/>
  <c r="AU30" i="1"/>
  <c r="AY31" i="1" s="1"/>
  <c r="AM30" i="1"/>
  <c r="AK30" i="1"/>
  <c r="AJ30" i="1"/>
  <c r="AN31" i="1" s="1"/>
  <c r="AX29" i="1"/>
  <c r="AV29" i="1"/>
  <c r="AU29" i="1"/>
  <c r="AY30" i="1" s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M25" i="1"/>
  <c r="AK25" i="1"/>
  <c r="AJ25" i="1"/>
  <c r="AN26" i="1" s="1"/>
  <c r="AX24" i="1"/>
  <c r="AV24" i="1"/>
  <c r="AU24" i="1"/>
  <c r="AY25" i="1" s="1"/>
  <c r="AM24" i="1"/>
  <c r="AK24" i="1"/>
  <c r="AJ24" i="1"/>
  <c r="AX23" i="1"/>
  <c r="AV23" i="1"/>
  <c r="AU23" i="1"/>
  <c r="AM23" i="1"/>
  <c r="AK23" i="1"/>
  <c r="AJ23" i="1"/>
  <c r="AN24" i="1" s="1"/>
  <c r="AX22" i="1"/>
  <c r="AW22" i="1"/>
  <c r="AV22" i="1"/>
  <c r="AU22" i="1"/>
  <c r="AY23" i="1" s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87" i="1" l="1"/>
  <c r="AN66" i="1"/>
  <c r="AN63" i="1"/>
  <c r="AN28" i="1"/>
  <c r="AN65" i="1"/>
  <c r="AN36" i="1"/>
  <c r="AN101" i="1"/>
  <c r="AN86" i="1"/>
  <c r="AN71" i="1"/>
  <c r="AN64" i="1"/>
  <c r="AN75" i="1"/>
  <c r="AN96" i="1"/>
  <c r="AN55" i="1"/>
  <c r="AN52" i="1"/>
  <c r="AN49" i="1"/>
  <c r="AN35" i="1"/>
  <c r="AN100" i="1"/>
  <c r="AN85" i="1"/>
  <c r="AN58" i="1"/>
  <c r="AN54" i="1"/>
  <c r="AN51" i="1"/>
  <c r="AN29" i="1"/>
  <c r="AN72" i="1"/>
  <c r="AN59" i="1"/>
  <c r="AN53" i="1"/>
  <c r="AN38" i="1"/>
  <c r="AN23" i="1"/>
  <c r="AN76" i="1"/>
  <c r="AN70" i="1"/>
  <c r="AN50" i="1"/>
  <c r="AY124" i="1"/>
  <c r="AY120" i="1"/>
  <c r="AY42" i="1"/>
  <c r="AY32" i="1"/>
  <c r="AY29" i="1"/>
  <c r="AY27" i="1"/>
  <c r="AY170" i="1"/>
  <c r="AY145" i="1"/>
  <c r="AY114" i="1"/>
  <c r="AY61" i="1"/>
  <c r="AY41" i="1"/>
  <c r="AY50" i="1"/>
  <c r="AY62" i="1"/>
  <c r="AY48" i="1"/>
  <c r="AY46" i="1"/>
  <c r="AY44" i="1"/>
  <c r="AY28" i="1"/>
  <c r="AY148" i="1"/>
  <c r="AY143" i="1"/>
  <c r="AY125" i="1"/>
  <c r="AY115" i="1"/>
  <c r="AY112" i="1"/>
  <c r="AY95" i="1"/>
  <c r="AY89" i="1"/>
  <c r="AY79" i="1"/>
  <c r="AY40" i="1"/>
  <c r="AY88" i="1"/>
  <c r="AY81" i="1"/>
  <c r="AY76" i="1"/>
  <c r="AY123" i="1"/>
  <c r="AY84" i="1"/>
  <c r="AN110" i="1"/>
  <c r="AN106" i="1"/>
  <c r="AN108" i="1"/>
  <c r="AN107" i="1"/>
  <c r="AN99" i="1"/>
  <c r="AY174" i="1"/>
  <c r="AY161" i="1"/>
  <c r="AN156" i="1"/>
  <c r="AN149" i="1"/>
  <c r="AO176" i="1"/>
  <c r="AP176" i="1"/>
  <c r="AL176" i="1"/>
  <c r="AZ175" i="1"/>
  <c r="BA175" i="1"/>
  <c r="AW175" i="1"/>
  <c r="AY176" i="1" s="1"/>
  <c r="BA174" i="1"/>
  <c r="AW174" i="1"/>
  <c r="AZ174" i="1"/>
  <c r="BB174" i="1" s="1"/>
  <c r="AZ173" i="1"/>
  <c r="AW173" i="1"/>
  <c r="BA173" i="1"/>
  <c r="AW172" i="1"/>
  <c r="AZ172" i="1"/>
  <c r="BA172" i="1"/>
  <c r="AP171" i="1"/>
  <c r="AO171" i="1"/>
  <c r="AL171" i="1"/>
  <c r="AN172" i="1" s="1"/>
  <c r="AZ170" i="1"/>
  <c r="BA170" i="1"/>
  <c r="AW170" i="1"/>
  <c r="AY171" i="1" s="1"/>
  <c r="BA169" i="1"/>
  <c r="AW169" i="1"/>
  <c r="AZ169" i="1"/>
  <c r="BB169" i="1" s="1"/>
  <c r="AZ168" i="1"/>
  <c r="BA168" i="1"/>
  <c r="AW168" i="1"/>
  <c r="AZ167" i="1"/>
  <c r="BA167" i="1"/>
  <c r="AW167" i="1"/>
  <c r="AZ166" i="1"/>
  <c r="BA166" i="1"/>
  <c r="AW166" i="1"/>
  <c r="BA165" i="1"/>
  <c r="AW165" i="1"/>
  <c r="AZ165" i="1"/>
  <c r="AZ164" i="1"/>
  <c r="AW164" i="1"/>
  <c r="BA164" i="1"/>
  <c r="BA163" i="1"/>
  <c r="AW163" i="1"/>
  <c r="AZ163" i="1"/>
  <c r="BB163" i="1" s="1"/>
  <c r="AZ162" i="1"/>
  <c r="BA162" i="1"/>
  <c r="AW162" i="1"/>
  <c r="AZ161" i="1"/>
  <c r="AW161" i="1"/>
  <c r="BA161" i="1"/>
  <c r="AW160" i="1"/>
  <c r="BA160" i="1"/>
  <c r="AZ160" i="1"/>
  <c r="BB160" i="1" s="1"/>
  <c r="AW159" i="1"/>
  <c r="AZ159" i="1"/>
  <c r="BA159" i="1"/>
  <c r="AZ158" i="1"/>
  <c r="AW158" i="1"/>
  <c r="BA158" i="1"/>
  <c r="AZ157" i="1"/>
  <c r="AW157" i="1"/>
  <c r="BA157" i="1"/>
  <c r="AP157" i="1"/>
  <c r="AL157" i="1"/>
  <c r="AN158" i="1" s="1"/>
  <c r="AO157" i="1"/>
  <c r="AQ157" i="1" s="1"/>
  <c r="AP156" i="1"/>
  <c r="AL156" i="1"/>
  <c r="AO156" i="1"/>
  <c r="AQ156" i="1" s="1"/>
  <c r="AP155" i="1"/>
  <c r="AL155" i="1"/>
  <c r="AO155" i="1"/>
  <c r="AQ155" i="1" s="1"/>
  <c r="AL154" i="1"/>
  <c r="AO154" i="1"/>
  <c r="AP154" i="1"/>
  <c r="AW153" i="1"/>
  <c r="AY154" i="1" s="1"/>
  <c r="AZ153" i="1"/>
  <c r="BA153" i="1"/>
  <c r="AW152" i="1"/>
  <c r="BA152" i="1"/>
  <c r="AZ152" i="1"/>
  <c r="BB152" i="1" s="1"/>
  <c r="AZ151" i="1"/>
  <c r="AW151" i="1"/>
  <c r="BA151" i="1"/>
  <c r="AP150" i="1"/>
  <c r="AL150" i="1"/>
  <c r="AN151" i="1" s="1"/>
  <c r="AO150" i="1"/>
  <c r="AQ150" i="1" s="1"/>
  <c r="BA149" i="1"/>
  <c r="AW149" i="1"/>
  <c r="AY150" i="1" s="1"/>
  <c r="AZ149" i="1"/>
  <c r="BB149" i="1" s="1"/>
  <c r="AL149" i="1"/>
  <c r="AP149" i="1"/>
  <c r="AO149" i="1"/>
  <c r="AQ149" i="1" s="1"/>
  <c r="AZ148" i="1"/>
  <c r="BA148" i="1"/>
  <c r="AW148" i="1"/>
  <c r="AO148" i="1"/>
  <c r="AL148" i="1"/>
  <c r="AP148" i="1"/>
  <c r="BA147" i="1"/>
  <c r="AW147" i="1"/>
  <c r="AZ147" i="1"/>
  <c r="BB147" i="1" s="1"/>
  <c r="BA146" i="1"/>
  <c r="AW146" i="1"/>
  <c r="AZ146" i="1"/>
  <c r="AP146" i="1"/>
  <c r="AO146" i="1"/>
  <c r="AQ146" i="1" s="1"/>
  <c r="AL146" i="1"/>
  <c r="AN147" i="1" s="1"/>
  <c r="AW145" i="1"/>
  <c r="BA145" i="1"/>
  <c r="AZ145" i="1"/>
  <c r="BB145" i="1" s="1"/>
  <c r="AW144" i="1"/>
  <c r="BA144" i="1"/>
  <c r="AZ144" i="1"/>
  <c r="BB144" i="1" s="1"/>
  <c r="BA143" i="1"/>
  <c r="AW143" i="1"/>
  <c r="AZ143" i="1"/>
  <c r="BB143" i="1" s="1"/>
  <c r="AO142" i="1"/>
  <c r="AP142" i="1"/>
  <c r="AL142" i="1"/>
  <c r="AN143" i="1" s="1"/>
  <c r="AO141" i="1"/>
  <c r="AL141" i="1"/>
  <c r="AP141" i="1"/>
  <c r="AP140" i="1"/>
  <c r="AL140" i="1"/>
  <c r="AO140" i="1"/>
  <c r="AQ140" i="1" s="1"/>
  <c r="AL139" i="1"/>
  <c r="AP139" i="1"/>
  <c r="AO139" i="1"/>
  <c r="AO138" i="1"/>
  <c r="AP138" i="1"/>
  <c r="AL138" i="1"/>
  <c r="AL137" i="1"/>
  <c r="AO137" i="1"/>
  <c r="AP137" i="1"/>
  <c r="AW136" i="1"/>
  <c r="AY137" i="1" s="1"/>
  <c r="AZ136" i="1"/>
  <c r="BA136" i="1"/>
  <c r="AL135" i="1"/>
  <c r="AN136" i="1" s="1"/>
  <c r="AP135" i="1"/>
  <c r="AO135" i="1"/>
  <c r="AQ135" i="1" s="1"/>
  <c r="AP134" i="1"/>
  <c r="AL134" i="1"/>
  <c r="AO134" i="1"/>
  <c r="AQ134" i="1" s="1"/>
  <c r="BA133" i="1"/>
  <c r="AW133" i="1"/>
  <c r="AY134" i="1" s="1"/>
  <c r="AZ133" i="1"/>
  <c r="BB133" i="1" s="1"/>
  <c r="BA132" i="1"/>
  <c r="AW132" i="1"/>
  <c r="AZ132" i="1"/>
  <c r="BB132" i="1" s="1"/>
  <c r="AP132" i="1"/>
  <c r="AL132" i="1"/>
  <c r="AN133" i="1" s="1"/>
  <c r="AO132" i="1"/>
  <c r="AQ132" i="1" s="1"/>
  <c r="AP131" i="1"/>
  <c r="AL131" i="1"/>
  <c r="AO131" i="1"/>
  <c r="AQ131" i="1" s="1"/>
  <c r="AL130" i="1"/>
  <c r="AO130" i="1"/>
  <c r="AP130" i="1"/>
  <c r="AW129" i="1"/>
  <c r="AY130" i="1" s="1"/>
  <c r="BA129" i="1"/>
  <c r="AZ129" i="1"/>
  <c r="BB129" i="1" s="1"/>
  <c r="AP129" i="1"/>
  <c r="AL129" i="1"/>
  <c r="AO129" i="1"/>
  <c r="AQ129" i="1" s="1"/>
  <c r="AZ128" i="1"/>
  <c r="AW128" i="1"/>
  <c r="BA128" i="1"/>
  <c r="BA127" i="1"/>
  <c r="AZ127" i="1"/>
  <c r="AW127" i="1"/>
  <c r="BA126" i="1"/>
  <c r="AZ126" i="1"/>
  <c r="BB126" i="1" s="1"/>
  <c r="AW126" i="1"/>
  <c r="BA125" i="1"/>
  <c r="AZ125" i="1"/>
  <c r="AW125" i="1"/>
  <c r="AW124" i="1"/>
  <c r="AZ124" i="1"/>
  <c r="BA124" i="1"/>
  <c r="AP124" i="1"/>
  <c r="AL124" i="1"/>
  <c r="AN125" i="1" s="1"/>
  <c r="AO124" i="1"/>
  <c r="AQ124" i="1" s="1"/>
  <c r="AW123" i="1"/>
  <c r="AZ123" i="1"/>
  <c r="BA123" i="1"/>
  <c r="AZ122" i="1"/>
  <c r="AW122" i="1"/>
  <c r="BA122" i="1"/>
  <c r="BA121" i="1"/>
  <c r="AW121" i="1"/>
  <c r="AZ121" i="1"/>
  <c r="BB121" i="1" s="1"/>
  <c r="AZ120" i="1"/>
  <c r="BA120" i="1"/>
  <c r="AW120" i="1"/>
  <c r="AL120" i="1"/>
  <c r="AN121" i="1" s="1"/>
  <c r="AP120" i="1"/>
  <c r="AO120" i="1"/>
  <c r="AQ120" i="1" s="1"/>
  <c r="BA119" i="1"/>
  <c r="AW119" i="1"/>
  <c r="AZ119" i="1"/>
  <c r="BB119" i="1" s="1"/>
  <c r="AP119" i="1"/>
  <c r="AL119" i="1"/>
  <c r="AO119" i="1"/>
  <c r="AQ119" i="1" s="1"/>
  <c r="AW118" i="1"/>
  <c r="BA118" i="1"/>
  <c r="AZ118" i="1"/>
  <c r="BB118" i="1" s="1"/>
  <c r="AP118" i="1"/>
  <c r="AO118" i="1"/>
  <c r="AL118" i="1"/>
  <c r="BA117" i="1"/>
  <c r="AW117" i="1"/>
  <c r="AZ117" i="1"/>
  <c r="BB117" i="1" s="1"/>
  <c r="AZ116" i="1"/>
  <c r="AW116" i="1"/>
  <c r="BA116" i="1"/>
  <c r="BA115" i="1"/>
  <c r="AW115" i="1"/>
  <c r="AZ115" i="1"/>
  <c r="BB115" i="1" s="1"/>
  <c r="AW114" i="1"/>
  <c r="AZ114" i="1"/>
  <c r="BA114" i="1"/>
  <c r="AP113" i="1"/>
  <c r="AL113" i="1"/>
  <c r="AN114" i="1" s="1"/>
  <c r="AO113" i="1"/>
  <c r="AW112" i="1"/>
  <c r="AY113" i="1" s="1"/>
  <c r="AZ112" i="1"/>
  <c r="BA112" i="1"/>
  <c r="AO112" i="1"/>
  <c r="AL112" i="1"/>
  <c r="AP112" i="1"/>
  <c r="AO111" i="1"/>
  <c r="AP111" i="1"/>
  <c r="AL111" i="1"/>
  <c r="AZ110" i="1"/>
  <c r="BA110" i="1"/>
  <c r="AW110" i="1"/>
  <c r="AY111" i="1" s="1"/>
  <c r="AL110" i="1"/>
  <c r="AO110" i="1"/>
  <c r="AP110" i="1"/>
  <c r="BA109" i="1"/>
  <c r="AZ109" i="1"/>
  <c r="AW109" i="1"/>
  <c r="AL109" i="1"/>
  <c r="AO109" i="1"/>
  <c r="AP109" i="1"/>
  <c r="AL108" i="1"/>
  <c r="AP108" i="1"/>
  <c r="AO108" i="1"/>
  <c r="AQ108" i="1" s="1"/>
  <c r="AP107" i="1"/>
  <c r="AL107" i="1"/>
  <c r="AO107" i="1"/>
  <c r="AQ107" i="1" s="1"/>
  <c r="AL106" i="1"/>
  <c r="AP106" i="1"/>
  <c r="AO106" i="1"/>
  <c r="AQ106" i="1" s="1"/>
  <c r="AP105" i="1"/>
  <c r="AL105" i="1"/>
  <c r="AO105" i="1"/>
  <c r="AQ105" i="1" s="1"/>
  <c r="AL104" i="1"/>
  <c r="AP104" i="1"/>
  <c r="AO104" i="1"/>
  <c r="AQ104" i="1" s="1"/>
  <c r="AO103" i="1"/>
  <c r="AP103" i="1"/>
  <c r="AL103" i="1"/>
  <c r="AP102" i="1"/>
  <c r="AL102" i="1"/>
  <c r="AO102" i="1"/>
  <c r="AQ102" i="1" s="1"/>
  <c r="AP101" i="1"/>
  <c r="AL101" i="1"/>
  <c r="AO101" i="1"/>
  <c r="AQ101" i="1" s="1"/>
  <c r="AL100" i="1"/>
  <c r="AO100" i="1"/>
  <c r="AP100" i="1"/>
  <c r="AL99" i="1"/>
  <c r="AO99" i="1"/>
  <c r="AP99" i="1"/>
  <c r="AW98" i="1"/>
  <c r="AY99" i="1" s="1"/>
  <c r="AZ98" i="1"/>
  <c r="BA98" i="1"/>
  <c r="AP98" i="1"/>
  <c r="AO98" i="1"/>
  <c r="AQ98" i="1" s="1"/>
  <c r="AL98" i="1"/>
  <c r="AW97" i="1"/>
  <c r="BA97" i="1"/>
  <c r="AZ97" i="1"/>
  <c r="AL97" i="1"/>
  <c r="AO97" i="1"/>
  <c r="AP97" i="1"/>
  <c r="AP96" i="1"/>
  <c r="AO96" i="1"/>
  <c r="AQ96" i="1" s="1"/>
  <c r="AL96" i="1"/>
  <c r="BA95" i="1"/>
  <c r="AZ95" i="1"/>
  <c r="BB95" i="1" s="1"/>
  <c r="AW95" i="1"/>
  <c r="AY96" i="1" s="1"/>
  <c r="AO94" i="1"/>
  <c r="AL94" i="1"/>
  <c r="AN95" i="1" s="1"/>
  <c r="AP94" i="1"/>
  <c r="AP93" i="1"/>
  <c r="AO93" i="1"/>
  <c r="AQ93" i="1" s="1"/>
  <c r="AL93" i="1"/>
  <c r="AP92" i="1"/>
  <c r="AL92" i="1"/>
  <c r="AO92" i="1"/>
  <c r="BA91" i="1"/>
  <c r="AZ91" i="1"/>
  <c r="BB91" i="1" s="1"/>
  <c r="AW91" i="1"/>
  <c r="AY92" i="1" s="1"/>
  <c r="BA90" i="1"/>
  <c r="AW90" i="1"/>
  <c r="AZ90" i="1"/>
  <c r="BB90" i="1" s="1"/>
  <c r="AW89" i="1"/>
  <c r="AZ89" i="1"/>
  <c r="BA89" i="1"/>
  <c r="BA88" i="1"/>
  <c r="AW88" i="1"/>
  <c r="AZ88" i="1"/>
  <c r="BB88" i="1" s="1"/>
  <c r="AO88" i="1"/>
  <c r="AP88" i="1"/>
  <c r="AL88" i="1"/>
  <c r="AN89" i="1" s="1"/>
  <c r="AP87" i="1"/>
  <c r="AL87" i="1"/>
  <c r="AO87" i="1"/>
  <c r="AQ87" i="1" s="1"/>
  <c r="AL86" i="1"/>
  <c r="AP86" i="1"/>
  <c r="AO86" i="1"/>
  <c r="AQ86" i="1" s="1"/>
  <c r="AP85" i="1"/>
  <c r="AO85" i="1"/>
  <c r="AQ85" i="1" s="1"/>
  <c r="AL85" i="1"/>
  <c r="AZ84" i="1"/>
  <c r="AW84" i="1"/>
  <c r="AY85" i="1" s="1"/>
  <c r="BA84" i="1"/>
  <c r="BA83" i="1"/>
  <c r="AW83" i="1"/>
  <c r="AZ83" i="1"/>
  <c r="AW82" i="1"/>
  <c r="AZ82" i="1"/>
  <c r="BA82" i="1"/>
  <c r="BA81" i="1"/>
  <c r="AW81" i="1"/>
  <c r="AZ81" i="1"/>
  <c r="BB81" i="1" s="1"/>
  <c r="BA80" i="1"/>
  <c r="AW80" i="1"/>
  <c r="AZ80" i="1"/>
  <c r="BB80" i="1" s="1"/>
  <c r="BA79" i="1"/>
  <c r="AZ79" i="1"/>
  <c r="AW79" i="1"/>
  <c r="AW78" i="1"/>
  <c r="AZ78" i="1"/>
  <c r="BA78" i="1"/>
  <c r="AO77" i="1"/>
  <c r="AL77" i="1"/>
  <c r="AN78" i="1" s="1"/>
  <c r="AP77" i="1"/>
  <c r="AZ76" i="1"/>
  <c r="BA76" i="1"/>
  <c r="AW76" i="1"/>
  <c r="AY77" i="1" s="1"/>
  <c r="AP76" i="1"/>
  <c r="AL76" i="1"/>
  <c r="AO76" i="1"/>
  <c r="AQ76" i="1" s="1"/>
  <c r="BA75" i="1"/>
  <c r="AW75" i="1"/>
  <c r="AZ75" i="1"/>
  <c r="BB75" i="1" s="1"/>
  <c r="AO75" i="1"/>
  <c r="AL75" i="1"/>
  <c r="AP75" i="1"/>
  <c r="AL74" i="1"/>
  <c r="AP74" i="1"/>
  <c r="AO74" i="1"/>
  <c r="AP73" i="1"/>
  <c r="AO73" i="1"/>
  <c r="AQ73" i="1" s="1"/>
  <c r="AL73" i="1"/>
  <c r="AP72" i="1"/>
  <c r="AO72" i="1"/>
  <c r="AL72" i="1"/>
  <c r="AP71" i="1"/>
  <c r="AL71" i="1"/>
  <c r="AO71" i="1"/>
  <c r="AO70" i="1"/>
  <c r="AL70" i="1"/>
  <c r="AP70" i="1"/>
  <c r="AL69" i="1"/>
  <c r="AO69" i="1"/>
  <c r="AP69" i="1"/>
  <c r="AW68" i="1"/>
  <c r="AY69" i="1" s="1"/>
  <c r="BA68" i="1"/>
  <c r="AZ68" i="1"/>
  <c r="BB68" i="1" s="1"/>
  <c r="AP68" i="1"/>
  <c r="AL68" i="1"/>
  <c r="AO68" i="1"/>
  <c r="AQ68" i="1" s="1"/>
  <c r="BE68" i="1" s="1"/>
  <c r="AO67" i="1"/>
  <c r="AL67" i="1"/>
  <c r="AP67" i="1"/>
  <c r="AL66" i="1"/>
  <c r="AO66" i="1"/>
  <c r="AP66" i="1"/>
  <c r="AO65" i="1"/>
  <c r="AL65" i="1"/>
  <c r="AP65" i="1"/>
  <c r="AZ64" i="1"/>
  <c r="BA64" i="1"/>
  <c r="AW64" i="1"/>
  <c r="AY65" i="1" s="1"/>
  <c r="AL64" i="1"/>
  <c r="AP64" i="1"/>
  <c r="AO64" i="1"/>
  <c r="AQ64" i="1" s="1"/>
  <c r="AL63" i="1"/>
  <c r="AO63" i="1"/>
  <c r="AP63" i="1"/>
  <c r="BA62" i="1"/>
  <c r="AW62" i="1"/>
  <c r="AY63" i="1" s="1"/>
  <c r="AZ62" i="1"/>
  <c r="BB62" i="1" s="1"/>
  <c r="AO62" i="1"/>
  <c r="AL62" i="1"/>
  <c r="AP62" i="1"/>
  <c r="AW61" i="1"/>
  <c r="AZ61" i="1"/>
  <c r="BA61" i="1"/>
  <c r="BA60" i="1"/>
  <c r="AW60" i="1"/>
  <c r="AZ60" i="1"/>
  <c r="BB60" i="1" s="1"/>
  <c r="AP59" i="1"/>
  <c r="AL59" i="1"/>
  <c r="AN60" i="1" s="1"/>
  <c r="AO59" i="1"/>
  <c r="AQ59" i="1" s="1"/>
  <c r="AL58" i="1"/>
  <c r="AO58" i="1"/>
  <c r="AP58" i="1"/>
  <c r="AZ57" i="1"/>
  <c r="BA57" i="1"/>
  <c r="AW57" i="1"/>
  <c r="AY58" i="1" s="1"/>
  <c r="AZ56" i="1"/>
  <c r="AW56" i="1"/>
  <c r="BA56" i="1"/>
  <c r="AP55" i="1"/>
  <c r="AL55" i="1"/>
  <c r="AN56" i="1" s="1"/>
  <c r="AO55" i="1"/>
  <c r="AQ55" i="1" s="1"/>
  <c r="AO54" i="1"/>
  <c r="AL54" i="1"/>
  <c r="AP54" i="1"/>
  <c r="AP53" i="1"/>
  <c r="AL53" i="1"/>
  <c r="AO53" i="1"/>
  <c r="AQ53" i="1" s="1"/>
  <c r="AO52" i="1"/>
  <c r="AL52" i="1"/>
  <c r="AP52" i="1"/>
  <c r="AP51" i="1"/>
  <c r="AO51" i="1"/>
  <c r="AL51" i="1"/>
  <c r="AZ50" i="1"/>
  <c r="AW50" i="1"/>
  <c r="AY51" i="1" s="1"/>
  <c r="BA50" i="1"/>
  <c r="AO50" i="1"/>
  <c r="AL50" i="1"/>
  <c r="AP50" i="1"/>
  <c r="AP49" i="1"/>
  <c r="AL49" i="1"/>
  <c r="AO49" i="1"/>
  <c r="AQ49" i="1" s="1"/>
  <c r="AZ48" i="1"/>
  <c r="BA48" i="1"/>
  <c r="AW48" i="1"/>
  <c r="AY49" i="1" s="1"/>
  <c r="AL48" i="1"/>
  <c r="AP48" i="1"/>
  <c r="AO48" i="1"/>
  <c r="AQ48" i="1" s="1"/>
  <c r="BA47" i="1"/>
  <c r="AZ47" i="1"/>
  <c r="BB47" i="1" s="1"/>
  <c r="AW47" i="1"/>
  <c r="AO47" i="1"/>
  <c r="AP47" i="1"/>
  <c r="AL47" i="1"/>
  <c r="AZ46" i="1"/>
  <c r="BA46" i="1"/>
  <c r="AW46" i="1"/>
  <c r="AL46" i="1"/>
  <c r="AO46" i="1"/>
  <c r="AP46" i="1"/>
  <c r="AZ45" i="1"/>
  <c r="AW45" i="1"/>
  <c r="BA45" i="1"/>
  <c r="AO45" i="1"/>
  <c r="AL45" i="1"/>
  <c r="AP45" i="1"/>
  <c r="BA44" i="1"/>
  <c r="AZ44" i="1"/>
  <c r="BB44" i="1" s="1"/>
  <c r="AW44" i="1"/>
  <c r="AW43" i="1"/>
  <c r="AZ43" i="1"/>
  <c r="BA43" i="1"/>
  <c r="AZ42" i="1"/>
  <c r="AW42" i="1"/>
  <c r="BA42" i="1"/>
  <c r="AO42" i="1"/>
  <c r="AL42" i="1"/>
  <c r="AN43" i="1" s="1"/>
  <c r="AP42" i="1"/>
  <c r="BA41" i="1"/>
  <c r="AW41" i="1"/>
  <c r="AZ41" i="1"/>
  <c r="BB41" i="1" s="1"/>
  <c r="BA40" i="1"/>
  <c r="AW40" i="1"/>
  <c r="AZ40" i="1"/>
  <c r="BB40" i="1" s="1"/>
  <c r="AO39" i="1"/>
  <c r="AL39" i="1"/>
  <c r="AN40" i="1" s="1"/>
  <c r="AP39" i="1"/>
  <c r="AL38" i="1"/>
  <c r="AO38" i="1"/>
  <c r="AP38" i="1"/>
  <c r="AP37" i="1"/>
  <c r="AL37" i="1"/>
  <c r="AO37" i="1"/>
  <c r="AQ37" i="1" s="1"/>
  <c r="AP36" i="1"/>
  <c r="AL36" i="1"/>
  <c r="AO36" i="1"/>
  <c r="AQ36" i="1" s="1"/>
  <c r="AW35" i="1"/>
  <c r="AY36" i="1" s="1"/>
  <c r="BA35" i="1"/>
  <c r="AZ35" i="1"/>
  <c r="BB35" i="1" s="1"/>
  <c r="AO35" i="1"/>
  <c r="AL35" i="1"/>
  <c r="AP35" i="1"/>
  <c r="AL34" i="1"/>
  <c r="AP34" i="1"/>
  <c r="AO34" i="1"/>
  <c r="AL33" i="1"/>
  <c r="AO33" i="1"/>
  <c r="AP33" i="1"/>
  <c r="BA32" i="1"/>
  <c r="AW32" i="1"/>
  <c r="AY33" i="1" s="1"/>
  <c r="AZ32" i="1"/>
  <c r="BB32" i="1" s="1"/>
  <c r="AO32" i="1"/>
  <c r="AL32" i="1"/>
  <c r="AP32" i="1"/>
  <c r="AZ31" i="1"/>
  <c r="AW31" i="1"/>
  <c r="BA31" i="1"/>
  <c r="AO31" i="1"/>
  <c r="AL31" i="1"/>
  <c r="AP31" i="1"/>
  <c r="AZ30" i="1"/>
  <c r="AW30" i="1"/>
  <c r="BA30" i="1"/>
  <c r="AW29" i="1"/>
  <c r="AZ29" i="1"/>
  <c r="BA29" i="1"/>
  <c r="AP29" i="1"/>
  <c r="AL29" i="1"/>
  <c r="AN30" i="1" s="1"/>
  <c r="AO29" i="1"/>
  <c r="AZ28" i="1"/>
  <c r="AW28" i="1"/>
  <c r="BA28" i="1"/>
  <c r="AP28" i="1"/>
  <c r="AL28" i="1"/>
  <c r="AO28" i="1"/>
  <c r="AQ28" i="1" s="1"/>
  <c r="BA27" i="1"/>
  <c r="AZ27" i="1"/>
  <c r="BB27" i="1" s="1"/>
  <c r="AW27" i="1"/>
  <c r="AL26" i="1"/>
  <c r="AN27" i="1" s="1"/>
  <c r="AO26" i="1"/>
  <c r="AP26" i="1"/>
  <c r="AW25" i="1"/>
  <c r="AY26" i="1" s="1"/>
  <c r="AZ25" i="1"/>
  <c r="BA25" i="1"/>
  <c r="AL24" i="1"/>
  <c r="AN25" i="1" s="1"/>
  <c r="AO24" i="1"/>
  <c r="AP24" i="1"/>
  <c r="AW23" i="1"/>
  <c r="AY24" i="1" s="1"/>
  <c r="AZ23" i="1"/>
  <c r="BA23" i="1"/>
  <c r="AO23" i="1"/>
  <c r="AP23" i="1"/>
  <c r="AL23" i="1"/>
  <c r="AZ22" i="1"/>
  <c r="BA22" i="1"/>
  <c r="AO22" i="1"/>
  <c r="AP22" i="1"/>
  <c r="AQ71" i="1" l="1"/>
  <c r="AQ74" i="1"/>
  <c r="AQ113" i="1"/>
  <c r="AQ92" i="1"/>
  <c r="AQ72" i="1"/>
  <c r="AP158" i="1"/>
  <c r="AL158" i="1"/>
  <c r="AN159" i="1" s="1"/>
  <c r="AO158" i="1"/>
  <c r="AP147" i="1"/>
  <c r="AL147" i="1"/>
  <c r="AO147" i="1"/>
  <c r="AO143" i="1"/>
  <c r="AP143" i="1"/>
  <c r="AL143" i="1"/>
  <c r="AN144" i="1" s="1"/>
  <c r="AP136" i="1"/>
  <c r="AL136" i="1"/>
  <c r="AO136" i="1"/>
  <c r="AO133" i="1"/>
  <c r="AP133" i="1"/>
  <c r="AL133" i="1"/>
  <c r="AO125" i="1"/>
  <c r="AL125" i="1"/>
  <c r="AN126" i="1" s="1"/>
  <c r="AP125" i="1"/>
  <c r="AO121" i="1"/>
  <c r="AP121" i="1"/>
  <c r="AL121" i="1"/>
  <c r="AN122" i="1" s="1"/>
  <c r="AL114" i="1"/>
  <c r="AN115" i="1" s="1"/>
  <c r="AP114" i="1"/>
  <c r="AO114" i="1"/>
  <c r="AL95" i="1"/>
  <c r="AP95" i="1"/>
  <c r="AO95" i="1"/>
  <c r="AO89" i="1"/>
  <c r="AL89" i="1"/>
  <c r="AN90" i="1" s="1"/>
  <c r="AP89" i="1"/>
  <c r="AO78" i="1"/>
  <c r="AL78" i="1"/>
  <c r="AN79" i="1" s="1"/>
  <c r="AP78" i="1"/>
  <c r="AO60" i="1"/>
  <c r="AP60" i="1"/>
  <c r="AL60" i="1"/>
  <c r="AN61" i="1" s="1"/>
  <c r="AO56" i="1"/>
  <c r="AP56" i="1"/>
  <c r="AL56" i="1"/>
  <c r="AN57" i="1" s="1"/>
  <c r="AO43" i="1"/>
  <c r="AL43" i="1"/>
  <c r="AN44" i="1" s="1"/>
  <c r="AP43" i="1"/>
  <c r="AP40" i="1"/>
  <c r="AL40" i="1"/>
  <c r="AN41" i="1" s="1"/>
  <c r="AO40" i="1"/>
  <c r="AL30" i="1"/>
  <c r="AO30" i="1"/>
  <c r="AQ30" i="1" s="1"/>
  <c r="AP30" i="1"/>
  <c r="AO27" i="1"/>
  <c r="AP27" i="1"/>
  <c r="AL27" i="1"/>
  <c r="AP25" i="1"/>
  <c r="AO25" i="1"/>
  <c r="AL25" i="1"/>
  <c r="BB79" i="1"/>
  <c r="BB165" i="1"/>
  <c r="BB109" i="1"/>
  <c r="BE149" i="1"/>
  <c r="BB125" i="1"/>
  <c r="BB136" i="1"/>
  <c r="BB83" i="1"/>
  <c r="BA176" i="1"/>
  <c r="AW176" i="1"/>
  <c r="AZ176" i="1"/>
  <c r="AZ171" i="1"/>
  <c r="BA171" i="1"/>
  <c r="AW171" i="1"/>
  <c r="AZ154" i="1"/>
  <c r="BA154" i="1"/>
  <c r="AW154" i="1"/>
  <c r="AY155" i="1" s="1"/>
  <c r="AZ150" i="1"/>
  <c r="BA150" i="1"/>
  <c r="AW150" i="1"/>
  <c r="AW137" i="1"/>
  <c r="AY138" i="1" s="1"/>
  <c r="BA137" i="1"/>
  <c r="AZ137" i="1"/>
  <c r="BA134" i="1"/>
  <c r="AZ134" i="1"/>
  <c r="BB134" i="1" s="1"/>
  <c r="AW134" i="1"/>
  <c r="AY135" i="1" s="1"/>
  <c r="BA130" i="1"/>
  <c r="AZ130" i="1"/>
  <c r="AW130" i="1"/>
  <c r="AY131" i="1" s="1"/>
  <c r="AZ111" i="1"/>
  <c r="AW111" i="1"/>
  <c r="BA111" i="1"/>
  <c r="AZ99" i="1"/>
  <c r="BA99" i="1"/>
  <c r="AW99" i="1"/>
  <c r="AY100" i="1" s="1"/>
  <c r="BA96" i="1"/>
  <c r="AZ96" i="1"/>
  <c r="BB96" i="1" s="1"/>
  <c r="BE96" i="1" s="1"/>
  <c r="AW96" i="1"/>
  <c r="BA92" i="1"/>
  <c r="AW92" i="1"/>
  <c r="AY93" i="1" s="1"/>
  <c r="AZ92" i="1"/>
  <c r="BB92" i="1" s="1"/>
  <c r="BE92" i="1" s="1"/>
  <c r="AW85" i="1"/>
  <c r="AY86" i="1" s="1"/>
  <c r="BA85" i="1"/>
  <c r="AZ85" i="1"/>
  <c r="AW77" i="1"/>
  <c r="AZ77" i="1"/>
  <c r="BA77" i="1"/>
  <c r="AZ69" i="1"/>
  <c r="AW69" i="1"/>
  <c r="AY70" i="1" s="1"/>
  <c r="BA69" i="1"/>
  <c r="BA63" i="1"/>
  <c r="AZ63" i="1"/>
  <c r="AW63" i="1"/>
  <c r="AZ58" i="1"/>
  <c r="BA58" i="1"/>
  <c r="AW58" i="1"/>
  <c r="AY59" i="1" s="1"/>
  <c r="AW51" i="1"/>
  <c r="AY52" i="1" s="1"/>
  <c r="AZ51" i="1"/>
  <c r="BA51" i="1"/>
  <c r="AZ49" i="1"/>
  <c r="AW49" i="1"/>
  <c r="BA49" i="1"/>
  <c r="AZ36" i="1"/>
  <c r="BA36" i="1"/>
  <c r="AW36" i="1"/>
  <c r="AY37" i="1" s="1"/>
  <c r="AW24" i="1"/>
  <c r="AZ24" i="1"/>
  <c r="BA24" i="1"/>
  <c r="BB137" i="1"/>
  <c r="BE134" i="1"/>
  <c r="BB97" i="1"/>
  <c r="BE132" i="1"/>
  <c r="BE129" i="1"/>
  <c r="BB120" i="1"/>
  <c r="BE120" i="1" s="1"/>
  <c r="BE119" i="1"/>
  <c r="AQ34" i="1"/>
  <c r="AQ29" i="1"/>
  <c r="AQ139" i="1"/>
  <c r="BB57" i="1"/>
  <c r="AQ171" i="1"/>
  <c r="AQ121" i="1"/>
  <c r="BE121" i="1" s="1"/>
  <c r="AQ130" i="1"/>
  <c r="AQ118" i="1"/>
  <c r="BE118" i="1" s="1"/>
  <c r="AQ51" i="1"/>
  <c r="AQ147" i="1"/>
  <c r="BE147" i="1" s="1"/>
  <c r="AQ141" i="1"/>
  <c r="AO172" i="1"/>
  <c r="AL172" i="1"/>
  <c r="AN173" i="1" s="1"/>
  <c r="AP172" i="1"/>
  <c r="AO151" i="1"/>
  <c r="AP151" i="1"/>
  <c r="AL151" i="1"/>
  <c r="AN152" i="1" s="1"/>
  <c r="AZ113" i="1"/>
  <c r="AW113" i="1"/>
  <c r="BA113" i="1"/>
  <c r="AW93" i="1"/>
  <c r="AY94" i="1" s="1"/>
  <c r="AZ93" i="1"/>
  <c r="BA93" i="1"/>
  <c r="AZ65" i="1"/>
  <c r="AW65" i="1"/>
  <c r="AY66" i="1" s="1"/>
  <c r="BA65" i="1"/>
  <c r="AP44" i="1"/>
  <c r="AL44" i="1"/>
  <c r="AO44" i="1"/>
  <c r="AQ44" i="1" s="1"/>
  <c r="BE44" i="1" s="1"/>
  <c r="BA37" i="1"/>
  <c r="AW37" i="1"/>
  <c r="AY38" i="1" s="1"/>
  <c r="AZ37" i="1"/>
  <c r="BB37" i="1" s="1"/>
  <c r="BE37" i="1" s="1"/>
  <c r="AW33" i="1"/>
  <c r="AY34" i="1" s="1"/>
  <c r="AZ33" i="1"/>
  <c r="BA33" i="1"/>
  <c r="AW26" i="1"/>
  <c r="BA26" i="1"/>
  <c r="AZ26" i="1"/>
  <c r="BB26" i="1" s="1"/>
  <c r="BB176" i="1"/>
  <c r="AQ176" i="1"/>
  <c r="BE176" i="1" s="1"/>
  <c r="BB175" i="1"/>
  <c r="BB173" i="1"/>
  <c r="BB172" i="1"/>
  <c r="BB170" i="1"/>
  <c r="BB168" i="1"/>
  <c r="BB167" i="1"/>
  <c r="BB166" i="1"/>
  <c r="BB164" i="1"/>
  <c r="BB162" i="1"/>
  <c r="BB161" i="1"/>
  <c r="BB159" i="1"/>
  <c r="BB158" i="1"/>
  <c r="AQ158" i="1"/>
  <c r="BB157" i="1"/>
  <c r="BE157" i="1" s="1"/>
  <c r="AQ154" i="1"/>
  <c r="BB153" i="1"/>
  <c r="BB151" i="1"/>
  <c r="BB148" i="1"/>
  <c r="AQ148" i="1"/>
  <c r="BE148" i="1" s="1"/>
  <c r="BB146" i="1"/>
  <c r="BE146" i="1" s="1"/>
  <c r="AQ142" i="1"/>
  <c r="BB124" i="1"/>
  <c r="BE124" i="1" s="1"/>
  <c r="BB122" i="1"/>
  <c r="BB116" i="1"/>
  <c r="BB114" i="1"/>
  <c r="AQ114" i="1"/>
  <c r="BE114" i="1" s="1"/>
  <c r="BB112" i="1"/>
  <c r="AQ112" i="1"/>
  <c r="AQ111" i="1"/>
  <c r="BB110" i="1"/>
  <c r="AQ110" i="1"/>
  <c r="AQ109" i="1"/>
  <c r="BE109" i="1" s="1"/>
  <c r="AQ103" i="1"/>
  <c r="AQ100" i="1"/>
  <c r="BB99" i="1"/>
  <c r="AQ99" i="1"/>
  <c r="BB98" i="1"/>
  <c r="BE98" i="1" s="1"/>
  <c r="AQ97" i="1"/>
  <c r="BE97" i="1" s="1"/>
  <c r="AQ95" i="1"/>
  <c r="BE95" i="1" s="1"/>
  <c r="AQ94" i="1"/>
  <c r="BB89" i="1"/>
  <c r="AQ88" i="1"/>
  <c r="BE88" i="1" s="1"/>
  <c r="BB85" i="1"/>
  <c r="BE85" i="1" s="1"/>
  <c r="BB84" i="1"/>
  <c r="BB82" i="1"/>
  <c r="BB78" i="1"/>
  <c r="AQ77" i="1"/>
  <c r="BB76" i="1"/>
  <c r="BE76" i="1" s="1"/>
  <c r="AQ75" i="1"/>
  <c r="BE75" i="1" s="1"/>
  <c r="AQ70" i="1"/>
  <c r="AQ69" i="1"/>
  <c r="AQ67" i="1"/>
  <c r="AQ66" i="1"/>
  <c r="AQ65" i="1"/>
  <c r="BB64" i="1"/>
  <c r="BE64" i="1" s="1"/>
  <c r="BB63" i="1"/>
  <c r="AQ63" i="1"/>
  <c r="AQ62" i="1"/>
  <c r="BE62" i="1" s="1"/>
  <c r="BB61" i="1"/>
  <c r="AQ58" i="1"/>
  <c r="BB56" i="1"/>
  <c r="AQ54" i="1"/>
  <c r="AQ52" i="1"/>
  <c r="BB50" i="1"/>
  <c r="AQ50" i="1"/>
  <c r="BE50" i="1" s="1"/>
  <c r="BB48" i="1"/>
  <c r="BE48" i="1" s="1"/>
  <c r="AQ47" i="1"/>
  <c r="BE47" i="1" s="1"/>
  <c r="BB46" i="1"/>
  <c r="AQ46" i="1"/>
  <c r="BB45" i="1"/>
  <c r="AQ45" i="1"/>
  <c r="BE45" i="1" s="1"/>
  <c r="BB43" i="1"/>
  <c r="BB42" i="1"/>
  <c r="AQ42" i="1"/>
  <c r="BE42" i="1" s="1"/>
  <c r="AQ40" i="1"/>
  <c r="BE40" i="1" s="1"/>
  <c r="AQ39" i="1"/>
  <c r="AQ38" i="1"/>
  <c r="AQ35" i="1"/>
  <c r="BE35" i="1" s="1"/>
  <c r="AQ33" i="1"/>
  <c r="AQ32" i="1"/>
  <c r="BE32" i="1" s="1"/>
  <c r="BB31" i="1"/>
  <c r="AQ31" i="1"/>
  <c r="BB30" i="1"/>
  <c r="BE30" i="1" s="1"/>
  <c r="BB29" i="1"/>
  <c r="BE29" i="1" s="1"/>
  <c r="BB28" i="1"/>
  <c r="BE28" i="1" s="1"/>
  <c r="AQ26" i="1"/>
  <c r="BE26" i="1" s="1"/>
  <c r="BB25" i="1"/>
  <c r="AQ25" i="1"/>
  <c r="BE25" i="1" s="1"/>
  <c r="AQ24" i="1"/>
  <c r="BB23" i="1"/>
  <c r="AQ23" i="1"/>
  <c r="BE23" i="1" s="1"/>
  <c r="BB22" i="1"/>
  <c r="AQ22" i="1"/>
  <c r="BB130" i="1"/>
  <c r="BE130" i="1" s="1"/>
  <c r="AQ137" i="1"/>
  <c r="BE137" i="1" s="1"/>
  <c r="AQ138" i="1"/>
  <c r="AQ136" i="1"/>
  <c r="BE136" i="1" s="1"/>
  <c r="BB128" i="1"/>
  <c r="BB127" i="1"/>
  <c r="BB123" i="1"/>
  <c r="AQ27" i="1" l="1"/>
  <c r="BE27" i="1" s="1"/>
  <c r="AO159" i="1"/>
  <c r="AL159" i="1"/>
  <c r="AN160" i="1" s="1"/>
  <c r="AP159" i="1"/>
  <c r="AO144" i="1"/>
  <c r="AP144" i="1"/>
  <c r="AL144" i="1"/>
  <c r="AN145" i="1" s="1"/>
  <c r="AO126" i="1"/>
  <c r="AL126" i="1"/>
  <c r="AN127" i="1" s="1"/>
  <c r="AP126" i="1"/>
  <c r="AO122" i="1"/>
  <c r="AL122" i="1"/>
  <c r="AN123" i="1" s="1"/>
  <c r="AP122" i="1"/>
  <c r="AO115" i="1"/>
  <c r="AL115" i="1"/>
  <c r="AN116" i="1" s="1"/>
  <c r="AP115" i="1"/>
  <c r="AO90" i="1"/>
  <c r="AL90" i="1"/>
  <c r="AN91" i="1" s="1"/>
  <c r="AP90" i="1"/>
  <c r="AO79" i="1"/>
  <c r="AP79" i="1"/>
  <c r="AL79" i="1"/>
  <c r="AN80" i="1" s="1"/>
  <c r="AL61" i="1"/>
  <c r="AP61" i="1"/>
  <c r="AO61" i="1"/>
  <c r="AQ61" i="1" s="1"/>
  <c r="BE61" i="1" s="1"/>
  <c r="AP57" i="1"/>
  <c r="AO57" i="1"/>
  <c r="AQ57" i="1" s="1"/>
  <c r="BE57" i="1" s="1"/>
  <c r="AL57" i="1"/>
  <c r="AO41" i="1"/>
  <c r="AP41" i="1"/>
  <c r="AL41" i="1"/>
  <c r="AQ133" i="1"/>
  <c r="BE133" i="1" s="1"/>
  <c r="AQ125" i="1"/>
  <c r="BE125" i="1" s="1"/>
  <c r="AQ89" i="1"/>
  <c r="BE89" i="1" s="1"/>
  <c r="AQ78" i="1"/>
  <c r="BE78" i="1" s="1"/>
  <c r="AQ60" i="1"/>
  <c r="BE60" i="1" s="1"/>
  <c r="AQ56" i="1"/>
  <c r="BE56" i="1" s="1"/>
  <c r="AQ143" i="1"/>
  <c r="BE143" i="1" s="1"/>
  <c r="AQ43" i="1"/>
  <c r="BE43" i="1" s="1"/>
  <c r="AO173" i="1"/>
  <c r="AL173" i="1"/>
  <c r="AN174" i="1" s="1"/>
  <c r="AP173" i="1"/>
  <c r="AO152" i="1"/>
  <c r="AL152" i="1"/>
  <c r="AN153" i="1" s="1"/>
  <c r="AP152" i="1"/>
  <c r="BE110" i="1"/>
  <c r="BB51" i="1"/>
  <c r="BE51" i="1" s="1"/>
  <c r="BE99" i="1"/>
  <c r="BE158" i="1"/>
  <c r="BB24" i="1"/>
  <c r="BE24" i="1" s="1"/>
  <c r="BB58" i="1"/>
  <c r="BE58" i="1" s="1"/>
  <c r="AZ155" i="1"/>
  <c r="BA155" i="1"/>
  <c r="AW155" i="1"/>
  <c r="AY156" i="1" s="1"/>
  <c r="BA138" i="1"/>
  <c r="AZ138" i="1"/>
  <c r="BB138" i="1" s="1"/>
  <c r="AW138" i="1"/>
  <c r="AY139" i="1" s="1"/>
  <c r="BA135" i="1"/>
  <c r="AZ135" i="1"/>
  <c r="AW135" i="1"/>
  <c r="AW131" i="1"/>
  <c r="AZ131" i="1"/>
  <c r="BA131" i="1"/>
  <c r="AZ100" i="1"/>
  <c r="AW100" i="1"/>
  <c r="AY101" i="1" s="1"/>
  <c r="BA100" i="1"/>
  <c r="BA86" i="1"/>
  <c r="AZ86" i="1"/>
  <c r="BB86" i="1" s="1"/>
  <c r="BE86" i="1" s="1"/>
  <c r="AW86" i="1"/>
  <c r="AY87" i="1" s="1"/>
  <c r="BA70" i="1"/>
  <c r="AZ70" i="1"/>
  <c r="AW70" i="1"/>
  <c r="AY71" i="1" s="1"/>
  <c r="AZ59" i="1"/>
  <c r="BA59" i="1"/>
  <c r="AW59" i="1"/>
  <c r="AW52" i="1"/>
  <c r="AY53" i="1" s="1"/>
  <c r="AZ52" i="1"/>
  <c r="BA52" i="1"/>
  <c r="BB171" i="1"/>
  <c r="BE171" i="1" s="1"/>
  <c r="BB154" i="1"/>
  <c r="BE154" i="1" s="1"/>
  <c r="BB150" i="1"/>
  <c r="BE150" i="1" s="1"/>
  <c r="BB111" i="1"/>
  <c r="BE111" i="1" s="1"/>
  <c r="BB77" i="1"/>
  <c r="BE77" i="1" s="1"/>
  <c r="BB36" i="1"/>
  <c r="BE36" i="1" s="1"/>
  <c r="BB69" i="1"/>
  <c r="BE69" i="1" s="1"/>
  <c r="BB49" i="1"/>
  <c r="BE49" i="1" s="1"/>
  <c r="BE138" i="1"/>
  <c r="BE112" i="1"/>
  <c r="AZ94" i="1"/>
  <c r="BA94" i="1"/>
  <c r="AW94" i="1"/>
  <c r="AZ66" i="1"/>
  <c r="AW66" i="1"/>
  <c r="AY67" i="1" s="1"/>
  <c r="BA66" i="1"/>
  <c r="BA38" i="1"/>
  <c r="AW38" i="1"/>
  <c r="AY39" i="1" s="1"/>
  <c r="AZ38" i="1"/>
  <c r="BB38" i="1" s="1"/>
  <c r="BA34" i="1"/>
  <c r="AZ34" i="1"/>
  <c r="BB34" i="1" s="1"/>
  <c r="BE34" i="1" s="1"/>
  <c r="AW34" i="1"/>
  <c r="BE63" i="1"/>
  <c r="BE31" i="1"/>
  <c r="BE38" i="1"/>
  <c r="BE46" i="1"/>
  <c r="BB113" i="1"/>
  <c r="BE113" i="1" s="1"/>
  <c r="BB93" i="1"/>
  <c r="BE93" i="1" s="1"/>
  <c r="BB33" i="1"/>
  <c r="BE33" i="1" s="1"/>
  <c r="BC22" i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AR22" i="1"/>
  <c r="AR23" i="1" s="1"/>
  <c r="AR24" i="1" s="1"/>
  <c r="AR25" i="1" s="1"/>
  <c r="AR26" i="1" s="1"/>
  <c r="BE22" i="1"/>
  <c r="AQ172" i="1"/>
  <c r="BE172" i="1" s="1"/>
  <c r="AQ151" i="1"/>
  <c r="BB65" i="1"/>
  <c r="BE65" i="1" s="1"/>
  <c r="AR27" i="1" l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Q41" i="1"/>
  <c r="AL160" i="1"/>
  <c r="AN161" i="1" s="1"/>
  <c r="AP160" i="1"/>
  <c r="AO160" i="1"/>
  <c r="AQ160" i="1" s="1"/>
  <c r="BE160" i="1" s="1"/>
  <c r="AL145" i="1"/>
  <c r="AP145" i="1"/>
  <c r="AO145" i="1"/>
  <c r="AQ145" i="1" s="1"/>
  <c r="BE145" i="1" s="1"/>
  <c r="AP127" i="1"/>
  <c r="AO127" i="1"/>
  <c r="AQ127" i="1" s="1"/>
  <c r="BE127" i="1" s="1"/>
  <c r="AL127" i="1"/>
  <c r="AN128" i="1" s="1"/>
  <c r="AO123" i="1"/>
  <c r="AP123" i="1"/>
  <c r="AL123" i="1"/>
  <c r="AP116" i="1"/>
  <c r="AL116" i="1"/>
  <c r="AN117" i="1" s="1"/>
  <c r="AO116" i="1"/>
  <c r="AQ116" i="1" s="1"/>
  <c r="BE116" i="1" s="1"/>
  <c r="AL91" i="1"/>
  <c r="AO91" i="1"/>
  <c r="AP91" i="1"/>
  <c r="AL80" i="1"/>
  <c r="AN81" i="1" s="1"/>
  <c r="AP80" i="1"/>
  <c r="AO80" i="1"/>
  <c r="AQ80" i="1" s="1"/>
  <c r="BE80" i="1" s="1"/>
  <c r="AO174" i="1"/>
  <c r="AL174" i="1"/>
  <c r="AN175" i="1" s="1"/>
  <c r="AP174" i="1"/>
  <c r="AO153" i="1"/>
  <c r="AL153" i="1"/>
  <c r="AP153" i="1"/>
  <c r="AQ159" i="1"/>
  <c r="BE159" i="1" s="1"/>
  <c r="AQ144" i="1"/>
  <c r="BE144" i="1" s="1"/>
  <c r="AQ126" i="1"/>
  <c r="BE126" i="1" s="1"/>
  <c r="AQ122" i="1"/>
  <c r="BE122" i="1" s="1"/>
  <c r="AQ115" i="1"/>
  <c r="BE115" i="1" s="1"/>
  <c r="AQ90" i="1"/>
  <c r="BE90" i="1" s="1"/>
  <c r="AQ79" i="1"/>
  <c r="AQ173" i="1"/>
  <c r="BE173" i="1" s="1"/>
  <c r="AQ152" i="1"/>
  <c r="BE152" i="1" s="1"/>
  <c r="BB59" i="1"/>
  <c r="BE59" i="1" s="1"/>
  <c r="BB66" i="1"/>
  <c r="BE66" i="1" s="1"/>
  <c r="BB155" i="1"/>
  <c r="BE155" i="1" s="1"/>
  <c r="BB52" i="1"/>
  <c r="BE52" i="1" s="1"/>
  <c r="BB94" i="1"/>
  <c r="BE94" i="1" s="1"/>
  <c r="AZ156" i="1"/>
  <c r="AW156" i="1"/>
  <c r="BA156" i="1"/>
  <c r="AZ139" i="1"/>
  <c r="BA139" i="1"/>
  <c r="AW139" i="1"/>
  <c r="AY140" i="1" s="1"/>
  <c r="BA101" i="1"/>
  <c r="AW101" i="1"/>
  <c r="AY102" i="1" s="1"/>
  <c r="AZ101" i="1"/>
  <c r="BB101" i="1" s="1"/>
  <c r="BE101" i="1" s="1"/>
  <c r="AZ87" i="1"/>
  <c r="AW87" i="1"/>
  <c r="BA87" i="1"/>
  <c r="BA71" i="1"/>
  <c r="AW71" i="1"/>
  <c r="AY72" i="1" s="1"/>
  <c r="AZ71" i="1"/>
  <c r="BB71" i="1" s="1"/>
  <c r="BE71" i="1" s="1"/>
  <c r="AZ53" i="1"/>
  <c r="AW53" i="1"/>
  <c r="AY54" i="1" s="1"/>
  <c r="BA53" i="1"/>
  <c r="BA67" i="1"/>
  <c r="AZ67" i="1"/>
  <c r="BB67" i="1" s="1"/>
  <c r="BE67" i="1" s="1"/>
  <c r="AW67" i="1"/>
  <c r="AW39" i="1"/>
  <c r="BA39" i="1"/>
  <c r="AZ39" i="1"/>
  <c r="BB39" i="1" s="1"/>
  <c r="BE39" i="1" s="1"/>
  <c r="BB131" i="1"/>
  <c r="BE131" i="1" s="1"/>
  <c r="BB70" i="1"/>
  <c r="BE70" i="1" s="1"/>
  <c r="BB135" i="1"/>
  <c r="BE135" i="1" s="1"/>
  <c r="BB100" i="1"/>
  <c r="BE100" i="1" s="1"/>
  <c r="BC33" i="1"/>
  <c r="BC34" i="1" s="1"/>
  <c r="BC35" i="1" s="1"/>
  <c r="BC36" i="1" s="1"/>
  <c r="BC37" i="1" s="1"/>
  <c r="BC38" i="1" s="1"/>
  <c r="BF22" i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C39" i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E151" i="1"/>
  <c r="AR41" i="1" l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BE41" i="1"/>
  <c r="AP161" i="1"/>
  <c r="AO161" i="1"/>
  <c r="AL161" i="1"/>
  <c r="AN162" i="1" s="1"/>
  <c r="AP128" i="1"/>
  <c r="AL128" i="1"/>
  <c r="AO128" i="1"/>
  <c r="AQ128" i="1" s="1"/>
  <c r="BE128" i="1" s="1"/>
  <c r="AP117" i="1"/>
  <c r="AL117" i="1"/>
  <c r="AO117" i="1"/>
  <c r="AQ117" i="1" s="1"/>
  <c r="BE117" i="1" s="1"/>
  <c r="AL81" i="1"/>
  <c r="AN82" i="1" s="1"/>
  <c r="AO81" i="1"/>
  <c r="AP81" i="1"/>
  <c r="AP175" i="1"/>
  <c r="AO175" i="1"/>
  <c r="AQ175" i="1" s="1"/>
  <c r="BE175" i="1" s="1"/>
  <c r="AL175" i="1"/>
  <c r="AR79" i="1"/>
  <c r="AR80" i="1" s="1"/>
  <c r="BE79" i="1"/>
  <c r="AQ123" i="1"/>
  <c r="BE123" i="1" s="1"/>
  <c r="AQ91" i="1"/>
  <c r="BE91" i="1" s="1"/>
  <c r="AQ174" i="1"/>
  <c r="BE174" i="1" s="1"/>
  <c r="AQ153" i="1"/>
  <c r="BE153" i="1" s="1"/>
  <c r="AZ140" i="1"/>
  <c r="BA140" i="1"/>
  <c r="AW140" i="1"/>
  <c r="AY141" i="1" s="1"/>
  <c r="BA102" i="1"/>
  <c r="AW102" i="1"/>
  <c r="AY103" i="1" s="1"/>
  <c r="AZ102" i="1"/>
  <c r="BB102" i="1" s="1"/>
  <c r="BE102" i="1" s="1"/>
  <c r="AZ72" i="1"/>
  <c r="BA72" i="1"/>
  <c r="AW72" i="1"/>
  <c r="AY73" i="1" s="1"/>
  <c r="AZ54" i="1"/>
  <c r="AW54" i="1"/>
  <c r="AY55" i="1" s="1"/>
  <c r="BA54" i="1"/>
  <c r="BB156" i="1"/>
  <c r="BE156" i="1" s="1"/>
  <c r="BB139" i="1"/>
  <c r="BE139" i="1" s="1"/>
  <c r="BB87" i="1"/>
  <c r="BE87" i="1" s="1"/>
  <c r="BB53" i="1"/>
  <c r="BF39" i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AL162" i="1" l="1"/>
  <c r="AN163" i="1" s="1"/>
  <c r="AO162" i="1"/>
  <c r="AP162" i="1"/>
  <c r="AL82" i="1"/>
  <c r="AN83" i="1" s="1"/>
  <c r="AO82" i="1"/>
  <c r="AP82" i="1"/>
  <c r="AQ161" i="1"/>
  <c r="BE161" i="1" s="1"/>
  <c r="AQ81" i="1"/>
  <c r="AZ141" i="1"/>
  <c r="BA141" i="1"/>
  <c r="AW141" i="1"/>
  <c r="AY142" i="1" s="1"/>
  <c r="AZ103" i="1"/>
  <c r="AW103" i="1"/>
  <c r="AY104" i="1" s="1"/>
  <c r="BA103" i="1"/>
  <c r="BA73" i="1"/>
  <c r="AZ73" i="1"/>
  <c r="BB73" i="1" s="1"/>
  <c r="BE73" i="1" s="1"/>
  <c r="AW73" i="1"/>
  <c r="AY74" i="1" s="1"/>
  <c r="BA55" i="1"/>
  <c r="AW55" i="1"/>
  <c r="AZ55" i="1"/>
  <c r="BB55" i="1" s="1"/>
  <c r="BE55" i="1" s="1"/>
  <c r="BC53" i="1"/>
  <c r="BE53" i="1"/>
  <c r="BF53" i="1" s="1"/>
  <c r="BB140" i="1"/>
  <c r="BE140" i="1" s="1"/>
  <c r="BB72" i="1"/>
  <c r="BE72" i="1" s="1"/>
  <c r="BB54" i="1"/>
  <c r="AL163" i="1" l="1"/>
  <c r="AN164" i="1" s="1"/>
  <c r="AO163" i="1"/>
  <c r="AP163" i="1"/>
  <c r="AO83" i="1"/>
  <c r="AP83" i="1"/>
  <c r="AL83" i="1"/>
  <c r="AN84" i="1" s="1"/>
  <c r="BE81" i="1"/>
  <c r="AR81" i="1"/>
  <c r="AQ162" i="1"/>
  <c r="BE162" i="1" s="1"/>
  <c r="AQ82" i="1"/>
  <c r="BC54" i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AW142" i="1"/>
  <c r="AZ142" i="1"/>
  <c r="BA142" i="1"/>
  <c r="AZ104" i="1"/>
  <c r="BA104" i="1"/>
  <c r="AW104" i="1"/>
  <c r="AY105" i="1" s="1"/>
  <c r="AZ74" i="1"/>
  <c r="AW74" i="1"/>
  <c r="BA74" i="1"/>
  <c r="BB141" i="1"/>
  <c r="BE141" i="1" s="1"/>
  <c r="BB103" i="1"/>
  <c r="BE103" i="1" s="1"/>
  <c r="BE54" i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AO164" i="1" l="1"/>
  <c r="AL164" i="1"/>
  <c r="AN165" i="1" s="1"/>
  <c r="AP164" i="1"/>
  <c r="AO84" i="1"/>
  <c r="AP84" i="1"/>
  <c r="AL84" i="1"/>
  <c r="AR82" i="1"/>
  <c r="AQ163" i="1"/>
  <c r="BE163" i="1" s="1"/>
  <c r="AQ83" i="1"/>
  <c r="BE82" i="1"/>
  <c r="BB74" i="1"/>
  <c r="AZ105" i="1"/>
  <c r="AW105" i="1"/>
  <c r="AY106" i="1" s="1"/>
  <c r="BA105" i="1"/>
  <c r="BC74" i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E74" i="1"/>
  <c r="BB142" i="1"/>
  <c r="BE142" i="1" s="1"/>
  <c r="BB104" i="1"/>
  <c r="BE104" i="1" s="1"/>
  <c r="AL165" i="1" l="1"/>
  <c r="AN166" i="1" s="1"/>
  <c r="AO165" i="1"/>
  <c r="AP165" i="1"/>
  <c r="BE83" i="1"/>
  <c r="AQ164" i="1"/>
  <c r="BE164" i="1" s="1"/>
  <c r="AQ84" i="1"/>
  <c r="AR83" i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BA106" i="1"/>
  <c r="AW106" i="1"/>
  <c r="AY107" i="1" s="1"/>
  <c r="AZ106" i="1"/>
  <c r="BB106" i="1" s="1"/>
  <c r="BE106" i="1" s="1"/>
  <c r="BF74" i="1"/>
  <c r="BF75" i="1" s="1"/>
  <c r="BF76" i="1" s="1"/>
  <c r="BF77" i="1" s="1"/>
  <c r="BF78" i="1" s="1"/>
  <c r="BF79" i="1" s="1"/>
  <c r="BF80" i="1" s="1"/>
  <c r="BF81" i="1" s="1"/>
  <c r="BF82" i="1" s="1"/>
  <c r="BB105" i="1"/>
  <c r="AL166" i="1" l="1"/>
  <c r="AN167" i="1" s="1"/>
  <c r="AP166" i="1"/>
  <c r="AO166" i="1"/>
  <c r="BE84" i="1"/>
  <c r="AQ165" i="1"/>
  <c r="BF83" i="1"/>
  <c r="BA107" i="1"/>
  <c r="AW107" i="1"/>
  <c r="AY108" i="1" s="1"/>
  <c r="AZ107" i="1"/>
  <c r="BB107" i="1" s="1"/>
  <c r="BE107" i="1" s="1"/>
  <c r="BC105" i="1"/>
  <c r="BC106" i="1" s="1"/>
  <c r="BC107" i="1" s="1"/>
  <c r="BE105" i="1"/>
  <c r="AQ166" i="1" l="1"/>
  <c r="BE166" i="1" s="1"/>
  <c r="AO167" i="1"/>
  <c r="AL167" i="1"/>
  <c r="AN168" i="1" s="1"/>
  <c r="AP167" i="1"/>
  <c r="AR165" i="1"/>
  <c r="AR166" i="1" s="1"/>
  <c r="BE165" i="1"/>
  <c r="BF84" i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AZ108" i="1"/>
  <c r="BA108" i="1"/>
  <c r="AW108" i="1"/>
  <c r="AP168" i="1" l="1"/>
  <c r="AO168" i="1"/>
  <c r="AQ168" i="1" s="1"/>
  <c r="BE168" i="1" s="1"/>
  <c r="AL168" i="1"/>
  <c r="AN169" i="1" s="1"/>
  <c r="AQ167" i="1"/>
  <c r="BB108" i="1"/>
  <c r="AO169" i="1" l="1"/>
  <c r="AL169" i="1"/>
  <c r="AN170" i="1" s="1"/>
  <c r="AP169" i="1"/>
  <c r="BE167" i="1"/>
  <c r="AR167" i="1"/>
  <c r="AR168" i="1" s="1"/>
  <c r="BE108" i="1"/>
  <c r="BB19" i="1"/>
  <c r="BB14" i="1"/>
  <c r="BB15" i="1"/>
  <c r="BC108" i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AP170" i="1" l="1"/>
  <c r="AO170" i="1"/>
  <c r="AQ170" i="1" s="1"/>
  <c r="AL170" i="1"/>
  <c r="AQ169" i="1"/>
  <c r="BF108" i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B16" i="1"/>
  <c r="AT1" i="1" s="1"/>
  <c r="AQ19" i="1" l="1"/>
  <c r="AQ14" i="1"/>
  <c r="AQ15" i="1"/>
  <c r="BE170" i="1"/>
  <c r="AR169" i="1"/>
  <c r="AR170" i="1" s="1"/>
  <c r="AR171" i="1" s="1"/>
  <c r="AR172" i="1" s="1"/>
  <c r="AR173" i="1" s="1"/>
  <c r="AR174" i="1" s="1"/>
  <c r="AR175" i="1" s="1"/>
  <c r="AR176" i="1" s="1"/>
  <c r="AR19" i="1" s="1"/>
  <c r="BE169" i="1"/>
  <c r="AQ16" i="1" l="1"/>
  <c r="AI1" i="1" s="1"/>
  <c r="BE18" i="1"/>
  <c r="BE15" i="1"/>
  <c r="BE14" i="1"/>
  <c r="BF169" i="1"/>
  <c r="BF170" i="1" s="1"/>
  <c r="BF171" i="1" s="1"/>
  <c r="BF172" i="1" s="1"/>
  <c r="BF173" i="1" s="1"/>
  <c r="BF174" i="1" s="1"/>
  <c r="BF175" i="1" s="1"/>
  <c r="BF176" i="1" s="1"/>
  <c r="BF18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<sst xmlns="http://schemas.openxmlformats.org/spreadsheetml/2006/main" count="74" uniqueCount="53">
  <si>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</si>
  <si>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MOG A</t>
  </si>
  <si>
    <t>MOG B</t>
  </si>
  <si>
    <t>MOG A log rtn</t>
  </si>
  <si>
    <t>MOG B log rtn</t>
  </si>
  <si>
    <t>MOG A div</t>
  </si>
  <si>
    <t>MOG A div cumsum</t>
  </si>
  <si>
    <t>MOG B div</t>
  </si>
  <si>
    <t>MOG B div cumsum</t>
  </si>
  <si>
    <t>MOG A div adjustment</t>
  </si>
  <si>
    <t>MOG B div adjustment</t>
  </si>
  <si>
    <t>MOG A*</t>
  </si>
  <si>
    <t>MOG B*</t>
  </si>
  <si>
    <t>MOG B/MOG A</t>
  </si>
  <si>
    <t>MOG B/MOG A avg</t>
  </si>
  <si>
    <t>MOG B/MOG A 10 dma</t>
  </si>
  <si>
    <t>MOG B/MOG A 20 dma</t>
  </si>
  <si>
    <t>MOG A x avg</t>
  </si>
  <si>
    <t>MOG A x 10 dma</t>
  </si>
  <si>
    <t>MOG A x 20 dma</t>
  </si>
  <si>
    <t>log diff MOG A x avg / MOG B</t>
  </si>
  <si>
    <t>log diff MOG A x 10 dma / MOG B</t>
  </si>
  <si>
    <t>log diff MOG A x 20 dma / MOG B</t>
  </si>
  <si>
    <t>MOG B*/MOG A*</t>
  </si>
  <si>
    <t>MOG B*/MOG A* avg</t>
  </si>
  <si>
    <t>MOG B*/MOG A* 10 dma</t>
  </si>
  <si>
    <t>MOG B*/MOG A* 20 dma</t>
  </si>
  <si>
    <t>MOG A* x avg</t>
  </si>
  <si>
    <t>MOG A* x 10 dma</t>
  </si>
  <si>
    <t>MOG A* x 20 dma</t>
  </si>
  <si>
    <t>log diff MOG A* x avg / MOG B*</t>
  </si>
  <si>
    <t>log diff MOG A* x 10 dma / MOG B*</t>
  </si>
  <si>
    <t>log diff MOG A* x 20 dma / MOG B*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</si>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</sst>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MOG B/MOG A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1.00650546826212</c:v>
                </c:pt>
                <c:pt idx="1">
                  <c:v>1.00650546826212</c:v>
                </c:pt>
                <c:pt idx="2">
                  <c:v>1.00650546826212</c:v>
                </c:pt>
                <c:pt idx="3">
                  <c:v>1.00650546826212</c:v>
                </c:pt>
                <c:pt idx="4">
                  <c:v>1.00650546826212</c:v>
                </c:pt>
                <c:pt idx="5">
                  <c:v>1.00650546826212</c:v>
                </c:pt>
                <c:pt idx="6">
                  <c:v>1.00650546826212</c:v>
                </c:pt>
                <c:pt idx="7">
                  <c:v>1.00650546826212</c:v>
                </c:pt>
                <c:pt idx="8">
                  <c:v>1.00650546826212</c:v>
                </c:pt>
                <c:pt idx="9">
                  <c:v>1.00650546826212</c:v>
                </c:pt>
                <c:pt idx="10">
                  <c:v>1.00650546826212</c:v>
                </c:pt>
                <c:pt idx="11">
                  <c:v>1.00650546826212</c:v>
                </c:pt>
                <c:pt idx="12">
                  <c:v>1.00650546826212</c:v>
                </c:pt>
                <c:pt idx="13">
                  <c:v>1.00650546826212</c:v>
                </c:pt>
                <c:pt idx="14">
                  <c:v>1.00650546826212</c:v>
                </c:pt>
                <c:pt idx="15">
                  <c:v>1.00650546826212</c:v>
                </c:pt>
                <c:pt idx="16">
                  <c:v>1.00650546826212</c:v>
                </c:pt>
                <c:pt idx="17">
                  <c:v>1.00650546826212</c:v>
                </c:pt>
                <c:pt idx="18">
                  <c:v>1.00650546826212</c:v>
                </c:pt>
                <c:pt idx="19">
                  <c:v>1.00650546826212</c:v>
                </c:pt>
                <c:pt idx="20">
                  <c:v>1.00650546826212</c:v>
                </c:pt>
                <c:pt idx="21">
                  <c:v>1.00650546826212</c:v>
                </c:pt>
                <c:pt idx="22">
                  <c:v>1.00650546826212</c:v>
                </c:pt>
                <c:pt idx="23">
                  <c:v>1.00650546826212</c:v>
                </c:pt>
                <c:pt idx="24">
                  <c:v>1.00650546826212</c:v>
                </c:pt>
                <c:pt idx="25">
                  <c:v>1.00650546826212</c:v>
                </c:pt>
                <c:pt idx="26">
                  <c:v>1.00650546826212</c:v>
                </c:pt>
                <c:pt idx="27">
                  <c:v>1.00650546826212</c:v>
                </c:pt>
                <c:pt idx="28">
                  <c:v>1.00650546826212</c:v>
                </c:pt>
                <c:pt idx="29">
                  <c:v>1.00650546826212</c:v>
                </c:pt>
                <c:pt idx="30">
                  <c:v>1.00650546826212</c:v>
                </c:pt>
                <c:pt idx="31">
                  <c:v>1.00650546826212</c:v>
                </c:pt>
                <c:pt idx="32">
                  <c:v>1.00650546826212</c:v>
                </c:pt>
                <c:pt idx="33">
                  <c:v>1.00650546826212</c:v>
                </c:pt>
                <c:pt idx="34">
                  <c:v>1.00650546826212</c:v>
                </c:pt>
                <c:pt idx="35">
                  <c:v>1.00650546826212</c:v>
                </c:pt>
                <c:pt idx="36">
                  <c:v>1.00650546826212</c:v>
                </c:pt>
                <c:pt idx="37">
                  <c:v>1.00650546826212</c:v>
                </c:pt>
                <c:pt idx="38">
                  <c:v>1.00650546826212</c:v>
                </c:pt>
                <c:pt idx="39">
                  <c:v>1.00650546826212</c:v>
                </c:pt>
                <c:pt idx="40">
                  <c:v>1.00650546826212</c:v>
                </c:pt>
                <c:pt idx="41">
                  <c:v>1.00650546826212</c:v>
                </c:pt>
                <c:pt idx="42">
                  <c:v>1.00650546826212</c:v>
                </c:pt>
                <c:pt idx="43">
                  <c:v>1.00650546826212</c:v>
                </c:pt>
                <c:pt idx="44">
                  <c:v>1.00650546826212</c:v>
                </c:pt>
                <c:pt idx="45">
                  <c:v>1.00650546826212</c:v>
                </c:pt>
                <c:pt idx="46">
                  <c:v>1.00650546826212</c:v>
                </c:pt>
                <c:pt idx="47">
                  <c:v>1.00650546826212</c:v>
                </c:pt>
                <c:pt idx="48">
                  <c:v>1.00650546826212</c:v>
                </c:pt>
                <c:pt idx="49">
                  <c:v>1.00650546826212</c:v>
                </c:pt>
                <c:pt idx="50">
                  <c:v>1.00650546826212</c:v>
                </c:pt>
                <c:pt idx="51">
                  <c:v>1.00650546826212</c:v>
                </c:pt>
                <c:pt idx="52">
                  <c:v>1.00650546826212</c:v>
                </c:pt>
                <c:pt idx="53">
                  <c:v>1.00650546826212</c:v>
                </c:pt>
                <c:pt idx="54">
                  <c:v>1.00650546826212</c:v>
                </c:pt>
                <c:pt idx="55">
                  <c:v>1.00650546826212</c:v>
                </c:pt>
                <c:pt idx="56">
                  <c:v>1.00650546826212</c:v>
                </c:pt>
                <c:pt idx="57">
                  <c:v>1.00650546826212</c:v>
                </c:pt>
                <c:pt idx="58">
                  <c:v>1.00650546826212</c:v>
                </c:pt>
                <c:pt idx="59">
                  <c:v>1.00650546826212</c:v>
                </c:pt>
                <c:pt idx="60">
                  <c:v>1.00650546826212</c:v>
                </c:pt>
                <c:pt idx="61">
                  <c:v>1.00650546826212</c:v>
                </c:pt>
                <c:pt idx="62">
                  <c:v>1.00650546826212</c:v>
                </c:pt>
                <c:pt idx="63">
                  <c:v>1.00650546826212</c:v>
                </c:pt>
                <c:pt idx="64">
                  <c:v>1.00650546826212</c:v>
                </c:pt>
                <c:pt idx="65">
                  <c:v>1.00650546826212</c:v>
                </c:pt>
                <c:pt idx="66">
                  <c:v>1.00650546826212</c:v>
                </c:pt>
                <c:pt idx="67">
                  <c:v>1.00650546826212</c:v>
                </c:pt>
                <c:pt idx="68">
                  <c:v>1.00650546826212</c:v>
                </c:pt>
                <c:pt idx="69">
                  <c:v>1.00650546826212</c:v>
                </c:pt>
                <c:pt idx="70">
                  <c:v>1.00650546826212</c:v>
                </c:pt>
                <c:pt idx="71">
                  <c:v>1.00650546826212</c:v>
                </c:pt>
                <c:pt idx="72">
                  <c:v>1.00650546826212</c:v>
                </c:pt>
                <c:pt idx="73">
                  <c:v>1.00650546826212</c:v>
                </c:pt>
                <c:pt idx="74">
                  <c:v>1.00650546826212</c:v>
                </c:pt>
                <c:pt idx="75">
                  <c:v>1.00650546826212</c:v>
                </c:pt>
                <c:pt idx="76">
                  <c:v>1.00650546826212</c:v>
                </c:pt>
                <c:pt idx="77">
                  <c:v>1.00650546826212</c:v>
                </c:pt>
                <c:pt idx="78">
                  <c:v>1.00650546826212</c:v>
                </c:pt>
                <c:pt idx="79">
                  <c:v>1.00650546826212</c:v>
                </c:pt>
                <c:pt idx="80">
                  <c:v>1.00650546826212</c:v>
                </c:pt>
                <c:pt idx="81">
                  <c:v>1.00650546826212</c:v>
                </c:pt>
                <c:pt idx="82">
                  <c:v>1.00650546826212</c:v>
                </c:pt>
                <c:pt idx="83">
                  <c:v>1.00650546826212</c:v>
                </c:pt>
                <c:pt idx="84">
                  <c:v>1.00650546826212</c:v>
                </c:pt>
                <c:pt idx="85">
                  <c:v>1.00650546826212</c:v>
                </c:pt>
                <c:pt idx="86">
                  <c:v>1.00650546826212</c:v>
                </c:pt>
                <c:pt idx="87">
                  <c:v>1.00650546826212</c:v>
                </c:pt>
                <c:pt idx="88">
                  <c:v>1.00650546826212</c:v>
                </c:pt>
                <c:pt idx="89">
                  <c:v>1.00650546826212</c:v>
                </c:pt>
                <c:pt idx="90">
                  <c:v>1.00650546826212</c:v>
                </c:pt>
                <c:pt idx="91">
                  <c:v>1.00650546826212</c:v>
                </c:pt>
                <c:pt idx="92">
                  <c:v>1.00650546826212</c:v>
                </c:pt>
                <c:pt idx="93">
                  <c:v>1.00650546826212</c:v>
                </c:pt>
                <c:pt idx="94">
                  <c:v>1.00650546826212</c:v>
                </c:pt>
                <c:pt idx="95">
                  <c:v>1.00650546826212</c:v>
                </c:pt>
                <c:pt idx="96">
                  <c:v>1.00650546826212</c:v>
                </c:pt>
                <c:pt idx="97">
                  <c:v>1.00650546826212</c:v>
                </c:pt>
                <c:pt idx="98">
                  <c:v>1.00650546826212</c:v>
                </c:pt>
                <c:pt idx="99">
                  <c:v>1.00650546826212</c:v>
                </c:pt>
                <c:pt idx="100">
                  <c:v>1.00650546826212</c:v>
                </c:pt>
                <c:pt idx="101">
                  <c:v>1.00650546826212</c:v>
                </c:pt>
                <c:pt idx="102">
                  <c:v>1.00650546826212</c:v>
                </c:pt>
                <c:pt idx="103">
                  <c:v>1.00650546826212</c:v>
                </c:pt>
                <c:pt idx="104">
                  <c:v>1.00650546826212</c:v>
                </c:pt>
                <c:pt idx="105">
                  <c:v>1.00650546826212</c:v>
                </c:pt>
                <c:pt idx="106">
                  <c:v>1.00650546826212</c:v>
                </c:pt>
                <c:pt idx="107">
                  <c:v>1.00650546826212</c:v>
                </c:pt>
                <c:pt idx="108">
                  <c:v>1.00650546826212</c:v>
                </c:pt>
                <c:pt idx="109">
                  <c:v>1.00650546826212</c:v>
                </c:pt>
                <c:pt idx="110">
                  <c:v>1.00650546826212</c:v>
                </c:pt>
                <c:pt idx="111">
                  <c:v>1.00650546826212</c:v>
                </c:pt>
                <c:pt idx="112">
                  <c:v>1.00650546826212</c:v>
                </c:pt>
                <c:pt idx="113">
                  <c:v>1.00650546826212</c:v>
                </c:pt>
                <c:pt idx="114">
                  <c:v>1.00650546826212</c:v>
                </c:pt>
                <c:pt idx="115">
                  <c:v>1.00650546826212</c:v>
                </c:pt>
                <c:pt idx="116">
                  <c:v>1.00650546826212</c:v>
                </c:pt>
                <c:pt idx="117">
                  <c:v>1.00650546826212</c:v>
                </c:pt>
                <c:pt idx="118">
                  <c:v>1.00650546826212</c:v>
                </c:pt>
                <c:pt idx="119">
                  <c:v>1.00650546826212</c:v>
                </c:pt>
                <c:pt idx="120">
                  <c:v>1.00650546826212</c:v>
                </c:pt>
                <c:pt idx="121">
                  <c:v>1.00650546826212</c:v>
                </c:pt>
                <c:pt idx="122">
                  <c:v>1.00650546826212</c:v>
                </c:pt>
                <c:pt idx="123">
                  <c:v>1.00650546826212</c:v>
                </c:pt>
                <c:pt idx="124">
                  <c:v>1.00650546826212</c:v>
                </c:pt>
                <c:pt idx="125">
                  <c:v>1.00650546826212</c:v>
                </c:pt>
                <c:pt idx="126">
                  <c:v>1.00650546826212</c:v>
                </c:pt>
                <c:pt idx="127">
                  <c:v>1.00650546826212</c:v>
                </c:pt>
                <c:pt idx="128">
                  <c:v>1.00650546826212</c:v>
                </c:pt>
                <c:pt idx="129">
                  <c:v>1.00650546826212</c:v>
                </c:pt>
                <c:pt idx="130">
                  <c:v>1.00650546826212</c:v>
                </c:pt>
                <c:pt idx="131">
                  <c:v>1.00650546826212</c:v>
                </c:pt>
                <c:pt idx="132">
                  <c:v>1.00650546826212</c:v>
                </c:pt>
                <c:pt idx="133">
                  <c:v>1.00650546826212</c:v>
                </c:pt>
                <c:pt idx="134">
                  <c:v>1.00650546826212</c:v>
                </c:pt>
                <c:pt idx="135">
                  <c:v>1.00650546826212</c:v>
                </c:pt>
                <c:pt idx="136">
                  <c:v>1.00650546826212</c:v>
                </c:pt>
                <c:pt idx="137">
                  <c:v>1.00650546826212</c:v>
                </c:pt>
                <c:pt idx="138">
                  <c:v>1.00650546826212</c:v>
                </c:pt>
                <c:pt idx="139">
                  <c:v>1.00650546826212</c:v>
                </c:pt>
                <c:pt idx="140">
                  <c:v>1.00650546826212</c:v>
                </c:pt>
                <c:pt idx="141">
                  <c:v>1.00650546826212</c:v>
                </c:pt>
                <c:pt idx="142">
                  <c:v>1.00650546826212</c:v>
                </c:pt>
                <c:pt idx="143">
                  <c:v>1.00650546826212</c:v>
                </c:pt>
                <c:pt idx="144">
                  <c:v>1.00650546826212</c:v>
                </c:pt>
                <c:pt idx="145">
                  <c:v>1.00650546826212</c:v>
                </c:pt>
                <c:pt idx="146">
                  <c:v>1.00650546826212</c:v>
                </c:pt>
                <c:pt idx="147">
                  <c:v>1.00650546826212</c:v>
                </c:pt>
                <c:pt idx="148">
                  <c:v>1.00650546826212</c:v>
                </c:pt>
                <c:pt idx="149">
                  <c:v>1.00650546826212</c:v>
                </c:pt>
                <c:pt idx="150">
                  <c:v>1.00650546826212</c:v>
                </c:pt>
                <c:pt idx="151">
                  <c:v>1.00650546826212</c:v>
                </c:pt>
                <c:pt idx="152">
                  <c:v>1.00650546826212</c:v>
                </c:pt>
                <c:pt idx="153">
                  <c:v>1.00650546826212</c:v>
                </c:pt>
                <c:pt idx="154">
                  <c:v>1.00650546826212</c:v>
                </c:pt>
                <c:pt idx="155">
                  <c:v>1.00650546826212</c:v>
                </c:pt>
                <c:pt idx="156">
                  <c:v>1.00650546826212</c:v>
                </c:pt>
                <c:pt idx="157">
                  <c:v>1.00650546826212</c:v>
                </c:pt>
                <c:pt idx="158">
                  <c:v>1.00650546826212</c:v>
                </c:pt>
                <c:pt idx="159">
                  <c:v>1.00650546826212</c:v>
                </c:pt>
                <c:pt idx="160">
                  <c:v>1.00650546826212</c:v>
                </c:pt>
                <c:pt idx="161">
                  <c:v>1.00650546826212</c:v>
                </c:pt>
                <c:pt idx="162">
                  <c:v>1.00650546826212</c:v>
                </c:pt>
                <c:pt idx="163">
                  <c:v>1.00650546826212</c:v>
                </c:pt>
                <c:pt idx="164">
                  <c:v>1.00650546826212</c:v>
                </c:pt>
                <c:pt idx="165">
                  <c:v>1.00650546826212</c:v>
                </c:pt>
                <c:pt idx="166">
                  <c:v>1.00650546826212</c:v>
                </c:pt>
                <c:pt idx="167">
                  <c:v>1.00650546826212</c:v>
                </c:pt>
                <c:pt idx="168">
                  <c:v>1.00650546826212</c:v>
                </c:pt>
                <c:pt idx="169">
                  <c:v>1.00650546826212</c:v>
                </c:pt>
                <c:pt idx="170">
                  <c:v>1.00650546826212</c:v>
                </c:pt>
                <c:pt idx="171">
                  <c:v>1.00650546826212</c:v>
                </c:pt>
                <c:pt idx="172">
                  <c:v>1.00650546826212</c:v>
                </c:pt>
                <c:pt idx="173">
                  <c:v>1.00650546826212</c:v>
                </c:pt>
                <c:pt idx="174">
                  <c:v>1.00650546826212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97-4AEC-B823-952DC3AB6152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MOG B/MOG A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0.988473905932436</c:v>
                </c:pt>
                <c:pt idx="10">
                  <c:v>0.99192010139286502</c:v>
                </c:pt>
                <c:pt idx="11">
                  <c:v>0.99454541257316398</c:v>
                </c:pt>
                <c:pt idx="12">
                  <c:v>0.99548587479677197</c:v>
                </c:pt>
                <c:pt idx="13">
                  <c:v>0.99950612098604597</c:v>
                </c:pt>
                <c:pt idx="14">
                  <c:v>1.0037100225306099</c:v>
                </c:pt>
                <c:pt idx="15">
                  <c:v>1.0079963368327201</c:v>
                </c:pt>
                <c:pt idx="16">
                  <c:v>1.0102402156950501</c:v>
                </c:pt>
                <c:pt idx="17">
                  <c:v>1.0130693376557101</c:v>
                </c:pt>
                <c:pt idx="18">
                  <c:v>1.01546128181739</c:v>
                </c:pt>
                <c:pt idx="19">
                  <c:v>1.0148153815890499</c:v>
                </c:pt>
                <c:pt idx="20">
                  <c:v>1.0070994339654999</c:v>
                </c:pt>
                <c:pt idx="21">
                  <c:v>1.00284522486526</c:v>
                </c:pt>
                <c:pt idx="22">
                  <c:v>1.0053691509168701</c:v>
                </c:pt>
                <c:pt idx="23">
                  <c:v>1.0027213722719699</c:v>
                </c:pt>
                <c:pt idx="24">
                  <c:v>1.0039917739597199</c:v>
                </c:pt>
                <c:pt idx="25">
                  <c:v>1.0018638461071201</c:v>
                </c:pt>
                <c:pt idx="26">
                  <c:v>1.0000139168219799</c:v>
                </c:pt>
                <c:pt idx="27">
                  <c:v>0.99812633778821902</c:v>
                </c:pt>
                <c:pt idx="28">
                  <c:v>0.99639213951037098</c:v>
                </c:pt>
                <c:pt idx="29">
                  <c:v>1.0003022851571</c:v>
                </c:pt>
                <c:pt idx="30">
                  <c:v>1.0072687480756399</c:v>
                </c:pt>
                <c:pt idx="31">
                  <c:v>1.0077583891084301</c:v>
                </c:pt>
                <c:pt idx="32">
                  <c:v>1.0016648242419901</c:v>
                </c:pt>
                <c:pt idx="33">
                  <c:v>1.0017324198898101</c:v>
                </c:pt>
                <c:pt idx="34">
                  <c:v>0.99907501899805196</c:v>
                </c:pt>
                <c:pt idx="35">
                  <c:v>0.99750433257803595</c:v>
                </c:pt>
                <c:pt idx="36">
                  <c:v>0.99631296047723905</c:v>
                </c:pt>
                <c:pt idx="37">
                  <c:v>0.99640052249786903</c:v>
                </c:pt>
                <c:pt idx="38">
                  <c:v>0.99777274240654201</c:v>
                </c:pt>
                <c:pt idx="39">
                  <c:v>0.997003069301996</c:v>
                </c:pt>
                <c:pt idx="40">
                  <c:v>0.99756360247504805</c:v>
                </c:pt>
                <c:pt idx="41">
                  <c:v>0.99848158770477402</c:v>
                </c:pt>
                <c:pt idx="42">
                  <c:v>1.00958584637173</c:v>
                </c:pt>
                <c:pt idx="43">
                  <c:v>1.0182921253578401</c:v>
                </c:pt>
                <c:pt idx="44">
                  <c:v>1.02714989197277</c:v>
                </c:pt>
                <c:pt idx="45">
                  <c:v>1.0377892186275</c:v>
                </c:pt>
                <c:pt idx="46">
                  <c:v>1.0375406091981401</c:v>
                </c:pt>
                <c:pt idx="47">
                  <c:v>1.03823150239221</c:v>
                </c:pt>
                <c:pt idx="48">
                  <c:v>1.0364679751080099</c:v>
                </c:pt>
                <c:pt idx="49">
                  <c:v>1.0375554852083699</c:v>
                </c:pt>
                <c:pt idx="50">
                  <c:v>1.0365367245107999</c:v>
                </c:pt>
                <c:pt idx="51">
                  <c:v>1.03531362612718</c:v>
                </c:pt>
                <c:pt idx="52">
                  <c:v>1.0286523438255399</c:v>
                </c:pt>
                <c:pt idx="53">
                  <c:v>1.0254916736805</c:v>
                </c:pt>
                <c:pt idx="54">
                  <c:v>1.0202359158151999</c:v>
                </c:pt>
                <c:pt idx="55">
                  <c:v>1.0125467685565399</c:v>
                </c:pt>
                <c:pt idx="56">
                  <c:v>1.0135197949603201</c:v>
                </c:pt>
                <c:pt idx="57">
                  <c:v>1.0175974148394999</c:v>
                </c:pt>
                <c:pt idx="58">
                  <c:v>1.02363793863959</c:v>
                </c:pt>
                <c:pt idx="59">
                  <c:v>1.0308574330054101</c:v>
                </c:pt>
                <c:pt idx="60">
                  <c:v>1.03174386847198</c:v>
                </c:pt>
                <c:pt idx="61">
                  <c:v>1.03003170950029</c:v>
                </c:pt>
                <c:pt idx="62">
                  <c:v>1.0321899675621</c:v>
                </c:pt>
                <c:pt idx="63">
                  <c:v>1.0268101379761201</c:v>
                </c:pt>
                <c:pt idx="64">
                  <c:v>1.0235699444301201</c:v>
                </c:pt>
                <c:pt idx="65">
                  <c:v>1.0173924273493</c:v>
                </c:pt>
                <c:pt idx="66">
                  <c:v>1.01656315396192</c:v>
                </c:pt>
                <c:pt idx="67">
                  <c:v>1.0113931332294801</c:v>
                </c:pt>
                <c:pt idx="68">
                  <c:v>1.00509525883079</c:v>
                </c:pt>
                <c:pt idx="69">
                  <c:v>0.99724116943358598</c:v>
                </c:pt>
                <c:pt idx="70">
                  <c:v>0.99582172970092198</c:v>
                </c:pt>
                <c:pt idx="71">
                  <c:v>0.99808158824383197</c:v>
                </c:pt>
                <c:pt idx="72">
                  <c:v>0.99669479481186696</c:v>
                </c:pt>
                <c:pt idx="73">
                  <c:v>0.99822519928824105</c:v>
                </c:pt>
                <c:pt idx="74">
                  <c:v>0.99806469188455105</c:v>
                </c:pt>
                <c:pt idx="75">
                  <c:v>1.006259521654</c:v>
                </c:pt>
                <c:pt idx="76">
                  <c:v>1.01207568362478</c:v>
                </c:pt>
                <c:pt idx="77">
                  <c:v>1.01415062388689</c:v>
                </c:pt>
                <c:pt idx="78">
                  <c:v>1.0159643415991799</c:v>
                </c:pt>
                <c:pt idx="79">
                  <c:v>1.01813073222938</c:v>
                </c:pt>
                <c:pt idx="80">
                  <c:v>1.02259541387046</c:v>
                </c:pt>
                <c:pt idx="81">
                  <c:v>1.0266355132168301</c:v>
                </c:pt>
                <c:pt idx="82">
                  <c:v>1.0254844884452099</c:v>
                </c:pt>
                <c:pt idx="83">
                  <c:v>1.02236511926726</c:v>
                </c:pt>
                <c:pt idx="84">
                  <c:v>1.02293820346978</c:v>
                </c:pt>
                <c:pt idx="85">
                  <c:v>1.0204754811326899</c:v>
                </c:pt>
                <c:pt idx="86">
                  <c:v>1.0173017990005699</c:v>
                </c:pt>
                <c:pt idx="87">
                  <c:v>1.0171699891536301</c:v>
                </c:pt>
                <c:pt idx="88">
                  <c:v>1.01844625306563</c:v>
                </c:pt>
                <c:pt idx="89">
                  <c:v>1.01675479756668</c:v>
                </c:pt>
                <c:pt idx="90">
                  <c:v>1.0143564445445199</c:v>
                </c:pt>
                <c:pt idx="91">
                  <c:v>1.0098540577153801</c:v>
                </c:pt>
                <c:pt idx="92">
                  <c:v>1.0123237311437301</c:v>
                </c:pt>
                <c:pt idx="93">
                  <c:v>1.0153270331519499</c:v>
                </c:pt>
                <c:pt idx="94">
                  <c:v>1.0167198859717499</c:v>
                </c:pt>
                <c:pt idx="95">
                  <c:v>1.0136464764942901</c:v>
                </c:pt>
                <c:pt idx="96">
                  <c:v>1.0122994493531201</c:v>
                </c:pt>
                <c:pt idx="97">
                  <c:v>1.01017216005418</c:v>
                </c:pt>
                <c:pt idx="98">
                  <c:v>1.0078079533389499</c:v>
                </c:pt>
                <c:pt idx="99">
                  <c:v>1.00758084159059</c:v>
                </c:pt>
                <c:pt idx="100">
                  <c:v>1.0063823829064</c:v>
                </c:pt>
                <c:pt idx="101">
                  <c:v>1.00682752346402</c:v>
                </c:pt>
                <c:pt idx="102">
                  <c:v>1.0015500343528501</c:v>
                </c:pt>
                <c:pt idx="103">
                  <c:v>1.0003284248172699</c:v>
                </c:pt>
                <c:pt idx="104">
                  <c:v>0.99826106300781803</c:v>
                </c:pt>
                <c:pt idx="105">
                  <c:v>1.00065367788079</c:v>
                </c:pt>
                <c:pt idx="106">
                  <c:v>0.98691100576621904</c:v>
                </c:pt>
                <c:pt idx="107">
                  <c:v>0.97229369843097002</c:v>
                </c:pt>
                <c:pt idx="108">
                  <c:v>0.97007433474967897</c:v>
                </c:pt>
                <c:pt idx="109">
                  <c:v>0.97377571365225701</c:v>
                </c:pt>
                <c:pt idx="110">
                  <c:v>0.97228136140714305</c:v>
                </c:pt>
                <c:pt idx="111">
                  <c:v>0.97339173150484504</c:v>
                </c:pt>
                <c:pt idx="112">
                  <c:v>0.976191220791506</c:v>
                </c:pt>
                <c:pt idx="113">
                  <c:v>0.97604102742313303</c:v>
                </c:pt>
                <c:pt idx="114">
                  <c:v>0.97584267614806097</c:v>
                </c:pt>
                <c:pt idx="115">
                  <c:v>0.98073116630456902</c:v>
                </c:pt>
                <c:pt idx="116">
                  <c:v>0.996914810102705</c:v>
                </c:pt>
                <c:pt idx="117">
                  <c:v>1.0143070712066</c:v>
                </c:pt>
                <c:pt idx="118">
                  <c:v>1.0163629878424301</c:v>
                </c:pt>
                <c:pt idx="119">
                  <c:v>1.0131084278312901</c:v>
                </c:pt>
                <c:pt idx="120">
                  <c:v>1.0141059425971799</c:v>
                </c:pt>
                <c:pt idx="121">
                  <c:v>1.0125997780982701</c:v>
                </c:pt>
                <c:pt idx="122">
                  <c:v>1.01300874891412</c:v>
                </c:pt>
                <c:pt idx="123">
                  <c:v>1.01378323989085</c:v>
                </c:pt>
                <c:pt idx="124">
                  <c:v>1.01563248502555</c:v>
                </c:pt>
                <c:pt idx="125">
                  <c:v>1.01133045579916</c:v>
                </c:pt>
                <c:pt idx="126">
                  <c:v>1.0121570668783799</c:v>
                </c:pt>
                <c:pt idx="127">
                  <c:v>1.00867709865</c:v>
                </c:pt>
                <c:pt idx="128">
                  <c:v>1.0073864662827801</c:v>
                </c:pt>
                <c:pt idx="129">
                  <c:v>1.00748280649491</c:v>
                </c:pt>
                <c:pt idx="130">
                  <c:v>1.0102198023841</c:v>
                </c:pt>
                <c:pt idx="131">
                  <c:v>1.01012194985837</c:v>
                </c:pt>
                <c:pt idx="132">
                  <c:v>1.0076752920547201</c:v>
                </c:pt>
                <c:pt idx="133">
                  <c:v>1.0104670772336799</c:v>
                </c:pt>
                <c:pt idx="134">
                  <c:v>1.00954659752364</c:v>
                </c:pt>
                <c:pt idx="135">
                  <c:v>1.00856010304309</c:v>
                </c:pt>
                <c:pt idx="136">
                  <c:v>1.0022015220521701</c:v>
                </c:pt>
                <c:pt idx="137">
                  <c:v>1.0023624067010899</c:v>
                </c:pt>
                <c:pt idx="138">
                  <c:v>1.00149779037054</c:v>
                </c:pt>
                <c:pt idx="139">
                  <c:v>0.99884252411906405</c:v>
                </c:pt>
                <c:pt idx="140">
                  <c:v>0.99894399950870205</c:v>
                </c:pt>
                <c:pt idx="141">
                  <c:v>1.0027026624657001</c:v>
                </c:pt>
                <c:pt idx="142">
                  <c:v>1.0068309300165601</c:v>
                </c:pt>
                <c:pt idx="143">
                  <c:v>0.99865374760212999</c:v>
                </c:pt>
                <c:pt idx="144">
                  <c:v>1.0005111802270299</c:v>
                </c:pt>
                <c:pt idx="145">
                  <c:v>1.00084460235249</c:v>
                </c:pt>
                <c:pt idx="146">
                  <c:v>0.999350255272624</c:v>
                </c:pt>
                <c:pt idx="147">
                  <c:v>0.99542295772289702</c:v>
                </c:pt>
                <c:pt idx="148">
                  <c:v>0.99732329807233699</c:v>
                </c:pt>
                <c:pt idx="149">
                  <c:v>1.0011518898888001</c:v>
                </c:pt>
                <c:pt idx="150">
                  <c:v>0.999098636411483</c:v>
                </c:pt>
                <c:pt idx="151">
                  <c:v>0.99459501152026397</c:v>
                </c:pt>
                <c:pt idx="152">
                  <c:v>0.98817271592349998</c:v>
                </c:pt>
                <c:pt idx="153">
                  <c:v>0.98930414233827302</c:v>
                </c:pt>
                <c:pt idx="154">
                  <c:v>0.980179533902653</c:v>
                </c:pt>
                <c:pt idx="155">
                  <c:v>0.98094404040912198</c:v>
                </c:pt>
                <c:pt idx="156">
                  <c:v>0.98670386177992997</c:v>
                </c:pt>
                <c:pt idx="157">
                  <c:v>0.992174408635209</c:v>
                </c:pt>
                <c:pt idx="158">
                  <c:v>0.99255843848482705</c:v>
                </c:pt>
                <c:pt idx="159">
                  <c:v>0.99243583210508601</c:v>
                </c:pt>
                <c:pt idx="160">
                  <c:v>0.99398230288817402</c:v>
                </c:pt>
                <c:pt idx="161">
                  <c:v>0.997596247723888</c:v>
                </c:pt>
                <c:pt idx="162">
                  <c:v>1.0018062035486499</c:v>
                </c:pt>
                <c:pt idx="163">
                  <c:v>1.0058522042729401</c:v>
                </c:pt>
                <c:pt idx="164">
                  <c:v>1.0152664674540399</c:v>
                </c:pt>
                <c:pt idx="165">
                  <c:v>1.0151712775193</c:v>
                </c:pt>
                <c:pt idx="166">
                  <c:v>1.01558171478214</c:v>
                </c:pt>
                <c:pt idx="167">
                  <c:v>1.01621789758472</c:v>
                </c:pt>
                <c:pt idx="168">
                  <c:v>1.0149140671913901</c:v>
                </c:pt>
                <c:pt idx="169">
                  <c:v>1.0136245575701801</c:v>
                </c:pt>
                <c:pt idx="170">
                  <c:v>1.0139572893414901</c:v>
                </c:pt>
                <c:pt idx="171">
                  <c:v>1.01228108308158</c:v>
                </c:pt>
                <c:pt idx="172">
                  <c:v>1.01295290964284</c:v>
                </c:pt>
                <c:pt idx="173">
                  <c:v>1.01219950876411</c:v>
                </c:pt>
                <c:pt idx="174">
                  <c:v>1.01041646741841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97-4AEC-B823-952DC3AB6152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MOG B/MOG A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1.00164464376074</c:v>
                </c:pt>
                <c:pt idx="20">
                  <c:v>0.99950976767918298</c:v>
                </c:pt>
                <c:pt idx="21">
                  <c:v>0.99869531871921602</c:v>
                </c:pt>
                <c:pt idx="22">
                  <c:v>1.0004275128568201</c:v>
                </c:pt>
                <c:pt idx="23">
                  <c:v>1.0011137466290001</c:v>
                </c:pt>
                <c:pt idx="24">
                  <c:v>1.0038508982451599</c:v>
                </c:pt>
                <c:pt idx="25">
                  <c:v>1.00493009146992</c:v>
                </c:pt>
                <c:pt idx="26">
                  <c:v>1.0051270662585099</c:v>
                </c:pt>
                <c:pt idx="27">
                  <c:v>1.0055978377219601</c:v>
                </c:pt>
                <c:pt idx="28">
                  <c:v>1.0059267106638801</c:v>
                </c:pt>
                <c:pt idx="29">
                  <c:v>1.0075588333730701</c:v>
                </c:pt>
                <c:pt idx="30">
                  <c:v>1.00718409102057</c:v>
                </c:pt>
                <c:pt idx="31">
                  <c:v>1.00530180698685</c:v>
                </c:pt>
                <c:pt idx="32">
                  <c:v>1.0035169875794301</c:v>
                </c:pt>
                <c:pt idx="33">
                  <c:v>1.00222689608089</c:v>
                </c:pt>
                <c:pt idx="34">
                  <c:v>1.00153339647888</c:v>
                </c:pt>
                <c:pt idx="35">
                  <c:v>0.99968408934258202</c:v>
                </c:pt>
                <c:pt idx="36">
                  <c:v>0.99816343864961199</c:v>
                </c:pt>
                <c:pt idx="37">
                  <c:v>0.99726343014304397</c:v>
                </c:pt>
                <c:pt idx="38">
                  <c:v>0.997082440958456</c:v>
                </c:pt>
                <c:pt idx="39">
                  <c:v>0.99865267722955198</c:v>
                </c:pt>
                <c:pt idx="40">
                  <c:v>1.00241617527534</c:v>
                </c:pt>
                <c:pt idx="41">
                  <c:v>1.0031199884066</c:v>
                </c:pt>
                <c:pt idx="42">
                  <c:v>1.00562533530686</c:v>
                </c:pt>
                <c:pt idx="43">
                  <c:v>1.0100122726238201</c:v>
                </c:pt>
                <c:pt idx="44">
                  <c:v>1.0131124554854101</c:v>
                </c:pt>
                <c:pt idx="45">
                  <c:v>1.0176467756027601</c:v>
                </c:pt>
                <c:pt idx="46">
                  <c:v>1.0169267848376899</c:v>
                </c:pt>
                <c:pt idx="47">
                  <c:v>1.01731601244504</c:v>
                </c:pt>
                <c:pt idx="48">
                  <c:v>1.0171203587572799</c:v>
                </c:pt>
                <c:pt idx="49">
                  <c:v>1.01727927725518</c:v>
                </c:pt>
                <c:pt idx="50">
                  <c:v>1.0170501634929201</c:v>
                </c:pt>
                <c:pt idx="51">
                  <c:v>1.0168976069159701</c:v>
                </c:pt>
                <c:pt idx="52">
                  <c:v>1.01911909509864</c:v>
                </c:pt>
                <c:pt idx="53">
                  <c:v>1.0218918995191699</c:v>
                </c:pt>
                <c:pt idx="54">
                  <c:v>1.0236929038939799</c:v>
                </c:pt>
                <c:pt idx="55">
                  <c:v>1.0251679935920199</c:v>
                </c:pt>
                <c:pt idx="56">
                  <c:v>1.0255302020792301</c:v>
                </c:pt>
                <c:pt idx="57">
                  <c:v>1.02791445861585</c:v>
                </c:pt>
                <c:pt idx="58">
                  <c:v>1.0300529568737999</c:v>
                </c:pt>
                <c:pt idx="59">
                  <c:v>1.03420645910689</c:v>
                </c:pt>
                <c:pt idx="60">
                  <c:v>1.0341402964913899</c:v>
                </c:pt>
                <c:pt idx="61">
                  <c:v>1.0326726678137299</c:v>
                </c:pt>
                <c:pt idx="62">
                  <c:v>1.0304211556938201</c:v>
                </c:pt>
                <c:pt idx="63">
                  <c:v>1.02615090582831</c:v>
                </c:pt>
                <c:pt idx="64">
                  <c:v>1.0219029301226601</c:v>
                </c:pt>
                <c:pt idx="65">
                  <c:v>1.0149695979529201</c:v>
                </c:pt>
                <c:pt idx="66">
                  <c:v>1.01504147446112</c:v>
                </c:pt>
                <c:pt idx="67">
                  <c:v>1.0144952740344899</c:v>
                </c:pt>
                <c:pt idx="68">
                  <c:v>1.01436659873519</c:v>
                </c:pt>
                <c:pt idx="69">
                  <c:v>1.0140493012195</c:v>
                </c:pt>
                <c:pt idx="70">
                  <c:v>1.0137827990864501</c:v>
                </c:pt>
                <c:pt idx="71">
                  <c:v>1.0140566488720599</c:v>
                </c:pt>
                <c:pt idx="72">
                  <c:v>1.01444238118698</c:v>
                </c:pt>
                <c:pt idx="73">
                  <c:v>1.01251766863218</c:v>
                </c:pt>
                <c:pt idx="74">
                  <c:v>1.0108173181573299</c:v>
                </c:pt>
                <c:pt idx="75">
                  <c:v>1.01182597450165</c:v>
                </c:pt>
                <c:pt idx="76">
                  <c:v>1.01431941879335</c:v>
                </c:pt>
                <c:pt idx="77">
                  <c:v>1.0127718785581801</c:v>
                </c:pt>
                <c:pt idx="78">
                  <c:v>1.0105298002149901</c:v>
                </c:pt>
                <c:pt idx="79">
                  <c:v>1.0076859508314799</c:v>
                </c:pt>
                <c:pt idx="80">
                  <c:v>1.00920857178569</c:v>
                </c:pt>
                <c:pt idx="81">
                  <c:v>1.0123585507303301</c:v>
                </c:pt>
                <c:pt idx="82">
                  <c:v>1.01108964162853</c:v>
                </c:pt>
                <c:pt idx="83">
                  <c:v>1.01029515927775</c:v>
                </c:pt>
                <c:pt idx="84">
                  <c:v>1.0105014476771601</c:v>
                </c:pt>
                <c:pt idx="85">
                  <c:v>1.0133675013933501</c:v>
                </c:pt>
                <c:pt idx="86">
                  <c:v>1.0146887413126799</c:v>
                </c:pt>
                <c:pt idx="87">
                  <c:v>1.0156603065202601</c:v>
                </c:pt>
                <c:pt idx="88">
                  <c:v>1.0172052973324099</c:v>
                </c:pt>
                <c:pt idx="89">
                  <c:v>1.01744276489803</c:v>
                </c:pt>
                <c:pt idx="90">
                  <c:v>1.0184759292074901</c:v>
                </c:pt>
                <c:pt idx="91">
                  <c:v>1.0182447854661001</c:v>
                </c:pt>
                <c:pt idx="92">
                  <c:v>1.01890410979447</c:v>
                </c:pt>
                <c:pt idx="93">
                  <c:v>1.0188460762096001</c:v>
                </c:pt>
                <c:pt idx="94">
                  <c:v>1.0198290447207701</c:v>
                </c:pt>
                <c:pt idx="95">
                  <c:v>1.0170609788134899</c:v>
                </c:pt>
                <c:pt idx="96">
                  <c:v>1.0148006241768499</c:v>
                </c:pt>
                <c:pt idx="97">
                  <c:v>1.0136710746038999</c:v>
                </c:pt>
                <c:pt idx="98">
                  <c:v>1.0131271032022899</c:v>
                </c:pt>
                <c:pt idx="99">
                  <c:v>1.0121678195786401</c:v>
                </c:pt>
                <c:pt idx="100">
                  <c:v>1.01036941372546</c:v>
                </c:pt>
                <c:pt idx="101">
                  <c:v>1.0083407905896999</c:v>
                </c:pt>
                <c:pt idx="102">
                  <c:v>1.0069368827482901</c:v>
                </c:pt>
                <c:pt idx="103">
                  <c:v>1.00782772898461</c:v>
                </c:pt>
                <c:pt idx="104">
                  <c:v>1.0074904744897799</c:v>
                </c:pt>
                <c:pt idx="105">
                  <c:v>1.0071500771875399</c:v>
                </c:pt>
                <c:pt idx="106">
                  <c:v>0.99960522755967396</c:v>
                </c:pt>
                <c:pt idx="107">
                  <c:v>0.991232929242575</c:v>
                </c:pt>
                <c:pt idx="108">
                  <c:v>0.98894114404431799</c:v>
                </c:pt>
                <c:pt idx="109">
                  <c:v>0.99067827762142802</c:v>
                </c:pt>
                <c:pt idx="110">
                  <c:v>0.98933187215677398</c:v>
                </c:pt>
                <c:pt idx="111">
                  <c:v>0.99010962748443299</c:v>
                </c:pt>
                <c:pt idx="112">
                  <c:v>0.98887062757217803</c:v>
                </c:pt>
                <c:pt idx="113">
                  <c:v>0.98818472612020403</c:v>
                </c:pt>
                <c:pt idx="114">
                  <c:v>0.987051869577939</c:v>
                </c:pt>
                <c:pt idx="115">
                  <c:v>0.99069242209268005</c:v>
                </c:pt>
                <c:pt idx="116">
                  <c:v>0.99191290793446196</c:v>
                </c:pt>
                <c:pt idx="117">
                  <c:v>0.99330038481878502</c:v>
                </c:pt>
                <c:pt idx="118">
                  <c:v>0.99321866129605496</c:v>
                </c:pt>
                <c:pt idx="119">
                  <c:v>0.99344207074177504</c:v>
                </c:pt>
                <c:pt idx="120">
                  <c:v>0.99319365200216503</c:v>
                </c:pt>
                <c:pt idx="121">
                  <c:v>0.99299575480156199</c:v>
                </c:pt>
                <c:pt idx="122">
                  <c:v>0.99459998485281498</c:v>
                </c:pt>
                <c:pt idx="123">
                  <c:v>0.99491213365699405</c:v>
                </c:pt>
                <c:pt idx="124">
                  <c:v>0.99573758058680695</c:v>
                </c:pt>
                <c:pt idx="125">
                  <c:v>0.99603081105186897</c:v>
                </c:pt>
                <c:pt idx="126">
                  <c:v>1.0045359384905399</c:v>
                </c:pt>
                <c:pt idx="127">
                  <c:v>1.0114920849283</c:v>
                </c:pt>
                <c:pt idx="128">
                  <c:v>1.0118747270626001</c:v>
                </c:pt>
                <c:pt idx="129">
                  <c:v>1.0102956171630999</c:v>
                </c:pt>
                <c:pt idx="130">
                  <c:v>1.01216287249064</c:v>
                </c:pt>
                <c:pt idx="131">
                  <c:v>1.01136086397832</c:v>
                </c:pt>
                <c:pt idx="132">
                  <c:v>1.01034202048442</c:v>
                </c:pt>
                <c:pt idx="133">
                  <c:v>1.0121251585622699</c:v>
                </c:pt>
                <c:pt idx="134">
                  <c:v>1.0125895412746</c:v>
                </c:pt>
                <c:pt idx="135">
                  <c:v>1.0099452794211301</c:v>
                </c:pt>
                <c:pt idx="136">
                  <c:v>1.00717929446527</c:v>
                </c:pt>
                <c:pt idx="137">
                  <c:v>1.0055197526755499</c:v>
                </c:pt>
                <c:pt idx="138">
                  <c:v>1.00444212832666</c:v>
                </c:pt>
                <c:pt idx="139">
                  <c:v>1.0031626653069801</c:v>
                </c:pt>
                <c:pt idx="140">
                  <c:v>1.0045819009464001</c:v>
                </c:pt>
                <c:pt idx="141">
                  <c:v>1.00641230616203</c:v>
                </c:pt>
                <c:pt idx="142">
                  <c:v>1.00725311103564</c:v>
                </c:pt>
                <c:pt idx="143">
                  <c:v>1.0045604124179</c:v>
                </c:pt>
                <c:pt idx="144">
                  <c:v>1.00502888887534</c:v>
                </c:pt>
                <c:pt idx="145">
                  <c:v>1.0047023526977901</c:v>
                </c:pt>
                <c:pt idx="146">
                  <c:v>1.0007758886623901</c:v>
                </c:pt>
                <c:pt idx="147">
                  <c:v>0.99889268221199801</c:v>
                </c:pt>
                <c:pt idx="148">
                  <c:v>0.99941054422144004</c:v>
                </c:pt>
                <c:pt idx="149">
                  <c:v>0.99999720700393402</c:v>
                </c:pt>
                <c:pt idx="150">
                  <c:v>0.99902131796009197</c:v>
                </c:pt>
                <c:pt idx="151">
                  <c:v>0.99864883699298301</c:v>
                </c:pt>
                <c:pt idx="152">
                  <c:v>0.99750182297003498</c:v>
                </c:pt>
                <c:pt idx="153">
                  <c:v>0.99397894497020201</c:v>
                </c:pt>
                <c:pt idx="154">
                  <c:v>0.99034535706484506</c:v>
                </c:pt>
                <c:pt idx="155">
                  <c:v>0.99089432138080702</c:v>
                </c:pt>
                <c:pt idx="156">
                  <c:v>0.99302705852627704</c:v>
                </c:pt>
                <c:pt idx="157">
                  <c:v>0.99379868317905296</c:v>
                </c:pt>
                <c:pt idx="158">
                  <c:v>0.99494086827858297</c:v>
                </c:pt>
                <c:pt idx="159">
                  <c:v>0.996793860996946</c:v>
                </c:pt>
                <c:pt idx="160">
                  <c:v>0.99654046964982801</c:v>
                </c:pt>
                <c:pt idx="161">
                  <c:v>0.99609562962207598</c:v>
                </c:pt>
                <c:pt idx="162">
                  <c:v>0.994989459736078</c:v>
                </c:pt>
                <c:pt idx="163">
                  <c:v>0.99757817330561105</c:v>
                </c:pt>
                <c:pt idx="164">
                  <c:v>0.99772300067835096</c:v>
                </c:pt>
                <c:pt idx="165">
                  <c:v>0.99805765896421295</c:v>
                </c:pt>
                <c:pt idx="166">
                  <c:v>1.00114278828103</c:v>
                </c:pt>
                <c:pt idx="167">
                  <c:v>1.0041961531099599</c:v>
                </c:pt>
                <c:pt idx="168">
                  <c:v>1.00373625283811</c:v>
                </c:pt>
                <c:pt idx="169">
                  <c:v>1.0030301948376299</c:v>
                </c:pt>
                <c:pt idx="170">
                  <c:v>1.0039697961148299</c:v>
                </c:pt>
                <c:pt idx="171">
                  <c:v>1.0049386654027299</c:v>
                </c:pt>
                <c:pt idx="172">
                  <c:v>1.00737955659574</c:v>
                </c:pt>
                <c:pt idx="173">
                  <c:v>1.0090258565185299</c:v>
                </c:pt>
                <c:pt idx="174">
                  <c:v>1.01284146743623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97-4AEC-B823-952DC3AB6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MOG A* x 10 dma / MOG B*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-2.2503041855716902E-2</c:v>
                </c:pt>
                <c:pt idx="11">
                  <c:v>-4.2972615370708497E-2</c:v>
                </c:pt>
                <c:pt idx="12">
                  <c:v>-4.3578266058320403E-3</c:v>
                </c:pt>
                <c:pt idx="13">
                  <c:v>-2.6943272816978201E-2</c:v>
                </c:pt>
                <c:pt idx="14">
                  <c:v>-1.21206513585302E-2</c:v>
                </c:pt>
                <c:pt idx="15">
                  <c:v>-1.81959031939832E-2</c:v>
                </c:pt>
                <c:pt idx="16">
                  <c:v>-1.7301122557474201E-2</c:v>
                </c:pt>
                <c:pt idx="17">
                  <c:v>-1.96771499858585E-2</c:v>
                </c:pt>
                <c:pt idx="18">
                  <c:v>-1.10302054459014E-2</c:v>
                </c:pt>
                <c:pt idx="19">
                  <c:v>4.9826277429930302E-2</c:v>
                </c:pt>
                <c:pt idx="20">
                  <c:v>8.3188712444101698E-2</c:v>
                </c:pt>
                <c:pt idx="21">
                  <c:v>1.41669094280305E-2</c:v>
                </c:pt>
                <c:pt idx="22">
                  <c:v>-2.1000516344758899E-2</c:v>
                </c:pt>
                <c:pt idx="23">
                  <c:v>9.1677139141652202E-3</c:v>
                </c:pt>
                <c:pt idx="24">
                  <c:v>-2.1387953997202402E-2</c:v>
                </c:pt>
                <c:pt idx="25">
                  <c:v>3.12287225479664E-3</c:v>
                </c:pt>
                <c:pt idx="26">
                  <c:v>-5.2011322888238804E-3</c:v>
                </c:pt>
                <c:pt idx="27">
                  <c:v>-1.13610822848026E-2</c:v>
                </c:pt>
                <c:pt idx="28">
                  <c:v>-8.8148587897114005E-3</c:v>
                </c:pt>
                <c:pt idx="29">
                  <c:v>-8.8068072724967004E-3</c:v>
                </c:pt>
                <c:pt idx="30">
                  <c:v>-3.1666286377962098E-3</c:v>
                </c:pt>
                <c:pt idx="31">
                  <c:v>9.4158728456153699E-3</c:v>
                </c:pt>
                <c:pt idx="32">
                  <c:v>4.5230398967719097E-2</c:v>
                </c:pt>
                <c:pt idx="33">
                  <c:v>4.7980567932785203E-3</c:v>
                </c:pt>
                <c:pt idx="34">
                  <c:v>3.9087802813959904E-3</c:v>
                </c:pt>
                <c:pt idx="35">
                  <c:v>1.40314265838366E-2</c:v>
                </c:pt>
                <c:pt idx="36">
                  <c:v>2.3383672771406499E-3</c:v>
                </c:pt>
                <c:pt idx="37">
                  <c:v>-1.5934194362093101E-2</c:v>
                </c:pt>
                <c:pt idx="38">
                  <c:v>-2.4080697951989499E-2</c:v>
                </c:pt>
                <c:pt idx="39">
                  <c:v>2.6416989110826001E-4</c:v>
                </c:pt>
                <c:pt idx="40">
                  <c:v>-1.2040676460816999E-2</c:v>
                </c:pt>
                <c:pt idx="41">
                  <c:v>-9.4237205678050703E-3</c:v>
                </c:pt>
                <c:pt idx="42">
                  <c:v>-7.3128462791184401E-2</c:v>
                </c:pt>
                <c:pt idx="43">
                  <c:v>-7.10559738788588E-2</c:v>
                </c:pt>
                <c:pt idx="44">
                  <c:v>-6.4744644337482296E-2</c:v>
                </c:pt>
                <c:pt idx="45">
                  <c:v>-6.08087521721285E-2</c:v>
                </c:pt>
                <c:pt idx="46">
                  <c:v>4.4431127912604403E-2</c:v>
                </c:pt>
                <c:pt idx="47">
                  <c:v>1.7811077141577501E-2</c:v>
                </c:pt>
                <c:pt idx="48">
                  <c:v>3.4472931539301803E-2</c:v>
                </c:pt>
                <c:pt idx="49">
                  <c:v>2.7469411545504099E-2</c:v>
                </c:pt>
                <c:pt idx="50">
                  <c:v>3.7975448657237398E-2</c:v>
                </c:pt>
                <c:pt idx="51">
                  <c:v>4.11209529905701E-2</c:v>
                </c:pt>
                <c:pt idx="52">
                  <c:v>2.7111002388830699E-2</c:v>
                </c:pt>
                <c:pt idx="53">
                  <c:v>-2.2753771255993299E-2</c:v>
                </c:pt>
                <c:pt idx="54">
                  <c:v>-8.1122935129529193E-3</c:v>
                </c:pt>
                <c:pt idx="55">
                  <c:v>5.4839992726143797E-3</c:v>
                </c:pt>
                <c:pt idx="56">
                  <c:v>1.0052934570252499E-2</c:v>
                </c:pt>
                <c:pt idx="57">
                  <c:v>-4.48403422413651E-2</c:v>
                </c:pt>
                <c:pt idx="58">
                  <c:v>-4.4079361539302198E-2</c:v>
                </c:pt>
                <c:pt idx="59">
                  <c:v>-5.4134342483162699E-2</c:v>
                </c:pt>
                <c:pt idx="60">
                  <c:v>2.2663874764410299E-2</c:v>
                </c:pt>
                <c:pt idx="61">
                  <c:v>5.3847626630669998E-2</c:v>
                </c:pt>
                <c:pt idx="62">
                  <c:v>8.0304237605989699E-4</c:v>
                </c:pt>
                <c:pt idx="63">
                  <c:v>3.3155728049777497E-2</c:v>
                </c:pt>
                <c:pt idx="64">
                  <c:v>2.5015420422595799E-2</c:v>
                </c:pt>
                <c:pt idx="65">
                  <c:v>7.15616246023901E-2</c:v>
                </c:pt>
                <c:pt idx="66">
                  <c:v>2.3134268267457E-2</c:v>
                </c:pt>
                <c:pt idx="67">
                  <c:v>8.1612566312683696E-3</c:v>
                </c:pt>
                <c:pt idx="68">
                  <c:v>1.08518409581347E-2</c:v>
                </c:pt>
                <c:pt idx="69">
                  <c:v>3.0460501433129299E-3</c:v>
                </c:pt>
                <c:pt idx="70">
                  <c:v>3.6955927345122502E-3</c:v>
                </c:pt>
                <c:pt idx="71">
                  <c:v>-4.4418007329837198E-3</c:v>
                </c:pt>
                <c:pt idx="72">
                  <c:v>-1.7140780242854901E-2</c:v>
                </c:pt>
                <c:pt idx="73">
                  <c:v>-1.7048016925218099E-2</c:v>
                </c:pt>
                <c:pt idx="74">
                  <c:v>-1.6139528606041501E-3</c:v>
                </c:pt>
                <c:pt idx="75">
                  <c:v>-3.6173749115991201E-2</c:v>
                </c:pt>
                <c:pt idx="76">
                  <c:v>-4.4726431372863799E-2</c:v>
                </c:pt>
                <c:pt idx="77">
                  <c:v>-1.6632582028462801E-2</c:v>
                </c:pt>
                <c:pt idx="78">
                  <c:v>-4.3916083737598798E-3</c:v>
                </c:pt>
                <c:pt idx="79">
                  <c:v>-7.5874637926060997E-3</c:v>
                </c:pt>
                <c:pt idx="80">
                  <c:v>-1.9529158432229899E-2</c:v>
                </c:pt>
                <c:pt idx="81">
                  <c:v>-1.7507175342858301E-2</c:v>
                </c:pt>
                <c:pt idx="82">
                  <c:v>2.24675663940943E-2</c:v>
                </c:pt>
                <c:pt idx="83">
                  <c:v>4.2679215462849203E-2</c:v>
                </c:pt>
                <c:pt idx="84">
                  <c:v>1.6565703391476401E-2</c:v>
                </c:pt>
                <c:pt idx="85">
                  <c:v>1.25286090179299E-2</c:v>
                </c:pt>
                <c:pt idx="86">
                  <c:v>-7.3766073105331194E-5</c:v>
                </c:pt>
                <c:pt idx="87">
                  <c:v>-1.02003992303263E-2</c:v>
                </c:pt>
                <c:pt idx="88">
                  <c:v>-1.38703669379018E-2</c:v>
                </c:pt>
                <c:pt idx="89">
                  <c:v>1.1513419616620699E-2</c:v>
                </c:pt>
                <c:pt idx="90">
                  <c:v>2.4903624555928702E-3</c:v>
                </c:pt>
                <c:pt idx="91">
                  <c:v>1.8631999785863801E-2</c:v>
                </c:pt>
                <c:pt idx="92">
                  <c:v>-1.8318392039117899E-2</c:v>
                </c:pt>
                <c:pt idx="93">
                  <c:v>-3.4343333370289499E-4</c:v>
                </c:pt>
                <c:pt idx="94">
                  <c:v>-4.0985671875471003E-3</c:v>
                </c:pt>
                <c:pt idx="95">
                  <c:v>3.7327292993818303E-2</c:v>
                </c:pt>
                <c:pt idx="96">
                  <c:v>6.4986618659848101E-3</c:v>
                </c:pt>
                <c:pt idx="97">
                  <c:v>5.7862998560218801E-3</c:v>
                </c:pt>
                <c:pt idx="98">
                  <c:v>2.4157894601933702E-3</c:v>
                </c:pt>
                <c:pt idx="99">
                  <c:v>3.2712179360937402E-3</c:v>
                </c:pt>
                <c:pt idx="100">
                  <c:v>5.3134862745887997E-3</c:v>
                </c:pt>
                <c:pt idx="101">
                  <c:v>6.2787649438729304E-3</c:v>
                </c:pt>
                <c:pt idx="102">
                  <c:v>3.1354687035145899E-2</c:v>
                </c:pt>
                <c:pt idx="103">
                  <c:v>1.0935767264070599E-3</c:v>
                </c:pt>
                <c:pt idx="104">
                  <c:v>1.50572306190759E-3</c:v>
                </c:pt>
                <c:pt idx="105">
                  <c:v>-5.1289170302598903E-3</c:v>
                </c:pt>
                <c:pt idx="106">
                  <c:v>0.14031357889236101</c:v>
                </c:pt>
                <c:pt idx="107">
                  <c:v>0.137315184082513</c:v>
                </c:pt>
                <c:pt idx="108">
                  <c:v>-1.3532918134002699E-2</c:v>
                </c:pt>
                <c:pt idx="109">
                  <c:v>-7.1073717093827204E-2</c:v>
                </c:pt>
                <c:pt idx="110">
                  <c:v>-1.37906626039116E-2</c:v>
                </c:pt>
                <c:pt idx="111">
                  <c:v>-3.9234979054896299E-2</c:v>
                </c:pt>
                <c:pt idx="112">
                  <c:v>-3.0705123269615602E-2</c:v>
                </c:pt>
                <c:pt idx="113">
                  <c:v>-2.3049668302795E-2</c:v>
                </c:pt>
                <c:pt idx="114">
                  <c:v>-2.1085481161759199E-2</c:v>
                </c:pt>
                <c:pt idx="115">
                  <c:v>-7.5412295826105299E-2</c:v>
                </c:pt>
                <c:pt idx="116">
                  <c:v>-5.0461455818915403E-2</c:v>
                </c:pt>
                <c:pt idx="117">
                  <c:v>-3.6726293766419497E-2</c:v>
                </c:pt>
                <c:pt idx="118">
                  <c:v>8.1239505487658206E-3</c:v>
                </c:pt>
                <c:pt idx="119">
                  <c:v>7.2859106011733303E-3</c:v>
                </c:pt>
                <c:pt idx="120">
                  <c:v>1.5754082962695402E-2</c:v>
                </c:pt>
                <c:pt idx="121">
                  <c:v>1.78895090467397E-2</c:v>
                </c:pt>
                <c:pt idx="122">
                  <c:v>4.7184366335119602E-3</c:v>
                </c:pt>
                <c:pt idx="123">
                  <c:v>6.2488587570459298E-3</c:v>
                </c:pt>
                <c:pt idx="124">
                  <c:v>-1.5268126773432501E-3</c:v>
                </c:pt>
                <c:pt idx="125">
                  <c:v>6.2953335568687397E-3</c:v>
                </c:pt>
                <c:pt idx="126">
                  <c:v>-2.7719627764505799E-2</c:v>
                </c:pt>
                <c:pt idx="127">
                  <c:v>1.2675187611799799E-2</c:v>
                </c:pt>
                <c:pt idx="128">
                  <c:v>1.54689877964647E-2</c:v>
                </c:pt>
                <c:pt idx="129">
                  <c:v>-2.5396940124829299E-3</c:v>
                </c:pt>
                <c:pt idx="130">
                  <c:v>-1.6889170638721699E-2</c:v>
                </c:pt>
                <c:pt idx="131">
                  <c:v>1.50328769613949E-2</c:v>
                </c:pt>
                <c:pt idx="132">
                  <c:v>2.6844388398071399E-2</c:v>
                </c:pt>
                <c:pt idx="133">
                  <c:v>-2.6384539281393199E-2</c:v>
                </c:pt>
                <c:pt idx="134">
                  <c:v>4.3038912045476E-3</c:v>
                </c:pt>
                <c:pt idx="135">
                  <c:v>1.01076223150689E-2</c:v>
                </c:pt>
                <c:pt idx="136">
                  <c:v>3.2641681464196701E-2</c:v>
                </c:pt>
                <c:pt idx="137">
                  <c:v>1.18202267222256E-3</c:v>
                </c:pt>
                <c:pt idx="138">
                  <c:v>1.7932465668261802E-2</c:v>
                </c:pt>
                <c:pt idx="139">
                  <c:v>1.8240560888321E-2</c:v>
                </c:pt>
                <c:pt idx="140">
                  <c:v>-2.6492124890306501E-2</c:v>
                </c:pt>
                <c:pt idx="141">
                  <c:v>-3.3265729419265602E-2</c:v>
                </c:pt>
                <c:pt idx="142">
                  <c:v>-2.1651334311861201E-2</c:v>
                </c:pt>
                <c:pt idx="143">
                  <c:v>5.5111404248525703E-2</c:v>
                </c:pt>
                <c:pt idx="144">
                  <c:v>-2.5748811029089401E-2</c:v>
                </c:pt>
                <c:pt idx="145">
                  <c:v>-2.21333529606742E-3</c:v>
                </c:pt>
                <c:pt idx="146">
                  <c:v>4.03888941693843E-2</c:v>
                </c:pt>
                <c:pt idx="147">
                  <c:v>3.8356373887999097E-2</c:v>
                </c:pt>
                <c:pt idx="148">
                  <c:v>-8.1324466153617804E-3</c:v>
                </c:pt>
                <c:pt idx="149">
                  <c:v>-2.4130018531575901E-2</c:v>
                </c:pt>
                <c:pt idx="150">
                  <c:v>-3.9607607906489801E-3</c:v>
                </c:pt>
                <c:pt idx="151">
                  <c:v>1.1477283569704601E-2</c:v>
                </c:pt>
                <c:pt idx="152">
                  <c:v>3.4958396794828303E-2</c:v>
                </c:pt>
                <c:pt idx="153">
                  <c:v>2.4601662091439099E-2</c:v>
                </c:pt>
                <c:pt idx="154">
                  <c:v>5.81082776720271E-2</c:v>
                </c:pt>
                <c:pt idx="155">
                  <c:v>-3.03392586432021E-2</c:v>
                </c:pt>
                <c:pt idx="156">
                  <c:v>-3.7890111937285503E-2</c:v>
                </c:pt>
                <c:pt idx="157">
                  <c:v>-2.9701576358014101E-2</c:v>
                </c:pt>
                <c:pt idx="158">
                  <c:v>-1.5220675508788899E-2</c:v>
                </c:pt>
                <c:pt idx="159">
                  <c:v>-2.7718350162662699E-2</c:v>
                </c:pt>
                <c:pt idx="160">
                  <c:v>-2.7973601196134401E-2</c:v>
                </c:pt>
                <c:pt idx="161">
                  <c:v>-2.9592917686776798E-2</c:v>
                </c:pt>
                <c:pt idx="162">
                  <c:v>-4.9293056782796097E-3</c:v>
                </c:pt>
                <c:pt idx="163">
                  <c:v>-2.8034288306851298E-3</c:v>
                </c:pt>
                <c:pt idx="164">
                  <c:v>-2.1389239611879201E-2</c:v>
                </c:pt>
                <c:pt idx="165">
                  <c:v>5.7739457376894104E-3</c:v>
                </c:pt>
                <c:pt idx="166">
                  <c:v>-7.6133445397381996E-3</c:v>
                </c:pt>
                <c:pt idx="167">
                  <c:v>-7.0940504195485298E-3</c:v>
                </c:pt>
                <c:pt idx="168">
                  <c:v>2.1750613083899702E-2</c:v>
                </c:pt>
                <c:pt idx="169">
                  <c:v>7.2721147350562499E-3</c:v>
                </c:pt>
                <c:pt idx="170">
                  <c:v>-1.0102990276858501E-2</c:v>
                </c:pt>
                <c:pt idx="171">
                  <c:v>6.8110537324341603E-3</c:v>
                </c:pt>
                <c:pt idx="172">
                  <c:v>3.00463771531759E-3</c:v>
                </c:pt>
                <c:pt idx="173">
                  <c:v>1.5789368582675399E-2</c:v>
                </c:pt>
                <c:pt idx="174">
                  <c:v>2.4051500425484201E-3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73-4670-94C6-80ACCBBCD1F6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MOG A* x 20 dma / MOG B*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7.0125299369610206E-2</c:v>
                </c:pt>
                <c:pt idx="21">
                  <c:v>6.6022052762455498E-3</c:v>
                </c:pt>
                <c:pt idx="22">
                  <c:v>-2.5147234337471899E-2</c:v>
                </c:pt>
                <c:pt idx="23">
                  <c:v>4.24034700061297E-3</c:v>
                </c:pt>
                <c:pt idx="24">
                  <c:v>-2.2992503166654601E-2</c:v>
                </c:pt>
                <c:pt idx="25">
                  <c:v>2.9825468032713002E-3</c:v>
                </c:pt>
                <c:pt idx="26">
                  <c:v>-2.1452652249329199E-3</c:v>
                </c:pt>
                <c:pt idx="27">
                  <c:v>-6.2610314029478203E-3</c:v>
                </c:pt>
                <c:pt idx="28">
                  <c:v>-1.3572110223569001E-3</c:v>
                </c:pt>
                <c:pt idx="29">
                  <c:v>7.16794043279799E-4</c:v>
                </c:pt>
                <c:pt idx="30">
                  <c:v>4.06154042532717E-3</c:v>
                </c:pt>
                <c:pt idx="31">
                  <c:v>9.3318231687245998E-3</c:v>
                </c:pt>
                <c:pt idx="32">
                  <c:v>4.2789753282321701E-2</c:v>
                </c:pt>
                <c:pt idx="33">
                  <c:v>6.64543427623539E-3</c:v>
                </c:pt>
                <c:pt idx="34">
                  <c:v>4.4022795227975598E-3</c:v>
                </c:pt>
                <c:pt idx="35">
                  <c:v>1.6489057671648401E-2</c:v>
                </c:pt>
                <c:pt idx="36">
                  <c:v>4.5211935003627596E-3</c:v>
                </c:pt>
                <c:pt idx="37">
                  <c:v>-1.40785908521621E-2</c:v>
                </c:pt>
                <c:pt idx="38">
                  <c:v>-2.3215047852917801E-2</c:v>
                </c:pt>
                <c:pt idx="39">
                  <c:v>-4.27911901490188E-4</c:v>
                </c:pt>
                <c:pt idx="40">
                  <c:v>-1.0387477199240601E-2</c:v>
                </c:pt>
                <c:pt idx="41">
                  <c:v>-4.5710891795730704E-3</c:v>
                </c:pt>
                <c:pt idx="42">
                  <c:v>-6.8493765196929998E-2</c:v>
                </c:pt>
                <c:pt idx="43">
                  <c:v>-7.4986595344205695E-2</c:v>
                </c:pt>
                <c:pt idx="44">
                  <c:v>-7.2908999485068904E-2</c:v>
                </c:pt>
                <c:pt idx="45">
                  <c:v>-7.4569392326373302E-2</c:v>
                </c:pt>
                <c:pt idx="46">
                  <c:v>2.48313078335064E-2</c:v>
                </c:pt>
                <c:pt idx="47">
                  <c:v>-2.2569134460498799E-3</c:v>
                </c:pt>
                <c:pt idx="48">
                  <c:v>1.4121943144000801E-2</c:v>
                </c:pt>
                <c:pt idx="49">
                  <c:v>8.6261131999155593E-3</c:v>
                </c:pt>
                <c:pt idx="50">
                  <c:v>1.8239685517715199E-2</c:v>
                </c:pt>
                <c:pt idx="51">
                  <c:v>2.2142310273523699E-2</c:v>
                </c:pt>
                <c:pt idx="52">
                  <c:v>9.1630316593281202E-3</c:v>
                </c:pt>
                <c:pt idx="53">
                  <c:v>-3.2064690841970299E-2</c:v>
                </c:pt>
                <c:pt idx="54">
                  <c:v>-1.1628760009879601E-2</c:v>
                </c:pt>
                <c:pt idx="55">
                  <c:v>8.8666918026697496E-3</c:v>
                </c:pt>
                <c:pt idx="56">
                  <c:v>2.2440719819714801E-2</c:v>
                </c:pt>
                <c:pt idx="57">
                  <c:v>-3.3059811075084503E-2</c:v>
                </c:pt>
                <c:pt idx="58">
                  <c:v>-3.3991782583661902E-2</c:v>
                </c:pt>
                <c:pt idx="59">
                  <c:v>-4.7887015670181998E-2</c:v>
                </c:pt>
                <c:pt idx="60">
                  <c:v>2.5907386067234799E-2</c:v>
                </c:pt>
                <c:pt idx="61">
                  <c:v>5.6167629983167003E-2</c:v>
                </c:pt>
                <c:pt idx="62">
                  <c:v>3.36371930637513E-3</c:v>
                </c:pt>
                <c:pt idx="63">
                  <c:v>3.14406085277898E-2</c:v>
                </c:pt>
                <c:pt idx="64">
                  <c:v>2.4373194723810099E-2</c:v>
                </c:pt>
                <c:pt idx="65">
                  <c:v>6.9931669302300895E-2</c:v>
                </c:pt>
                <c:pt idx="66">
                  <c:v>2.0750017318105801E-2</c:v>
                </c:pt>
                <c:pt idx="67">
                  <c:v>6.6632488357847202E-3</c:v>
                </c:pt>
                <c:pt idx="68">
                  <c:v>1.3914342543559499E-2</c:v>
                </c:pt>
                <c:pt idx="69">
                  <c:v>1.2228105262173401E-2</c:v>
                </c:pt>
                <c:pt idx="70">
                  <c:v>2.04097604068781E-2</c:v>
                </c:pt>
                <c:pt idx="71">
                  <c:v>1.3433903068641499E-2</c:v>
                </c:pt>
                <c:pt idx="72">
                  <c:v>-1.2617556317795499E-3</c:v>
                </c:pt>
                <c:pt idx="73">
                  <c:v>6.0174590865965803E-4</c:v>
                </c:pt>
                <c:pt idx="74">
                  <c:v>1.26023950231336E-2</c:v>
                </c:pt>
                <c:pt idx="75">
                  <c:v>-2.3477336367321001E-2</c:v>
                </c:pt>
                <c:pt idx="76">
                  <c:v>-3.9209849468791899E-2</c:v>
                </c:pt>
                <c:pt idx="77">
                  <c:v>-1.4418072051765599E-2</c:v>
                </c:pt>
                <c:pt idx="78">
                  <c:v>-5.7520407925470201E-3</c:v>
                </c:pt>
                <c:pt idx="79">
                  <c:v>-1.2950967491022401E-2</c:v>
                </c:pt>
                <c:pt idx="80">
                  <c:v>-2.98409245823766E-2</c:v>
                </c:pt>
                <c:pt idx="81">
                  <c:v>-3.0684662830049898E-2</c:v>
                </c:pt>
                <c:pt idx="82">
                  <c:v>8.46341006323428E-3</c:v>
                </c:pt>
                <c:pt idx="83">
                  <c:v>2.8542645299628699E-2</c:v>
                </c:pt>
                <c:pt idx="84">
                  <c:v>4.6895409239006598E-3</c:v>
                </c:pt>
                <c:pt idx="85">
                  <c:v>2.9622153345585598E-4</c:v>
                </c:pt>
                <c:pt idx="86">
                  <c:v>-7.06349806279764E-3</c:v>
                </c:pt>
                <c:pt idx="87">
                  <c:v>-1.2772319794375901E-2</c:v>
                </c:pt>
                <c:pt idx="88">
                  <c:v>-1.53556684056456E-2</c:v>
                </c:pt>
                <c:pt idx="89">
                  <c:v>1.02941973123837E-2</c:v>
                </c:pt>
                <c:pt idx="90">
                  <c:v>3.1667641682620799E-3</c:v>
                </c:pt>
                <c:pt idx="91">
                  <c:v>2.2684956001244799E-2</c:v>
                </c:pt>
                <c:pt idx="92">
                  <c:v>-1.00438686810548E-2</c:v>
                </c:pt>
                <c:pt idx="93">
                  <c:v>6.1358020713329501E-3</c:v>
                </c:pt>
                <c:pt idx="94">
                  <c:v>-6.3863887365203404E-4</c:v>
                </c:pt>
                <c:pt idx="95">
                  <c:v>4.0380655589450802E-2</c:v>
                </c:pt>
                <c:pt idx="96">
                  <c:v>9.8615347683685094E-3</c:v>
                </c:pt>
                <c:pt idx="97">
                  <c:v>8.2540380063721303E-3</c:v>
                </c:pt>
                <c:pt idx="98">
                  <c:v>5.8734861590260803E-3</c:v>
                </c:pt>
                <c:pt idx="99">
                  <c:v>8.5352783808548601E-3</c:v>
                </c:pt>
                <c:pt idx="100">
                  <c:v>9.8556216029939796E-3</c:v>
                </c:pt>
                <c:pt idx="101">
                  <c:v>1.02326833387653E-2</c:v>
                </c:pt>
                <c:pt idx="102">
                  <c:v>3.2856563974730198E-2</c:v>
                </c:pt>
                <c:pt idx="103">
                  <c:v>6.45767570672247E-3</c:v>
                </c:pt>
                <c:pt idx="104">
                  <c:v>8.9746034226140994E-3</c:v>
                </c:pt>
                <c:pt idx="105">
                  <c:v>4.0740938612328203E-3</c:v>
                </c:pt>
                <c:pt idx="106">
                  <c:v>0.14678475114775799</c:v>
                </c:pt>
                <c:pt idx="107">
                  <c:v>0.150095743709864</c:v>
                </c:pt>
                <c:pt idx="108">
                  <c:v>5.75871552245775E-3</c:v>
                </c:pt>
                <c:pt idx="109">
                  <c:v>-5.18116001376802E-2</c:v>
                </c:pt>
                <c:pt idx="110">
                  <c:v>3.4181711737006301E-3</c:v>
                </c:pt>
                <c:pt idx="111">
                  <c:v>-2.18503694086679E-2</c:v>
                </c:pt>
                <c:pt idx="112">
                  <c:v>-1.3676054354687399E-2</c:v>
                </c:pt>
                <c:pt idx="113">
                  <c:v>-1.01446467541514E-2</c:v>
                </c:pt>
                <c:pt idx="114">
                  <c:v>-8.7204529570523194E-3</c:v>
                </c:pt>
                <c:pt idx="115">
                  <c:v>-6.3991085958543498E-2</c:v>
                </c:pt>
                <c:pt idx="116">
                  <c:v>-4.03557224577702E-2</c:v>
                </c:pt>
                <c:pt idx="117">
                  <c:v>-4.17563048317054E-2</c:v>
                </c:pt>
                <c:pt idx="118">
                  <c:v>-1.28038986871366E-2</c:v>
                </c:pt>
                <c:pt idx="119">
                  <c:v>-1.5749082710270999E-2</c:v>
                </c:pt>
                <c:pt idx="120">
                  <c:v>-3.8486998866847201E-3</c:v>
                </c:pt>
                <c:pt idx="121">
                  <c:v>-2.9474873718043E-3</c:v>
                </c:pt>
                <c:pt idx="122">
                  <c:v>-1.4831514849995999E-2</c:v>
                </c:pt>
                <c:pt idx="123">
                  <c:v>-1.2090651040960399E-2</c:v>
                </c:pt>
                <c:pt idx="124">
                  <c:v>-2.0316781234146999E-2</c:v>
                </c:pt>
                <c:pt idx="125">
                  <c:v>-1.34877522423992E-2</c:v>
                </c:pt>
                <c:pt idx="126">
                  <c:v>-4.2963461816093798E-2</c:v>
                </c:pt>
                <c:pt idx="127">
                  <c:v>5.1171064888915303E-3</c:v>
                </c:pt>
                <c:pt idx="128">
                  <c:v>1.8255871314056801E-2</c:v>
                </c:pt>
                <c:pt idx="129">
                  <c:v>1.9057617671436699E-3</c:v>
                </c:pt>
                <c:pt idx="130">
                  <c:v>-1.41011415298427E-2</c:v>
                </c:pt>
                <c:pt idx="131">
                  <c:v>1.69544427743984E-2</c:v>
                </c:pt>
                <c:pt idx="132">
                  <c:v>2.8070136414914099E-2</c:v>
                </c:pt>
                <c:pt idx="133">
                  <c:v>-2.37416184646125E-2</c:v>
                </c:pt>
                <c:pt idx="134">
                  <c:v>5.94345222992251E-3</c:v>
                </c:pt>
                <c:pt idx="135">
                  <c:v>1.311725751169E-2</c:v>
                </c:pt>
                <c:pt idx="136">
                  <c:v>3.4014158949280698E-2</c:v>
                </c:pt>
                <c:pt idx="137">
                  <c:v>6.1365664349964403E-3</c:v>
                </c:pt>
                <c:pt idx="138">
                  <c:v>2.1077419730513299E-2</c:v>
                </c:pt>
                <c:pt idx="139">
                  <c:v>2.1176182282732402E-2</c:v>
                </c:pt>
                <c:pt idx="140">
                  <c:v>-2.2176304015885599E-2</c:v>
                </c:pt>
                <c:pt idx="141">
                  <c:v>-2.7637734974266401E-2</c:v>
                </c:pt>
                <c:pt idx="142">
                  <c:v>-1.7958516359746001E-2</c:v>
                </c:pt>
                <c:pt idx="143">
                  <c:v>5.5530633055918301E-2</c:v>
                </c:pt>
                <c:pt idx="144">
                  <c:v>-1.9851606375019398E-2</c:v>
                </c:pt>
                <c:pt idx="145">
                  <c:v>2.2919013324993499E-3</c:v>
                </c:pt>
                <c:pt idx="146">
                  <c:v>4.4235979467981898E-2</c:v>
                </c:pt>
                <c:pt idx="147">
                  <c:v>3.9781917607354798E-2</c:v>
                </c:pt>
                <c:pt idx="148">
                  <c:v>-4.6528289254661502E-3</c:v>
                </c:pt>
                <c:pt idx="149">
                  <c:v>-2.2039357407746901E-2</c:v>
                </c:pt>
                <c:pt idx="150">
                  <c:v>-5.1147807632843803E-3</c:v>
                </c:pt>
                <c:pt idx="151">
                  <c:v>1.13998923687815E-2</c:v>
                </c:pt>
                <c:pt idx="152">
                  <c:v>3.9025968421851298E-2</c:v>
                </c:pt>
                <c:pt idx="153">
                  <c:v>3.39981422351808E-2</c:v>
                </c:pt>
                <c:pt idx="154">
                  <c:v>6.2822492520634099E-2</c:v>
                </c:pt>
                <c:pt idx="155">
                  <c:v>-2.0021283572761301E-2</c:v>
                </c:pt>
                <c:pt idx="156">
                  <c:v>-2.7797636180592701E-2</c:v>
                </c:pt>
                <c:pt idx="157">
                  <c:v>-2.33136191023041E-2</c:v>
                </c:pt>
                <c:pt idx="158">
                  <c:v>-1.3584928365277599E-2</c:v>
                </c:pt>
                <c:pt idx="159">
                  <c:v>-2.53209345492309E-2</c:v>
                </c:pt>
                <c:pt idx="160">
                  <c:v>-2.3591969573258299E-2</c:v>
                </c:pt>
                <c:pt idx="161">
                  <c:v>-2.7022569630110099E-2</c:v>
                </c:pt>
                <c:pt idx="162">
                  <c:v>-6.43467208142937E-3</c:v>
                </c:pt>
                <c:pt idx="163">
                  <c:v>-9.6311382649482396E-3</c:v>
                </c:pt>
                <c:pt idx="164">
                  <c:v>-2.9649150315014101E-2</c:v>
                </c:pt>
                <c:pt idx="165">
                  <c:v>-1.16567574391396E-2</c:v>
                </c:pt>
                <c:pt idx="166">
                  <c:v>-2.4614918948183899E-2</c:v>
                </c:pt>
                <c:pt idx="167">
                  <c:v>-2.1413480960292601E-2</c:v>
                </c:pt>
                <c:pt idx="168">
                  <c:v>9.8501946059445494E-3</c:v>
                </c:pt>
                <c:pt idx="169">
                  <c:v>-3.8025409265534001E-3</c:v>
                </c:pt>
                <c:pt idx="170">
                  <c:v>-2.0609955025877699E-2</c:v>
                </c:pt>
                <c:pt idx="171">
                  <c:v>-3.0877923183913001E-3</c:v>
                </c:pt>
                <c:pt idx="172">
                  <c:v>-4.2751344665085903E-3</c:v>
                </c:pt>
                <c:pt idx="173">
                  <c:v>1.0272091324478601E-2</c:v>
                </c:pt>
                <c:pt idx="174">
                  <c:v>-7.3517751143472405E-4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73-4670-94C6-80ACCBBCD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MOG B*/MOG A*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1.00650546826212</c:v>
                </c:pt>
                <c:pt idx="1">
                  <c:v>1.00650546826212</c:v>
                </c:pt>
                <c:pt idx="2">
                  <c:v>1.00650546826212</c:v>
                </c:pt>
                <c:pt idx="3">
                  <c:v>1.00650546826212</c:v>
                </c:pt>
                <c:pt idx="4">
                  <c:v>1.00650546826212</c:v>
                </c:pt>
                <c:pt idx="5">
                  <c:v>1.00650546826212</c:v>
                </c:pt>
                <c:pt idx="6">
                  <c:v>1.00650546826212</c:v>
                </c:pt>
                <c:pt idx="7">
                  <c:v>1.00650546826212</c:v>
                </c:pt>
                <c:pt idx="8">
                  <c:v>1.00650546826212</c:v>
                </c:pt>
                <c:pt idx="9">
                  <c:v>1.00650546826212</c:v>
                </c:pt>
                <c:pt idx="10">
                  <c:v>1.00650546826212</c:v>
                </c:pt>
                <c:pt idx="11">
                  <c:v>1.00650546826212</c:v>
                </c:pt>
                <c:pt idx="12">
                  <c:v>1.00650546826212</c:v>
                </c:pt>
                <c:pt idx="13">
                  <c:v>1.00650546826212</c:v>
                </c:pt>
                <c:pt idx="14">
                  <c:v>1.00650546826212</c:v>
                </c:pt>
                <c:pt idx="15">
                  <c:v>1.00650546826212</c:v>
                </c:pt>
                <c:pt idx="16">
                  <c:v>1.00650546826212</c:v>
                </c:pt>
                <c:pt idx="17">
                  <c:v>1.00650546826212</c:v>
                </c:pt>
                <c:pt idx="18">
                  <c:v>1.00650546826212</c:v>
                </c:pt>
                <c:pt idx="19">
                  <c:v>1.00650546826212</c:v>
                </c:pt>
                <c:pt idx="20">
                  <c:v>1.00650546826212</c:v>
                </c:pt>
                <c:pt idx="21">
                  <c:v>1.00650546826212</c:v>
                </c:pt>
                <c:pt idx="22">
                  <c:v>1.00650546826212</c:v>
                </c:pt>
                <c:pt idx="23">
                  <c:v>1.00650546826212</c:v>
                </c:pt>
                <c:pt idx="24">
                  <c:v>1.00650546826212</c:v>
                </c:pt>
                <c:pt idx="25">
                  <c:v>1.00650546826212</c:v>
                </c:pt>
                <c:pt idx="26">
                  <c:v>1.00650546826212</c:v>
                </c:pt>
                <c:pt idx="27">
                  <c:v>1.00650546826212</c:v>
                </c:pt>
                <c:pt idx="28">
                  <c:v>1.00650546826212</c:v>
                </c:pt>
                <c:pt idx="29">
                  <c:v>1.00650546826212</c:v>
                </c:pt>
                <c:pt idx="30">
                  <c:v>1.00650546826212</c:v>
                </c:pt>
                <c:pt idx="31">
                  <c:v>1.00650546826212</c:v>
                </c:pt>
                <c:pt idx="32">
                  <c:v>1.00650546826212</c:v>
                </c:pt>
                <c:pt idx="33">
                  <c:v>1.00650546826212</c:v>
                </c:pt>
                <c:pt idx="34">
                  <c:v>1.00650546826212</c:v>
                </c:pt>
                <c:pt idx="35">
                  <c:v>1.00650546826212</c:v>
                </c:pt>
                <c:pt idx="36">
                  <c:v>1.00650546826212</c:v>
                </c:pt>
                <c:pt idx="37">
                  <c:v>1.00650546826212</c:v>
                </c:pt>
                <c:pt idx="38">
                  <c:v>1.00650546826212</c:v>
                </c:pt>
                <c:pt idx="39">
                  <c:v>1.00650546826212</c:v>
                </c:pt>
                <c:pt idx="40">
                  <c:v>1.00650546826212</c:v>
                </c:pt>
                <c:pt idx="41">
                  <c:v>1.00650546826212</c:v>
                </c:pt>
                <c:pt idx="42">
                  <c:v>1.00650546826212</c:v>
                </c:pt>
                <c:pt idx="43">
                  <c:v>1.00650546826212</c:v>
                </c:pt>
                <c:pt idx="44">
                  <c:v>1.00650546826212</c:v>
                </c:pt>
                <c:pt idx="45">
                  <c:v>1.00650546826212</c:v>
                </c:pt>
                <c:pt idx="46">
                  <c:v>1.00650546826212</c:v>
                </c:pt>
                <c:pt idx="47">
                  <c:v>1.00650546826212</c:v>
                </c:pt>
                <c:pt idx="48">
                  <c:v>1.00650546826212</c:v>
                </c:pt>
                <c:pt idx="49">
                  <c:v>1.00650546826212</c:v>
                </c:pt>
                <c:pt idx="50">
                  <c:v>1.00650546826212</c:v>
                </c:pt>
                <c:pt idx="51">
                  <c:v>1.00650546826212</c:v>
                </c:pt>
                <c:pt idx="52">
                  <c:v>1.00650546826212</c:v>
                </c:pt>
                <c:pt idx="53">
                  <c:v>1.00650546826212</c:v>
                </c:pt>
                <c:pt idx="54">
                  <c:v>1.00650546826212</c:v>
                </c:pt>
                <c:pt idx="55">
                  <c:v>1.00650546826212</c:v>
                </c:pt>
                <c:pt idx="56">
                  <c:v>1.00650546826212</c:v>
                </c:pt>
                <c:pt idx="57">
                  <c:v>1.00650546826212</c:v>
                </c:pt>
                <c:pt idx="58">
                  <c:v>1.00650546826212</c:v>
                </c:pt>
                <c:pt idx="59">
                  <c:v>1.00650546826212</c:v>
                </c:pt>
                <c:pt idx="60">
                  <c:v>1.00650546826212</c:v>
                </c:pt>
                <c:pt idx="61">
                  <c:v>1.00650546826212</c:v>
                </c:pt>
                <c:pt idx="62">
                  <c:v>1.00650546826212</c:v>
                </c:pt>
                <c:pt idx="63">
                  <c:v>1.00650546826212</c:v>
                </c:pt>
                <c:pt idx="64">
                  <c:v>1.00650546826212</c:v>
                </c:pt>
                <c:pt idx="65">
                  <c:v>1.00650546826212</c:v>
                </c:pt>
                <c:pt idx="66">
                  <c:v>1.00650546826212</c:v>
                </c:pt>
                <c:pt idx="67">
                  <c:v>1.00650546826212</c:v>
                </c:pt>
                <c:pt idx="68">
                  <c:v>1.00650546826212</c:v>
                </c:pt>
                <c:pt idx="69">
                  <c:v>1.00650546826212</c:v>
                </c:pt>
                <c:pt idx="70">
                  <c:v>1.00650546826212</c:v>
                </c:pt>
                <c:pt idx="71">
                  <c:v>1.00650546826212</c:v>
                </c:pt>
                <c:pt idx="72">
                  <c:v>1.00650546826212</c:v>
                </c:pt>
                <c:pt idx="73">
                  <c:v>1.00650546826212</c:v>
                </c:pt>
                <c:pt idx="74">
                  <c:v>1.00650546826212</c:v>
                </c:pt>
                <c:pt idx="75">
                  <c:v>1.00650546826212</c:v>
                </c:pt>
                <c:pt idx="76">
                  <c:v>1.00650546826212</c:v>
                </c:pt>
                <c:pt idx="77">
                  <c:v>1.00650546826212</c:v>
                </c:pt>
                <c:pt idx="78">
                  <c:v>1.00650546826212</c:v>
                </c:pt>
                <c:pt idx="79">
                  <c:v>1.00650546826212</c:v>
                </c:pt>
                <c:pt idx="80">
                  <c:v>1.00650546826212</c:v>
                </c:pt>
                <c:pt idx="81">
                  <c:v>1.00650546826212</c:v>
                </c:pt>
                <c:pt idx="82">
                  <c:v>1.00650546826212</c:v>
                </c:pt>
                <c:pt idx="83">
                  <c:v>1.00650546826212</c:v>
                </c:pt>
                <c:pt idx="84">
                  <c:v>1.00650546826212</c:v>
                </c:pt>
                <c:pt idx="85">
                  <c:v>1.00650546826212</c:v>
                </c:pt>
                <c:pt idx="86">
                  <c:v>1.00650546826212</c:v>
                </c:pt>
                <c:pt idx="87">
                  <c:v>1.00650546826212</c:v>
                </c:pt>
                <c:pt idx="88">
                  <c:v>1.00650546826212</c:v>
                </c:pt>
                <c:pt idx="89">
                  <c:v>1.00650546826212</c:v>
                </c:pt>
                <c:pt idx="90">
                  <c:v>1.00650546826212</c:v>
                </c:pt>
                <c:pt idx="91">
                  <c:v>1.00650546826212</c:v>
                </c:pt>
                <c:pt idx="92">
                  <c:v>1.00650546826212</c:v>
                </c:pt>
                <c:pt idx="93">
                  <c:v>1.00650546826212</c:v>
                </c:pt>
                <c:pt idx="94">
                  <c:v>1.00650546826212</c:v>
                </c:pt>
                <c:pt idx="95">
                  <c:v>1.00650546826212</c:v>
                </c:pt>
                <c:pt idx="96">
                  <c:v>1.00650546826212</c:v>
                </c:pt>
                <c:pt idx="97">
                  <c:v>1.00650546826212</c:v>
                </c:pt>
                <c:pt idx="98">
                  <c:v>1.00650546826212</c:v>
                </c:pt>
                <c:pt idx="99">
                  <c:v>1.00650546826212</c:v>
                </c:pt>
                <c:pt idx="100">
                  <c:v>1.00650546826212</c:v>
                </c:pt>
                <c:pt idx="101">
                  <c:v>1.00650546826212</c:v>
                </c:pt>
                <c:pt idx="102">
                  <c:v>1.00650546826212</c:v>
                </c:pt>
                <c:pt idx="103">
                  <c:v>1.00650546826212</c:v>
                </c:pt>
                <c:pt idx="104">
                  <c:v>1.00650546826212</c:v>
                </c:pt>
                <c:pt idx="105">
                  <c:v>1.00650546826212</c:v>
                </c:pt>
                <c:pt idx="106">
                  <c:v>1.00650546826212</c:v>
                </c:pt>
                <c:pt idx="107">
                  <c:v>1.00650546826212</c:v>
                </c:pt>
                <c:pt idx="108">
                  <c:v>1.00650546826212</c:v>
                </c:pt>
                <c:pt idx="109">
                  <c:v>1.00650546826212</c:v>
                </c:pt>
                <c:pt idx="110">
                  <c:v>1.00650546826212</c:v>
                </c:pt>
                <c:pt idx="111">
                  <c:v>1.00650546826212</c:v>
                </c:pt>
                <c:pt idx="112">
                  <c:v>1.00650546826212</c:v>
                </c:pt>
                <c:pt idx="113">
                  <c:v>1.00650546826212</c:v>
                </c:pt>
                <c:pt idx="114">
                  <c:v>1.00650546826212</c:v>
                </c:pt>
                <c:pt idx="115">
                  <c:v>1.00650546826212</c:v>
                </c:pt>
                <c:pt idx="116">
                  <c:v>1.00650546826212</c:v>
                </c:pt>
                <c:pt idx="117">
                  <c:v>1.00650546826212</c:v>
                </c:pt>
                <c:pt idx="118">
                  <c:v>1.00650546826212</c:v>
                </c:pt>
                <c:pt idx="119">
                  <c:v>1.00650546826212</c:v>
                </c:pt>
                <c:pt idx="120">
                  <c:v>1.00650546826212</c:v>
                </c:pt>
                <c:pt idx="121">
                  <c:v>1.00650546826212</c:v>
                </c:pt>
                <c:pt idx="122">
                  <c:v>1.00650546826212</c:v>
                </c:pt>
                <c:pt idx="123">
                  <c:v>1.00650546826212</c:v>
                </c:pt>
                <c:pt idx="124">
                  <c:v>1.00650546826212</c:v>
                </c:pt>
                <c:pt idx="125">
                  <c:v>1.00650546826212</c:v>
                </c:pt>
                <c:pt idx="126">
                  <c:v>1.00650546826212</c:v>
                </c:pt>
                <c:pt idx="127">
                  <c:v>1.00650546826212</c:v>
                </c:pt>
                <c:pt idx="128">
                  <c:v>1.00650546826212</c:v>
                </c:pt>
                <c:pt idx="129">
                  <c:v>1.00650546826212</c:v>
                </c:pt>
                <c:pt idx="130">
                  <c:v>1.00650546826212</c:v>
                </c:pt>
                <c:pt idx="131">
                  <c:v>1.00650546826212</c:v>
                </c:pt>
                <c:pt idx="132">
                  <c:v>1.00650546826212</c:v>
                </c:pt>
                <c:pt idx="133">
                  <c:v>1.00650546826212</c:v>
                </c:pt>
                <c:pt idx="134">
                  <c:v>1.00650546826212</c:v>
                </c:pt>
                <c:pt idx="135">
                  <c:v>1.00650546826212</c:v>
                </c:pt>
                <c:pt idx="136">
                  <c:v>1.00650546826212</c:v>
                </c:pt>
                <c:pt idx="137">
                  <c:v>1.00650546826212</c:v>
                </c:pt>
                <c:pt idx="138">
                  <c:v>1.00650546826212</c:v>
                </c:pt>
                <c:pt idx="139">
                  <c:v>1.00650546826212</c:v>
                </c:pt>
                <c:pt idx="140">
                  <c:v>1.00650546826212</c:v>
                </c:pt>
                <c:pt idx="141">
                  <c:v>1.00650546826212</c:v>
                </c:pt>
                <c:pt idx="142">
                  <c:v>1.00650546826212</c:v>
                </c:pt>
                <c:pt idx="143">
                  <c:v>1.00650546826212</c:v>
                </c:pt>
                <c:pt idx="144">
                  <c:v>1.00650546826212</c:v>
                </c:pt>
                <c:pt idx="145">
                  <c:v>1.00650546826212</c:v>
                </c:pt>
                <c:pt idx="146">
                  <c:v>1.00650546826212</c:v>
                </c:pt>
                <c:pt idx="147">
                  <c:v>1.00650546826212</c:v>
                </c:pt>
                <c:pt idx="148">
                  <c:v>1.00650546826212</c:v>
                </c:pt>
                <c:pt idx="149">
                  <c:v>1.00650546826212</c:v>
                </c:pt>
                <c:pt idx="150">
                  <c:v>1.00650546826212</c:v>
                </c:pt>
                <c:pt idx="151">
                  <c:v>1.00650546826212</c:v>
                </c:pt>
                <c:pt idx="152">
                  <c:v>1.00650546826212</c:v>
                </c:pt>
                <c:pt idx="153">
                  <c:v>1.00650546826212</c:v>
                </c:pt>
                <c:pt idx="154">
                  <c:v>1.00650546826212</c:v>
                </c:pt>
                <c:pt idx="155">
                  <c:v>1.00650546826212</c:v>
                </c:pt>
                <c:pt idx="156">
                  <c:v>1.00650546826212</c:v>
                </c:pt>
                <c:pt idx="157">
                  <c:v>1.00650546826212</c:v>
                </c:pt>
                <c:pt idx="158">
                  <c:v>1.00650546826212</c:v>
                </c:pt>
                <c:pt idx="159">
                  <c:v>1.00650546826212</c:v>
                </c:pt>
                <c:pt idx="160">
                  <c:v>1.00650546826212</c:v>
                </c:pt>
                <c:pt idx="161">
                  <c:v>1.00650546826212</c:v>
                </c:pt>
                <c:pt idx="162">
                  <c:v>1.00650546826212</c:v>
                </c:pt>
                <c:pt idx="163">
                  <c:v>1.00650546826212</c:v>
                </c:pt>
                <c:pt idx="164">
                  <c:v>1.00650546826212</c:v>
                </c:pt>
                <c:pt idx="165">
                  <c:v>1.00650546826212</c:v>
                </c:pt>
                <c:pt idx="166">
                  <c:v>1.00650546826212</c:v>
                </c:pt>
                <c:pt idx="167">
                  <c:v>1.00650546826212</c:v>
                </c:pt>
                <c:pt idx="168">
                  <c:v>1.00650546826212</c:v>
                </c:pt>
                <c:pt idx="169">
                  <c:v>1.00650546826212</c:v>
                </c:pt>
                <c:pt idx="170">
                  <c:v>1.00650546826212</c:v>
                </c:pt>
                <c:pt idx="171">
                  <c:v>1.00650546826212</c:v>
                </c:pt>
                <c:pt idx="172">
                  <c:v>1.00650546826212</c:v>
                </c:pt>
                <c:pt idx="173">
                  <c:v>1.00650546826212</c:v>
                </c:pt>
                <c:pt idx="174">
                  <c:v>1.00650546826212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3D-46C3-B3D5-ACF18B9E385D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MOG B*/MOG A*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0.988473905932436</c:v>
                </c:pt>
                <c:pt idx="10">
                  <c:v>0.99192010139286502</c:v>
                </c:pt>
                <c:pt idx="11">
                  <c:v>0.99454541257316398</c:v>
                </c:pt>
                <c:pt idx="12">
                  <c:v>0.99548587479677197</c:v>
                </c:pt>
                <c:pt idx="13">
                  <c:v>0.99950612098604597</c:v>
                </c:pt>
                <c:pt idx="14">
                  <c:v>1.0037100225306099</c:v>
                </c:pt>
                <c:pt idx="15">
                  <c:v>1.0079963368327201</c:v>
                </c:pt>
                <c:pt idx="16">
                  <c:v>1.0102402156950501</c:v>
                </c:pt>
                <c:pt idx="17">
                  <c:v>1.0130693376557101</c:v>
                </c:pt>
                <c:pt idx="18">
                  <c:v>1.01546128181739</c:v>
                </c:pt>
                <c:pt idx="19">
                  <c:v>1.0148153815890499</c:v>
                </c:pt>
                <c:pt idx="20">
                  <c:v>1.0070994339654999</c:v>
                </c:pt>
                <c:pt idx="21">
                  <c:v>1.00284522486526</c:v>
                </c:pt>
                <c:pt idx="22">
                  <c:v>1.0053691509168701</c:v>
                </c:pt>
                <c:pt idx="23">
                  <c:v>1.0027213722719699</c:v>
                </c:pt>
                <c:pt idx="24">
                  <c:v>1.0039917739597199</c:v>
                </c:pt>
                <c:pt idx="25">
                  <c:v>1.0018638461071201</c:v>
                </c:pt>
                <c:pt idx="26">
                  <c:v>1.0000139168219799</c:v>
                </c:pt>
                <c:pt idx="27">
                  <c:v>0.99812633778821902</c:v>
                </c:pt>
                <c:pt idx="28">
                  <c:v>0.99639213951037098</c:v>
                </c:pt>
                <c:pt idx="29">
                  <c:v>1.0003022851571</c:v>
                </c:pt>
                <c:pt idx="30">
                  <c:v>1.0072687480756399</c:v>
                </c:pt>
                <c:pt idx="31">
                  <c:v>1.0077583891084301</c:v>
                </c:pt>
                <c:pt idx="32">
                  <c:v>1.0016648242419901</c:v>
                </c:pt>
                <c:pt idx="33">
                  <c:v>1.0017324198898101</c:v>
                </c:pt>
                <c:pt idx="34">
                  <c:v>0.99907501899805196</c:v>
                </c:pt>
                <c:pt idx="35">
                  <c:v>0.99750433257803595</c:v>
                </c:pt>
                <c:pt idx="36">
                  <c:v>0.99631296047723905</c:v>
                </c:pt>
                <c:pt idx="37">
                  <c:v>0.99640052249786903</c:v>
                </c:pt>
                <c:pt idx="38">
                  <c:v>0.99777274240654201</c:v>
                </c:pt>
                <c:pt idx="39">
                  <c:v>0.997003069301996</c:v>
                </c:pt>
                <c:pt idx="40">
                  <c:v>0.99756360247504805</c:v>
                </c:pt>
                <c:pt idx="41">
                  <c:v>0.99848158770477402</c:v>
                </c:pt>
                <c:pt idx="42">
                  <c:v>1.00958584637173</c:v>
                </c:pt>
                <c:pt idx="43">
                  <c:v>1.0182921253578401</c:v>
                </c:pt>
                <c:pt idx="44">
                  <c:v>1.02714989197277</c:v>
                </c:pt>
                <c:pt idx="45">
                  <c:v>1.0377892186275</c:v>
                </c:pt>
                <c:pt idx="46">
                  <c:v>1.0375406091981401</c:v>
                </c:pt>
                <c:pt idx="47">
                  <c:v>1.03823150239221</c:v>
                </c:pt>
                <c:pt idx="48">
                  <c:v>1.0364679751080099</c:v>
                </c:pt>
                <c:pt idx="49">
                  <c:v>1.0375554852083699</c:v>
                </c:pt>
                <c:pt idx="50">
                  <c:v>1.0365367245107999</c:v>
                </c:pt>
                <c:pt idx="51">
                  <c:v>1.03531362612718</c:v>
                </c:pt>
                <c:pt idx="52">
                  <c:v>1.0286523438255399</c:v>
                </c:pt>
                <c:pt idx="53">
                  <c:v>1.0254916736805</c:v>
                </c:pt>
                <c:pt idx="54">
                  <c:v>1.0202359158151999</c:v>
                </c:pt>
                <c:pt idx="55">
                  <c:v>1.0125467685565399</c:v>
                </c:pt>
                <c:pt idx="56">
                  <c:v>1.0135197949603201</c:v>
                </c:pt>
                <c:pt idx="57">
                  <c:v>1.0175974148394999</c:v>
                </c:pt>
                <c:pt idx="58">
                  <c:v>1.02363793863959</c:v>
                </c:pt>
                <c:pt idx="59">
                  <c:v>1.0308574330054101</c:v>
                </c:pt>
                <c:pt idx="60">
                  <c:v>1.03174386847198</c:v>
                </c:pt>
                <c:pt idx="61">
                  <c:v>1.03003170950029</c:v>
                </c:pt>
                <c:pt idx="62">
                  <c:v>1.0321899675621</c:v>
                </c:pt>
                <c:pt idx="63">
                  <c:v>1.0268101379761201</c:v>
                </c:pt>
                <c:pt idx="64">
                  <c:v>1.0235699444301201</c:v>
                </c:pt>
                <c:pt idx="65">
                  <c:v>1.0173924273493</c:v>
                </c:pt>
                <c:pt idx="66">
                  <c:v>1.01656315396192</c:v>
                </c:pt>
                <c:pt idx="67">
                  <c:v>1.0113931332294801</c:v>
                </c:pt>
                <c:pt idx="68">
                  <c:v>1.00509525883079</c:v>
                </c:pt>
                <c:pt idx="69">
                  <c:v>0.99724116943358598</c:v>
                </c:pt>
                <c:pt idx="70">
                  <c:v>0.99582172970092198</c:v>
                </c:pt>
                <c:pt idx="71">
                  <c:v>0.99808158824383197</c:v>
                </c:pt>
                <c:pt idx="72">
                  <c:v>0.99669479481186696</c:v>
                </c:pt>
                <c:pt idx="73">
                  <c:v>0.99822519928824105</c:v>
                </c:pt>
                <c:pt idx="74">
                  <c:v>0.99806469188455105</c:v>
                </c:pt>
                <c:pt idx="75">
                  <c:v>1.006259521654</c:v>
                </c:pt>
                <c:pt idx="76">
                  <c:v>1.01207568362478</c:v>
                </c:pt>
                <c:pt idx="77">
                  <c:v>1.01415062388689</c:v>
                </c:pt>
                <c:pt idx="78">
                  <c:v>1.0159643415991799</c:v>
                </c:pt>
                <c:pt idx="79">
                  <c:v>1.01813073222938</c:v>
                </c:pt>
                <c:pt idx="80">
                  <c:v>1.02259541387046</c:v>
                </c:pt>
                <c:pt idx="81">
                  <c:v>1.0266355132168301</c:v>
                </c:pt>
                <c:pt idx="82">
                  <c:v>1.0254844884452099</c:v>
                </c:pt>
                <c:pt idx="83">
                  <c:v>1.02236511926726</c:v>
                </c:pt>
                <c:pt idx="84">
                  <c:v>1.02293820346978</c:v>
                </c:pt>
                <c:pt idx="85">
                  <c:v>1.0204754811326899</c:v>
                </c:pt>
                <c:pt idx="86">
                  <c:v>1.0173017990005699</c:v>
                </c:pt>
                <c:pt idx="87">
                  <c:v>1.0171699891536301</c:v>
                </c:pt>
                <c:pt idx="88">
                  <c:v>1.01844625306563</c:v>
                </c:pt>
                <c:pt idx="89">
                  <c:v>1.01675479756668</c:v>
                </c:pt>
                <c:pt idx="90">
                  <c:v>1.0143564445445199</c:v>
                </c:pt>
                <c:pt idx="91">
                  <c:v>1.0098540577153801</c:v>
                </c:pt>
                <c:pt idx="92">
                  <c:v>1.0123237311437301</c:v>
                </c:pt>
                <c:pt idx="93">
                  <c:v>1.0153270331519499</c:v>
                </c:pt>
                <c:pt idx="94">
                  <c:v>1.0167198859717499</c:v>
                </c:pt>
                <c:pt idx="95">
                  <c:v>1.0136464764942901</c:v>
                </c:pt>
                <c:pt idx="96">
                  <c:v>1.0122994493531201</c:v>
                </c:pt>
                <c:pt idx="97">
                  <c:v>1.01017216005418</c:v>
                </c:pt>
                <c:pt idx="98">
                  <c:v>1.0078079533389499</c:v>
                </c:pt>
                <c:pt idx="99">
                  <c:v>1.00758084159059</c:v>
                </c:pt>
                <c:pt idx="100">
                  <c:v>1.0063823829064</c:v>
                </c:pt>
                <c:pt idx="101">
                  <c:v>1.00682752346402</c:v>
                </c:pt>
                <c:pt idx="102">
                  <c:v>1.0015500343528501</c:v>
                </c:pt>
                <c:pt idx="103">
                  <c:v>1.0003284248172699</c:v>
                </c:pt>
                <c:pt idx="104">
                  <c:v>0.99826106300781803</c:v>
                </c:pt>
                <c:pt idx="105">
                  <c:v>1.00065367788079</c:v>
                </c:pt>
                <c:pt idx="106">
                  <c:v>0.98691100576621904</c:v>
                </c:pt>
                <c:pt idx="107">
                  <c:v>0.97229369843097002</c:v>
                </c:pt>
                <c:pt idx="108">
                  <c:v>0.97007433474967897</c:v>
                </c:pt>
                <c:pt idx="109">
                  <c:v>0.97377571365225701</c:v>
                </c:pt>
                <c:pt idx="110">
                  <c:v>0.97228136140714305</c:v>
                </c:pt>
                <c:pt idx="111">
                  <c:v>0.97339173150484504</c:v>
                </c:pt>
                <c:pt idx="112">
                  <c:v>0.976191220791506</c:v>
                </c:pt>
                <c:pt idx="113">
                  <c:v>0.97604102742313303</c:v>
                </c:pt>
                <c:pt idx="114">
                  <c:v>0.97584267614806097</c:v>
                </c:pt>
                <c:pt idx="115">
                  <c:v>0.98073116630456902</c:v>
                </c:pt>
                <c:pt idx="116">
                  <c:v>0.996914810102705</c:v>
                </c:pt>
                <c:pt idx="117">
                  <c:v>1.0143070712066</c:v>
                </c:pt>
                <c:pt idx="118">
                  <c:v>1.0163629878424301</c:v>
                </c:pt>
                <c:pt idx="119">
                  <c:v>1.0131084278312901</c:v>
                </c:pt>
                <c:pt idx="120">
                  <c:v>1.0141059425971799</c:v>
                </c:pt>
                <c:pt idx="121">
                  <c:v>1.0125997780982701</c:v>
                </c:pt>
                <c:pt idx="122">
                  <c:v>1.01300874891412</c:v>
                </c:pt>
                <c:pt idx="123">
                  <c:v>1.01378323989085</c:v>
                </c:pt>
                <c:pt idx="124">
                  <c:v>1.01563248502555</c:v>
                </c:pt>
                <c:pt idx="125">
                  <c:v>1.01133045579916</c:v>
                </c:pt>
                <c:pt idx="126">
                  <c:v>1.0121570668783799</c:v>
                </c:pt>
                <c:pt idx="127">
                  <c:v>1.00867709865</c:v>
                </c:pt>
                <c:pt idx="128">
                  <c:v>1.0073864662827801</c:v>
                </c:pt>
                <c:pt idx="129">
                  <c:v>1.00748280649491</c:v>
                </c:pt>
                <c:pt idx="130">
                  <c:v>1.0102198023841</c:v>
                </c:pt>
                <c:pt idx="131">
                  <c:v>1.01012194985837</c:v>
                </c:pt>
                <c:pt idx="132">
                  <c:v>1.0076752920547201</c:v>
                </c:pt>
                <c:pt idx="133">
                  <c:v>1.0104670772336799</c:v>
                </c:pt>
                <c:pt idx="134">
                  <c:v>1.00954659752364</c:v>
                </c:pt>
                <c:pt idx="135">
                  <c:v>1.00856010304309</c:v>
                </c:pt>
                <c:pt idx="136">
                  <c:v>1.0022015220521701</c:v>
                </c:pt>
                <c:pt idx="137">
                  <c:v>1.0023624067010899</c:v>
                </c:pt>
                <c:pt idx="138">
                  <c:v>1.00149779037054</c:v>
                </c:pt>
                <c:pt idx="139">
                  <c:v>0.99884252411906405</c:v>
                </c:pt>
                <c:pt idx="140">
                  <c:v>0.99894399950870205</c:v>
                </c:pt>
                <c:pt idx="141">
                  <c:v>1.0027026624657001</c:v>
                </c:pt>
                <c:pt idx="142">
                  <c:v>1.0068309300165601</c:v>
                </c:pt>
                <c:pt idx="143">
                  <c:v>0.99865374760212999</c:v>
                </c:pt>
                <c:pt idx="144">
                  <c:v>1.0005111802270299</c:v>
                </c:pt>
                <c:pt idx="145">
                  <c:v>1.00084460235249</c:v>
                </c:pt>
                <c:pt idx="146">
                  <c:v>0.999350255272624</c:v>
                </c:pt>
                <c:pt idx="147">
                  <c:v>0.99542295772289702</c:v>
                </c:pt>
                <c:pt idx="148">
                  <c:v>0.99732329807233699</c:v>
                </c:pt>
                <c:pt idx="149">
                  <c:v>1.0011518898888001</c:v>
                </c:pt>
                <c:pt idx="150">
                  <c:v>0.999098636411483</c:v>
                </c:pt>
                <c:pt idx="151">
                  <c:v>0.99459501152026397</c:v>
                </c:pt>
                <c:pt idx="152">
                  <c:v>0.98817271592349998</c:v>
                </c:pt>
                <c:pt idx="153">
                  <c:v>0.98930414233827302</c:v>
                </c:pt>
                <c:pt idx="154">
                  <c:v>0.980179533902653</c:v>
                </c:pt>
                <c:pt idx="155">
                  <c:v>0.98094404040912198</c:v>
                </c:pt>
                <c:pt idx="156">
                  <c:v>0.98670386177992997</c:v>
                </c:pt>
                <c:pt idx="157">
                  <c:v>0.992174408635209</c:v>
                </c:pt>
                <c:pt idx="158">
                  <c:v>0.99255843848482705</c:v>
                </c:pt>
                <c:pt idx="159">
                  <c:v>0.99243583210508601</c:v>
                </c:pt>
                <c:pt idx="160">
                  <c:v>0.99398230288817402</c:v>
                </c:pt>
                <c:pt idx="161">
                  <c:v>0.997596247723888</c:v>
                </c:pt>
                <c:pt idx="162">
                  <c:v>1.0018062035486499</c:v>
                </c:pt>
                <c:pt idx="163">
                  <c:v>1.0058522042729401</c:v>
                </c:pt>
                <c:pt idx="164">
                  <c:v>1.0152664674540399</c:v>
                </c:pt>
                <c:pt idx="165">
                  <c:v>1.0151712775193</c:v>
                </c:pt>
                <c:pt idx="166">
                  <c:v>1.01558171478214</c:v>
                </c:pt>
                <c:pt idx="167">
                  <c:v>1.01621789758472</c:v>
                </c:pt>
                <c:pt idx="168">
                  <c:v>1.0149140671913901</c:v>
                </c:pt>
                <c:pt idx="169">
                  <c:v>1.0136245575701801</c:v>
                </c:pt>
                <c:pt idx="170">
                  <c:v>1.0139572893414901</c:v>
                </c:pt>
                <c:pt idx="171">
                  <c:v>1.01228108308158</c:v>
                </c:pt>
                <c:pt idx="172">
                  <c:v>1.01295290964284</c:v>
                </c:pt>
                <c:pt idx="173">
                  <c:v>1.01219950876411</c:v>
                </c:pt>
                <c:pt idx="174">
                  <c:v>1.01041646741841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3D-46C3-B3D5-ACF18B9E385D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MOG B*/MOG A*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1.00164464376074</c:v>
                </c:pt>
                <c:pt idx="20">
                  <c:v>0.99950976767918298</c:v>
                </c:pt>
                <c:pt idx="21">
                  <c:v>0.99869531871921602</c:v>
                </c:pt>
                <c:pt idx="22">
                  <c:v>1.0004275128568201</c:v>
                </c:pt>
                <c:pt idx="23">
                  <c:v>1.0011137466290001</c:v>
                </c:pt>
                <c:pt idx="24">
                  <c:v>1.0038508982451599</c:v>
                </c:pt>
                <c:pt idx="25">
                  <c:v>1.00493009146992</c:v>
                </c:pt>
                <c:pt idx="26">
                  <c:v>1.0051270662585099</c:v>
                </c:pt>
                <c:pt idx="27">
                  <c:v>1.0055978377219601</c:v>
                </c:pt>
                <c:pt idx="28">
                  <c:v>1.0059267106638801</c:v>
                </c:pt>
                <c:pt idx="29">
                  <c:v>1.0075588333730701</c:v>
                </c:pt>
                <c:pt idx="30">
                  <c:v>1.00718409102057</c:v>
                </c:pt>
                <c:pt idx="31">
                  <c:v>1.00530180698685</c:v>
                </c:pt>
                <c:pt idx="32">
                  <c:v>1.0035169875794301</c:v>
                </c:pt>
                <c:pt idx="33">
                  <c:v>1.00222689608089</c:v>
                </c:pt>
                <c:pt idx="34">
                  <c:v>1.00153339647888</c:v>
                </c:pt>
                <c:pt idx="35">
                  <c:v>0.99968408934258202</c:v>
                </c:pt>
                <c:pt idx="36">
                  <c:v>0.99816343864961199</c:v>
                </c:pt>
                <c:pt idx="37">
                  <c:v>0.99726343014304397</c:v>
                </c:pt>
                <c:pt idx="38">
                  <c:v>0.997082440958456</c:v>
                </c:pt>
                <c:pt idx="39">
                  <c:v>0.99865267722955198</c:v>
                </c:pt>
                <c:pt idx="40">
                  <c:v>1.00241617527534</c:v>
                </c:pt>
                <c:pt idx="41">
                  <c:v>1.0031199884066</c:v>
                </c:pt>
                <c:pt idx="42">
                  <c:v>1.00562533530686</c:v>
                </c:pt>
                <c:pt idx="43">
                  <c:v>1.0100122726238201</c:v>
                </c:pt>
                <c:pt idx="44">
                  <c:v>1.0131124554854101</c:v>
                </c:pt>
                <c:pt idx="45">
                  <c:v>1.0176467756027601</c:v>
                </c:pt>
                <c:pt idx="46">
                  <c:v>1.0169267848376899</c:v>
                </c:pt>
                <c:pt idx="47">
                  <c:v>1.01731601244504</c:v>
                </c:pt>
                <c:pt idx="48">
                  <c:v>1.0171203587572799</c:v>
                </c:pt>
                <c:pt idx="49">
                  <c:v>1.01727927725518</c:v>
                </c:pt>
                <c:pt idx="50">
                  <c:v>1.0170501634929201</c:v>
                </c:pt>
                <c:pt idx="51">
                  <c:v>1.0168976069159701</c:v>
                </c:pt>
                <c:pt idx="52">
                  <c:v>1.01911909509864</c:v>
                </c:pt>
                <c:pt idx="53">
                  <c:v>1.0218918995191699</c:v>
                </c:pt>
                <c:pt idx="54">
                  <c:v>1.0236929038939799</c:v>
                </c:pt>
                <c:pt idx="55">
                  <c:v>1.0251679935920199</c:v>
                </c:pt>
                <c:pt idx="56">
                  <c:v>1.0255302020792301</c:v>
                </c:pt>
                <c:pt idx="57">
                  <c:v>1.02791445861585</c:v>
                </c:pt>
                <c:pt idx="58">
                  <c:v>1.0300529568737999</c:v>
                </c:pt>
                <c:pt idx="59">
                  <c:v>1.03420645910689</c:v>
                </c:pt>
                <c:pt idx="60">
                  <c:v>1.0341402964913899</c:v>
                </c:pt>
                <c:pt idx="61">
                  <c:v>1.0326726678137299</c:v>
                </c:pt>
                <c:pt idx="62">
                  <c:v>1.0304211556938201</c:v>
                </c:pt>
                <c:pt idx="63">
                  <c:v>1.02615090582831</c:v>
                </c:pt>
                <c:pt idx="64">
                  <c:v>1.0219029301226601</c:v>
                </c:pt>
                <c:pt idx="65">
                  <c:v>1.0149695979529201</c:v>
                </c:pt>
                <c:pt idx="66">
                  <c:v>1.01504147446112</c:v>
                </c:pt>
                <c:pt idx="67">
                  <c:v>1.0144952740344899</c:v>
                </c:pt>
                <c:pt idx="68">
                  <c:v>1.01436659873519</c:v>
                </c:pt>
                <c:pt idx="69">
                  <c:v>1.0140493012195</c:v>
                </c:pt>
                <c:pt idx="70">
                  <c:v>1.0137827990864501</c:v>
                </c:pt>
                <c:pt idx="71">
                  <c:v>1.0140566488720599</c:v>
                </c:pt>
                <c:pt idx="72">
                  <c:v>1.01444238118698</c:v>
                </c:pt>
                <c:pt idx="73">
                  <c:v>1.01251766863218</c:v>
                </c:pt>
                <c:pt idx="74">
                  <c:v>1.0108173181573299</c:v>
                </c:pt>
                <c:pt idx="75">
                  <c:v>1.01182597450165</c:v>
                </c:pt>
                <c:pt idx="76">
                  <c:v>1.01431941879335</c:v>
                </c:pt>
                <c:pt idx="77">
                  <c:v>1.0127718785581801</c:v>
                </c:pt>
                <c:pt idx="78">
                  <c:v>1.0105298002149901</c:v>
                </c:pt>
                <c:pt idx="79">
                  <c:v>1.0076859508314799</c:v>
                </c:pt>
                <c:pt idx="80">
                  <c:v>1.00920857178569</c:v>
                </c:pt>
                <c:pt idx="81">
                  <c:v>1.0123585507303301</c:v>
                </c:pt>
                <c:pt idx="82">
                  <c:v>1.01108964162853</c:v>
                </c:pt>
                <c:pt idx="83">
                  <c:v>1.01029515927775</c:v>
                </c:pt>
                <c:pt idx="84">
                  <c:v>1.0105014476771601</c:v>
                </c:pt>
                <c:pt idx="85">
                  <c:v>1.0133675013933501</c:v>
                </c:pt>
                <c:pt idx="86">
                  <c:v>1.0146887413126799</c:v>
                </c:pt>
                <c:pt idx="87">
                  <c:v>1.0156603065202601</c:v>
                </c:pt>
                <c:pt idx="88">
                  <c:v>1.0172052973324099</c:v>
                </c:pt>
                <c:pt idx="89">
                  <c:v>1.01744276489803</c:v>
                </c:pt>
                <c:pt idx="90">
                  <c:v>1.0184759292074901</c:v>
                </c:pt>
                <c:pt idx="91">
                  <c:v>1.0182447854661001</c:v>
                </c:pt>
                <c:pt idx="92">
                  <c:v>1.01890410979447</c:v>
                </c:pt>
                <c:pt idx="93">
                  <c:v>1.0188460762096001</c:v>
                </c:pt>
                <c:pt idx="94">
                  <c:v>1.0198290447207701</c:v>
                </c:pt>
                <c:pt idx="95">
                  <c:v>1.0170609788134899</c:v>
                </c:pt>
                <c:pt idx="96">
                  <c:v>1.0148006241768499</c:v>
                </c:pt>
                <c:pt idx="97">
                  <c:v>1.0136710746038999</c:v>
                </c:pt>
                <c:pt idx="98">
                  <c:v>1.0131271032022899</c:v>
                </c:pt>
                <c:pt idx="99">
                  <c:v>1.0121678195786401</c:v>
                </c:pt>
                <c:pt idx="100">
                  <c:v>1.01036941372546</c:v>
                </c:pt>
                <c:pt idx="101">
                  <c:v>1.0083407905896999</c:v>
                </c:pt>
                <c:pt idx="102">
                  <c:v>1.0069368827482901</c:v>
                </c:pt>
                <c:pt idx="103">
                  <c:v>1.00782772898461</c:v>
                </c:pt>
                <c:pt idx="104">
                  <c:v>1.0074904744897799</c:v>
                </c:pt>
                <c:pt idx="105">
                  <c:v>1.0071500771875399</c:v>
                </c:pt>
                <c:pt idx="106">
                  <c:v>0.99960522755967396</c:v>
                </c:pt>
                <c:pt idx="107">
                  <c:v>0.991232929242575</c:v>
                </c:pt>
                <c:pt idx="108">
                  <c:v>0.98894114404431799</c:v>
                </c:pt>
                <c:pt idx="109">
                  <c:v>0.99067827762142802</c:v>
                </c:pt>
                <c:pt idx="110">
                  <c:v>0.98933187215677398</c:v>
                </c:pt>
                <c:pt idx="111">
                  <c:v>0.99010962748443299</c:v>
                </c:pt>
                <c:pt idx="112">
                  <c:v>0.98887062757217803</c:v>
                </c:pt>
                <c:pt idx="113">
                  <c:v>0.98818472612020403</c:v>
                </c:pt>
                <c:pt idx="114">
                  <c:v>0.987051869577939</c:v>
                </c:pt>
                <c:pt idx="115">
                  <c:v>0.99069242209268005</c:v>
                </c:pt>
                <c:pt idx="116">
                  <c:v>0.99191290793446196</c:v>
                </c:pt>
                <c:pt idx="117">
                  <c:v>0.99330038481878502</c:v>
                </c:pt>
                <c:pt idx="118">
                  <c:v>0.99321866129605496</c:v>
                </c:pt>
                <c:pt idx="119">
                  <c:v>0.99344207074177504</c:v>
                </c:pt>
                <c:pt idx="120">
                  <c:v>0.99319365200216503</c:v>
                </c:pt>
                <c:pt idx="121">
                  <c:v>0.99299575480156199</c:v>
                </c:pt>
                <c:pt idx="122">
                  <c:v>0.99459998485281498</c:v>
                </c:pt>
                <c:pt idx="123">
                  <c:v>0.99491213365699405</c:v>
                </c:pt>
                <c:pt idx="124">
                  <c:v>0.99573758058680695</c:v>
                </c:pt>
                <c:pt idx="125">
                  <c:v>0.99603081105186897</c:v>
                </c:pt>
                <c:pt idx="126">
                  <c:v>1.0045359384905399</c:v>
                </c:pt>
                <c:pt idx="127">
                  <c:v>1.0114920849283</c:v>
                </c:pt>
                <c:pt idx="128">
                  <c:v>1.0118747270626001</c:v>
                </c:pt>
                <c:pt idx="129">
                  <c:v>1.0102956171630999</c:v>
                </c:pt>
                <c:pt idx="130">
                  <c:v>1.01216287249064</c:v>
                </c:pt>
                <c:pt idx="131">
                  <c:v>1.01136086397832</c:v>
                </c:pt>
                <c:pt idx="132">
                  <c:v>1.01034202048442</c:v>
                </c:pt>
                <c:pt idx="133">
                  <c:v>1.0121251585622699</c:v>
                </c:pt>
                <c:pt idx="134">
                  <c:v>1.0125895412746</c:v>
                </c:pt>
                <c:pt idx="135">
                  <c:v>1.0099452794211301</c:v>
                </c:pt>
                <c:pt idx="136">
                  <c:v>1.00717929446527</c:v>
                </c:pt>
                <c:pt idx="137">
                  <c:v>1.0055197526755499</c:v>
                </c:pt>
                <c:pt idx="138">
                  <c:v>1.00444212832666</c:v>
                </c:pt>
                <c:pt idx="139">
                  <c:v>1.0031626653069801</c:v>
                </c:pt>
                <c:pt idx="140">
                  <c:v>1.0045819009464001</c:v>
                </c:pt>
                <c:pt idx="141">
                  <c:v>1.00641230616203</c:v>
                </c:pt>
                <c:pt idx="142">
                  <c:v>1.00725311103564</c:v>
                </c:pt>
                <c:pt idx="143">
                  <c:v>1.0045604124179</c:v>
                </c:pt>
                <c:pt idx="144">
                  <c:v>1.00502888887534</c:v>
                </c:pt>
                <c:pt idx="145">
                  <c:v>1.0047023526977901</c:v>
                </c:pt>
                <c:pt idx="146">
                  <c:v>1.0007758886623901</c:v>
                </c:pt>
                <c:pt idx="147">
                  <c:v>0.99889268221199801</c:v>
                </c:pt>
                <c:pt idx="148">
                  <c:v>0.99941054422144004</c:v>
                </c:pt>
                <c:pt idx="149">
                  <c:v>0.99999720700393402</c:v>
                </c:pt>
                <c:pt idx="150">
                  <c:v>0.99902131796009197</c:v>
                </c:pt>
                <c:pt idx="151">
                  <c:v>0.99864883699298301</c:v>
                </c:pt>
                <c:pt idx="152">
                  <c:v>0.99750182297003498</c:v>
                </c:pt>
                <c:pt idx="153">
                  <c:v>0.99397894497020201</c:v>
                </c:pt>
                <c:pt idx="154">
                  <c:v>0.99034535706484506</c:v>
                </c:pt>
                <c:pt idx="155">
                  <c:v>0.99089432138080702</c:v>
                </c:pt>
                <c:pt idx="156">
                  <c:v>0.99302705852627704</c:v>
                </c:pt>
                <c:pt idx="157">
                  <c:v>0.99379868317905296</c:v>
                </c:pt>
                <c:pt idx="158">
                  <c:v>0.99494086827858297</c:v>
                </c:pt>
                <c:pt idx="159">
                  <c:v>0.996793860996946</c:v>
                </c:pt>
                <c:pt idx="160">
                  <c:v>0.99654046964982801</c:v>
                </c:pt>
                <c:pt idx="161">
                  <c:v>0.99609562962207598</c:v>
                </c:pt>
                <c:pt idx="162">
                  <c:v>0.994989459736078</c:v>
                </c:pt>
                <c:pt idx="163">
                  <c:v>0.99757817330561105</c:v>
                </c:pt>
                <c:pt idx="164">
                  <c:v>0.99772300067835096</c:v>
                </c:pt>
                <c:pt idx="165">
                  <c:v>0.99805765896421295</c:v>
                </c:pt>
                <c:pt idx="166">
                  <c:v>1.00114278828103</c:v>
                </c:pt>
                <c:pt idx="167">
                  <c:v>1.0041961531099599</c:v>
                </c:pt>
                <c:pt idx="168">
                  <c:v>1.00373625283811</c:v>
                </c:pt>
                <c:pt idx="169">
                  <c:v>1.0030301948376299</c:v>
                </c:pt>
                <c:pt idx="170">
                  <c:v>1.0039697961148299</c:v>
                </c:pt>
                <c:pt idx="171">
                  <c:v>1.0049386654027299</c:v>
                </c:pt>
                <c:pt idx="172">
                  <c:v>1.00737955659574</c:v>
                </c:pt>
                <c:pt idx="173">
                  <c:v>1.0090258565185299</c:v>
                </c:pt>
                <c:pt idx="174">
                  <c:v>1.01284146743623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3D-46C3-B3D5-ACF18B9E3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MOG A x avg / MOG 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-2.6948566281392102E-3</c:v>
                </c:pt>
                <c:pt idx="2">
                  <c:v>1.7055775589712E-2</c:v>
                </c:pt>
                <c:pt idx="3">
                  <c:v>2.4170216145721402E-2</c:v>
                </c:pt>
                <c:pt idx="4">
                  <c:v>3.7298837531256103E-2</c:v>
                </c:pt>
                <c:pt idx="5">
                  <c:v>2.7424662002730499E-2</c:v>
                </c:pt>
                <c:pt idx="6">
                  <c:v>3.3405946095168E-3</c:v>
                </c:pt>
                <c:pt idx="7">
                  <c:v>4.4619345472389502E-3</c:v>
                </c:pt>
                <c:pt idx="8">
                  <c:v>6.0983596150009697E-3</c:v>
                </c:pt>
                <c:pt idx="9">
                  <c:v>3.4304337232817998E-2</c:v>
                </c:pt>
                <c:pt idx="10">
                  <c:v>-4.42560846448965E-3</c:v>
                </c:pt>
                <c:pt idx="11">
                  <c:v>-2.8375498448036801E-2</c:v>
                </c:pt>
                <c:pt idx="12">
                  <c:v>7.5960904320990699E-3</c:v>
                </c:pt>
                <c:pt idx="13">
                  <c:v>-1.5934529153546099E-2</c:v>
                </c:pt>
                <c:pt idx="14">
                  <c:v>-5.1422513152565696E-3</c:v>
                </c:pt>
                <c:pt idx="15">
                  <c:v>-1.5414661534788199E-2</c:v>
                </c:pt>
                <c:pt idx="16">
                  <c:v>-1.8781259074616901E-2</c:v>
                </c:pt>
                <c:pt idx="17">
                  <c:v>-2.3380890851139698E-2</c:v>
                </c:pt>
                <c:pt idx="18">
                  <c:v>-1.7530477172964201E-2</c:v>
                </c:pt>
                <c:pt idx="19">
                  <c:v>4.0967702360233602E-2</c:v>
                </c:pt>
                <c:pt idx="20">
                  <c:v>7.4966405585312895E-2</c:v>
                </c:pt>
                <c:pt idx="21">
                  <c:v>1.3576956831122399E-2</c:v>
                </c:pt>
                <c:pt idx="22">
                  <c:v>-1.7357302188158098E-2</c:v>
                </c:pt>
                <c:pt idx="23">
                  <c:v>1.0297324532281099E-2</c:v>
                </c:pt>
                <c:pt idx="24">
                  <c:v>-1.7621231009101401E-2</c:v>
                </c:pt>
                <c:pt idx="25">
                  <c:v>5.6234433169444599E-3</c:v>
                </c:pt>
                <c:pt idx="26">
                  <c:v>-5.78844559160394E-4</c:v>
                </c:pt>
                <c:pt idx="27">
                  <c:v>-4.8905999790410503E-3</c:v>
                </c:pt>
                <c:pt idx="28">
                  <c:v>-4.55040046327696E-4</c:v>
                </c:pt>
                <c:pt idx="29">
                  <c:v>1.2919762732736099E-3</c:v>
                </c:pt>
                <c:pt idx="30">
                  <c:v>3.0155309149588398E-3</c:v>
                </c:pt>
                <c:pt idx="31">
                  <c:v>8.6578138299832196E-3</c:v>
                </c:pt>
                <c:pt idx="32">
                  <c:v>4.3986350425295299E-2</c:v>
                </c:pt>
                <c:pt idx="33">
                  <c:v>9.6190158658891901E-3</c:v>
                </c:pt>
                <c:pt idx="34">
                  <c:v>8.6622583309224292E-3</c:v>
                </c:pt>
                <c:pt idx="35">
                  <c:v>2.1441234675604999E-2</c:v>
                </c:pt>
                <c:pt idx="36">
                  <c:v>1.1321553098973199E-2</c:v>
                </c:pt>
                <c:pt idx="37">
                  <c:v>-5.7559419243384596E-3</c:v>
                </c:pt>
                <c:pt idx="38">
                  <c:v>-1.3990327712489099E-2</c:v>
                </c:pt>
                <c:pt idx="39">
                  <c:v>8.9783105427339305E-3</c:v>
                </c:pt>
                <c:pt idx="40">
                  <c:v>-2.5548469424789E-3</c:v>
                </c:pt>
                <c:pt idx="41">
                  <c:v>-4.9995116582229101E-4</c:v>
                </c:pt>
                <c:pt idx="42">
                  <c:v>-6.5124497508831702E-2</c:v>
                </c:pt>
                <c:pt idx="43">
                  <c:v>-7.4111768509068199E-2</c:v>
                </c:pt>
                <c:pt idx="44">
                  <c:v>-7.6387082346203797E-2</c:v>
                </c:pt>
                <c:pt idx="45">
                  <c:v>-8.11122247257825E-2</c:v>
                </c:pt>
                <c:pt idx="46">
                  <c:v>1.3822827726355701E-2</c:v>
                </c:pt>
                <c:pt idx="47">
                  <c:v>-1.2557637580027E-2</c:v>
                </c:pt>
                <c:pt idx="48">
                  <c:v>3.4385433406108998E-3</c:v>
                </c:pt>
                <c:pt idx="49">
                  <c:v>-1.86494469380985E-3</c:v>
                </c:pt>
                <c:pt idx="50">
                  <c:v>7.5923962765057102E-3</c:v>
                </c:pt>
                <c:pt idx="51">
                  <c:v>1.17202684859819E-2</c:v>
                </c:pt>
                <c:pt idx="52">
                  <c:v>-1.10899980891772E-3</c:v>
                </c:pt>
                <c:pt idx="53">
                  <c:v>-4.45189137058144E-2</c:v>
                </c:pt>
                <c:pt idx="54">
                  <c:v>-2.6800073701470702E-2</c:v>
                </c:pt>
                <c:pt idx="55">
                  <c:v>-8.0654922641483096E-3</c:v>
                </c:pt>
                <c:pt idx="56">
                  <c:v>4.0686235024267698E-3</c:v>
                </c:pt>
                <c:pt idx="57">
                  <c:v>-5.1785161217573698E-2</c:v>
                </c:pt>
                <c:pt idx="58">
                  <c:v>-5.5039335660288298E-2</c:v>
                </c:pt>
                <c:pt idx="59">
                  <c:v>-7.1012831999731393E-2</c:v>
                </c:pt>
                <c:pt idx="60">
                  <c:v>-1.2426413727734101E-3</c:v>
                </c:pt>
                <c:pt idx="61">
                  <c:v>2.90815788714417E-2</c:v>
                </c:pt>
                <c:pt idx="62">
                  <c:v>-2.2302146283311501E-2</c:v>
                </c:pt>
                <c:pt idx="63">
                  <c:v>7.9573998663580708E-3</c:v>
                </c:pt>
                <c:pt idx="64">
                  <c:v>5.0427761175861696E-3</c:v>
                </c:pt>
                <c:pt idx="65">
                  <c:v>5.4749561373116998E-2</c:v>
                </c:pt>
                <c:pt idx="66">
                  <c:v>1.2375757059596501E-2</c:v>
                </c:pt>
                <c:pt idx="67">
                  <c:v>-1.7818253302977901E-3</c:v>
                </c:pt>
                <c:pt idx="68">
                  <c:v>6.0075197200234699E-3</c:v>
                </c:pt>
                <c:pt idx="69">
                  <c:v>4.4481272487223297E-3</c:v>
                </c:pt>
                <c:pt idx="70">
                  <c:v>1.29426349186846E-2</c:v>
                </c:pt>
                <c:pt idx="71">
                  <c:v>6.2296219594676697E-3</c:v>
                </c:pt>
                <c:pt idx="72">
                  <c:v>-8.7361269471073495E-3</c:v>
                </c:pt>
                <c:pt idx="73">
                  <c:v>-7.2529384498191104E-3</c:v>
                </c:pt>
                <c:pt idx="74">
                  <c:v>6.6468237068233703E-3</c:v>
                </c:pt>
                <c:pt idx="75">
                  <c:v>-2.77521668411903E-2</c:v>
                </c:pt>
                <c:pt idx="76">
                  <c:v>-4.4482044561117998E-2</c:v>
                </c:pt>
                <c:pt idx="77">
                  <c:v>-2.2151537256981199E-2</c:v>
                </c:pt>
                <c:pt idx="78">
                  <c:v>-1.19586477473843E-2</c:v>
                </c:pt>
                <c:pt idx="79">
                  <c:v>-1.6941316450882201E-2</c:v>
                </c:pt>
                <c:pt idx="80">
                  <c:v>-3.1013089941968702E-2</c:v>
                </c:pt>
                <c:pt idx="81">
                  <c:v>-3.3366695192001701E-2</c:v>
                </c:pt>
                <c:pt idx="82">
                  <c:v>2.6650018373437301E-3</c:v>
                </c:pt>
                <c:pt idx="83">
                  <c:v>2.3998441923581099E-2</c:v>
                </c:pt>
                <c:pt idx="84">
                  <c:v>9.3141488586412401E-4</c:v>
                </c:pt>
                <c:pt idx="85">
                  <c:v>-3.6660699306517298E-3</c:v>
                </c:pt>
                <c:pt idx="86">
                  <c:v>-1.38580436937344E-2</c:v>
                </c:pt>
                <c:pt idx="87">
                  <c:v>-2.0869827422551598E-2</c:v>
                </c:pt>
                <c:pt idx="88">
                  <c:v>-2.4410218649499799E-2</c:v>
                </c:pt>
                <c:pt idx="89">
                  <c:v>-2.8036596793117898E-4</c:v>
                </c:pt>
                <c:pt idx="90">
                  <c:v>-7.6412228388443399E-3</c:v>
                </c:pt>
                <c:pt idx="91">
                  <c:v>1.0862032198144101E-2</c:v>
                </c:pt>
                <c:pt idx="92">
                  <c:v>-2.16398161091323E-2</c:v>
                </c:pt>
                <c:pt idx="93">
                  <c:v>-6.1074464479084897E-3</c:v>
                </c:pt>
                <c:pt idx="94">
                  <c:v>-1.28249289047774E-2</c:v>
                </c:pt>
                <c:pt idx="95">
                  <c:v>2.72300445861005E-2</c:v>
                </c:pt>
                <c:pt idx="96">
                  <c:v>-5.7114097160732903E-4</c:v>
                </c:pt>
                <c:pt idx="97">
                  <c:v>4.6273220720082797E-5</c:v>
                </c:pt>
                <c:pt idx="98">
                  <c:v>-1.2205833353660699E-3</c:v>
                </c:pt>
                <c:pt idx="99">
                  <c:v>1.97798795073256E-3</c:v>
                </c:pt>
                <c:pt idx="100">
                  <c:v>4.2456338936790999E-3</c:v>
                </c:pt>
                <c:pt idx="101">
                  <c:v>6.4010622251611899E-3</c:v>
                </c:pt>
                <c:pt idx="102">
                  <c:v>3.1034764592141301E-2</c:v>
                </c:pt>
                <c:pt idx="103">
                  <c:v>6.02914146777952E-3</c:v>
                </c:pt>
                <c:pt idx="104">
                  <c:v>7.6617511951657504E-3</c:v>
                </c:pt>
                <c:pt idx="105">
                  <c:v>3.0959326988438301E-3</c:v>
                </c:pt>
                <c:pt idx="106">
                  <c:v>0.146144513596805</c:v>
                </c:pt>
                <c:pt idx="107">
                  <c:v>0.156974993124252</c:v>
                </c:pt>
                <c:pt idx="108">
                  <c:v>2.1048842179806002E-2</c:v>
                </c:pt>
                <c:pt idx="109">
                  <c:v>-3.4206741404548602E-2</c:v>
                </c:pt>
                <c:pt idx="110">
                  <c:v>1.92680117412448E-2</c:v>
                </c:pt>
                <c:pt idx="111">
                  <c:v>-4.6405300832082896E-3</c:v>
                </c:pt>
                <c:pt idx="112">
                  <c:v>2.7479518276115901E-3</c:v>
                </c:pt>
                <c:pt idx="113">
                  <c:v>7.5315195454350604E-3</c:v>
                </c:pt>
                <c:pt idx="114">
                  <c:v>9.6495750275006204E-3</c:v>
                </c:pt>
                <c:pt idx="115">
                  <c:v>-4.4473998762000498E-2</c:v>
                </c:pt>
                <c:pt idx="116">
                  <c:v>-2.45201593510311E-2</c:v>
                </c:pt>
                <c:pt idx="117">
                  <c:v>-2.7151935828470999E-2</c:v>
                </c:pt>
                <c:pt idx="118">
                  <c:v>4.02658690211845E-4</c:v>
                </c:pt>
                <c:pt idx="119">
                  <c:v>-2.46024721639911E-3</c:v>
                </c:pt>
                <c:pt idx="120">
                  <c:v>9.2152260964105601E-3</c:v>
                </c:pt>
                <c:pt idx="121">
                  <c:v>1.03665284874175E-2</c:v>
                </c:pt>
                <c:pt idx="122">
                  <c:v>-1.31822574867531E-3</c:v>
                </c:pt>
                <c:pt idx="123">
                  <c:v>-1.9160407912886601E-4</c:v>
                </c:pt>
                <c:pt idx="124">
                  <c:v>-8.7315285979052103E-3</c:v>
                </c:pt>
                <c:pt idx="125">
                  <c:v>-2.7318237923431698E-3</c:v>
                </c:pt>
                <c:pt idx="126">
                  <c:v>-3.2501975700207998E-2</c:v>
                </c:pt>
                <c:pt idx="127">
                  <c:v>7.0758233951177304E-3</c:v>
                </c:pt>
                <c:pt idx="128">
                  <c:v>1.33137178331577E-2</c:v>
                </c:pt>
                <c:pt idx="129">
                  <c:v>-3.4146149173764498E-3</c:v>
                </c:pt>
                <c:pt idx="130">
                  <c:v>-1.7859720787159802E-2</c:v>
                </c:pt>
                <c:pt idx="131">
                  <c:v>1.1349342693387301E-2</c:v>
                </c:pt>
                <c:pt idx="132">
                  <c:v>2.3257721430561401E-2</c:v>
                </c:pt>
                <c:pt idx="133">
                  <c:v>-2.75461271062643E-2</c:v>
                </c:pt>
                <c:pt idx="134">
                  <c:v>3.7561357396884197E-4</c:v>
                </c:pt>
                <c:pt idx="135">
                  <c:v>7.0907046274943002E-3</c:v>
                </c:pt>
                <c:pt idx="136">
                  <c:v>3.0602407385706E-2</c:v>
                </c:pt>
                <c:pt idx="137">
                  <c:v>5.4673194497884096E-3</c:v>
                </c:pt>
                <c:pt idx="138">
                  <c:v>2.20572440937187E-2</c:v>
                </c:pt>
                <c:pt idx="139">
                  <c:v>2.3228290117905601E-2</c:v>
                </c:pt>
                <c:pt idx="140">
                  <c:v>-1.88495795858949E-2</c:v>
                </c:pt>
                <c:pt idx="141">
                  <c:v>-2.57247719356999E-2</c:v>
                </c:pt>
                <c:pt idx="142">
                  <c:v>-1.78659521215698E-2</c:v>
                </c:pt>
                <c:pt idx="143">
                  <c:v>5.4788098359293803E-2</c:v>
                </c:pt>
                <c:pt idx="144">
                  <c:v>-1.7917252588415301E-2</c:v>
                </c:pt>
                <c:pt idx="145">
                  <c:v>3.7600141159091199E-3</c:v>
                </c:pt>
                <c:pt idx="146">
                  <c:v>4.6029047323660997E-2</c:v>
                </c:pt>
                <c:pt idx="147">
                  <c:v>4.5490728821867998E-2</c:v>
                </c:pt>
                <c:pt idx="148">
                  <c:v>2.9395014227432399E-3</c:v>
                </c:pt>
                <c:pt idx="149">
                  <c:v>-1.49653288009199E-2</c:v>
                </c:pt>
                <c:pt idx="150">
                  <c:v>1.3724112675908399E-3</c:v>
                </c:pt>
                <c:pt idx="151">
                  <c:v>1.88634526615621E-2</c:v>
                </c:pt>
                <c:pt idx="152">
                  <c:v>4.6862444103594303E-2</c:v>
                </c:pt>
                <c:pt idx="153">
                  <c:v>4.2983843946996197E-2</c:v>
                </c:pt>
                <c:pt idx="154">
                  <c:v>7.5346146223983695E-2</c:v>
                </c:pt>
                <c:pt idx="155">
                  <c:v>-3.8353333759451802E-3</c:v>
                </c:pt>
                <c:pt idx="156">
                  <c:v>-1.21658484467868E-2</c:v>
                </c:pt>
                <c:pt idx="157">
                  <c:v>-9.8318540343512294E-3</c:v>
                </c:pt>
                <c:pt idx="158">
                  <c:v>-8.7990448340250198E-4</c:v>
                </c:pt>
                <c:pt idx="159">
                  <c:v>-1.37645630630662E-2</c:v>
                </c:pt>
                <c:pt idx="160">
                  <c:v>-1.38962808635063E-2</c:v>
                </c:pt>
                <c:pt idx="161">
                  <c:v>-1.7072642236373701E-2</c:v>
                </c:pt>
                <c:pt idx="162">
                  <c:v>3.9617392792532296E-3</c:v>
                </c:pt>
                <c:pt idx="163">
                  <c:v>1.87639587568624E-3</c:v>
                </c:pt>
                <c:pt idx="164">
                  <c:v>-2.0739987223961798E-2</c:v>
                </c:pt>
                <c:pt idx="165">
                  <c:v>-2.89276278168734E-3</c:v>
                </c:pt>
                <c:pt idx="166">
                  <c:v>-1.61862900909584E-2</c:v>
                </c:pt>
                <c:pt idx="167">
                  <c:v>-1.60712177249452E-2</c:v>
                </c:pt>
                <c:pt idx="168">
                  <c:v>1.21472198263942E-2</c:v>
                </c:pt>
                <c:pt idx="169">
                  <c:v>-1.0474322780606199E-3</c:v>
                </c:pt>
                <c:pt idx="170">
                  <c:v>-1.7151169045695799E-2</c:v>
                </c:pt>
                <c:pt idx="171">
                  <c:v>-5.65330553537763E-4</c:v>
                </c:pt>
                <c:pt idx="172">
                  <c:v>-2.71724563425334E-3</c:v>
                </c:pt>
                <c:pt idx="173">
                  <c:v>9.4040294662018197E-3</c:v>
                </c:pt>
                <c:pt idx="174">
                  <c:v>-3.2361454092199602E-3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2-474F-8139-BC2EA28BBAAD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MOG A x 10 dma / MOG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-2.2503041855716902E-2</c:v>
                </c:pt>
                <c:pt idx="11">
                  <c:v>-4.2972615370708497E-2</c:v>
                </c:pt>
                <c:pt idx="12">
                  <c:v>-4.3578266058320403E-3</c:v>
                </c:pt>
                <c:pt idx="13">
                  <c:v>-2.6943272816978201E-2</c:v>
                </c:pt>
                <c:pt idx="14">
                  <c:v>-1.21206513585302E-2</c:v>
                </c:pt>
                <c:pt idx="15">
                  <c:v>-1.81959031939832E-2</c:v>
                </c:pt>
                <c:pt idx="16">
                  <c:v>-1.7301122557474201E-2</c:v>
                </c:pt>
                <c:pt idx="17">
                  <c:v>-1.96771499858585E-2</c:v>
                </c:pt>
                <c:pt idx="18">
                  <c:v>-1.10302054459014E-2</c:v>
                </c:pt>
                <c:pt idx="19">
                  <c:v>4.9826277429930302E-2</c:v>
                </c:pt>
                <c:pt idx="20">
                  <c:v>8.3188712444101698E-2</c:v>
                </c:pt>
                <c:pt idx="21">
                  <c:v>1.41669094280305E-2</c:v>
                </c:pt>
                <c:pt idx="22">
                  <c:v>-2.1000516344758899E-2</c:v>
                </c:pt>
                <c:pt idx="23">
                  <c:v>9.1677139141652202E-3</c:v>
                </c:pt>
                <c:pt idx="24">
                  <c:v>-2.1387953997202402E-2</c:v>
                </c:pt>
                <c:pt idx="25">
                  <c:v>3.12287225479664E-3</c:v>
                </c:pt>
                <c:pt idx="26">
                  <c:v>-5.2011322888238804E-3</c:v>
                </c:pt>
                <c:pt idx="27">
                  <c:v>-1.13610822848026E-2</c:v>
                </c:pt>
                <c:pt idx="28">
                  <c:v>-8.8148587897114005E-3</c:v>
                </c:pt>
                <c:pt idx="29">
                  <c:v>-8.8068072724967004E-3</c:v>
                </c:pt>
                <c:pt idx="30">
                  <c:v>-3.1666286377962098E-3</c:v>
                </c:pt>
                <c:pt idx="31">
                  <c:v>9.4158728456153699E-3</c:v>
                </c:pt>
                <c:pt idx="32">
                  <c:v>4.5230398967719097E-2</c:v>
                </c:pt>
                <c:pt idx="33">
                  <c:v>4.7980567932785203E-3</c:v>
                </c:pt>
                <c:pt idx="34">
                  <c:v>3.9087802813959904E-3</c:v>
                </c:pt>
                <c:pt idx="35">
                  <c:v>1.40314265838366E-2</c:v>
                </c:pt>
                <c:pt idx="36">
                  <c:v>2.3383672771406499E-3</c:v>
                </c:pt>
                <c:pt idx="37">
                  <c:v>-1.5934194362093101E-2</c:v>
                </c:pt>
                <c:pt idx="38">
                  <c:v>-2.4080697951989499E-2</c:v>
                </c:pt>
                <c:pt idx="39">
                  <c:v>2.6416989110826001E-4</c:v>
                </c:pt>
                <c:pt idx="40">
                  <c:v>-1.2040676460816999E-2</c:v>
                </c:pt>
                <c:pt idx="41">
                  <c:v>-9.4237205678050703E-3</c:v>
                </c:pt>
                <c:pt idx="42">
                  <c:v>-7.3128462791184401E-2</c:v>
                </c:pt>
                <c:pt idx="43">
                  <c:v>-7.10559738788588E-2</c:v>
                </c:pt>
                <c:pt idx="44">
                  <c:v>-6.4744644337482296E-2</c:v>
                </c:pt>
                <c:pt idx="45">
                  <c:v>-6.08087521721285E-2</c:v>
                </c:pt>
                <c:pt idx="46">
                  <c:v>4.4431127912604403E-2</c:v>
                </c:pt>
                <c:pt idx="47">
                  <c:v>1.7811077141577501E-2</c:v>
                </c:pt>
                <c:pt idx="48">
                  <c:v>3.4472931539301803E-2</c:v>
                </c:pt>
                <c:pt idx="49">
                  <c:v>2.7469411545504099E-2</c:v>
                </c:pt>
                <c:pt idx="50">
                  <c:v>3.7975448657237398E-2</c:v>
                </c:pt>
                <c:pt idx="51">
                  <c:v>4.11209529905701E-2</c:v>
                </c:pt>
                <c:pt idx="52">
                  <c:v>2.7111002388830699E-2</c:v>
                </c:pt>
                <c:pt idx="53">
                  <c:v>-2.2753771255993299E-2</c:v>
                </c:pt>
                <c:pt idx="54">
                  <c:v>-8.1122935129529193E-3</c:v>
                </c:pt>
                <c:pt idx="55">
                  <c:v>5.4839992726143797E-3</c:v>
                </c:pt>
                <c:pt idx="56">
                  <c:v>1.0052934570252499E-2</c:v>
                </c:pt>
                <c:pt idx="57">
                  <c:v>-4.48403422413651E-2</c:v>
                </c:pt>
                <c:pt idx="58">
                  <c:v>-4.4079361539302198E-2</c:v>
                </c:pt>
                <c:pt idx="59">
                  <c:v>-5.4134342483162699E-2</c:v>
                </c:pt>
                <c:pt idx="60">
                  <c:v>2.2663874764410299E-2</c:v>
                </c:pt>
                <c:pt idx="61">
                  <c:v>5.3847626630669998E-2</c:v>
                </c:pt>
                <c:pt idx="62">
                  <c:v>8.0304237605989699E-4</c:v>
                </c:pt>
                <c:pt idx="63">
                  <c:v>3.3155728049777497E-2</c:v>
                </c:pt>
                <c:pt idx="64">
                  <c:v>2.5015420422595799E-2</c:v>
                </c:pt>
                <c:pt idx="65">
                  <c:v>7.15616246023901E-2</c:v>
                </c:pt>
                <c:pt idx="66">
                  <c:v>2.3134268267457E-2</c:v>
                </c:pt>
                <c:pt idx="67">
                  <c:v>8.1612566312683696E-3</c:v>
                </c:pt>
                <c:pt idx="68">
                  <c:v>1.08518409581347E-2</c:v>
                </c:pt>
                <c:pt idx="69">
                  <c:v>3.0460501433129299E-3</c:v>
                </c:pt>
                <c:pt idx="70">
                  <c:v>3.6955927345122502E-3</c:v>
                </c:pt>
                <c:pt idx="71">
                  <c:v>-4.4418007329837198E-3</c:v>
                </c:pt>
                <c:pt idx="72">
                  <c:v>-1.7140780242854901E-2</c:v>
                </c:pt>
                <c:pt idx="73">
                  <c:v>-1.7048016925218099E-2</c:v>
                </c:pt>
                <c:pt idx="74">
                  <c:v>-1.6139528606041501E-3</c:v>
                </c:pt>
                <c:pt idx="75">
                  <c:v>-3.6173749115991201E-2</c:v>
                </c:pt>
                <c:pt idx="76">
                  <c:v>-4.4726431372863799E-2</c:v>
                </c:pt>
                <c:pt idx="77">
                  <c:v>-1.6632582028462801E-2</c:v>
                </c:pt>
                <c:pt idx="78">
                  <c:v>-4.3916083737598798E-3</c:v>
                </c:pt>
                <c:pt idx="79">
                  <c:v>-7.5874637926060997E-3</c:v>
                </c:pt>
                <c:pt idx="80">
                  <c:v>-1.9529158432229899E-2</c:v>
                </c:pt>
                <c:pt idx="81">
                  <c:v>-1.7507175342858301E-2</c:v>
                </c:pt>
                <c:pt idx="82">
                  <c:v>2.24675663940943E-2</c:v>
                </c:pt>
                <c:pt idx="83">
                  <c:v>4.2679215462849203E-2</c:v>
                </c:pt>
                <c:pt idx="84">
                  <c:v>1.6565703391476401E-2</c:v>
                </c:pt>
                <c:pt idx="85">
                  <c:v>1.25286090179299E-2</c:v>
                </c:pt>
                <c:pt idx="86">
                  <c:v>-7.3766073105331194E-5</c:v>
                </c:pt>
                <c:pt idx="87">
                  <c:v>-1.02003992303263E-2</c:v>
                </c:pt>
                <c:pt idx="88">
                  <c:v>-1.38703669379018E-2</c:v>
                </c:pt>
                <c:pt idx="89">
                  <c:v>1.1513419616620699E-2</c:v>
                </c:pt>
                <c:pt idx="90">
                  <c:v>2.4903624555928702E-3</c:v>
                </c:pt>
                <c:pt idx="91">
                  <c:v>1.8631999785863801E-2</c:v>
                </c:pt>
                <c:pt idx="92">
                  <c:v>-1.8318392039117899E-2</c:v>
                </c:pt>
                <c:pt idx="93">
                  <c:v>-3.4343333370289499E-4</c:v>
                </c:pt>
                <c:pt idx="94">
                  <c:v>-4.0985671875471003E-3</c:v>
                </c:pt>
                <c:pt idx="95">
                  <c:v>3.7327292993818303E-2</c:v>
                </c:pt>
                <c:pt idx="96">
                  <c:v>6.4986618659848101E-3</c:v>
                </c:pt>
                <c:pt idx="97">
                  <c:v>5.7862998560218801E-3</c:v>
                </c:pt>
                <c:pt idx="98">
                  <c:v>2.4157894601933702E-3</c:v>
                </c:pt>
                <c:pt idx="99">
                  <c:v>3.2712179360937402E-3</c:v>
                </c:pt>
                <c:pt idx="100">
                  <c:v>5.3134862745887997E-3</c:v>
                </c:pt>
                <c:pt idx="101">
                  <c:v>6.2787649438729304E-3</c:v>
                </c:pt>
                <c:pt idx="102">
                  <c:v>3.1354687035145899E-2</c:v>
                </c:pt>
                <c:pt idx="103">
                  <c:v>1.0935767264070599E-3</c:v>
                </c:pt>
                <c:pt idx="104">
                  <c:v>1.50572306190759E-3</c:v>
                </c:pt>
                <c:pt idx="105">
                  <c:v>-5.1289170302598903E-3</c:v>
                </c:pt>
                <c:pt idx="106">
                  <c:v>0.14031357889236101</c:v>
                </c:pt>
                <c:pt idx="107">
                  <c:v>0.137315184082513</c:v>
                </c:pt>
                <c:pt idx="108">
                  <c:v>-1.3532918134002699E-2</c:v>
                </c:pt>
                <c:pt idx="109">
                  <c:v>-7.1073717093827204E-2</c:v>
                </c:pt>
                <c:pt idx="110">
                  <c:v>-1.37906626039116E-2</c:v>
                </c:pt>
                <c:pt idx="111">
                  <c:v>-3.9234979054896299E-2</c:v>
                </c:pt>
                <c:pt idx="112">
                  <c:v>-3.0705123269615602E-2</c:v>
                </c:pt>
                <c:pt idx="113">
                  <c:v>-2.3049668302795E-2</c:v>
                </c:pt>
                <c:pt idx="114">
                  <c:v>-2.1085481161759199E-2</c:v>
                </c:pt>
                <c:pt idx="115">
                  <c:v>-7.5412295826105299E-2</c:v>
                </c:pt>
                <c:pt idx="116">
                  <c:v>-5.0461455818915403E-2</c:v>
                </c:pt>
                <c:pt idx="117">
                  <c:v>-3.6726293766419497E-2</c:v>
                </c:pt>
                <c:pt idx="118">
                  <c:v>8.1239505487658206E-3</c:v>
                </c:pt>
                <c:pt idx="119">
                  <c:v>7.2859106011733303E-3</c:v>
                </c:pt>
                <c:pt idx="120">
                  <c:v>1.5754082962695402E-2</c:v>
                </c:pt>
                <c:pt idx="121">
                  <c:v>1.78895090467397E-2</c:v>
                </c:pt>
                <c:pt idx="122">
                  <c:v>4.7184366335119602E-3</c:v>
                </c:pt>
                <c:pt idx="123">
                  <c:v>6.2488587570459298E-3</c:v>
                </c:pt>
                <c:pt idx="124">
                  <c:v>-1.5268126773432501E-3</c:v>
                </c:pt>
                <c:pt idx="125">
                  <c:v>6.2953335568687397E-3</c:v>
                </c:pt>
                <c:pt idx="126">
                  <c:v>-2.7719627764505799E-2</c:v>
                </c:pt>
                <c:pt idx="127">
                  <c:v>1.2675187611799799E-2</c:v>
                </c:pt>
                <c:pt idx="128">
                  <c:v>1.54689877964647E-2</c:v>
                </c:pt>
                <c:pt idx="129">
                  <c:v>-2.5396940124829299E-3</c:v>
                </c:pt>
                <c:pt idx="130">
                  <c:v>-1.6889170638721699E-2</c:v>
                </c:pt>
                <c:pt idx="131">
                  <c:v>1.50328769613949E-2</c:v>
                </c:pt>
                <c:pt idx="132">
                  <c:v>2.6844388398071399E-2</c:v>
                </c:pt>
                <c:pt idx="133">
                  <c:v>-2.6384539281393199E-2</c:v>
                </c:pt>
                <c:pt idx="134">
                  <c:v>4.3038912045476E-3</c:v>
                </c:pt>
                <c:pt idx="135">
                  <c:v>1.01076223150689E-2</c:v>
                </c:pt>
                <c:pt idx="136">
                  <c:v>3.2641681464196701E-2</c:v>
                </c:pt>
                <c:pt idx="137">
                  <c:v>1.18202267222256E-3</c:v>
                </c:pt>
                <c:pt idx="138">
                  <c:v>1.7932465668261802E-2</c:v>
                </c:pt>
                <c:pt idx="139">
                  <c:v>1.8240560888321E-2</c:v>
                </c:pt>
                <c:pt idx="140">
                  <c:v>-2.6492124890306501E-2</c:v>
                </c:pt>
                <c:pt idx="141">
                  <c:v>-3.3265729419265602E-2</c:v>
                </c:pt>
                <c:pt idx="142">
                  <c:v>-2.1651334311861201E-2</c:v>
                </c:pt>
                <c:pt idx="143">
                  <c:v>5.5111404248525703E-2</c:v>
                </c:pt>
                <c:pt idx="144">
                  <c:v>-2.5748811029089401E-2</c:v>
                </c:pt>
                <c:pt idx="145">
                  <c:v>-2.21333529606742E-3</c:v>
                </c:pt>
                <c:pt idx="146">
                  <c:v>4.03888941693843E-2</c:v>
                </c:pt>
                <c:pt idx="147">
                  <c:v>3.8356373887999097E-2</c:v>
                </c:pt>
                <c:pt idx="148">
                  <c:v>-8.1324466153617804E-3</c:v>
                </c:pt>
                <c:pt idx="149">
                  <c:v>-2.4130018531575901E-2</c:v>
                </c:pt>
                <c:pt idx="150">
                  <c:v>-3.9607607906489801E-3</c:v>
                </c:pt>
                <c:pt idx="151">
                  <c:v>1.1477283569704601E-2</c:v>
                </c:pt>
                <c:pt idx="152">
                  <c:v>3.4958396794828303E-2</c:v>
                </c:pt>
                <c:pt idx="153">
                  <c:v>2.4601662091439099E-2</c:v>
                </c:pt>
                <c:pt idx="154">
                  <c:v>5.81082776720271E-2</c:v>
                </c:pt>
                <c:pt idx="155">
                  <c:v>-3.03392586432021E-2</c:v>
                </c:pt>
                <c:pt idx="156">
                  <c:v>-3.7890111937285503E-2</c:v>
                </c:pt>
                <c:pt idx="157">
                  <c:v>-2.9701576358014101E-2</c:v>
                </c:pt>
                <c:pt idx="158">
                  <c:v>-1.5220675508788899E-2</c:v>
                </c:pt>
                <c:pt idx="159">
                  <c:v>-2.7718350162662699E-2</c:v>
                </c:pt>
                <c:pt idx="160">
                  <c:v>-2.7973601196134401E-2</c:v>
                </c:pt>
                <c:pt idx="161">
                  <c:v>-2.9592917686776798E-2</c:v>
                </c:pt>
                <c:pt idx="162">
                  <c:v>-4.9293056782796097E-3</c:v>
                </c:pt>
                <c:pt idx="163">
                  <c:v>-2.8034288306851298E-3</c:v>
                </c:pt>
                <c:pt idx="164">
                  <c:v>-2.1389239611879201E-2</c:v>
                </c:pt>
                <c:pt idx="165">
                  <c:v>5.7739457376894104E-3</c:v>
                </c:pt>
                <c:pt idx="166">
                  <c:v>-7.6133445397381996E-3</c:v>
                </c:pt>
                <c:pt idx="167">
                  <c:v>-7.0940504195485298E-3</c:v>
                </c:pt>
                <c:pt idx="168">
                  <c:v>2.1750613083899702E-2</c:v>
                </c:pt>
                <c:pt idx="169">
                  <c:v>7.2721147350562499E-3</c:v>
                </c:pt>
                <c:pt idx="170">
                  <c:v>-1.0102990276858501E-2</c:v>
                </c:pt>
                <c:pt idx="171">
                  <c:v>6.8110537324341603E-3</c:v>
                </c:pt>
                <c:pt idx="172">
                  <c:v>3.00463771531759E-3</c:v>
                </c:pt>
                <c:pt idx="173">
                  <c:v>1.5789368582675399E-2</c:v>
                </c:pt>
                <c:pt idx="174">
                  <c:v>2.4051500425484201E-3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2-474F-8139-BC2EA28BBAAD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MOG A x 20 dma / MOG 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7.0125299369610206E-2</c:v>
                </c:pt>
                <c:pt idx="21">
                  <c:v>6.6022052762455498E-3</c:v>
                </c:pt>
                <c:pt idx="22">
                  <c:v>-2.5147234337471899E-2</c:v>
                </c:pt>
                <c:pt idx="23">
                  <c:v>4.24034700061297E-3</c:v>
                </c:pt>
                <c:pt idx="24">
                  <c:v>-2.2992503166654601E-2</c:v>
                </c:pt>
                <c:pt idx="25">
                  <c:v>2.9825468032713002E-3</c:v>
                </c:pt>
                <c:pt idx="26">
                  <c:v>-2.1452652249329199E-3</c:v>
                </c:pt>
                <c:pt idx="27">
                  <c:v>-6.2610314029478203E-3</c:v>
                </c:pt>
                <c:pt idx="28">
                  <c:v>-1.3572110223569001E-3</c:v>
                </c:pt>
                <c:pt idx="29">
                  <c:v>7.16794043279799E-4</c:v>
                </c:pt>
                <c:pt idx="30">
                  <c:v>4.06154042532717E-3</c:v>
                </c:pt>
                <c:pt idx="31">
                  <c:v>9.3318231687245998E-3</c:v>
                </c:pt>
                <c:pt idx="32">
                  <c:v>4.2789753282321701E-2</c:v>
                </c:pt>
                <c:pt idx="33">
                  <c:v>6.64543427623539E-3</c:v>
                </c:pt>
                <c:pt idx="34">
                  <c:v>4.4022795227975598E-3</c:v>
                </c:pt>
                <c:pt idx="35">
                  <c:v>1.6489057671648401E-2</c:v>
                </c:pt>
                <c:pt idx="36">
                  <c:v>4.5211935003627596E-3</c:v>
                </c:pt>
                <c:pt idx="37">
                  <c:v>-1.40785908521621E-2</c:v>
                </c:pt>
                <c:pt idx="38">
                  <c:v>-2.3215047852917801E-2</c:v>
                </c:pt>
                <c:pt idx="39">
                  <c:v>-4.27911901490188E-4</c:v>
                </c:pt>
                <c:pt idx="40">
                  <c:v>-1.0387477199240601E-2</c:v>
                </c:pt>
                <c:pt idx="41">
                  <c:v>-4.5710891795730704E-3</c:v>
                </c:pt>
                <c:pt idx="42">
                  <c:v>-6.8493765196929998E-2</c:v>
                </c:pt>
                <c:pt idx="43">
                  <c:v>-7.4986595344205695E-2</c:v>
                </c:pt>
                <c:pt idx="44">
                  <c:v>-7.2908999485068904E-2</c:v>
                </c:pt>
                <c:pt idx="45">
                  <c:v>-7.4569392326373302E-2</c:v>
                </c:pt>
                <c:pt idx="46">
                  <c:v>2.48313078335064E-2</c:v>
                </c:pt>
                <c:pt idx="47">
                  <c:v>-2.2569134460498799E-3</c:v>
                </c:pt>
                <c:pt idx="48">
                  <c:v>1.4121943144000801E-2</c:v>
                </c:pt>
                <c:pt idx="49">
                  <c:v>8.6261131999155593E-3</c:v>
                </c:pt>
                <c:pt idx="50">
                  <c:v>1.8239685517715199E-2</c:v>
                </c:pt>
                <c:pt idx="51">
                  <c:v>2.2142310273523699E-2</c:v>
                </c:pt>
                <c:pt idx="52">
                  <c:v>9.1630316593281202E-3</c:v>
                </c:pt>
                <c:pt idx="53">
                  <c:v>-3.2064690841970299E-2</c:v>
                </c:pt>
                <c:pt idx="54">
                  <c:v>-1.1628760009879601E-2</c:v>
                </c:pt>
                <c:pt idx="55">
                  <c:v>8.8666918026697496E-3</c:v>
                </c:pt>
                <c:pt idx="56">
                  <c:v>2.2440719819714801E-2</c:v>
                </c:pt>
                <c:pt idx="57">
                  <c:v>-3.3059811075084503E-2</c:v>
                </c:pt>
                <c:pt idx="58">
                  <c:v>-3.3991782583661902E-2</c:v>
                </c:pt>
                <c:pt idx="59">
                  <c:v>-4.7887015670181998E-2</c:v>
                </c:pt>
                <c:pt idx="60">
                  <c:v>2.5907386067234799E-2</c:v>
                </c:pt>
                <c:pt idx="61">
                  <c:v>5.6167629983167003E-2</c:v>
                </c:pt>
                <c:pt idx="62">
                  <c:v>3.36371930637513E-3</c:v>
                </c:pt>
                <c:pt idx="63">
                  <c:v>3.14406085277898E-2</c:v>
                </c:pt>
                <c:pt idx="64">
                  <c:v>2.4373194723810099E-2</c:v>
                </c:pt>
                <c:pt idx="65">
                  <c:v>6.9931669302300895E-2</c:v>
                </c:pt>
                <c:pt idx="66">
                  <c:v>2.0750017318105801E-2</c:v>
                </c:pt>
                <c:pt idx="67">
                  <c:v>6.6632488357847202E-3</c:v>
                </c:pt>
                <c:pt idx="68">
                  <c:v>1.3914342543559499E-2</c:v>
                </c:pt>
                <c:pt idx="69">
                  <c:v>1.2228105262173401E-2</c:v>
                </c:pt>
                <c:pt idx="70">
                  <c:v>2.04097604068781E-2</c:v>
                </c:pt>
                <c:pt idx="71">
                  <c:v>1.3433903068641499E-2</c:v>
                </c:pt>
                <c:pt idx="72">
                  <c:v>-1.2617556317795499E-3</c:v>
                </c:pt>
                <c:pt idx="73">
                  <c:v>6.0174590865965803E-4</c:v>
                </c:pt>
                <c:pt idx="74">
                  <c:v>1.26023950231336E-2</c:v>
                </c:pt>
                <c:pt idx="75">
                  <c:v>-2.3477336367321001E-2</c:v>
                </c:pt>
                <c:pt idx="76">
                  <c:v>-3.9209849468791899E-2</c:v>
                </c:pt>
                <c:pt idx="77">
                  <c:v>-1.4418072051765599E-2</c:v>
                </c:pt>
                <c:pt idx="78">
                  <c:v>-5.7520407925470201E-3</c:v>
                </c:pt>
                <c:pt idx="79">
                  <c:v>-1.2950967491022401E-2</c:v>
                </c:pt>
                <c:pt idx="80">
                  <c:v>-2.98409245823766E-2</c:v>
                </c:pt>
                <c:pt idx="81">
                  <c:v>-3.0684662830049898E-2</c:v>
                </c:pt>
                <c:pt idx="82">
                  <c:v>8.46341006323428E-3</c:v>
                </c:pt>
                <c:pt idx="83">
                  <c:v>2.8542645299628699E-2</c:v>
                </c:pt>
                <c:pt idx="84">
                  <c:v>4.6895409239006598E-3</c:v>
                </c:pt>
                <c:pt idx="85">
                  <c:v>2.9622153345585598E-4</c:v>
                </c:pt>
                <c:pt idx="86">
                  <c:v>-7.06349806279764E-3</c:v>
                </c:pt>
                <c:pt idx="87">
                  <c:v>-1.2772319794375901E-2</c:v>
                </c:pt>
                <c:pt idx="88">
                  <c:v>-1.53556684056456E-2</c:v>
                </c:pt>
                <c:pt idx="89">
                  <c:v>1.02941973123837E-2</c:v>
                </c:pt>
                <c:pt idx="90">
                  <c:v>3.1667641682620799E-3</c:v>
                </c:pt>
                <c:pt idx="91">
                  <c:v>2.2684956001244799E-2</c:v>
                </c:pt>
                <c:pt idx="92">
                  <c:v>-1.00438686810548E-2</c:v>
                </c:pt>
                <c:pt idx="93">
                  <c:v>6.1358020713329501E-3</c:v>
                </c:pt>
                <c:pt idx="94">
                  <c:v>-6.3863887365203404E-4</c:v>
                </c:pt>
                <c:pt idx="95">
                  <c:v>4.0380655589450802E-2</c:v>
                </c:pt>
                <c:pt idx="96">
                  <c:v>9.8615347683685094E-3</c:v>
                </c:pt>
                <c:pt idx="97">
                  <c:v>8.2540380063721303E-3</c:v>
                </c:pt>
                <c:pt idx="98">
                  <c:v>5.8734861590260803E-3</c:v>
                </c:pt>
                <c:pt idx="99">
                  <c:v>8.5352783808548601E-3</c:v>
                </c:pt>
                <c:pt idx="100">
                  <c:v>9.8556216029939796E-3</c:v>
                </c:pt>
                <c:pt idx="101">
                  <c:v>1.02326833387653E-2</c:v>
                </c:pt>
                <c:pt idx="102">
                  <c:v>3.2856563974730198E-2</c:v>
                </c:pt>
                <c:pt idx="103">
                  <c:v>6.45767570672247E-3</c:v>
                </c:pt>
                <c:pt idx="104">
                  <c:v>8.9746034226140994E-3</c:v>
                </c:pt>
                <c:pt idx="105">
                  <c:v>4.0740938612328203E-3</c:v>
                </c:pt>
                <c:pt idx="106">
                  <c:v>0.14678475114775799</c:v>
                </c:pt>
                <c:pt idx="107">
                  <c:v>0.150095743709864</c:v>
                </c:pt>
                <c:pt idx="108">
                  <c:v>5.75871552245775E-3</c:v>
                </c:pt>
                <c:pt idx="109">
                  <c:v>-5.18116001376802E-2</c:v>
                </c:pt>
                <c:pt idx="110">
                  <c:v>3.4181711737006301E-3</c:v>
                </c:pt>
                <c:pt idx="111">
                  <c:v>-2.18503694086679E-2</c:v>
                </c:pt>
                <c:pt idx="112">
                  <c:v>-1.3676054354687399E-2</c:v>
                </c:pt>
                <c:pt idx="113">
                  <c:v>-1.01446467541514E-2</c:v>
                </c:pt>
                <c:pt idx="114">
                  <c:v>-8.7204529570523194E-3</c:v>
                </c:pt>
                <c:pt idx="115">
                  <c:v>-6.3991085958543498E-2</c:v>
                </c:pt>
                <c:pt idx="116">
                  <c:v>-4.03557224577702E-2</c:v>
                </c:pt>
                <c:pt idx="117">
                  <c:v>-4.17563048317054E-2</c:v>
                </c:pt>
                <c:pt idx="118">
                  <c:v>-1.28038986871366E-2</c:v>
                </c:pt>
                <c:pt idx="119">
                  <c:v>-1.5749082710270999E-2</c:v>
                </c:pt>
                <c:pt idx="120">
                  <c:v>-3.8486998866847201E-3</c:v>
                </c:pt>
                <c:pt idx="121">
                  <c:v>-2.9474873718043E-3</c:v>
                </c:pt>
                <c:pt idx="122">
                  <c:v>-1.4831514849995999E-2</c:v>
                </c:pt>
                <c:pt idx="123">
                  <c:v>-1.2090651040960399E-2</c:v>
                </c:pt>
                <c:pt idx="124">
                  <c:v>-2.0316781234146999E-2</c:v>
                </c:pt>
                <c:pt idx="125">
                  <c:v>-1.34877522423992E-2</c:v>
                </c:pt>
                <c:pt idx="126">
                  <c:v>-4.2963461816093798E-2</c:v>
                </c:pt>
                <c:pt idx="127">
                  <c:v>5.1171064888915303E-3</c:v>
                </c:pt>
                <c:pt idx="128">
                  <c:v>1.8255871314056801E-2</c:v>
                </c:pt>
                <c:pt idx="129">
                  <c:v>1.9057617671436699E-3</c:v>
                </c:pt>
                <c:pt idx="130">
                  <c:v>-1.41011415298427E-2</c:v>
                </c:pt>
                <c:pt idx="131">
                  <c:v>1.69544427743984E-2</c:v>
                </c:pt>
                <c:pt idx="132">
                  <c:v>2.8070136414914099E-2</c:v>
                </c:pt>
                <c:pt idx="133">
                  <c:v>-2.37416184646125E-2</c:v>
                </c:pt>
                <c:pt idx="134">
                  <c:v>5.94345222992251E-3</c:v>
                </c:pt>
                <c:pt idx="135">
                  <c:v>1.311725751169E-2</c:v>
                </c:pt>
                <c:pt idx="136">
                  <c:v>3.4014158949280698E-2</c:v>
                </c:pt>
                <c:pt idx="137">
                  <c:v>6.1365664349964403E-3</c:v>
                </c:pt>
                <c:pt idx="138">
                  <c:v>2.1077419730513299E-2</c:v>
                </c:pt>
                <c:pt idx="139">
                  <c:v>2.1176182282732402E-2</c:v>
                </c:pt>
                <c:pt idx="140">
                  <c:v>-2.2176304015885599E-2</c:v>
                </c:pt>
                <c:pt idx="141">
                  <c:v>-2.7637734974266401E-2</c:v>
                </c:pt>
                <c:pt idx="142">
                  <c:v>-1.7958516359746001E-2</c:v>
                </c:pt>
                <c:pt idx="143">
                  <c:v>5.5530633055918301E-2</c:v>
                </c:pt>
                <c:pt idx="144">
                  <c:v>-1.9851606375019398E-2</c:v>
                </c:pt>
                <c:pt idx="145">
                  <c:v>2.2919013324993499E-3</c:v>
                </c:pt>
                <c:pt idx="146">
                  <c:v>4.4235979467981898E-2</c:v>
                </c:pt>
                <c:pt idx="147">
                  <c:v>3.9781917607354798E-2</c:v>
                </c:pt>
                <c:pt idx="148">
                  <c:v>-4.6528289254661502E-3</c:v>
                </c:pt>
                <c:pt idx="149">
                  <c:v>-2.2039357407746901E-2</c:v>
                </c:pt>
                <c:pt idx="150">
                  <c:v>-5.1147807632843803E-3</c:v>
                </c:pt>
                <c:pt idx="151">
                  <c:v>1.13998923687815E-2</c:v>
                </c:pt>
                <c:pt idx="152">
                  <c:v>3.9025968421851298E-2</c:v>
                </c:pt>
                <c:pt idx="153">
                  <c:v>3.39981422351808E-2</c:v>
                </c:pt>
                <c:pt idx="154">
                  <c:v>6.2822492520634099E-2</c:v>
                </c:pt>
                <c:pt idx="155">
                  <c:v>-2.0021283572761301E-2</c:v>
                </c:pt>
                <c:pt idx="156">
                  <c:v>-2.7797636180592701E-2</c:v>
                </c:pt>
                <c:pt idx="157">
                  <c:v>-2.33136191023041E-2</c:v>
                </c:pt>
                <c:pt idx="158">
                  <c:v>-1.3584928365277599E-2</c:v>
                </c:pt>
                <c:pt idx="159">
                  <c:v>-2.53209345492309E-2</c:v>
                </c:pt>
                <c:pt idx="160">
                  <c:v>-2.3591969573258299E-2</c:v>
                </c:pt>
                <c:pt idx="161">
                  <c:v>-2.7022569630110099E-2</c:v>
                </c:pt>
                <c:pt idx="162">
                  <c:v>-6.43467208142937E-3</c:v>
                </c:pt>
                <c:pt idx="163">
                  <c:v>-9.6311382649482396E-3</c:v>
                </c:pt>
                <c:pt idx="164">
                  <c:v>-2.9649150315014101E-2</c:v>
                </c:pt>
                <c:pt idx="165">
                  <c:v>-1.16567574391396E-2</c:v>
                </c:pt>
                <c:pt idx="166">
                  <c:v>-2.4614918948183899E-2</c:v>
                </c:pt>
                <c:pt idx="167">
                  <c:v>-2.1413480960292601E-2</c:v>
                </c:pt>
                <c:pt idx="168">
                  <c:v>9.8501946059445494E-3</c:v>
                </c:pt>
                <c:pt idx="169">
                  <c:v>-3.8025409265534001E-3</c:v>
                </c:pt>
                <c:pt idx="170">
                  <c:v>-2.0609955025877699E-2</c:v>
                </c:pt>
                <c:pt idx="171">
                  <c:v>-3.0877923183913001E-3</c:v>
                </c:pt>
                <c:pt idx="172">
                  <c:v>-4.2751344665085903E-3</c:v>
                </c:pt>
                <c:pt idx="173">
                  <c:v>1.0272091324478601E-2</c:v>
                </c:pt>
                <c:pt idx="174">
                  <c:v>-7.3517751143472405E-4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2-474F-8139-BC2EA28BB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-8.9872710002366699E-3</c:v>
                </c:pt>
                <c:pt idx="24">
                  <c:v>-1.12625848373722E-2</c:v>
                </c:pt>
                <c:pt idx="25">
                  <c:v>-1.598772721695102E-2</c:v>
                </c:pt>
                <c:pt idx="26">
                  <c:v>7.8947325235187465E-2</c:v>
                </c:pt>
                <c:pt idx="27">
                  <c:v>7.8947325235187465E-2</c:v>
                </c:pt>
                <c:pt idx="28">
                  <c:v>7.8947325235187465E-2</c:v>
                </c:pt>
                <c:pt idx="29">
                  <c:v>7.8947325235187465E-2</c:v>
                </c:pt>
                <c:pt idx="30">
                  <c:v>7.8947325235187465E-2</c:v>
                </c:pt>
                <c:pt idx="31">
                  <c:v>7.8947325235187465E-2</c:v>
                </c:pt>
                <c:pt idx="32">
                  <c:v>7.8947325235187465E-2</c:v>
                </c:pt>
                <c:pt idx="33">
                  <c:v>7.8947325235187465E-2</c:v>
                </c:pt>
                <c:pt idx="34">
                  <c:v>7.8947325235187465E-2</c:v>
                </c:pt>
                <c:pt idx="35">
                  <c:v>7.8947325235187465E-2</c:v>
                </c:pt>
                <c:pt idx="36">
                  <c:v>7.8947325235187465E-2</c:v>
                </c:pt>
                <c:pt idx="37">
                  <c:v>7.8947325235187465E-2</c:v>
                </c:pt>
                <c:pt idx="38">
                  <c:v>7.8947325235187465E-2</c:v>
                </c:pt>
                <c:pt idx="39">
                  <c:v>7.8947325235187465E-2</c:v>
                </c:pt>
                <c:pt idx="40">
                  <c:v>0.14871751586214538</c:v>
                </c:pt>
                <c:pt idx="41">
                  <c:v>0.14871751586214538</c:v>
                </c:pt>
                <c:pt idx="42">
                  <c:v>0.14871751586214538</c:v>
                </c:pt>
                <c:pt idx="43">
                  <c:v>0.14871751586214538</c:v>
                </c:pt>
                <c:pt idx="44">
                  <c:v>0.14871751586214538</c:v>
                </c:pt>
                <c:pt idx="45">
                  <c:v>0.14871751586214538</c:v>
                </c:pt>
                <c:pt idx="46">
                  <c:v>0.14871751586214538</c:v>
                </c:pt>
                <c:pt idx="47">
                  <c:v>0.14871751586214538</c:v>
                </c:pt>
                <c:pt idx="48">
                  <c:v>0.14871751586214538</c:v>
                </c:pt>
                <c:pt idx="49">
                  <c:v>0.14871751586214538</c:v>
                </c:pt>
                <c:pt idx="50">
                  <c:v>0.14871751586214538</c:v>
                </c:pt>
                <c:pt idx="51">
                  <c:v>0.14871751586214538</c:v>
                </c:pt>
                <c:pt idx="52">
                  <c:v>0.14871751586214538</c:v>
                </c:pt>
                <c:pt idx="53">
                  <c:v>0.14871751586214538</c:v>
                </c:pt>
                <c:pt idx="54">
                  <c:v>0.14871751586214538</c:v>
                </c:pt>
                <c:pt idx="55">
                  <c:v>0.14871751586214538</c:v>
                </c:pt>
                <c:pt idx="56">
                  <c:v>0.14871751586214538</c:v>
                </c:pt>
                <c:pt idx="57">
                  <c:v>0.14871751586214538</c:v>
                </c:pt>
                <c:pt idx="58">
                  <c:v>0.14871751586214538</c:v>
                </c:pt>
                <c:pt idx="59">
                  <c:v>0.14871751586214538</c:v>
                </c:pt>
                <c:pt idx="60">
                  <c:v>0.14871751586214538</c:v>
                </c:pt>
                <c:pt idx="61">
                  <c:v>0.14871751586214538</c:v>
                </c:pt>
                <c:pt idx="62">
                  <c:v>0.14871751586214538</c:v>
                </c:pt>
                <c:pt idx="63">
                  <c:v>0.14871751586214538</c:v>
                </c:pt>
                <c:pt idx="64">
                  <c:v>0.14871751586214538</c:v>
                </c:pt>
                <c:pt idx="65">
                  <c:v>0.14871751586214538</c:v>
                </c:pt>
                <c:pt idx="66">
                  <c:v>0.14871751586214538</c:v>
                </c:pt>
                <c:pt idx="67">
                  <c:v>0.14871751586214538</c:v>
                </c:pt>
                <c:pt idx="68">
                  <c:v>0.14871751586214538</c:v>
                </c:pt>
                <c:pt idx="69">
                  <c:v>0.14871751586214538</c:v>
                </c:pt>
                <c:pt idx="70">
                  <c:v>0.14871751586214538</c:v>
                </c:pt>
                <c:pt idx="71">
                  <c:v>0.14871751586214538</c:v>
                </c:pt>
                <c:pt idx="72">
                  <c:v>0.14871751586214538</c:v>
                </c:pt>
                <c:pt idx="73">
                  <c:v>0.14871751586214538</c:v>
                </c:pt>
                <c:pt idx="74">
                  <c:v>0.14871751586214538</c:v>
                </c:pt>
                <c:pt idx="75">
                  <c:v>0.14871751586214538</c:v>
                </c:pt>
                <c:pt idx="76">
                  <c:v>0.14871751586214538</c:v>
                </c:pt>
                <c:pt idx="77">
                  <c:v>0.14871751586214538</c:v>
                </c:pt>
                <c:pt idx="78">
                  <c:v>0.14871751586214538</c:v>
                </c:pt>
                <c:pt idx="79">
                  <c:v>0.14871751586214538</c:v>
                </c:pt>
                <c:pt idx="80">
                  <c:v>0.14871751586214538</c:v>
                </c:pt>
                <c:pt idx="81">
                  <c:v>0.14871751586214538</c:v>
                </c:pt>
                <c:pt idx="82">
                  <c:v>0.14871751586214538</c:v>
                </c:pt>
                <c:pt idx="83">
                  <c:v>0.14871751586214538</c:v>
                </c:pt>
                <c:pt idx="84">
                  <c:v>0.14871751586214538</c:v>
                </c:pt>
                <c:pt idx="85">
                  <c:v>0.14871751586214538</c:v>
                </c:pt>
                <c:pt idx="86">
                  <c:v>0.14871751586214538</c:v>
                </c:pt>
                <c:pt idx="87">
                  <c:v>0.14871751586214538</c:v>
                </c:pt>
                <c:pt idx="88">
                  <c:v>0.14871751586214538</c:v>
                </c:pt>
                <c:pt idx="89">
                  <c:v>0.14871751586214538</c:v>
                </c:pt>
                <c:pt idx="90">
                  <c:v>0.20219226900793871</c:v>
                </c:pt>
                <c:pt idx="91">
                  <c:v>0.20219226900793871</c:v>
                </c:pt>
                <c:pt idx="92">
                  <c:v>0.20219226900793871</c:v>
                </c:pt>
                <c:pt idx="93">
                  <c:v>0.20219226900793871</c:v>
                </c:pt>
                <c:pt idx="94">
                  <c:v>0.20219226900793871</c:v>
                </c:pt>
                <c:pt idx="95">
                  <c:v>0.20219226900793871</c:v>
                </c:pt>
                <c:pt idx="96">
                  <c:v>0.22214610841890811</c:v>
                </c:pt>
                <c:pt idx="97">
                  <c:v>0.21951433194146819</c:v>
                </c:pt>
                <c:pt idx="98">
                  <c:v>0.24706892646015102</c:v>
                </c:pt>
                <c:pt idx="99">
                  <c:v>0.24420602055354024</c:v>
                </c:pt>
                <c:pt idx="100">
                  <c:v>0.25588149386634995</c:v>
                </c:pt>
                <c:pt idx="101">
                  <c:v>0.25588149386634995</c:v>
                </c:pt>
                <c:pt idx="102">
                  <c:v>0.25588149386634995</c:v>
                </c:pt>
                <c:pt idx="103">
                  <c:v>0.25588149386634995</c:v>
                </c:pt>
                <c:pt idx="104">
                  <c:v>0.25588149386634995</c:v>
                </c:pt>
                <c:pt idx="105">
                  <c:v>0.25588149386634995</c:v>
                </c:pt>
                <c:pt idx="106">
                  <c:v>0.25588149386634995</c:v>
                </c:pt>
                <c:pt idx="107">
                  <c:v>0.29545929296167572</c:v>
                </c:pt>
                <c:pt idx="108">
                  <c:v>0.29545929296167572</c:v>
                </c:pt>
                <c:pt idx="109">
                  <c:v>0.29545929296167572</c:v>
                </c:pt>
                <c:pt idx="110">
                  <c:v>0.29545929296167572</c:v>
                </c:pt>
                <c:pt idx="111">
                  <c:v>0.29545929296167572</c:v>
                </c:pt>
                <c:pt idx="112">
                  <c:v>0.29545929296167572</c:v>
                </c:pt>
                <c:pt idx="113">
                  <c:v>0.29545929296167572</c:v>
                </c:pt>
                <c:pt idx="114">
                  <c:v>0.29545929296167572</c:v>
                </c:pt>
                <c:pt idx="115">
                  <c:v>0.29545929296167572</c:v>
                </c:pt>
                <c:pt idx="116">
                  <c:v>0.29545929296167572</c:v>
                </c:pt>
                <c:pt idx="117">
                  <c:v>0.29545929296167572</c:v>
                </c:pt>
                <c:pt idx="118">
                  <c:v>0.29545929296167572</c:v>
                </c:pt>
                <c:pt idx="119">
                  <c:v>0.29545929296167572</c:v>
                </c:pt>
                <c:pt idx="120">
                  <c:v>0.29545929296167572</c:v>
                </c:pt>
                <c:pt idx="121">
                  <c:v>0.29545929296167572</c:v>
                </c:pt>
                <c:pt idx="122">
                  <c:v>0.29545929296167572</c:v>
                </c:pt>
                <c:pt idx="123">
                  <c:v>0.29545929296167572</c:v>
                </c:pt>
                <c:pt idx="124">
                  <c:v>0.29545929296167572</c:v>
                </c:pt>
                <c:pt idx="125">
                  <c:v>0.29545929296167572</c:v>
                </c:pt>
                <c:pt idx="126">
                  <c:v>0.29545929296167572</c:v>
                </c:pt>
                <c:pt idx="127">
                  <c:v>0.29545929296167572</c:v>
                </c:pt>
                <c:pt idx="128">
                  <c:v>0.29545929296167572</c:v>
                </c:pt>
                <c:pt idx="129">
                  <c:v>0.29545929296167572</c:v>
                </c:pt>
                <c:pt idx="130">
                  <c:v>0.29545929296167572</c:v>
                </c:pt>
                <c:pt idx="131">
                  <c:v>0.29545929296167572</c:v>
                </c:pt>
                <c:pt idx="132">
                  <c:v>0.29545929296167572</c:v>
                </c:pt>
                <c:pt idx="133">
                  <c:v>0.29545929296167572</c:v>
                </c:pt>
                <c:pt idx="134">
                  <c:v>0.29545929296167572</c:v>
                </c:pt>
                <c:pt idx="135">
                  <c:v>0.29545929296167572</c:v>
                </c:pt>
                <c:pt idx="136">
                  <c:v>0.29545929296167572</c:v>
                </c:pt>
                <c:pt idx="137">
                  <c:v>0.29545929296167572</c:v>
                </c:pt>
                <c:pt idx="138">
                  <c:v>0.29545929296167572</c:v>
                </c:pt>
                <c:pt idx="139">
                  <c:v>0.29545929296167572</c:v>
                </c:pt>
                <c:pt idx="140">
                  <c:v>0.29545929296167572</c:v>
                </c:pt>
                <c:pt idx="141">
                  <c:v>0.29545929296167572</c:v>
                </c:pt>
                <c:pt idx="142">
                  <c:v>0.29545929296167572</c:v>
                </c:pt>
                <c:pt idx="143">
                  <c:v>0.29545929296167572</c:v>
                </c:pt>
                <c:pt idx="144">
                  <c:v>0.29545929296167572</c:v>
                </c:pt>
                <c:pt idx="145">
                  <c:v>0.29545929296167572</c:v>
                </c:pt>
                <c:pt idx="146">
                  <c:v>0.29545929296167572</c:v>
                </c:pt>
                <c:pt idx="147">
                  <c:v>0.29545929296167572</c:v>
                </c:pt>
                <c:pt idx="148">
                  <c:v>0.29545929296167572</c:v>
                </c:pt>
                <c:pt idx="149">
                  <c:v>0.29545929296167572</c:v>
                </c:pt>
                <c:pt idx="150">
                  <c:v>0.29545929296167572</c:v>
                </c:pt>
                <c:pt idx="151">
                  <c:v>0.29545929296167572</c:v>
                </c:pt>
                <c:pt idx="152">
                  <c:v>0.29545929296167572</c:v>
                </c:pt>
                <c:pt idx="153">
                  <c:v>0.29545929296167572</c:v>
                </c:pt>
                <c:pt idx="154">
                  <c:v>0.29545929296167572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BD-4517-BF09-5DFBF3013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6.1389448754190695E-2</c:v>
                </c:pt>
                <c:pt idx="2">
                  <c:v>6.1389448754190695E-2</c:v>
                </c:pt>
                <c:pt idx="3">
                  <c:v>6.1389448754190695E-2</c:v>
                </c:pt>
                <c:pt idx="4">
                  <c:v>6.1389448754190695E-2</c:v>
                </c:pt>
                <c:pt idx="5">
                  <c:v>6.1389448754190695E-2</c:v>
                </c:pt>
                <c:pt idx="6">
                  <c:v>6.1389448754190695E-2</c:v>
                </c:pt>
                <c:pt idx="7">
                  <c:v>6.1389448754190695E-2</c:v>
                </c:pt>
                <c:pt idx="8">
                  <c:v>6.1389448754190695E-2</c:v>
                </c:pt>
                <c:pt idx="9">
                  <c:v>6.1389448754190695E-2</c:v>
                </c:pt>
                <c:pt idx="10">
                  <c:v>6.1389448754190695E-2</c:v>
                </c:pt>
                <c:pt idx="11">
                  <c:v>6.1389448754190695E-2</c:v>
                </c:pt>
                <c:pt idx="12">
                  <c:v>6.1389448754190695E-2</c:v>
                </c:pt>
                <c:pt idx="13">
                  <c:v>9.5756783313596799E-2</c:v>
                </c:pt>
                <c:pt idx="14">
                  <c:v>9.5756783313596799E-2</c:v>
                </c:pt>
                <c:pt idx="15">
                  <c:v>9.5756783313596799E-2</c:v>
                </c:pt>
                <c:pt idx="16">
                  <c:v>9.5756783313596799E-2</c:v>
                </c:pt>
                <c:pt idx="17">
                  <c:v>9.5756783313596799E-2</c:v>
                </c:pt>
                <c:pt idx="18">
                  <c:v>9.5756783313596799E-2</c:v>
                </c:pt>
                <c:pt idx="19">
                  <c:v>9.5756783313596799E-2</c:v>
                </c:pt>
                <c:pt idx="20">
                  <c:v>9.5756783313596799E-2</c:v>
                </c:pt>
                <c:pt idx="21">
                  <c:v>9.5756783313596799E-2</c:v>
                </c:pt>
                <c:pt idx="22">
                  <c:v>9.5756783313596799E-2</c:v>
                </c:pt>
                <c:pt idx="23">
                  <c:v>9.5756783313596799E-2</c:v>
                </c:pt>
                <c:pt idx="24">
                  <c:v>9.5756783313596799E-2</c:v>
                </c:pt>
                <c:pt idx="25">
                  <c:v>9.5756783313596799E-2</c:v>
                </c:pt>
                <c:pt idx="26">
                  <c:v>9.5756783313596799E-2</c:v>
                </c:pt>
                <c:pt idx="27">
                  <c:v>9.5756783313596799E-2</c:v>
                </c:pt>
                <c:pt idx="28">
                  <c:v>9.5756783313596799E-2</c:v>
                </c:pt>
                <c:pt idx="29">
                  <c:v>9.5756783313596799E-2</c:v>
                </c:pt>
                <c:pt idx="30">
                  <c:v>9.5756783313596799E-2</c:v>
                </c:pt>
                <c:pt idx="31">
                  <c:v>9.5756783313596799E-2</c:v>
                </c:pt>
                <c:pt idx="32">
                  <c:v>9.5756783313596799E-2</c:v>
                </c:pt>
                <c:pt idx="33">
                  <c:v>9.5756783313596799E-2</c:v>
                </c:pt>
                <c:pt idx="34">
                  <c:v>9.5756783313596799E-2</c:v>
                </c:pt>
                <c:pt idx="35">
                  <c:v>9.5756783313596799E-2</c:v>
                </c:pt>
                <c:pt idx="36">
                  <c:v>9.5756783313596799E-2</c:v>
                </c:pt>
                <c:pt idx="37">
                  <c:v>9.5756783313596799E-2</c:v>
                </c:pt>
                <c:pt idx="38">
                  <c:v>9.5756783313596799E-2</c:v>
                </c:pt>
                <c:pt idx="39">
                  <c:v>9.5756783313596799E-2</c:v>
                </c:pt>
                <c:pt idx="40">
                  <c:v>9.5756783313596799E-2</c:v>
                </c:pt>
                <c:pt idx="41">
                  <c:v>9.5756783313596799E-2</c:v>
                </c:pt>
                <c:pt idx="42">
                  <c:v>0.14714050846835008</c:v>
                </c:pt>
                <c:pt idx="43">
                  <c:v>0.14714050846835008</c:v>
                </c:pt>
                <c:pt idx="44">
                  <c:v>0.14714050846835008</c:v>
                </c:pt>
                <c:pt idx="45">
                  <c:v>0.14714050846835008</c:v>
                </c:pt>
                <c:pt idx="46">
                  <c:v>0.18951431278187059</c:v>
                </c:pt>
                <c:pt idx="47">
                  <c:v>0.20367189517176487</c:v>
                </c:pt>
                <c:pt idx="48">
                  <c:v>0.20367189517176487</c:v>
                </c:pt>
                <c:pt idx="49">
                  <c:v>0.20367189517176487</c:v>
                </c:pt>
                <c:pt idx="50">
                  <c:v>0.20367189517176487</c:v>
                </c:pt>
                <c:pt idx="51">
                  <c:v>0.20367189517176487</c:v>
                </c:pt>
                <c:pt idx="52">
                  <c:v>0.20367189517176487</c:v>
                </c:pt>
                <c:pt idx="53">
                  <c:v>0.20367189517176487</c:v>
                </c:pt>
                <c:pt idx="54">
                  <c:v>0.20367189517176487</c:v>
                </c:pt>
                <c:pt idx="55">
                  <c:v>0.20367189517176487</c:v>
                </c:pt>
                <c:pt idx="56">
                  <c:v>0.20367189517176487</c:v>
                </c:pt>
                <c:pt idx="57">
                  <c:v>0.20367189517176487</c:v>
                </c:pt>
                <c:pt idx="58">
                  <c:v>0.20367189517176487</c:v>
                </c:pt>
                <c:pt idx="59">
                  <c:v>0.20367189517176487</c:v>
                </c:pt>
                <c:pt idx="60">
                  <c:v>0.20367189517176487</c:v>
                </c:pt>
                <c:pt idx="61">
                  <c:v>0.20367189517176487</c:v>
                </c:pt>
                <c:pt idx="62">
                  <c:v>0.20367189517176487</c:v>
                </c:pt>
                <c:pt idx="63">
                  <c:v>0.20367189517176487</c:v>
                </c:pt>
                <c:pt idx="64">
                  <c:v>0.20367189517176487</c:v>
                </c:pt>
                <c:pt idx="65">
                  <c:v>0.20367189517176487</c:v>
                </c:pt>
                <c:pt idx="66">
                  <c:v>0.20367189517176487</c:v>
                </c:pt>
                <c:pt idx="67">
                  <c:v>0.20367189517176487</c:v>
                </c:pt>
                <c:pt idx="68">
                  <c:v>0.20367189517176487</c:v>
                </c:pt>
                <c:pt idx="69">
                  <c:v>0.20367189517176487</c:v>
                </c:pt>
                <c:pt idx="70">
                  <c:v>0.20367189517176487</c:v>
                </c:pt>
                <c:pt idx="71">
                  <c:v>0.20367189517176487</c:v>
                </c:pt>
                <c:pt idx="72">
                  <c:v>0.20367189517176487</c:v>
                </c:pt>
                <c:pt idx="73">
                  <c:v>0.20367189517176487</c:v>
                </c:pt>
                <c:pt idx="74">
                  <c:v>0.20367189517176487</c:v>
                </c:pt>
                <c:pt idx="75">
                  <c:v>0.20367189517176487</c:v>
                </c:pt>
                <c:pt idx="76">
                  <c:v>0.23147308072947259</c:v>
                </c:pt>
                <c:pt idx="77">
                  <c:v>0.23147308072947259</c:v>
                </c:pt>
                <c:pt idx="78">
                  <c:v>0.23147308072947259</c:v>
                </c:pt>
                <c:pt idx="79">
                  <c:v>0.23147308072947259</c:v>
                </c:pt>
                <c:pt idx="80">
                  <c:v>0.23147308072947259</c:v>
                </c:pt>
                <c:pt idx="81">
                  <c:v>0.23147308072947259</c:v>
                </c:pt>
                <c:pt idx="82">
                  <c:v>0.23147308072947259</c:v>
                </c:pt>
                <c:pt idx="83">
                  <c:v>0.23147308072947259</c:v>
                </c:pt>
                <c:pt idx="84">
                  <c:v>0.23147308072947259</c:v>
                </c:pt>
                <c:pt idx="85">
                  <c:v>0.23147308072947259</c:v>
                </c:pt>
                <c:pt idx="86">
                  <c:v>0.23147308072947259</c:v>
                </c:pt>
                <c:pt idx="87">
                  <c:v>0.2206426012020252</c:v>
                </c:pt>
                <c:pt idx="88">
                  <c:v>0.35656875214647199</c:v>
                </c:pt>
                <c:pt idx="89">
                  <c:v>0.35656875214647199</c:v>
                </c:pt>
                <c:pt idx="90">
                  <c:v>0.35656875214647199</c:v>
                </c:pt>
                <c:pt idx="91">
                  <c:v>0.35656875214647199</c:v>
                </c:pt>
                <c:pt idx="92">
                  <c:v>0.35656875214647199</c:v>
                </c:pt>
                <c:pt idx="93">
                  <c:v>0.35656875214647199</c:v>
                </c:pt>
                <c:pt idx="94">
                  <c:v>0.35656875214647199</c:v>
                </c:pt>
                <c:pt idx="95">
                  <c:v>0.35656875214647199</c:v>
                </c:pt>
                <c:pt idx="96">
                  <c:v>0.35656875214647199</c:v>
                </c:pt>
                <c:pt idx="97">
                  <c:v>0.35656875214647199</c:v>
                </c:pt>
                <c:pt idx="98">
                  <c:v>0.35656875214647199</c:v>
                </c:pt>
                <c:pt idx="99">
                  <c:v>0.35656875214647199</c:v>
                </c:pt>
                <c:pt idx="100">
                  <c:v>0.35656875214647199</c:v>
                </c:pt>
                <c:pt idx="101">
                  <c:v>0.35656875214647199</c:v>
                </c:pt>
                <c:pt idx="102">
                  <c:v>0.35656875214647199</c:v>
                </c:pt>
                <c:pt idx="103">
                  <c:v>0.35656875214647199</c:v>
                </c:pt>
                <c:pt idx="104">
                  <c:v>0.35656875214647199</c:v>
                </c:pt>
                <c:pt idx="105">
                  <c:v>0.35656875214647199</c:v>
                </c:pt>
                <c:pt idx="106">
                  <c:v>0.35656875214647199</c:v>
                </c:pt>
                <c:pt idx="107">
                  <c:v>0.35656875214647199</c:v>
                </c:pt>
                <c:pt idx="108">
                  <c:v>0.35656875214647199</c:v>
                </c:pt>
                <c:pt idx="109">
                  <c:v>0.35656875214647199</c:v>
                </c:pt>
                <c:pt idx="110">
                  <c:v>0.35656875214647199</c:v>
                </c:pt>
                <c:pt idx="111">
                  <c:v>0.35656875214647199</c:v>
                </c:pt>
                <c:pt idx="112">
                  <c:v>0.35656875214647199</c:v>
                </c:pt>
                <c:pt idx="113">
                  <c:v>0.35656875214647199</c:v>
                </c:pt>
                <c:pt idx="114">
                  <c:v>0.35656875214647199</c:v>
                </c:pt>
                <c:pt idx="115">
                  <c:v>0.35656875214647199</c:v>
                </c:pt>
                <c:pt idx="116">
                  <c:v>0.35656875214647199</c:v>
                </c:pt>
                <c:pt idx="117">
                  <c:v>0.35656875214647199</c:v>
                </c:pt>
                <c:pt idx="118">
                  <c:v>0.35656875214647199</c:v>
                </c:pt>
                <c:pt idx="119">
                  <c:v>0.35656875214647199</c:v>
                </c:pt>
                <c:pt idx="120">
                  <c:v>0.35656875214647199</c:v>
                </c:pt>
                <c:pt idx="121">
                  <c:v>0.35656875214647199</c:v>
                </c:pt>
                <c:pt idx="122">
                  <c:v>0.35656875214647199</c:v>
                </c:pt>
                <c:pt idx="123">
                  <c:v>0.35656875214647199</c:v>
                </c:pt>
                <c:pt idx="124">
                  <c:v>0.42927410309418107</c:v>
                </c:pt>
                <c:pt idx="125">
                  <c:v>0.42927410309418107</c:v>
                </c:pt>
                <c:pt idx="126">
                  <c:v>0.42927410309418107</c:v>
                </c:pt>
                <c:pt idx="127">
                  <c:v>0.4298124215959741</c:v>
                </c:pt>
                <c:pt idx="128">
                  <c:v>0.47236364899509864</c:v>
                </c:pt>
                <c:pt idx="129">
                  <c:v>0.47236364899509864</c:v>
                </c:pt>
                <c:pt idx="130">
                  <c:v>0.47236364899509864</c:v>
                </c:pt>
                <c:pt idx="131">
                  <c:v>0.47236364899509864</c:v>
                </c:pt>
                <c:pt idx="132">
                  <c:v>0.47236364899509864</c:v>
                </c:pt>
                <c:pt idx="133">
                  <c:v>0.47236364899509864</c:v>
                </c:pt>
                <c:pt idx="134">
                  <c:v>0.47236364899509864</c:v>
                </c:pt>
                <c:pt idx="135">
                  <c:v>0.55154512859502758</c:v>
                </c:pt>
                <c:pt idx="136">
                  <c:v>0.55154512859502758</c:v>
                </c:pt>
                <c:pt idx="137">
                  <c:v>0.55154512859502758</c:v>
                </c:pt>
                <c:pt idx="138">
                  <c:v>0.55154512859502758</c:v>
                </c:pt>
                <c:pt idx="139">
                  <c:v>0.55154512859502758</c:v>
                </c:pt>
                <c:pt idx="140">
                  <c:v>0.55154512859502758</c:v>
                </c:pt>
                <c:pt idx="141">
                  <c:v>0.55154512859502758</c:v>
                </c:pt>
                <c:pt idx="142">
                  <c:v>0.55154512859502758</c:v>
                </c:pt>
                <c:pt idx="143">
                  <c:v>0.55154512859502758</c:v>
                </c:pt>
                <c:pt idx="144">
                  <c:v>0.55154512859502758</c:v>
                </c:pt>
                <c:pt idx="145">
                  <c:v>0.55154512859502758</c:v>
                </c:pt>
                <c:pt idx="146">
                  <c:v>0.55154512859502758</c:v>
                </c:pt>
                <c:pt idx="147">
                  <c:v>0.55154512859502758</c:v>
                </c:pt>
                <c:pt idx="148">
                  <c:v>0.55154512859502758</c:v>
                </c:pt>
                <c:pt idx="149">
                  <c:v>0.55154512859502758</c:v>
                </c:pt>
                <c:pt idx="150">
                  <c:v>0.55154512859502758</c:v>
                </c:pt>
                <c:pt idx="151">
                  <c:v>0.55154512859502758</c:v>
                </c:pt>
                <c:pt idx="152">
                  <c:v>0.55154512859502758</c:v>
                </c:pt>
                <c:pt idx="153">
                  <c:v>0.55154512859502758</c:v>
                </c:pt>
                <c:pt idx="154">
                  <c:v>0.55154512859502758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8-4BF2-962C-C6821D688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6.1389448754190695E-2</c:v>
                </c:pt>
                <c:pt idx="2">
                  <c:v>6.1389448754190695E-2</c:v>
                </c:pt>
                <c:pt idx="3">
                  <c:v>6.1389448754190695E-2</c:v>
                </c:pt>
                <c:pt idx="4">
                  <c:v>6.1389448754190695E-2</c:v>
                </c:pt>
                <c:pt idx="5">
                  <c:v>6.1389448754190695E-2</c:v>
                </c:pt>
                <c:pt idx="6">
                  <c:v>6.1389448754190695E-2</c:v>
                </c:pt>
                <c:pt idx="7">
                  <c:v>6.1389448754190695E-2</c:v>
                </c:pt>
                <c:pt idx="8">
                  <c:v>6.1389448754190695E-2</c:v>
                </c:pt>
                <c:pt idx="9">
                  <c:v>6.1389448754190695E-2</c:v>
                </c:pt>
                <c:pt idx="10">
                  <c:v>6.1389448754190695E-2</c:v>
                </c:pt>
                <c:pt idx="11">
                  <c:v>6.1389448754190695E-2</c:v>
                </c:pt>
                <c:pt idx="12">
                  <c:v>6.1389448754190695E-2</c:v>
                </c:pt>
                <c:pt idx="13">
                  <c:v>9.5756783313596799E-2</c:v>
                </c:pt>
                <c:pt idx="14">
                  <c:v>9.5756783313596799E-2</c:v>
                </c:pt>
                <c:pt idx="15">
                  <c:v>9.5756783313596799E-2</c:v>
                </c:pt>
                <c:pt idx="16">
                  <c:v>9.5756783313596799E-2</c:v>
                </c:pt>
                <c:pt idx="17">
                  <c:v>9.5756783313596799E-2</c:v>
                </c:pt>
                <c:pt idx="18">
                  <c:v>9.5756783313596799E-2</c:v>
                </c:pt>
                <c:pt idx="19">
                  <c:v>9.5756783313596799E-2</c:v>
                </c:pt>
                <c:pt idx="20">
                  <c:v>9.5756783313596799E-2</c:v>
                </c:pt>
                <c:pt idx="21">
                  <c:v>9.5756783313596799E-2</c:v>
                </c:pt>
                <c:pt idx="22">
                  <c:v>9.5756783313596799E-2</c:v>
                </c:pt>
                <c:pt idx="23">
                  <c:v>8.6769512313360136E-2</c:v>
                </c:pt>
                <c:pt idx="24">
                  <c:v>8.4494198476224608E-2</c:v>
                </c:pt>
                <c:pt idx="25">
                  <c:v>7.9769056096645793E-2</c:v>
                </c:pt>
                <c:pt idx="26">
                  <c:v>0.17470410854878426</c:v>
                </c:pt>
                <c:pt idx="27">
                  <c:v>0.17470410854878426</c:v>
                </c:pt>
                <c:pt idx="28">
                  <c:v>0.17470410854878426</c:v>
                </c:pt>
                <c:pt idx="29">
                  <c:v>0.17470410854878426</c:v>
                </c:pt>
                <c:pt idx="30">
                  <c:v>0.17470410854878426</c:v>
                </c:pt>
                <c:pt idx="31">
                  <c:v>0.17470410854878426</c:v>
                </c:pt>
                <c:pt idx="32">
                  <c:v>0.17470410854878426</c:v>
                </c:pt>
                <c:pt idx="33">
                  <c:v>0.17470410854878426</c:v>
                </c:pt>
                <c:pt idx="34">
                  <c:v>0.17470410854878426</c:v>
                </c:pt>
                <c:pt idx="35">
                  <c:v>0.17470410854878426</c:v>
                </c:pt>
                <c:pt idx="36">
                  <c:v>0.17470410854878426</c:v>
                </c:pt>
                <c:pt idx="37">
                  <c:v>0.17470410854878426</c:v>
                </c:pt>
                <c:pt idx="38">
                  <c:v>0.17470410854878426</c:v>
                </c:pt>
                <c:pt idx="39">
                  <c:v>0.17470410854878426</c:v>
                </c:pt>
                <c:pt idx="40">
                  <c:v>0.24447429917574215</c:v>
                </c:pt>
                <c:pt idx="41">
                  <c:v>0.24447429917574215</c:v>
                </c:pt>
                <c:pt idx="42">
                  <c:v>0.29585802433049546</c:v>
                </c:pt>
                <c:pt idx="43">
                  <c:v>0.29585802433049546</c:v>
                </c:pt>
                <c:pt idx="44">
                  <c:v>0.29585802433049546</c:v>
                </c:pt>
                <c:pt idx="45">
                  <c:v>0.29585802433049546</c:v>
                </c:pt>
                <c:pt idx="46">
                  <c:v>0.33823182864401596</c:v>
                </c:pt>
                <c:pt idx="47">
                  <c:v>0.35238941103391025</c:v>
                </c:pt>
                <c:pt idx="48">
                  <c:v>0.35238941103391025</c:v>
                </c:pt>
                <c:pt idx="49">
                  <c:v>0.35238941103391025</c:v>
                </c:pt>
                <c:pt idx="50">
                  <c:v>0.35238941103391025</c:v>
                </c:pt>
                <c:pt idx="51">
                  <c:v>0.35238941103391025</c:v>
                </c:pt>
                <c:pt idx="52">
                  <c:v>0.35238941103391025</c:v>
                </c:pt>
                <c:pt idx="53">
                  <c:v>0.35238941103391025</c:v>
                </c:pt>
                <c:pt idx="54">
                  <c:v>0.35238941103391025</c:v>
                </c:pt>
                <c:pt idx="55">
                  <c:v>0.35238941103391025</c:v>
                </c:pt>
                <c:pt idx="56">
                  <c:v>0.35238941103391025</c:v>
                </c:pt>
                <c:pt idx="57">
                  <c:v>0.35238941103391025</c:v>
                </c:pt>
                <c:pt idx="58">
                  <c:v>0.35238941103391025</c:v>
                </c:pt>
                <c:pt idx="59">
                  <c:v>0.35238941103391025</c:v>
                </c:pt>
                <c:pt idx="60">
                  <c:v>0.35238941103391025</c:v>
                </c:pt>
                <c:pt idx="61">
                  <c:v>0.35238941103391025</c:v>
                </c:pt>
                <c:pt idx="62">
                  <c:v>0.35238941103391025</c:v>
                </c:pt>
                <c:pt idx="63">
                  <c:v>0.35238941103391025</c:v>
                </c:pt>
                <c:pt idx="64">
                  <c:v>0.35238941103391025</c:v>
                </c:pt>
                <c:pt idx="65">
                  <c:v>0.35238941103391025</c:v>
                </c:pt>
                <c:pt idx="66">
                  <c:v>0.35238941103391025</c:v>
                </c:pt>
                <c:pt idx="67">
                  <c:v>0.35238941103391025</c:v>
                </c:pt>
                <c:pt idx="68">
                  <c:v>0.35238941103391025</c:v>
                </c:pt>
                <c:pt idx="69">
                  <c:v>0.35238941103391025</c:v>
                </c:pt>
                <c:pt idx="70">
                  <c:v>0.35238941103391025</c:v>
                </c:pt>
                <c:pt idx="71">
                  <c:v>0.35238941103391025</c:v>
                </c:pt>
                <c:pt idx="72">
                  <c:v>0.35238941103391025</c:v>
                </c:pt>
                <c:pt idx="73">
                  <c:v>0.35238941103391025</c:v>
                </c:pt>
                <c:pt idx="74">
                  <c:v>0.35238941103391025</c:v>
                </c:pt>
                <c:pt idx="75">
                  <c:v>0.35238941103391025</c:v>
                </c:pt>
                <c:pt idx="76">
                  <c:v>0.38019059659161797</c:v>
                </c:pt>
                <c:pt idx="77">
                  <c:v>0.38019059659161797</c:v>
                </c:pt>
                <c:pt idx="78">
                  <c:v>0.38019059659161797</c:v>
                </c:pt>
                <c:pt idx="79">
                  <c:v>0.38019059659161797</c:v>
                </c:pt>
                <c:pt idx="80">
                  <c:v>0.38019059659161797</c:v>
                </c:pt>
                <c:pt idx="81">
                  <c:v>0.38019059659161797</c:v>
                </c:pt>
                <c:pt idx="82">
                  <c:v>0.38019059659161797</c:v>
                </c:pt>
                <c:pt idx="83">
                  <c:v>0.38019059659161797</c:v>
                </c:pt>
                <c:pt idx="84">
                  <c:v>0.38019059659161797</c:v>
                </c:pt>
                <c:pt idx="85">
                  <c:v>0.38019059659161797</c:v>
                </c:pt>
                <c:pt idx="86">
                  <c:v>0.38019059659161797</c:v>
                </c:pt>
                <c:pt idx="87">
                  <c:v>0.36936011706417055</c:v>
                </c:pt>
                <c:pt idx="88">
                  <c:v>0.50528626800861742</c:v>
                </c:pt>
                <c:pt idx="89">
                  <c:v>0.50528626800861742</c:v>
                </c:pt>
                <c:pt idx="90">
                  <c:v>0.55876102115441073</c:v>
                </c:pt>
                <c:pt idx="91">
                  <c:v>0.55876102115441073</c:v>
                </c:pt>
                <c:pt idx="92">
                  <c:v>0.55876102115441073</c:v>
                </c:pt>
                <c:pt idx="93">
                  <c:v>0.55876102115441073</c:v>
                </c:pt>
                <c:pt idx="94">
                  <c:v>0.55876102115441073</c:v>
                </c:pt>
                <c:pt idx="95">
                  <c:v>0.55876102115441073</c:v>
                </c:pt>
                <c:pt idx="96">
                  <c:v>0.57871486056538013</c:v>
                </c:pt>
                <c:pt idx="97">
                  <c:v>0.57608308408794018</c:v>
                </c:pt>
                <c:pt idx="98">
                  <c:v>0.60363767860662298</c:v>
                </c:pt>
                <c:pt idx="99">
                  <c:v>0.60077477270001223</c:v>
                </c:pt>
                <c:pt idx="100">
                  <c:v>0.61245024601282194</c:v>
                </c:pt>
                <c:pt idx="101">
                  <c:v>0.61245024601282194</c:v>
                </c:pt>
                <c:pt idx="102">
                  <c:v>0.61245024601282194</c:v>
                </c:pt>
                <c:pt idx="103">
                  <c:v>0.61245024601282194</c:v>
                </c:pt>
                <c:pt idx="104">
                  <c:v>0.61245024601282194</c:v>
                </c:pt>
                <c:pt idx="105">
                  <c:v>0.61245024601282194</c:v>
                </c:pt>
                <c:pt idx="106">
                  <c:v>0.61245024601282194</c:v>
                </c:pt>
                <c:pt idx="107">
                  <c:v>0.65202804510814771</c:v>
                </c:pt>
                <c:pt idx="108">
                  <c:v>0.65202804510814771</c:v>
                </c:pt>
                <c:pt idx="109">
                  <c:v>0.65202804510814771</c:v>
                </c:pt>
                <c:pt idx="110">
                  <c:v>0.65202804510814771</c:v>
                </c:pt>
                <c:pt idx="111">
                  <c:v>0.65202804510814771</c:v>
                </c:pt>
                <c:pt idx="112">
                  <c:v>0.65202804510814771</c:v>
                </c:pt>
                <c:pt idx="113">
                  <c:v>0.65202804510814771</c:v>
                </c:pt>
                <c:pt idx="114">
                  <c:v>0.65202804510814771</c:v>
                </c:pt>
                <c:pt idx="115">
                  <c:v>0.65202804510814771</c:v>
                </c:pt>
                <c:pt idx="116">
                  <c:v>0.65202804510814771</c:v>
                </c:pt>
                <c:pt idx="117">
                  <c:v>0.65202804510814771</c:v>
                </c:pt>
                <c:pt idx="118">
                  <c:v>0.65202804510814771</c:v>
                </c:pt>
                <c:pt idx="119">
                  <c:v>0.65202804510814771</c:v>
                </c:pt>
                <c:pt idx="120">
                  <c:v>0.65202804510814771</c:v>
                </c:pt>
                <c:pt idx="121">
                  <c:v>0.65202804510814771</c:v>
                </c:pt>
                <c:pt idx="122">
                  <c:v>0.65202804510814771</c:v>
                </c:pt>
                <c:pt idx="123">
                  <c:v>0.65202804510814771</c:v>
                </c:pt>
                <c:pt idx="124">
                  <c:v>0.72473339605585685</c:v>
                </c:pt>
                <c:pt idx="125">
                  <c:v>0.72473339605585685</c:v>
                </c:pt>
                <c:pt idx="126">
                  <c:v>0.72473339605585685</c:v>
                </c:pt>
                <c:pt idx="127">
                  <c:v>0.72527171455764994</c:v>
                </c:pt>
                <c:pt idx="128">
                  <c:v>0.76782294195677447</c:v>
                </c:pt>
                <c:pt idx="129">
                  <c:v>0.76782294195677447</c:v>
                </c:pt>
                <c:pt idx="130">
                  <c:v>0.76782294195677447</c:v>
                </c:pt>
                <c:pt idx="131">
                  <c:v>0.76782294195677447</c:v>
                </c:pt>
                <c:pt idx="132">
                  <c:v>0.76782294195677447</c:v>
                </c:pt>
                <c:pt idx="133">
                  <c:v>0.76782294195677447</c:v>
                </c:pt>
                <c:pt idx="134">
                  <c:v>0.76782294195677447</c:v>
                </c:pt>
                <c:pt idx="135">
                  <c:v>0.84700442155670341</c:v>
                </c:pt>
                <c:pt idx="136">
                  <c:v>0.84700442155670341</c:v>
                </c:pt>
                <c:pt idx="137">
                  <c:v>0.84700442155670341</c:v>
                </c:pt>
                <c:pt idx="138">
                  <c:v>0.84700442155670341</c:v>
                </c:pt>
                <c:pt idx="139">
                  <c:v>0.84700442155670341</c:v>
                </c:pt>
                <c:pt idx="140">
                  <c:v>0.84700442155670341</c:v>
                </c:pt>
                <c:pt idx="141">
                  <c:v>0.84700442155670341</c:v>
                </c:pt>
                <c:pt idx="142">
                  <c:v>0.84700442155670341</c:v>
                </c:pt>
                <c:pt idx="143">
                  <c:v>0.84700442155670341</c:v>
                </c:pt>
                <c:pt idx="144">
                  <c:v>0.84700442155670341</c:v>
                </c:pt>
                <c:pt idx="145">
                  <c:v>0.84700442155670341</c:v>
                </c:pt>
                <c:pt idx="146">
                  <c:v>0.84700442155670341</c:v>
                </c:pt>
                <c:pt idx="147">
                  <c:v>0.84700442155670341</c:v>
                </c:pt>
                <c:pt idx="148">
                  <c:v>0.84700442155670341</c:v>
                </c:pt>
                <c:pt idx="149">
                  <c:v>0.84700442155670341</c:v>
                </c:pt>
                <c:pt idx="150">
                  <c:v>0.84700442155670341</c:v>
                </c:pt>
                <c:pt idx="151">
                  <c:v>0.84700442155670341</c:v>
                </c:pt>
                <c:pt idx="152">
                  <c:v>0.84700442155670341</c:v>
                </c:pt>
                <c:pt idx="153">
                  <c:v>0.84700442155670341</c:v>
                </c:pt>
                <c:pt idx="154">
                  <c:v>0.84700442155670341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1-4813-96FE-3E27C7EAB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611AFD-17B4-4E6E-9C8D-A1175196A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8BFDE9-7DBB-4F66-9E01-29C0FF368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47E14F-F093-45CF-9E05-4C374576C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F5DE79-4B68-4D27-B52E-DBBB1AC79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7544F4-06B4-4D76-810A-A8D0F4EF4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452658-6525-461F-879C-103EE848D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3708634-CE5E-437E-A055-CBD1C0EEB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5239-329C-475C-91C5-1AC481841FCE}">
  <dimension ref="A1:DZ179"/>
  <sheetViews>
    <sheetView tabSelected="1" topLeftCell="A139" workbookViewId="0">
      <selection activeCell="N16" sqref="N16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5" width="13.28515625" style="15" bestFit="1" customWidth="1"/>
    <col min="6" max="6" width="11.5703125" style="33" bestFit="1" customWidth="1"/>
    <col min="7" max="7" width="20" style="33" bestFit="1" customWidth="1"/>
    <col min="8" max="8" width="11.5703125" style="33" bestFit="1" customWidth="1"/>
    <col min="9" max="9" width="20" style="33" bestFit="1" customWidth="1"/>
    <col min="10" max="11" width="22.7109375" style="33" bestFit="1" customWidth="1"/>
    <col min="12" max="13" width="11" style="33" bestFit="1" customWidth="1"/>
    <col min="14" max="14" width="15.28515625" style="34" bestFit="1" customWidth="1"/>
    <col min="15" max="15" width="18.85546875" style="34" bestFit="1" customWidth="1"/>
    <col min="16" max="17" width="22.28515625" style="34" bestFit="1" customWidth="1"/>
    <col min="18" max="18" width="13.42578125" style="33" bestFit="1" customWidth="1"/>
    <col min="19" max="20" width="16.7109375" style="33" bestFit="1" customWidth="1"/>
    <col min="21" max="21" width="26.7109375" style="15" bestFit="1" customWidth="1"/>
    <col min="22" max="23" width="30.140625" style="15" bestFit="1" customWidth="1"/>
    <col min="24" max="24" width="17.42578125" style="34" bestFit="1" customWidth="1"/>
    <col min="25" max="25" width="20.85546875" style="34" bestFit="1" customWidth="1"/>
    <col min="26" max="27" width="24.28515625" style="34" bestFit="1" customWidth="1"/>
    <col min="28" max="28" width="14.42578125" style="33" bestFit="1" customWidth="1"/>
    <col min="29" max="30" width="17.85546875" style="33" bestFit="1" customWidth="1"/>
    <col min="31" max="31" width="28.7109375" style="15" bestFit="1" customWidth="1"/>
    <col min="32" max="33" width="32.140625" style="15" bestFit="1" customWidth="1"/>
    <col min="34" max="34" width="1.7109375" style="9" customWidth="1"/>
    <col min="35" max="35" width="7.7109375" style="15" bestFit="1" customWidth="1"/>
    <col min="36" max="36" width="6.2851562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2" width="13.28515625" style="15" bestFit="1" customWidth="1"/>
    <col min="43" max="43" width="12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3" width="13.28515625" style="15" bestFit="1" customWidth="1"/>
    <col min="54" max="54" width="12" style="15" bestFit="1" customWidth="1"/>
    <col min="55" max="55" width="8.7109375" style="15" bestFit="1" customWidth="1"/>
    <col min="56" max="56" width="1.7109375" style="9" customWidth="1"/>
    <col min="57" max="57" width="12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2.712839378297589</v>
      </c>
      <c r="AJ1" s="4">
        <v>0</v>
      </c>
      <c r="AK1" s="4">
        <f t="shared" ref="AK1:AQ1" si="0">AJ1-$AK12</f>
        <v>-0.01</v>
      </c>
      <c r="AL1" s="4">
        <f t="shared" si="0"/>
        <v>-0.02</v>
      </c>
      <c r="AM1" s="4">
        <f t="shared" si="0"/>
        <v>-0.03</v>
      </c>
      <c r="AN1" s="4">
        <f t="shared" si="0"/>
        <v>-0.04</v>
      </c>
      <c r="AO1" s="4">
        <f t="shared" si="0"/>
        <v>-0.05</v>
      </c>
      <c r="AP1" s="4">
        <f t="shared" si="0"/>
        <v>-6.0000000000000005E-2</v>
      </c>
      <c r="AQ1" s="4">
        <f t="shared" si="0"/>
        <v>-7.0000000000000007E-2</v>
      </c>
      <c r="AR1" s="5" t="s">
        <v>33</v>
      </c>
      <c r="AS1" s="2"/>
      <c r="AT1" s="3">
        <f>BB16</f>
        <v>3.4894310424914399</v>
      </c>
      <c r="AU1" s="4">
        <v>0</v>
      </c>
      <c r="AV1" s="6">
        <f>AU1+$AV12</f>
        <v>0.01</v>
      </c>
      <c r="AW1" s="6">
        <f t="shared" ref="AW1:BB1" si="1">AV1+$AV12</f>
        <v>0.02</v>
      </c>
      <c r="AX1" s="6">
        <f t="shared" si="1"/>
        <v>0.03</v>
      </c>
      <c r="AY1" s="6">
        <f t="shared" si="1"/>
        <v>0.04</v>
      </c>
      <c r="AZ1" s="6">
        <f t="shared" si="1"/>
        <v>0.05</v>
      </c>
      <c r="BA1" s="6">
        <f t="shared" si="1"/>
        <v>6.0000000000000005E-2</v>
      </c>
      <c r="BB1" s="6">
        <f t="shared" si="1"/>
        <v>7.0000000000000007E-2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249.87</v>
      </c>
      <c r="C2" s="33">
        <v>244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249.87</v>
      </c>
      <c r="M2" s="33">
        <v>244</v>
      </c>
      <c r="N2" s="34">
        <v>0.976507784047704</v>
      </c>
      <c r="O2" s="34">
        <v>1.00650546826212</v>
      </c>
      <c r="X2" s="34">
        <v>0.976507784047704</v>
      </c>
      <c r="Y2" s="34">
        <v>1.00650546826212</v>
      </c>
      <c r="AI2" s="4">
        <v>0</v>
      </c>
      <c r="AJ2" s="10">
        <f t="dataTable" ref="AJ2:AQ9" dt2D="1" dtr="1" r1="AI21" r2="AI22"/>
        <v>3.1784054582683403</v>
      </c>
      <c r="AK2" s="10">
        <v>3.1530868689306892</v>
      </c>
      <c r="AL2" s="10">
        <v>2.7286196383166104</v>
      </c>
      <c r="AM2" s="10">
        <v>2.6507079563091036</v>
      </c>
      <c r="AN2" s="10">
        <v>2.2555575388464688</v>
      </c>
      <c r="AO2" s="10">
        <v>1.8618349846748483</v>
      </c>
      <c r="AP2" s="10">
        <v>1.4534957485974265</v>
      </c>
      <c r="AQ2" s="10">
        <v>1.1786967052781352</v>
      </c>
      <c r="AR2"/>
      <c r="AT2" s="4">
        <v>0</v>
      </c>
      <c r="AU2" s="10">
        <f t="dataTable" ref="AU2:BB9" dt2D="1" dtr="1" r1="AT21" r2="AT22"/>
        <v>2.5449422825961676</v>
      </c>
      <c r="AV2" s="11">
        <v>2.9202565376067833</v>
      </c>
      <c r="AW2" s="11">
        <v>3.0070960759313077</v>
      </c>
      <c r="AX2" s="11">
        <v>2.1246648304687454</v>
      </c>
      <c r="AY2" s="11">
        <v>2.0781390479817103</v>
      </c>
      <c r="AZ2" s="11">
        <v>2.7707600355578177</v>
      </c>
      <c r="BA2" s="11">
        <v>2.8658226669150477</v>
      </c>
      <c r="BB2" s="11">
        <v>2.1537181203836036</v>
      </c>
      <c r="BC2"/>
    </row>
    <row r="3" spans="1:130" x14ac:dyDescent="0.25">
      <c r="A3" s="1">
        <v>46027</v>
      </c>
      <c r="B3" s="33">
        <v>252.67</v>
      </c>
      <c r="C3" s="33">
        <v>255</v>
      </c>
      <c r="D3" s="15">
        <v>1.1143506884018399E-2</v>
      </c>
      <c r="E3" s="15">
        <v>4.4095319865224303E-2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252.67</v>
      </c>
      <c r="M3" s="33">
        <v>255</v>
      </c>
      <c r="N3" s="34">
        <v>1.0092215142280401</v>
      </c>
      <c r="O3" s="34">
        <v>1.00650546826212</v>
      </c>
      <c r="R3" s="33">
        <v>254.31373666579</v>
      </c>
      <c r="U3" s="15">
        <v>-2.6948566281392102E-3</v>
      </c>
      <c r="X3" s="34">
        <v>1.0092215142280401</v>
      </c>
      <c r="Y3" s="34">
        <v>1.00650546826212</v>
      </c>
      <c r="AB3" s="33">
        <v>254.31373666579</v>
      </c>
      <c r="AE3" s="15">
        <v>-2.6948566281392102E-3</v>
      </c>
      <c r="AI3" s="4">
        <f t="shared" ref="AI3:AI9" si="2">AI2-AK$12</f>
        <v>-0.01</v>
      </c>
      <c r="AJ3" s="10">
        <v>3.1784054582683403</v>
      </c>
      <c r="AK3" s="10">
        <v>4.5473813994533003</v>
      </c>
      <c r="AL3" s="10">
        <v>4.2673370347393531</v>
      </c>
      <c r="AM3" s="10">
        <v>3.2955318198762225</v>
      </c>
      <c r="AN3" s="10">
        <v>2.712839378297589</v>
      </c>
      <c r="AO3" s="11">
        <v>2.0693430200643004</v>
      </c>
      <c r="AP3" s="10">
        <v>1.6597029928527784</v>
      </c>
      <c r="AQ3" s="10">
        <v>1.1786967052781352</v>
      </c>
      <c r="AR3"/>
      <c r="AT3" s="4">
        <f>AT2+AV$12</f>
        <v>0.01</v>
      </c>
      <c r="AU3" s="10">
        <v>2.5449422825961676</v>
      </c>
      <c r="AV3" s="11">
        <v>3.9245562422491367</v>
      </c>
      <c r="AW3" s="11">
        <v>4.138138801096293</v>
      </c>
      <c r="AX3" s="11">
        <v>3.1424003461669647</v>
      </c>
      <c r="AY3" s="11">
        <v>3.4894310424914399</v>
      </c>
      <c r="AZ3" s="11">
        <v>2.9381212549970188</v>
      </c>
      <c r="BA3" s="11">
        <v>2.3659017118247303</v>
      </c>
      <c r="BB3" s="11">
        <v>1.5929739335580406</v>
      </c>
      <c r="BC3"/>
    </row>
    <row r="4" spans="1:130" x14ac:dyDescent="0.25">
      <c r="A4" s="1">
        <v>46028</v>
      </c>
      <c r="B4" s="33">
        <v>257.70999999999998</v>
      </c>
      <c r="C4" s="33">
        <v>255</v>
      </c>
      <c r="D4" s="15">
        <v>1.9750632217851199E-2</v>
      </c>
      <c r="E4" s="15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257.70999999999998</v>
      </c>
      <c r="M4" s="33">
        <v>255</v>
      </c>
      <c r="N4" s="34">
        <v>0.98948430406270604</v>
      </c>
      <c r="O4" s="34">
        <v>1.00650546826212</v>
      </c>
      <c r="R4" s="33">
        <v>259.38652422583101</v>
      </c>
      <c r="U4" s="15">
        <v>1.7055775589712E-2</v>
      </c>
      <c r="X4" s="34">
        <v>0.98948430406270604</v>
      </c>
      <c r="Y4" s="34">
        <v>1.00650546826212</v>
      </c>
      <c r="AB4" s="33">
        <v>259.38652422583101</v>
      </c>
      <c r="AE4" s="15">
        <v>1.7055775589712E-2</v>
      </c>
      <c r="AG4"/>
      <c r="AI4" s="4">
        <f t="shared" si="2"/>
        <v>-0.02</v>
      </c>
      <c r="AJ4" s="10">
        <v>3.1784054582683403</v>
      </c>
      <c r="AK4" s="11">
        <v>4.5473813994533003</v>
      </c>
      <c r="AL4" s="11">
        <v>4.3063724234859686</v>
      </c>
      <c r="AM4" s="11">
        <v>2.9987771864345492</v>
      </c>
      <c r="AN4" s="10">
        <v>2.6396102140648883</v>
      </c>
      <c r="AO4" s="11">
        <v>1.9807676160224015</v>
      </c>
      <c r="AP4" s="11">
        <v>1.5592804253153261</v>
      </c>
      <c r="AQ4" s="11">
        <v>1.1786967052781352</v>
      </c>
      <c r="AR4"/>
      <c r="AT4" s="4">
        <f t="shared" ref="AT4:AT9" si="3">AT3+AV$12</f>
        <v>0.02</v>
      </c>
      <c r="AU4" s="10">
        <v>2.5449422825961676</v>
      </c>
      <c r="AV4" s="11">
        <v>3.9245562422491367</v>
      </c>
      <c r="AW4" s="11">
        <v>4.0595928375723931</v>
      </c>
      <c r="AX4" s="11">
        <v>3.1424003461669647</v>
      </c>
      <c r="AY4" s="11">
        <v>3.4894310424914399</v>
      </c>
      <c r="AZ4" s="11">
        <v>2.9381212549970188</v>
      </c>
      <c r="BA4" s="11">
        <v>2.3659017118247303</v>
      </c>
      <c r="BB4" s="11">
        <v>1.5929739335580406</v>
      </c>
      <c r="BC4"/>
      <c r="BE4" s="8"/>
      <c r="BF4" s="8"/>
    </row>
    <row r="5" spans="1:130" x14ac:dyDescent="0.25">
      <c r="A5" s="1">
        <v>46029</v>
      </c>
      <c r="B5" s="33">
        <v>259.55</v>
      </c>
      <c r="C5" s="33">
        <v>255</v>
      </c>
      <c r="D5" s="15">
        <v>7.1144405560093302E-3</v>
      </c>
      <c r="E5" s="15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259.55</v>
      </c>
      <c r="M5" s="33">
        <v>255</v>
      </c>
      <c r="N5" s="34">
        <v>0.98246965902523598</v>
      </c>
      <c r="O5" s="34">
        <v>1.00650546826212</v>
      </c>
      <c r="R5" s="33">
        <v>261.23849428743301</v>
      </c>
      <c r="U5" s="15">
        <v>2.4170216145721402E-2</v>
      </c>
      <c r="X5" s="34">
        <v>0.98246965902523598</v>
      </c>
      <c r="Y5" s="34">
        <v>1.00650546826212</v>
      </c>
      <c r="AB5" s="33">
        <v>261.23849428743301</v>
      </c>
      <c r="AE5" s="15">
        <v>2.4170216145721402E-2</v>
      </c>
      <c r="AG5" s="29"/>
      <c r="AI5" s="4">
        <f t="shared" si="2"/>
        <v>-0.03</v>
      </c>
      <c r="AJ5" s="10">
        <v>3.1784054582683403</v>
      </c>
      <c r="AK5" s="11">
        <v>4.5473813994533003</v>
      </c>
      <c r="AL5" s="11">
        <v>4.3063724234859686</v>
      </c>
      <c r="AM5" s="11">
        <v>2.9987771864345492</v>
      </c>
      <c r="AN5" s="11">
        <v>2.6396102140648883</v>
      </c>
      <c r="AO5" s="11">
        <v>1.9807676160224015</v>
      </c>
      <c r="AP5" s="10">
        <v>1.5592804253153261</v>
      </c>
      <c r="AQ5" s="11">
        <v>1.1786967052781352</v>
      </c>
      <c r="AR5"/>
      <c r="AT5" s="4">
        <f t="shared" si="3"/>
        <v>0.03</v>
      </c>
      <c r="AU5" s="10">
        <v>2.5449422825961676</v>
      </c>
      <c r="AV5" s="11">
        <v>3.9245562422491367</v>
      </c>
      <c r="AW5" s="11">
        <v>4.0595928375723931</v>
      </c>
      <c r="AX5" s="11">
        <v>3.468208349123735</v>
      </c>
      <c r="AY5" s="11">
        <v>3.4041223972319203</v>
      </c>
      <c r="AZ5" s="11">
        <v>2.849514086355863</v>
      </c>
      <c r="BA5" s="11">
        <v>2.2673555790411255</v>
      </c>
      <c r="BB5" s="11">
        <v>1.5929739335580406</v>
      </c>
      <c r="BC5"/>
    </row>
    <row r="6" spans="1:130" x14ac:dyDescent="0.25">
      <c r="A6" s="1">
        <v>46030</v>
      </c>
      <c r="B6" s="33">
        <v>262.98</v>
      </c>
      <c r="C6" s="33">
        <v>255</v>
      </c>
      <c r="D6" s="15">
        <v>1.31286213855348E-2</v>
      </c>
      <c r="E6" s="15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262.98</v>
      </c>
      <c r="M6" s="33">
        <v>255</v>
      </c>
      <c r="N6" s="34">
        <v>0.96965548710928495</v>
      </c>
      <c r="O6" s="34">
        <v>1.00650546826212</v>
      </c>
      <c r="R6" s="33">
        <v>264.69080804357202</v>
      </c>
      <c r="U6" s="15">
        <v>3.7298837531256103E-2</v>
      </c>
      <c r="X6" s="34">
        <v>0.96965548710928495</v>
      </c>
      <c r="Y6" s="34">
        <v>1.00650546826212</v>
      </c>
      <c r="AB6" s="33">
        <v>264.69080804357202</v>
      </c>
      <c r="AE6" s="15">
        <v>3.7298837531256103E-2</v>
      </c>
      <c r="AG6" s="29"/>
      <c r="AI6" s="4">
        <f t="shared" si="2"/>
        <v>-0.04</v>
      </c>
      <c r="AJ6" s="10">
        <v>3.1784054582683403</v>
      </c>
      <c r="AK6" s="11">
        <v>4.5473813994533003</v>
      </c>
      <c r="AL6" s="11">
        <v>4.3063724234859686</v>
      </c>
      <c r="AM6" s="11">
        <v>2.9987771864345492</v>
      </c>
      <c r="AN6" s="11">
        <v>2.6396102140648883</v>
      </c>
      <c r="AO6" s="11">
        <v>1.9807676160224015</v>
      </c>
      <c r="AP6" s="11">
        <v>1.5592804253153261</v>
      </c>
      <c r="AQ6" s="11">
        <v>1.1786967052781352</v>
      </c>
      <c r="AR6"/>
      <c r="AT6" s="4">
        <f t="shared" si="3"/>
        <v>0.04</v>
      </c>
      <c r="AU6" s="10">
        <v>2.5449422825961676</v>
      </c>
      <c r="AV6" s="11">
        <v>3.9245562422491367</v>
      </c>
      <c r="AW6" s="11">
        <v>4.0595928375723931</v>
      </c>
      <c r="AX6" s="11">
        <v>3.468208349123735</v>
      </c>
      <c r="AY6" s="11">
        <v>3.1957867184654458</v>
      </c>
      <c r="AZ6" s="11">
        <v>2.849514086355863</v>
      </c>
      <c r="BA6" s="11">
        <v>2.2673555790411255</v>
      </c>
      <c r="BB6" s="11">
        <v>1.5929739335580406</v>
      </c>
      <c r="BC6"/>
    </row>
    <row r="7" spans="1:130" x14ac:dyDescent="0.25">
      <c r="A7" s="1">
        <v>46031</v>
      </c>
      <c r="B7" s="33">
        <v>272.64999999999998</v>
      </c>
      <c r="C7" s="33">
        <v>267</v>
      </c>
      <c r="D7" s="15">
        <v>3.61109377132975E-2</v>
      </c>
      <c r="E7" s="15">
        <v>4.5985113241823403E-2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272.64999999999998</v>
      </c>
      <c r="M7" s="33">
        <v>267</v>
      </c>
      <c r="N7" s="34">
        <v>0.97927746194755105</v>
      </c>
      <c r="O7" s="34">
        <v>1.00650546826212</v>
      </c>
      <c r="R7" s="33">
        <v>274.423715921667</v>
      </c>
      <c r="U7" s="15">
        <v>2.7424662002730499E-2</v>
      </c>
      <c r="X7" s="34">
        <v>0.97927746194755105</v>
      </c>
      <c r="Y7" s="34">
        <v>1.00650546826212</v>
      </c>
      <c r="AB7" s="33">
        <v>274.423715921667</v>
      </c>
      <c r="AE7" s="15">
        <v>2.7424662002730499E-2</v>
      </c>
      <c r="AG7"/>
      <c r="AI7" s="4">
        <f t="shared" si="2"/>
        <v>-0.05</v>
      </c>
      <c r="AJ7" s="10">
        <v>3.1784054582683403</v>
      </c>
      <c r="AK7" s="11">
        <v>4.5473813994533003</v>
      </c>
      <c r="AL7" s="11">
        <v>4.3063724234859686</v>
      </c>
      <c r="AM7" s="11">
        <v>2.9987771864345492</v>
      </c>
      <c r="AN7" s="11">
        <v>2.6396102140648883</v>
      </c>
      <c r="AO7" s="11">
        <v>1.7512675281784835</v>
      </c>
      <c r="AP7" s="11">
        <v>1.2926378304219344</v>
      </c>
      <c r="AQ7" s="11">
        <v>1.1786967052781352</v>
      </c>
      <c r="AR7"/>
      <c r="AT7" s="4">
        <f t="shared" si="3"/>
        <v>0.05</v>
      </c>
      <c r="AU7" s="10">
        <v>2.5449422825961676</v>
      </c>
      <c r="AV7" s="11">
        <v>3.9245562422491367</v>
      </c>
      <c r="AW7" s="11">
        <v>4.0595928375723931</v>
      </c>
      <c r="AX7" s="11">
        <v>3.468208349123735</v>
      </c>
      <c r="AY7" s="11">
        <v>3.1957867184654458</v>
      </c>
      <c r="AZ7" s="11">
        <v>2.849514086355863</v>
      </c>
      <c r="BA7" s="11">
        <v>2.2673555790411255</v>
      </c>
      <c r="BB7" s="11">
        <v>1.5929739335580406</v>
      </c>
      <c r="BC7"/>
    </row>
    <row r="8" spans="1:130" x14ac:dyDescent="0.25">
      <c r="A8" s="1">
        <v>46034</v>
      </c>
      <c r="B8" s="33">
        <v>276.3</v>
      </c>
      <c r="C8" s="33">
        <v>277.17</v>
      </c>
      <c r="D8" s="15">
        <v>1.3298310557300399E-2</v>
      </c>
      <c r="E8" s="15">
        <v>3.7382377950513898E-2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276.3</v>
      </c>
      <c r="M8" s="33">
        <v>277.17</v>
      </c>
      <c r="N8" s="34">
        <v>1.0031487513572199</v>
      </c>
      <c r="O8" s="34">
        <v>1.00650546826212</v>
      </c>
      <c r="R8" s="33">
        <v>278.09746088082301</v>
      </c>
      <c r="U8" s="15">
        <v>3.3405946095168E-3</v>
      </c>
      <c r="X8" s="34">
        <v>1.0031487513572199</v>
      </c>
      <c r="Y8" s="34">
        <v>1.00650546826212</v>
      </c>
      <c r="AB8" s="33">
        <v>278.09746088082301</v>
      </c>
      <c r="AE8" s="15">
        <v>3.3405946095168E-3</v>
      </c>
      <c r="AG8"/>
      <c r="AI8" s="4">
        <f t="shared" si="2"/>
        <v>-6.0000000000000005E-2</v>
      </c>
      <c r="AJ8" s="10">
        <v>3.1784054582683403</v>
      </c>
      <c r="AK8" s="11">
        <v>4.5473813994533003</v>
      </c>
      <c r="AL8" s="11">
        <v>4.3063724234859686</v>
      </c>
      <c r="AM8" s="11">
        <v>2.9987771864345492</v>
      </c>
      <c r="AN8" s="11">
        <v>2.6396102140648883</v>
      </c>
      <c r="AO8" s="11">
        <v>1.7512675281784835</v>
      </c>
      <c r="AP8" s="11">
        <v>1.2926378304219344</v>
      </c>
      <c r="AQ8" s="11">
        <v>1.1786967052781352</v>
      </c>
      <c r="AR8"/>
      <c r="AT8" s="4">
        <f t="shared" si="3"/>
        <v>6.0000000000000005E-2</v>
      </c>
      <c r="AU8" s="10">
        <v>2.5449422825961676</v>
      </c>
      <c r="AV8" s="11">
        <v>3.9245562422491367</v>
      </c>
      <c r="AW8" s="11">
        <v>4.0595928375723931</v>
      </c>
      <c r="AX8" s="11">
        <v>3.468208349123735</v>
      </c>
      <c r="AY8" s="11">
        <v>3.1957867184654458</v>
      </c>
      <c r="AZ8" s="11">
        <v>2.849514086355863</v>
      </c>
      <c r="BA8" s="11">
        <v>2.2673555790411255</v>
      </c>
      <c r="BB8" s="11">
        <v>1.5929739335580406</v>
      </c>
      <c r="BC8"/>
    </row>
    <row r="9" spans="1:130" x14ac:dyDescent="0.25">
      <c r="A9" s="1">
        <v>46035</v>
      </c>
      <c r="B9" s="33">
        <v>276.61</v>
      </c>
      <c r="C9" s="33">
        <v>277.17</v>
      </c>
      <c r="D9" s="15">
        <v>1.1213399377220201E-3</v>
      </c>
      <c r="E9" s="15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276.61</v>
      </c>
      <c r="M9" s="33">
        <v>277.17</v>
      </c>
      <c r="N9" s="34">
        <v>1.0020245110444299</v>
      </c>
      <c r="O9" s="34">
        <v>1.00650546826212</v>
      </c>
      <c r="R9" s="33">
        <v>278.40947757598502</v>
      </c>
      <c r="U9" s="15">
        <v>4.4619345472389502E-3</v>
      </c>
      <c r="X9" s="34">
        <v>1.0020245110444299</v>
      </c>
      <c r="Y9" s="34">
        <v>1.00650546826212</v>
      </c>
      <c r="AB9" s="33">
        <v>278.40947757598502</v>
      </c>
      <c r="AE9" s="15">
        <v>4.4619345472389502E-3</v>
      </c>
      <c r="AF9"/>
      <c r="AI9" s="4">
        <f t="shared" si="2"/>
        <v>-7.0000000000000007E-2</v>
      </c>
      <c r="AJ9" s="10">
        <v>3.1784054582683403</v>
      </c>
      <c r="AK9" s="11">
        <v>4.5473813994533003</v>
      </c>
      <c r="AL9" s="11">
        <v>4.3063724234859686</v>
      </c>
      <c r="AM9" s="11">
        <v>2.9987771864345492</v>
      </c>
      <c r="AN9" s="11">
        <v>2.6396102140648883</v>
      </c>
      <c r="AO9" s="11">
        <v>1.7512675281784835</v>
      </c>
      <c r="AP9" s="11">
        <v>1.2926378304219344</v>
      </c>
      <c r="AQ9" s="11">
        <v>1.1786967052781352</v>
      </c>
      <c r="AR9"/>
      <c r="AT9" s="4">
        <f t="shared" si="3"/>
        <v>7.0000000000000007E-2</v>
      </c>
      <c r="AU9" s="10">
        <v>2.5449422825961676</v>
      </c>
      <c r="AV9" s="10">
        <v>3.9245562422491367</v>
      </c>
      <c r="AW9" s="10">
        <v>4.0595928375723931</v>
      </c>
      <c r="AX9" s="10">
        <v>3.468208349123735</v>
      </c>
      <c r="AY9" s="10">
        <v>3.1957867184654458</v>
      </c>
      <c r="AZ9" s="10">
        <v>2.849514086355863</v>
      </c>
      <c r="BA9" s="10">
        <v>2.2673555790411255</v>
      </c>
      <c r="BB9" s="10">
        <v>1.5929739335580406</v>
      </c>
      <c r="BC9"/>
    </row>
    <row r="10" spans="1:130" x14ac:dyDescent="0.25">
      <c r="A10" s="1">
        <v>46036</v>
      </c>
      <c r="B10" s="33">
        <v>284.89</v>
      </c>
      <c r="C10" s="33">
        <v>285</v>
      </c>
      <c r="D10" s="15">
        <v>2.9494568985648999E-2</v>
      </c>
      <c r="E10" s="15">
        <v>2.78581439178869E-2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284.89</v>
      </c>
      <c r="M10" s="33">
        <v>285</v>
      </c>
      <c r="N10" s="34">
        <v>1.00038611393871</v>
      </c>
      <c r="O10" s="34">
        <v>1.00650546826212</v>
      </c>
      <c r="R10" s="33">
        <v>286.74334285319497</v>
      </c>
      <c r="U10" s="15">
        <v>6.0983596150009697E-3</v>
      </c>
      <c r="X10" s="34">
        <v>1.00038611393871</v>
      </c>
      <c r="Y10" s="34">
        <v>1.00650546826212</v>
      </c>
      <c r="AB10" s="33">
        <v>286.74334285319497</v>
      </c>
      <c r="AE10" s="15">
        <v>6.0983596150009697E-3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293.04000000000002</v>
      </c>
      <c r="C11" s="33">
        <v>285</v>
      </c>
      <c r="D11" s="15">
        <v>2.82059776178171E-2</v>
      </c>
      <c r="E11" s="15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293.04000000000002</v>
      </c>
      <c r="M11" s="33">
        <v>285</v>
      </c>
      <c r="N11" s="34">
        <v>0.97256347256347198</v>
      </c>
      <c r="O11" s="34">
        <v>1.00650546826212</v>
      </c>
      <c r="P11" s="34">
        <v>0.988473905932436</v>
      </c>
      <c r="R11" s="33">
        <v>294.946362419531</v>
      </c>
      <c r="U11" s="15">
        <v>3.4304337232817998E-2</v>
      </c>
      <c r="X11" s="34">
        <v>0.97256347256347198</v>
      </c>
      <c r="Y11" s="34">
        <v>1.00650546826212</v>
      </c>
      <c r="Z11" s="34">
        <v>0.988473905932436</v>
      </c>
      <c r="AB11" s="33">
        <v>294.946362419531</v>
      </c>
      <c r="AE11" s="15">
        <v>3.4304337232817998E-2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290.8</v>
      </c>
      <c r="C12" s="33">
        <v>293.99</v>
      </c>
      <c r="D12" s="15">
        <v>-7.6733728111946196E-3</v>
      </c>
      <c r="E12" s="15">
        <v>3.1056572886113101E-2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290.8</v>
      </c>
      <c r="M12" s="33">
        <v>293.99</v>
      </c>
      <c r="N12" s="34">
        <v>1.01096973865199</v>
      </c>
      <c r="O12" s="34">
        <v>1.00650546826212</v>
      </c>
      <c r="P12" s="34">
        <v>0.99192010139286502</v>
      </c>
      <c r="R12" s="33">
        <v>292.69179017062402</v>
      </c>
      <c r="S12" s="33">
        <v>287.448211845152</v>
      </c>
      <c r="U12" s="15">
        <v>-4.42560846448965E-3</v>
      </c>
      <c r="V12" s="15">
        <v>-2.2503041855716902E-2</v>
      </c>
      <c r="X12" s="34">
        <v>1.01096973865199</v>
      </c>
      <c r="Y12" s="34">
        <v>1.00650546826212</v>
      </c>
      <c r="Z12" s="34">
        <v>0.99192010139286502</v>
      </c>
      <c r="AB12" s="33">
        <v>292.69179017062402</v>
      </c>
      <c r="AC12" s="33">
        <v>287.448211845152</v>
      </c>
      <c r="AE12" s="15">
        <v>-4.42560846448965E-3</v>
      </c>
      <c r="AF12" s="15">
        <v>-2.2503041855716902E-2</v>
      </c>
      <c r="AK12" s="17">
        <v>0.01</v>
      </c>
      <c r="AL12" s="18" t="s">
        <v>37</v>
      </c>
      <c r="AM12" s="19" t="s">
        <v>38</v>
      </c>
      <c r="AV12" s="17">
        <v>0.01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286.12</v>
      </c>
      <c r="C13" s="33">
        <v>296.27</v>
      </c>
      <c r="D13" s="15">
        <v>-1.6224442419181199E-2</v>
      </c>
      <c r="E13" s="15">
        <v>7.7254475643659696E-3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286.12</v>
      </c>
      <c r="M13" s="33">
        <v>296.27</v>
      </c>
      <c r="N13" s="34">
        <v>1.0354746260310299</v>
      </c>
      <c r="O13" s="34">
        <v>1.00650546826212</v>
      </c>
      <c r="P13" s="34">
        <v>0.99454541257316398</v>
      </c>
      <c r="R13" s="33">
        <v>287.981344579157</v>
      </c>
      <c r="S13" s="33">
        <v>283.80817941052601</v>
      </c>
      <c r="U13" s="15">
        <v>-2.8375498448036801E-2</v>
      </c>
      <c r="V13" s="15">
        <v>-4.2972615370708497E-2</v>
      </c>
      <c r="X13" s="34">
        <v>1.0354746260310299</v>
      </c>
      <c r="Y13" s="34">
        <v>1.00650546826212</v>
      </c>
      <c r="Z13" s="34">
        <v>0.99454541257316398</v>
      </c>
      <c r="AB13" s="33">
        <v>287.981344579157</v>
      </c>
      <c r="AC13" s="33">
        <v>283.80817941052601</v>
      </c>
      <c r="AE13" s="15">
        <v>-2.8375498448036801E-2</v>
      </c>
      <c r="AF13" s="15">
        <v>-4.2972615370708497E-2</v>
      </c>
    </row>
    <row r="14" spans="1:130" x14ac:dyDescent="0.25">
      <c r="A14" s="1">
        <v>46043</v>
      </c>
      <c r="B14" s="33">
        <v>297.01</v>
      </c>
      <c r="C14" s="33">
        <v>296.68</v>
      </c>
      <c r="D14" s="15">
        <v>3.7354505029363598E-2</v>
      </c>
      <c r="E14" s="15">
        <v>1.3829161492277999E-3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297.01</v>
      </c>
      <c r="M14" s="33">
        <v>296.68</v>
      </c>
      <c r="N14" s="34">
        <v>0.99888892629877701</v>
      </c>
      <c r="O14" s="34">
        <v>1.00650546826212</v>
      </c>
      <c r="P14" s="34">
        <v>0.99548587479677197</v>
      </c>
      <c r="R14" s="33">
        <v>298.94218912853199</v>
      </c>
      <c r="S14" s="33">
        <v>295.38993298835499</v>
      </c>
      <c r="U14" s="15">
        <v>7.5960904320990699E-3</v>
      </c>
      <c r="V14" s="15">
        <v>-4.3578266058320403E-3</v>
      </c>
      <c r="X14" s="34">
        <v>0.99888892629877701</v>
      </c>
      <c r="Y14" s="34">
        <v>1.00650546826212</v>
      </c>
      <c r="Z14" s="34">
        <v>0.99548587479677197</v>
      </c>
      <c r="AB14" s="33">
        <v>298.94218912853199</v>
      </c>
      <c r="AC14" s="33">
        <v>295.38993298835499</v>
      </c>
      <c r="AE14" s="15">
        <v>7.5960904320990699E-3</v>
      </c>
      <c r="AF14" s="15">
        <v>-4.3578266058320403E-3</v>
      </c>
      <c r="AQ14" s="20">
        <f>AVERAGE(AQ22:AQ176)</f>
        <v>1.9061889868495208E-3</v>
      </c>
      <c r="AR14" s="21" t="s">
        <v>41</v>
      </c>
      <c r="BB14" s="20">
        <f>AVERAGE(BB22:BB176)</f>
        <v>3.5583556683550168E-3</v>
      </c>
      <c r="BC14" s="21" t="s">
        <v>41</v>
      </c>
      <c r="BD14" s="22"/>
      <c r="BE14" s="20">
        <f>AVERAGE(BE22:BE176)</f>
        <v>5.4645446552045382E-3</v>
      </c>
      <c r="BF14" s="21" t="s">
        <v>41</v>
      </c>
    </row>
    <row r="15" spans="1:130" x14ac:dyDescent="0.25">
      <c r="A15" s="1">
        <v>46044</v>
      </c>
      <c r="B15" s="33">
        <v>288.45999999999998</v>
      </c>
      <c r="C15" s="33">
        <v>295</v>
      </c>
      <c r="D15" s="15">
        <v>-2.9209380114182601E-2</v>
      </c>
      <c r="E15" s="15">
        <v>-5.6787605285375303E-3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288.45999999999998</v>
      </c>
      <c r="M15" s="33">
        <v>295</v>
      </c>
      <c r="N15" s="34">
        <v>1.0226721209179701</v>
      </c>
      <c r="O15" s="34">
        <v>1.00650546826212</v>
      </c>
      <c r="P15" s="34">
        <v>0.99950612098604597</v>
      </c>
      <c r="R15" s="33">
        <v>290.33656737489099</v>
      </c>
      <c r="S15" s="33">
        <v>287.15785544387597</v>
      </c>
      <c r="U15" s="15">
        <v>-1.5934529153546099E-2</v>
      </c>
      <c r="V15" s="15">
        <v>-2.6943272816978201E-2</v>
      </c>
      <c r="X15" s="34">
        <v>1.0226721209179701</v>
      </c>
      <c r="Y15" s="34">
        <v>1.00650546826212</v>
      </c>
      <c r="Z15" s="34">
        <v>0.99950612098604597</v>
      </c>
      <c r="AB15" s="33">
        <v>290.33656737489099</v>
      </c>
      <c r="AC15" s="33">
        <v>287.15785544387597</v>
      </c>
      <c r="AE15" s="15">
        <v>-1.5934529153546099E-2</v>
      </c>
      <c r="AF15" s="15">
        <v>-2.6943272816978201E-2</v>
      </c>
      <c r="AQ15" s="20">
        <f>STDEV(AQ22:AQ176)</f>
        <v>1.115429549889283E-2</v>
      </c>
      <c r="AR15" s="21" t="s">
        <v>42</v>
      </c>
      <c r="BB15" s="20">
        <f>STDEV(BB22:BB176)</f>
        <v>1.618806744161215E-2</v>
      </c>
      <c r="BC15" s="21" t="s">
        <v>42</v>
      </c>
      <c r="BD15" s="22"/>
      <c r="BE15" s="20">
        <f>STDEV(BE22:BE176)</f>
        <v>1.9308494224272069E-2</v>
      </c>
      <c r="BF15" s="21" t="s">
        <v>42</v>
      </c>
    </row>
    <row r="16" spans="1:130" x14ac:dyDescent="0.25">
      <c r="A16" s="1">
        <v>46045</v>
      </c>
      <c r="B16" s="33">
        <v>291.58999999999997</v>
      </c>
      <c r="C16" s="33">
        <v>295</v>
      </c>
      <c r="D16" s="15">
        <v>1.07922778382895E-2</v>
      </c>
      <c r="E16" s="15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291.58999999999997</v>
      </c>
      <c r="M16" s="33">
        <v>295</v>
      </c>
      <c r="N16" s="34">
        <v>1.01169450255495</v>
      </c>
      <c r="O16" s="34">
        <v>1.00650546826212</v>
      </c>
      <c r="P16" s="34">
        <v>1.0037100225306099</v>
      </c>
      <c r="R16" s="33">
        <v>293.48692949055101</v>
      </c>
      <c r="S16" s="33">
        <v>291.44598981832098</v>
      </c>
      <c r="U16" s="15">
        <v>-5.1422513152565696E-3</v>
      </c>
      <c r="V16" s="15">
        <v>-1.21206513585302E-2</v>
      </c>
      <c r="X16" s="34">
        <v>1.01169450255495</v>
      </c>
      <c r="Y16" s="34">
        <v>1.00650546826212</v>
      </c>
      <c r="Z16" s="34">
        <v>1.0037100225306099</v>
      </c>
      <c r="AB16" s="33">
        <v>293.48692949055101</v>
      </c>
      <c r="AC16" s="33">
        <v>291.44598981832098</v>
      </c>
      <c r="AE16" s="15">
        <v>-5.1422513152565696E-3</v>
      </c>
      <c r="AF16" s="15">
        <v>-1.21206513585302E-2</v>
      </c>
      <c r="AQ16" s="23">
        <f>SQRT(252)*AQ14/AQ15</f>
        <v>2.712839378297589</v>
      </c>
      <c r="AR16" s="21" t="s">
        <v>43</v>
      </c>
      <c r="BB16" s="23">
        <f>SQRT(252)*BB14/BB15</f>
        <v>3.4894310424914399</v>
      </c>
      <c r="BC16" s="21" t="s">
        <v>43</v>
      </c>
      <c r="BD16" s="22"/>
      <c r="BE16" s="23">
        <f>SQRT(252)*BE14/BE15</f>
        <v>4.4926836918346398</v>
      </c>
      <c r="BF16" s="21" t="s">
        <v>43</v>
      </c>
    </row>
    <row r="17" spans="1:124" x14ac:dyDescent="0.25">
      <c r="A17" s="1">
        <v>46048</v>
      </c>
      <c r="B17" s="33">
        <v>288.61</v>
      </c>
      <c r="C17" s="33">
        <v>295</v>
      </c>
      <c r="D17" s="15">
        <v>-1.02724102195316E-2</v>
      </c>
      <c r="E17" s="15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288.61</v>
      </c>
      <c r="M17" s="33">
        <v>295</v>
      </c>
      <c r="N17" s="34">
        <v>1.0221406049686399</v>
      </c>
      <c r="O17" s="34">
        <v>1.00650546826212</v>
      </c>
      <c r="P17" s="34">
        <v>1.0079963368327201</v>
      </c>
      <c r="R17" s="33">
        <v>290.48754319513</v>
      </c>
      <c r="S17" s="33">
        <v>289.68074960256001</v>
      </c>
      <c r="U17" s="15">
        <v>-1.5414661534788199E-2</v>
      </c>
      <c r="V17" s="15">
        <v>-1.81959031939832E-2</v>
      </c>
      <c r="X17" s="34">
        <v>1.0221406049686399</v>
      </c>
      <c r="Y17" s="34">
        <v>1.00650546826212</v>
      </c>
      <c r="Z17" s="34">
        <v>1.0079963368327201</v>
      </c>
      <c r="AB17" s="33">
        <v>290.48754319513</v>
      </c>
      <c r="AC17" s="33">
        <v>289.68074960256001</v>
      </c>
      <c r="AE17" s="15">
        <v>-1.5414661534788199E-2</v>
      </c>
      <c r="AF17" s="15">
        <v>-1.81959031939832E-2</v>
      </c>
    </row>
    <row r="18" spans="1:124" x14ac:dyDescent="0.25">
      <c r="A18" s="1">
        <v>46049</v>
      </c>
      <c r="B18" s="33">
        <v>287.64</v>
      </c>
      <c r="C18" s="33">
        <v>295</v>
      </c>
      <c r="D18" s="15">
        <v>-3.3665975398287301E-3</v>
      </c>
      <c r="E18" s="15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287.64</v>
      </c>
      <c r="M18" s="33">
        <v>295</v>
      </c>
      <c r="N18" s="34">
        <v>1.0255875399805301</v>
      </c>
      <c r="O18" s="34">
        <v>1.00650546826212</v>
      </c>
      <c r="P18" s="34">
        <v>1.0102402156950501</v>
      </c>
      <c r="R18" s="33">
        <v>289.51123289091601</v>
      </c>
      <c r="S18" s="33">
        <v>289.94006632656402</v>
      </c>
      <c r="U18" s="15">
        <v>-1.8781259074616901E-2</v>
      </c>
      <c r="V18" s="15">
        <v>-1.7301122557474201E-2</v>
      </c>
      <c r="X18" s="34">
        <v>1.0255875399805301</v>
      </c>
      <c r="Y18" s="34">
        <v>1.00650546826212</v>
      </c>
      <c r="Z18" s="34">
        <v>1.0102402156950501</v>
      </c>
      <c r="AB18" s="33">
        <v>289.51123289091601</v>
      </c>
      <c r="AC18" s="33">
        <v>289.94006632656402</v>
      </c>
      <c r="AE18" s="15">
        <v>-1.8781259074616901E-2</v>
      </c>
      <c r="AF18" s="15">
        <v>-1.7301122557474201E-2</v>
      </c>
      <c r="BE18" s="24">
        <f>SUM(BE22:BE176)</f>
        <v>0.84700442155670341</v>
      </c>
      <c r="BF18" s="20">
        <f>BF176</f>
        <v>0.84700442155670341</v>
      </c>
    </row>
    <row r="19" spans="1:124" x14ac:dyDescent="0.25">
      <c r="A19" s="1">
        <v>46050</v>
      </c>
      <c r="B19" s="33">
        <v>286.32</v>
      </c>
      <c r="C19" s="33">
        <v>295</v>
      </c>
      <c r="D19" s="15">
        <v>-4.5996317765229604E-3</v>
      </c>
      <c r="E19" s="15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286.32</v>
      </c>
      <c r="M19" s="33">
        <v>295</v>
      </c>
      <c r="N19" s="34">
        <v>1.03031573065101</v>
      </c>
      <c r="O19" s="34">
        <v>1.00650546826212</v>
      </c>
      <c r="P19" s="34">
        <v>1.0130693376557101</v>
      </c>
      <c r="R19" s="33">
        <v>288.18264567281</v>
      </c>
      <c r="S19" s="33">
        <v>289.25197855780698</v>
      </c>
      <c r="U19" s="15">
        <v>-2.3380890851139698E-2</v>
      </c>
      <c r="V19" s="15">
        <v>-1.96771499858585E-2</v>
      </c>
      <c r="X19" s="34">
        <v>1.03031573065101</v>
      </c>
      <c r="Y19" s="34">
        <v>1.00650546826212</v>
      </c>
      <c r="Z19" s="34">
        <v>1.0130693376557101</v>
      </c>
      <c r="AB19" s="33">
        <v>288.18264567281</v>
      </c>
      <c r="AC19" s="33">
        <v>289.25197855780698</v>
      </c>
      <c r="AE19" s="15">
        <v>-2.3380890851139698E-2</v>
      </c>
      <c r="AF19" s="15">
        <v>-1.96771499858585E-2</v>
      </c>
      <c r="AI19" s="12"/>
      <c r="AJ19"/>
      <c r="AK19"/>
      <c r="AL19"/>
      <c r="AM19"/>
      <c r="AN19"/>
      <c r="AO19"/>
      <c r="AP19"/>
      <c r="AQ19" s="24">
        <f>SUM(AQ22:AQ176)</f>
        <v>0.29545929296167572</v>
      </c>
      <c r="AR19" s="24">
        <f>AR176</f>
        <v>0.29545929296167572</v>
      </c>
      <c r="AU19"/>
      <c r="AV19"/>
      <c r="AW19"/>
      <c r="AX19"/>
      <c r="AY19"/>
      <c r="AZ19"/>
      <c r="BA19"/>
      <c r="BB19" s="24">
        <f>SUM(BB22:BB176)</f>
        <v>0.55154512859502758</v>
      </c>
      <c r="BC19" s="24">
        <f>BC176</f>
        <v>0.55154512859502758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288</v>
      </c>
      <c r="C20" s="33">
        <v>295</v>
      </c>
      <c r="D20" s="15">
        <v>5.8504136781755596E-3</v>
      </c>
      <c r="E20" s="15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288</v>
      </c>
      <c r="M20" s="33">
        <v>295</v>
      </c>
      <c r="N20" s="34">
        <v>1.02430555555555</v>
      </c>
      <c r="O20" s="34">
        <v>1.00650546826212</v>
      </c>
      <c r="P20" s="34">
        <v>1.01546128181739</v>
      </c>
      <c r="R20" s="33">
        <v>289.87357485949002</v>
      </c>
      <c r="S20" s="33">
        <v>291.76396924484499</v>
      </c>
      <c r="U20" s="15">
        <v>-1.7530477172964201E-2</v>
      </c>
      <c r="V20" s="15">
        <v>-1.10302054459014E-2</v>
      </c>
      <c r="X20" s="34">
        <v>1.02430555555555</v>
      </c>
      <c r="Y20" s="34">
        <v>1.00650546826212</v>
      </c>
      <c r="Z20" s="34">
        <v>1.01546128181739</v>
      </c>
      <c r="AB20" s="33">
        <v>289.87357485949002</v>
      </c>
      <c r="AC20" s="33">
        <v>291.76396924484499</v>
      </c>
      <c r="AE20" s="15">
        <v>-1.7530477172964201E-2</v>
      </c>
      <c r="AF20" s="15">
        <v>-1.10302054459014E-2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MOG A log rtn</v>
      </c>
      <c r="AP20" s="7" t="str">
        <f>E1</f>
        <v>MOG B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MOG A log rtn</v>
      </c>
      <c r="BA20" s="24" t="str">
        <f>E1</f>
        <v>MOG B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305.35000000000002</v>
      </c>
      <c r="C21" s="33">
        <v>295</v>
      </c>
      <c r="D21" s="15">
        <v>5.8498179533197803E-2</v>
      </c>
      <c r="E21" s="15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305.35000000000002</v>
      </c>
      <c r="M21" s="33">
        <v>295</v>
      </c>
      <c r="N21" s="34">
        <v>0.96610447028000601</v>
      </c>
      <c r="O21" s="34">
        <v>1.00650546826212</v>
      </c>
      <c r="P21" s="34">
        <v>1.0148153815890499</v>
      </c>
      <c r="Q21" s="34">
        <v>1.00164464376074</v>
      </c>
      <c r="R21" s="33">
        <v>307.33644473383799</v>
      </c>
      <c r="S21" s="33">
        <v>310.07110240294202</v>
      </c>
      <c r="U21" s="15">
        <v>4.0967702360233602E-2</v>
      </c>
      <c r="V21" s="15">
        <v>4.9826277429930302E-2</v>
      </c>
      <c r="X21" s="34">
        <v>0.96610447028000601</v>
      </c>
      <c r="Y21" s="34">
        <v>1.00650546826212</v>
      </c>
      <c r="Z21" s="34">
        <v>1.0148153815890499</v>
      </c>
      <c r="AA21" s="34">
        <v>1.00164464376074</v>
      </c>
      <c r="AB21" s="33">
        <v>307.33644473383799</v>
      </c>
      <c r="AC21" s="33">
        <v>310.07110240294202</v>
      </c>
      <c r="AE21" s="15">
        <v>4.0967702360233602E-2</v>
      </c>
      <c r="AF21" s="15">
        <v>4.9826277429930302E-2</v>
      </c>
      <c r="AI21" s="26">
        <v>-0.04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0.04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315.91000000000003</v>
      </c>
      <c r="C22" s="33">
        <v>295</v>
      </c>
      <c r="D22" s="15">
        <v>3.3998703225079398E-2</v>
      </c>
      <c r="E22" s="15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315.91000000000003</v>
      </c>
      <c r="M22" s="33">
        <v>295</v>
      </c>
      <c r="N22" s="34">
        <v>0.93381026241651099</v>
      </c>
      <c r="O22" s="34">
        <v>1.00650546826212</v>
      </c>
      <c r="P22" s="34">
        <v>1.0070994339654999</v>
      </c>
      <c r="Q22" s="34">
        <v>0.99950976767918298</v>
      </c>
      <c r="R22" s="33">
        <v>317.965142478686</v>
      </c>
      <c r="S22" s="33">
        <v>320.590327197796</v>
      </c>
      <c r="T22" s="33">
        <v>316.42955941045602</v>
      </c>
      <c r="U22" s="15">
        <v>7.4966405585312895E-2</v>
      </c>
      <c r="V22" s="15">
        <v>8.3188712444101698E-2</v>
      </c>
      <c r="W22" s="15">
        <v>7.0125299369610206E-2</v>
      </c>
      <c r="X22" s="34">
        <v>0.93381026241651099</v>
      </c>
      <c r="Y22" s="34">
        <v>1.00650546826212</v>
      </c>
      <c r="Z22" s="34">
        <v>1.0070994339654999</v>
      </c>
      <c r="AA22" s="34">
        <v>0.99950976767918298</v>
      </c>
      <c r="AB22" s="33">
        <v>317.965142478686</v>
      </c>
      <c r="AC22" s="33">
        <v>320.590327197796</v>
      </c>
      <c r="AD22" s="33">
        <v>316.42955941045602</v>
      </c>
      <c r="AE22" s="15">
        <v>7.4966405585312895E-2</v>
      </c>
      <c r="AF22" s="15">
        <v>8.3188712444101698E-2</v>
      </c>
      <c r="AG22" s="15">
        <v>7.0125299369610206E-2</v>
      </c>
      <c r="AI22" s="26">
        <v>-0.01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0.01</v>
      </c>
      <c r="AU22">
        <f t="shared" ref="AU22:AU85" si="10">IF($AG22&gt;AT$21,1,0)</f>
        <v>1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324.02</v>
      </c>
      <c r="C23" s="33">
        <v>321.73</v>
      </c>
      <c r="D23" s="15">
        <v>2.5347879388048802E-2</v>
      </c>
      <c r="E23" s="15">
        <v>8.67373281422395E-2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324.02</v>
      </c>
      <c r="M23" s="33">
        <v>321.73</v>
      </c>
      <c r="N23" s="34">
        <v>0.99293253502870205</v>
      </c>
      <c r="O23" s="34">
        <v>1.00650546826212</v>
      </c>
      <c r="P23" s="34">
        <v>1.00284522486526</v>
      </c>
      <c r="Q23" s="34">
        <v>0.99869531871921602</v>
      </c>
      <c r="R23" s="33">
        <v>326.12790182629197</v>
      </c>
      <c r="S23" s="33">
        <v>326.320358593501</v>
      </c>
      <c r="T23" s="33">
        <v>323.861154923409</v>
      </c>
      <c r="U23" s="15">
        <v>1.3576956831122399E-2</v>
      </c>
      <c r="V23" s="15">
        <v>1.41669094280305E-2</v>
      </c>
      <c r="W23" s="15">
        <v>6.6022052762455498E-3</v>
      </c>
      <c r="X23" s="34">
        <v>0.99293253502870205</v>
      </c>
      <c r="Y23" s="34">
        <v>1.00650546826212</v>
      </c>
      <c r="Z23" s="34">
        <v>1.00284522486526</v>
      </c>
      <c r="AA23" s="34">
        <v>0.99869531871921602</v>
      </c>
      <c r="AB23" s="33">
        <v>326.12790182629197</v>
      </c>
      <c r="AC23" s="33">
        <v>326.320358593501</v>
      </c>
      <c r="AD23" s="33">
        <v>323.861154923409</v>
      </c>
      <c r="AE23" s="15">
        <v>1.3576956831122399E-2</v>
      </c>
      <c r="AF23" s="15">
        <v>1.41669094280305E-2</v>
      </c>
      <c r="AG23" s="15">
        <v>6.6022052762455498E-3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1</v>
      </c>
      <c r="AX23">
        <f t="shared" si="5"/>
        <v>1</v>
      </c>
      <c r="AY23">
        <f t="shared" ref="AY23:AY86" si="19">IF(AU22,1,IF(AV22,0,AW22))*AX22</f>
        <v>1</v>
      </c>
      <c r="AZ23" s="28">
        <f t="shared" si="12"/>
        <v>-2.5347879388048802E-2</v>
      </c>
      <c r="BA23" s="28">
        <f t="shared" si="13"/>
        <v>8.67373281422395E-2</v>
      </c>
      <c r="BB23" s="28">
        <f t="shared" ref="BB23:BB86" si="20">AZ23+BA23</f>
        <v>6.1389448754190695E-2</v>
      </c>
      <c r="BC23" s="29">
        <f t="shared" ref="BC23:BC86" si="21">BC22+BB23</f>
        <v>6.1389448754190695E-2</v>
      </c>
      <c r="BE23" s="29">
        <f t="shared" ref="BE23:BE86" si="22">AQ23+BB23</f>
        <v>6.1389448754190695E-2</v>
      </c>
      <c r="BF23" s="29">
        <f t="shared" ref="BF23:BF86" si="23">BF22+BE23</f>
        <v>6.1389448754190695E-2</v>
      </c>
      <c r="BH23" s="29"/>
    </row>
    <row r="24" spans="1:124" x14ac:dyDescent="0.25">
      <c r="A24" s="1">
        <v>46057</v>
      </c>
      <c r="B24" s="33">
        <v>322.02999999999997</v>
      </c>
      <c r="C24" s="33">
        <v>329.8</v>
      </c>
      <c r="D24" s="15">
        <v>-6.1605333758412298E-3</v>
      </c>
      <c r="E24" s="15">
        <v>2.4773725643439101E-2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322.02999999999997</v>
      </c>
      <c r="M24" s="33">
        <v>329.8</v>
      </c>
      <c r="N24" s="34">
        <v>1.0241281868148899</v>
      </c>
      <c r="O24" s="34">
        <v>1.00650546826212</v>
      </c>
      <c r="P24" s="34">
        <v>1.0053691509168701</v>
      </c>
      <c r="Q24" s="34">
        <v>1.0004275128568201</v>
      </c>
      <c r="R24" s="33">
        <v>324.12495594444999</v>
      </c>
      <c r="S24" s="33">
        <v>322.94624776336201</v>
      </c>
      <c r="T24" s="33">
        <v>321.609853487149</v>
      </c>
      <c r="U24" s="15">
        <v>-1.7357302188158098E-2</v>
      </c>
      <c r="V24" s="15">
        <v>-2.1000516344758899E-2</v>
      </c>
      <c r="W24" s="15">
        <v>-2.5147234337471899E-2</v>
      </c>
      <c r="X24" s="34">
        <v>1.0241281868148899</v>
      </c>
      <c r="Y24" s="34">
        <v>1.00650546826212</v>
      </c>
      <c r="Z24" s="34">
        <v>1.0053691509168701</v>
      </c>
      <c r="AA24" s="34">
        <v>1.0004275128568201</v>
      </c>
      <c r="AB24" s="33">
        <v>324.12495594444999</v>
      </c>
      <c r="AC24" s="33">
        <v>322.94624776336201</v>
      </c>
      <c r="AD24" s="33">
        <v>321.609853487149</v>
      </c>
      <c r="AE24" s="15">
        <v>-1.7357302188158098E-2</v>
      </c>
      <c r="AF24" s="15">
        <v>-2.1000516344758899E-2</v>
      </c>
      <c r="AG24" s="15">
        <v>-2.5147234337471899E-2</v>
      </c>
      <c r="AI24" s="12"/>
      <c r="AJ24">
        <f t="shared" si="6"/>
        <v>0</v>
      </c>
      <c r="AK24">
        <f t="shared" si="7"/>
        <v>0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6.1389448754190695E-2</v>
      </c>
      <c r="BE24" s="29">
        <f t="shared" si="22"/>
        <v>0</v>
      </c>
      <c r="BF24" s="29">
        <f t="shared" si="23"/>
        <v>6.1389448754190695E-2</v>
      </c>
      <c r="BH24" s="29"/>
    </row>
    <row r="25" spans="1:124" x14ac:dyDescent="0.25">
      <c r="A25" s="1">
        <v>46058</v>
      </c>
      <c r="B25" s="33">
        <v>325.83</v>
      </c>
      <c r="C25" s="33">
        <v>324.58999999999997</v>
      </c>
      <c r="D25" s="15">
        <v>1.17310640536236E-2</v>
      </c>
      <c r="E25" s="15">
        <v>-1.5923562666815799E-2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325.83</v>
      </c>
      <c r="M25" s="33">
        <v>324.58999999999997</v>
      </c>
      <c r="N25" s="34">
        <v>0.99619433446889405</v>
      </c>
      <c r="O25" s="34">
        <v>1.00650546826212</v>
      </c>
      <c r="P25" s="34">
        <v>1.0027213722719699</v>
      </c>
      <c r="Q25" s="34">
        <v>1.0011137466290001</v>
      </c>
      <c r="R25" s="33">
        <v>327.94967672384598</v>
      </c>
      <c r="S25" s="33">
        <v>327.579430443246</v>
      </c>
      <c r="T25" s="33">
        <v>325.96929651413899</v>
      </c>
      <c r="U25" s="15">
        <v>1.0297324532281099E-2</v>
      </c>
      <c r="V25" s="15">
        <v>9.1677139141652202E-3</v>
      </c>
      <c r="W25" s="15">
        <v>4.24034700061297E-3</v>
      </c>
      <c r="X25" s="34">
        <v>0.99619433446889405</v>
      </c>
      <c r="Y25" s="34">
        <v>1.00650546826212</v>
      </c>
      <c r="Z25" s="34">
        <v>1.0027213722719699</v>
      </c>
      <c r="AA25" s="34">
        <v>1.0011137466290001</v>
      </c>
      <c r="AB25" s="33">
        <v>327.94967672384598</v>
      </c>
      <c r="AC25" s="33">
        <v>327.579430443246</v>
      </c>
      <c r="AD25" s="33">
        <v>325.96929651413899</v>
      </c>
      <c r="AE25" s="15">
        <v>1.0297324532281099E-2</v>
      </c>
      <c r="AF25" s="15">
        <v>9.1677139141652202E-3</v>
      </c>
      <c r="AG25" s="15">
        <v>4.24034700061297E-3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6.1389448754190695E-2</v>
      </c>
      <c r="BE25" s="29">
        <f t="shared" si="22"/>
        <v>0</v>
      </c>
      <c r="BF25" s="29">
        <f t="shared" si="23"/>
        <v>6.1389448754190695E-2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324.2</v>
      </c>
      <c r="C26" s="33">
        <v>332.11</v>
      </c>
      <c r="D26" s="15">
        <v>-5.0151636584785898E-3</v>
      </c>
      <c r="E26" s="15">
        <v>2.2903391882903999E-2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324.2</v>
      </c>
      <c r="M26" s="33">
        <v>332.11</v>
      </c>
      <c r="N26" s="34">
        <v>1.0243985194324401</v>
      </c>
      <c r="O26" s="34">
        <v>1.00650546826212</v>
      </c>
      <c r="P26" s="34">
        <v>1.0039917739597199</v>
      </c>
      <c r="Q26" s="34">
        <v>1.0038508982451599</v>
      </c>
      <c r="R26" s="33">
        <v>326.30907281057898</v>
      </c>
      <c r="S26" s="33">
        <v>325.082268890573</v>
      </c>
      <c r="T26" s="33">
        <v>324.56107665712398</v>
      </c>
      <c r="U26" s="15">
        <v>-1.7621231009101401E-2</v>
      </c>
      <c r="V26" s="15">
        <v>-2.1387953997202402E-2</v>
      </c>
      <c r="W26" s="15">
        <v>-2.2992503166654601E-2</v>
      </c>
      <c r="X26" s="34">
        <v>1.0243985194324401</v>
      </c>
      <c r="Y26" s="34">
        <v>1.00650546826212</v>
      </c>
      <c r="Z26" s="34">
        <v>1.0039917739597199</v>
      </c>
      <c r="AA26" s="34">
        <v>1.0038508982451599</v>
      </c>
      <c r="AB26" s="33">
        <v>326.30907281057898</v>
      </c>
      <c r="AC26" s="33">
        <v>325.082268890573</v>
      </c>
      <c r="AD26" s="33">
        <v>324.56107665712398</v>
      </c>
      <c r="AE26" s="15">
        <v>-1.7621231009101401E-2</v>
      </c>
      <c r="AF26" s="15">
        <v>-2.1387953997202402E-2</v>
      </c>
      <c r="AG26" s="15">
        <v>-2.2992503166654601E-2</v>
      </c>
      <c r="AI26" s="12"/>
      <c r="AJ26">
        <f t="shared" si="6"/>
        <v>0</v>
      </c>
      <c r="AK26">
        <f t="shared" si="7"/>
        <v>0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6.1389448754190695E-2</v>
      </c>
      <c r="BE26" s="29">
        <f t="shared" si="22"/>
        <v>0</v>
      </c>
      <c r="BF26" s="29">
        <f t="shared" si="23"/>
        <v>6.1389448754190695E-2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325.08</v>
      </c>
      <c r="C27" s="33">
        <v>325.36</v>
      </c>
      <c r="D27" s="15">
        <v>2.7106965834283602E-3</v>
      </c>
      <c r="E27" s="15">
        <v>-2.0533977742617501E-2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325.08</v>
      </c>
      <c r="M27" s="33">
        <v>325.36</v>
      </c>
      <c r="N27" s="34">
        <v>1.00086132644272</v>
      </c>
      <c r="O27" s="34">
        <v>1.00650546826212</v>
      </c>
      <c r="P27" s="34">
        <v>1.0018638461071201</v>
      </c>
      <c r="Q27" s="34">
        <v>1.00493009146992</v>
      </c>
      <c r="R27" s="33">
        <v>327.19479762265001</v>
      </c>
      <c r="S27" s="33">
        <v>326.37764587882498</v>
      </c>
      <c r="T27" s="33">
        <v>326.33185000153799</v>
      </c>
      <c r="U27" s="15">
        <v>5.6234433169444599E-3</v>
      </c>
      <c r="V27" s="15">
        <v>3.12287225479664E-3</v>
      </c>
      <c r="W27" s="15">
        <v>2.9825468032713002E-3</v>
      </c>
      <c r="X27" s="34">
        <v>1.00086132644272</v>
      </c>
      <c r="Y27" s="34">
        <v>1.00650546826212</v>
      </c>
      <c r="Z27" s="34">
        <v>1.0018638461071201</v>
      </c>
      <c r="AA27" s="34">
        <v>1.00493009146992</v>
      </c>
      <c r="AB27" s="33">
        <v>327.19479762265001</v>
      </c>
      <c r="AC27" s="33">
        <v>326.37764587882498</v>
      </c>
      <c r="AD27" s="33">
        <v>326.33185000153799</v>
      </c>
      <c r="AE27" s="15">
        <v>5.6234433169444599E-3</v>
      </c>
      <c r="AF27" s="15">
        <v>3.12287225479664E-3</v>
      </c>
      <c r="AG27" s="15">
        <v>2.9825468032713002E-3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6.1389448754190695E-2</v>
      </c>
      <c r="BE27" s="29">
        <f t="shared" si="22"/>
        <v>0</v>
      </c>
      <c r="BF27" s="29">
        <f t="shared" si="23"/>
        <v>6.1389448754190695E-2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323.07</v>
      </c>
      <c r="C28" s="33">
        <v>325.36</v>
      </c>
      <c r="D28" s="15">
        <v>-6.2022878761047199E-3</v>
      </c>
      <c r="E28" s="15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323.07</v>
      </c>
      <c r="M28" s="33">
        <v>325.36</v>
      </c>
      <c r="N28" s="34">
        <v>1.0070882471291001</v>
      </c>
      <c r="O28" s="34">
        <v>1.00650546826212</v>
      </c>
      <c r="P28" s="34">
        <v>1.0000139168219799</v>
      </c>
      <c r="Q28" s="34">
        <v>1.0051270662585099</v>
      </c>
      <c r="R28" s="33">
        <v>325.17172163144301</v>
      </c>
      <c r="S28" s="33">
        <v>323.67215276182998</v>
      </c>
      <c r="T28" s="33">
        <v>324.66276465118801</v>
      </c>
      <c r="U28" s="15">
        <v>-5.78844559160394E-4</v>
      </c>
      <c r="V28" s="15">
        <v>-5.2011322888238804E-3</v>
      </c>
      <c r="W28" s="15">
        <v>-2.1452652249329199E-3</v>
      </c>
      <c r="X28" s="34">
        <v>1.0070882471291001</v>
      </c>
      <c r="Y28" s="34">
        <v>1.00650546826212</v>
      </c>
      <c r="Z28" s="34">
        <v>1.0000139168219799</v>
      </c>
      <c r="AA28" s="34">
        <v>1.0051270662585099</v>
      </c>
      <c r="AB28" s="33">
        <v>325.17172163144301</v>
      </c>
      <c r="AC28" s="33">
        <v>323.67215276182998</v>
      </c>
      <c r="AD28" s="33">
        <v>324.66276465118801</v>
      </c>
      <c r="AE28" s="15">
        <v>-5.78844559160394E-4</v>
      </c>
      <c r="AF28" s="15">
        <v>-5.2011322888238804E-3</v>
      </c>
      <c r="AG28" s="15">
        <v>-2.1452652249329199E-3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6.1389448754190695E-2</v>
      </c>
      <c r="BE28" s="29">
        <f t="shared" si="22"/>
        <v>0</v>
      </c>
      <c r="BF28" s="29">
        <f t="shared" si="23"/>
        <v>6.1389448754190695E-2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321.68</v>
      </c>
      <c r="C29" s="33">
        <v>325.36</v>
      </c>
      <c r="D29" s="15">
        <v>-4.3117554198806004E-3</v>
      </c>
      <c r="E29" s="15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321.68</v>
      </c>
      <c r="M29" s="33">
        <v>325.36</v>
      </c>
      <c r="N29" s="34">
        <v>1.01143994031335</v>
      </c>
      <c r="O29" s="34">
        <v>1.00650546826212</v>
      </c>
      <c r="P29" s="34">
        <v>0.99812633778821902</v>
      </c>
      <c r="Q29" s="34">
        <v>1.0055978377219601</v>
      </c>
      <c r="R29" s="33">
        <v>323.77267903055798</v>
      </c>
      <c r="S29" s="33">
        <v>321.684476763296</v>
      </c>
      <c r="T29" s="33">
        <v>323.32927467403999</v>
      </c>
      <c r="U29" s="15">
        <v>-4.8905999790410503E-3</v>
      </c>
      <c r="V29" s="15">
        <v>-1.13610822848026E-2</v>
      </c>
      <c r="W29" s="15">
        <v>-6.2610314029478203E-3</v>
      </c>
      <c r="X29" s="34">
        <v>1.01143994031335</v>
      </c>
      <c r="Y29" s="34">
        <v>1.00650546826212</v>
      </c>
      <c r="Z29" s="34">
        <v>0.99812633778821902</v>
      </c>
      <c r="AA29" s="34">
        <v>1.0055978377219601</v>
      </c>
      <c r="AB29" s="33">
        <v>323.77267903055798</v>
      </c>
      <c r="AC29" s="33">
        <v>321.684476763296</v>
      </c>
      <c r="AD29" s="33">
        <v>323.32927467403999</v>
      </c>
      <c r="AE29" s="15">
        <v>-4.8905999790410503E-3</v>
      </c>
      <c r="AF29" s="15">
        <v>-1.13610822848026E-2</v>
      </c>
      <c r="AG29" s="15">
        <v>-6.2610314029478203E-3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6.1389448754190695E-2</v>
      </c>
      <c r="BE29" s="29">
        <f t="shared" si="22"/>
        <v>0</v>
      </c>
      <c r="BF29" s="29">
        <f t="shared" si="23"/>
        <v>6.1389448754190695E-2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323.11</v>
      </c>
      <c r="C30" s="33">
        <v>325.36</v>
      </c>
      <c r="D30" s="15">
        <v>4.4355599327133696E-3</v>
      </c>
      <c r="E30" s="15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323.11</v>
      </c>
      <c r="M30" s="33">
        <v>325.36</v>
      </c>
      <c r="N30" s="34">
        <v>1.00696357277707</v>
      </c>
      <c r="O30" s="34">
        <v>1.00650546826212</v>
      </c>
      <c r="P30" s="34">
        <v>0.99639213951037098</v>
      </c>
      <c r="Q30" s="34">
        <v>1.0059267106638801</v>
      </c>
      <c r="R30" s="33">
        <v>325.211981850173</v>
      </c>
      <c r="S30" s="33">
        <v>322.50460100275097</v>
      </c>
      <c r="T30" s="33">
        <v>324.91871734634401</v>
      </c>
      <c r="U30" s="15">
        <v>-4.55040046327696E-4</v>
      </c>
      <c r="V30" s="15">
        <v>-8.8148587897114005E-3</v>
      </c>
      <c r="W30" s="15">
        <v>-1.3572110223569001E-3</v>
      </c>
      <c r="X30" s="34">
        <v>1.00696357277707</v>
      </c>
      <c r="Y30" s="34">
        <v>1.00650546826212</v>
      </c>
      <c r="Z30" s="34">
        <v>0.99639213951037098</v>
      </c>
      <c r="AA30" s="34">
        <v>1.0059267106638801</v>
      </c>
      <c r="AB30" s="33">
        <v>325.211981850173</v>
      </c>
      <c r="AC30" s="33">
        <v>322.50460100275097</v>
      </c>
      <c r="AD30" s="33">
        <v>324.91871734634401</v>
      </c>
      <c r="AE30" s="15">
        <v>-4.55040046327696E-4</v>
      </c>
      <c r="AF30" s="15">
        <v>-8.8148587897114005E-3</v>
      </c>
      <c r="AG30" s="15">
        <v>-1.3572110223569001E-3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6.1389448754190695E-2</v>
      </c>
      <c r="BE30" s="29">
        <f t="shared" si="22"/>
        <v>0</v>
      </c>
      <c r="BF30" s="29">
        <f t="shared" si="23"/>
        <v>6.1389448754190695E-2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324.63</v>
      </c>
      <c r="C31" s="33">
        <v>326.32</v>
      </c>
      <c r="D31" s="15">
        <v>4.6932497299349996E-3</v>
      </c>
      <c r="E31" s="15">
        <v>2.9462334103338701E-3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324.63</v>
      </c>
      <c r="M31" s="33">
        <v>326.32</v>
      </c>
      <c r="N31" s="34">
        <v>1.0052059267473701</v>
      </c>
      <c r="O31" s="34">
        <v>1.00650546826212</v>
      </c>
      <c r="P31" s="34">
        <v>1.0003022851571</v>
      </c>
      <c r="Q31" s="34">
        <v>1.0075588333730701</v>
      </c>
      <c r="R31" s="33">
        <v>326.74187016193201</v>
      </c>
      <c r="S31" s="33">
        <v>323.45878024925099</v>
      </c>
      <c r="T31" s="33">
        <v>326.55398808281598</v>
      </c>
      <c r="U31" s="15">
        <v>1.2919762732736099E-3</v>
      </c>
      <c r="V31" s="15">
        <v>-8.8068072724967004E-3</v>
      </c>
      <c r="W31" s="15">
        <v>7.16794043279799E-4</v>
      </c>
      <c r="X31" s="34">
        <v>1.0052059267473701</v>
      </c>
      <c r="Y31" s="34">
        <v>1.00650546826212</v>
      </c>
      <c r="Z31" s="34">
        <v>1.0003022851571</v>
      </c>
      <c r="AA31" s="34">
        <v>1.0075588333730701</v>
      </c>
      <c r="AB31" s="33">
        <v>326.74187016193201</v>
      </c>
      <c r="AC31" s="33">
        <v>323.45878024925099</v>
      </c>
      <c r="AD31" s="33">
        <v>326.55398808281598</v>
      </c>
      <c r="AE31" s="15">
        <v>1.2919762732736099E-3</v>
      </c>
      <c r="AF31" s="15">
        <v>-8.8068072724967004E-3</v>
      </c>
      <c r="AG31" s="15">
        <v>7.16794043279799E-4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6.1389448754190695E-2</v>
      </c>
      <c r="BE31" s="29">
        <f t="shared" si="22"/>
        <v>0</v>
      </c>
      <c r="BF31" s="29">
        <f t="shared" si="23"/>
        <v>6.1389448754190695E-2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325.19</v>
      </c>
      <c r="C32" s="33">
        <v>326.32</v>
      </c>
      <c r="D32" s="15">
        <v>1.72355464168508E-3</v>
      </c>
      <c r="E32" s="15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325.19</v>
      </c>
      <c r="M32" s="33">
        <v>326.32</v>
      </c>
      <c r="N32" s="34">
        <v>1.0034748916018299</v>
      </c>
      <c r="O32" s="34">
        <v>1.00650546826212</v>
      </c>
      <c r="P32" s="34">
        <v>1.0072687480756399</v>
      </c>
      <c r="Q32" s="34">
        <v>1.00718409102057</v>
      </c>
      <c r="R32" s="33">
        <v>327.30551322415897</v>
      </c>
      <c r="S32" s="33">
        <v>325.28830011023899</v>
      </c>
      <c r="T32" s="33">
        <v>327.64805702459103</v>
      </c>
      <c r="U32" s="15">
        <v>3.0155309149588398E-3</v>
      </c>
      <c r="V32" s="15">
        <v>-3.1666286377962098E-3</v>
      </c>
      <c r="W32" s="15">
        <v>4.06154042532717E-3</v>
      </c>
      <c r="X32" s="34">
        <v>1.0034748916018299</v>
      </c>
      <c r="Y32" s="34">
        <v>1.00650546826212</v>
      </c>
      <c r="Z32" s="34">
        <v>1.0072687480756399</v>
      </c>
      <c r="AA32" s="34">
        <v>1.00718409102057</v>
      </c>
      <c r="AB32" s="33">
        <v>327.30551322415897</v>
      </c>
      <c r="AC32" s="33">
        <v>325.28830011023899</v>
      </c>
      <c r="AD32" s="33">
        <v>327.64805702459103</v>
      </c>
      <c r="AE32" s="15">
        <v>3.0155309149588398E-3</v>
      </c>
      <c r="AF32" s="15">
        <v>-3.1666286377962098E-3</v>
      </c>
      <c r="AG32" s="15">
        <v>4.06154042532717E-3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6.1389448754190695E-2</v>
      </c>
      <c r="BE32" s="29">
        <f t="shared" si="22"/>
        <v>0</v>
      </c>
      <c r="BF32" s="29">
        <f t="shared" si="23"/>
        <v>6.1389448754190695E-2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327.02999999999997</v>
      </c>
      <c r="C33" s="33">
        <v>326.32</v>
      </c>
      <c r="D33" s="15">
        <v>5.6422829150247801E-3</v>
      </c>
      <c r="E33" s="15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327.02999999999997</v>
      </c>
      <c r="M33" s="33">
        <v>326.32</v>
      </c>
      <c r="N33" s="34">
        <v>0.99782894535669497</v>
      </c>
      <c r="O33" s="34">
        <v>1.00650546826212</v>
      </c>
      <c r="P33" s="34">
        <v>1.0077583891084301</v>
      </c>
      <c r="Q33" s="34">
        <v>1.00530180698685</v>
      </c>
      <c r="R33" s="33">
        <v>329.15748328576097</v>
      </c>
      <c r="S33" s="33">
        <v>329.407098683176</v>
      </c>
      <c r="T33" s="33">
        <v>329.37941328645701</v>
      </c>
      <c r="U33" s="15">
        <v>8.6578138299832196E-3</v>
      </c>
      <c r="V33" s="15">
        <v>9.4158728456153699E-3</v>
      </c>
      <c r="W33" s="15">
        <v>9.3318231687245998E-3</v>
      </c>
      <c r="X33" s="34">
        <v>0.99782894535669497</v>
      </c>
      <c r="Y33" s="34">
        <v>1.00650546826212</v>
      </c>
      <c r="Z33" s="34">
        <v>1.0077583891084301</v>
      </c>
      <c r="AA33" s="34">
        <v>1.00530180698685</v>
      </c>
      <c r="AB33" s="33">
        <v>329.15748328576097</v>
      </c>
      <c r="AC33" s="33">
        <v>329.407098683176</v>
      </c>
      <c r="AD33" s="33">
        <v>329.37941328645701</v>
      </c>
      <c r="AE33" s="15">
        <v>8.6578138299832196E-3</v>
      </c>
      <c r="AF33" s="15">
        <v>9.4158728456153699E-3</v>
      </c>
      <c r="AG33" s="15">
        <v>9.3318231687245998E-3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6.1389448754190695E-2</v>
      </c>
      <c r="BE33" s="29">
        <f t="shared" si="22"/>
        <v>0</v>
      </c>
      <c r="BF33" s="29">
        <f t="shared" si="23"/>
        <v>6.1389448754190695E-2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338.79</v>
      </c>
      <c r="C34" s="33">
        <v>326.32</v>
      </c>
      <c r="D34" s="15">
        <v>3.5328536595311898E-2</v>
      </c>
      <c r="E34" s="15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338.79</v>
      </c>
      <c r="M34" s="33">
        <v>326.32</v>
      </c>
      <c r="N34" s="34">
        <v>0.96319253815047601</v>
      </c>
      <c r="O34" s="34">
        <v>1.00650546826212</v>
      </c>
      <c r="P34" s="34">
        <v>1.0016648242419901</v>
      </c>
      <c r="Q34" s="34">
        <v>1.0035169875794301</v>
      </c>
      <c r="R34" s="33">
        <v>340.99398759252301</v>
      </c>
      <c r="S34" s="33">
        <v>341.41846464604799</v>
      </c>
      <c r="T34" s="33">
        <v>340.58619918907601</v>
      </c>
      <c r="U34" s="15">
        <v>4.3986350425295299E-2</v>
      </c>
      <c r="V34" s="15">
        <v>4.5230398967719097E-2</v>
      </c>
      <c r="W34" s="15">
        <v>4.2789753282321701E-2</v>
      </c>
      <c r="X34" s="34">
        <v>0.96319253815047601</v>
      </c>
      <c r="Y34" s="34">
        <v>1.00650546826212</v>
      </c>
      <c r="Z34" s="34">
        <v>1.0016648242419901</v>
      </c>
      <c r="AA34" s="34">
        <v>1.0035169875794301</v>
      </c>
      <c r="AB34" s="33">
        <v>340.99398759252301</v>
      </c>
      <c r="AC34" s="33">
        <v>341.41846464604799</v>
      </c>
      <c r="AD34" s="33">
        <v>340.58619918907601</v>
      </c>
      <c r="AE34" s="15">
        <v>4.3986350425295299E-2</v>
      </c>
      <c r="AF34" s="15">
        <v>4.5230398967719097E-2</v>
      </c>
      <c r="AG34" s="15">
        <v>4.2789753282321701E-2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1</v>
      </c>
      <c r="AV34">
        <f t="shared" si="11"/>
        <v>0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6.1389448754190695E-2</v>
      </c>
      <c r="BE34" s="29">
        <f t="shared" si="22"/>
        <v>0</v>
      </c>
      <c r="BF34" s="29">
        <f t="shared" si="23"/>
        <v>6.1389448754190695E-2</v>
      </c>
      <c r="BH34" s="29"/>
    </row>
    <row r="35" spans="1:124" x14ac:dyDescent="0.25">
      <c r="A35" s="1">
        <v>46073</v>
      </c>
      <c r="B35" s="33">
        <v>345.08</v>
      </c>
      <c r="C35" s="33">
        <v>344</v>
      </c>
      <c r="D35" s="15">
        <v>1.8395827804689301E-2</v>
      </c>
      <c r="E35" s="15">
        <v>5.2763162364095402E-2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345.08</v>
      </c>
      <c r="M35" s="33">
        <v>344</v>
      </c>
      <c r="N35" s="34">
        <v>0.99687029094702595</v>
      </c>
      <c r="O35" s="34">
        <v>1.00650546826212</v>
      </c>
      <c r="P35" s="34">
        <v>1.0017324198898101</v>
      </c>
      <c r="Q35" s="34">
        <v>1.00222689608089</v>
      </c>
      <c r="R35" s="33">
        <v>347.32490698789201</v>
      </c>
      <c r="S35" s="33">
        <v>345.65449754942802</v>
      </c>
      <c r="T35" s="33">
        <v>346.293642073912</v>
      </c>
      <c r="U35" s="15">
        <v>9.6190158658891901E-3</v>
      </c>
      <c r="V35" s="15">
        <v>4.7980567932785203E-3</v>
      </c>
      <c r="W35" s="15">
        <v>6.64543427623539E-3</v>
      </c>
      <c r="X35" s="34">
        <v>0.99687029094702595</v>
      </c>
      <c r="Y35" s="34">
        <v>1.00650546826212</v>
      </c>
      <c r="Z35" s="34">
        <v>1.0017324198898101</v>
      </c>
      <c r="AA35" s="34">
        <v>1.00222689608089</v>
      </c>
      <c r="AB35" s="33">
        <v>347.32490698789201</v>
      </c>
      <c r="AC35" s="33">
        <v>345.65449754942802</v>
      </c>
      <c r="AD35" s="33">
        <v>346.293642073912</v>
      </c>
      <c r="AE35" s="15">
        <v>9.6190158658891901E-3</v>
      </c>
      <c r="AF35" s="15">
        <v>4.7980567932785203E-3</v>
      </c>
      <c r="AG35" s="15">
        <v>6.64543427623539E-3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1</v>
      </c>
      <c r="AX35">
        <f t="shared" si="5"/>
        <v>1</v>
      </c>
      <c r="AY35">
        <f t="shared" si="19"/>
        <v>1</v>
      </c>
      <c r="AZ35" s="28">
        <f t="shared" si="12"/>
        <v>-1.8395827804689301E-2</v>
      </c>
      <c r="BA35" s="28">
        <f t="shared" si="13"/>
        <v>5.2763162364095402E-2</v>
      </c>
      <c r="BB35" s="28">
        <f t="shared" si="20"/>
        <v>3.4367334559406104E-2</v>
      </c>
      <c r="BC35" s="29">
        <f t="shared" si="21"/>
        <v>9.5756783313596799E-2</v>
      </c>
      <c r="BE35" s="29">
        <f t="shared" si="22"/>
        <v>3.4367334559406104E-2</v>
      </c>
      <c r="BF35" s="29">
        <f t="shared" si="23"/>
        <v>9.5756783313596799E-2</v>
      </c>
      <c r="BH35" s="29"/>
    </row>
    <row r="36" spans="1:124" x14ac:dyDescent="0.25">
      <c r="A36" s="1">
        <v>46076</v>
      </c>
      <c r="B36" s="33">
        <v>344.75</v>
      </c>
      <c r="C36" s="33">
        <v>344</v>
      </c>
      <c r="D36" s="15">
        <v>-9.5675753496675604E-4</v>
      </c>
      <c r="E36" s="15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344.75</v>
      </c>
      <c r="M36" s="33">
        <v>344</v>
      </c>
      <c r="N36" s="34">
        <v>0.99782451051486498</v>
      </c>
      <c r="O36" s="34">
        <v>1.00650546826212</v>
      </c>
      <c r="P36" s="34">
        <v>0.99907501899805196</v>
      </c>
      <c r="Q36" s="34">
        <v>1.00153339647888</v>
      </c>
      <c r="R36" s="33">
        <v>346.99276018336599</v>
      </c>
      <c r="S36" s="33">
        <v>345.34725175701197</v>
      </c>
      <c r="T36" s="33">
        <v>345.51772242388699</v>
      </c>
      <c r="U36" s="15">
        <v>8.6622583309224292E-3</v>
      </c>
      <c r="V36" s="15">
        <v>3.9087802813959904E-3</v>
      </c>
      <c r="W36" s="15">
        <v>4.4022795227975598E-3</v>
      </c>
      <c r="X36" s="34">
        <v>0.99782451051486498</v>
      </c>
      <c r="Y36" s="34">
        <v>1.00650546826212</v>
      </c>
      <c r="Z36" s="34">
        <v>0.99907501899805196</v>
      </c>
      <c r="AA36" s="34">
        <v>1.00153339647888</v>
      </c>
      <c r="AB36" s="33">
        <v>346.99276018336599</v>
      </c>
      <c r="AC36" s="33">
        <v>345.34725175701197</v>
      </c>
      <c r="AD36" s="33">
        <v>345.51772242388699</v>
      </c>
      <c r="AE36" s="15">
        <v>8.6622583309224292E-3</v>
      </c>
      <c r="AF36" s="15">
        <v>3.9087802813959904E-3</v>
      </c>
      <c r="AG36" s="15">
        <v>4.4022795227975598E-3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9.5756783313596799E-2</v>
      </c>
      <c r="BE36" s="29">
        <f t="shared" si="22"/>
        <v>0</v>
      </c>
      <c r="BF36" s="29">
        <f t="shared" si="23"/>
        <v>9.5756783313596799E-2</v>
      </c>
      <c r="BH36" s="29"/>
    </row>
    <row r="37" spans="1:124" x14ac:dyDescent="0.25">
      <c r="A37" s="1">
        <v>46077</v>
      </c>
      <c r="B37" s="33">
        <v>349.6</v>
      </c>
      <c r="C37" s="33">
        <v>344.41</v>
      </c>
      <c r="D37" s="15">
        <v>1.3970127107969301E-2</v>
      </c>
      <c r="E37" s="15">
        <v>1.19115076328667E-3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349.6</v>
      </c>
      <c r="M37" s="33">
        <v>344.41</v>
      </c>
      <c r="N37" s="34">
        <v>0.98515446224256298</v>
      </c>
      <c r="O37" s="34">
        <v>1.00650546826212</v>
      </c>
      <c r="P37" s="34">
        <v>0.99750433257803595</v>
      </c>
      <c r="Q37" s="34">
        <v>0.99968408934258202</v>
      </c>
      <c r="R37" s="33">
        <v>351.87431170443699</v>
      </c>
      <c r="S37" s="33">
        <v>349.27662664171902</v>
      </c>
      <c r="T37" s="33">
        <v>350.13607540901802</v>
      </c>
      <c r="U37" s="15">
        <v>2.1441234675604999E-2</v>
      </c>
      <c r="V37" s="15">
        <v>1.40314265838366E-2</v>
      </c>
      <c r="W37" s="15">
        <v>1.6489057671648401E-2</v>
      </c>
      <c r="X37" s="34">
        <v>0.98515446224256298</v>
      </c>
      <c r="Y37" s="34">
        <v>1.00650546826212</v>
      </c>
      <c r="Z37" s="34">
        <v>0.99750433257803595</v>
      </c>
      <c r="AA37" s="34">
        <v>0.99968408934258202</v>
      </c>
      <c r="AB37" s="33">
        <v>351.87431170443699</v>
      </c>
      <c r="AC37" s="33">
        <v>349.27662664171902</v>
      </c>
      <c r="AD37" s="33">
        <v>350.13607540901802</v>
      </c>
      <c r="AE37" s="15">
        <v>2.1441234675604999E-2</v>
      </c>
      <c r="AF37" s="15">
        <v>1.40314265838366E-2</v>
      </c>
      <c r="AG37" s="15">
        <v>1.6489057671648401E-2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0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9.5756783313596799E-2</v>
      </c>
      <c r="BE37" s="29">
        <f t="shared" si="22"/>
        <v>0</v>
      </c>
      <c r="BF37" s="29">
        <f t="shared" si="23"/>
        <v>9.5756783313596799E-2</v>
      </c>
      <c r="BH37" s="29"/>
    </row>
    <row r="38" spans="1:124" x14ac:dyDescent="0.25">
      <c r="A38" s="1">
        <v>46078</v>
      </c>
      <c r="B38" s="33">
        <v>346.08</v>
      </c>
      <c r="C38" s="33">
        <v>344.41</v>
      </c>
      <c r="D38" s="15">
        <v>-1.01196815766318E-2</v>
      </c>
      <c r="E38" s="15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346.08</v>
      </c>
      <c r="M38" s="33">
        <v>344.41</v>
      </c>
      <c r="N38" s="34">
        <v>0.995174526121128</v>
      </c>
      <c r="O38" s="34">
        <v>1.00650546826212</v>
      </c>
      <c r="P38" s="34">
        <v>0.99631296047723905</v>
      </c>
      <c r="Q38" s="34">
        <v>0.99816343864961199</v>
      </c>
      <c r="R38" s="33">
        <v>348.331412456154</v>
      </c>
      <c r="S38" s="33">
        <v>345.21629941860601</v>
      </c>
      <c r="T38" s="33">
        <v>345.97066963968098</v>
      </c>
      <c r="U38" s="15">
        <v>1.1321553098973199E-2</v>
      </c>
      <c r="V38" s="15">
        <v>2.3383672771406499E-3</v>
      </c>
      <c r="W38" s="15">
        <v>4.5211935003627596E-3</v>
      </c>
      <c r="X38" s="34">
        <v>0.995174526121128</v>
      </c>
      <c r="Y38" s="34">
        <v>1.00650546826212</v>
      </c>
      <c r="Z38" s="34">
        <v>0.99631296047723905</v>
      </c>
      <c r="AA38" s="34">
        <v>0.99816343864961199</v>
      </c>
      <c r="AB38" s="33">
        <v>348.331412456154</v>
      </c>
      <c r="AC38" s="33">
        <v>345.21629941860601</v>
      </c>
      <c r="AD38" s="33">
        <v>345.97066963968098</v>
      </c>
      <c r="AE38" s="15">
        <v>1.1321553098973199E-2</v>
      </c>
      <c r="AF38" s="15">
        <v>2.3383672771406499E-3</v>
      </c>
      <c r="AG38" s="15">
        <v>4.5211935003627596E-3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9.5756783313596799E-2</v>
      </c>
      <c r="BE38" s="29">
        <f t="shared" si="22"/>
        <v>0</v>
      </c>
      <c r="BF38" s="29">
        <f t="shared" si="23"/>
        <v>9.5756783313596799E-2</v>
      </c>
      <c r="BH38" s="29"/>
    </row>
    <row r="39" spans="1:124" x14ac:dyDescent="0.25">
      <c r="A39" s="1">
        <v>46079</v>
      </c>
      <c r="B39" s="33">
        <v>340.22</v>
      </c>
      <c r="C39" s="33">
        <v>344.41</v>
      </c>
      <c r="D39" s="15">
        <v>-1.7077495023311701E-2</v>
      </c>
      <c r="E39" s="15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340.22</v>
      </c>
      <c r="M39" s="33">
        <v>344.41</v>
      </c>
      <c r="N39" s="34">
        <v>1.0123155605196601</v>
      </c>
      <c r="O39" s="34">
        <v>1.00650546826212</v>
      </c>
      <c r="P39" s="34">
        <v>0.99640052249786903</v>
      </c>
      <c r="Q39" s="34">
        <v>0.99726343014304397</v>
      </c>
      <c r="R39" s="33">
        <v>342.43329041213798</v>
      </c>
      <c r="S39" s="33">
        <v>338.96559541356601</v>
      </c>
      <c r="T39" s="33">
        <v>339.59516509737102</v>
      </c>
      <c r="U39" s="15">
        <v>-5.7559419243384596E-3</v>
      </c>
      <c r="V39" s="15">
        <v>-1.5934194362093101E-2</v>
      </c>
      <c r="W39" s="15">
        <v>-1.40785908521621E-2</v>
      </c>
      <c r="X39" s="34">
        <v>1.0123155605196601</v>
      </c>
      <c r="Y39" s="34">
        <v>1.00650546826212</v>
      </c>
      <c r="Z39" s="34">
        <v>0.99640052249786903</v>
      </c>
      <c r="AA39" s="34">
        <v>0.99726343014304397</v>
      </c>
      <c r="AB39" s="33">
        <v>342.43329041213798</v>
      </c>
      <c r="AC39" s="33">
        <v>338.96559541356601</v>
      </c>
      <c r="AD39" s="33">
        <v>339.59516509737102</v>
      </c>
      <c r="AE39" s="15">
        <v>-5.7559419243384596E-3</v>
      </c>
      <c r="AF39" s="15">
        <v>-1.5934194362093101E-2</v>
      </c>
      <c r="AG39" s="15">
        <v>-1.40785908521621E-2</v>
      </c>
      <c r="AI39" s="12"/>
      <c r="AJ39">
        <f t="shared" si="6"/>
        <v>0</v>
      </c>
      <c r="AK39">
        <f t="shared" si="7"/>
        <v>0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9.5756783313596799E-2</v>
      </c>
      <c r="BE39" s="29">
        <f t="shared" si="22"/>
        <v>0</v>
      </c>
      <c r="BF39" s="29">
        <f t="shared" si="23"/>
        <v>9.5756783313596799E-2</v>
      </c>
      <c r="BH39" s="29"/>
    </row>
    <row r="40" spans="1:124" x14ac:dyDescent="0.25">
      <c r="A40" s="1">
        <v>46080</v>
      </c>
      <c r="B40" s="33">
        <v>337.43</v>
      </c>
      <c r="C40" s="33">
        <v>344.41</v>
      </c>
      <c r="D40" s="15">
        <v>-8.2343857881505503E-3</v>
      </c>
      <c r="E40" s="15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337.43</v>
      </c>
      <c r="M40" s="33">
        <v>344.41</v>
      </c>
      <c r="N40" s="34">
        <v>1.0206857718637901</v>
      </c>
      <c r="O40" s="34">
        <v>1.00650546826212</v>
      </c>
      <c r="P40" s="34">
        <v>0.99777274240654201</v>
      </c>
      <c r="Q40" s="34">
        <v>0.997082440958456</v>
      </c>
      <c r="R40" s="33">
        <v>339.62514015568701</v>
      </c>
      <c r="S40" s="33">
        <v>336.21542830645598</v>
      </c>
      <c r="T40" s="33">
        <v>336.50659923316698</v>
      </c>
      <c r="U40" s="15">
        <v>-1.3990327712489099E-2</v>
      </c>
      <c r="V40" s="15">
        <v>-2.4080697951989499E-2</v>
      </c>
      <c r="W40" s="15">
        <v>-2.3215047852917801E-2</v>
      </c>
      <c r="X40" s="34">
        <v>1.0206857718637901</v>
      </c>
      <c r="Y40" s="34">
        <v>1.00650546826212</v>
      </c>
      <c r="Z40" s="34">
        <v>0.99777274240654201</v>
      </c>
      <c r="AA40" s="34">
        <v>0.997082440958456</v>
      </c>
      <c r="AB40" s="33">
        <v>339.62514015568701</v>
      </c>
      <c r="AC40" s="33">
        <v>336.21542830645598</v>
      </c>
      <c r="AD40" s="33">
        <v>336.50659923316698</v>
      </c>
      <c r="AE40" s="15">
        <v>-1.3990327712489099E-2</v>
      </c>
      <c r="AF40" s="15">
        <v>-2.4080697951989499E-2</v>
      </c>
      <c r="AG40" s="15">
        <v>-2.3215047852917801E-2</v>
      </c>
      <c r="AI40" s="12"/>
      <c r="AJ40">
        <f t="shared" si="6"/>
        <v>0</v>
      </c>
      <c r="AK40">
        <f t="shared" si="7"/>
        <v>0</v>
      </c>
      <c r="AL40">
        <f t="shared" si="14"/>
        <v>0</v>
      </c>
      <c r="AM40">
        <f t="shared" si="4"/>
        <v>1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9.5756783313596799E-2</v>
      </c>
      <c r="BE40" s="29">
        <f t="shared" si="22"/>
        <v>0</v>
      </c>
      <c r="BF40" s="29">
        <f t="shared" si="23"/>
        <v>9.5756783313596799E-2</v>
      </c>
      <c r="BH40" s="29"/>
    </row>
    <row r="41" spans="1:124" x14ac:dyDescent="0.25">
      <c r="A41" s="1">
        <v>46083</v>
      </c>
      <c r="B41" s="33">
        <v>345.27</v>
      </c>
      <c r="C41" s="33">
        <v>344.41</v>
      </c>
      <c r="D41" s="15">
        <v>2.2968638255223099E-2</v>
      </c>
      <c r="E41" s="15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345.27</v>
      </c>
      <c r="M41" s="33">
        <v>344.41</v>
      </c>
      <c r="N41" s="34">
        <v>0.99750919570191399</v>
      </c>
      <c r="O41" s="34">
        <v>1.00650546826212</v>
      </c>
      <c r="P41" s="34">
        <v>0.997003069301996</v>
      </c>
      <c r="Q41" s="34">
        <v>0.99865267722955198</v>
      </c>
      <c r="R41" s="33">
        <v>347.51614302686198</v>
      </c>
      <c r="S41" s="33">
        <v>344.50099477070597</v>
      </c>
      <c r="T41" s="33">
        <v>344.26265438972598</v>
      </c>
      <c r="U41" s="15">
        <v>8.9783105427339305E-3</v>
      </c>
      <c r="V41" s="15">
        <v>2.6416989110826001E-4</v>
      </c>
      <c r="W41" s="15">
        <v>-4.27911901490188E-4</v>
      </c>
      <c r="X41" s="34">
        <v>0.99750919570191399</v>
      </c>
      <c r="Y41" s="34">
        <v>1.00650546826212</v>
      </c>
      <c r="Z41" s="34">
        <v>0.997003069301996</v>
      </c>
      <c r="AA41" s="34">
        <v>0.99865267722955198</v>
      </c>
      <c r="AB41" s="33">
        <v>347.51614302686198</v>
      </c>
      <c r="AC41" s="33">
        <v>344.50099477070597</v>
      </c>
      <c r="AD41" s="33">
        <v>344.26265438972598</v>
      </c>
      <c r="AE41" s="15">
        <v>8.9783105427339305E-3</v>
      </c>
      <c r="AF41" s="15">
        <v>2.6416989110826001E-4</v>
      </c>
      <c r="AG41" s="15">
        <v>-4.27911901490188E-4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9.5756783313596799E-2</v>
      </c>
      <c r="BE41" s="29">
        <f t="shared" si="22"/>
        <v>0</v>
      </c>
      <c r="BF41" s="29">
        <f t="shared" si="23"/>
        <v>9.5756783313596799E-2</v>
      </c>
      <c r="BH41" s="29"/>
    </row>
    <row r="42" spans="1:124" x14ac:dyDescent="0.25">
      <c r="A42" s="1">
        <v>46084</v>
      </c>
      <c r="B42" s="33">
        <v>340.3</v>
      </c>
      <c r="C42" s="33">
        <v>343.39</v>
      </c>
      <c r="D42" s="15">
        <v>-1.4499138141649199E-2</v>
      </c>
      <c r="E42" s="15">
        <v>-2.9659806564362999E-3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340.3</v>
      </c>
      <c r="M42" s="33">
        <v>343.39</v>
      </c>
      <c r="N42" s="34">
        <v>1.0090802233323499</v>
      </c>
      <c r="O42" s="34">
        <v>1.00650546826212</v>
      </c>
      <c r="P42" s="34">
        <v>0.99756360247504805</v>
      </c>
      <c r="Q42" s="34">
        <v>1.00241617527534</v>
      </c>
      <c r="R42" s="33">
        <v>342.513810849599</v>
      </c>
      <c r="S42" s="33">
        <v>339.28014448346897</v>
      </c>
      <c r="T42" s="33">
        <v>339.84150606121602</v>
      </c>
      <c r="U42" s="15">
        <v>-2.5548469424789E-3</v>
      </c>
      <c r="V42" s="15">
        <v>-1.2040676460816999E-2</v>
      </c>
      <c r="W42" s="15">
        <v>-1.0387477199240601E-2</v>
      </c>
      <c r="X42" s="34">
        <v>1.0090802233323499</v>
      </c>
      <c r="Y42" s="34">
        <v>1.00650546826212</v>
      </c>
      <c r="Z42" s="34">
        <v>0.99756360247504805</v>
      </c>
      <c r="AA42" s="34">
        <v>1.00241617527534</v>
      </c>
      <c r="AB42" s="33">
        <v>342.513810849599</v>
      </c>
      <c r="AC42" s="33">
        <v>339.28014448346897</v>
      </c>
      <c r="AD42" s="33">
        <v>339.84150606121602</v>
      </c>
      <c r="AE42" s="15">
        <v>-2.5548469424789E-3</v>
      </c>
      <c r="AF42" s="15">
        <v>-1.2040676460816999E-2</v>
      </c>
      <c r="AG42" s="15">
        <v>-1.0387477199240601E-2</v>
      </c>
      <c r="AI42" s="12"/>
      <c r="AJ42">
        <f t="shared" si="6"/>
        <v>0</v>
      </c>
      <c r="AK42">
        <f t="shared" si="7"/>
        <v>0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9.5756783313596799E-2</v>
      </c>
      <c r="BE42" s="29">
        <f t="shared" si="22"/>
        <v>0</v>
      </c>
      <c r="BF42" s="29">
        <f t="shared" si="23"/>
        <v>9.5756783313596799E-2</v>
      </c>
      <c r="BH42" s="29"/>
    </row>
    <row r="43" spans="1:124" x14ac:dyDescent="0.25">
      <c r="A43" s="1">
        <v>46085</v>
      </c>
      <c r="B43" s="33">
        <v>341</v>
      </c>
      <c r="C43" s="33">
        <v>343.39</v>
      </c>
      <c r="D43" s="15">
        <v>2.0548957766567898E-3</v>
      </c>
      <c r="E43" s="15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341</v>
      </c>
      <c r="M43" s="33">
        <v>343.39</v>
      </c>
      <c r="N43" s="34">
        <v>1.0070087976539499</v>
      </c>
      <c r="O43" s="34">
        <v>1.00650546826212</v>
      </c>
      <c r="P43" s="34">
        <v>0.99848158770477402</v>
      </c>
      <c r="Q43" s="34">
        <v>1.0031199884066</v>
      </c>
      <c r="R43" s="33">
        <v>343.21836467738302</v>
      </c>
      <c r="S43" s="33">
        <v>340.169188443991</v>
      </c>
      <c r="T43" s="33">
        <v>341.82391576889199</v>
      </c>
      <c r="U43" s="15">
        <v>-4.9995116582229101E-4</v>
      </c>
      <c r="V43" s="15">
        <v>-9.4237205678050703E-3</v>
      </c>
      <c r="W43" s="15">
        <v>-4.5710891795730704E-3</v>
      </c>
      <c r="X43" s="34">
        <v>1.0070087976539499</v>
      </c>
      <c r="Y43" s="34">
        <v>1.00650546826212</v>
      </c>
      <c r="Z43" s="34">
        <v>0.99848158770477402</v>
      </c>
      <c r="AA43" s="34">
        <v>1.0031199884066</v>
      </c>
      <c r="AB43" s="33">
        <v>343.21836467738302</v>
      </c>
      <c r="AC43" s="33">
        <v>340.169188443991</v>
      </c>
      <c r="AD43" s="33">
        <v>341.82391576889199</v>
      </c>
      <c r="AE43" s="15">
        <v>-4.9995116582229101E-4</v>
      </c>
      <c r="AF43" s="15">
        <v>-9.4237205678050703E-3</v>
      </c>
      <c r="AG43" s="15">
        <v>-4.5710891795730704E-3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9.5756783313596799E-2</v>
      </c>
      <c r="BE43" s="29">
        <f t="shared" si="22"/>
        <v>0</v>
      </c>
      <c r="BF43" s="29">
        <f t="shared" si="23"/>
        <v>9.5756783313596799E-2</v>
      </c>
      <c r="BH43" s="29"/>
    </row>
    <row r="44" spans="1:124" x14ac:dyDescent="0.25">
      <c r="A44" s="1">
        <v>46086</v>
      </c>
      <c r="B44" s="33">
        <v>319.66000000000003</v>
      </c>
      <c r="C44" s="33">
        <v>343.39</v>
      </c>
      <c r="D44" s="15">
        <v>-6.4624546343009306E-2</v>
      </c>
      <c r="E44" s="15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319.66000000000003</v>
      </c>
      <c r="M44" s="33">
        <v>343.39</v>
      </c>
      <c r="N44" s="34">
        <v>1.0742351248201201</v>
      </c>
      <c r="O44" s="34">
        <v>1.00650546826212</v>
      </c>
      <c r="P44" s="34">
        <v>1.00958584637173</v>
      </c>
      <c r="Q44" s="34">
        <v>1.00562533530686</v>
      </c>
      <c r="R44" s="33">
        <v>321.73953798466903</v>
      </c>
      <c r="S44" s="33">
        <v>319.17462432570801</v>
      </c>
      <c r="T44" s="33">
        <v>320.65733549405599</v>
      </c>
      <c r="U44" s="15">
        <v>-6.5124497508831702E-2</v>
      </c>
      <c r="V44" s="15">
        <v>-7.3128462791184401E-2</v>
      </c>
      <c r="W44" s="15">
        <v>-6.8493765196929998E-2</v>
      </c>
      <c r="X44" s="34">
        <v>1.0742351248201201</v>
      </c>
      <c r="Y44" s="34">
        <v>1.00650546826212</v>
      </c>
      <c r="Z44" s="34">
        <v>1.00958584637173</v>
      </c>
      <c r="AA44" s="34">
        <v>1.00562533530686</v>
      </c>
      <c r="AB44" s="33">
        <v>321.73953798466903</v>
      </c>
      <c r="AC44" s="33">
        <v>319.17462432570801</v>
      </c>
      <c r="AD44" s="33">
        <v>320.65733549405599</v>
      </c>
      <c r="AE44" s="15">
        <v>-6.5124497508831702E-2</v>
      </c>
      <c r="AF44" s="15">
        <v>-7.3128462791184401E-2</v>
      </c>
      <c r="AG44" s="15">
        <v>-6.8493765196929998E-2</v>
      </c>
      <c r="AI44" s="12"/>
      <c r="AJ44">
        <f t="shared" si="6"/>
        <v>1</v>
      </c>
      <c r="AK44">
        <f t="shared" si="7"/>
        <v>0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9.5756783313596799E-2</v>
      </c>
      <c r="BE44" s="29">
        <f t="shared" si="22"/>
        <v>0</v>
      </c>
      <c r="BF44" s="29">
        <f t="shared" si="23"/>
        <v>9.5756783313596799E-2</v>
      </c>
      <c r="BH44" s="29"/>
    </row>
    <row r="45" spans="1:124" x14ac:dyDescent="0.25">
      <c r="A45" s="1">
        <v>46087</v>
      </c>
      <c r="B45" s="33">
        <v>316.8</v>
      </c>
      <c r="C45" s="33">
        <v>343.39</v>
      </c>
      <c r="D45" s="15">
        <v>-8.9872710002366699E-3</v>
      </c>
      <c r="E45" s="15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316.8</v>
      </c>
      <c r="M45" s="33">
        <v>343.39</v>
      </c>
      <c r="N45" s="34">
        <v>1.08393308080808</v>
      </c>
      <c r="O45" s="34">
        <v>1.00650546826212</v>
      </c>
      <c r="P45" s="34">
        <v>1.0182921253578401</v>
      </c>
      <c r="Q45" s="34">
        <v>1.0100122726238201</v>
      </c>
      <c r="R45" s="33">
        <v>318.86093234543898</v>
      </c>
      <c r="S45" s="33">
        <v>319.83679613056597</v>
      </c>
      <c r="T45" s="33">
        <v>318.582106225215</v>
      </c>
      <c r="U45" s="15">
        <v>-7.4111768509068199E-2</v>
      </c>
      <c r="V45" s="15">
        <v>-7.10559738788588E-2</v>
      </c>
      <c r="W45" s="15">
        <v>-7.4986595344205695E-2</v>
      </c>
      <c r="X45" s="34">
        <v>1.08393308080808</v>
      </c>
      <c r="Y45" s="34">
        <v>1.00650546826212</v>
      </c>
      <c r="Z45" s="34">
        <v>1.0182921253578401</v>
      </c>
      <c r="AA45" s="34">
        <v>1.0100122726238201</v>
      </c>
      <c r="AB45" s="33">
        <v>318.86093234543898</v>
      </c>
      <c r="AC45" s="33">
        <v>319.83679613056597</v>
      </c>
      <c r="AD45" s="33">
        <v>318.582106225215</v>
      </c>
      <c r="AE45" s="15">
        <v>-7.4111768509068199E-2</v>
      </c>
      <c r="AF45" s="15">
        <v>-7.10559738788588E-2</v>
      </c>
      <c r="AG45" s="15">
        <v>-7.4986595344205695E-2</v>
      </c>
      <c r="AI45" s="12"/>
      <c r="AJ45">
        <f t="shared" si="6"/>
        <v>1</v>
      </c>
      <c r="AK45">
        <f t="shared" si="7"/>
        <v>0</v>
      </c>
      <c r="AL45">
        <f t="shared" si="14"/>
        <v>1</v>
      </c>
      <c r="AM45">
        <f t="shared" si="4"/>
        <v>1</v>
      </c>
      <c r="AN45">
        <f t="shared" si="15"/>
        <v>1</v>
      </c>
      <c r="AO45" s="28">
        <f t="shared" si="8"/>
        <v>-8.9872710002366699E-3</v>
      </c>
      <c r="AP45" s="28">
        <f t="shared" si="9"/>
        <v>0</v>
      </c>
      <c r="AQ45" s="28">
        <f t="shared" si="16"/>
        <v>-8.9872710002366699E-3</v>
      </c>
      <c r="AR45" s="29">
        <f t="shared" si="17"/>
        <v>-8.9872710002366699E-3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9.5756783313596799E-2</v>
      </c>
      <c r="BE45" s="29">
        <f t="shared" si="22"/>
        <v>-8.9872710002366699E-3</v>
      </c>
      <c r="BF45" s="29">
        <f t="shared" si="23"/>
        <v>8.6769512313360136E-2</v>
      </c>
      <c r="BH45" s="29"/>
    </row>
    <row r="46" spans="1:124" x14ac:dyDescent="0.25">
      <c r="A46" s="1">
        <v>46090</v>
      </c>
      <c r="B46" s="33">
        <v>316.08</v>
      </c>
      <c r="C46" s="33">
        <v>343.39</v>
      </c>
      <c r="D46" s="15">
        <v>-2.2753138371355299E-3</v>
      </c>
      <c r="E46" s="15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316.08</v>
      </c>
      <c r="M46" s="33">
        <v>343.39</v>
      </c>
      <c r="N46" s="34">
        <v>1.0864021766641301</v>
      </c>
      <c r="O46" s="34">
        <v>1.00650546826212</v>
      </c>
      <c r="P46" s="34">
        <v>1.02714989197277</v>
      </c>
      <c r="Q46" s="34">
        <v>1.0131124554854101</v>
      </c>
      <c r="R46" s="33">
        <v>318.13624840829101</v>
      </c>
      <c r="S46" s="33">
        <v>321.86177498310701</v>
      </c>
      <c r="T46" s="33">
        <v>319.24467913093901</v>
      </c>
      <c r="U46" s="15">
        <v>-7.6387082346203797E-2</v>
      </c>
      <c r="V46" s="15">
        <v>-6.4744644337482296E-2</v>
      </c>
      <c r="W46" s="15">
        <v>-7.2908999485068904E-2</v>
      </c>
      <c r="X46" s="34">
        <v>1.0864021766641301</v>
      </c>
      <c r="Y46" s="34">
        <v>1.00650546826212</v>
      </c>
      <c r="Z46" s="34">
        <v>1.02714989197277</v>
      </c>
      <c r="AA46" s="34">
        <v>1.0131124554854101</v>
      </c>
      <c r="AB46" s="33">
        <v>318.13624840829101</v>
      </c>
      <c r="AC46" s="33">
        <v>321.86177498310701</v>
      </c>
      <c r="AD46" s="33">
        <v>319.24467913093901</v>
      </c>
      <c r="AE46" s="15">
        <v>-7.6387082346203797E-2</v>
      </c>
      <c r="AF46" s="15">
        <v>-6.4744644337482296E-2</v>
      </c>
      <c r="AG46" s="15">
        <v>-7.2908999485068904E-2</v>
      </c>
      <c r="AI46" s="12"/>
      <c r="AJ46">
        <f t="shared" si="6"/>
        <v>1</v>
      </c>
      <c r="AK46">
        <f t="shared" si="7"/>
        <v>0</v>
      </c>
      <c r="AL46">
        <f t="shared" si="14"/>
        <v>1</v>
      </c>
      <c r="AM46">
        <f t="shared" si="4"/>
        <v>1</v>
      </c>
      <c r="AN46">
        <f t="shared" si="15"/>
        <v>1</v>
      </c>
      <c r="AO46" s="28">
        <f t="shared" si="8"/>
        <v>-2.2753138371355299E-3</v>
      </c>
      <c r="AP46" s="28">
        <f t="shared" si="9"/>
        <v>0</v>
      </c>
      <c r="AQ46" s="28">
        <f t="shared" si="16"/>
        <v>-2.2753138371355299E-3</v>
      </c>
      <c r="AR46" s="29">
        <f t="shared" si="17"/>
        <v>-1.12625848373722E-2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9.5756783313596799E-2</v>
      </c>
      <c r="BE46" s="29">
        <f t="shared" si="22"/>
        <v>-2.2753138371355299E-3</v>
      </c>
      <c r="BF46" s="29">
        <f t="shared" si="23"/>
        <v>8.4494198476224608E-2</v>
      </c>
      <c r="BH46" s="29"/>
    </row>
    <row r="47" spans="1:124" x14ac:dyDescent="0.25">
      <c r="A47" s="1">
        <v>46091</v>
      </c>
      <c r="B47" s="33">
        <v>314.58999999999997</v>
      </c>
      <c r="C47" s="33">
        <v>343.39</v>
      </c>
      <c r="D47" s="15">
        <v>-4.7251423795788196E-3</v>
      </c>
      <c r="E47" s="15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314.58999999999997</v>
      </c>
      <c r="M47" s="33">
        <v>343.39</v>
      </c>
      <c r="N47" s="34">
        <v>1.0915477287898501</v>
      </c>
      <c r="O47" s="34">
        <v>1.00650546826212</v>
      </c>
      <c r="P47" s="34">
        <v>1.0377892186275</v>
      </c>
      <c r="Q47" s="34">
        <v>1.0176467756027601</v>
      </c>
      <c r="R47" s="33">
        <v>316.63655526058</v>
      </c>
      <c r="S47" s="33">
        <v>323.13108451571401</v>
      </c>
      <c r="T47" s="33">
        <v>318.71504737115498</v>
      </c>
      <c r="U47" s="15">
        <v>-8.11122247257825E-2</v>
      </c>
      <c r="V47" s="15">
        <v>-6.08087521721285E-2</v>
      </c>
      <c r="W47" s="15">
        <v>-7.4569392326373302E-2</v>
      </c>
      <c r="X47" s="34">
        <v>1.0915477287898501</v>
      </c>
      <c r="Y47" s="34">
        <v>1.00650546826212</v>
      </c>
      <c r="Z47" s="34">
        <v>1.0377892186275</v>
      </c>
      <c r="AA47" s="34">
        <v>1.0176467756027601</v>
      </c>
      <c r="AB47" s="33">
        <v>316.63655526058</v>
      </c>
      <c r="AC47" s="33">
        <v>323.13108451571401</v>
      </c>
      <c r="AD47" s="33">
        <v>318.71504737115498</v>
      </c>
      <c r="AE47" s="15">
        <v>-8.11122247257825E-2</v>
      </c>
      <c r="AF47" s="15">
        <v>-6.08087521721285E-2</v>
      </c>
      <c r="AG47" s="15">
        <v>-7.4569392326373302E-2</v>
      </c>
      <c r="AI47" s="12"/>
      <c r="AJ47">
        <f t="shared" si="6"/>
        <v>1</v>
      </c>
      <c r="AK47">
        <f t="shared" si="7"/>
        <v>0</v>
      </c>
      <c r="AL47">
        <f t="shared" si="14"/>
        <v>1</v>
      </c>
      <c r="AM47">
        <f t="shared" si="4"/>
        <v>1</v>
      </c>
      <c r="AN47">
        <f t="shared" si="15"/>
        <v>1</v>
      </c>
      <c r="AO47" s="28">
        <f t="shared" si="8"/>
        <v>-4.7251423795788196E-3</v>
      </c>
      <c r="AP47" s="28">
        <f t="shared" si="9"/>
        <v>0</v>
      </c>
      <c r="AQ47" s="28">
        <f t="shared" si="16"/>
        <v>-4.7251423795788196E-3</v>
      </c>
      <c r="AR47" s="29">
        <f t="shared" si="17"/>
        <v>-1.598772721695102E-2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9.5756783313596799E-2</v>
      </c>
      <c r="BE47" s="29">
        <f t="shared" si="22"/>
        <v>-4.7251423795788196E-3</v>
      </c>
      <c r="BF47" s="29">
        <f t="shared" si="23"/>
        <v>7.9769056096645793E-2</v>
      </c>
      <c r="BH47" s="29"/>
    </row>
    <row r="48" spans="1:124" x14ac:dyDescent="0.25">
      <c r="A48" s="1">
        <v>46092</v>
      </c>
      <c r="B48" s="33">
        <v>314.57</v>
      </c>
      <c r="C48" s="33">
        <v>312.27</v>
      </c>
      <c r="D48" s="15">
        <v>-6.3576832623522201E-5</v>
      </c>
      <c r="E48" s="15">
        <v>-9.4998629284762007E-2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314.57</v>
      </c>
      <c r="M48" s="33">
        <v>312.27</v>
      </c>
      <c r="N48" s="34">
        <v>0.99268843182757405</v>
      </c>
      <c r="O48" s="34">
        <v>1.00650546826212</v>
      </c>
      <c r="P48" s="34">
        <v>1.0375406091981401</v>
      </c>
      <c r="Q48" s="34">
        <v>1.0169267848376899</v>
      </c>
      <c r="R48" s="33">
        <v>316.61642515121503</v>
      </c>
      <c r="S48" s="33">
        <v>326.45735450365203</v>
      </c>
      <c r="T48" s="33">
        <v>320.12114620136202</v>
      </c>
      <c r="U48" s="15">
        <v>1.3822827726355701E-2</v>
      </c>
      <c r="V48" s="15">
        <v>4.4431127912604403E-2</v>
      </c>
      <c r="W48" s="15">
        <v>2.48313078335064E-2</v>
      </c>
      <c r="X48" s="34">
        <v>0.99268843182757405</v>
      </c>
      <c r="Y48" s="34">
        <v>1.00650546826212</v>
      </c>
      <c r="Z48" s="34">
        <v>1.0375406091981401</v>
      </c>
      <c r="AA48" s="34">
        <v>1.0169267848376899</v>
      </c>
      <c r="AB48" s="33">
        <v>316.61642515121503</v>
      </c>
      <c r="AC48" s="33">
        <v>326.45735450365203</v>
      </c>
      <c r="AD48" s="33">
        <v>320.12114620136202</v>
      </c>
      <c r="AE48" s="15">
        <v>1.3822827726355701E-2</v>
      </c>
      <c r="AF48" s="15">
        <v>4.4431127912604403E-2</v>
      </c>
      <c r="AG48" s="15">
        <v>2.48313078335064E-2</v>
      </c>
      <c r="AI48" s="12"/>
      <c r="AJ48">
        <f t="shared" si="6"/>
        <v>0</v>
      </c>
      <c r="AK48">
        <f t="shared" si="7"/>
        <v>1</v>
      </c>
      <c r="AL48">
        <f t="shared" si="14"/>
        <v>1</v>
      </c>
      <c r="AM48">
        <f t="shared" si="4"/>
        <v>1</v>
      </c>
      <c r="AN48">
        <f t="shared" si="15"/>
        <v>1</v>
      </c>
      <c r="AO48" s="28">
        <f t="shared" si="8"/>
        <v>-6.3576832623522201E-5</v>
      </c>
      <c r="AP48" s="28">
        <f t="shared" si="9"/>
        <v>9.4998629284762007E-2</v>
      </c>
      <c r="AQ48" s="28">
        <f t="shared" si="16"/>
        <v>9.4935052452138485E-2</v>
      </c>
      <c r="AR48" s="29">
        <f t="shared" si="17"/>
        <v>7.8947325235187465E-2</v>
      </c>
      <c r="AT48" s="12"/>
      <c r="AU48">
        <f t="shared" si="10"/>
        <v>0</v>
      </c>
      <c r="AV48">
        <f t="shared" si="11"/>
        <v>0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9.5756783313596799E-2</v>
      </c>
      <c r="BE48" s="29">
        <f t="shared" si="22"/>
        <v>9.4935052452138485E-2</v>
      </c>
      <c r="BF48" s="29">
        <f t="shared" si="23"/>
        <v>0.17470410854878426</v>
      </c>
      <c r="BH48" s="29"/>
    </row>
    <row r="49" spans="1:60" x14ac:dyDescent="0.25">
      <c r="A49" s="1">
        <v>46093</v>
      </c>
      <c r="B49" s="33">
        <v>306.38</v>
      </c>
      <c r="C49" s="33">
        <v>312.27</v>
      </c>
      <c r="D49" s="15">
        <v>-2.6380465306382699E-2</v>
      </c>
      <c r="E49" s="15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306.38</v>
      </c>
      <c r="M49" s="33">
        <v>312.27</v>
      </c>
      <c r="N49" s="34">
        <v>1.01922449246034</v>
      </c>
      <c r="O49" s="34">
        <v>1.00650546826212</v>
      </c>
      <c r="P49" s="34">
        <v>1.03823150239221</v>
      </c>
      <c r="Q49" s="34">
        <v>1.01731601244504</v>
      </c>
      <c r="R49" s="33">
        <v>308.37314536614798</v>
      </c>
      <c r="S49" s="33">
        <v>317.88169184612701</v>
      </c>
      <c r="T49" s="33">
        <v>311.56602833857198</v>
      </c>
      <c r="U49" s="15">
        <v>-1.2557637580027E-2</v>
      </c>
      <c r="V49" s="15">
        <v>1.7811077141577501E-2</v>
      </c>
      <c r="W49" s="15">
        <v>-2.2569134460498799E-3</v>
      </c>
      <c r="X49" s="34">
        <v>1.01922449246034</v>
      </c>
      <c r="Y49" s="34">
        <v>1.00650546826212</v>
      </c>
      <c r="Z49" s="34">
        <v>1.03823150239221</v>
      </c>
      <c r="AA49" s="34">
        <v>1.01731601244504</v>
      </c>
      <c r="AB49" s="33">
        <v>308.37314536614798</v>
      </c>
      <c r="AC49" s="33">
        <v>317.88169184612701</v>
      </c>
      <c r="AD49" s="33">
        <v>311.56602833857198</v>
      </c>
      <c r="AE49" s="15">
        <v>-1.2557637580027E-2</v>
      </c>
      <c r="AF49" s="15">
        <v>1.7811077141577501E-2</v>
      </c>
      <c r="AG49" s="15">
        <v>-2.2569134460498799E-3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7.8947325235187465E-2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9.5756783313596799E-2</v>
      </c>
      <c r="BE49" s="29">
        <f t="shared" si="22"/>
        <v>0</v>
      </c>
      <c r="BF49" s="29">
        <f t="shared" si="23"/>
        <v>0.17470410854878426</v>
      </c>
      <c r="BH49" s="29"/>
    </row>
    <row r="50" spans="1:60" x14ac:dyDescent="0.25">
      <c r="A50" s="1">
        <v>46094</v>
      </c>
      <c r="B50" s="33">
        <v>301.58999999999997</v>
      </c>
      <c r="C50" s="33">
        <v>302.51</v>
      </c>
      <c r="D50" s="15">
        <v>-1.5757682499111601E-2</v>
      </c>
      <c r="E50" s="15">
        <v>-3.1753863419749603E-2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301.58999999999997</v>
      </c>
      <c r="M50" s="33">
        <v>302.51</v>
      </c>
      <c r="N50" s="34">
        <v>1.0030504990218501</v>
      </c>
      <c r="O50" s="34">
        <v>1.00650546826212</v>
      </c>
      <c r="P50" s="34">
        <v>1.0364679751080099</v>
      </c>
      <c r="Q50" s="34">
        <v>1.0171203587572799</v>
      </c>
      <c r="R50" s="33">
        <v>303.551984173172</v>
      </c>
      <c r="S50" s="33">
        <v>313.120238806467</v>
      </c>
      <c r="T50" s="33">
        <v>306.81233619329998</v>
      </c>
      <c r="U50" s="15">
        <v>3.4385433406108998E-3</v>
      </c>
      <c r="V50" s="15">
        <v>3.4472931539301803E-2</v>
      </c>
      <c r="W50" s="15">
        <v>1.4121943144000801E-2</v>
      </c>
      <c r="X50" s="34">
        <v>1.0030504990218501</v>
      </c>
      <c r="Y50" s="34">
        <v>1.00650546826212</v>
      </c>
      <c r="Z50" s="34">
        <v>1.0364679751080099</v>
      </c>
      <c r="AA50" s="34">
        <v>1.0171203587572799</v>
      </c>
      <c r="AB50" s="33">
        <v>303.551984173172</v>
      </c>
      <c r="AC50" s="33">
        <v>313.120238806467</v>
      </c>
      <c r="AD50" s="33">
        <v>306.81233619329998</v>
      </c>
      <c r="AE50" s="15">
        <v>3.4385433406108998E-3</v>
      </c>
      <c r="AF50" s="15">
        <v>3.4472931539301803E-2</v>
      </c>
      <c r="AG50" s="15">
        <v>1.4121943144000801E-2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7.8947325235187465E-2</v>
      </c>
      <c r="AT50" s="12"/>
      <c r="AU50">
        <f t="shared" si="10"/>
        <v>0</v>
      </c>
      <c r="AV50">
        <f t="shared" si="11"/>
        <v>0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9.5756783313596799E-2</v>
      </c>
      <c r="BE50" s="29">
        <f t="shared" si="22"/>
        <v>0</v>
      </c>
      <c r="BF50" s="29">
        <f t="shared" si="23"/>
        <v>0.17470410854878426</v>
      </c>
      <c r="BH50" s="29"/>
    </row>
    <row r="51" spans="1:60" x14ac:dyDescent="0.25">
      <c r="A51" s="1">
        <v>46097</v>
      </c>
      <c r="B51" s="33">
        <v>304.14</v>
      </c>
      <c r="C51" s="33">
        <v>306.69</v>
      </c>
      <c r="D51" s="15">
        <v>8.4196426268746197E-3</v>
      </c>
      <c r="E51" s="15">
        <v>1.3723130661295199E-2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304.14</v>
      </c>
      <c r="M51" s="33">
        <v>306.69</v>
      </c>
      <c r="N51" s="34">
        <v>1.0083842967054599</v>
      </c>
      <c r="O51" s="34">
        <v>1.00650546826212</v>
      </c>
      <c r="P51" s="34">
        <v>1.0375554852083699</v>
      </c>
      <c r="Q51" s="34">
        <v>1.01727927725518</v>
      </c>
      <c r="R51" s="33">
        <v>306.118573117241</v>
      </c>
      <c r="S51" s="33">
        <v>315.23136994935197</v>
      </c>
      <c r="T51" s="33">
        <v>309.34698591243898</v>
      </c>
      <c r="U51" s="15">
        <v>-1.86494469380985E-3</v>
      </c>
      <c r="V51" s="15">
        <v>2.7469411545504099E-2</v>
      </c>
      <c r="W51" s="15">
        <v>8.6261131999155593E-3</v>
      </c>
      <c r="X51" s="34">
        <v>1.0083842967054599</v>
      </c>
      <c r="Y51" s="34">
        <v>1.00650546826212</v>
      </c>
      <c r="Z51" s="34">
        <v>1.0375554852083699</v>
      </c>
      <c r="AA51" s="34">
        <v>1.01727927725518</v>
      </c>
      <c r="AB51" s="33">
        <v>306.118573117241</v>
      </c>
      <c r="AC51" s="33">
        <v>315.23136994935197</v>
      </c>
      <c r="AD51" s="33">
        <v>309.34698591243898</v>
      </c>
      <c r="AE51" s="15">
        <v>-1.86494469380985E-3</v>
      </c>
      <c r="AF51" s="15">
        <v>2.7469411545504099E-2</v>
      </c>
      <c r="AG51" s="15">
        <v>8.6261131999155593E-3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7.8947325235187465E-2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9.5756783313596799E-2</v>
      </c>
      <c r="BE51" s="29">
        <f t="shared" si="22"/>
        <v>0</v>
      </c>
      <c r="BF51" s="29">
        <f t="shared" si="23"/>
        <v>0.17470410854878426</v>
      </c>
      <c r="BH51" s="29"/>
    </row>
    <row r="52" spans="1:60" x14ac:dyDescent="0.25">
      <c r="A52" s="1">
        <v>46098</v>
      </c>
      <c r="B52" s="33">
        <v>307.02999999999997</v>
      </c>
      <c r="C52" s="33">
        <v>306.69</v>
      </c>
      <c r="D52" s="15">
        <v>9.4573409703154407E-3</v>
      </c>
      <c r="E52" s="15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307.02999999999997</v>
      </c>
      <c r="M52" s="33">
        <v>306.69</v>
      </c>
      <c r="N52" s="34">
        <v>0.99889261635670701</v>
      </c>
      <c r="O52" s="34">
        <v>1.00650546826212</v>
      </c>
      <c r="P52" s="34">
        <v>1.0365367245107999</v>
      </c>
      <c r="Q52" s="34">
        <v>1.0170501634929201</v>
      </c>
      <c r="R52" s="33">
        <v>309.02737392051802</v>
      </c>
      <c r="S52" s="33">
        <v>318.56066062352602</v>
      </c>
      <c r="T52" s="33">
        <v>312.335256495659</v>
      </c>
      <c r="U52" s="15">
        <v>7.5923962765057102E-3</v>
      </c>
      <c r="V52" s="15">
        <v>3.7975448657237398E-2</v>
      </c>
      <c r="W52" s="15">
        <v>1.8239685517715199E-2</v>
      </c>
      <c r="X52" s="34">
        <v>0.99889261635670701</v>
      </c>
      <c r="Y52" s="34">
        <v>1.00650546826212</v>
      </c>
      <c r="Z52" s="34">
        <v>1.0365367245107999</v>
      </c>
      <c r="AA52" s="34">
        <v>1.0170501634929201</v>
      </c>
      <c r="AB52" s="33">
        <v>309.02737392051802</v>
      </c>
      <c r="AC52" s="33">
        <v>318.56066062352602</v>
      </c>
      <c r="AD52" s="33">
        <v>312.335256495659</v>
      </c>
      <c r="AE52" s="15">
        <v>7.5923962765057102E-3</v>
      </c>
      <c r="AF52" s="15">
        <v>3.7975448657237398E-2</v>
      </c>
      <c r="AG52" s="15">
        <v>1.8239685517715199E-2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7.8947325235187465E-2</v>
      </c>
      <c r="AT52" s="12"/>
      <c r="AU52">
        <f t="shared" si="10"/>
        <v>0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9.5756783313596799E-2</v>
      </c>
      <c r="BE52" s="29">
        <f t="shared" si="22"/>
        <v>0</v>
      </c>
      <c r="BF52" s="29">
        <f t="shared" si="23"/>
        <v>0.17470410854878426</v>
      </c>
      <c r="BH52" s="29"/>
    </row>
    <row r="53" spans="1:60" x14ac:dyDescent="0.25">
      <c r="A53" s="1">
        <v>46099</v>
      </c>
      <c r="B53" s="33">
        <v>308.3</v>
      </c>
      <c r="C53" s="33">
        <v>306.69</v>
      </c>
      <c r="D53" s="15">
        <v>4.1278722094763498E-3</v>
      </c>
      <c r="E53" s="15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308.3</v>
      </c>
      <c r="M53" s="33">
        <v>306.69</v>
      </c>
      <c r="N53" s="34">
        <v>0.99477781381771002</v>
      </c>
      <c r="O53" s="34">
        <v>1.00650546826212</v>
      </c>
      <c r="P53" s="34">
        <v>1.03531362612718</v>
      </c>
      <c r="Q53" s="34">
        <v>1.0168976069159701</v>
      </c>
      <c r="R53" s="33">
        <v>310.305635865211</v>
      </c>
      <c r="S53" s="33">
        <v>319.56427216668197</v>
      </c>
      <c r="T53" s="33">
        <v>313.55656540486899</v>
      </c>
      <c r="U53" s="15">
        <v>1.17202684859819E-2</v>
      </c>
      <c r="V53" s="15">
        <v>4.11209529905701E-2</v>
      </c>
      <c r="W53" s="15">
        <v>2.2142310273523699E-2</v>
      </c>
      <c r="X53" s="34">
        <v>0.99477781381771002</v>
      </c>
      <c r="Y53" s="34">
        <v>1.00650546826212</v>
      </c>
      <c r="Z53" s="34">
        <v>1.03531362612718</v>
      </c>
      <c r="AA53" s="34">
        <v>1.0168976069159701</v>
      </c>
      <c r="AB53" s="33">
        <v>310.305635865211</v>
      </c>
      <c r="AC53" s="33">
        <v>319.56427216668197</v>
      </c>
      <c r="AD53" s="33">
        <v>313.55656540486899</v>
      </c>
      <c r="AE53" s="15">
        <v>1.17202684859819E-2</v>
      </c>
      <c r="AF53" s="15">
        <v>4.11209529905701E-2</v>
      </c>
      <c r="AG53" s="15">
        <v>2.2142310273523699E-2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7.8947325235187465E-2</v>
      </c>
      <c r="AT53" s="12"/>
      <c r="AU53">
        <f t="shared" si="10"/>
        <v>0</v>
      </c>
      <c r="AV53">
        <f t="shared" si="11"/>
        <v>0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9.5756783313596799E-2</v>
      </c>
      <c r="BE53" s="29">
        <f t="shared" si="22"/>
        <v>0</v>
      </c>
      <c r="BF53" s="29">
        <f t="shared" si="23"/>
        <v>0.17470410854878426</v>
      </c>
      <c r="BH53" s="29"/>
    </row>
    <row r="54" spans="1:60" x14ac:dyDescent="0.25">
      <c r="A54" s="1">
        <v>46100</v>
      </c>
      <c r="B54" s="33">
        <v>304.37</v>
      </c>
      <c r="C54" s="33">
        <v>306.69</v>
      </c>
      <c r="D54" s="15">
        <v>-1.2829268294899601E-2</v>
      </c>
      <c r="E54" s="15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304.37</v>
      </c>
      <c r="M54" s="33">
        <v>306.69</v>
      </c>
      <c r="N54" s="34">
        <v>1.00762230180372</v>
      </c>
      <c r="O54" s="34">
        <v>1.00650546826212</v>
      </c>
      <c r="P54" s="34">
        <v>1.0286523438255399</v>
      </c>
      <c r="Q54" s="34">
        <v>1.01911909509864</v>
      </c>
      <c r="R54" s="33">
        <v>306.35006937494097</v>
      </c>
      <c r="S54" s="33">
        <v>315.11840838433102</v>
      </c>
      <c r="T54" s="33">
        <v>309.51312461701599</v>
      </c>
      <c r="U54" s="15">
        <v>-1.10899980891772E-3</v>
      </c>
      <c r="V54" s="15">
        <v>2.7111002388830699E-2</v>
      </c>
      <c r="W54" s="15">
        <v>9.1630316593281202E-3</v>
      </c>
      <c r="X54" s="34">
        <v>1.00762230180372</v>
      </c>
      <c r="Y54" s="34">
        <v>1.00650546826212</v>
      </c>
      <c r="Z54" s="34">
        <v>1.0286523438255399</v>
      </c>
      <c r="AA54" s="34">
        <v>1.01911909509864</v>
      </c>
      <c r="AB54" s="33">
        <v>306.35006937494097</v>
      </c>
      <c r="AC54" s="33">
        <v>315.11840838433102</v>
      </c>
      <c r="AD54" s="33">
        <v>309.51312461701599</v>
      </c>
      <c r="AE54" s="15">
        <v>-1.10899980891772E-3</v>
      </c>
      <c r="AF54" s="15">
        <v>2.7111002388830699E-2</v>
      </c>
      <c r="AG54" s="15">
        <v>9.1630316593281202E-3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7.8947325235187465E-2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9.5756783313596799E-2</v>
      </c>
      <c r="BE54" s="29">
        <f t="shared" si="22"/>
        <v>0</v>
      </c>
      <c r="BF54" s="29">
        <f t="shared" si="23"/>
        <v>0.17470410854878426</v>
      </c>
      <c r="BH54" s="29"/>
    </row>
    <row r="55" spans="1:60" x14ac:dyDescent="0.25">
      <c r="A55" s="1">
        <v>46101</v>
      </c>
      <c r="B55" s="33">
        <v>291.44</v>
      </c>
      <c r="C55" s="33">
        <v>306.69</v>
      </c>
      <c r="D55" s="15">
        <v>-4.3409913896896697E-2</v>
      </c>
      <c r="E55" s="15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291.44</v>
      </c>
      <c r="M55" s="33">
        <v>306.69</v>
      </c>
      <c r="N55" s="34">
        <v>1.05232637935767</v>
      </c>
      <c r="O55" s="34">
        <v>1.00650546826212</v>
      </c>
      <c r="P55" s="34">
        <v>1.0254916736805</v>
      </c>
      <c r="Q55" s="34">
        <v>1.0218918995191699</v>
      </c>
      <c r="R55" s="33">
        <v>293.33595367031199</v>
      </c>
      <c r="S55" s="33">
        <v>299.79043908451598</v>
      </c>
      <c r="T55" s="33">
        <v>297.01206907554803</v>
      </c>
      <c r="U55" s="15">
        <v>-4.45189137058144E-2</v>
      </c>
      <c r="V55" s="15">
        <v>-2.2753771255993299E-2</v>
      </c>
      <c r="W55" s="15">
        <v>-3.2064690841970299E-2</v>
      </c>
      <c r="X55" s="34">
        <v>1.05232637935767</v>
      </c>
      <c r="Y55" s="34">
        <v>1.00650546826212</v>
      </c>
      <c r="Z55" s="34">
        <v>1.0254916736805</v>
      </c>
      <c r="AA55" s="34">
        <v>1.0218918995191699</v>
      </c>
      <c r="AB55" s="33">
        <v>293.33595367031199</v>
      </c>
      <c r="AC55" s="33">
        <v>299.79043908451598</v>
      </c>
      <c r="AD55" s="33">
        <v>297.01206907554803</v>
      </c>
      <c r="AE55" s="15">
        <v>-4.45189137058144E-2</v>
      </c>
      <c r="AF55" s="15">
        <v>-2.2753771255993299E-2</v>
      </c>
      <c r="AG55" s="15">
        <v>-3.2064690841970299E-2</v>
      </c>
      <c r="AI55" s="12"/>
      <c r="AJ55">
        <f t="shared" si="6"/>
        <v>0</v>
      </c>
      <c r="AK55">
        <f t="shared" si="7"/>
        <v>0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7.8947325235187465E-2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9.5756783313596799E-2</v>
      </c>
      <c r="BE55" s="29">
        <f t="shared" si="22"/>
        <v>0</v>
      </c>
      <c r="BF55" s="29">
        <f t="shared" si="23"/>
        <v>0.17470410854878426</v>
      </c>
      <c r="BH55" s="29"/>
    </row>
    <row r="56" spans="1:60" x14ac:dyDescent="0.25">
      <c r="A56" s="1">
        <v>46104</v>
      </c>
      <c r="B56" s="33">
        <v>296.64999999999998</v>
      </c>
      <c r="C56" s="33">
        <v>306.69</v>
      </c>
      <c r="D56" s="15">
        <v>1.7718840004343799E-2</v>
      </c>
      <c r="E56" s="15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296.64999999999998</v>
      </c>
      <c r="M56" s="33">
        <v>306.69</v>
      </c>
      <c r="N56" s="34">
        <v>1.0338445980111199</v>
      </c>
      <c r="O56" s="34">
        <v>1.00650546826212</v>
      </c>
      <c r="P56" s="34">
        <v>1.0202359158151999</v>
      </c>
      <c r="Q56" s="34">
        <v>1.0236929038939799</v>
      </c>
      <c r="R56" s="33">
        <v>298.57984715995798</v>
      </c>
      <c r="S56" s="33">
        <v>304.21210499732098</v>
      </c>
      <c r="T56" s="33">
        <v>303.14423199236199</v>
      </c>
      <c r="U56" s="15">
        <v>-2.6800073701470702E-2</v>
      </c>
      <c r="V56" s="15">
        <v>-8.1122935129529193E-3</v>
      </c>
      <c r="W56" s="15">
        <v>-1.1628760009879601E-2</v>
      </c>
      <c r="X56" s="34">
        <v>1.0338445980111199</v>
      </c>
      <c r="Y56" s="34">
        <v>1.00650546826212</v>
      </c>
      <c r="Z56" s="34">
        <v>1.0202359158151999</v>
      </c>
      <c r="AA56" s="34">
        <v>1.0236929038939799</v>
      </c>
      <c r="AB56" s="33">
        <v>298.57984715995798</v>
      </c>
      <c r="AC56" s="33">
        <v>304.21210499732098</v>
      </c>
      <c r="AD56" s="33">
        <v>303.14423199236199</v>
      </c>
      <c r="AE56" s="15">
        <v>-2.6800073701470702E-2</v>
      </c>
      <c r="AF56" s="15">
        <v>-8.1122935129529193E-3</v>
      </c>
      <c r="AG56" s="15">
        <v>-1.1628760009879601E-2</v>
      </c>
      <c r="AI56" s="12"/>
      <c r="AJ56">
        <f t="shared" si="6"/>
        <v>0</v>
      </c>
      <c r="AK56">
        <f t="shared" si="7"/>
        <v>0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7.8947325235187465E-2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9.5756783313596799E-2</v>
      </c>
      <c r="BE56" s="29">
        <f t="shared" si="22"/>
        <v>0</v>
      </c>
      <c r="BF56" s="29">
        <f t="shared" si="23"/>
        <v>0.17470410854878426</v>
      </c>
      <c r="BH56" s="29"/>
    </row>
    <row r="57" spans="1:60" x14ac:dyDescent="0.25">
      <c r="A57" s="1">
        <v>46105</v>
      </c>
      <c r="B57" s="33">
        <v>302.26</v>
      </c>
      <c r="C57" s="33">
        <v>306.69</v>
      </c>
      <c r="D57" s="15">
        <v>1.87345814373223E-2</v>
      </c>
      <c r="E57" s="15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302.26</v>
      </c>
      <c r="M57" s="33">
        <v>306.69</v>
      </c>
      <c r="N57" s="34">
        <v>1.0146562562032599</v>
      </c>
      <c r="O57" s="34">
        <v>1.00650546826212</v>
      </c>
      <c r="P57" s="34">
        <v>1.0125467685565399</v>
      </c>
      <c r="Q57" s="34">
        <v>1.0251679935920199</v>
      </c>
      <c r="R57" s="33">
        <v>304.22634283690797</v>
      </c>
      <c r="S57" s="33">
        <v>308.37650791430298</v>
      </c>
      <c r="T57" s="33">
        <v>309.42141713099602</v>
      </c>
      <c r="U57" s="15">
        <v>-8.0654922641483096E-3</v>
      </c>
      <c r="V57" s="15">
        <v>5.4839992726143797E-3</v>
      </c>
      <c r="W57" s="15">
        <v>8.8666918026697496E-3</v>
      </c>
      <c r="X57" s="34">
        <v>1.0146562562032599</v>
      </c>
      <c r="Y57" s="34">
        <v>1.00650546826212</v>
      </c>
      <c r="Z57" s="34">
        <v>1.0125467685565399</v>
      </c>
      <c r="AA57" s="34">
        <v>1.0251679935920199</v>
      </c>
      <c r="AB57" s="33">
        <v>304.22634283690797</v>
      </c>
      <c r="AC57" s="33">
        <v>308.37650791430298</v>
      </c>
      <c r="AD57" s="33">
        <v>309.42141713099602</v>
      </c>
      <c r="AE57" s="15">
        <v>-8.0654922641483096E-3</v>
      </c>
      <c r="AF57" s="15">
        <v>5.4839992726143797E-3</v>
      </c>
      <c r="AG57" s="15">
        <v>8.8666918026697496E-3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7.8947325235187465E-2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9.5756783313596799E-2</v>
      </c>
      <c r="BE57" s="29">
        <f t="shared" si="22"/>
        <v>0</v>
      </c>
      <c r="BF57" s="29">
        <f t="shared" si="23"/>
        <v>0.17470410854878426</v>
      </c>
      <c r="BH57" s="29"/>
    </row>
    <row r="58" spans="1:60" x14ac:dyDescent="0.25">
      <c r="A58" s="1">
        <v>46106</v>
      </c>
      <c r="B58" s="33">
        <v>305.95</v>
      </c>
      <c r="C58" s="33">
        <v>306.69</v>
      </c>
      <c r="D58" s="15">
        <v>1.2134115766574799E-2</v>
      </c>
      <c r="E58" s="15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305.95</v>
      </c>
      <c r="M58" s="33">
        <v>306.69</v>
      </c>
      <c r="N58" s="34">
        <v>1.0024186958653301</v>
      </c>
      <c r="O58" s="34">
        <v>1.00650546826212</v>
      </c>
      <c r="P58" s="34">
        <v>1.0135197949603201</v>
      </c>
      <c r="Q58" s="34">
        <v>1.0255302020792301</v>
      </c>
      <c r="R58" s="33">
        <v>307.94034801479501</v>
      </c>
      <c r="S58" s="33">
        <v>309.78868383987401</v>
      </c>
      <c r="T58" s="33">
        <v>313.65014763947897</v>
      </c>
      <c r="U58" s="15">
        <v>4.0686235024267698E-3</v>
      </c>
      <c r="V58" s="15">
        <v>1.0052934570252499E-2</v>
      </c>
      <c r="W58" s="15">
        <v>2.2440719819714801E-2</v>
      </c>
      <c r="X58" s="34">
        <v>1.0024186958653301</v>
      </c>
      <c r="Y58" s="34">
        <v>1.00650546826212</v>
      </c>
      <c r="Z58" s="34">
        <v>1.0135197949603201</v>
      </c>
      <c r="AA58" s="34">
        <v>1.0255302020792301</v>
      </c>
      <c r="AB58" s="33">
        <v>307.94034801479501</v>
      </c>
      <c r="AC58" s="33">
        <v>309.78868383987401</v>
      </c>
      <c r="AD58" s="33">
        <v>313.65014763947897</v>
      </c>
      <c r="AE58" s="15">
        <v>4.0686235024267698E-3</v>
      </c>
      <c r="AF58" s="15">
        <v>1.0052934570252499E-2</v>
      </c>
      <c r="AG58" s="15">
        <v>2.2440719819714801E-2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7.8947325235187465E-2</v>
      </c>
      <c r="AT58" s="12"/>
      <c r="AU58">
        <f t="shared" si="10"/>
        <v>0</v>
      </c>
      <c r="AV58">
        <f t="shared" si="11"/>
        <v>0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9.5756783313596799E-2</v>
      </c>
      <c r="BE58" s="29">
        <f t="shared" si="22"/>
        <v>0</v>
      </c>
      <c r="BF58" s="29">
        <f t="shared" si="23"/>
        <v>0.17470410854878426</v>
      </c>
      <c r="BH58" s="29"/>
    </row>
    <row r="59" spans="1:60" x14ac:dyDescent="0.25">
      <c r="A59" s="1">
        <v>46107</v>
      </c>
      <c r="B59" s="33">
        <v>289.33</v>
      </c>
      <c r="C59" s="33">
        <v>306.69</v>
      </c>
      <c r="D59" s="15">
        <v>-5.5853784720000403E-2</v>
      </c>
      <c r="E59" s="15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289.33</v>
      </c>
      <c r="M59" s="33">
        <v>306.69</v>
      </c>
      <c r="N59" s="34">
        <v>1.0600006912522</v>
      </c>
      <c r="O59" s="34">
        <v>1.00650546826212</v>
      </c>
      <c r="P59" s="34">
        <v>1.0175974148394999</v>
      </c>
      <c r="Q59" s="34">
        <v>1.02791445861585</v>
      </c>
      <c r="R59" s="33">
        <v>291.212227132279</v>
      </c>
      <c r="S59" s="33">
        <v>293.24168227586898</v>
      </c>
      <c r="T59" s="33">
        <v>296.716653367584</v>
      </c>
      <c r="U59" s="15">
        <v>-5.1785161217573698E-2</v>
      </c>
      <c r="V59" s="15">
        <v>-4.48403422413651E-2</v>
      </c>
      <c r="W59" s="15">
        <v>-3.3059811075084503E-2</v>
      </c>
      <c r="X59" s="34">
        <v>1.0600006912522</v>
      </c>
      <c r="Y59" s="34">
        <v>1.00650546826212</v>
      </c>
      <c r="Z59" s="34">
        <v>1.0175974148394999</v>
      </c>
      <c r="AA59" s="34">
        <v>1.02791445861585</v>
      </c>
      <c r="AB59" s="33">
        <v>291.212227132279</v>
      </c>
      <c r="AC59" s="33">
        <v>293.24168227586898</v>
      </c>
      <c r="AD59" s="33">
        <v>296.716653367584</v>
      </c>
      <c r="AE59" s="15">
        <v>-5.1785161217573698E-2</v>
      </c>
      <c r="AF59" s="15">
        <v>-4.48403422413651E-2</v>
      </c>
      <c r="AG59" s="15">
        <v>-3.3059811075084503E-2</v>
      </c>
      <c r="AI59" s="12"/>
      <c r="AJ59">
        <f t="shared" si="6"/>
        <v>0</v>
      </c>
      <c r="AK59">
        <f t="shared" si="7"/>
        <v>0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7.8947325235187465E-2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9.5756783313596799E-2</v>
      </c>
      <c r="BE59" s="29">
        <f t="shared" si="22"/>
        <v>0</v>
      </c>
      <c r="BF59" s="29">
        <f t="shared" si="23"/>
        <v>0.17470410854878426</v>
      </c>
      <c r="BH59" s="29"/>
    </row>
    <row r="60" spans="1:60" x14ac:dyDescent="0.25">
      <c r="A60" s="1">
        <v>46108</v>
      </c>
      <c r="B60" s="33">
        <v>288.39</v>
      </c>
      <c r="C60" s="33">
        <v>306.69</v>
      </c>
      <c r="D60" s="15">
        <v>-3.2541744427145398E-3</v>
      </c>
      <c r="E60" s="15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288.39</v>
      </c>
      <c r="M60" s="33">
        <v>306.69</v>
      </c>
      <c r="N60" s="34">
        <v>1.06345573702278</v>
      </c>
      <c r="O60" s="34">
        <v>1.00650546826212</v>
      </c>
      <c r="P60" s="34">
        <v>1.02363793863959</v>
      </c>
      <c r="Q60" s="34">
        <v>1.0300529568737999</v>
      </c>
      <c r="R60" s="33">
        <v>290.26611199211197</v>
      </c>
      <c r="S60" s="33">
        <v>293.46491846556501</v>
      </c>
      <c r="T60" s="33">
        <v>296.44025072022703</v>
      </c>
      <c r="U60" s="15">
        <v>-5.5039335660288298E-2</v>
      </c>
      <c r="V60" s="15">
        <v>-4.4079361539302198E-2</v>
      </c>
      <c r="W60" s="15">
        <v>-3.3991782583661902E-2</v>
      </c>
      <c r="X60" s="34">
        <v>1.06345573702278</v>
      </c>
      <c r="Y60" s="34">
        <v>1.00650546826212</v>
      </c>
      <c r="Z60" s="34">
        <v>1.02363793863959</v>
      </c>
      <c r="AA60" s="34">
        <v>1.0300529568737999</v>
      </c>
      <c r="AB60" s="33">
        <v>290.26611199211197</v>
      </c>
      <c r="AC60" s="33">
        <v>293.46491846556501</v>
      </c>
      <c r="AD60" s="33">
        <v>296.44025072022703</v>
      </c>
      <c r="AE60" s="15">
        <v>-5.5039335660288298E-2</v>
      </c>
      <c r="AF60" s="15">
        <v>-4.4079361539302198E-2</v>
      </c>
      <c r="AG60" s="15">
        <v>-3.3991782583661902E-2</v>
      </c>
      <c r="AI60" s="12"/>
      <c r="AJ60">
        <f t="shared" si="6"/>
        <v>0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7.8947325235187465E-2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9.5756783313596799E-2</v>
      </c>
      <c r="BE60" s="29">
        <f t="shared" si="22"/>
        <v>0</v>
      </c>
      <c r="BF60" s="29">
        <f t="shared" si="23"/>
        <v>0.17470410854878426</v>
      </c>
      <c r="BH60" s="29"/>
    </row>
    <row r="61" spans="1:60" x14ac:dyDescent="0.25">
      <c r="A61" s="1">
        <v>46111</v>
      </c>
      <c r="B61" s="33">
        <v>283.82</v>
      </c>
      <c r="C61" s="33">
        <v>306.69</v>
      </c>
      <c r="D61" s="15">
        <v>-1.5973496339443002E-2</v>
      </c>
      <c r="E61" s="15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283.82</v>
      </c>
      <c r="M61" s="33">
        <v>306.69</v>
      </c>
      <c r="N61" s="34">
        <v>1.0805792403636101</v>
      </c>
      <c r="O61" s="34">
        <v>1.00650546826212</v>
      </c>
      <c r="P61" s="34">
        <v>1.0308574330054101</v>
      </c>
      <c r="Q61" s="34">
        <v>1.03420645910689</v>
      </c>
      <c r="R61" s="33">
        <v>285.66638200215499</v>
      </c>
      <c r="S61" s="33">
        <v>290.528919744691</v>
      </c>
      <c r="T61" s="33">
        <v>292.34963021992399</v>
      </c>
      <c r="U61" s="15">
        <v>-7.1012831999731393E-2</v>
      </c>
      <c r="V61" s="15">
        <v>-5.4134342483162699E-2</v>
      </c>
      <c r="W61" s="15">
        <v>-4.7887015670181998E-2</v>
      </c>
      <c r="X61" s="34">
        <v>1.0805792403636101</v>
      </c>
      <c r="Y61" s="34">
        <v>1.00650546826212</v>
      </c>
      <c r="Z61" s="34">
        <v>1.0308574330054101</v>
      </c>
      <c r="AA61" s="34">
        <v>1.03420645910689</v>
      </c>
      <c r="AB61" s="33">
        <v>285.66638200215499</v>
      </c>
      <c r="AC61" s="33">
        <v>290.528919744691</v>
      </c>
      <c r="AD61" s="33">
        <v>292.34963021992399</v>
      </c>
      <c r="AE61" s="15">
        <v>-7.1012831999731393E-2</v>
      </c>
      <c r="AF61" s="15">
        <v>-5.4134342483162699E-2</v>
      </c>
      <c r="AG61" s="15">
        <v>-4.7887015670181998E-2</v>
      </c>
      <c r="AI61" s="12"/>
      <c r="AJ61">
        <f t="shared" si="6"/>
        <v>1</v>
      </c>
      <c r="AK61">
        <f t="shared" si="7"/>
        <v>0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7.8947325235187465E-2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9.5756783313596799E-2</v>
      </c>
      <c r="BE61" s="29">
        <f t="shared" si="22"/>
        <v>0</v>
      </c>
      <c r="BF61" s="29">
        <f t="shared" si="23"/>
        <v>0.17470410854878426</v>
      </c>
      <c r="BH61" s="29"/>
    </row>
    <row r="62" spans="1:60" x14ac:dyDescent="0.25">
      <c r="A62" s="1">
        <v>46112</v>
      </c>
      <c r="B62" s="33">
        <v>292.64</v>
      </c>
      <c r="C62" s="33">
        <v>294.91000000000003</v>
      </c>
      <c r="D62" s="15">
        <v>3.0602950236164099E-2</v>
      </c>
      <c r="E62" s="15">
        <v>-3.9167240390793799E-2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292.64</v>
      </c>
      <c r="M62" s="33">
        <v>294.91000000000003</v>
      </c>
      <c r="N62" s="34">
        <v>1.0077569710224099</v>
      </c>
      <c r="O62" s="34">
        <v>1.00650546826212</v>
      </c>
      <c r="P62" s="34">
        <v>1.03174386847198</v>
      </c>
      <c r="Q62" s="34">
        <v>1.0341402964913899</v>
      </c>
      <c r="R62" s="33">
        <v>294.54376023222699</v>
      </c>
      <c r="S62" s="33">
        <v>301.670119194704</v>
      </c>
      <c r="T62" s="33">
        <v>302.65017819304097</v>
      </c>
      <c r="U62" s="15">
        <v>-1.2426413727734101E-3</v>
      </c>
      <c r="V62" s="15">
        <v>2.2663874764410299E-2</v>
      </c>
      <c r="W62" s="15">
        <v>2.5907386067234799E-2</v>
      </c>
      <c r="X62" s="34">
        <v>1.0077569710224099</v>
      </c>
      <c r="Y62" s="34">
        <v>1.00650546826212</v>
      </c>
      <c r="Z62" s="34">
        <v>1.03174386847198</v>
      </c>
      <c r="AA62" s="34">
        <v>1.0341402964913899</v>
      </c>
      <c r="AB62" s="33">
        <v>294.54376023222699</v>
      </c>
      <c r="AC62" s="33">
        <v>301.670119194704</v>
      </c>
      <c r="AD62" s="33">
        <v>302.65017819304097</v>
      </c>
      <c r="AE62" s="15">
        <v>-1.2426413727734101E-3</v>
      </c>
      <c r="AF62" s="15">
        <v>2.2663874764410299E-2</v>
      </c>
      <c r="AG62" s="15">
        <v>2.5907386067234799E-2</v>
      </c>
      <c r="AI62" s="12"/>
      <c r="AJ62">
        <f t="shared" si="6"/>
        <v>0</v>
      </c>
      <c r="AK62">
        <f t="shared" si="7"/>
        <v>1</v>
      </c>
      <c r="AL62">
        <f t="shared" si="14"/>
        <v>1</v>
      </c>
      <c r="AM62">
        <f t="shared" si="4"/>
        <v>1</v>
      </c>
      <c r="AN62">
        <f t="shared" si="15"/>
        <v>1</v>
      </c>
      <c r="AO62" s="28">
        <f t="shared" si="8"/>
        <v>3.0602950236164099E-2</v>
      </c>
      <c r="AP62" s="28">
        <f t="shared" si="9"/>
        <v>3.9167240390793799E-2</v>
      </c>
      <c r="AQ62" s="28">
        <f t="shared" si="16"/>
        <v>6.9770190626957898E-2</v>
      </c>
      <c r="AR62" s="29">
        <f t="shared" si="17"/>
        <v>0.14871751586214538</v>
      </c>
      <c r="AT62" s="12"/>
      <c r="AU62">
        <f t="shared" si="10"/>
        <v>0</v>
      </c>
      <c r="AV62">
        <f t="shared" si="11"/>
        <v>0</v>
      </c>
      <c r="AW62">
        <f t="shared" si="18"/>
        <v>0</v>
      </c>
      <c r="AX62">
        <f t="shared" si="5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9.5756783313596799E-2</v>
      </c>
      <c r="BE62" s="29">
        <f t="shared" si="22"/>
        <v>6.9770190626957898E-2</v>
      </c>
      <c r="BF62" s="29">
        <f t="shared" si="23"/>
        <v>0.24447429917574215</v>
      </c>
      <c r="BH62" s="29"/>
    </row>
    <row r="63" spans="1:60" x14ac:dyDescent="0.25">
      <c r="A63" s="1">
        <v>46113</v>
      </c>
      <c r="B63" s="33">
        <v>301.64999999999998</v>
      </c>
      <c r="C63" s="33">
        <v>294.91000000000003</v>
      </c>
      <c r="D63" s="15">
        <v>3.0324220244215098E-2</v>
      </c>
      <c r="E63" s="15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301.64999999999998</v>
      </c>
      <c r="M63" s="33">
        <v>294.91000000000003</v>
      </c>
      <c r="N63" s="34">
        <v>0.97765622410077901</v>
      </c>
      <c r="O63" s="34">
        <v>1.00650546826212</v>
      </c>
      <c r="P63" s="34">
        <v>1.03003170950029</v>
      </c>
      <c r="Q63" s="34">
        <v>1.0326726678137299</v>
      </c>
      <c r="R63" s="33">
        <v>303.61237450126799</v>
      </c>
      <c r="S63" s="33">
        <v>311.22553792457398</v>
      </c>
      <c r="T63" s="33">
        <v>311.94842043662902</v>
      </c>
      <c r="U63" s="15">
        <v>2.90815788714417E-2</v>
      </c>
      <c r="V63" s="15">
        <v>5.3847626630669998E-2</v>
      </c>
      <c r="W63" s="15">
        <v>5.6167629983167003E-2</v>
      </c>
      <c r="X63" s="34">
        <v>0.97765622410077901</v>
      </c>
      <c r="Y63" s="34">
        <v>1.00650546826212</v>
      </c>
      <c r="Z63" s="34">
        <v>1.03003170950029</v>
      </c>
      <c r="AA63" s="34">
        <v>1.0326726678137299</v>
      </c>
      <c r="AB63" s="33">
        <v>303.61237450126799</v>
      </c>
      <c r="AC63" s="33">
        <v>311.22553792457398</v>
      </c>
      <c r="AD63" s="33">
        <v>311.94842043662902</v>
      </c>
      <c r="AE63" s="15">
        <v>2.90815788714417E-2</v>
      </c>
      <c r="AF63" s="15">
        <v>5.3847626630669998E-2</v>
      </c>
      <c r="AG63" s="15">
        <v>5.6167629983167003E-2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0.14871751586214538</v>
      </c>
      <c r="AT63" s="12"/>
      <c r="AU63">
        <f t="shared" si="10"/>
        <v>1</v>
      </c>
      <c r="AV63">
        <f t="shared" si="11"/>
        <v>0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9.5756783313596799E-2</v>
      </c>
      <c r="BE63" s="29">
        <f t="shared" si="22"/>
        <v>0</v>
      </c>
      <c r="BF63" s="29">
        <f t="shared" si="23"/>
        <v>0.24447429917574215</v>
      </c>
      <c r="BH63" s="29"/>
    </row>
    <row r="64" spans="1:60" x14ac:dyDescent="0.25">
      <c r="A64" s="1">
        <v>46114</v>
      </c>
      <c r="B64" s="33">
        <v>290.02</v>
      </c>
      <c r="C64" s="33">
        <v>298.49</v>
      </c>
      <c r="D64" s="15">
        <v>-3.9317518767021602E-2</v>
      </c>
      <c r="E64" s="15">
        <v>1.20662063877317E-2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290.02</v>
      </c>
      <c r="M64" s="33">
        <v>298.49</v>
      </c>
      <c r="N64" s="34">
        <v>1.0292048824219</v>
      </c>
      <c r="O64" s="34">
        <v>1.00650546826212</v>
      </c>
      <c r="P64" s="34">
        <v>1.0321899675621</v>
      </c>
      <c r="Q64" s="34">
        <v>1.0304211556938201</v>
      </c>
      <c r="R64" s="33">
        <v>291.90671590538</v>
      </c>
      <c r="S64" s="33">
        <v>298.72979638927399</v>
      </c>
      <c r="T64" s="33">
        <v>299.49572711934002</v>
      </c>
      <c r="U64" s="15">
        <v>-2.2302146283311501E-2</v>
      </c>
      <c r="V64" s="15">
        <v>8.0304237605989699E-4</v>
      </c>
      <c r="W64" s="15">
        <v>3.36371930637513E-3</v>
      </c>
      <c r="X64" s="34">
        <v>1.0292048824219</v>
      </c>
      <c r="Y64" s="34">
        <v>1.00650546826212</v>
      </c>
      <c r="Z64" s="34">
        <v>1.0321899675621</v>
      </c>
      <c r="AA64" s="34">
        <v>1.0304211556938201</v>
      </c>
      <c r="AB64" s="33">
        <v>291.90671590538</v>
      </c>
      <c r="AC64" s="33">
        <v>298.72979638927399</v>
      </c>
      <c r="AD64" s="33">
        <v>299.49572711934002</v>
      </c>
      <c r="AE64" s="15">
        <v>-2.2302146283311501E-2</v>
      </c>
      <c r="AF64" s="15">
        <v>8.0304237605989699E-4</v>
      </c>
      <c r="AG64" s="15">
        <v>3.36371930637513E-3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0.14871751586214538</v>
      </c>
      <c r="AT64" s="12"/>
      <c r="AU64">
        <f t="shared" si="10"/>
        <v>0</v>
      </c>
      <c r="AV64">
        <f t="shared" si="11"/>
        <v>1</v>
      </c>
      <c r="AW64">
        <f t="shared" si="18"/>
        <v>1</v>
      </c>
      <c r="AX64">
        <f t="shared" si="5"/>
        <v>1</v>
      </c>
      <c r="AY64">
        <f t="shared" si="19"/>
        <v>1</v>
      </c>
      <c r="AZ64" s="28">
        <f t="shared" si="12"/>
        <v>3.9317518767021602E-2</v>
      </c>
      <c r="BA64" s="28">
        <f t="shared" si="13"/>
        <v>1.20662063877317E-2</v>
      </c>
      <c r="BB64" s="28">
        <f t="shared" si="20"/>
        <v>5.1383725154753299E-2</v>
      </c>
      <c r="BC64" s="29">
        <f t="shared" si="21"/>
        <v>0.14714050846835008</v>
      </c>
      <c r="BE64" s="29">
        <f t="shared" si="22"/>
        <v>5.1383725154753299E-2</v>
      </c>
      <c r="BF64" s="29">
        <f t="shared" si="23"/>
        <v>0.29585802433049546</v>
      </c>
      <c r="BH64" s="29"/>
    </row>
    <row r="65" spans="1:60" x14ac:dyDescent="0.25">
      <c r="A65" s="1">
        <v>46118</v>
      </c>
      <c r="B65" s="33">
        <v>298.93</v>
      </c>
      <c r="C65" s="33">
        <v>298.49</v>
      </c>
      <c r="D65" s="15">
        <v>3.0259546149669601E-2</v>
      </c>
      <c r="E65" s="15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298.93</v>
      </c>
      <c r="M65" s="33">
        <v>298.49</v>
      </c>
      <c r="N65" s="34">
        <v>0.99852808349780797</v>
      </c>
      <c r="O65" s="34">
        <v>1.00650546826212</v>
      </c>
      <c r="P65" s="34">
        <v>1.0268101379761201</v>
      </c>
      <c r="Q65" s="34">
        <v>1.02615090582831</v>
      </c>
      <c r="R65" s="33">
        <v>300.87467962759501</v>
      </c>
      <c r="S65" s="33">
        <v>308.55254700334098</v>
      </c>
      <c r="T65" s="33">
        <v>308.02379607155501</v>
      </c>
      <c r="U65" s="15">
        <v>7.9573998663580708E-3</v>
      </c>
      <c r="V65" s="15">
        <v>3.3155728049777497E-2</v>
      </c>
      <c r="W65" s="15">
        <v>3.14406085277898E-2</v>
      </c>
      <c r="X65" s="34">
        <v>0.99852808349780797</v>
      </c>
      <c r="Y65" s="34">
        <v>1.00650546826212</v>
      </c>
      <c r="Z65" s="34">
        <v>1.0268101379761201</v>
      </c>
      <c r="AA65" s="34">
        <v>1.02615090582831</v>
      </c>
      <c r="AB65" s="33">
        <v>300.87467962759501</v>
      </c>
      <c r="AC65" s="33">
        <v>308.55254700334098</v>
      </c>
      <c r="AD65" s="33">
        <v>308.02379607155501</v>
      </c>
      <c r="AE65" s="15">
        <v>7.9573998663580708E-3</v>
      </c>
      <c r="AF65" s="15">
        <v>3.3155728049777497E-2</v>
      </c>
      <c r="AG65" s="15">
        <v>3.14406085277898E-2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0.14871751586214538</v>
      </c>
      <c r="AT65" s="12"/>
      <c r="AU65">
        <f t="shared" si="10"/>
        <v>0</v>
      </c>
      <c r="AV65">
        <f t="shared" si="11"/>
        <v>0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0.14714050846835008</v>
      </c>
      <c r="BE65" s="29">
        <f t="shared" si="22"/>
        <v>0</v>
      </c>
      <c r="BF65" s="29">
        <f t="shared" si="23"/>
        <v>0.29585802433049546</v>
      </c>
      <c r="BH65" s="29"/>
    </row>
    <row r="66" spans="1:60" x14ac:dyDescent="0.25">
      <c r="A66" s="1">
        <v>46119</v>
      </c>
      <c r="B66" s="33">
        <v>298.06</v>
      </c>
      <c r="C66" s="33">
        <v>298.49</v>
      </c>
      <c r="D66" s="15">
        <v>-2.9146237487720798E-3</v>
      </c>
      <c r="E66" s="15">
        <v>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298.06</v>
      </c>
      <c r="M66" s="33">
        <v>298.49</v>
      </c>
      <c r="N66" s="34">
        <v>1.0014426625511601</v>
      </c>
      <c r="O66" s="34">
        <v>1.00650546826212</v>
      </c>
      <c r="P66" s="34">
        <v>1.0235699444301201</v>
      </c>
      <c r="Q66" s="34">
        <v>1.0219029301226601</v>
      </c>
      <c r="R66" s="33">
        <v>299.99901987020701</v>
      </c>
      <c r="S66" s="33">
        <v>306.051029725163</v>
      </c>
      <c r="T66" s="33">
        <v>305.85453899118698</v>
      </c>
      <c r="U66" s="15">
        <v>5.0427761175861696E-3</v>
      </c>
      <c r="V66" s="15">
        <v>2.5015420422595799E-2</v>
      </c>
      <c r="W66" s="15">
        <v>2.4373194723810099E-2</v>
      </c>
      <c r="X66" s="34">
        <v>1.0014426625511601</v>
      </c>
      <c r="Y66" s="34">
        <v>1.00650546826212</v>
      </c>
      <c r="Z66" s="34">
        <v>1.0235699444301201</v>
      </c>
      <c r="AA66" s="34">
        <v>1.0219029301226601</v>
      </c>
      <c r="AB66" s="33">
        <v>299.99901987020701</v>
      </c>
      <c r="AC66" s="33">
        <v>306.051029725163</v>
      </c>
      <c r="AD66" s="33">
        <v>305.85453899118698</v>
      </c>
      <c r="AE66" s="15">
        <v>5.0427761175861696E-3</v>
      </c>
      <c r="AF66" s="15">
        <v>2.5015420422595799E-2</v>
      </c>
      <c r="AG66" s="15">
        <v>2.4373194723810099E-2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0.14871751586214538</v>
      </c>
      <c r="AT66" s="12"/>
      <c r="AU66">
        <f t="shared" si="10"/>
        <v>0</v>
      </c>
      <c r="AV66">
        <f t="shared" si="11"/>
        <v>0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0.14714050846835008</v>
      </c>
      <c r="BE66" s="29">
        <f t="shared" si="22"/>
        <v>0</v>
      </c>
      <c r="BF66" s="29">
        <f t="shared" si="23"/>
        <v>0.29585802433049546</v>
      </c>
      <c r="BH66" s="29"/>
    </row>
    <row r="67" spans="1:60" x14ac:dyDescent="0.25">
      <c r="A67" s="1">
        <v>46120</v>
      </c>
      <c r="B67" s="33">
        <v>313.25</v>
      </c>
      <c r="C67" s="33">
        <v>298.49</v>
      </c>
      <c r="D67" s="15">
        <v>4.9706785255530898E-2</v>
      </c>
      <c r="E67" s="15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313.25</v>
      </c>
      <c r="M67" s="33">
        <v>298.49</v>
      </c>
      <c r="N67" s="34">
        <v>0.95288108539505101</v>
      </c>
      <c r="O67" s="34">
        <v>1.00650546826212</v>
      </c>
      <c r="P67" s="34">
        <v>1.0173924273493</v>
      </c>
      <c r="Q67" s="34">
        <v>1.0149695979529201</v>
      </c>
      <c r="R67" s="33">
        <v>315.28783793310902</v>
      </c>
      <c r="S67" s="33">
        <v>320.63328509273703</v>
      </c>
      <c r="T67" s="33">
        <v>320.11109286092397</v>
      </c>
      <c r="U67" s="15">
        <v>5.4749561373116998E-2</v>
      </c>
      <c r="V67" s="15">
        <v>7.15616246023901E-2</v>
      </c>
      <c r="W67" s="15">
        <v>6.9931669302300895E-2</v>
      </c>
      <c r="X67" s="34">
        <v>0.95288108539505101</v>
      </c>
      <c r="Y67" s="34">
        <v>1.00650546826212</v>
      </c>
      <c r="Z67" s="34">
        <v>1.0173924273493</v>
      </c>
      <c r="AA67" s="34">
        <v>1.0149695979529201</v>
      </c>
      <c r="AB67" s="33">
        <v>315.28783793310902</v>
      </c>
      <c r="AC67" s="33">
        <v>320.63328509273703</v>
      </c>
      <c r="AD67" s="33">
        <v>320.11109286092397</v>
      </c>
      <c r="AE67" s="15">
        <v>5.4749561373116998E-2</v>
      </c>
      <c r="AF67" s="15">
        <v>7.15616246023901E-2</v>
      </c>
      <c r="AG67" s="15">
        <v>6.9931669302300895E-2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0.14871751586214538</v>
      </c>
      <c r="AT67" s="12"/>
      <c r="AU67">
        <f t="shared" si="10"/>
        <v>1</v>
      </c>
      <c r="AV67">
        <f t="shared" si="11"/>
        <v>0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0.14714050846835008</v>
      </c>
      <c r="BE67" s="29">
        <f t="shared" si="22"/>
        <v>0</v>
      </c>
      <c r="BF67" s="29">
        <f t="shared" si="23"/>
        <v>0.29585802433049546</v>
      </c>
      <c r="BH67" s="29"/>
    </row>
    <row r="68" spans="1:60" x14ac:dyDescent="0.25">
      <c r="A68" s="1">
        <v>46121</v>
      </c>
      <c r="B68" s="33">
        <v>318.35000000000002</v>
      </c>
      <c r="C68" s="33">
        <v>316.48</v>
      </c>
      <c r="D68" s="15">
        <v>1.6149812686856599E-2</v>
      </c>
      <c r="E68" s="15">
        <v>5.8523617000377101E-2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318.35000000000002</v>
      </c>
      <c r="M68" s="33">
        <v>316.48</v>
      </c>
      <c r="N68" s="34">
        <v>0.99412596199151804</v>
      </c>
      <c r="O68" s="34">
        <v>1.00650546826212</v>
      </c>
      <c r="P68" s="34">
        <v>1.01656315396192</v>
      </c>
      <c r="Q68" s="34">
        <v>1.01504147446112</v>
      </c>
      <c r="R68" s="33">
        <v>320.42101582124599</v>
      </c>
      <c r="S68" s="33">
        <v>323.88687924665101</v>
      </c>
      <c r="T68" s="33">
        <v>323.115571508313</v>
      </c>
      <c r="U68" s="15">
        <v>1.2375757059596501E-2</v>
      </c>
      <c r="V68" s="15">
        <v>2.3134268267457E-2</v>
      </c>
      <c r="W68" s="15">
        <v>2.0750017318105801E-2</v>
      </c>
      <c r="X68" s="34">
        <v>0.99412596199151804</v>
      </c>
      <c r="Y68" s="34">
        <v>1.00650546826212</v>
      </c>
      <c r="Z68" s="34">
        <v>1.01656315396192</v>
      </c>
      <c r="AA68" s="34">
        <v>1.01504147446112</v>
      </c>
      <c r="AB68" s="33">
        <v>320.42101582124599</v>
      </c>
      <c r="AC68" s="33">
        <v>323.88687924665101</v>
      </c>
      <c r="AD68" s="33">
        <v>323.115571508313</v>
      </c>
      <c r="AE68" s="15">
        <v>1.2375757059596501E-2</v>
      </c>
      <c r="AF68" s="15">
        <v>2.3134268267457E-2</v>
      </c>
      <c r="AG68" s="15">
        <v>2.0750017318105801E-2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0.14871751586214538</v>
      </c>
      <c r="AT68" s="12"/>
      <c r="AU68">
        <f t="shared" si="10"/>
        <v>0</v>
      </c>
      <c r="AV68">
        <f t="shared" si="11"/>
        <v>0</v>
      </c>
      <c r="AW68">
        <f t="shared" si="18"/>
        <v>1</v>
      </c>
      <c r="AX68">
        <f t="shared" si="5"/>
        <v>1</v>
      </c>
      <c r="AY68">
        <f t="shared" si="19"/>
        <v>1</v>
      </c>
      <c r="AZ68" s="28">
        <f t="shared" si="12"/>
        <v>-1.6149812686856599E-2</v>
      </c>
      <c r="BA68" s="28">
        <f t="shared" si="13"/>
        <v>5.8523617000377101E-2</v>
      </c>
      <c r="BB68" s="28">
        <f t="shared" si="20"/>
        <v>4.2373804313520502E-2</v>
      </c>
      <c r="BC68" s="29">
        <f t="shared" si="21"/>
        <v>0.18951431278187059</v>
      </c>
      <c r="BE68" s="29">
        <f t="shared" si="22"/>
        <v>4.2373804313520502E-2</v>
      </c>
      <c r="BF68" s="29">
        <f t="shared" si="23"/>
        <v>0.33823182864401596</v>
      </c>
      <c r="BH68" s="29"/>
    </row>
    <row r="69" spans="1:60" x14ac:dyDescent="0.25">
      <c r="A69" s="1">
        <v>46122</v>
      </c>
      <c r="B69" s="33">
        <v>312.02999999999997</v>
      </c>
      <c r="C69" s="33">
        <v>314.62</v>
      </c>
      <c r="D69" s="15">
        <v>-2.0052069429882899E-2</v>
      </c>
      <c r="E69" s="15">
        <v>-5.89448703998861E-3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312.02999999999997</v>
      </c>
      <c r="M69" s="33">
        <v>314.62</v>
      </c>
      <c r="N69" s="34">
        <v>1.00830048392782</v>
      </c>
      <c r="O69" s="34">
        <v>1.00650546826212</v>
      </c>
      <c r="P69" s="34">
        <v>1.0113931332294801</v>
      </c>
      <c r="Q69" s="34">
        <v>1.0144952740344899</v>
      </c>
      <c r="R69" s="33">
        <v>314.059901261829</v>
      </c>
      <c r="S69" s="33">
        <v>317.19820093073901</v>
      </c>
      <c r="T69" s="33">
        <v>316.72339127610297</v>
      </c>
      <c r="U69" s="15">
        <v>-1.7818253302977901E-3</v>
      </c>
      <c r="V69" s="15">
        <v>8.1612566312683696E-3</v>
      </c>
      <c r="W69" s="15">
        <v>6.6632488357847202E-3</v>
      </c>
      <c r="X69" s="34">
        <v>1.00830048392782</v>
      </c>
      <c r="Y69" s="34">
        <v>1.00650546826212</v>
      </c>
      <c r="Z69" s="34">
        <v>1.0113931332294801</v>
      </c>
      <c r="AA69" s="34">
        <v>1.0144952740344899</v>
      </c>
      <c r="AB69" s="33">
        <v>314.059901261829</v>
      </c>
      <c r="AC69" s="33">
        <v>317.19820093073901</v>
      </c>
      <c r="AD69" s="33">
        <v>316.72339127610297</v>
      </c>
      <c r="AE69" s="15">
        <v>-1.7818253302977901E-3</v>
      </c>
      <c r="AF69" s="15">
        <v>8.1612566312683696E-3</v>
      </c>
      <c r="AG69" s="15">
        <v>6.6632488357847202E-3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0.14871751586214538</v>
      </c>
      <c r="AT69" s="12"/>
      <c r="AU69">
        <f t="shared" si="10"/>
        <v>0</v>
      </c>
      <c r="AV69">
        <f t="shared" si="11"/>
        <v>1</v>
      </c>
      <c r="AW69">
        <f t="shared" si="18"/>
        <v>1</v>
      </c>
      <c r="AX69">
        <f t="shared" si="5"/>
        <v>1</v>
      </c>
      <c r="AY69">
        <f t="shared" si="19"/>
        <v>1</v>
      </c>
      <c r="AZ69" s="28">
        <f t="shared" si="12"/>
        <v>2.0052069429882899E-2</v>
      </c>
      <c r="BA69" s="28">
        <f t="shared" si="13"/>
        <v>-5.89448703998861E-3</v>
      </c>
      <c r="BB69" s="28">
        <f t="shared" si="20"/>
        <v>1.4157582389894289E-2</v>
      </c>
      <c r="BC69" s="29">
        <f t="shared" si="21"/>
        <v>0.20367189517176487</v>
      </c>
      <c r="BE69" s="29">
        <f t="shared" si="22"/>
        <v>1.4157582389894289E-2</v>
      </c>
      <c r="BF69" s="29">
        <f t="shared" si="23"/>
        <v>0.35238941103391025</v>
      </c>
      <c r="BH69" s="29"/>
    </row>
    <row r="70" spans="1:60" x14ac:dyDescent="0.25">
      <c r="A70" s="1">
        <v>46125</v>
      </c>
      <c r="B70" s="33">
        <v>314.47000000000003</v>
      </c>
      <c r="C70" s="33">
        <v>314.62</v>
      </c>
      <c r="D70" s="15">
        <v>7.7893450503213196E-3</v>
      </c>
      <c r="E70" s="15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314.47000000000003</v>
      </c>
      <c r="M70" s="33">
        <v>314.62</v>
      </c>
      <c r="N70" s="34">
        <v>1.0004769930359001</v>
      </c>
      <c r="O70" s="34">
        <v>1.00650546826212</v>
      </c>
      <c r="P70" s="34">
        <v>1.00509525883079</v>
      </c>
      <c r="Q70" s="34">
        <v>1.01436659873519</v>
      </c>
      <c r="R70" s="33">
        <v>316.51577460438898</v>
      </c>
      <c r="S70" s="33">
        <v>318.05279860667599</v>
      </c>
      <c r="T70" s="33">
        <v>319.02832882562802</v>
      </c>
      <c r="U70" s="15">
        <v>6.0075197200234699E-3</v>
      </c>
      <c r="V70" s="15">
        <v>1.08518409581347E-2</v>
      </c>
      <c r="W70" s="15">
        <v>1.3914342543559499E-2</v>
      </c>
      <c r="X70" s="34">
        <v>1.0004769930359001</v>
      </c>
      <c r="Y70" s="34">
        <v>1.00650546826212</v>
      </c>
      <c r="Z70" s="34">
        <v>1.00509525883079</v>
      </c>
      <c r="AA70" s="34">
        <v>1.01436659873519</v>
      </c>
      <c r="AB70" s="33">
        <v>316.51577460438898</v>
      </c>
      <c r="AC70" s="33">
        <v>318.05279860667599</v>
      </c>
      <c r="AD70" s="33">
        <v>319.02832882562802</v>
      </c>
      <c r="AE70" s="15">
        <v>6.0075197200234699E-3</v>
      </c>
      <c r="AF70" s="15">
        <v>1.08518409581347E-2</v>
      </c>
      <c r="AG70" s="15">
        <v>1.3914342543559499E-2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0.14871751586214538</v>
      </c>
      <c r="AT70" s="12"/>
      <c r="AU70">
        <f t="shared" si="10"/>
        <v>0</v>
      </c>
      <c r="AV70">
        <f t="shared" si="11"/>
        <v>0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0.20367189517176487</v>
      </c>
      <c r="BE70" s="29">
        <f t="shared" si="22"/>
        <v>0</v>
      </c>
      <c r="BF70" s="29">
        <f t="shared" si="23"/>
        <v>0.35238941103391025</v>
      </c>
      <c r="BH70" s="29"/>
    </row>
    <row r="71" spans="1:60" x14ac:dyDescent="0.25">
      <c r="A71" s="1">
        <v>46126</v>
      </c>
      <c r="B71" s="33">
        <v>313.98</v>
      </c>
      <c r="C71" s="33">
        <v>314.62</v>
      </c>
      <c r="D71" s="15">
        <v>-1.5593924713011699E-3</v>
      </c>
      <c r="E71" s="15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313.98</v>
      </c>
      <c r="M71" s="33">
        <v>314.62</v>
      </c>
      <c r="N71" s="34">
        <v>1.0020383463914899</v>
      </c>
      <c r="O71" s="34">
        <v>1.00650546826212</v>
      </c>
      <c r="P71" s="34">
        <v>0.99724116943358598</v>
      </c>
      <c r="Q71" s="34">
        <v>1.0140493012195</v>
      </c>
      <c r="R71" s="33">
        <v>316.02258692494001</v>
      </c>
      <c r="S71" s="33">
        <v>315.57980936769297</v>
      </c>
      <c r="T71" s="33">
        <v>318.49082467087698</v>
      </c>
      <c r="U71" s="15">
        <v>4.4481272487223297E-3</v>
      </c>
      <c r="V71" s="15">
        <v>3.0460501433129299E-3</v>
      </c>
      <c r="W71" s="15">
        <v>1.2228105262173401E-2</v>
      </c>
      <c r="X71" s="34">
        <v>1.0020383463914899</v>
      </c>
      <c r="Y71" s="34">
        <v>1.00650546826212</v>
      </c>
      <c r="Z71" s="34">
        <v>0.99724116943358598</v>
      </c>
      <c r="AA71" s="34">
        <v>1.0140493012195</v>
      </c>
      <c r="AB71" s="33">
        <v>316.02258692494001</v>
      </c>
      <c r="AC71" s="33">
        <v>315.57980936769297</v>
      </c>
      <c r="AD71" s="33">
        <v>318.49082467087698</v>
      </c>
      <c r="AE71" s="15">
        <v>4.4481272487223297E-3</v>
      </c>
      <c r="AF71" s="15">
        <v>3.0460501433129299E-3</v>
      </c>
      <c r="AG71" s="15">
        <v>1.2228105262173401E-2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0.14871751586214538</v>
      </c>
      <c r="AT71" s="12"/>
      <c r="AU71">
        <f t="shared" si="10"/>
        <v>0</v>
      </c>
      <c r="AV71">
        <f t="shared" si="11"/>
        <v>0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0.20367189517176487</v>
      </c>
      <c r="BE71" s="29">
        <f t="shared" si="22"/>
        <v>0</v>
      </c>
      <c r="BF71" s="29">
        <f t="shared" si="23"/>
        <v>0.35238941103391025</v>
      </c>
      <c r="BH71" s="29"/>
    </row>
    <row r="72" spans="1:60" x14ac:dyDescent="0.25">
      <c r="A72" s="1">
        <v>46127</v>
      </c>
      <c r="B72" s="33">
        <v>313.79000000000002</v>
      </c>
      <c r="C72" s="33">
        <v>311.77</v>
      </c>
      <c r="D72" s="15">
        <v>-6.0531725250160401E-4</v>
      </c>
      <c r="E72" s="15">
        <v>-9.09982492246399E-3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313.79000000000002</v>
      </c>
      <c r="M72" s="33">
        <v>311.77</v>
      </c>
      <c r="N72" s="34">
        <v>0.99356257369578305</v>
      </c>
      <c r="O72" s="34">
        <v>1.00650546826212</v>
      </c>
      <c r="P72" s="34">
        <v>0.99582172970092198</v>
      </c>
      <c r="Q72" s="34">
        <v>1.0137827990864501</v>
      </c>
      <c r="R72" s="33">
        <v>315.83135088596998</v>
      </c>
      <c r="S72" s="33">
        <v>312.924306556565</v>
      </c>
      <c r="T72" s="33">
        <v>318.19853022966601</v>
      </c>
      <c r="U72" s="15">
        <v>1.29426349186846E-2</v>
      </c>
      <c r="V72" s="15">
        <v>3.6955927345122502E-3</v>
      </c>
      <c r="W72" s="15">
        <v>2.04097604068781E-2</v>
      </c>
      <c r="X72" s="34">
        <v>0.99356257369578305</v>
      </c>
      <c r="Y72" s="34">
        <v>1.00650546826212</v>
      </c>
      <c r="Z72" s="34">
        <v>0.99582172970092198</v>
      </c>
      <c r="AA72" s="34">
        <v>1.0137827990864501</v>
      </c>
      <c r="AB72" s="33">
        <v>315.83135088596998</v>
      </c>
      <c r="AC72" s="33">
        <v>312.924306556565</v>
      </c>
      <c r="AD72" s="33">
        <v>318.19853022966601</v>
      </c>
      <c r="AE72" s="15">
        <v>1.29426349186846E-2</v>
      </c>
      <c r="AF72" s="15">
        <v>3.6955927345122502E-3</v>
      </c>
      <c r="AG72" s="15">
        <v>2.04097604068781E-2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0.14871751586214538</v>
      </c>
      <c r="AT72" s="12"/>
      <c r="AU72">
        <f t="shared" si="10"/>
        <v>0</v>
      </c>
      <c r="AV72">
        <f t="shared" si="11"/>
        <v>0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0.20367189517176487</v>
      </c>
      <c r="BE72" s="29">
        <f t="shared" si="22"/>
        <v>0</v>
      </c>
      <c r="BF72" s="29">
        <f t="shared" si="23"/>
        <v>0.35238941103391025</v>
      </c>
      <c r="BH72" s="29"/>
    </row>
    <row r="73" spans="1:60" x14ac:dyDescent="0.25">
      <c r="A73" s="1">
        <v>46128</v>
      </c>
      <c r="B73" s="33">
        <v>313.95999999999998</v>
      </c>
      <c r="C73" s="33">
        <v>314.04000000000002</v>
      </c>
      <c r="D73" s="15">
        <v>5.4161689894304302E-4</v>
      </c>
      <c r="E73" s="15">
        <v>7.2546298581601899E-3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313.95999999999998</v>
      </c>
      <c r="M73" s="33">
        <v>314.04000000000002</v>
      </c>
      <c r="N73" s="34">
        <v>1.00025480952987</v>
      </c>
      <c r="O73" s="34">
        <v>1.00650546826212</v>
      </c>
      <c r="P73" s="34">
        <v>0.99808158824383197</v>
      </c>
      <c r="Q73" s="34">
        <v>1.0140566488720599</v>
      </c>
      <c r="R73" s="33">
        <v>316.00245681557499</v>
      </c>
      <c r="S73" s="33">
        <v>312.64819025690099</v>
      </c>
      <c r="T73" s="33">
        <v>318.28724760118303</v>
      </c>
      <c r="U73" s="15">
        <v>6.2296219594676697E-3</v>
      </c>
      <c r="V73" s="15">
        <v>-4.4418007329837198E-3</v>
      </c>
      <c r="W73" s="15">
        <v>1.3433903068641499E-2</v>
      </c>
      <c r="X73" s="34">
        <v>1.00025480952987</v>
      </c>
      <c r="Y73" s="34">
        <v>1.00650546826212</v>
      </c>
      <c r="Z73" s="34">
        <v>0.99808158824383197</v>
      </c>
      <c r="AA73" s="34">
        <v>1.0140566488720599</v>
      </c>
      <c r="AB73" s="33">
        <v>316.00245681557499</v>
      </c>
      <c r="AC73" s="33">
        <v>312.64819025690099</v>
      </c>
      <c r="AD73" s="33">
        <v>318.28724760118303</v>
      </c>
      <c r="AE73" s="15">
        <v>6.2296219594676697E-3</v>
      </c>
      <c r="AF73" s="15">
        <v>-4.4418007329837198E-3</v>
      </c>
      <c r="AG73" s="15">
        <v>1.3433903068641499E-2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0.14871751586214538</v>
      </c>
      <c r="AT73" s="12"/>
      <c r="AU73">
        <f t="shared" si="10"/>
        <v>0</v>
      </c>
      <c r="AV73">
        <f t="shared" si="11"/>
        <v>0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0.20367189517176487</v>
      </c>
      <c r="BE73" s="29">
        <f t="shared" si="22"/>
        <v>0</v>
      </c>
      <c r="BF73" s="29">
        <f t="shared" si="23"/>
        <v>0.35238941103391025</v>
      </c>
      <c r="BH73" s="29"/>
    </row>
    <row r="74" spans="1:60" x14ac:dyDescent="0.25">
      <c r="A74" s="1">
        <v>46129</v>
      </c>
      <c r="B74" s="33">
        <v>322.75</v>
      </c>
      <c r="C74" s="33">
        <v>327.7</v>
      </c>
      <c r="D74" s="15">
        <v>2.7612440468138901E-2</v>
      </c>
      <c r="E74" s="15">
        <v>4.2578189374713901E-2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322.75</v>
      </c>
      <c r="M74" s="33">
        <v>327.7</v>
      </c>
      <c r="N74" s="34">
        <v>1.0153369481022401</v>
      </c>
      <c r="O74" s="34">
        <v>1.00650546826212</v>
      </c>
      <c r="P74" s="34">
        <v>0.99669479481186696</v>
      </c>
      <c r="Q74" s="34">
        <v>1.01444238118698</v>
      </c>
      <c r="R74" s="33">
        <v>324.84963988159899</v>
      </c>
      <c r="S74" s="33">
        <v>322.13083260569601</v>
      </c>
      <c r="T74" s="33">
        <v>327.28678342345802</v>
      </c>
      <c r="U74" s="15">
        <v>-8.7361269471073495E-3</v>
      </c>
      <c r="V74" s="15">
        <v>-1.7140780242854901E-2</v>
      </c>
      <c r="W74" s="15">
        <v>-1.2617556317795499E-3</v>
      </c>
      <c r="X74" s="34">
        <v>1.0153369481022401</v>
      </c>
      <c r="Y74" s="34">
        <v>1.00650546826212</v>
      </c>
      <c r="Z74" s="34">
        <v>0.99669479481186696</v>
      </c>
      <c r="AA74" s="34">
        <v>1.01444238118698</v>
      </c>
      <c r="AB74" s="33">
        <v>324.84963988159899</v>
      </c>
      <c r="AC74" s="33">
        <v>322.13083260569601</v>
      </c>
      <c r="AD74" s="33">
        <v>327.28678342345802</v>
      </c>
      <c r="AE74" s="15">
        <v>-8.7361269471073495E-3</v>
      </c>
      <c r="AF74" s="15">
        <v>-1.7140780242854901E-2</v>
      </c>
      <c r="AG74" s="15">
        <v>-1.2617556317795499E-3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0.14871751586214538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0.20367189517176487</v>
      </c>
      <c r="BE74" s="29">
        <f t="shared" si="22"/>
        <v>0</v>
      </c>
      <c r="BF74" s="29">
        <f t="shared" si="23"/>
        <v>0.35238941103391025</v>
      </c>
      <c r="BH74" s="29"/>
    </row>
    <row r="75" spans="1:60" x14ac:dyDescent="0.25">
      <c r="A75" s="1">
        <v>46132</v>
      </c>
      <c r="B75" s="33">
        <v>318.10000000000002</v>
      </c>
      <c r="C75" s="33">
        <v>322.5</v>
      </c>
      <c r="D75" s="15">
        <v>-1.4512230971653399E-2</v>
      </c>
      <c r="E75" s="15">
        <v>-1.5995419468941601E-2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318.10000000000002</v>
      </c>
      <c r="M75" s="33">
        <v>322.5</v>
      </c>
      <c r="N75" s="34">
        <v>1.0138321282615499</v>
      </c>
      <c r="O75" s="34">
        <v>1.00650546826212</v>
      </c>
      <c r="P75" s="34">
        <v>0.99822519928824105</v>
      </c>
      <c r="Q75" s="34">
        <v>1.01251766863218</v>
      </c>
      <c r="R75" s="33">
        <v>320.16938945418002</v>
      </c>
      <c r="S75" s="33">
        <v>317.04861422965399</v>
      </c>
      <c r="T75" s="33">
        <v>322.69412145558101</v>
      </c>
      <c r="U75" s="15">
        <v>-7.2529384498191104E-3</v>
      </c>
      <c r="V75" s="15">
        <v>-1.7048016925218099E-2</v>
      </c>
      <c r="W75" s="15">
        <v>6.0174590865965803E-4</v>
      </c>
      <c r="X75" s="34">
        <v>1.0138321282615499</v>
      </c>
      <c r="Y75" s="34">
        <v>1.00650546826212</v>
      </c>
      <c r="Z75" s="34">
        <v>0.99822519928824105</v>
      </c>
      <c r="AA75" s="34">
        <v>1.01251766863218</v>
      </c>
      <c r="AB75" s="33">
        <v>320.16938945418002</v>
      </c>
      <c r="AC75" s="33">
        <v>317.04861422965399</v>
      </c>
      <c r="AD75" s="33">
        <v>322.69412145558101</v>
      </c>
      <c r="AE75" s="15">
        <v>-7.2529384498191104E-3</v>
      </c>
      <c r="AF75" s="15">
        <v>-1.7048016925218099E-2</v>
      </c>
      <c r="AG75" s="15">
        <v>6.0174590865965803E-4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0.14871751586214538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0.20367189517176487</v>
      </c>
      <c r="BE75" s="29">
        <f t="shared" si="22"/>
        <v>0</v>
      </c>
      <c r="BF75" s="29">
        <f t="shared" si="23"/>
        <v>0.35238941103391025</v>
      </c>
      <c r="BH75" s="29"/>
    </row>
    <row r="76" spans="1:60" x14ac:dyDescent="0.25">
      <c r="A76" s="1">
        <v>46133</v>
      </c>
      <c r="B76" s="33">
        <v>307.86</v>
      </c>
      <c r="C76" s="33">
        <v>307.81</v>
      </c>
      <c r="D76" s="15">
        <v>-3.2720664573169897E-2</v>
      </c>
      <c r="E76" s="15">
        <v>-4.6620426729812502E-2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307.86</v>
      </c>
      <c r="M76" s="33">
        <v>307.81</v>
      </c>
      <c r="N76" s="34">
        <v>0.99983758851425897</v>
      </c>
      <c r="O76" s="34">
        <v>1.00650546826212</v>
      </c>
      <c r="P76" s="34">
        <v>0.99806469188455105</v>
      </c>
      <c r="Q76" s="34">
        <v>1.0108173181573299</v>
      </c>
      <c r="R76" s="33">
        <v>309.86277345917603</v>
      </c>
      <c r="S76" s="33">
        <v>307.31360985287699</v>
      </c>
      <c r="T76" s="33">
        <v>311.71368946510302</v>
      </c>
      <c r="U76" s="15">
        <v>6.6468237068233703E-3</v>
      </c>
      <c r="V76" s="15">
        <v>-1.6139528606041501E-3</v>
      </c>
      <c r="W76" s="15">
        <v>1.26023950231336E-2</v>
      </c>
      <c r="X76" s="34">
        <v>0.99983758851425897</v>
      </c>
      <c r="Y76" s="34">
        <v>1.00650546826212</v>
      </c>
      <c r="Z76" s="34">
        <v>0.99806469188455105</v>
      </c>
      <c r="AA76" s="34">
        <v>1.0108173181573299</v>
      </c>
      <c r="AB76" s="33">
        <v>309.86277345917603</v>
      </c>
      <c r="AC76" s="33">
        <v>307.31360985287699</v>
      </c>
      <c r="AD76" s="33">
        <v>311.71368946510302</v>
      </c>
      <c r="AE76" s="15">
        <v>6.6468237068233703E-3</v>
      </c>
      <c r="AF76" s="15">
        <v>-1.6139528606041501E-3</v>
      </c>
      <c r="AG76" s="15">
        <v>1.26023950231336E-2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0.14871751586214538</v>
      </c>
      <c r="AT76" s="12"/>
      <c r="AU76">
        <f t="shared" si="10"/>
        <v>0</v>
      </c>
      <c r="AV76">
        <f t="shared" si="11"/>
        <v>0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0.20367189517176487</v>
      </c>
      <c r="BE76" s="29">
        <f t="shared" si="22"/>
        <v>0</v>
      </c>
      <c r="BF76" s="29">
        <f t="shared" si="23"/>
        <v>0.35238941103391025</v>
      </c>
      <c r="BH76" s="29"/>
    </row>
    <row r="77" spans="1:60" x14ac:dyDescent="0.25">
      <c r="A77" s="1">
        <v>46134</v>
      </c>
      <c r="B77" s="33">
        <v>297.45</v>
      </c>
      <c r="C77" s="33">
        <v>307.81</v>
      </c>
      <c r="D77" s="15">
        <v>-3.4398990548013701E-2</v>
      </c>
      <c r="E77" s="15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297.45</v>
      </c>
      <c r="M77" s="33">
        <v>307.81</v>
      </c>
      <c r="N77" s="34">
        <v>1.03482938308959</v>
      </c>
      <c r="O77" s="34">
        <v>1.00650546826212</v>
      </c>
      <c r="P77" s="34">
        <v>1.006259521654</v>
      </c>
      <c r="Q77" s="34">
        <v>1.01182597450165</v>
      </c>
      <c r="R77" s="33">
        <v>299.38505153456703</v>
      </c>
      <c r="S77" s="33">
        <v>296.87434260105903</v>
      </c>
      <c r="T77" s="33">
        <v>300.66761128590002</v>
      </c>
      <c r="U77" s="15">
        <v>-2.77521668411903E-2</v>
      </c>
      <c r="V77" s="15">
        <v>-3.6173749115991201E-2</v>
      </c>
      <c r="W77" s="15">
        <v>-2.3477336367321001E-2</v>
      </c>
      <c r="X77" s="34">
        <v>1.03482938308959</v>
      </c>
      <c r="Y77" s="34">
        <v>1.00650546826212</v>
      </c>
      <c r="Z77" s="34">
        <v>1.006259521654</v>
      </c>
      <c r="AA77" s="34">
        <v>1.01182597450165</v>
      </c>
      <c r="AB77" s="33">
        <v>299.38505153456703</v>
      </c>
      <c r="AC77" s="33">
        <v>296.87434260105903</v>
      </c>
      <c r="AD77" s="33">
        <v>300.66761128590002</v>
      </c>
      <c r="AE77" s="15">
        <v>-2.77521668411903E-2</v>
      </c>
      <c r="AF77" s="15">
        <v>-3.6173749115991201E-2</v>
      </c>
      <c r="AG77" s="15">
        <v>-2.3477336367321001E-2</v>
      </c>
      <c r="AI77" s="12"/>
      <c r="AJ77">
        <f t="shared" si="6"/>
        <v>0</v>
      </c>
      <c r="AK77">
        <f t="shared" si="7"/>
        <v>0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0.14871751586214538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0.20367189517176487</v>
      </c>
      <c r="BE77" s="29">
        <f t="shared" si="22"/>
        <v>0</v>
      </c>
      <c r="BF77" s="29">
        <f t="shared" si="23"/>
        <v>0.35238941103391025</v>
      </c>
      <c r="BH77" s="29"/>
    </row>
    <row r="78" spans="1:60" x14ac:dyDescent="0.25">
      <c r="A78" s="1">
        <v>46135</v>
      </c>
      <c r="B78" s="33">
        <v>306</v>
      </c>
      <c r="C78" s="33">
        <v>322</v>
      </c>
      <c r="D78" s="15">
        <v>2.8338958318466102E-2</v>
      </c>
      <c r="E78" s="15">
        <v>4.5068836038393699E-2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306</v>
      </c>
      <c r="M78" s="33">
        <v>322</v>
      </c>
      <c r="N78" s="34">
        <v>1.05228758169934</v>
      </c>
      <c r="O78" s="34">
        <v>1.00650546826212</v>
      </c>
      <c r="P78" s="34">
        <v>1.01207568362478</v>
      </c>
      <c r="Q78" s="34">
        <v>1.01431941879335</v>
      </c>
      <c r="R78" s="33">
        <v>307.99067328820797</v>
      </c>
      <c r="S78" s="33">
        <v>307.91541362612497</v>
      </c>
      <c r="T78" s="33">
        <v>309.61874819750602</v>
      </c>
      <c r="U78" s="15">
        <v>-4.4482044561117998E-2</v>
      </c>
      <c r="V78" s="15">
        <v>-4.4726431372863799E-2</v>
      </c>
      <c r="W78" s="15">
        <v>-3.9209849468791899E-2</v>
      </c>
      <c r="X78" s="34">
        <v>1.05228758169934</v>
      </c>
      <c r="Y78" s="34">
        <v>1.00650546826212</v>
      </c>
      <c r="Z78" s="34">
        <v>1.01207568362478</v>
      </c>
      <c r="AA78" s="34">
        <v>1.01431941879335</v>
      </c>
      <c r="AB78" s="33">
        <v>307.99067328820797</v>
      </c>
      <c r="AC78" s="33">
        <v>307.91541362612497</v>
      </c>
      <c r="AD78" s="33">
        <v>309.61874819750602</v>
      </c>
      <c r="AE78" s="15">
        <v>-4.4482044561117998E-2</v>
      </c>
      <c r="AF78" s="15">
        <v>-4.4726431372863799E-2</v>
      </c>
      <c r="AG78" s="15">
        <v>-3.9209849468791899E-2</v>
      </c>
      <c r="AI78" s="12"/>
      <c r="AJ78">
        <f t="shared" si="6"/>
        <v>0</v>
      </c>
      <c r="AK78">
        <f t="shared" si="7"/>
        <v>0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0.14871751586214538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0.20367189517176487</v>
      </c>
      <c r="BE78" s="29">
        <f t="shared" si="22"/>
        <v>0</v>
      </c>
      <c r="BF78" s="29">
        <f t="shared" si="23"/>
        <v>0.35238941103391025</v>
      </c>
      <c r="BH78" s="29"/>
    </row>
    <row r="79" spans="1:60" x14ac:dyDescent="0.25">
      <c r="A79" s="1">
        <v>46136</v>
      </c>
      <c r="B79" s="33">
        <v>312.91000000000003</v>
      </c>
      <c r="C79" s="33">
        <v>322</v>
      </c>
      <c r="D79" s="15">
        <v>2.2330507304136701E-2</v>
      </c>
      <c r="E79" s="15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312.91000000000003</v>
      </c>
      <c r="M79" s="33">
        <v>322</v>
      </c>
      <c r="N79" s="34">
        <v>1.02904988654884</v>
      </c>
      <c r="O79" s="34">
        <v>1.00650546826212</v>
      </c>
      <c r="P79" s="34">
        <v>1.01415062388689</v>
      </c>
      <c r="Q79" s="34">
        <v>1.0127718785581801</v>
      </c>
      <c r="R79" s="33">
        <v>314.94562607389997</v>
      </c>
      <c r="S79" s="33">
        <v>316.68860216303199</v>
      </c>
      <c r="T79" s="33">
        <v>317.39068933462897</v>
      </c>
      <c r="U79" s="15">
        <v>-2.2151537256981199E-2</v>
      </c>
      <c r="V79" s="15">
        <v>-1.6632582028462801E-2</v>
      </c>
      <c r="W79" s="15">
        <v>-1.4418072051765599E-2</v>
      </c>
      <c r="X79" s="34">
        <v>1.02904988654884</v>
      </c>
      <c r="Y79" s="34">
        <v>1.00650546826212</v>
      </c>
      <c r="Z79" s="34">
        <v>1.01415062388689</v>
      </c>
      <c r="AA79" s="34">
        <v>1.0127718785581801</v>
      </c>
      <c r="AB79" s="33">
        <v>314.94562607389997</v>
      </c>
      <c r="AC79" s="33">
        <v>316.68860216303199</v>
      </c>
      <c r="AD79" s="33">
        <v>317.39068933462897</v>
      </c>
      <c r="AE79" s="15">
        <v>-2.2151537256981199E-2</v>
      </c>
      <c r="AF79" s="15">
        <v>-1.6632582028462801E-2</v>
      </c>
      <c r="AG79" s="15">
        <v>-1.4418072051765599E-2</v>
      </c>
      <c r="AI79" s="12"/>
      <c r="AJ79">
        <f t="shared" si="6"/>
        <v>0</v>
      </c>
      <c r="AK79">
        <f t="shared" si="7"/>
        <v>0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0.14871751586214538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0.20367189517176487</v>
      </c>
      <c r="BE79" s="29">
        <f t="shared" si="22"/>
        <v>0</v>
      </c>
      <c r="BF79" s="29">
        <f t="shared" si="23"/>
        <v>0.35238941103391025</v>
      </c>
      <c r="BH79" s="29"/>
    </row>
    <row r="80" spans="1:60" x14ac:dyDescent="0.25">
      <c r="A80" s="1">
        <v>46139</v>
      </c>
      <c r="B80" s="33">
        <v>307.83</v>
      </c>
      <c r="C80" s="33">
        <v>313.56</v>
      </c>
      <c r="D80" s="15">
        <v>-1.6367926714289899E-2</v>
      </c>
      <c r="E80" s="15">
        <v>-2.65608162238869E-2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307.83</v>
      </c>
      <c r="M80" s="33">
        <v>313.56</v>
      </c>
      <c r="N80" s="34">
        <v>1.01861417015885</v>
      </c>
      <c r="O80" s="34">
        <v>1.00650546826212</v>
      </c>
      <c r="P80" s="34">
        <v>1.0159643415991799</v>
      </c>
      <c r="Q80" s="34">
        <v>1.0105298002149901</v>
      </c>
      <c r="R80" s="33">
        <v>309.83257829512797</v>
      </c>
      <c r="S80" s="33">
        <v>312.185986551101</v>
      </c>
      <c r="T80" s="33">
        <v>311.76156737656697</v>
      </c>
      <c r="U80" s="15">
        <v>-1.19586477473843E-2</v>
      </c>
      <c r="V80" s="15">
        <v>-4.3916083737598798E-3</v>
      </c>
      <c r="W80" s="15">
        <v>-5.7520407925470201E-3</v>
      </c>
      <c r="X80" s="34">
        <v>1.01861417015885</v>
      </c>
      <c r="Y80" s="34">
        <v>1.00650546826212</v>
      </c>
      <c r="Z80" s="34">
        <v>1.0159643415991799</v>
      </c>
      <c r="AA80" s="34">
        <v>1.0105298002149901</v>
      </c>
      <c r="AB80" s="33">
        <v>309.83257829512797</v>
      </c>
      <c r="AC80" s="33">
        <v>312.185986551101</v>
      </c>
      <c r="AD80" s="33">
        <v>311.76156737656697</v>
      </c>
      <c r="AE80" s="15">
        <v>-1.19586477473843E-2</v>
      </c>
      <c r="AF80" s="15">
        <v>-4.3916083737598798E-3</v>
      </c>
      <c r="AG80" s="15">
        <v>-5.7520407925470201E-3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0.14871751586214538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0.20367189517176487</v>
      </c>
      <c r="BE80" s="29">
        <f t="shared" si="22"/>
        <v>0</v>
      </c>
      <c r="BF80" s="29">
        <f t="shared" si="23"/>
        <v>0.35238941103391025</v>
      </c>
      <c r="BH80" s="29"/>
    </row>
    <row r="81" spans="1:60" x14ac:dyDescent="0.25">
      <c r="A81" s="1">
        <v>46140</v>
      </c>
      <c r="B81" s="33">
        <v>306.3</v>
      </c>
      <c r="C81" s="33">
        <v>313.56</v>
      </c>
      <c r="D81" s="15">
        <v>-4.9826687034978199E-3</v>
      </c>
      <c r="E81" s="15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306.3</v>
      </c>
      <c r="M81" s="33">
        <v>313.56</v>
      </c>
      <c r="N81" s="34">
        <v>1.0237022526934301</v>
      </c>
      <c r="O81" s="34">
        <v>1.00650546826212</v>
      </c>
      <c r="P81" s="34">
        <v>1.01813073222938</v>
      </c>
      <c r="Q81" s="34">
        <v>1.0076859508314799</v>
      </c>
      <c r="R81" s="33">
        <v>308.29262492868702</v>
      </c>
      <c r="S81" s="33">
        <v>311.18987783183002</v>
      </c>
      <c r="T81" s="33">
        <v>309.52527780585098</v>
      </c>
      <c r="U81" s="15">
        <v>-1.6941316450882201E-2</v>
      </c>
      <c r="V81" s="15">
        <v>-7.5874637926060997E-3</v>
      </c>
      <c r="W81" s="15">
        <v>-1.2950967491022401E-2</v>
      </c>
      <c r="X81" s="34">
        <v>1.0237022526934301</v>
      </c>
      <c r="Y81" s="34">
        <v>1.00650546826212</v>
      </c>
      <c r="Z81" s="34">
        <v>1.01813073222938</v>
      </c>
      <c r="AA81" s="34">
        <v>1.0076859508314799</v>
      </c>
      <c r="AB81" s="33">
        <v>308.29262492868702</v>
      </c>
      <c r="AC81" s="33">
        <v>311.18987783183002</v>
      </c>
      <c r="AD81" s="33">
        <v>309.52527780585098</v>
      </c>
      <c r="AE81" s="15">
        <v>-1.6941316450882201E-2</v>
      </c>
      <c r="AF81" s="15">
        <v>-7.5874637926060997E-3</v>
      </c>
      <c r="AG81" s="15">
        <v>-1.2950967491022401E-2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0.14871751586214538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0.20367189517176487</v>
      </c>
      <c r="BE81" s="29">
        <f t="shared" si="22"/>
        <v>0</v>
      </c>
      <c r="BF81" s="29">
        <f t="shared" si="23"/>
        <v>0.35238941103391025</v>
      </c>
      <c r="BH81" s="29"/>
    </row>
    <row r="82" spans="1:60" x14ac:dyDescent="0.25">
      <c r="A82" s="1">
        <v>46141</v>
      </c>
      <c r="B82" s="33">
        <v>302.02</v>
      </c>
      <c r="C82" s="33">
        <v>313.56</v>
      </c>
      <c r="D82" s="15">
        <v>-1.4071773491086501E-2</v>
      </c>
      <c r="E82" s="15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302.02</v>
      </c>
      <c r="M82" s="33">
        <v>313.56</v>
      </c>
      <c r="N82" s="34">
        <v>1.0382093901066101</v>
      </c>
      <c r="O82" s="34">
        <v>1.00650546826212</v>
      </c>
      <c r="P82" s="34">
        <v>1.02259541387046</v>
      </c>
      <c r="Q82" s="34">
        <v>1.00920857178569</v>
      </c>
      <c r="R82" s="33">
        <v>303.98478152452498</v>
      </c>
      <c r="S82" s="33">
        <v>307.49584374791698</v>
      </c>
      <c r="T82" s="33">
        <v>304.341310870124</v>
      </c>
      <c r="U82" s="15">
        <v>-3.1013089941968702E-2</v>
      </c>
      <c r="V82" s="15">
        <v>-1.9529158432229899E-2</v>
      </c>
      <c r="W82" s="15">
        <v>-2.98409245823766E-2</v>
      </c>
      <c r="X82" s="34">
        <v>1.0382093901066101</v>
      </c>
      <c r="Y82" s="34">
        <v>1.00650546826212</v>
      </c>
      <c r="Z82" s="34">
        <v>1.02259541387046</v>
      </c>
      <c r="AA82" s="34">
        <v>1.00920857178569</v>
      </c>
      <c r="AB82" s="33">
        <v>303.98478152452498</v>
      </c>
      <c r="AC82" s="33">
        <v>307.49584374791698</v>
      </c>
      <c r="AD82" s="33">
        <v>304.341310870124</v>
      </c>
      <c r="AE82" s="15">
        <v>-3.1013089941968702E-2</v>
      </c>
      <c r="AF82" s="15">
        <v>-1.9529158432229899E-2</v>
      </c>
      <c r="AG82" s="15">
        <v>-2.98409245823766E-2</v>
      </c>
      <c r="AI82" s="12"/>
      <c r="AJ82">
        <f t="shared" si="6"/>
        <v>0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0.14871751586214538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0.20367189517176487</v>
      </c>
      <c r="BE82" s="29">
        <f t="shared" si="22"/>
        <v>0</v>
      </c>
      <c r="BF82" s="29">
        <f t="shared" si="23"/>
        <v>0.35238941103391025</v>
      </c>
      <c r="BH82" s="29"/>
    </row>
    <row r="83" spans="1:60" x14ac:dyDescent="0.25">
      <c r="A83" s="1">
        <v>46142</v>
      </c>
      <c r="B83" s="33">
        <v>301.31</v>
      </c>
      <c r="C83" s="33">
        <v>313.56</v>
      </c>
      <c r="D83" s="15">
        <v>-2.3536052500329301E-3</v>
      </c>
      <c r="E83" s="15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301.31</v>
      </c>
      <c r="M83" s="33">
        <v>313.56</v>
      </c>
      <c r="N83" s="34">
        <v>1.04065580299359</v>
      </c>
      <c r="O83" s="34">
        <v>1.00650546826212</v>
      </c>
      <c r="P83" s="34">
        <v>1.0266355132168301</v>
      </c>
      <c r="Q83" s="34">
        <v>1.0123585507303301</v>
      </c>
      <c r="R83" s="33">
        <v>303.27016264205901</v>
      </c>
      <c r="S83" s="33">
        <v>308.11822415330897</v>
      </c>
      <c r="T83" s="33">
        <v>304.08463476474702</v>
      </c>
      <c r="U83" s="15">
        <v>-3.3366695192001701E-2</v>
      </c>
      <c r="V83" s="15">
        <v>-1.7507175342858301E-2</v>
      </c>
      <c r="W83" s="15">
        <v>-3.0684662830049898E-2</v>
      </c>
      <c r="X83" s="34">
        <v>1.04065580299359</v>
      </c>
      <c r="Y83" s="34">
        <v>1.00650546826212</v>
      </c>
      <c r="Z83" s="34">
        <v>1.0266355132168301</v>
      </c>
      <c r="AA83" s="34">
        <v>1.0123585507303301</v>
      </c>
      <c r="AB83" s="33">
        <v>303.27016264205901</v>
      </c>
      <c r="AC83" s="33">
        <v>308.11822415330897</v>
      </c>
      <c r="AD83" s="33">
        <v>304.08463476474702</v>
      </c>
      <c r="AE83" s="15">
        <v>-3.3366695192001701E-2</v>
      </c>
      <c r="AF83" s="15">
        <v>-1.7507175342858301E-2</v>
      </c>
      <c r="AG83" s="15">
        <v>-3.0684662830049898E-2</v>
      </c>
      <c r="AI83" s="12"/>
      <c r="AJ83">
        <f t="shared" si="6"/>
        <v>0</v>
      </c>
      <c r="AK83">
        <f t="shared" si="7"/>
        <v>0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0.14871751586214538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0.20367189517176487</v>
      </c>
      <c r="BE83" s="29">
        <f t="shared" si="22"/>
        <v>0</v>
      </c>
      <c r="BF83" s="29">
        <f t="shared" si="23"/>
        <v>0.35238941103391025</v>
      </c>
      <c r="BH83" s="29"/>
    </row>
    <row r="84" spans="1:60" x14ac:dyDescent="0.25">
      <c r="A84" s="1">
        <v>46143</v>
      </c>
      <c r="B84" s="33">
        <v>300.52</v>
      </c>
      <c r="C84" s="33">
        <v>301.67</v>
      </c>
      <c r="D84" s="15">
        <v>-2.6253275966502299E-3</v>
      </c>
      <c r="E84" s="15">
        <v>-3.8657024625995698E-2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300.52</v>
      </c>
      <c r="M84" s="33">
        <v>301.67</v>
      </c>
      <c r="N84" s="34">
        <v>1.00382670038599</v>
      </c>
      <c r="O84" s="34">
        <v>1.00650546826212</v>
      </c>
      <c r="P84" s="34">
        <v>1.0254844884452099</v>
      </c>
      <c r="Q84" s="34">
        <v>1.01108964162853</v>
      </c>
      <c r="R84" s="33">
        <v>302.47502332213202</v>
      </c>
      <c r="S84" s="33">
        <v>308.52450443192299</v>
      </c>
      <c r="T84" s="33">
        <v>304.23399166547898</v>
      </c>
      <c r="U84" s="15">
        <v>2.6650018373437301E-3</v>
      </c>
      <c r="V84" s="15">
        <v>2.24675663940943E-2</v>
      </c>
      <c r="W84" s="15">
        <v>8.46341006323428E-3</v>
      </c>
      <c r="X84" s="34">
        <v>1.00382670038599</v>
      </c>
      <c r="Y84" s="34">
        <v>1.00650546826212</v>
      </c>
      <c r="Z84" s="34">
        <v>1.0254844884452099</v>
      </c>
      <c r="AA84" s="34">
        <v>1.01108964162853</v>
      </c>
      <c r="AB84" s="33">
        <v>302.47502332213202</v>
      </c>
      <c r="AC84" s="33">
        <v>308.52450443192299</v>
      </c>
      <c r="AD84" s="33">
        <v>304.23399166547898</v>
      </c>
      <c r="AE84" s="15">
        <v>2.6650018373437301E-3</v>
      </c>
      <c r="AF84" s="15">
        <v>2.24675663940943E-2</v>
      </c>
      <c r="AG84" s="15">
        <v>8.46341006323428E-3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0.14871751586214538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0.20367189517176487</v>
      </c>
      <c r="BE84" s="29">
        <f t="shared" si="22"/>
        <v>0</v>
      </c>
      <c r="BF84" s="29">
        <f t="shared" si="23"/>
        <v>0.35238941103391025</v>
      </c>
      <c r="BH84" s="29"/>
    </row>
    <row r="85" spans="1:60" x14ac:dyDescent="0.25">
      <c r="A85" s="1">
        <v>46146</v>
      </c>
      <c r="B85" s="33">
        <v>307</v>
      </c>
      <c r="C85" s="33">
        <v>301.67</v>
      </c>
      <c r="D85" s="15">
        <v>2.1333440086237401E-2</v>
      </c>
      <c r="E85" s="15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307</v>
      </c>
      <c r="M85" s="33">
        <v>301.67</v>
      </c>
      <c r="N85" s="34">
        <v>0.98263843648208404</v>
      </c>
      <c r="O85" s="34">
        <v>1.00650546826212</v>
      </c>
      <c r="P85" s="34">
        <v>1.02236511926726</v>
      </c>
      <c r="Q85" s="34">
        <v>1.01029515927775</v>
      </c>
      <c r="R85" s="33">
        <v>308.99717875647099</v>
      </c>
      <c r="S85" s="33">
        <v>314.82373795267898</v>
      </c>
      <c r="T85" s="33">
        <v>310.40451997996098</v>
      </c>
      <c r="U85" s="15">
        <v>2.3998441923581099E-2</v>
      </c>
      <c r="V85" s="15">
        <v>4.2679215462849203E-2</v>
      </c>
      <c r="W85" s="15">
        <v>2.8542645299628699E-2</v>
      </c>
      <c r="X85" s="34">
        <v>0.98263843648208404</v>
      </c>
      <c r="Y85" s="34">
        <v>1.00650546826212</v>
      </c>
      <c r="Z85" s="34">
        <v>1.02236511926726</v>
      </c>
      <c r="AA85" s="34">
        <v>1.01029515927775</v>
      </c>
      <c r="AB85" s="33">
        <v>308.99717875647099</v>
      </c>
      <c r="AC85" s="33">
        <v>314.82373795267898</v>
      </c>
      <c r="AD85" s="33">
        <v>310.40451997996098</v>
      </c>
      <c r="AE85" s="15">
        <v>2.3998441923581099E-2</v>
      </c>
      <c r="AF85" s="15">
        <v>4.2679215462849203E-2</v>
      </c>
      <c r="AG85" s="15">
        <v>2.8542645299628699E-2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0.14871751586214538</v>
      </c>
      <c r="AT85" s="12"/>
      <c r="AU85">
        <f t="shared" si="10"/>
        <v>0</v>
      </c>
      <c r="AV85">
        <f t="shared" si="11"/>
        <v>0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0.20367189517176487</v>
      </c>
      <c r="BE85" s="29">
        <f t="shared" si="22"/>
        <v>0</v>
      </c>
      <c r="BF85" s="29">
        <f t="shared" si="23"/>
        <v>0.35238941103391025</v>
      </c>
      <c r="BH85" s="29"/>
    </row>
    <row r="86" spans="1:60" x14ac:dyDescent="0.25">
      <c r="A86" s="1">
        <v>46147</v>
      </c>
      <c r="B86" s="33">
        <v>310.68</v>
      </c>
      <c r="C86" s="33">
        <v>312.41000000000003</v>
      </c>
      <c r="D86" s="15">
        <v>1.19156959642495E-2</v>
      </c>
      <c r="E86" s="15">
        <v>3.4982723001966302E-2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310.68</v>
      </c>
      <c r="M86" s="33">
        <v>312.41000000000003</v>
      </c>
      <c r="N86" s="34">
        <v>1.0055684305394601</v>
      </c>
      <c r="O86" s="34">
        <v>1.00650546826212</v>
      </c>
      <c r="P86" s="34">
        <v>1.02293820346978</v>
      </c>
      <c r="Q86" s="34">
        <v>1.0105014476771601</v>
      </c>
      <c r="R86" s="33">
        <v>312.70111887967499</v>
      </c>
      <c r="S86" s="33">
        <v>317.62839525395299</v>
      </c>
      <c r="T86" s="33">
        <v>313.878500084412</v>
      </c>
      <c r="U86" s="15">
        <v>9.3141488586412401E-4</v>
      </c>
      <c r="V86" s="15">
        <v>1.6565703391476401E-2</v>
      </c>
      <c r="W86" s="15">
        <v>4.6895409239006598E-3</v>
      </c>
      <c r="X86" s="34">
        <v>1.0055684305394601</v>
      </c>
      <c r="Y86" s="34">
        <v>1.00650546826212</v>
      </c>
      <c r="Z86" s="34">
        <v>1.02293820346978</v>
      </c>
      <c r="AA86" s="34">
        <v>1.0105014476771601</v>
      </c>
      <c r="AB86" s="33">
        <v>312.70111887967499</v>
      </c>
      <c r="AC86" s="33">
        <v>317.62839525395299</v>
      </c>
      <c r="AD86" s="33">
        <v>313.878500084412</v>
      </c>
      <c r="AE86" s="15">
        <v>9.3141488586412401E-4</v>
      </c>
      <c r="AF86" s="15">
        <v>1.6565703391476401E-2</v>
      </c>
      <c r="AG86" s="15">
        <v>4.6895409239006598E-3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0.14871751586214538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0.20367189517176487</v>
      </c>
      <c r="BE86" s="29">
        <f t="shared" si="22"/>
        <v>0</v>
      </c>
      <c r="BF86" s="29">
        <f t="shared" si="23"/>
        <v>0.35238941103391025</v>
      </c>
      <c r="BH86" s="29"/>
    </row>
    <row r="87" spans="1:60" x14ac:dyDescent="0.25">
      <c r="A87" s="1">
        <v>46148</v>
      </c>
      <c r="B87" s="33">
        <v>318.56</v>
      </c>
      <c r="C87" s="33">
        <v>321.81</v>
      </c>
      <c r="D87" s="15">
        <v>2.5047396764439501E-2</v>
      </c>
      <c r="E87" s="15">
        <v>2.9644881580955601E-2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318.56</v>
      </c>
      <c r="M87" s="33">
        <v>321.81</v>
      </c>
      <c r="N87" s="34">
        <v>1.0102021597187301</v>
      </c>
      <c r="O87" s="34">
        <v>1.00650546826212</v>
      </c>
      <c r="P87" s="34">
        <v>1.0204754811326899</v>
      </c>
      <c r="Q87" s="34">
        <v>1.0133675013933501</v>
      </c>
      <c r="R87" s="33">
        <v>320.63238196958099</v>
      </c>
      <c r="S87" s="33">
        <v>325.86719409733399</v>
      </c>
      <c r="T87" s="33">
        <v>321.90534117203799</v>
      </c>
      <c r="U87" s="15">
        <v>-3.6660699306517298E-3</v>
      </c>
      <c r="V87" s="15">
        <v>1.25286090179299E-2</v>
      </c>
      <c r="W87" s="15">
        <v>2.9622153345585598E-4</v>
      </c>
      <c r="X87" s="34">
        <v>1.0102021597187301</v>
      </c>
      <c r="Y87" s="34">
        <v>1.00650546826212</v>
      </c>
      <c r="Z87" s="34">
        <v>1.0204754811326899</v>
      </c>
      <c r="AA87" s="34">
        <v>1.0133675013933501</v>
      </c>
      <c r="AB87" s="33">
        <v>320.63238196958099</v>
      </c>
      <c r="AC87" s="33">
        <v>325.86719409733399</v>
      </c>
      <c r="AD87" s="33">
        <v>321.90534117203799</v>
      </c>
      <c r="AE87" s="15">
        <v>-3.6660699306517298E-3</v>
      </c>
      <c r="AF87" s="15">
        <v>1.25286090179299E-2</v>
      </c>
      <c r="AG87" s="15">
        <v>2.9622153345585598E-4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0.14871751586214538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0.20367189517176487</v>
      </c>
      <c r="BE87" s="29">
        <f t="shared" ref="BE87:BE150" si="42">AQ87+BB87</f>
        <v>0</v>
      </c>
      <c r="BF87" s="29">
        <f t="shared" ref="BF87:BF150" si="43">BF86+BE87</f>
        <v>0.35238941103391025</v>
      </c>
      <c r="BH87" s="29"/>
    </row>
    <row r="88" spans="1:60" x14ac:dyDescent="0.25">
      <c r="A88" s="1">
        <v>46149</v>
      </c>
      <c r="B88" s="33">
        <v>316.29000000000002</v>
      </c>
      <c r="C88" s="33">
        <v>322.79000000000002</v>
      </c>
      <c r="D88" s="15">
        <v>-7.1513260589180904E-3</v>
      </c>
      <c r="E88" s="15">
        <v>3.04064770416439E-3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316.29000000000002</v>
      </c>
      <c r="M88" s="33">
        <v>322.79000000000002</v>
      </c>
      <c r="N88" s="34">
        <v>1.0205507603781301</v>
      </c>
      <c r="O88" s="34">
        <v>1.00650546826212</v>
      </c>
      <c r="P88" s="34">
        <v>1.0173017990005699</v>
      </c>
      <c r="Q88" s="34">
        <v>1.0146887413126799</v>
      </c>
      <c r="R88" s="33">
        <v>318.34761455662601</v>
      </c>
      <c r="S88" s="33">
        <v>322.76618992746</v>
      </c>
      <c r="T88" s="33">
        <v>320.51800701570301</v>
      </c>
      <c r="U88" s="15">
        <v>-1.38580436937344E-2</v>
      </c>
      <c r="V88" s="15">
        <v>-7.3766073105331194E-5</v>
      </c>
      <c r="W88" s="15">
        <v>-7.06349806279764E-3</v>
      </c>
      <c r="X88" s="34">
        <v>1.0205507603781301</v>
      </c>
      <c r="Y88" s="34">
        <v>1.00650546826212</v>
      </c>
      <c r="Z88" s="34">
        <v>1.0173017990005699</v>
      </c>
      <c r="AA88" s="34">
        <v>1.0146887413126799</v>
      </c>
      <c r="AB88" s="33">
        <v>318.34761455662601</v>
      </c>
      <c r="AC88" s="33">
        <v>322.76618992746</v>
      </c>
      <c r="AD88" s="33">
        <v>320.51800701570301</v>
      </c>
      <c r="AE88" s="15">
        <v>-1.38580436937344E-2</v>
      </c>
      <c r="AF88" s="15">
        <v>-7.3766073105331194E-5</v>
      </c>
      <c r="AG88" s="15">
        <v>-7.06349806279764E-3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0.14871751586214538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0.20367189517176487</v>
      </c>
      <c r="BE88" s="29">
        <f t="shared" si="42"/>
        <v>0</v>
      </c>
      <c r="BF88" s="29">
        <f t="shared" si="43"/>
        <v>0.35238941103391025</v>
      </c>
      <c r="BH88" s="29"/>
    </row>
    <row r="89" spans="1:60" x14ac:dyDescent="0.25">
      <c r="A89" s="1">
        <v>46150</v>
      </c>
      <c r="B89" s="33">
        <v>314.08</v>
      </c>
      <c r="C89" s="33">
        <v>322.79000000000002</v>
      </c>
      <c r="D89" s="15">
        <v>-7.0117837288171201E-3</v>
      </c>
      <c r="E89" s="15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314.08</v>
      </c>
      <c r="M89" s="33">
        <v>322.79000000000002</v>
      </c>
      <c r="N89" s="34">
        <v>1.0277317880794701</v>
      </c>
      <c r="O89" s="34">
        <v>1.00650546826212</v>
      </c>
      <c r="P89" s="34">
        <v>1.0171699891536301</v>
      </c>
      <c r="Q89" s="34">
        <v>1.0156603065202601</v>
      </c>
      <c r="R89" s="33">
        <v>316.123237471766</v>
      </c>
      <c r="S89" s="33">
        <v>319.51414903009999</v>
      </c>
      <c r="T89" s="33">
        <v>318.69343987148699</v>
      </c>
      <c r="U89" s="15">
        <v>-2.0869827422551598E-2</v>
      </c>
      <c r="V89" s="15">
        <v>-1.02003992303263E-2</v>
      </c>
      <c r="W89" s="15">
        <v>-1.2772319794375901E-2</v>
      </c>
      <c r="X89" s="34">
        <v>1.0277317880794701</v>
      </c>
      <c r="Y89" s="34">
        <v>1.00650546826212</v>
      </c>
      <c r="Z89" s="34">
        <v>1.0171699891536301</v>
      </c>
      <c r="AA89" s="34">
        <v>1.0156603065202601</v>
      </c>
      <c r="AB89" s="33">
        <v>316.123237471766</v>
      </c>
      <c r="AC89" s="33">
        <v>319.51414903009999</v>
      </c>
      <c r="AD89" s="33">
        <v>318.69343987148699</v>
      </c>
      <c r="AE89" s="15">
        <v>-2.0869827422551598E-2</v>
      </c>
      <c r="AF89" s="15">
        <v>-1.02003992303263E-2</v>
      </c>
      <c r="AG89" s="15">
        <v>-1.2772319794375901E-2</v>
      </c>
      <c r="AI89" s="12"/>
      <c r="AJ89">
        <f t="shared" si="26"/>
        <v>0</v>
      </c>
      <c r="AK89">
        <f t="shared" si="27"/>
        <v>0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0.14871751586214538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0.20367189517176487</v>
      </c>
      <c r="BE89" s="29">
        <f t="shared" si="42"/>
        <v>0</v>
      </c>
      <c r="BF89" s="29">
        <f t="shared" si="43"/>
        <v>0.35238941103391025</v>
      </c>
      <c r="BH89" s="29"/>
    </row>
    <row r="90" spans="1:60" x14ac:dyDescent="0.25">
      <c r="A90" s="1">
        <v>46153</v>
      </c>
      <c r="B90" s="33">
        <v>312.97000000000003</v>
      </c>
      <c r="C90" s="33">
        <v>322.79000000000002</v>
      </c>
      <c r="D90" s="15">
        <v>-3.5403912269482301E-3</v>
      </c>
      <c r="E90" s="15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312.97000000000003</v>
      </c>
      <c r="M90" s="33">
        <v>322.79000000000002</v>
      </c>
      <c r="N90" s="34">
        <v>1.03137680927884</v>
      </c>
      <c r="O90" s="34">
        <v>1.00650546826212</v>
      </c>
      <c r="P90" s="34">
        <v>1.01844625306563</v>
      </c>
      <c r="Q90" s="34">
        <v>1.0172052973324099</v>
      </c>
      <c r="R90" s="33">
        <v>315.006016401995</v>
      </c>
      <c r="S90" s="33">
        <v>318.34369150541397</v>
      </c>
      <c r="T90" s="33">
        <v>317.871206131647</v>
      </c>
      <c r="U90" s="15">
        <v>-2.4410218649499799E-2</v>
      </c>
      <c r="V90" s="15">
        <v>-1.38703669379018E-2</v>
      </c>
      <c r="W90" s="15">
        <v>-1.53556684056456E-2</v>
      </c>
      <c r="X90" s="34">
        <v>1.03137680927884</v>
      </c>
      <c r="Y90" s="34">
        <v>1.00650546826212</v>
      </c>
      <c r="Z90" s="34">
        <v>1.01844625306563</v>
      </c>
      <c r="AA90" s="34">
        <v>1.0172052973324099</v>
      </c>
      <c r="AB90" s="33">
        <v>315.006016401995</v>
      </c>
      <c r="AC90" s="33">
        <v>318.34369150541397</v>
      </c>
      <c r="AD90" s="33">
        <v>317.871206131647</v>
      </c>
      <c r="AE90" s="15">
        <v>-2.4410218649499799E-2</v>
      </c>
      <c r="AF90" s="15">
        <v>-1.38703669379018E-2</v>
      </c>
      <c r="AG90" s="15">
        <v>-1.53556684056456E-2</v>
      </c>
      <c r="AI90" s="12"/>
      <c r="AJ90">
        <f t="shared" si="26"/>
        <v>0</v>
      </c>
      <c r="AK90">
        <f t="shared" si="27"/>
        <v>0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0.14871751586214538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0.20367189517176487</v>
      </c>
      <c r="BE90" s="29">
        <f t="shared" si="42"/>
        <v>0</v>
      </c>
      <c r="BF90" s="29">
        <f t="shared" si="43"/>
        <v>0.35238941103391025</v>
      </c>
      <c r="BH90" s="29"/>
    </row>
    <row r="91" spans="1:60" x14ac:dyDescent="0.25">
      <c r="A91" s="1">
        <v>46154</v>
      </c>
      <c r="B91" s="33">
        <v>307.91000000000003</v>
      </c>
      <c r="C91" s="33">
        <v>310</v>
      </c>
      <c r="D91" s="15">
        <v>-1.6299806820851401E-2</v>
      </c>
      <c r="E91" s="15">
        <v>-4.0429659502420098E-2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307.91000000000003</v>
      </c>
      <c r="M91" s="33">
        <v>310</v>
      </c>
      <c r="N91" s="34">
        <v>1.0067876977038701</v>
      </c>
      <c r="O91" s="34">
        <v>1.00650546826212</v>
      </c>
      <c r="P91" s="34">
        <v>1.01675479756668</v>
      </c>
      <c r="Q91" s="34">
        <v>1.01744276489803</v>
      </c>
      <c r="R91" s="33">
        <v>309.91309873258899</v>
      </c>
      <c r="S91" s="33">
        <v>313.58978578144001</v>
      </c>
      <c r="T91" s="33">
        <v>313.20768310162202</v>
      </c>
      <c r="U91" s="15">
        <v>-2.8036596793117898E-4</v>
      </c>
      <c r="V91" s="15">
        <v>1.1513419616620699E-2</v>
      </c>
      <c r="W91" s="15">
        <v>1.02941973123837E-2</v>
      </c>
      <c r="X91" s="34">
        <v>1.0067876977038701</v>
      </c>
      <c r="Y91" s="34">
        <v>1.00650546826212</v>
      </c>
      <c r="Z91" s="34">
        <v>1.01675479756668</v>
      </c>
      <c r="AA91" s="34">
        <v>1.01744276489803</v>
      </c>
      <c r="AB91" s="33">
        <v>309.91309873258899</v>
      </c>
      <c r="AC91" s="33">
        <v>313.58978578144001</v>
      </c>
      <c r="AD91" s="33">
        <v>313.20768310162202</v>
      </c>
      <c r="AE91" s="15">
        <v>-2.8036596793117898E-4</v>
      </c>
      <c r="AF91" s="15">
        <v>1.1513419616620699E-2</v>
      </c>
      <c r="AG91" s="15">
        <v>1.02941973123837E-2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0.14871751586214538</v>
      </c>
      <c r="AT91" s="12"/>
      <c r="AU91">
        <f t="shared" si="30"/>
        <v>0</v>
      </c>
      <c r="AV91">
        <f t="shared" si="31"/>
        <v>0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0.20367189517176487</v>
      </c>
      <c r="BE91" s="29">
        <f t="shared" si="42"/>
        <v>0</v>
      </c>
      <c r="BF91" s="29">
        <f t="shared" si="43"/>
        <v>0.35238941103391025</v>
      </c>
      <c r="BH91" s="29"/>
    </row>
    <row r="92" spans="1:60" x14ac:dyDescent="0.25">
      <c r="A92" s="1">
        <v>46155</v>
      </c>
      <c r="B92" s="33">
        <v>307.89</v>
      </c>
      <c r="C92" s="33">
        <v>312.27</v>
      </c>
      <c r="D92" s="15">
        <v>-6.49561546186107E-5</v>
      </c>
      <c r="E92" s="15">
        <v>7.2959007162948101E-3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307.89</v>
      </c>
      <c r="M92" s="33">
        <v>312.27</v>
      </c>
      <c r="N92" s="34">
        <v>1.01422585988502</v>
      </c>
      <c r="O92" s="34">
        <v>1.00650546826212</v>
      </c>
      <c r="P92" s="34">
        <v>1.0143564445445199</v>
      </c>
      <c r="Q92" s="34">
        <v>1.0184759292074901</v>
      </c>
      <c r="R92" s="33">
        <v>309.89296862322402</v>
      </c>
      <c r="S92" s="33">
        <v>313.04863462280503</v>
      </c>
      <c r="T92" s="33">
        <v>313.26045288445403</v>
      </c>
      <c r="U92" s="15">
        <v>-7.6412228388443399E-3</v>
      </c>
      <c r="V92" s="15">
        <v>2.4903624555928702E-3</v>
      </c>
      <c r="W92" s="15">
        <v>3.1667641682620799E-3</v>
      </c>
      <c r="X92" s="34">
        <v>1.01422585988502</v>
      </c>
      <c r="Y92" s="34">
        <v>1.00650546826212</v>
      </c>
      <c r="Z92" s="34">
        <v>1.0143564445445199</v>
      </c>
      <c r="AA92" s="34">
        <v>1.0184759292074901</v>
      </c>
      <c r="AB92" s="33">
        <v>309.89296862322402</v>
      </c>
      <c r="AC92" s="33">
        <v>313.04863462280503</v>
      </c>
      <c r="AD92" s="33">
        <v>313.26045288445403</v>
      </c>
      <c r="AE92" s="15">
        <v>-7.6412228388443399E-3</v>
      </c>
      <c r="AF92" s="15">
        <v>2.4903624555928702E-3</v>
      </c>
      <c r="AG92" s="15">
        <v>3.1667641682620799E-3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0.14871751586214538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0.20367189517176487</v>
      </c>
      <c r="BE92" s="29">
        <f t="shared" si="42"/>
        <v>0</v>
      </c>
      <c r="BF92" s="29">
        <f t="shared" si="43"/>
        <v>0.35238941103391025</v>
      </c>
      <c r="BH92" s="29"/>
    </row>
    <row r="93" spans="1:60" x14ac:dyDescent="0.25">
      <c r="A93" s="1">
        <v>46156</v>
      </c>
      <c r="B93" s="33">
        <v>313.64</v>
      </c>
      <c r="C93" s="33">
        <v>312.27</v>
      </c>
      <c r="D93" s="15">
        <v>1.8503255036988402E-2</v>
      </c>
      <c r="E93" s="15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313.64</v>
      </c>
      <c r="M93" s="33">
        <v>312.27</v>
      </c>
      <c r="N93" s="34">
        <v>0.99563193470220601</v>
      </c>
      <c r="O93" s="34">
        <v>1.00650546826212</v>
      </c>
      <c r="P93" s="34">
        <v>1.0098540577153801</v>
      </c>
      <c r="Q93" s="34">
        <v>1.0182447854661001</v>
      </c>
      <c r="R93" s="33">
        <v>315.68037506573103</v>
      </c>
      <c r="S93" s="33">
        <v>318.14275526694303</v>
      </c>
      <c r="T93" s="33">
        <v>319.434790436637</v>
      </c>
      <c r="U93" s="15">
        <v>1.0862032198144101E-2</v>
      </c>
      <c r="V93" s="15">
        <v>1.8631999785863801E-2</v>
      </c>
      <c r="W93" s="15">
        <v>2.2684956001244799E-2</v>
      </c>
      <c r="X93" s="34">
        <v>0.99563193470220601</v>
      </c>
      <c r="Y93" s="34">
        <v>1.00650546826212</v>
      </c>
      <c r="Z93" s="34">
        <v>1.0098540577153801</v>
      </c>
      <c r="AA93" s="34">
        <v>1.0182447854661001</v>
      </c>
      <c r="AB93" s="33">
        <v>315.68037506573103</v>
      </c>
      <c r="AC93" s="33">
        <v>318.14275526694303</v>
      </c>
      <c r="AD93" s="33">
        <v>319.434790436637</v>
      </c>
      <c r="AE93" s="15">
        <v>1.0862032198144101E-2</v>
      </c>
      <c r="AF93" s="15">
        <v>1.8631999785863801E-2</v>
      </c>
      <c r="AG93" s="15">
        <v>2.2684956001244799E-2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0.14871751586214538</v>
      </c>
      <c r="AT93" s="12"/>
      <c r="AU93">
        <f t="shared" si="30"/>
        <v>0</v>
      </c>
      <c r="AV93">
        <f t="shared" si="31"/>
        <v>0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0.20367189517176487</v>
      </c>
      <c r="BE93" s="29">
        <f t="shared" si="42"/>
        <v>0</v>
      </c>
      <c r="BF93" s="29">
        <f t="shared" si="43"/>
        <v>0.35238941103391025</v>
      </c>
      <c r="BH93" s="29"/>
    </row>
    <row r="94" spans="1:60" x14ac:dyDescent="0.25">
      <c r="A94" s="1">
        <v>46157</v>
      </c>
      <c r="B94" s="33">
        <v>303.61</v>
      </c>
      <c r="C94" s="33">
        <v>312.27</v>
      </c>
      <c r="D94" s="15">
        <v>-3.2501848307276399E-2</v>
      </c>
      <c r="E94" s="15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303.61</v>
      </c>
      <c r="M94" s="33">
        <v>312.27</v>
      </c>
      <c r="N94" s="34">
        <v>1.02852343466947</v>
      </c>
      <c r="O94" s="34">
        <v>1.00650546826212</v>
      </c>
      <c r="P94" s="34">
        <v>1.0123237311437301</v>
      </c>
      <c r="Q94" s="34">
        <v>1.01890410979447</v>
      </c>
      <c r="R94" s="33">
        <v>305.58512521906198</v>
      </c>
      <c r="S94" s="33">
        <v>306.60179046296702</v>
      </c>
      <c r="T94" s="33">
        <v>309.149299315365</v>
      </c>
      <c r="U94" s="15">
        <v>-2.16398161091323E-2</v>
      </c>
      <c r="V94" s="15">
        <v>-1.8318392039117899E-2</v>
      </c>
      <c r="W94" s="15">
        <v>-1.00438686810548E-2</v>
      </c>
      <c r="X94" s="34">
        <v>1.02852343466947</v>
      </c>
      <c r="Y94" s="34">
        <v>1.00650546826212</v>
      </c>
      <c r="Z94" s="34">
        <v>1.0123237311437301</v>
      </c>
      <c r="AA94" s="34">
        <v>1.01890410979447</v>
      </c>
      <c r="AB94" s="33">
        <v>305.58512521906198</v>
      </c>
      <c r="AC94" s="33">
        <v>306.60179046296702</v>
      </c>
      <c r="AD94" s="33">
        <v>309.149299315365</v>
      </c>
      <c r="AE94" s="15">
        <v>-2.16398161091323E-2</v>
      </c>
      <c r="AF94" s="15">
        <v>-1.8318392039117899E-2</v>
      </c>
      <c r="AG94" s="15">
        <v>-1.00438686810548E-2</v>
      </c>
      <c r="AI94" s="12"/>
      <c r="AJ94">
        <f t="shared" si="26"/>
        <v>0</v>
      </c>
      <c r="AK94">
        <f t="shared" si="27"/>
        <v>0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0.14871751586214538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0.20367189517176487</v>
      </c>
      <c r="BE94" s="29">
        <f t="shared" si="42"/>
        <v>0</v>
      </c>
      <c r="BF94" s="29">
        <f t="shared" si="43"/>
        <v>0.35238941103391025</v>
      </c>
      <c r="BH94" s="29"/>
    </row>
    <row r="95" spans="1:60" x14ac:dyDescent="0.25">
      <c r="A95" s="1">
        <v>46160</v>
      </c>
      <c r="B95" s="33">
        <v>306.2</v>
      </c>
      <c r="C95" s="33">
        <v>310.08</v>
      </c>
      <c r="D95" s="15">
        <v>8.4945001681385503E-3</v>
      </c>
      <c r="E95" s="15">
        <v>-7.0378694930852701E-3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306.2</v>
      </c>
      <c r="M95" s="33">
        <v>310.08</v>
      </c>
      <c r="N95" s="34">
        <v>1.01267145656433</v>
      </c>
      <c r="O95" s="34">
        <v>1.00650546826212</v>
      </c>
      <c r="P95" s="34">
        <v>1.0153270331519499</v>
      </c>
      <c r="Q95" s="34">
        <v>1.0188460762096001</v>
      </c>
      <c r="R95" s="33">
        <v>308.19197438186097</v>
      </c>
      <c r="S95" s="33">
        <v>309.97352647621</v>
      </c>
      <c r="T95" s="33">
        <v>311.98843841906597</v>
      </c>
      <c r="U95" s="15">
        <v>-6.1074464479084897E-3</v>
      </c>
      <c r="V95" s="15">
        <v>-3.4343333370289499E-4</v>
      </c>
      <c r="W95" s="15">
        <v>6.1358020713329501E-3</v>
      </c>
      <c r="X95" s="34">
        <v>1.01267145656433</v>
      </c>
      <c r="Y95" s="34">
        <v>1.00650546826212</v>
      </c>
      <c r="Z95" s="34">
        <v>1.0153270331519499</v>
      </c>
      <c r="AA95" s="34">
        <v>1.0188460762096001</v>
      </c>
      <c r="AB95" s="33">
        <v>308.19197438186097</v>
      </c>
      <c r="AC95" s="33">
        <v>309.97352647621</v>
      </c>
      <c r="AD95" s="33">
        <v>311.98843841906597</v>
      </c>
      <c r="AE95" s="15">
        <v>-6.1074464479084897E-3</v>
      </c>
      <c r="AF95" s="15">
        <v>-3.4343333370289499E-4</v>
      </c>
      <c r="AG95" s="15">
        <v>6.1358020713329501E-3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0.14871751586214538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0.20367189517176487</v>
      </c>
      <c r="BE95" s="29">
        <f t="shared" si="42"/>
        <v>0</v>
      </c>
      <c r="BF95" s="29">
        <f t="shared" si="43"/>
        <v>0.35238941103391025</v>
      </c>
      <c r="BH95" s="29"/>
    </row>
    <row r="96" spans="1:60" x14ac:dyDescent="0.25">
      <c r="A96" s="1">
        <v>46161</v>
      </c>
      <c r="B96" s="33">
        <v>304.14999999999998</v>
      </c>
      <c r="C96" s="33">
        <v>310.08</v>
      </c>
      <c r="D96" s="15">
        <v>-6.7174824568690802E-3</v>
      </c>
      <c r="E96" s="15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304.14999999999998</v>
      </c>
      <c r="M96" s="33">
        <v>310.08</v>
      </c>
      <c r="N96" s="34">
        <v>1.01949695873746</v>
      </c>
      <c r="O96" s="34">
        <v>1.00650546826212</v>
      </c>
      <c r="P96" s="34">
        <v>1.0167198859717499</v>
      </c>
      <c r="Q96" s="34">
        <v>1.0198290447207701</v>
      </c>
      <c r="R96" s="33">
        <v>306.128638171923</v>
      </c>
      <c r="S96" s="33">
        <v>308.81171713316701</v>
      </c>
      <c r="T96" s="33">
        <v>309.88203407915199</v>
      </c>
      <c r="U96" s="15">
        <v>-1.28249289047774E-2</v>
      </c>
      <c r="V96" s="15">
        <v>-4.0985671875471003E-3</v>
      </c>
      <c r="W96" s="15">
        <v>-6.3863887365203404E-4</v>
      </c>
      <c r="X96" s="34">
        <v>1.01949695873746</v>
      </c>
      <c r="Y96" s="34">
        <v>1.00650546826212</v>
      </c>
      <c r="Z96" s="34">
        <v>1.0167198859717499</v>
      </c>
      <c r="AA96" s="34">
        <v>1.0198290447207701</v>
      </c>
      <c r="AB96" s="33">
        <v>306.128638171923</v>
      </c>
      <c r="AC96" s="33">
        <v>308.81171713316701</v>
      </c>
      <c r="AD96" s="33">
        <v>309.88203407915199</v>
      </c>
      <c r="AE96" s="15">
        <v>-1.28249289047774E-2</v>
      </c>
      <c r="AF96" s="15">
        <v>-4.0985671875471003E-3</v>
      </c>
      <c r="AG96" s="15">
        <v>-6.3863887365203404E-4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0.14871751586214538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0.20367189517176487</v>
      </c>
      <c r="BE96" s="29">
        <f t="shared" si="42"/>
        <v>0</v>
      </c>
      <c r="BF96" s="29">
        <f t="shared" si="43"/>
        <v>0.35238941103391025</v>
      </c>
      <c r="BH96" s="29"/>
    </row>
    <row r="97" spans="1:60" x14ac:dyDescent="0.25">
      <c r="A97" s="1">
        <v>46162</v>
      </c>
      <c r="B97" s="33">
        <v>316.58</v>
      </c>
      <c r="C97" s="33">
        <v>310.08</v>
      </c>
      <c r="D97" s="15">
        <v>4.0054973490877999E-2</v>
      </c>
      <c r="E97" s="15">
        <v>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316.58</v>
      </c>
      <c r="M97" s="33">
        <v>310.08</v>
      </c>
      <c r="N97" s="34">
        <v>0.97946806494409</v>
      </c>
      <c r="O97" s="34">
        <v>1.00650546826212</v>
      </c>
      <c r="P97" s="34">
        <v>1.0136464764942901</v>
      </c>
      <c r="Q97" s="34">
        <v>1.0170609788134899</v>
      </c>
      <c r="R97" s="33">
        <v>318.63950114242198</v>
      </c>
      <c r="S97" s="33">
        <v>321.87318150093802</v>
      </c>
      <c r="T97" s="33">
        <v>322.85747897770102</v>
      </c>
      <c r="U97" s="15">
        <v>2.72300445861005E-2</v>
      </c>
      <c r="V97" s="15">
        <v>3.7327292993818303E-2</v>
      </c>
      <c r="W97" s="15">
        <v>4.0380655589450802E-2</v>
      </c>
      <c r="X97" s="34">
        <v>0.97946806494409</v>
      </c>
      <c r="Y97" s="34">
        <v>1.00650546826212</v>
      </c>
      <c r="Z97" s="34">
        <v>1.0136464764942901</v>
      </c>
      <c r="AA97" s="34">
        <v>1.0170609788134899</v>
      </c>
      <c r="AB97" s="33">
        <v>318.63950114242198</v>
      </c>
      <c r="AC97" s="33">
        <v>321.87318150093802</v>
      </c>
      <c r="AD97" s="33">
        <v>322.85747897770102</v>
      </c>
      <c r="AE97" s="15">
        <v>2.72300445861005E-2</v>
      </c>
      <c r="AF97" s="15">
        <v>3.7327292993818303E-2</v>
      </c>
      <c r="AG97" s="15">
        <v>4.0380655589450802E-2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0.14871751586214538</v>
      </c>
      <c r="AT97" s="12"/>
      <c r="AU97">
        <f t="shared" si="30"/>
        <v>1</v>
      </c>
      <c r="AV97">
        <f t="shared" si="31"/>
        <v>0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0.20367189517176487</v>
      </c>
      <c r="BE97" s="29">
        <f t="shared" si="42"/>
        <v>0</v>
      </c>
      <c r="BF97" s="29">
        <f t="shared" si="43"/>
        <v>0.35238941103391025</v>
      </c>
      <c r="BH97" s="29"/>
    </row>
    <row r="98" spans="1:60" x14ac:dyDescent="0.25">
      <c r="A98" s="1">
        <v>46163</v>
      </c>
      <c r="B98" s="33">
        <v>314.95</v>
      </c>
      <c r="C98" s="33">
        <v>317.18</v>
      </c>
      <c r="D98" s="15">
        <v>-5.1620781896543197E-3</v>
      </c>
      <c r="E98" s="15">
        <v>2.2639107368053399E-2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314.95</v>
      </c>
      <c r="M98" s="33">
        <v>317.18</v>
      </c>
      <c r="N98" s="34">
        <v>1.0070804889664999</v>
      </c>
      <c r="O98" s="34">
        <v>1.00650546826212</v>
      </c>
      <c r="P98" s="34">
        <v>1.0122994493531201</v>
      </c>
      <c r="Q98" s="34">
        <v>1.0148006241768499</v>
      </c>
      <c r="R98" s="33">
        <v>316.99889722915401</v>
      </c>
      <c r="S98" s="33">
        <v>319.247957771877</v>
      </c>
      <c r="T98" s="33">
        <v>320.32335527730999</v>
      </c>
      <c r="U98" s="15">
        <v>-5.7114097160732903E-4</v>
      </c>
      <c r="V98" s="15">
        <v>6.4986618659848101E-3</v>
      </c>
      <c r="W98" s="15">
        <v>9.8615347683685094E-3</v>
      </c>
      <c r="X98" s="34">
        <v>1.0070804889664999</v>
      </c>
      <c r="Y98" s="34">
        <v>1.00650546826212</v>
      </c>
      <c r="Z98" s="34">
        <v>1.0122994493531201</v>
      </c>
      <c r="AA98" s="34">
        <v>1.0148006241768499</v>
      </c>
      <c r="AB98" s="33">
        <v>316.99889722915401</v>
      </c>
      <c r="AC98" s="33">
        <v>319.247957771877</v>
      </c>
      <c r="AD98" s="33">
        <v>320.32335527730999</v>
      </c>
      <c r="AE98" s="15">
        <v>-5.7114097160732903E-4</v>
      </c>
      <c r="AF98" s="15">
        <v>6.4986618659848101E-3</v>
      </c>
      <c r="AG98" s="15">
        <v>9.8615347683685094E-3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0.14871751586214538</v>
      </c>
      <c r="AT98" s="12"/>
      <c r="AU98">
        <f t="shared" si="30"/>
        <v>0</v>
      </c>
      <c r="AV98">
        <f t="shared" si="31"/>
        <v>1</v>
      </c>
      <c r="AW98">
        <f t="shared" si="38"/>
        <v>1</v>
      </c>
      <c r="AX98">
        <f t="shared" si="25"/>
        <v>1</v>
      </c>
      <c r="AY98">
        <f t="shared" si="39"/>
        <v>1</v>
      </c>
      <c r="AZ98" s="28">
        <f t="shared" si="32"/>
        <v>5.1620781896543197E-3</v>
      </c>
      <c r="BA98" s="28">
        <f t="shared" si="33"/>
        <v>2.2639107368053399E-2</v>
      </c>
      <c r="BB98" s="28">
        <f t="shared" si="40"/>
        <v>2.7801185557707719E-2</v>
      </c>
      <c r="BC98" s="29">
        <f t="shared" si="41"/>
        <v>0.23147308072947259</v>
      </c>
      <c r="BE98" s="29">
        <f t="shared" si="42"/>
        <v>2.7801185557707719E-2</v>
      </c>
      <c r="BF98" s="29">
        <f t="shared" si="43"/>
        <v>0.38019059659161797</v>
      </c>
      <c r="BH98" s="29"/>
    </row>
    <row r="99" spans="1:60" x14ac:dyDescent="0.25">
      <c r="A99" s="1">
        <v>46164</v>
      </c>
      <c r="B99" s="33">
        <v>318.94</v>
      </c>
      <c r="C99" s="33">
        <v>321</v>
      </c>
      <c r="D99" s="15">
        <v>1.2589101251888101E-2</v>
      </c>
      <c r="E99" s="15">
        <v>1.1971687059561E-2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318.94</v>
      </c>
      <c r="M99" s="33">
        <v>321</v>
      </c>
      <c r="N99" s="34">
        <v>1.00645889508998</v>
      </c>
      <c r="O99" s="34">
        <v>1.00650546826212</v>
      </c>
      <c r="P99" s="34">
        <v>1.01017216005418</v>
      </c>
      <c r="Q99" s="34">
        <v>1.0136710746038999</v>
      </c>
      <c r="R99" s="33">
        <v>321.01485404751998</v>
      </c>
      <c r="S99" s="33">
        <v>322.86278637668698</v>
      </c>
      <c r="T99" s="33">
        <v>323.66051107496497</v>
      </c>
      <c r="U99" s="15">
        <v>4.6273220720082797E-5</v>
      </c>
      <c r="V99" s="15">
        <v>5.7862998560218801E-3</v>
      </c>
      <c r="W99" s="15">
        <v>8.2540380063721303E-3</v>
      </c>
      <c r="X99" s="34">
        <v>1.00645889508998</v>
      </c>
      <c r="Y99" s="34">
        <v>1.00650546826212</v>
      </c>
      <c r="Z99" s="34">
        <v>1.01017216005418</v>
      </c>
      <c r="AA99" s="34">
        <v>1.0136710746038999</v>
      </c>
      <c r="AB99" s="33">
        <v>321.01485404751998</v>
      </c>
      <c r="AC99" s="33">
        <v>322.86278637668698</v>
      </c>
      <c r="AD99" s="33">
        <v>323.66051107496497</v>
      </c>
      <c r="AE99" s="15">
        <v>4.6273220720082797E-5</v>
      </c>
      <c r="AF99" s="15">
        <v>5.7862998560218801E-3</v>
      </c>
      <c r="AG99" s="15">
        <v>8.2540380063721303E-3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0.14871751586214538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0.23147308072947259</v>
      </c>
      <c r="BE99" s="29">
        <f t="shared" si="42"/>
        <v>0</v>
      </c>
      <c r="BF99" s="29">
        <f t="shared" si="43"/>
        <v>0.38019059659161797</v>
      </c>
      <c r="BH99" s="29"/>
    </row>
    <row r="100" spans="1:60" x14ac:dyDescent="0.25">
      <c r="A100" s="1">
        <v>46168</v>
      </c>
      <c r="B100" s="33">
        <v>342.61</v>
      </c>
      <c r="C100" s="33">
        <v>345.26</v>
      </c>
      <c r="D100" s="15">
        <v>7.1589776702300906E-2</v>
      </c>
      <c r="E100" s="15">
        <v>7.2856633258386899E-2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342.61</v>
      </c>
      <c r="M100" s="33">
        <v>345.26</v>
      </c>
      <c r="N100" s="34">
        <v>1.0077347421266101</v>
      </c>
      <c r="O100" s="34">
        <v>1.00650546826212</v>
      </c>
      <c r="P100" s="34">
        <v>1.0078079533389499</v>
      </c>
      <c r="Q100" s="34">
        <v>1.0131271032022899</v>
      </c>
      <c r="R100" s="33">
        <v>344.83883848128499</v>
      </c>
      <c r="S100" s="33">
        <v>346.09508375616201</v>
      </c>
      <c r="T100" s="33">
        <v>347.293846870045</v>
      </c>
      <c r="U100" s="15">
        <v>-1.2205833353660699E-3</v>
      </c>
      <c r="V100" s="15">
        <v>2.4157894601933702E-3</v>
      </c>
      <c r="W100" s="15">
        <v>5.8734861590260803E-3</v>
      </c>
      <c r="X100" s="34">
        <v>1.0077347421266101</v>
      </c>
      <c r="Y100" s="34">
        <v>1.00650546826212</v>
      </c>
      <c r="Z100" s="34">
        <v>1.0078079533389499</v>
      </c>
      <c r="AA100" s="34">
        <v>1.0131271032022899</v>
      </c>
      <c r="AB100" s="33">
        <v>344.83883848128499</v>
      </c>
      <c r="AC100" s="33">
        <v>346.09508375616201</v>
      </c>
      <c r="AD100" s="33">
        <v>347.293846870045</v>
      </c>
      <c r="AE100" s="15">
        <v>-1.2205833353660699E-3</v>
      </c>
      <c r="AF100" s="15">
        <v>2.4157894601933702E-3</v>
      </c>
      <c r="AG100" s="15">
        <v>5.8734861590260803E-3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0.14871751586214538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0.23147308072947259</v>
      </c>
      <c r="BE100" s="29">
        <f t="shared" si="42"/>
        <v>0</v>
      </c>
      <c r="BF100" s="29">
        <f t="shared" si="43"/>
        <v>0.38019059659161797</v>
      </c>
      <c r="BH100" s="29"/>
    </row>
    <row r="101" spans="1:60" x14ac:dyDescent="0.25">
      <c r="A101" s="1">
        <v>46169</v>
      </c>
      <c r="B101" s="33">
        <v>343.18</v>
      </c>
      <c r="C101" s="33">
        <v>344.73</v>
      </c>
      <c r="D101" s="15">
        <v>1.6623168353479001E-3</v>
      </c>
      <c r="E101" s="15">
        <v>-1.5362544507507201E-3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343.18</v>
      </c>
      <c r="M101" s="33">
        <v>344.73</v>
      </c>
      <c r="N101" s="34">
        <v>1.00451658022029</v>
      </c>
      <c r="O101" s="34">
        <v>1.00650546826212</v>
      </c>
      <c r="P101" s="34">
        <v>1.00758084159059</v>
      </c>
      <c r="Q101" s="34">
        <v>1.0121678195786401</v>
      </c>
      <c r="R101" s="33">
        <v>345.41254659819401</v>
      </c>
      <c r="S101" s="33">
        <v>345.85953342686298</v>
      </c>
      <c r="T101" s="33">
        <v>347.68495927696398</v>
      </c>
      <c r="U101" s="15">
        <v>1.97798795073256E-3</v>
      </c>
      <c r="V101" s="15">
        <v>3.2712179360937402E-3</v>
      </c>
      <c r="W101" s="15">
        <v>8.5352783808548601E-3</v>
      </c>
      <c r="X101" s="34">
        <v>1.00451658022029</v>
      </c>
      <c r="Y101" s="34">
        <v>1.00650546826212</v>
      </c>
      <c r="Z101" s="34">
        <v>1.00758084159059</v>
      </c>
      <c r="AA101" s="34">
        <v>1.0121678195786401</v>
      </c>
      <c r="AB101" s="33">
        <v>345.41254659819401</v>
      </c>
      <c r="AC101" s="33">
        <v>345.85953342686298</v>
      </c>
      <c r="AD101" s="33">
        <v>347.68495927696398</v>
      </c>
      <c r="AE101" s="15">
        <v>1.97798795073256E-3</v>
      </c>
      <c r="AF101" s="15">
        <v>3.2712179360937402E-3</v>
      </c>
      <c r="AG101" s="15">
        <v>8.5352783808548601E-3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0.14871751586214538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0.23147308072947259</v>
      </c>
      <c r="BE101" s="29">
        <f t="shared" si="42"/>
        <v>0</v>
      </c>
      <c r="BF101" s="29">
        <f t="shared" si="43"/>
        <v>0.38019059659161797</v>
      </c>
      <c r="BH101" s="29"/>
    </row>
    <row r="102" spans="1:60" x14ac:dyDescent="0.25">
      <c r="A102" s="1">
        <v>46170</v>
      </c>
      <c r="B102" s="33">
        <v>356.94</v>
      </c>
      <c r="C102" s="33">
        <v>357.74</v>
      </c>
      <c r="D102" s="15">
        <v>3.93126095703943E-2</v>
      </c>
      <c r="E102" s="15">
        <v>3.7044963627447497E-2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356.94</v>
      </c>
      <c r="M102" s="33">
        <v>357.74</v>
      </c>
      <c r="N102" s="34">
        <v>1.0022412730430801</v>
      </c>
      <c r="O102" s="34">
        <v>1.00650546826212</v>
      </c>
      <c r="P102" s="34">
        <v>1.0063823829064</v>
      </c>
      <c r="Q102" s="34">
        <v>1.01036941372546</v>
      </c>
      <c r="R102" s="33">
        <v>359.262061841481</v>
      </c>
      <c r="S102" s="33">
        <v>359.64590559734802</v>
      </c>
      <c r="T102" s="33">
        <v>361.28318152039998</v>
      </c>
      <c r="U102" s="15">
        <v>4.2456338936790999E-3</v>
      </c>
      <c r="V102" s="15">
        <v>5.3134862745887997E-3</v>
      </c>
      <c r="W102" s="15">
        <v>9.8556216029939796E-3</v>
      </c>
      <c r="X102" s="34">
        <v>1.0022412730430801</v>
      </c>
      <c r="Y102" s="34">
        <v>1.00650546826212</v>
      </c>
      <c r="Z102" s="34">
        <v>1.0063823829064</v>
      </c>
      <c r="AA102" s="34">
        <v>1.01036941372546</v>
      </c>
      <c r="AB102" s="33">
        <v>359.262061841481</v>
      </c>
      <c r="AC102" s="33">
        <v>359.64590559734802</v>
      </c>
      <c r="AD102" s="33">
        <v>361.28318152039998</v>
      </c>
      <c r="AE102" s="15">
        <v>4.2456338936790999E-3</v>
      </c>
      <c r="AF102" s="15">
        <v>5.3134862745887997E-3</v>
      </c>
      <c r="AG102" s="15">
        <v>9.8556216029939796E-3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0.14871751586214538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0.23147308072947259</v>
      </c>
      <c r="BE102" s="29">
        <f t="shared" si="42"/>
        <v>0</v>
      </c>
      <c r="BF102" s="29">
        <f t="shared" si="43"/>
        <v>0.38019059659161797</v>
      </c>
      <c r="BH102" s="29"/>
    </row>
    <row r="103" spans="1:60" x14ac:dyDescent="0.25">
      <c r="A103" s="1">
        <v>46171</v>
      </c>
      <c r="B103" s="33">
        <v>359.97</v>
      </c>
      <c r="C103" s="33">
        <v>360</v>
      </c>
      <c r="D103" s="15">
        <v>8.4529942165380706E-3</v>
      </c>
      <c r="E103" s="15">
        <v>6.29756588505584E-3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359.97</v>
      </c>
      <c r="M103" s="33">
        <v>360</v>
      </c>
      <c r="N103" s="34">
        <v>1.00008334027835</v>
      </c>
      <c r="O103" s="34">
        <v>1.00650546826212</v>
      </c>
      <c r="P103" s="34">
        <v>1.00682752346402</v>
      </c>
      <c r="Q103" s="34">
        <v>1.0083407905896999</v>
      </c>
      <c r="R103" s="33">
        <v>362.31177341031503</v>
      </c>
      <c r="S103" s="33">
        <v>362.26746637481898</v>
      </c>
      <c r="T103" s="33">
        <v>363.70267785875501</v>
      </c>
      <c r="U103" s="15">
        <v>6.4010622251611899E-3</v>
      </c>
      <c r="V103" s="15">
        <v>6.2787649438729304E-3</v>
      </c>
      <c r="W103" s="15">
        <v>1.02326833387653E-2</v>
      </c>
      <c r="X103" s="34">
        <v>1.00008334027835</v>
      </c>
      <c r="Y103" s="34">
        <v>1.00650546826212</v>
      </c>
      <c r="Z103" s="34">
        <v>1.00682752346402</v>
      </c>
      <c r="AA103" s="34">
        <v>1.0083407905896999</v>
      </c>
      <c r="AB103" s="33">
        <v>362.31177341031503</v>
      </c>
      <c r="AC103" s="33">
        <v>362.26746637481898</v>
      </c>
      <c r="AD103" s="33">
        <v>363.70267785875501</v>
      </c>
      <c r="AE103" s="15">
        <v>6.4010622251611899E-3</v>
      </c>
      <c r="AF103" s="15">
        <v>6.2787649438729304E-3</v>
      </c>
      <c r="AG103" s="15">
        <v>1.02326833387653E-2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0.14871751586214538</v>
      </c>
      <c r="AT103" s="12"/>
      <c r="AU103">
        <f t="shared" si="30"/>
        <v>0</v>
      </c>
      <c r="AV103">
        <f t="shared" si="31"/>
        <v>0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0.23147308072947259</v>
      </c>
      <c r="BE103" s="29">
        <f t="shared" si="42"/>
        <v>0</v>
      </c>
      <c r="BF103" s="29">
        <f t="shared" si="43"/>
        <v>0.38019059659161797</v>
      </c>
      <c r="BH103" s="29"/>
    </row>
    <row r="104" spans="1:60" x14ac:dyDescent="0.25">
      <c r="A104" s="1">
        <v>46174</v>
      </c>
      <c r="B104" s="33">
        <v>369.05</v>
      </c>
      <c r="C104" s="33">
        <v>360.1</v>
      </c>
      <c r="D104" s="15">
        <v>2.4911441571654001E-2</v>
      </c>
      <c r="E104" s="15">
        <v>2.77739204673909E-4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369.05</v>
      </c>
      <c r="M104" s="33">
        <v>360.1</v>
      </c>
      <c r="N104" s="34">
        <v>0.97574854355778295</v>
      </c>
      <c r="O104" s="34">
        <v>1.00650546826212</v>
      </c>
      <c r="P104" s="34">
        <v>1.0015500343528501</v>
      </c>
      <c r="Q104" s="34">
        <v>1.0069368827482901</v>
      </c>
      <c r="R104" s="33">
        <v>371.45084306213499</v>
      </c>
      <c r="S104" s="33">
        <v>371.56969753439699</v>
      </c>
      <c r="T104" s="33">
        <v>372.12816876712901</v>
      </c>
      <c r="U104" s="15">
        <v>3.1034764592141301E-2</v>
      </c>
      <c r="V104" s="15">
        <v>3.1354687035145899E-2</v>
      </c>
      <c r="W104" s="15">
        <v>3.2856563974730198E-2</v>
      </c>
      <c r="X104" s="34">
        <v>0.97574854355778295</v>
      </c>
      <c r="Y104" s="34">
        <v>1.00650546826212</v>
      </c>
      <c r="Z104" s="34">
        <v>1.0015500343528501</v>
      </c>
      <c r="AA104" s="34">
        <v>1.0069368827482901</v>
      </c>
      <c r="AB104" s="33">
        <v>371.45084306213499</v>
      </c>
      <c r="AC104" s="33">
        <v>371.56969753439699</v>
      </c>
      <c r="AD104" s="33">
        <v>372.12816876712901</v>
      </c>
      <c r="AE104" s="15">
        <v>3.1034764592141301E-2</v>
      </c>
      <c r="AF104" s="15">
        <v>3.1354687035145899E-2</v>
      </c>
      <c r="AG104" s="15">
        <v>3.2856563974730198E-2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0.14871751586214538</v>
      </c>
      <c r="AT104" s="12"/>
      <c r="AU104">
        <f t="shared" si="30"/>
        <v>0</v>
      </c>
      <c r="AV104">
        <f t="shared" si="31"/>
        <v>0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0.23147308072947259</v>
      </c>
      <c r="BE104" s="29">
        <f t="shared" si="42"/>
        <v>0</v>
      </c>
      <c r="BF104" s="29">
        <f t="shared" si="43"/>
        <v>0.38019059659161797</v>
      </c>
      <c r="BH104" s="29"/>
    </row>
    <row r="105" spans="1:60" x14ac:dyDescent="0.25">
      <c r="A105" s="1">
        <v>46175</v>
      </c>
      <c r="B105" s="33">
        <v>373.33</v>
      </c>
      <c r="C105" s="33">
        <v>373.5</v>
      </c>
      <c r="D105" s="15">
        <v>1.1530610793680699E-2</v>
      </c>
      <c r="E105" s="15">
        <v>3.6536233918042199E-2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373.33</v>
      </c>
      <c r="M105" s="33">
        <v>373.5</v>
      </c>
      <c r="N105" s="34">
        <v>1.00045536120858</v>
      </c>
      <c r="O105" s="34">
        <v>1.00650546826212</v>
      </c>
      <c r="P105" s="34">
        <v>1.0003284248172699</v>
      </c>
      <c r="Q105" s="34">
        <v>1.00782772898461</v>
      </c>
      <c r="R105" s="33">
        <v>375.75868646629698</v>
      </c>
      <c r="S105" s="33">
        <v>373.90867432495003</v>
      </c>
      <c r="T105" s="33">
        <v>375.91974643641902</v>
      </c>
      <c r="U105" s="15">
        <v>6.02914146777952E-3</v>
      </c>
      <c r="V105" s="15">
        <v>1.0935767264070599E-3</v>
      </c>
      <c r="W105" s="15">
        <v>6.45767570672247E-3</v>
      </c>
      <c r="X105" s="34">
        <v>1.00045536120858</v>
      </c>
      <c r="Y105" s="34">
        <v>1.00650546826212</v>
      </c>
      <c r="Z105" s="34">
        <v>1.0003284248172699</v>
      </c>
      <c r="AA105" s="34">
        <v>1.00782772898461</v>
      </c>
      <c r="AB105" s="33">
        <v>375.75868646629698</v>
      </c>
      <c r="AC105" s="33">
        <v>373.90867432495003</v>
      </c>
      <c r="AD105" s="33">
        <v>375.91974643641902</v>
      </c>
      <c r="AE105" s="15">
        <v>6.02914146777952E-3</v>
      </c>
      <c r="AF105" s="15">
        <v>1.0935767264070599E-3</v>
      </c>
      <c r="AG105" s="15">
        <v>6.45767570672247E-3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0.14871751586214538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0.23147308072947259</v>
      </c>
      <c r="BE105" s="29">
        <f t="shared" si="42"/>
        <v>0</v>
      </c>
      <c r="BF105" s="29">
        <f t="shared" si="43"/>
        <v>0.38019059659161797</v>
      </c>
      <c r="BH105" s="29"/>
    </row>
    <row r="106" spans="1:60" x14ac:dyDescent="0.25">
      <c r="A106" s="1">
        <v>46176</v>
      </c>
      <c r="B106" s="33">
        <v>373.94</v>
      </c>
      <c r="C106" s="33">
        <v>373.5</v>
      </c>
      <c r="D106" s="15">
        <v>1.63260972738611E-3</v>
      </c>
      <c r="E106" s="15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373.94</v>
      </c>
      <c r="M106" s="33">
        <v>373.5</v>
      </c>
      <c r="N106" s="34">
        <v>0.99882334064288303</v>
      </c>
      <c r="O106" s="34">
        <v>1.00650546826212</v>
      </c>
      <c r="P106" s="34">
        <v>0.99826106300781803</v>
      </c>
      <c r="Q106" s="34">
        <v>1.0074904744897799</v>
      </c>
      <c r="R106" s="33">
        <v>376.37265480193702</v>
      </c>
      <c r="S106" s="33">
        <v>374.06281117617198</v>
      </c>
      <c r="T106" s="33">
        <v>376.867100976507</v>
      </c>
      <c r="U106" s="15">
        <v>7.6617511951657504E-3</v>
      </c>
      <c r="V106" s="15">
        <v>1.50572306190759E-3</v>
      </c>
      <c r="W106" s="15">
        <v>8.9746034226140994E-3</v>
      </c>
      <c r="X106" s="34">
        <v>0.99882334064288303</v>
      </c>
      <c r="Y106" s="34">
        <v>1.00650546826212</v>
      </c>
      <c r="Z106" s="34">
        <v>0.99826106300781803</v>
      </c>
      <c r="AA106" s="34">
        <v>1.0074904744897799</v>
      </c>
      <c r="AB106" s="33">
        <v>376.37265480193702</v>
      </c>
      <c r="AC106" s="33">
        <v>374.06281117617198</v>
      </c>
      <c r="AD106" s="33">
        <v>376.867100976507</v>
      </c>
      <c r="AE106" s="15">
        <v>7.6617511951657504E-3</v>
      </c>
      <c r="AF106" s="15">
        <v>1.50572306190759E-3</v>
      </c>
      <c r="AG106" s="15">
        <v>8.9746034226140994E-3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0.14871751586214538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0.23147308072947259</v>
      </c>
      <c r="BE106" s="29">
        <f t="shared" si="42"/>
        <v>0</v>
      </c>
      <c r="BF106" s="29">
        <f t="shared" si="43"/>
        <v>0.38019059659161797</v>
      </c>
      <c r="BH106" s="29"/>
    </row>
    <row r="107" spans="1:60" x14ac:dyDescent="0.25">
      <c r="A107" s="1">
        <v>46177</v>
      </c>
      <c r="B107" s="33">
        <v>371.22</v>
      </c>
      <c r="C107" s="33">
        <v>372.48</v>
      </c>
      <c r="D107" s="15">
        <v>-7.3004779661756001E-3</v>
      </c>
      <c r="E107" s="15">
        <v>-2.7346594698536798E-3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371.22</v>
      </c>
      <c r="M107" s="33">
        <v>372.48</v>
      </c>
      <c r="N107" s="34">
        <v>1.0033942136738301</v>
      </c>
      <c r="O107" s="34">
        <v>1.00650546826212</v>
      </c>
      <c r="P107" s="34">
        <v>1.00065367788079</v>
      </c>
      <c r="Q107" s="34">
        <v>1.0071500771875399</v>
      </c>
      <c r="R107" s="33">
        <v>373.63495992826398</v>
      </c>
      <c r="S107" s="33">
        <v>370.57447180976197</v>
      </c>
      <c r="T107" s="33">
        <v>374.00061394009799</v>
      </c>
      <c r="U107" s="15">
        <v>3.0959326988438301E-3</v>
      </c>
      <c r="V107" s="15">
        <v>-5.1289170302598903E-3</v>
      </c>
      <c r="W107" s="15">
        <v>4.0740938612328203E-3</v>
      </c>
      <c r="X107" s="34">
        <v>1.0033942136738301</v>
      </c>
      <c r="Y107" s="34">
        <v>1.00650546826212</v>
      </c>
      <c r="Z107" s="34">
        <v>1.00065367788079</v>
      </c>
      <c r="AA107" s="34">
        <v>1.0071500771875399</v>
      </c>
      <c r="AB107" s="33">
        <v>373.63495992826398</v>
      </c>
      <c r="AC107" s="33">
        <v>370.57447180976197</v>
      </c>
      <c r="AD107" s="33">
        <v>374.00061394009799</v>
      </c>
      <c r="AE107" s="15">
        <v>3.0959326988438301E-3</v>
      </c>
      <c r="AF107" s="15">
        <v>-5.1289170302598903E-3</v>
      </c>
      <c r="AG107" s="15">
        <v>4.0740938612328203E-3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0.14871751586214538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0.23147308072947259</v>
      </c>
      <c r="BE107" s="29">
        <f t="shared" si="42"/>
        <v>0</v>
      </c>
      <c r="BF107" s="29">
        <f t="shared" si="43"/>
        <v>0.38019059659161797</v>
      </c>
      <c r="BH107" s="29"/>
    </row>
    <row r="108" spans="1:60" x14ac:dyDescent="0.25">
      <c r="A108" s="1">
        <v>46178</v>
      </c>
      <c r="B108" s="33">
        <v>368.25</v>
      </c>
      <c r="C108" s="33">
        <v>320.25</v>
      </c>
      <c r="D108" s="15">
        <v>-8.0328234282128902E-3</v>
      </c>
      <c r="E108" s="15">
        <v>-0.15108140432617401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368.25</v>
      </c>
      <c r="M108" s="33">
        <v>320.25</v>
      </c>
      <c r="N108" s="34">
        <v>0.86965376782077397</v>
      </c>
      <c r="O108" s="34">
        <v>1.00650546826212</v>
      </c>
      <c r="P108" s="34">
        <v>0.98691100576621904</v>
      </c>
      <c r="Q108" s="34">
        <v>0.99960522755967396</v>
      </c>
      <c r="R108" s="33">
        <v>370.64563868752498</v>
      </c>
      <c r="S108" s="33">
        <v>368.490716879601</v>
      </c>
      <c r="T108" s="33">
        <v>370.88301592431202</v>
      </c>
      <c r="U108" s="15">
        <v>0.146144513596805</v>
      </c>
      <c r="V108" s="15">
        <v>0.14031357889236101</v>
      </c>
      <c r="W108" s="15">
        <v>0.14678475114775799</v>
      </c>
      <c r="X108" s="34">
        <v>0.86965376782077397</v>
      </c>
      <c r="Y108" s="34">
        <v>1.00650546826212</v>
      </c>
      <c r="Z108" s="34">
        <v>0.98691100576621904</v>
      </c>
      <c r="AA108" s="34">
        <v>0.99960522755967396</v>
      </c>
      <c r="AB108" s="33">
        <v>370.64563868752498</v>
      </c>
      <c r="AC108" s="33">
        <v>368.490716879601</v>
      </c>
      <c r="AD108" s="33">
        <v>370.88301592431202</v>
      </c>
      <c r="AE108" s="15">
        <v>0.146144513596805</v>
      </c>
      <c r="AF108" s="15">
        <v>0.14031357889236101</v>
      </c>
      <c r="AG108" s="15">
        <v>0.14678475114775799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0.14871751586214538</v>
      </c>
      <c r="AT108" s="12"/>
      <c r="AU108">
        <f t="shared" si="30"/>
        <v>1</v>
      </c>
      <c r="AV108">
        <f t="shared" si="31"/>
        <v>0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0.23147308072947259</v>
      </c>
      <c r="BE108" s="29">
        <f t="shared" si="42"/>
        <v>0</v>
      </c>
      <c r="BF108" s="29">
        <f t="shared" si="43"/>
        <v>0.38019059659161797</v>
      </c>
      <c r="BH108" s="29"/>
    </row>
    <row r="109" spans="1:60" x14ac:dyDescent="0.25">
      <c r="A109" s="1">
        <v>46181</v>
      </c>
      <c r="B109" s="33">
        <v>372.26</v>
      </c>
      <c r="C109" s="33">
        <v>320.25</v>
      </c>
      <c r="D109" s="15">
        <v>1.08304795274474E-2</v>
      </c>
      <c r="E109" s="15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372.26</v>
      </c>
      <c r="M109" s="33">
        <v>320.25</v>
      </c>
      <c r="N109" s="34">
        <v>0.86028582173749502</v>
      </c>
      <c r="O109" s="34">
        <v>1.00650546826212</v>
      </c>
      <c r="P109" s="34">
        <v>0.97229369843097002</v>
      </c>
      <c r="Q109" s="34">
        <v>0.991232929242575</v>
      </c>
      <c r="R109" s="33">
        <v>374.68172561525699</v>
      </c>
      <c r="S109" s="33">
        <v>367.387491006532</v>
      </c>
      <c r="T109" s="33">
        <v>372.11304201136397</v>
      </c>
      <c r="U109" s="15">
        <v>0.156974993124252</v>
      </c>
      <c r="V109" s="15">
        <v>0.137315184082513</v>
      </c>
      <c r="W109" s="15">
        <v>0.150095743709864</v>
      </c>
      <c r="X109" s="34">
        <v>0.86028582173749502</v>
      </c>
      <c r="Y109" s="34">
        <v>1.00650546826212</v>
      </c>
      <c r="Z109" s="34">
        <v>0.97229369843097002</v>
      </c>
      <c r="AA109" s="34">
        <v>0.991232929242575</v>
      </c>
      <c r="AB109" s="33">
        <v>374.68172561525699</v>
      </c>
      <c r="AC109" s="33">
        <v>367.387491006532</v>
      </c>
      <c r="AD109" s="33">
        <v>372.11304201136397</v>
      </c>
      <c r="AE109" s="15">
        <v>0.156974993124252</v>
      </c>
      <c r="AF109" s="15">
        <v>0.137315184082513</v>
      </c>
      <c r="AG109" s="15">
        <v>0.150095743709864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0.14871751586214538</v>
      </c>
      <c r="AT109" s="12"/>
      <c r="AU109">
        <f t="shared" si="30"/>
        <v>1</v>
      </c>
      <c r="AV109">
        <f t="shared" si="31"/>
        <v>0</v>
      </c>
      <c r="AW109">
        <f t="shared" si="38"/>
        <v>1</v>
      </c>
      <c r="AX109">
        <f t="shared" si="25"/>
        <v>1</v>
      </c>
      <c r="AY109">
        <f t="shared" si="39"/>
        <v>1</v>
      </c>
      <c r="AZ109" s="28">
        <f t="shared" si="32"/>
        <v>-1.08304795274474E-2</v>
      </c>
      <c r="BA109" s="28">
        <f t="shared" si="33"/>
        <v>0</v>
      </c>
      <c r="BB109" s="28">
        <f t="shared" si="40"/>
        <v>-1.08304795274474E-2</v>
      </c>
      <c r="BC109" s="29">
        <f t="shared" si="41"/>
        <v>0.2206426012020252</v>
      </c>
      <c r="BE109" s="29">
        <f t="shared" si="42"/>
        <v>-1.08304795274474E-2</v>
      </c>
      <c r="BF109" s="29">
        <f t="shared" si="43"/>
        <v>0.36936011706417055</v>
      </c>
      <c r="BH109" s="29"/>
    </row>
    <row r="110" spans="1:60" x14ac:dyDescent="0.25">
      <c r="A110" s="1">
        <v>46182</v>
      </c>
      <c r="B110" s="33">
        <v>385.23</v>
      </c>
      <c r="C110" s="33">
        <v>379.66</v>
      </c>
      <c r="D110" s="15">
        <v>3.4248023641105199E-2</v>
      </c>
      <c r="E110" s="15">
        <v>0.17017417458555201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385.23</v>
      </c>
      <c r="M110" s="33">
        <v>379.66</v>
      </c>
      <c r="N110" s="34">
        <v>0.98554110531370798</v>
      </c>
      <c r="O110" s="34">
        <v>1.00650546826212</v>
      </c>
      <c r="P110" s="34">
        <v>0.97007433474967897</v>
      </c>
      <c r="Q110" s="34">
        <v>0.98894114404431799</v>
      </c>
      <c r="R110" s="33">
        <v>387.73610153861603</v>
      </c>
      <c r="S110" s="33">
        <v>374.55670144656199</v>
      </c>
      <c r="T110" s="33">
        <v>381.85266133211701</v>
      </c>
      <c r="U110" s="15">
        <v>2.1048842179806002E-2</v>
      </c>
      <c r="V110" s="15">
        <v>-1.3532918134002699E-2</v>
      </c>
      <c r="W110" s="15">
        <v>5.75871552245775E-3</v>
      </c>
      <c r="X110" s="34">
        <v>0.98554110531370798</v>
      </c>
      <c r="Y110" s="34">
        <v>1.00650546826212</v>
      </c>
      <c r="Z110" s="34">
        <v>0.97007433474967897</v>
      </c>
      <c r="AA110" s="34">
        <v>0.98894114404431799</v>
      </c>
      <c r="AB110" s="33">
        <v>387.73610153861603</v>
      </c>
      <c r="AC110" s="33">
        <v>374.55670144656199</v>
      </c>
      <c r="AD110" s="33">
        <v>381.85266133211701</v>
      </c>
      <c r="AE110" s="15">
        <v>2.1048842179806002E-2</v>
      </c>
      <c r="AF110" s="15">
        <v>-1.3532918134002699E-2</v>
      </c>
      <c r="AG110" s="15">
        <v>5.75871552245775E-3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0.14871751586214538</v>
      </c>
      <c r="AT110" s="12"/>
      <c r="AU110">
        <f t="shared" si="30"/>
        <v>0</v>
      </c>
      <c r="AV110">
        <f t="shared" si="31"/>
        <v>1</v>
      </c>
      <c r="AW110">
        <f t="shared" si="38"/>
        <v>1</v>
      </c>
      <c r="AX110">
        <f t="shared" si="25"/>
        <v>1</v>
      </c>
      <c r="AY110">
        <f t="shared" si="39"/>
        <v>1</v>
      </c>
      <c r="AZ110" s="28">
        <f t="shared" si="32"/>
        <v>-3.4248023641105199E-2</v>
      </c>
      <c r="BA110" s="28">
        <f t="shared" si="33"/>
        <v>0.17017417458555201</v>
      </c>
      <c r="BB110" s="28">
        <f t="shared" si="40"/>
        <v>0.13592615094444682</v>
      </c>
      <c r="BC110" s="29">
        <f t="shared" si="41"/>
        <v>0.35656875214647199</v>
      </c>
      <c r="BE110" s="29">
        <f t="shared" si="42"/>
        <v>0.13592615094444682</v>
      </c>
      <c r="BF110" s="29">
        <f t="shared" si="43"/>
        <v>0.50528626800861742</v>
      </c>
      <c r="BH110" s="29"/>
    </row>
    <row r="111" spans="1:60" x14ac:dyDescent="0.25">
      <c r="A111" s="1">
        <v>46183</v>
      </c>
      <c r="B111" s="33">
        <v>382.13</v>
      </c>
      <c r="C111" s="33">
        <v>398</v>
      </c>
      <c r="D111" s="15">
        <v>-8.0796936623127695E-3</v>
      </c>
      <c r="E111" s="15">
        <v>4.7175889922041699E-2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382.13</v>
      </c>
      <c r="M111" s="33">
        <v>398</v>
      </c>
      <c r="N111" s="34">
        <v>1.04153036924606</v>
      </c>
      <c r="O111" s="34">
        <v>1.00650546826212</v>
      </c>
      <c r="P111" s="34">
        <v>0.97377571365225701</v>
      </c>
      <c r="Q111" s="34">
        <v>0.99067827762142802</v>
      </c>
      <c r="R111" s="33">
        <v>384.61593458700401</v>
      </c>
      <c r="S111" s="33">
        <v>370.694505537895</v>
      </c>
      <c r="T111" s="33">
        <v>377.90407937365501</v>
      </c>
      <c r="U111" s="15">
        <v>-3.4206741404548602E-2</v>
      </c>
      <c r="V111" s="15">
        <v>-7.1073717093827204E-2</v>
      </c>
      <c r="W111" s="15">
        <v>-5.18116001376802E-2</v>
      </c>
      <c r="X111" s="34">
        <v>1.04153036924606</v>
      </c>
      <c r="Y111" s="34">
        <v>1.00650546826212</v>
      </c>
      <c r="Z111" s="34">
        <v>0.97377571365225701</v>
      </c>
      <c r="AA111" s="34">
        <v>0.99067827762142802</v>
      </c>
      <c r="AB111" s="33">
        <v>384.61593458700401</v>
      </c>
      <c r="AC111" s="33">
        <v>370.694505537895</v>
      </c>
      <c r="AD111" s="33">
        <v>377.90407937365501</v>
      </c>
      <c r="AE111" s="15">
        <v>-3.4206741404548602E-2</v>
      </c>
      <c r="AF111" s="15">
        <v>-7.1073717093827204E-2</v>
      </c>
      <c r="AG111" s="15">
        <v>-5.18116001376802E-2</v>
      </c>
      <c r="AI111" s="12"/>
      <c r="AJ111">
        <f t="shared" si="26"/>
        <v>1</v>
      </c>
      <c r="AK111">
        <f t="shared" si="27"/>
        <v>0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0.14871751586214538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0.35656875214647199</v>
      </c>
      <c r="BE111" s="29">
        <f t="shared" si="42"/>
        <v>0</v>
      </c>
      <c r="BF111" s="29">
        <f t="shared" si="43"/>
        <v>0.50528626800861742</v>
      </c>
      <c r="BH111" s="29"/>
    </row>
    <row r="112" spans="1:60" x14ac:dyDescent="0.25">
      <c r="A112" s="1">
        <v>46184</v>
      </c>
      <c r="B112" s="33">
        <v>405.44</v>
      </c>
      <c r="C112" s="33">
        <v>400.29</v>
      </c>
      <c r="D112" s="15">
        <v>5.9212032283794597E-2</v>
      </c>
      <c r="E112" s="15">
        <v>5.7372791380012602E-3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405.44</v>
      </c>
      <c r="M112" s="33">
        <v>400.29</v>
      </c>
      <c r="N112" s="34">
        <v>0.98729775059194902</v>
      </c>
      <c r="O112" s="34">
        <v>1.00650546826212</v>
      </c>
      <c r="P112" s="34">
        <v>0.97228136140714305</v>
      </c>
      <c r="Q112" s="34">
        <v>0.98933187215677398</v>
      </c>
      <c r="R112" s="33">
        <v>408.07757705219399</v>
      </c>
      <c r="S112" s="33">
        <v>394.80762534317103</v>
      </c>
      <c r="T112" s="33">
        <v>401.66060087883199</v>
      </c>
      <c r="U112" s="15">
        <v>1.92680117412448E-2</v>
      </c>
      <c r="V112" s="15">
        <v>-1.37906626039116E-2</v>
      </c>
      <c r="W112" s="15">
        <v>3.4181711737006301E-3</v>
      </c>
      <c r="X112" s="34">
        <v>0.98729775059194902</v>
      </c>
      <c r="Y112" s="34">
        <v>1.00650546826212</v>
      </c>
      <c r="Z112" s="34">
        <v>0.97228136140714305</v>
      </c>
      <c r="AA112" s="34">
        <v>0.98933187215677398</v>
      </c>
      <c r="AB112" s="33">
        <v>408.07757705219399</v>
      </c>
      <c r="AC112" s="33">
        <v>394.80762534317103</v>
      </c>
      <c r="AD112" s="33">
        <v>401.66060087883199</v>
      </c>
      <c r="AE112" s="15">
        <v>1.92680117412448E-2</v>
      </c>
      <c r="AF112" s="15">
        <v>-1.37906626039116E-2</v>
      </c>
      <c r="AG112" s="15">
        <v>3.4181711737006301E-3</v>
      </c>
      <c r="AI112" s="12"/>
      <c r="AJ112">
        <f t="shared" si="26"/>
        <v>0</v>
      </c>
      <c r="AK112">
        <f t="shared" si="27"/>
        <v>1</v>
      </c>
      <c r="AL112">
        <f t="shared" si="34"/>
        <v>1</v>
      </c>
      <c r="AM112">
        <f t="shared" si="24"/>
        <v>1</v>
      </c>
      <c r="AN112">
        <f t="shared" si="35"/>
        <v>1</v>
      </c>
      <c r="AO112" s="28">
        <f t="shared" si="28"/>
        <v>5.9212032283794597E-2</v>
      </c>
      <c r="AP112" s="28">
        <f t="shared" si="29"/>
        <v>-5.7372791380012602E-3</v>
      </c>
      <c r="AQ112" s="28">
        <f t="shared" si="36"/>
        <v>5.3474753145793336E-2</v>
      </c>
      <c r="AR112" s="29">
        <f t="shared" si="37"/>
        <v>0.20219226900793871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0.35656875214647199</v>
      </c>
      <c r="BE112" s="29">
        <f t="shared" si="42"/>
        <v>5.3474753145793336E-2</v>
      </c>
      <c r="BF112" s="29">
        <f t="shared" si="43"/>
        <v>0.55876102115441073</v>
      </c>
      <c r="BH112" s="29"/>
    </row>
    <row r="113" spans="1:60" x14ac:dyDescent="0.25">
      <c r="A113" s="1">
        <v>46185</v>
      </c>
      <c r="B113" s="33">
        <v>395.1</v>
      </c>
      <c r="C113" s="33">
        <v>399.52</v>
      </c>
      <c r="D113" s="15">
        <v>-2.5833999715429101E-2</v>
      </c>
      <c r="E113" s="15">
        <v>-1.9254578909759701E-3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395.1</v>
      </c>
      <c r="M113" s="33">
        <v>399.52</v>
      </c>
      <c r="N113" s="34">
        <v>1.0111870412553701</v>
      </c>
      <c r="O113" s="34">
        <v>1.00650546826212</v>
      </c>
      <c r="P113" s="34">
        <v>0.97339173150484504</v>
      </c>
      <c r="Q113" s="34">
        <v>0.99010962748443299</v>
      </c>
      <c r="R113" s="33">
        <v>397.67031051036298</v>
      </c>
      <c r="S113" s="33">
        <v>384.14836589196199</v>
      </c>
      <c r="T113" s="33">
        <v>390.88502268914101</v>
      </c>
      <c r="U113" s="15">
        <v>-4.6405300832082896E-3</v>
      </c>
      <c r="V113" s="15">
        <v>-3.9234979054896299E-2</v>
      </c>
      <c r="W113" s="15">
        <v>-2.18503694086679E-2</v>
      </c>
      <c r="X113" s="34">
        <v>1.0111870412553701</v>
      </c>
      <c r="Y113" s="34">
        <v>1.00650546826212</v>
      </c>
      <c r="Z113" s="34">
        <v>0.97339173150484504</v>
      </c>
      <c r="AA113" s="34">
        <v>0.99010962748443299</v>
      </c>
      <c r="AB113" s="33">
        <v>397.67031051036298</v>
      </c>
      <c r="AC113" s="33">
        <v>384.14836589196199</v>
      </c>
      <c r="AD113" s="33">
        <v>390.88502268914101</v>
      </c>
      <c r="AE113" s="15">
        <v>-4.6405300832082896E-3</v>
      </c>
      <c r="AF113" s="15">
        <v>-3.9234979054896299E-2</v>
      </c>
      <c r="AG113" s="15">
        <v>-2.18503694086679E-2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0.20219226900793871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0.35656875214647199</v>
      </c>
      <c r="BE113" s="29">
        <f t="shared" si="42"/>
        <v>0</v>
      </c>
      <c r="BF113" s="29">
        <f t="shared" si="43"/>
        <v>0.55876102115441073</v>
      </c>
      <c r="BH113" s="29"/>
    </row>
    <row r="114" spans="1:60" x14ac:dyDescent="0.25">
      <c r="A114" s="1">
        <v>46188</v>
      </c>
      <c r="B114" s="33">
        <v>398.03</v>
      </c>
      <c r="C114" s="33">
        <v>399.52</v>
      </c>
      <c r="D114" s="15">
        <v>7.3884819108199296E-3</v>
      </c>
      <c r="E114" s="15">
        <v>0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398.03</v>
      </c>
      <c r="M114" s="33">
        <v>399.52</v>
      </c>
      <c r="N114" s="34">
        <v>1.00374343642439</v>
      </c>
      <c r="O114" s="34">
        <v>1.00650546826212</v>
      </c>
      <c r="P114" s="34">
        <v>0.976191220791506</v>
      </c>
      <c r="Q114" s="34">
        <v>0.98887062757217803</v>
      </c>
      <c r="R114" s="33">
        <v>400.61937153237102</v>
      </c>
      <c r="S114" s="33">
        <v>387.439110890873</v>
      </c>
      <c r="T114" s="33">
        <v>394.09333502762797</v>
      </c>
      <c r="U114" s="15">
        <v>2.7479518276115901E-3</v>
      </c>
      <c r="V114" s="15">
        <v>-3.0705123269615602E-2</v>
      </c>
      <c r="W114" s="15">
        <v>-1.3676054354687399E-2</v>
      </c>
      <c r="X114" s="34">
        <v>1.00374343642439</v>
      </c>
      <c r="Y114" s="34">
        <v>1.00650546826212</v>
      </c>
      <c r="Z114" s="34">
        <v>0.976191220791506</v>
      </c>
      <c r="AA114" s="34">
        <v>0.98887062757217803</v>
      </c>
      <c r="AB114" s="33">
        <v>400.61937153237102</v>
      </c>
      <c r="AC114" s="33">
        <v>387.439110890873</v>
      </c>
      <c r="AD114" s="33">
        <v>394.09333502762797</v>
      </c>
      <c r="AE114" s="15">
        <v>2.7479518276115901E-3</v>
      </c>
      <c r="AF114" s="15">
        <v>-3.0705123269615602E-2</v>
      </c>
      <c r="AG114" s="15">
        <v>-1.3676054354687399E-2</v>
      </c>
      <c r="AI114" s="12"/>
      <c r="AJ114">
        <f t="shared" si="26"/>
        <v>0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0.20219226900793871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0.35656875214647199</v>
      </c>
      <c r="BE114" s="29">
        <f t="shared" si="42"/>
        <v>0</v>
      </c>
      <c r="BF114" s="29">
        <f t="shared" si="43"/>
        <v>0.55876102115441073</v>
      </c>
      <c r="BH114" s="29"/>
    </row>
    <row r="115" spans="1:60" x14ac:dyDescent="0.25">
      <c r="A115" s="1">
        <v>46189</v>
      </c>
      <c r="B115" s="33">
        <v>401.31</v>
      </c>
      <c r="C115" s="33">
        <v>400.89</v>
      </c>
      <c r="D115" s="15">
        <v>8.2068166474395E-3</v>
      </c>
      <c r="E115" s="15">
        <v>3.4232489296161599E-3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401.31</v>
      </c>
      <c r="M115" s="33">
        <v>400.89</v>
      </c>
      <c r="N115" s="34">
        <v>0.99895342752485605</v>
      </c>
      <c r="O115" s="34">
        <v>1.00650546826212</v>
      </c>
      <c r="P115" s="34">
        <v>0.97604102742313303</v>
      </c>
      <c r="Q115" s="34">
        <v>0.98818472612020403</v>
      </c>
      <c r="R115" s="33">
        <v>403.92070946827101</v>
      </c>
      <c r="S115" s="33">
        <v>391.75529881583901</v>
      </c>
      <c r="T115" s="33">
        <v>396.84367155099102</v>
      </c>
      <c r="U115" s="15">
        <v>7.5315195454350604E-3</v>
      </c>
      <c r="V115" s="15">
        <v>-2.3049668302795E-2</v>
      </c>
      <c r="W115" s="15">
        <v>-1.01446467541514E-2</v>
      </c>
      <c r="X115" s="34">
        <v>0.99895342752485605</v>
      </c>
      <c r="Y115" s="34">
        <v>1.00650546826212</v>
      </c>
      <c r="Z115" s="34">
        <v>0.97604102742313303</v>
      </c>
      <c r="AA115" s="34">
        <v>0.98818472612020403</v>
      </c>
      <c r="AB115" s="33">
        <v>403.92070946827101</v>
      </c>
      <c r="AC115" s="33">
        <v>391.75529881583901</v>
      </c>
      <c r="AD115" s="33">
        <v>396.84367155099102</v>
      </c>
      <c r="AE115" s="15">
        <v>7.5315195454350604E-3</v>
      </c>
      <c r="AF115" s="15">
        <v>-2.3049668302795E-2</v>
      </c>
      <c r="AG115" s="15">
        <v>-1.01446467541514E-2</v>
      </c>
      <c r="AI115" s="12"/>
      <c r="AJ115">
        <f t="shared" si="26"/>
        <v>0</v>
      </c>
      <c r="AK115">
        <f t="shared" si="27"/>
        <v>0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0.20219226900793871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0.35656875214647199</v>
      </c>
      <c r="BE115" s="29">
        <f t="shared" si="42"/>
        <v>0</v>
      </c>
      <c r="BF115" s="29">
        <f t="shared" si="43"/>
        <v>0.55876102115441073</v>
      </c>
      <c r="BH115" s="29"/>
    </row>
    <row r="116" spans="1:60" x14ac:dyDescent="0.25">
      <c r="A116" s="1">
        <v>46190</v>
      </c>
      <c r="B116" s="33">
        <v>411.37</v>
      </c>
      <c r="C116" s="33">
        <v>410.07</v>
      </c>
      <c r="D116" s="15">
        <v>2.47588568536578E-2</v>
      </c>
      <c r="E116" s="15">
        <v>2.2640801371592099E-2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411.37</v>
      </c>
      <c r="M116" s="33">
        <v>410.07</v>
      </c>
      <c r="N116" s="34">
        <v>0.99683982789216496</v>
      </c>
      <c r="O116" s="34">
        <v>1.00650546826212</v>
      </c>
      <c r="P116" s="34">
        <v>0.97584267614806097</v>
      </c>
      <c r="Q116" s="34">
        <v>0.987051869577939</v>
      </c>
      <c r="R116" s="33">
        <v>414.046154478988</v>
      </c>
      <c r="S116" s="33">
        <v>401.51399745105402</v>
      </c>
      <c r="T116" s="33">
        <v>406.50955078406798</v>
      </c>
      <c r="U116" s="15">
        <v>9.6495750275006204E-3</v>
      </c>
      <c r="V116" s="15">
        <v>-2.1085481161759199E-2</v>
      </c>
      <c r="W116" s="15">
        <v>-8.7204529570523194E-3</v>
      </c>
      <c r="X116" s="34">
        <v>0.99683982789216496</v>
      </c>
      <c r="Y116" s="34">
        <v>1.00650546826212</v>
      </c>
      <c r="Z116" s="34">
        <v>0.97584267614806097</v>
      </c>
      <c r="AA116" s="34">
        <v>0.987051869577939</v>
      </c>
      <c r="AB116" s="33">
        <v>414.046154478988</v>
      </c>
      <c r="AC116" s="33">
        <v>401.51399745105402</v>
      </c>
      <c r="AD116" s="33">
        <v>406.50955078406798</v>
      </c>
      <c r="AE116" s="15">
        <v>9.6495750275006204E-3</v>
      </c>
      <c r="AF116" s="15">
        <v>-2.1085481161759199E-2</v>
      </c>
      <c r="AG116" s="15">
        <v>-8.7204529570523194E-3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0.20219226900793871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0.35656875214647199</v>
      </c>
      <c r="BE116" s="29">
        <f t="shared" si="42"/>
        <v>0</v>
      </c>
      <c r="BF116" s="29">
        <f t="shared" si="43"/>
        <v>0.55876102115441073</v>
      </c>
      <c r="BH116" s="29"/>
    </row>
    <row r="117" spans="1:60" x14ac:dyDescent="0.25">
      <c r="A117" s="1">
        <v>46191</v>
      </c>
      <c r="B117" s="33">
        <v>409.15</v>
      </c>
      <c r="C117" s="33">
        <v>430.54</v>
      </c>
      <c r="D117" s="15">
        <v>-5.4112158558717602E-3</v>
      </c>
      <c r="E117" s="15">
        <v>4.8712357933629401E-2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409.15</v>
      </c>
      <c r="M117" s="33">
        <v>430.54</v>
      </c>
      <c r="N117" s="34">
        <v>1.0522791152389099</v>
      </c>
      <c r="O117" s="34">
        <v>1.00650546826212</v>
      </c>
      <c r="P117" s="34">
        <v>0.98073116630456902</v>
      </c>
      <c r="Q117" s="34">
        <v>0.99069242209268005</v>
      </c>
      <c r="R117" s="33">
        <v>411.81171233944599</v>
      </c>
      <c r="S117" s="33">
        <v>399.26603094597903</v>
      </c>
      <c r="T117" s="33">
        <v>403.85227243781401</v>
      </c>
      <c r="U117" s="15">
        <v>-4.4473998762000498E-2</v>
      </c>
      <c r="V117" s="15">
        <v>-7.5412295826105299E-2</v>
      </c>
      <c r="W117" s="15">
        <v>-6.3991085958543498E-2</v>
      </c>
      <c r="X117" s="34">
        <v>1.0522791152389099</v>
      </c>
      <c r="Y117" s="34">
        <v>1.00650546826212</v>
      </c>
      <c r="Z117" s="34">
        <v>0.98073116630456902</v>
      </c>
      <c r="AA117" s="34">
        <v>0.99069242209268005</v>
      </c>
      <c r="AB117" s="33">
        <v>411.81171233944599</v>
      </c>
      <c r="AC117" s="33">
        <v>399.26603094597903</v>
      </c>
      <c r="AD117" s="33">
        <v>403.85227243781401</v>
      </c>
      <c r="AE117" s="15">
        <v>-4.4473998762000498E-2</v>
      </c>
      <c r="AF117" s="15">
        <v>-7.5412295826105299E-2</v>
      </c>
      <c r="AG117" s="15">
        <v>-6.3991085958543498E-2</v>
      </c>
      <c r="AI117" s="12"/>
      <c r="AJ117">
        <f t="shared" si="26"/>
        <v>1</v>
      </c>
      <c r="AK117">
        <f t="shared" si="27"/>
        <v>0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0.20219226900793871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0.35656875214647199</v>
      </c>
      <c r="BE117" s="29">
        <f t="shared" si="42"/>
        <v>0</v>
      </c>
      <c r="BF117" s="29">
        <f t="shared" si="43"/>
        <v>0.55876102115441073</v>
      </c>
      <c r="BH117" s="29"/>
    </row>
    <row r="118" spans="1:60" x14ac:dyDescent="0.25">
      <c r="A118" s="1">
        <v>46195</v>
      </c>
      <c r="B118" s="33">
        <v>403.3</v>
      </c>
      <c r="C118" s="33">
        <v>416</v>
      </c>
      <c r="D118" s="15">
        <v>-1.4401135094068099E-2</v>
      </c>
      <c r="E118" s="15">
        <v>-3.4354974505037501E-2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403.3</v>
      </c>
      <c r="M118" s="33">
        <v>416</v>
      </c>
      <c r="N118" s="34">
        <v>1.03149020580213</v>
      </c>
      <c r="O118" s="34">
        <v>1.00650546826212</v>
      </c>
      <c r="P118" s="34">
        <v>0.996914810102705</v>
      </c>
      <c r="Q118" s="34">
        <v>0.99191290793446196</v>
      </c>
      <c r="R118" s="33">
        <v>405.92365535011299</v>
      </c>
      <c r="S118" s="33">
        <v>395.52887937063201</v>
      </c>
      <c r="T118" s="33">
        <v>399.54625382997801</v>
      </c>
      <c r="U118" s="15">
        <v>-2.45201593510311E-2</v>
      </c>
      <c r="V118" s="15">
        <v>-5.0461455818915403E-2</v>
      </c>
      <c r="W118" s="15">
        <v>-4.03557224577702E-2</v>
      </c>
      <c r="X118" s="34">
        <v>1.03149020580213</v>
      </c>
      <c r="Y118" s="34">
        <v>1.00650546826212</v>
      </c>
      <c r="Z118" s="34">
        <v>0.996914810102705</v>
      </c>
      <c r="AA118" s="34">
        <v>0.99191290793446196</v>
      </c>
      <c r="AB118" s="33">
        <v>405.92365535011299</v>
      </c>
      <c r="AC118" s="33">
        <v>395.52887937063201</v>
      </c>
      <c r="AD118" s="33">
        <v>399.54625382997801</v>
      </c>
      <c r="AE118" s="15">
        <v>-2.45201593510311E-2</v>
      </c>
      <c r="AF118" s="15">
        <v>-5.0461455818915403E-2</v>
      </c>
      <c r="AG118" s="15">
        <v>-4.03557224577702E-2</v>
      </c>
      <c r="AI118" s="12"/>
      <c r="AJ118">
        <f t="shared" si="26"/>
        <v>1</v>
      </c>
      <c r="AK118">
        <f t="shared" si="27"/>
        <v>0</v>
      </c>
      <c r="AL118">
        <f t="shared" si="34"/>
        <v>1</v>
      </c>
      <c r="AM118">
        <f t="shared" si="24"/>
        <v>1</v>
      </c>
      <c r="AN118">
        <f t="shared" si="35"/>
        <v>1</v>
      </c>
      <c r="AO118" s="28">
        <f t="shared" si="28"/>
        <v>-1.4401135094068099E-2</v>
      </c>
      <c r="AP118" s="28">
        <f t="shared" si="29"/>
        <v>3.4354974505037501E-2</v>
      </c>
      <c r="AQ118" s="28">
        <f t="shared" si="36"/>
        <v>1.9953839410969402E-2</v>
      </c>
      <c r="AR118" s="29">
        <f t="shared" si="37"/>
        <v>0.22214610841890811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0.35656875214647199</v>
      </c>
      <c r="BE118" s="29">
        <f t="shared" si="42"/>
        <v>1.9953839410969402E-2</v>
      </c>
      <c r="BF118" s="29">
        <f t="shared" si="43"/>
        <v>0.57871486056538013</v>
      </c>
      <c r="BH118" s="29"/>
    </row>
    <row r="119" spans="1:60" x14ac:dyDescent="0.25">
      <c r="A119" s="1">
        <v>46196</v>
      </c>
      <c r="B119" s="33">
        <v>402.24</v>
      </c>
      <c r="C119" s="33">
        <v>416</v>
      </c>
      <c r="D119" s="15">
        <v>-2.6317764774399098E-3</v>
      </c>
      <c r="E119" s="15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402.24</v>
      </c>
      <c r="M119" s="33">
        <v>416</v>
      </c>
      <c r="N119" s="34">
        <v>1.03420843277645</v>
      </c>
      <c r="O119" s="34">
        <v>1.00650546826212</v>
      </c>
      <c r="P119" s="34">
        <v>1.0143070712066</v>
      </c>
      <c r="Q119" s="34">
        <v>0.99330038481878502</v>
      </c>
      <c r="R119" s="33">
        <v>404.85675955375501</v>
      </c>
      <c r="S119" s="33">
        <v>400.99901321571201</v>
      </c>
      <c r="T119" s="33">
        <v>398.98704808755798</v>
      </c>
      <c r="U119" s="15">
        <v>-2.7151935828470999E-2</v>
      </c>
      <c r="V119" s="15">
        <v>-3.6726293766419497E-2</v>
      </c>
      <c r="W119" s="15">
        <v>-4.17563048317054E-2</v>
      </c>
      <c r="X119" s="34">
        <v>1.03420843277645</v>
      </c>
      <c r="Y119" s="34">
        <v>1.00650546826212</v>
      </c>
      <c r="Z119" s="34">
        <v>1.0143070712066</v>
      </c>
      <c r="AA119" s="34">
        <v>0.99330038481878502</v>
      </c>
      <c r="AB119" s="33">
        <v>404.85675955375501</v>
      </c>
      <c r="AC119" s="33">
        <v>400.99901321571201</v>
      </c>
      <c r="AD119" s="33">
        <v>398.98704808755798</v>
      </c>
      <c r="AE119" s="15">
        <v>-2.7151935828470999E-2</v>
      </c>
      <c r="AF119" s="15">
        <v>-3.6726293766419497E-2</v>
      </c>
      <c r="AG119" s="15">
        <v>-4.17563048317054E-2</v>
      </c>
      <c r="AI119" s="12"/>
      <c r="AJ119">
        <f t="shared" si="26"/>
        <v>1</v>
      </c>
      <c r="AK119">
        <f t="shared" si="27"/>
        <v>0</v>
      </c>
      <c r="AL119">
        <f t="shared" si="34"/>
        <v>1</v>
      </c>
      <c r="AM119">
        <f t="shared" si="24"/>
        <v>1</v>
      </c>
      <c r="AN119">
        <f t="shared" si="35"/>
        <v>1</v>
      </c>
      <c r="AO119" s="28">
        <f t="shared" si="28"/>
        <v>-2.6317764774399098E-3</v>
      </c>
      <c r="AP119" s="28">
        <f t="shared" si="29"/>
        <v>0</v>
      </c>
      <c r="AQ119" s="28">
        <f t="shared" si="36"/>
        <v>-2.6317764774399098E-3</v>
      </c>
      <c r="AR119" s="29">
        <f t="shared" si="37"/>
        <v>0.21951433194146819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0.35656875214647199</v>
      </c>
      <c r="BE119" s="29">
        <f t="shared" si="42"/>
        <v>-2.6317764774399098E-3</v>
      </c>
      <c r="BF119" s="29">
        <f t="shared" si="43"/>
        <v>0.57608308408794018</v>
      </c>
      <c r="BH119" s="29"/>
    </row>
    <row r="120" spans="1:60" x14ac:dyDescent="0.25">
      <c r="A120" s="1">
        <v>46197</v>
      </c>
      <c r="B120" s="33">
        <v>404.9</v>
      </c>
      <c r="C120" s="33">
        <v>407.37</v>
      </c>
      <c r="D120" s="15">
        <v>6.5911976362326404E-3</v>
      </c>
      <c r="E120" s="15">
        <v>-2.0963396882450198E-2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404.9</v>
      </c>
      <c r="M120" s="33">
        <v>407.37</v>
      </c>
      <c r="N120" s="34">
        <v>1.00610027167201</v>
      </c>
      <c r="O120" s="34">
        <v>1.00650546826212</v>
      </c>
      <c r="P120" s="34">
        <v>1.0163629878424301</v>
      </c>
      <c r="Q120" s="34">
        <v>0.99321866129605496</v>
      </c>
      <c r="R120" s="33">
        <v>407.534064099332</v>
      </c>
      <c r="S120" s="33">
        <v>410.69293313155202</v>
      </c>
      <c r="T120" s="33">
        <v>402.18732581312599</v>
      </c>
      <c r="U120" s="15">
        <v>4.02658690211845E-4</v>
      </c>
      <c r="V120" s="15">
        <v>8.1239505487658206E-3</v>
      </c>
      <c r="W120" s="15">
        <v>-1.28038986871366E-2</v>
      </c>
      <c r="X120" s="34">
        <v>1.00610027167201</v>
      </c>
      <c r="Y120" s="34">
        <v>1.00650546826212</v>
      </c>
      <c r="Z120" s="34">
        <v>1.0163629878424301</v>
      </c>
      <c r="AA120" s="34">
        <v>0.99321866129605496</v>
      </c>
      <c r="AB120" s="33">
        <v>407.534064099332</v>
      </c>
      <c r="AC120" s="33">
        <v>410.69293313155202</v>
      </c>
      <c r="AD120" s="33">
        <v>402.18732581312599</v>
      </c>
      <c r="AE120" s="15">
        <v>4.02658690211845E-4</v>
      </c>
      <c r="AF120" s="15">
        <v>8.1239505487658206E-3</v>
      </c>
      <c r="AG120" s="15">
        <v>-1.28038986871366E-2</v>
      </c>
      <c r="AI120" s="12"/>
      <c r="AJ120">
        <f t="shared" si="26"/>
        <v>0</v>
      </c>
      <c r="AK120">
        <f t="shared" si="27"/>
        <v>0</v>
      </c>
      <c r="AL120">
        <f t="shared" si="34"/>
        <v>1</v>
      </c>
      <c r="AM120">
        <f t="shared" si="24"/>
        <v>1</v>
      </c>
      <c r="AN120">
        <f t="shared" si="35"/>
        <v>1</v>
      </c>
      <c r="AO120" s="28">
        <f t="shared" si="28"/>
        <v>6.5911976362326404E-3</v>
      </c>
      <c r="AP120" s="28">
        <f t="shared" si="29"/>
        <v>2.0963396882450198E-2</v>
      </c>
      <c r="AQ120" s="28">
        <f t="shared" si="36"/>
        <v>2.7554594518682838E-2</v>
      </c>
      <c r="AR120" s="29">
        <f t="shared" si="37"/>
        <v>0.24706892646015102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0.35656875214647199</v>
      </c>
      <c r="BE120" s="29">
        <f t="shared" si="42"/>
        <v>2.7554594518682838E-2</v>
      </c>
      <c r="BF120" s="29">
        <f t="shared" si="43"/>
        <v>0.60363767860662298</v>
      </c>
      <c r="BH120" s="29"/>
    </row>
    <row r="121" spans="1:60" x14ac:dyDescent="0.25">
      <c r="A121" s="1">
        <v>46198</v>
      </c>
      <c r="B121" s="33">
        <v>416.26</v>
      </c>
      <c r="C121" s="33">
        <v>420</v>
      </c>
      <c r="D121" s="15">
        <v>2.7669941991990001E-2</v>
      </c>
      <c r="E121" s="15">
        <v>3.05328478986008E-2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416.26</v>
      </c>
      <c r="M121" s="33">
        <v>420</v>
      </c>
      <c r="N121" s="34">
        <v>1.0089847691346701</v>
      </c>
      <c r="O121" s="34">
        <v>1.00650546826212</v>
      </c>
      <c r="P121" s="34">
        <v>1.0131084278312901</v>
      </c>
      <c r="Q121" s="34">
        <v>0.99344207074177504</v>
      </c>
      <c r="R121" s="33">
        <v>418.96796621879002</v>
      </c>
      <c r="S121" s="33">
        <v>423.07125731929</v>
      </c>
      <c r="T121" s="33">
        <v>413.43719995109598</v>
      </c>
      <c r="U121" s="15">
        <v>-2.46024721639911E-3</v>
      </c>
      <c r="V121" s="15">
        <v>7.2859106011733303E-3</v>
      </c>
      <c r="W121" s="15">
        <v>-1.5749082710270999E-2</v>
      </c>
      <c r="X121" s="34">
        <v>1.0089847691346701</v>
      </c>
      <c r="Y121" s="34">
        <v>1.00650546826212</v>
      </c>
      <c r="Z121" s="34">
        <v>1.0131084278312901</v>
      </c>
      <c r="AA121" s="34">
        <v>0.99344207074177504</v>
      </c>
      <c r="AB121" s="33">
        <v>418.96796621879002</v>
      </c>
      <c r="AC121" s="33">
        <v>423.07125731929</v>
      </c>
      <c r="AD121" s="33">
        <v>413.43719995109598</v>
      </c>
      <c r="AE121" s="15">
        <v>-2.46024721639911E-3</v>
      </c>
      <c r="AF121" s="15">
        <v>7.2859106011733303E-3</v>
      </c>
      <c r="AG121" s="15">
        <v>-1.5749082710270999E-2</v>
      </c>
      <c r="AI121" s="12"/>
      <c r="AJ121">
        <f t="shared" si="26"/>
        <v>0</v>
      </c>
      <c r="AK121">
        <f t="shared" si="27"/>
        <v>0</v>
      </c>
      <c r="AL121">
        <f t="shared" si="34"/>
        <v>1</v>
      </c>
      <c r="AM121">
        <f t="shared" si="24"/>
        <v>1</v>
      </c>
      <c r="AN121">
        <f t="shared" si="35"/>
        <v>1</v>
      </c>
      <c r="AO121" s="28">
        <f t="shared" si="28"/>
        <v>2.7669941991990001E-2</v>
      </c>
      <c r="AP121" s="28">
        <f t="shared" si="29"/>
        <v>-3.05328478986008E-2</v>
      </c>
      <c r="AQ121" s="28">
        <f t="shared" si="36"/>
        <v>-2.8629059066107992E-3</v>
      </c>
      <c r="AR121" s="29">
        <f t="shared" si="37"/>
        <v>0.24420602055354024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0.35656875214647199</v>
      </c>
      <c r="BE121" s="29">
        <f t="shared" si="42"/>
        <v>-2.8629059066107992E-3</v>
      </c>
      <c r="BF121" s="29">
        <f t="shared" si="43"/>
        <v>0.60077477270001223</v>
      </c>
      <c r="BH121" s="29"/>
    </row>
    <row r="122" spans="1:60" x14ac:dyDescent="0.25">
      <c r="A122" s="1">
        <v>46199</v>
      </c>
      <c r="B122" s="33">
        <v>425.36</v>
      </c>
      <c r="C122" s="33">
        <v>424.2</v>
      </c>
      <c r="D122" s="15">
        <v>2.1625804165977799E-2</v>
      </c>
      <c r="E122" s="15">
        <v>9.9503308531680903E-3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425.36</v>
      </c>
      <c r="M122" s="33">
        <v>424.2</v>
      </c>
      <c r="N122" s="34">
        <v>0.99727289825089305</v>
      </c>
      <c r="O122" s="34">
        <v>1.00650546826212</v>
      </c>
      <c r="P122" s="34">
        <v>1.0141059425971799</v>
      </c>
      <c r="Q122" s="34">
        <v>0.99319365200216503</v>
      </c>
      <c r="R122" s="33">
        <v>428.12716597997502</v>
      </c>
      <c r="S122" s="33">
        <v>430.93580086231799</v>
      </c>
      <c r="T122" s="33">
        <v>422.57051921072099</v>
      </c>
      <c r="U122" s="15">
        <v>9.2152260964105601E-3</v>
      </c>
      <c r="V122" s="15">
        <v>1.5754082962695402E-2</v>
      </c>
      <c r="W122" s="15">
        <v>-3.8486998866847201E-3</v>
      </c>
      <c r="X122" s="34">
        <v>0.99727289825089305</v>
      </c>
      <c r="Y122" s="34">
        <v>1.00650546826212</v>
      </c>
      <c r="Z122" s="34">
        <v>1.0141059425971799</v>
      </c>
      <c r="AA122" s="34">
        <v>0.99319365200216503</v>
      </c>
      <c r="AB122" s="33">
        <v>428.12716597997502</v>
      </c>
      <c r="AC122" s="33">
        <v>430.93580086231799</v>
      </c>
      <c r="AD122" s="33">
        <v>422.57051921072099</v>
      </c>
      <c r="AE122" s="15">
        <v>9.2152260964105601E-3</v>
      </c>
      <c r="AF122" s="15">
        <v>1.5754082962695402E-2</v>
      </c>
      <c r="AG122" s="15">
        <v>-3.8486998866847201E-3</v>
      </c>
      <c r="AI122" s="12"/>
      <c r="AJ122">
        <f t="shared" si="26"/>
        <v>0</v>
      </c>
      <c r="AK122">
        <f t="shared" si="27"/>
        <v>1</v>
      </c>
      <c r="AL122">
        <f t="shared" si="34"/>
        <v>1</v>
      </c>
      <c r="AM122">
        <f t="shared" si="24"/>
        <v>1</v>
      </c>
      <c r="AN122">
        <f t="shared" si="35"/>
        <v>1</v>
      </c>
      <c r="AO122" s="28">
        <f t="shared" si="28"/>
        <v>2.1625804165977799E-2</v>
      </c>
      <c r="AP122" s="28">
        <f t="shared" si="29"/>
        <v>-9.9503308531680903E-3</v>
      </c>
      <c r="AQ122" s="28">
        <f t="shared" si="36"/>
        <v>1.1675473312809709E-2</v>
      </c>
      <c r="AR122" s="29">
        <f t="shared" si="37"/>
        <v>0.25588149386634995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0.35656875214647199</v>
      </c>
      <c r="BE122" s="29">
        <f t="shared" si="42"/>
        <v>1.1675473312809709E-2</v>
      </c>
      <c r="BF122" s="29">
        <f t="shared" si="43"/>
        <v>0.61245024601282194</v>
      </c>
      <c r="BH122" s="29"/>
    </row>
    <row r="123" spans="1:60" x14ac:dyDescent="0.25">
      <c r="A123" s="1">
        <v>46202</v>
      </c>
      <c r="B123" s="33">
        <v>425.85</v>
      </c>
      <c r="C123" s="33">
        <v>424.2</v>
      </c>
      <c r="D123" s="15">
        <v>1.15130239100695E-3</v>
      </c>
      <c r="E123" s="15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425.85</v>
      </c>
      <c r="M123" s="33">
        <v>424.2</v>
      </c>
      <c r="N123" s="34">
        <v>0.99612539626629004</v>
      </c>
      <c r="O123" s="34">
        <v>1.00650546826212</v>
      </c>
      <c r="P123" s="34">
        <v>1.0125997780982701</v>
      </c>
      <c r="Q123" s="34">
        <v>0.99299575480156199</v>
      </c>
      <c r="R123" s="33">
        <v>428.62035365942398</v>
      </c>
      <c r="S123" s="33">
        <v>431.85701565501199</v>
      </c>
      <c r="T123" s="33">
        <v>422.951516705122</v>
      </c>
      <c r="U123" s="15">
        <v>1.03665284874175E-2</v>
      </c>
      <c r="V123" s="15">
        <v>1.78895090467397E-2</v>
      </c>
      <c r="W123" s="15">
        <v>-2.9474873718043E-3</v>
      </c>
      <c r="X123" s="34">
        <v>0.99612539626629004</v>
      </c>
      <c r="Y123" s="34">
        <v>1.00650546826212</v>
      </c>
      <c r="Z123" s="34">
        <v>1.0125997780982701</v>
      </c>
      <c r="AA123" s="34">
        <v>0.99299575480156199</v>
      </c>
      <c r="AB123" s="33">
        <v>428.62035365942398</v>
      </c>
      <c r="AC123" s="33">
        <v>431.85701565501199</v>
      </c>
      <c r="AD123" s="33">
        <v>422.951516705122</v>
      </c>
      <c r="AE123" s="15">
        <v>1.03665284874175E-2</v>
      </c>
      <c r="AF123" s="15">
        <v>1.78895090467397E-2</v>
      </c>
      <c r="AG123" s="15">
        <v>-2.9474873718043E-3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0.25588149386634995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0.35656875214647199</v>
      </c>
      <c r="BE123" s="29">
        <f t="shared" si="42"/>
        <v>0</v>
      </c>
      <c r="BF123" s="29">
        <f t="shared" si="43"/>
        <v>0.61245024601282194</v>
      </c>
      <c r="BH123" s="29"/>
    </row>
    <row r="124" spans="1:60" x14ac:dyDescent="0.25">
      <c r="A124" s="1">
        <v>46203</v>
      </c>
      <c r="B124" s="33">
        <v>423.84</v>
      </c>
      <c r="C124" s="33">
        <v>427.16</v>
      </c>
      <c r="D124" s="15">
        <v>-4.7311460633304298E-3</v>
      </c>
      <c r="E124" s="15">
        <v>6.9536081727624901E-3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423.84</v>
      </c>
      <c r="M124" s="33">
        <v>427.16</v>
      </c>
      <c r="N124" s="34">
        <v>1.0078331445828601</v>
      </c>
      <c r="O124" s="34">
        <v>1.00650546826212</v>
      </c>
      <c r="P124" s="34">
        <v>1.01300874891412</v>
      </c>
      <c r="Q124" s="34">
        <v>0.99459998485281498</v>
      </c>
      <c r="R124" s="33">
        <v>426.59727766821698</v>
      </c>
      <c r="S124" s="33">
        <v>429.18028994917398</v>
      </c>
      <c r="T124" s="33">
        <v>420.87132071509399</v>
      </c>
      <c r="U124" s="15">
        <v>-1.31822574867531E-3</v>
      </c>
      <c r="V124" s="15">
        <v>4.7184366335119602E-3</v>
      </c>
      <c r="W124" s="15">
        <v>-1.4831514849995999E-2</v>
      </c>
      <c r="X124" s="34">
        <v>1.0078331445828601</v>
      </c>
      <c r="Y124" s="34">
        <v>1.00650546826212</v>
      </c>
      <c r="Z124" s="34">
        <v>1.01300874891412</v>
      </c>
      <c r="AA124" s="34">
        <v>0.99459998485281498</v>
      </c>
      <c r="AB124" s="33">
        <v>426.59727766821698</v>
      </c>
      <c r="AC124" s="33">
        <v>429.18028994917398</v>
      </c>
      <c r="AD124" s="33">
        <v>420.87132071509399</v>
      </c>
      <c r="AE124" s="15">
        <v>-1.31822574867531E-3</v>
      </c>
      <c r="AF124" s="15">
        <v>4.7184366335119602E-3</v>
      </c>
      <c r="AG124" s="15">
        <v>-1.4831514849995999E-2</v>
      </c>
      <c r="AI124" s="12"/>
      <c r="AJ124">
        <f t="shared" si="26"/>
        <v>0</v>
      </c>
      <c r="AK124">
        <f t="shared" si="27"/>
        <v>0</v>
      </c>
      <c r="AL124">
        <f t="shared" si="34"/>
        <v>0</v>
      </c>
      <c r="AM124">
        <f t="shared" si="24"/>
        <v>1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0.25588149386634995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0.35656875214647199</v>
      </c>
      <c r="BE124" s="29">
        <f t="shared" si="42"/>
        <v>0</v>
      </c>
      <c r="BF124" s="29">
        <f t="shared" si="43"/>
        <v>0.61245024601282194</v>
      </c>
      <c r="BH124" s="29"/>
    </row>
    <row r="125" spans="1:60" x14ac:dyDescent="0.25">
      <c r="A125" s="1">
        <v>46204</v>
      </c>
      <c r="B125" s="33">
        <v>421</v>
      </c>
      <c r="C125" s="33">
        <v>423.82</v>
      </c>
      <c r="D125" s="15">
        <v>-6.7231918413781103E-3</v>
      </c>
      <c r="E125" s="15">
        <v>-7.8498135109246504E-3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421</v>
      </c>
      <c r="M125" s="33">
        <v>423.82</v>
      </c>
      <c r="N125" s="34">
        <v>1.0066983372921601</v>
      </c>
      <c r="O125" s="34">
        <v>1.00650546826212</v>
      </c>
      <c r="P125" s="34">
        <v>1.01378323989085</v>
      </c>
      <c r="Q125" s="34">
        <v>0.99491213365699405</v>
      </c>
      <c r="R125" s="33">
        <v>423.73880213835201</v>
      </c>
      <c r="S125" s="33">
        <v>426.47668329284602</v>
      </c>
      <c r="T125" s="33">
        <v>418.726593623035</v>
      </c>
      <c r="U125" s="15">
        <v>-1.9160407912886601E-4</v>
      </c>
      <c r="V125" s="15">
        <v>6.2488587570459298E-3</v>
      </c>
      <c r="W125" s="15">
        <v>-1.2090651040960399E-2</v>
      </c>
      <c r="X125" s="34">
        <v>1.0066983372921601</v>
      </c>
      <c r="Y125" s="34">
        <v>1.00650546826212</v>
      </c>
      <c r="Z125" s="34">
        <v>1.01378323989085</v>
      </c>
      <c r="AA125" s="34">
        <v>0.99491213365699405</v>
      </c>
      <c r="AB125" s="33">
        <v>423.73880213835201</v>
      </c>
      <c r="AC125" s="33">
        <v>426.47668329284602</v>
      </c>
      <c r="AD125" s="33">
        <v>418.726593623035</v>
      </c>
      <c r="AE125" s="15">
        <v>-1.9160407912886601E-4</v>
      </c>
      <c r="AF125" s="15">
        <v>6.2488587570459298E-3</v>
      </c>
      <c r="AG125" s="15">
        <v>-1.2090651040960399E-2</v>
      </c>
      <c r="AI125" s="12"/>
      <c r="AJ125">
        <f t="shared" si="26"/>
        <v>0</v>
      </c>
      <c r="AK125">
        <f t="shared" si="27"/>
        <v>0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0.25588149386634995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0.35656875214647199</v>
      </c>
      <c r="BE125" s="29">
        <f t="shared" si="42"/>
        <v>0</v>
      </c>
      <c r="BF125" s="29">
        <f t="shared" si="43"/>
        <v>0.61245024601282194</v>
      </c>
      <c r="BH125" s="29"/>
    </row>
    <row r="126" spans="1:60" x14ac:dyDescent="0.25">
      <c r="A126" s="1">
        <v>46205</v>
      </c>
      <c r="B126" s="33">
        <v>417.42</v>
      </c>
      <c r="C126" s="33">
        <v>423.82</v>
      </c>
      <c r="D126" s="15">
        <v>-8.5399245187763994E-3</v>
      </c>
      <c r="E126" s="15">
        <v>0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417.42</v>
      </c>
      <c r="M126" s="33">
        <v>423.82</v>
      </c>
      <c r="N126" s="34">
        <v>1.0153322792391299</v>
      </c>
      <c r="O126" s="34">
        <v>1.00650546826212</v>
      </c>
      <c r="P126" s="34">
        <v>1.01563248502555</v>
      </c>
      <c r="Q126" s="34">
        <v>0.99573758058680695</v>
      </c>
      <c r="R126" s="33">
        <v>420.135512561974</v>
      </c>
      <c r="S126" s="33">
        <v>423.17339999524103</v>
      </c>
      <c r="T126" s="33">
        <v>415.296222831102</v>
      </c>
      <c r="U126" s="15">
        <v>-8.7315285979052103E-3</v>
      </c>
      <c r="V126" s="15">
        <v>-1.5268126773432501E-3</v>
      </c>
      <c r="W126" s="15">
        <v>-2.0316781234146999E-2</v>
      </c>
      <c r="X126" s="34">
        <v>1.0153322792391299</v>
      </c>
      <c r="Y126" s="34">
        <v>1.00650546826212</v>
      </c>
      <c r="Z126" s="34">
        <v>1.01563248502555</v>
      </c>
      <c r="AA126" s="34">
        <v>0.99573758058680695</v>
      </c>
      <c r="AB126" s="33">
        <v>420.135512561974</v>
      </c>
      <c r="AC126" s="33">
        <v>423.17339999524103</v>
      </c>
      <c r="AD126" s="33">
        <v>415.296222831102</v>
      </c>
      <c r="AE126" s="15">
        <v>-8.7315285979052103E-3</v>
      </c>
      <c r="AF126" s="15">
        <v>-1.5268126773432501E-3</v>
      </c>
      <c r="AG126" s="15">
        <v>-2.0316781234146999E-2</v>
      </c>
      <c r="AI126" s="12"/>
      <c r="AJ126">
        <f t="shared" si="26"/>
        <v>0</v>
      </c>
      <c r="AK126">
        <f t="shared" si="27"/>
        <v>0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0.25588149386634995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0.35656875214647199</v>
      </c>
      <c r="BE126" s="29">
        <f t="shared" si="42"/>
        <v>0</v>
      </c>
      <c r="BF126" s="29">
        <f t="shared" si="43"/>
        <v>0.61245024601282194</v>
      </c>
      <c r="BH126" s="29"/>
    </row>
    <row r="127" spans="1:60" x14ac:dyDescent="0.25">
      <c r="A127" s="1">
        <v>46209</v>
      </c>
      <c r="B127" s="33">
        <v>424.46</v>
      </c>
      <c r="C127" s="33">
        <v>428.39</v>
      </c>
      <c r="D127" s="15">
        <v>1.6724863643889899E-2</v>
      </c>
      <c r="E127" s="15">
        <v>1.07251588383279E-2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424.46</v>
      </c>
      <c r="M127" s="33">
        <v>428.39</v>
      </c>
      <c r="N127" s="34">
        <v>1.0092588229750701</v>
      </c>
      <c r="O127" s="34">
        <v>1.00650546826212</v>
      </c>
      <c r="P127" s="34">
        <v>1.01133045579916</v>
      </c>
      <c r="Q127" s="34">
        <v>0.99603081105186897</v>
      </c>
      <c r="R127" s="33">
        <v>427.22131105853902</v>
      </c>
      <c r="S127" s="33">
        <v>431.09536459394599</v>
      </c>
      <c r="T127" s="33">
        <v>422.65077345587599</v>
      </c>
      <c r="U127" s="15">
        <v>-2.7318237923431698E-3</v>
      </c>
      <c r="V127" s="15">
        <v>6.2953335568687397E-3</v>
      </c>
      <c r="W127" s="15">
        <v>-1.34877522423992E-2</v>
      </c>
      <c r="X127" s="34">
        <v>1.0092588229750701</v>
      </c>
      <c r="Y127" s="34">
        <v>1.00650546826212</v>
      </c>
      <c r="Z127" s="34">
        <v>1.01133045579916</v>
      </c>
      <c r="AA127" s="34">
        <v>0.99603081105186897</v>
      </c>
      <c r="AB127" s="33">
        <v>427.22131105853902</v>
      </c>
      <c r="AC127" s="33">
        <v>431.09536459394599</v>
      </c>
      <c r="AD127" s="33">
        <v>422.65077345587599</v>
      </c>
      <c r="AE127" s="15">
        <v>-2.7318237923431698E-3</v>
      </c>
      <c r="AF127" s="15">
        <v>6.2953335568687397E-3</v>
      </c>
      <c r="AG127" s="15">
        <v>-1.34877522423992E-2</v>
      </c>
      <c r="AI127" s="12"/>
      <c r="AJ127">
        <f t="shared" si="26"/>
        <v>0</v>
      </c>
      <c r="AK127">
        <f t="shared" si="27"/>
        <v>0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0.25588149386634995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0.35656875214647199</v>
      </c>
      <c r="BE127" s="29">
        <f t="shared" si="42"/>
        <v>0</v>
      </c>
      <c r="BF127" s="29">
        <f t="shared" si="43"/>
        <v>0.61245024601282194</v>
      </c>
      <c r="BH127" s="29"/>
    </row>
    <row r="128" spans="1:60" x14ac:dyDescent="0.25">
      <c r="A128" s="1">
        <v>46210</v>
      </c>
      <c r="B128" s="33">
        <v>412.01</v>
      </c>
      <c r="C128" s="33">
        <v>428.39</v>
      </c>
      <c r="D128" s="15">
        <v>-2.9770151907864899E-2</v>
      </c>
      <c r="E128" s="15">
        <v>0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412.01</v>
      </c>
      <c r="M128" s="33">
        <v>428.39</v>
      </c>
      <c r="N128" s="34">
        <v>1.0397563165942501</v>
      </c>
      <c r="O128" s="34">
        <v>1.00650546826212</v>
      </c>
      <c r="P128" s="34">
        <v>1.0121570668783799</v>
      </c>
      <c r="Q128" s="34">
        <v>1.0045359384905399</v>
      </c>
      <c r="R128" s="33">
        <v>414.69031797867598</v>
      </c>
      <c r="S128" s="33">
        <v>416.67826109381502</v>
      </c>
      <c r="T128" s="33">
        <v>410.37465446148002</v>
      </c>
      <c r="U128" s="15">
        <v>-3.2501975700207998E-2</v>
      </c>
      <c r="V128" s="15">
        <v>-2.7719627764505799E-2</v>
      </c>
      <c r="W128" s="15">
        <v>-4.2963461816093798E-2</v>
      </c>
      <c r="X128" s="34">
        <v>1.0397563165942501</v>
      </c>
      <c r="Y128" s="34">
        <v>1.00650546826212</v>
      </c>
      <c r="Z128" s="34">
        <v>1.0121570668783799</v>
      </c>
      <c r="AA128" s="34">
        <v>1.0045359384905399</v>
      </c>
      <c r="AB128" s="33">
        <v>414.69031797867598</v>
      </c>
      <c r="AC128" s="33">
        <v>416.67826109381502</v>
      </c>
      <c r="AD128" s="33">
        <v>410.37465446148002</v>
      </c>
      <c r="AE128" s="15">
        <v>-3.2501975700207998E-2</v>
      </c>
      <c r="AF128" s="15">
        <v>-2.7719627764505799E-2</v>
      </c>
      <c r="AG128" s="15">
        <v>-4.2963461816093798E-2</v>
      </c>
      <c r="AI128" s="12"/>
      <c r="AJ128">
        <f t="shared" si="26"/>
        <v>1</v>
      </c>
      <c r="AK128">
        <f t="shared" si="27"/>
        <v>0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0.25588149386634995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0.35656875214647199</v>
      </c>
      <c r="BE128" s="29">
        <f t="shared" si="42"/>
        <v>0</v>
      </c>
      <c r="BF128" s="29">
        <f t="shared" si="43"/>
        <v>0.61245024601282194</v>
      </c>
      <c r="BH128" s="29"/>
    </row>
    <row r="129" spans="1:60" x14ac:dyDescent="0.25">
      <c r="A129" s="1">
        <v>46211</v>
      </c>
      <c r="B129" s="33">
        <v>405.92</v>
      </c>
      <c r="C129" s="33">
        <v>405.68</v>
      </c>
      <c r="D129" s="15">
        <v>-1.4891525048658301E-2</v>
      </c>
      <c r="E129" s="15">
        <v>-5.4469324143984102E-2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405.92</v>
      </c>
      <c r="M129" s="33">
        <v>405.68</v>
      </c>
      <c r="N129" s="34">
        <v>0.99940875049270705</v>
      </c>
      <c r="O129" s="34">
        <v>1.00650546826212</v>
      </c>
      <c r="P129" s="34">
        <v>1.00867709865</v>
      </c>
      <c r="Q129" s="34">
        <v>1.0114920849283</v>
      </c>
      <c r="R129" s="33">
        <v>408.56069967695998</v>
      </c>
      <c r="S129" s="33">
        <v>410.85479658727201</v>
      </c>
      <c r="T129" s="33">
        <v>407.761228152081</v>
      </c>
      <c r="U129" s="15">
        <v>7.0758233951177304E-3</v>
      </c>
      <c r="V129" s="15">
        <v>1.2675187611799799E-2</v>
      </c>
      <c r="W129" s="15">
        <v>5.1171064888915303E-3</v>
      </c>
      <c r="X129" s="34">
        <v>0.99940875049270705</v>
      </c>
      <c r="Y129" s="34">
        <v>1.00650546826212</v>
      </c>
      <c r="Z129" s="34">
        <v>1.00867709865</v>
      </c>
      <c r="AA129" s="34">
        <v>1.0114920849283</v>
      </c>
      <c r="AB129" s="33">
        <v>408.56069967695998</v>
      </c>
      <c r="AC129" s="33">
        <v>410.85479658727201</v>
      </c>
      <c r="AD129" s="33">
        <v>407.761228152081</v>
      </c>
      <c r="AE129" s="15">
        <v>7.0758233951177304E-3</v>
      </c>
      <c r="AF129" s="15">
        <v>1.2675187611799799E-2</v>
      </c>
      <c r="AG129" s="15">
        <v>5.1171064888915303E-3</v>
      </c>
      <c r="AI129" s="12"/>
      <c r="AJ129">
        <f t="shared" si="26"/>
        <v>0</v>
      </c>
      <c r="AK129">
        <f t="shared" si="27"/>
        <v>1</v>
      </c>
      <c r="AL129">
        <f t="shared" si="34"/>
        <v>1</v>
      </c>
      <c r="AM129">
        <f t="shared" si="24"/>
        <v>1</v>
      </c>
      <c r="AN129">
        <f t="shared" si="35"/>
        <v>1</v>
      </c>
      <c r="AO129" s="28">
        <f t="shared" si="28"/>
        <v>-1.4891525048658301E-2</v>
      </c>
      <c r="AP129" s="28">
        <f t="shared" si="29"/>
        <v>5.4469324143984102E-2</v>
      </c>
      <c r="AQ129" s="28">
        <f t="shared" si="36"/>
        <v>3.95777990953258E-2</v>
      </c>
      <c r="AR129" s="29">
        <f t="shared" si="37"/>
        <v>0.29545929296167572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0.35656875214647199</v>
      </c>
      <c r="BE129" s="29">
        <f t="shared" si="42"/>
        <v>3.95777990953258E-2</v>
      </c>
      <c r="BF129" s="29">
        <f t="shared" si="43"/>
        <v>0.65202804510814771</v>
      </c>
      <c r="BH129" s="29"/>
    </row>
    <row r="130" spans="1:60" x14ac:dyDescent="0.25">
      <c r="A130" s="1">
        <v>46212</v>
      </c>
      <c r="B130" s="33">
        <v>408.46</v>
      </c>
      <c r="C130" s="33">
        <v>405.68</v>
      </c>
      <c r="D130" s="15">
        <v>6.2378944380399402E-3</v>
      </c>
      <c r="E130" s="15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408.46</v>
      </c>
      <c r="M130" s="33">
        <v>405.68</v>
      </c>
      <c r="N130" s="34">
        <v>0.99319394799980398</v>
      </c>
      <c r="O130" s="34">
        <v>1.00650546826212</v>
      </c>
      <c r="P130" s="34">
        <v>1.0073864662827801</v>
      </c>
      <c r="Q130" s="34">
        <v>1.0118747270626001</v>
      </c>
      <c r="R130" s="33">
        <v>411.11722356634499</v>
      </c>
      <c r="S130" s="33">
        <v>412.00424771458199</v>
      </c>
      <c r="T130" s="33">
        <v>413.15405700981501</v>
      </c>
      <c r="U130" s="15">
        <v>1.33137178331577E-2</v>
      </c>
      <c r="V130" s="15">
        <v>1.54689877964647E-2</v>
      </c>
      <c r="W130" s="15">
        <v>1.8255871314056801E-2</v>
      </c>
      <c r="X130" s="34">
        <v>0.99319394799980398</v>
      </c>
      <c r="Y130" s="34">
        <v>1.00650546826212</v>
      </c>
      <c r="Z130" s="34">
        <v>1.0073864662827801</v>
      </c>
      <c r="AA130" s="34">
        <v>1.0118747270626001</v>
      </c>
      <c r="AB130" s="33">
        <v>411.11722356634499</v>
      </c>
      <c r="AC130" s="33">
        <v>412.00424771458199</v>
      </c>
      <c r="AD130" s="33">
        <v>413.15405700981501</v>
      </c>
      <c r="AE130" s="15">
        <v>1.33137178331577E-2</v>
      </c>
      <c r="AF130" s="15">
        <v>1.54689877964647E-2</v>
      </c>
      <c r="AG130" s="15">
        <v>1.8255871314056801E-2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0.29545929296167572</v>
      </c>
      <c r="AT130" s="12"/>
      <c r="AU130">
        <f t="shared" si="30"/>
        <v>0</v>
      </c>
      <c r="AV130">
        <f t="shared" si="31"/>
        <v>0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0.35656875214647199</v>
      </c>
      <c r="BE130" s="29">
        <f t="shared" si="42"/>
        <v>0</v>
      </c>
      <c r="BF130" s="29">
        <f t="shared" si="43"/>
        <v>0.65202804510814771</v>
      </c>
      <c r="BH130" s="29"/>
    </row>
    <row r="131" spans="1:60" x14ac:dyDescent="0.25">
      <c r="A131" s="1">
        <v>46213</v>
      </c>
      <c r="B131" s="33">
        <v>407.11</v>
      </c>
      <c r="C131" s="33">
        <v>411.16</v>
      </c>
      <c r="D131" s="15">
        <v>-3.3105710925765402E-3</v>
      </c>
      <c r="E131" s="15">
        <v>1.3417761657957701E-2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407.11</v>
      </c>
      <c r="M131" s="33">
        <v>411.16</v>
      </c>
      <c r="N131" s="34">
        <v>1.00994817125592</v>
      </c>
      <c r="O131" s="34">
        <v>1.00650546826212</v>
      </c>
      <c r="P131" s="34">
        <v>1.00748280649491</v>
      </c>
      <c r="Q131" s="34">
        <v>1.0102956171630999</v>
      </c>
      <c r="R131" s="33">
        <v>409.75844118419099</v>
      </c>
      <c r="S131" s="33">
        <v>410.11710428838501</v>
      </c>
      <c r="T131" s="33">
        <v>411.944320134458</v>
      </c>
      <c r="U131" s="15">
        <v>-3.4146149173764498E-3</v>
      </c>
      <c r="V131" s="15">
        <v>-2.5396940124829299E-3</v>
      </c>
      <c r="W131" s="15">
        <v>1.9057617671436699E-3</v>
      </c>
      <c r="X131" s="34">
        <v>1.00994817125592</v>
      </c>
      <c r="Y131" s="34">
        <v>1.00650546826212</v>
      </c>
      <c r="Z131" s="34">
        <v>1.00748280649491</v>
      </c>
      <c r="AA131" s="34">
        <v>1.0102956171630999</v>
      </c>
      <c r="AB131" s="33">
        <v>409.75844118419099</v>
      </c>
      <c r="AC131" s="33">
        <v>410.11710428838501</v>
      </c>
      <c r="AD131" s="33">
        <v>411.944320134458</v>
      </c>
      <c r="AE131" s="15">
        <v>-3.4146149173764498E-3</v>
      </c>
      <c r="AF131" s="15">
        <v>-2.5396940124829299E-3</v>
      </c>
      <c r="AG131" s="15">
        <v>1.9057617671436699E-3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0.29545929296167572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0.35656875214647199</v>
      </c>
      <c r="BE131" s="29">
        <f t="shared" si="42"/>
        <v>0</v>
      </c>
      <c r="BF131" s="29">
        <f t="shared" si="43"/>
        <v>0.65202804510814771</v>
      </c>
      <c r="BH131" s="29"/>
    </row>
    <row r="132" spans="1:60" x14ac:dyDescent="0.25">
      <c r="A132" s="1">
        <v>46216</v>
      </c>
      <c r="B132" s="33">
        <v>392</v>
      </c>
      <c r="C132" s="33">
        <v>401.66</v>
      </c>
      <c r="D132" s="15">
        <v>-3.7821579405972597E-2</v>
      </c>
      <c r="E132" s="15">
        <v>-2.3376473536189098E-2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392</v>
      </c>
      <c r="M132" s="33">
        <v>401.66</v>
      </c>
      <c r="N132" s="34">
        <v>1.0246428571428501</v>
      </c>
      <c r="O132" s="34">
        <v>1.00650546826212</v>
      </c>
      <c r="P132" s="34">
        <v>1.0102198023841</v>
      </c>
      <c r="Q132" s="34">
        <v>1.01216287249064</v>
      </c>
      <c r="R132" s="33">
        <v>394.55014355875102</v>
      </c>
      <c r="S132" s="33">
        <v>394.93326014600501</v>
      </c>
      <c r="T132" s="33">
        <v>396.03588192793501</v>
      </c>
      <c r="U132" s="15">
        <v>-1.7859720787159802E-2</v>
      </c>
      <c r="V132" s="15">
        <v>-1.6889170638721699E-2</v>
      </c>
      <c r="W132" s="15">
        <v>-1.41011415298427E-2</v>
      </c>
      <c r="X132" s="34">
        <v>1.0246428571428501</v>
      </c>
      <c r="Y132" s="34">
        <v>1.00650546826212</v>
      </c>
      <c r="Z132" s="34">
        <v>1.0102198023841</v>
      </c>
      <c r="AA132" s="34">
        <v>1.01216287249064</v>
      </c>
      <c r="AB132" s="33">
        <v>394.55014355875102</v>
      </c>
      <c r="AC132" s="33">
        <v>394.93326014600501</v>
      </c>
      <c r="AD132" s="33">
        <v>396.03588192793501</v>
      </c>
      <c r="AE132" s="15">
        <v>-1.7859720787159802E-2</v>
      </c>
      <c r="AF132" s="15">
        <v>-1.6889170638721699E-2</v>
      </c>
      <c r="AG132" s="15">
        <v>-1.41011415298427E-2</v>
      </c>
      <c r="AI132" s="12"/>
      <c r="AJ132">
        <f t="shared" si="26"/>
        <v>0</v>
      </c>
      <c r="AK132">
        <f t="shared" si="27"/>
        <v>0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0.29545929296167572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0.35656875214647199</v>
      </c>
      <c r="BE132" s="29">
        <f t="shared" si="42"/>
        <v>0</v>
      </c>
      <c r="BF132" s="29">
        <f t="shared" si="43"/>
        <v>0.65202804510814771</v>
      </c>
      <c r="BH132" s="29"/>
    </row>
    <row r="133" spans="1:60" x14ac:dyDescent="0.25">
      <c r="A133" s="1">
        <v>46217</v>
      </c>
      <c r="B133" s="33">
        <v>391.5</v>
      </c>
      <c r="C133" s="33">
        <v>389.6</v>
      </c>
      <c r="D133" s="15">
        <v>-1.2763243596047801E-3</v>
      </c>
      <c r="E133" s="15">
        <v>-3.0485387840151999E-2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391.5</v>
      </c>
      <c r="M133" s="33">
        <v>389.6</v>
      </c>
      <c r="N133" s="34">
        <v>0.99514687100893995</v>
      </c>
      <c r="O133" s="34">
        <v>1.00650546826212</v>
      </c>
      <c r="P133" s="34">
        <v>1.01012194985837</v>
      </c>
      <c r="Q133" s="34">
        <v>1.01136086397832</v>
      </c>
      <c r="R133" s="33">
        <v>394.04689082461999</v>
      </c>
      <c r="S133" s="33">
        <v>395.50105263337798</v>
      </c>
      <c r="T133" s="33">
        <v>396.26176458008803</v>
      </c>
      <c r="U133" s="15">
        <v>1.1349342693387301E-2</v>
      </c>
      <c r="V133" s="15">
        <v>1.50328769613949E-2</v>
      </c>
      <c r="W133" s="15">
        <v>1.69544427743984E-2</v>
      </c>
      <c r="X133" s="34">
        <v>0.99514687100893995</v>
      </c>
      <c r="Y133" s="34">
        <v>1.00650546826212</v>
      </c>
      <c r="Z133" s="34">
        <v>1.01012194985837</v>
      </c>
      <c r="AA133" s="34">
        <v>1.01136086397832</v>
      </c>
      <c r="AB133" s="33">
        <v>394.04689082461999</v>
      </c>
      <c r="AC133" s="33">
        <v>395.50105263337798</v>
      </c>
      <c r="AD133" s="33">
        <v>396.26176458008803</v>
      </c>
      <c r="AE133" s="15">
        <v>1.1349342693387301E-2</v>
      </c>
      <c r="AF133" s="15">
        <v>1.50328769613949E-2</v>
      </c>
      <c r="AG133" s="15">
        <v>1.69544427743984E-2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0.29545929296167572</v>
      </c>
      <c r="AT133" s="12"/>
      <c r="AU133">
        <f t="shared" si="30"/>
        <v>0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0.35656875214647199</v>
      </c>
      <c r="BE133" s="29">
        <f t="shared" si="42"/>
        <v>0</v>
      </c>
      <c r="BF133" s="29">
        <f t="shared" si="43"/>
        <v>0.65202804510814771</v>
      </c>
      <c r="BH133" s="29"/>
    </row>
    <row r="134" spans="1:60" x14ac:dyDescent="0.25">
      <c r="A134" s="1">
        <v>46218</v>
      </c>
      <c r="B134" s="33">
        <v>396.19</v>
      </c>
      <c r="C134" s="33">
        <v>389.6</v>
      </c>
      <c r="D134" s="15">
        <v>1.19083787371741E-2</v>
      </c>
      <c r="E134" s="15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396.19</v>
      </c>
      <c r="M134" s="33">
        <v>389.6</v>
      </c>
      <c r="N134" s="34">
        <v>0.98336656654635402</v>
      </c>
      <c r="O134" s="34">
        <v>1.00650546826212</v>
      </c>
      <c r="P134" s="34">
        <v>1.0076752920547201</v>
      </c>
      <c r="Q134" s="34">
        <v>1.01034202048442</v>
      </c>
      <c r="R134" s="33">
        <v>398.76740147076902</v>
      </c>
      <c r="S134" s="33">
        <v>400.200215314388</v>
      </c>
      <c r="T134" s="33">
        <v>400.69106069957201</v>
      </c>
      <c r="U134" s="15">
        <v>2.3257721430561401E-2</v>
      </c>
      <c r="V134" s="15">
        <v>2.6844388398071399E-2</v>
      </c>
      <c r="W134" s="15">
        <v>2.8070136414914099E-2</v>
      </c>
      <c r="X134" s="34">
        <v>0.98336656654635402</v>
      </c>
      <c r="Y134" s="34">
        <v>1.00650546826212</v>
      </c>
      <c r="Z134" s="34">
        <v>1.0076752920547201</v>
      </c>
      <c r="AA134" s="34">
        <v>1.01034202048442</v>
      </c>
      <c r="AB134" s="33">
        <v>398.76740147076902</v>
      </c>
      <c r="AC134" s="33">
        <v>400.200215314388</v>
      </c>
      <c r="AD134" s="33">
        <v>400.69106069957201</v>
      </c>
      <c r="AE134" s="15">
        <v>2.3257721430561401E-2</v>
      </c>
      <c r="AF134" s="15">
        <v>2.6844388398071399E-2</v>
      </c>
      <c r="AG134" s="15">
        <v>2.8070136414914099E-2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0.29545929296167572</v>
      </c>
      <c r="AT134" s="12"/>
      <c r="AU134">
        <f t="shared" si="30"/>
        <v>0</v>
      </c>
      <c r="AV134">
        <f t="shared" si="31"/>
        <v>0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0.35656875214647199</v>
      </c>
      <c r="BE134" s="29">
        <f t="shared" si="42"/>
        <v>0</v>
      </c>
      <c r="BF134" s="29">
        <f t="shared" si="43"/>
        <v>0.65202804510814771</v>
      </c>
      <c r="BH134" s="29"/>
    </row>
    <row r="135" spans="1:60" x14ac:dyDescent="0.25">
      <c r="A135" s="1">
        <v>46219</v>
      </c>
      <c r="B135" s="33">
        <v>382.48</v>
      </c>
      <c r="C135" s="33">
        <v>395.72</v>
      </c>
      <c r="D135" s="15">
        <v>-3.5217529850183997E-2</v>
      </c>
      <c r="E135" s="15">
        <v>1.5586318686641801E-2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382.48</v>
      </c>
      <c r="M135" s="33">
        <v>395.72</v>
      </c>
      <c r="N135" s="34">
        <v>1.03461618908178</v>
      </c>
      <c r="O135" s="34">
        <v>1.00650546826212</v>
      </c>
      <c r="P135" s="34">
        <v>1.0104670772336799</v>
      </c>
      <c r="Q135" s="34">
        <v>1.0121251585622699</v>
      </c>
      <c r="R135" s="33">
        <v>384.96821150089499</v>
      </c>
      <c r="S135" s="33">
        <v>385.41564570509001</v>
      </c>
      <c r="T135" s="33">
        <v>386.43561599488203</v>
      </c>
      <c r="U135" s="15">
        <v>-2.75461271062643E-2</v>
      </c>
      <c r="V135" s="15">
        <v>-2.6384539281393199E-2</v>
      </c>
      <c r="W135" s="15">
        <v>-2.37416184646125E-2</v>
      </c>
      <c r="X135" s="34">
        <v>1.03461618908178</v>
      </c>
      <c r="Y135" s="34">
        <v>1.00650546826212</v>
      </c>
      <c r="Z135" s="34">
        <v>1.0104670772336799</v>
      </c>
      <c r="AA135" s="34">
        <v>1.0121251585622699</v>
      </c>
      <c r="AB135" s="33">
        <v>384.96821150089499</v>
      </c>
      <c r="AC135" s="33">
        <v>385.41564570509001</v>
      </c>
      <c r="AD135" s="33">
        <v>386.43561599488203</v>
      </c>
      <c r="AE135" s="15">
        <v>-2.75461271062643E-2</v>
      </c>
      <c r="AF135" s="15">
        <v>-2.6384539281393199E-2</v>
      </c>
      <c r="AG135" s="15">
        <v>-2.37416184646125E-2</v>
      </c>
      <c r="AI135" s="12"/>
      <c r="AJ135">
        <f t="shared" si="26"/>
        <v>0</v>
      </c>
      <c r="AK135">
        <f t="shared" si="27"/>
        <v>0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0.29545929296167572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0.35656875214647199</v>
      </c>
      <c r="BE135" s="29">
        <f t="shared" si="42"/>
        <v>0</v>
      </c>
      <c r="BF135" s="29">
        <f t="shared" si="43"/>
        <v>0.65202804510814771</v>
      </c>
      <c r="BH135" s="29"/>
    </row>
    <row r="136" spans="1:60" x14ac:dyDescent="0.25">
      <c r="A136" s="1">
        <v>46220</v>
      </c>
      <c r="B136" s="33">
        <v>393.31</v>
      </c>
      <c r="C136" s="33">
        <v>395.72</v>
      </c>
      <c r="D136" s="15">
        <v>2.7921740680232902E-2</v>
      </c>
      <c r="E136" s="15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393.31</v>
      </c>
      <c r="M136" s="33">
        <v>395.72</v>
      </c>
      <c r="N136" s="34">
        <v>1.00612748213877</v>
      </c>
      <c r="O136" s="34">
        <v>1.00650546826212</v>
      </c>
      <c r="P136" s="34">
        <v>1.00954659752364</v>
      </c>
      <c r="Q136" s="34">
        <v>1.0125895412746</v>
      </c>
      <c r="R136" s="33">
        <v>395.868665722174</v>
      </c>
      <c r="S136" s="33">
        <v>397.42680614678</v>
      </c>
      <c r="T136" s="33">
        <v>398.07894611412598</v>
      </c>
      <c r="U136" s="15">
        <v>3.7561357396884197E-4</v>
      </c>
      <c r="V136" s="15">
        <v>4.3038912045476E-3</v>
      </c>
      <c r="W136" s="15">
        <v>5.94345222992251E-3</v>
      </c>
      <c r="X136" s="34">
        <v>1.00612748213877</v>
      </c>
      <c r="Y136" s="34">
        <v>1.00650546826212</v>
      </c>
      <c r="Z136" s="34">
        <v>1.00954659752364</v>
      </c>
      <c r="AA136" s="34">
        <v>1.0125895412746</v>
      </c>
      <c r="AB136" s="33">
        <v>395.868665722174</v>
      </c>
      <c r="AC136" s="33">
        <v>397.42680614678</v>
      </c>
      <c r="AD136" s="33">
        <v>398.07894611412598</v>
      </c>
      <c r="AE136" s="15">
        <v>3.7561357396884197E-4</v>
      </c>
      <c r="AF136" s="15">
        <v>4.3038912045476E-3</v>
      </c>
      <c r="AG136" s="15">
        <v>5.94345222992251E-3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0.29545929296167572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0.35656875214647199</v>
      </c>
      <c r="BE136" s="29">
        <f t="shared" si="42"/>
        <v>0</v>
      </c>
      <c r="BF136" s="29">
        <f t="shared" si="43"/>
        <v>0.65202804510814771</v>
      </c>
      <c r="BH136" s="29"/>
    </row>
    <row r="137" spans="1:60" x14ac:dyDescent="0.25">
      <c r="A137" s="1">
        <v>46223</v>
      </c>
      <c r="B137" s="33">
        <v>395.96</v>
      </c>
      <c r="C137" s="33">
        <v>395.72</v>
      </c>
      <c r="D137" s="15">
        <v>6.7150910535255298E-3</v>
      </c>
      <c r="E137" s="15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395.96</v>
      </c>
      <c r="M137" s="33">
        <v>395.72</v>
      </c>
      <c r="N137" s="34">
        <v>0.99939387816951197</v>
      </c>
      <c r="O137" s="34">
        <v>1.00650546826212</v>
      </c>
      <c r="P137" s="34">
        <v>1.00856010304309</v>
      </c>
      <c r="Q137" s="34">
        <v>1.0099452794211301</v>
      </c>
      <c r="R137" s="33">
        <v>398.53590521306899</v>
      </c>
      <c r="S137" s="33">
        <v>399.74007075546302</v>
      </c>
      <c r="T137" s="33">
        <v>400.94495476308998</v>
      </c>
      <c r="U137" s="15">
        <v>7.0907046274943002E-3</v>
      </c>
      <c r="V137" s="15">
        <v>1.01076223150689E-2</v>
      </c>
      <c r="W137" s="15">
        <v>1.311725751169E-2</v>
      </c>
      <c r="X137" s="34">
        <v>0.99939387816951197</v>
      </c>
      <c r="Y137" s="34">
        <v>1.00650546826212</v>
      </c>
      <c r="Z137" s="34">
        <v>1.00856010304309</v>
      </c>
      <c r="AA137" s="34">
        <v>1.0099452794211301</v>
      </c>
      <c r="AB137" s="33">
        <v>398.53590521306899</v>
      </c>
      <c r="AC137" s="33">
        <v>399.74007075546302</v>
      </c>
      <c r="AD137" s="33">
        <v>400.94495476308998</v>
      </c>
      <c r="AE137" s="15">
        <v>7.0907046274943002E-3</v>
      </c>
      <c r="AF137" s="15">
        <v>1.01076223150689E-2</v>
      </c>
      <c r="AG137" s="15">
        <v>1.311725751169E-2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0.29545929296167572</v>
      </c>
      <c r="AT137" s="12"/>
      <c r="AU137">
        <f t="shared" si="30"/>
        <v>0</v>
      </c>
      <c r="AV137">
        <f t="shared" si="31"/>
        <v>0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0.35656875214647199</v>
      </c>
      <c r="BE137" s="29">
        <f t="shared" si="42"/>
        <v>0</v>
      </c>
      <c r="BF137" s="29">
        <f t="shared" si="43"/>
        <v>0.65202804510814771</v>
      </c>
      <c r="BH137" s="29"/>
    </row>
    <row r="138" spans="1:60" x14ac:dyDescent="0.25">
      <c r="A138" s="1">
        <v>46224</v>
      </c>
      <c r="B138" s="33">
        <v>405.38</v>
      </c>
      <c r="C138" s="33">
        <v>395.72</v>
      </c>
      <c r="D138" s="15">
        <v>2.3511702758211898E-2</v>
      </c>
      <c r="E138" s="15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405.38</v>
      </c>
      <c r="M138" s="33">
        <v>395.72</v>
      </c>
      <c r="N138" s="34">
        <v>0.97617050668508498</v>
      </c>
      <c r="O138" s="34">
        <v>1.00650546826212</v>
      </c>
      <c r="P138" s="34">
        <v>1.0022015220521701</v>
      </c>
      <c r="Q138" s="34">
        <v>1.00717929446527</v>
      </c>
      <c r="R138" s="33">
        <v>408.017186724098</v>
      </c>
      <c r="S138" s="33">
        <v>408.850094571608</v>
      </c>
      <c r="T138" s="33">
        <v>409.41161737173701</v>
      </c>
      <c r="U138" s="15">
        <v>3.0602407385706E-2</v>
      </c>
      <c r="V138" s="15">
        <v>3.2641681464196701E-2</v>
      </c>
      <c r="W138" s="15">
        <v>3.4014158949280698E-2</v>
      </c>
      <c r="X138" s="34">
        <v>0.97617050668508498</v>
      </c>
      <c r="Y138" s="34">
        <v>1.00650546826212</v>
      </c>
      <c r="Z138" s="34">
        <v>1.0022015220521701</v>
      </c>
      <c r="AA138" s="34">
        <v>1.00717929446527</v>
      </c>
      <c r="AB138" s="33">
        <v>408.017186724098</v>
      </c>
      <c r="AC138" s="33">
        <v>408.850094571608</v>
      </c>
      <c r="AD138" s="33">
        <v>409.41161737173701</v>
      </c>
      <c r="AE138" s="15">
        <v>3.0602407385706E-2</v>
      </c>
      <c r="AF138" s="15">
        <v>3.2641681464196701E-2</v>
      </c>
      <c r="AG138" s="15">
        <v>3.4014158949280698E-2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0.29545929296167572</v>
      </c>
      <c r="AT138" s="12"/>
      <c r="AU138">
        <f t="shared" si="30"/>
        <v>0</v>
      </c>
      <c r="AV138">
        <f t="shared" si="31"/>
        <v>0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0.35656875214647199</v>
      </c>
      <c r="BE138" s="29">
        <f t="shared" si="42"/>
        <v>0</v>
      </c>
      <c r="BF138" s="29">
        <f t="shared" si="43"/>
        <v>0.65202804510814771</v>
      </c>
      <c r="BH138" s="29"/>
    </row>
    <row r="139" spans="1:60" x14ac:dyDescent="0.25">
      <c r="A139" s="1">
        <v>46225</v>
      </c>
      <c r="B139" s="33">
        <v>402.91</v>
      </c>
      <c r="C139" s="33">
        <v>403.32</v>
      </c>
      <c r="D139" s="15">
        <v>-6.1116868659250702E-3</v>
      </c>
      <c r="E139" s="15">
        <v>1.9023401069992701E-2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402.91</v>
      </c>
      <c r="M139" s="33">
        <v>403.32</v>
      </c>
      <c r="N139" s="34">
        <v>1.0010175969819499</v>
      </c>
      <c r="O139" s="34">
        <v>1.00650546826212</v>
      </c>
      <c r="P139" s="34">
        <v>1.0023624067010899</v>
      </c>
      <c r="Q139" s="34">
        <v>1.0055197526755499</v>
      </c>
      <c r="R139" s="33">
        <v>405.53111821749098</v>
      </c>
      <c r="S139" s="33">
        <v>403.797015250041</v>
      </c>
      <c r="T139" s="33">
        <v>405.80260953300501</v>
      </c>
      <c r="U139" s="15">
        <v>5.4673194497884096E-3</v>
      </c>
      <c r="V139" s="15">
        <v>1.18202267222256E-3</v>
      </c>
      <c r="W139" s="15">
        <v>6.1365664349964403E-3</v>
      </c>
      <c r="X139" s="34">
        <v>1.0010175969819499</v>
      </c>
      <c r="Y139" s="34">
        <v>1.00650546826212</v>
      </c>
      <c r="Z139" s="34">
        <v>1.0023624067010899</v>
      </c>
      <c r="AA139" s="34">
        <v>1.0055197526755499</v>
      </c>
      <c r="AB139" s="33">
        <v>405.53111821749098</v>
      </c>
      <c r="AC139" s="33">
        <v>403.797015250041</v>
      </c>
      <c r="AD139" s="33">
        <v>405.80260953300501</v>
      </c>
      <c r="AE139" s="15">
        <v>5.4673194497884096E-3</v>
      </c>
      <c r="AF139" s="15">
        <v>1.18202267222256E-3</v>
      </c>
      <c r="AG139" s="15">
        <v>6.1365664349964403E-3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0.29545929296167572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0.35656875214647199</v>
      </c>
      <c r="BE139" s="29">
        <f t="shared" si="42"/>
        <v>0</v>
      </c>
      <c r="BF139" s="29">
        <f t="shared" si="43"/>
        <v>0.65202804510814771</v>
      </c>
      <c r="BH139" s="29"/>
    </row>
    <row r="140" spans="1:60" x14ac:dyDescent="0.25">
      <c r="A140" s="1">
        <v>46226</v>
      </c>
      <c r="B140" s="33">
        <v>409.65</v>
      </c>
      <c r="C140" s="33">
        <v>403.32</v>
      </c>
      <c r="D140" s="15">
        <v>1.65899246439302E-2</v>
      </c>
      <c r="E140" s="15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409.65</v>
      </c>
      <c r="M140" s="33">
        <v>403.32</v>
      </c>
      <c r="N140" s="34">
        <v>0.98454778469425097</v>
      </c>
      <c r="O140" s="34">
        <v>1.00650546826212</v>
      </c>
      <c r="P140" s="34">
        <v>1.00149779037054</v>
      </c>
      <c r="Q140" s="34">
        <v>1.00444212832666</v>
      </c>
      <c r="R140" s="33">
        <v>412.31496507357701</v>
      </c>
      <c r="S140" s="33">
        <v>410.617759905105</v>
      </c>
      <c r="T140" s="33">
        <v>411.91116668353999</v>
      </c>
      <c r="U140" s="15">
        <v>2.20572440937187E-2</v>
      </c>
      <c r="V140" s="15">
        <v>1.7932465668261802E-2</v>
      </c>
      <c r="W140" s="15">
        <v>2.1077419730513299E-2</v>
      </c>
      <c r="X140" s="34">
        <v>0.98454778469425097</v>
      </c>
      <c r="Y140" s="34">
        <v>1.00650546826212</v>
      </c>
      <c r="Z140" s="34">
        <v>1.00149779037054</v>
      </c>
      <c r="AA140" s="34">
        <v>1.00444212832666</v>
      </c>
      <c r="AB140" s="33">
        <v>412.31496507357701</v>
      </c>
      <c r="AC140" s="33">
        <v>410.617759905105</v>
      </c>
      <c r="AD140" s="33">
        <v>411.91116668353999</v>
      </c>
      <c r="AE140" s="15">
        <v>2.20572440937187E-2</v>
      </c>
      <c r="AF140" s="15">
        <v>1.7932465668261802E-2</v>
      </c>
      <c r="AG140" s="15">
        <v>2.1077419730513299E-2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0.29545929296167572</v>
      </c>
      <c r="AT140" s="12"/>
      <c r="AU140">
        <f t="shared" si="30"/>
        <v>0</v>
      </c>
      <c r="AV140">
        <f t="shared" si="31"/>
        <v>0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0.35656875214647199</v>
      </c>
      <c r="BE140" s="29">
        <f t="shared" si="42"/>
        <v>0</v>
      </c>
      <c r="BF140" s="29">
        <f t="shared" si="43"/>
        <v>0.65202804510814771</v>
      </c>
      <c r="BH140" s="29"/>
    </row>
    <row r="141" spans="1:60" x14ac:dyDescent="0.25">
      <c r="A141" s="1">
        <v>46227</v>
      </c>
      <c r="B141" s="33">
        <v>410.13</v>
      </c>
      <c r="C141" s="33">
        <v>403.32</v>
      </c>
      <c r="D141" s="15">
        <v>1.17104602418685E-3</v>
      </c>
      <c r="E141" s="15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410.13</v>
      </c>
      <c r="M141" s="33">
        <v>403.32</v>
      </c>
      <c r="N141" s="34">
        <v>0.98339550874113002</v>
      </c>
      <c r="O141" s="34">
        <v>1.00650546826212</v>
      </c>
      <c r="P141" s="34">
        <v>0.99884252411906405</v>
      </c>
      <c r="Q141" s="34">
        <v>1.0031626653069801</v>
      </c>
      <c r="R141" s="33">
        <v>412.79808769834301</v>
      </c>
      <c r="S141" s="33">
        <v>410.74428876466999</v>
      </c>
      <c r="T141" s="33">
        <v>411.95185009061498</v>
      </c>
      <c r="U141" s="15">
        <v>2.3228290117905601E-2</v>
      </c>
      <c r="V141" s="15">
        <v>1.8240560888321E-2</v>
      </c>
      <c r="W141" s="15">
        <v>2.1176182282732402E-2</v>
      </c>
      <c r="X141" s="34">
        <v>0.98339550874113002</v>
      </c>
      <c r="Y141" s="34">
        <v>1.00650546826212</v>
      </c>
      <c r="Z141" s="34">
        <v>0.99884252411906405</v>
      </c>
      <c r="AA141" s="34">
        <v>1.0031626653069801</v>
      </c>
      <c r="AB141" s="33">
        <v>412.79808769834301</v>
      </c>
      <c r="AC141" s="33">
        <v>410.74428876466999</v>
      </c>
      <c r="AD141" s="33">
        <v>411.95185009061498</v>
      </c>
      <c r="AE141" s="15">
        <v>2.3228290117905601E-2</v>
      </c>
      <c r="AF141" s="15">
        <v>1.8240560888321E-2</v>
      </c>
      <c r="AG141" s="15">
        <v>2.1176182282732402E-2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0.29545929296167572</v>
      </c>
      <c r="AT141" s="12"/>
      <c r="AU141">
        <f t="shared" si="30"/>
        <v>0</v>
      </c>
      <c r="AV141">
        <f t="shared" si="31"/>
        <v>0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0.35656875214647199</v>
      </c>
      <c r="BE141" s="29">
        <f t="shared" si="42"/>
        <v>0</v>
      </c>
      <c r="BF141" s="29">
        <f t="shared" si="43"/>
        <v>0.65202804510814771</v>
      </c>
      <c r="BH141" s="29"/>
    </row>
    <row r="142" spans="1:60" x14ac:dyDescent="0.25">
      <c r="A142" s="1">
        <v>46230</v>
      </c>
      <c r="B142" s="33">
        <v>417.42</v>
      </c>
      <c r="C142" s="33">
        <v>428.13</v>
      </c>
      <c r="D142" s="15">
        <v>1.76187265515944E-2</v>
      </c>
      <c r="E142" s="15">
        <v>5.96965962553948E-2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417.42</v>
      </c>
      <c r="M142" s="33">
        <v>428.13</v>
      </c>
      <c r="N142" s="34">
        <v>1.0256576110392399</v>
      </c>
      <c r="O142" s="34">
        <v>1.00650546826212</v>
      </c>
      <c r="P142" s="34">
        <v>0.99894399950870205</v>
      </c>
      <c r="Q142" s="34">
        <v>1.0045819009464001</v>
      </c>
      <c r="R142" s="33">
        <v>420.135512561974</v>
      </c>
      <c r="S142" s="33">
        <v>416.93684641777901</v>
      </c>
      <c r="T142" s="33">
        <v>418.74015975244203</v>
      </c>
      <c r="U142" s="15">
        <v>-1.88495795858949E-2</v>
      </c>
      <c r="V142" s="15">
        <v>-2.6492124890306501E-2</v>
      </c>
      <c r="W142" s="15">
        <v>-2.2176304015885599E-2</v>
      </c>
      <c r="X142" s="34">
        <v>1.0256576110392399</v>
      </c>
      <c r="Y142" s="34">
        <v>1.00650546826212</v>
      </c>
      <c r="Z142" s="34">
        <v>0.99894399950870205</v>
      </c>
      <c r="AA142" s="34">
        <v>1.0045819009464001</v>
      </c>
      <c r="AB142" s="33">
        <v>420.135512561974</v>
      </c>
      <c r="AC142" s="33">
        <v>416.93684641777901</v>
      </c>
      <c r="AD142" s="33">
        <v>418.74015975244203</v>
      </c>
      <c r="AE142" s="15">
        <v>-1.88495795858949E-2</v>
      </c>
      <c r="AF142" s="15">
        <v>-2.6492124890306501E-2</v>
      </c>
      <c r="AG142" s="15">
        <v>-2.2176304015885599E-2</v>
      </c>
      <c r="AI142" s="12"/>
      <c r="AJ142">
        <f t="shared" si="26"/>
        <v>0</v>
      </c>
      <c r="AK142">
        <f t="shared" si="27"/>
        <v>0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0.29545929296167572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0.35656875214647199</v>
      </c>
      <c r="BE142" s="29">
        <f t="shared" si="42"/>
        <v>0</v>
      </c>
      <c r="BF142" s="29">
        <f t="shared" si="43"/>
        <v>0.65202804510814771</v>
      </c>
      <c r="BH142" s="29"/>
    </row>
    <row r="143" spans="1:60" x14ac:dyDescent="0.25">
      <c r="A143" s="1">
        <v>46231</v>
      </c>
      <c r="B143" s="33">
        <v>414.56</v>
      </c>
      <c r="C143" s="33">
        <v>428.13</v>
      </c>
      <c r="D143" s="15">
        <v>-6.8751923498051497E-3</v>
      </c>
      <c r="E143" s="15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414.56</v>
      </c>
      <c r="M143" s="33">
        <v>428.13</v>
      </c>
      <c r="N143" s="34">
        <v>1.03273350057892</v>
      </c>
      <c r="O143" s="34">
        <v>1.00650546826212</v>
      </c>
      <c r="P143" s="34">
        <v>1.0027026624657001</v>
      </c>
      <c r="Q143" s="34">
        <v>1.00641230616203</v>
      </c>
      <c r="R143" s="33">
        <v>417.25690692274401</v>
      </c>
      <c r="S143" s="33">
        <v>414.12222443632697</v>
      </c>
      <c r="T143" s="33">
        <v>416.45947285634099</v>
      </c>
      <c r="U143" s="15">
        <v>-2.57247719356999E-2</v>
      </c>
      <c r="V143" s="15">
        <v>-3.3265729419265602E-2</v>
      </c>
      <c r="W143" s="15">
        <v>-2.7637734974266401E-2</v>
      </c>
      <c r="X143" s="34">
        <v>1.03273350057892</v>
      </c>
      <c r="Y143" s="34">
        <v>1.00650546826212</v>
      </c>
      <c r="Z143" s="34">
        <v>1.0027026624657001</v>
      </c>
      <c r="AA143" s="34">
        <v>1.00641230616203</v>
      </c>
      <c r="AB143" s="33">
        <v>417.25690692274401</v>
      </c>
      <c r="AC143" s="33">
        <v>414.12222443632697</v>
      </c>
      <c r="AD143" s="33">
        <v>416.45947285634099</v>
      </c>
      <c r="AE143" s="15">
        <v>-2.57247719356999E-2</v>
      </c>
      <c r="AF143" s="15">
        <v>-3.3265729419265602E-2</v>
      </c>
      <c r="AG143" s="15">
        <v>-2.7637734974266401E-2</v>
      </c>
      <c r="AI143" s="12"/>
      <c r="AJ143">
        <f t="shared" si="26"/>
        <v>0</v>
      </c>
      <c r="AK143">
        <f t="shared" si="27"/>
        <v>0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0.29545929296167572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0.35656875214647199</v>
      </c>
      <c r="BE143" s="29">
        <f t="shared" si="42"/>
        <v>0</v>
      </c>
      <c r="BF143" s="29">
        <f t="shared" si="43"/>
        <v>0.65202804510814771</v>
      </c>
      <c r="BH143" s="29"/>
    </row>
    <row r="144" spans="1:60" x14ac:dyDescent="0.25">
      <c r="A144" s="1">
        <v>46232</v>
      </c>
      <c r="B144" s="33">
        <v>389.87</v>
      </c>
      <c r="C144" s="33">
        <v>399.48</v>
      </c>
      <c r="D144" s="15">
        <v>-6.1404366591345398E-2</v>
      </c>
      <c r="E144" s="15">
        <v>-6.9263186405475505E-2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389.87</v>
      </c>
      <c r="M144" s="33">
        <v>399.48</v>
      </c>
      <c r="N144" s="34">
        <v>1.0246492420550399</v>
      </c>
      <c r="O144" s="34">
        <v>1.00650546826212</v>
      </c>
      <c r="P144" s="34">
        <v>1.0068309300165601</v>
      </c>
      <c r="Q144" s="34">
        <v>1.00725311103564</v>
      </c>
      <c r="R144" s="33">
        <v>392.40628691135299</v>
      </c>
      <c r="S144" s="33">
        <v>390.92368701550203</v>
      </c>
      <c r="T144" s="33">
        <v>392.36996580339297</v>
      </c>
      <c r="U144" s="15">
        <v>-1.78659521215698E-2</v>
      </c>
      <c r="V144" s="15">
        <v>-2.1651334311861201E-2</v>
      </c>
      <c r="W144" s="15">
        <v>-1.7958516359746001E-2</v>
      </c>
      <c r="X144" s="34">
        <v>1.0246492420550399</v>
      </c>
      <c r="Y144" s="34">
        <v>1.00650546826212</v>
      </c>
      <c r="Z144" s="34">
        <v>1.0068309300165601</v>
      </c>
      <c r="AA144" s="34">
        <v>1.00725311103564</v>
      </c>
      <c r="AB144" s="33">
        <v>392.40628691135299</v>
      </c>
      <c r="AC144" s="33">
        <v>390.92368701550203</v>
      </c>
      <c r="AD144" s="33">
        <v>392.36996580339297</v>
      </c>
      <c r="AE144" s="15">
        <v>-1.78659521215698E-2</v>
      </c>
      <c r="AF144" s="15">
        <v>-2.1651334311861201E-2</v>
      </c>
      <c r="AG144" s="15">
        <v>-1.7958516359746001E-2</v>
      </c>
      <c r="AI144" s="12"/>
      <c r="AJ144">
        <f t="shared" si="26"/>
        <v>0</v>
      </c>
      <c r="AK144">
        <f t="shared" si="27"/>
        <v>0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0.29545929296167572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0.35656875214647199</v>
      </c>
      <c r="BE144" s="29">
        <f t="shared" si="42"/>
        <v>0</v>
      </c>
      <c r="BF144" s="29">
        <f t="shared" si="43"/>
        <v>0.65202804510814771</v>
      </c>
      <c r="BH144" s="29"/>
    </row>
    <row r="145" spans="1:60" x14ac:dyDescent="0.25">
      <c r="A145" s="1">
        <v>46233</v>
      </c>
      <c r="B145" s="33">
        <v>419.25</v>
      </c>
      <c r="C145" s="33">
        <v>399.48</v>
      </c>
      <c r="D145" s="15">
        <v>7.2654050480863694E-2</v>
      </c>
      <c r="E145" s="15">
        <v>0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419.25</v>
      </c>
      <c r="M145" s="33">
        <v>399.48</v>
      </c>
      <c r="N145" s="34">
        <v>0.952844364937388</v>
      </c>
      <c r="O145" s="34">
        <v>1.00650546826212</v>
      </c>
      <c r="P145" s="34">
        <v>0.99865374760212999</v>
      </c>
      <c r="Q145" s="34">
        <v>1.0045604124179</v>
      </c>
      <c r="R145" s="33">
        <v>421.977417568894</v>
      </c>
      <c r="S145" s="33">
        <v>422.11386740944602</v>
      </c>
      <c r="T145" s="33">
        <v>422.29086680169399</v>
      </c>
      <c r="U145" s="15">
        <v>5.4788098359293803E-2</v>
      </c>
      <c r="V145" s="15">
        <v>5.5111404248525703E-2</v>
      </c>
      <c r="W145" s="15">
        <v>5.5530633055918301E-2</v>
      </c>
      <c r="X145" s="34">
        <v>0.952844364937388</v>
      </c>
      <c r="Y145" s="34">
        <v>1.00650546826212</v>
      </c>
      <c r="Z145" s="34">
        <v>0.99865374760212999</v>
      </c>
      <c r="AA145" s="34">
        <v>1.0045604124179</v>
      </c>
      <c r="AB145" s="33">
        <v>421.977417568894</v>
      </c>
      <c r="AC145" s="33">
        <v>422.11386740944602</v>
      </c>
      <c r="AD145" s="33">
        <v>422.29086680169399</v>
      </c>
      <c r="AE145" s="15">
        <v>5.4788098359293803E-2</v>
      </c>
      <c r="AF145" s="15">
        <v>5.5111404248525703E-2</v>
      </c>
      <c r="AG145" s="15">
        <v>5.5530633055918301E-2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0.29545929296167572</v>
      </c>
      <c r="AT145" s="12"/>
      <c r="AU145">
        <f t="shared" si="30"/>
        <v>1</v>
      </c>
      <c r="AV145">
        <f t="shared" si="31"/>
        <v>0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0.35656875214647199</v>
      </c>
      <c r="BE145" s="29">
        <f t="shared" si="42"/>
        <v>0</v>
      </c>
      <c r="BF145" s="29">
        <f t="shared" si="43"/>
        <v>0.65202804510814771</v>
      </c>
      <c r="BH145" s="29"/>
    </row>
    <row r="146" spans="1:60" x14ac:dyDescent="0.25">
      <c r="A146" s="1">
        <v>46234</v>
      </c>
      <c r="B146" s="33">
        <v>389.85</v>
      </c>
      <c r="C146" s="33">
        <v>399.48</v>
      </c>
      <c r="D146" s="15">
        <v>-7.2705350947709094E-2</v>
      </c>
      <c r="E146" s="15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389.85</v>
      </c>
      <c r="M146" s="33">
        <v>399.48</v>
      </c>
      <c r="N146" s="34">
        <v>1.0247018083878401</v>
      </c>
      <c r="O146" s="34">
        <v>1.00650546826212</v>
      </c>
      <c r="P146" s="34">
        <v>1.0005111802270299</v>
      </c>
      <c r="Q146" s="34">
        <v>1.00502888887534</v>
      </c>
      <c r="R146" s="33">
        <v>392.386156801987</v>
      </c>
      <c r="S146" s="33">
        <v>389.32516350268997</v>
      </c>
      <c r="T146" s="33">
        <v>391.62787678112102</v>
      </c>
      <c r="U146" s="15">
        <v>-1.7917252588415301E-2</v>
      </c>
      <c r="V146" s="15">
        <v>-2.5748811029089401E-2</v>
      </c>
      <c r="W146" s="15">
        <v>-1.9851606375019398E-2</v>
      </c>
      <c r="X146" s="34">
        <v>1.0247018083878401</v>
      </c>
      <c r="Y146" s="34">
        <v>1.00650546826212</v>
      </c>
      <c r="Z146" s="34">
        <v>1.0005111802270299</v>
      </c>
      <c r="AA146" s="34">
        <v>1.00502888887534</v>
      </c>
      <c r="AB146" s="33">
        <v>392.386156801987</v>
      </c>
      <c r="AC146" s="33">
        <v>389.32516350268997</v>
      </c>
      <c r="AD146" s="33">
        <v>391.62787678112102</v>
      </c>
      <c r="AE146" s="15">
        <v>-1.7917252588415301E-2</v>
      </c>
      <c r="AF146" s="15">
        <v>-2.5748811029089401E-2</v>
      </c>
      <c r="AG146" s="15">
        <v>-1.9851606375019398E-2</v>
      </c>
      <c r="AI146" s="12"/>
      <c r="AJ146">
        <f t="shared" si="26"/>
        <v>0</v>
      </c>
      <c r="AK146">
        <f t="shared" si="27"/>
        <v>0</v>
      </c>
      <c r="AL146">
        <f t="shared" si="34"/>
        <v>0</v>
      </c>
      <c r="AM146">
        <f t="shared" si="24"/>
        <v>1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0.29545929296167572</v>
      </c>
      <c r="AT146" s="12"/>
      <c r="AU146">
        <f t="shared" si="30"/>
        <v>0</v>
      </c>
      <c r="AV146">
        <f t="shared" si="31"/>
        <v>1</v>
      </c>
      <c r="AW146">
        <f t="shared" si="38"/>
        <v>1</v>
      </c>
      <c r="AX146">
        <f t="shared" si="25"/>
        <v>1</v>
      </c>
      <c r="AY146">
        <f t="shared" si="39"/>
        <v>1</v>
      </c>
      <c r="AZ146" s="28">
        <f t="shared" si="32"/>
        <v>7.2705350947709094E-2</v>
      </c>
      <c r="BA146" s="28">
        <f t="shared" si="33"/>
        <v>0</v>
      </c>
      <c r="BB146" s="28">
        <f t="shared" si="40"/>
        <v>7.2705350947709094E-2</v>
      </c>
      <c r="BC146" s="29">
        <f t="shared" si="41"/>
        <v>0.42927410309418107</v>
      </c>
      <c r="BE146" s="29">
        <f t="shared" si="42"/>
        <v>7.2705350947709094E-2</v>
      </c>
      <c r="BF146" s="29">
        <f t="shared" si="43"/>
        <v>0.72473339605585685</v>
      </c>
      <c r="BH146" s="29"/>
    </row>
    <row r="147" spans="1:60" x14ac:dyDescent="0.25">
      <c r="A147" s="1">
        <v>46237</v>
      </c>
      <c r="B147" s="33">
        <v>395.88</v>
      </c>
      <c r="C147" s="33">
        <v>396.96</v>
      </c>
      <c r="D147" s="15">
        <v>1.53490852728812E-2</v>
      </c>
      <c r="E147" s="15">
        <v>-6.3281814314431299E-3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395.88</v>
      </c>
      <c r="M147" s="33">
        <v>396.96</v>
      </c>
      <c r="N147" s="34">
        <v>1.0027280994240599</v>
      </c>
      <c r="O147" s="34">
        <v>1.00650546826212</v>
      </c>
      <c r="P147" s="34">
        <v>1.00084460235249</v>
      </c>
      <c r="Q147" s="34">
        <v>1.0047023526977901</v>
      </c>
      <c r="R147" s="33">
        <v>398.45538477560802</v>
      </c>
      <c r="S147" s="33">
        <v>396.08236602827901</v>
      </c>
      <c r="T147" s="33">
        <v>397.87083652797003</v>
      </c>
      <c r="U147" s="15">
        <v>3.7600141159091199E-3</v>
      </c>
      <c r="V147" s="15">
        <v>-2.21333529606742E-3</v>
      </c>
      <c r="W147" s="15">
        <v>2.2919013324993499E-3</v>
      </c>
      <c r="X147" s="34">
        <v>1.0027280994240599</v>
      </c>
      <c r="Y147" s="34">
        <v>1.00650546826212</v>
      </c>
      <c r="Z147" s="34">
        <v>1.00084460235249</v>
      </c>
      <c r="AA147" s="34">
        <v>1.0047023526977901</v>
      </c>
      <c r="AB147" s="33">
        <v>398.45538477560802</v>
      </c>
      <c r="AC147" s="33">
        <v>396.08236602827901</v>
      </c>
      <c r="AD147" s="33">
        <v>397.87083652797003</v>
      </c>
      <c r="AE147" s="15">
        <v>3.7600141159091199E-3</v>
      </c>
      <c r="AF147" s="15">
        <v>-2.21333529606742E-3</v>
      </c>
      <c r="AG147" s="15">
        <v>2.2919013324993499E-3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0.29545929296167572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0.42927410309418107</v>
      </c>
      <c r="BE147" s="29">
        <f t="shared" si="42"/>
        <v>0</v>
      </c>
      <c r="BF147" s="29">
        <f t="shared" si="43"/>
        <v>0.72473339605585685</v>
      </c>
      <c r="BH147" s="29"/>
    </row>
    <row r="148" spans="1:60" x14ac:dyDescent="0.25">
      <c r="A148" s="1">
        <v>46238</v>
      </c>
      <c r="B148" s="33">
        <v>408.79</v>
      </c>
      <c r="C148" s="33">
        <v>392.94</v>
      </c>
      <c r="D148" s="15">
        <v>3.2090441722278401E-2</v>
      </c>
      <c r="E148" s="15">
        <v>-1.01785914854736E-2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408.79</v>
      </c>
      <c r="M148" s="33">
        <v>392.94</v>
      </c>
      <c r="N148" s="34">
        <v>0.96122703588639602</v>
      </c>
      <c r="O148" s="34">
        <v>1.00650546826212</v>
      </c>
      <c r="P148" s="34">
        <v>0.999350255272624</v>
      </c>
      <c r="Q148" s="34">
        <v>1.0007758886623901</v>
      </c>
      <c r="R148" s="33">
        <v>411.44937037087197</v>
      </c>
      <c r="S148" s="33">
        <v>409.13526499567502</v>
      </c>
      <c r="T148" s="33">
        <v>410.71227475933</v>
      </c>
      <c r="U148" s="15">
        <v>4.6029047323660997E-2</v>
      </c>
      <c r="V148" s="15">
        <v>4.03888941693843E-2</v>
      </c>
      <c r="W148" s="15">
        <v>4.4235979467981898E-2</v>
      </c>
      <c r="X148" s="34">
        <v>0.96122703588639602</v>
      </c>
      <c r="Y148" s="34">
        <v>1.00650546826212</v>
      </c>
      <c r="Z148" s="34">
        <v>0.999350255272624</v>
      </c>
      <c r="AA148" s="34">
        <v>1.0007758886623901</v>
      </c>
      <c r="AB148" s="33">
        <v>411.44937037087197</v>
      </c>
      <c r="AC148" s="33">
        <v>409.13526499567502</v>
      </c>
      <c r="AD148" s="33">
        <v>410.71227475933</v>
      </c>
      <c r="AE148" s="15">
        <v>4.6029047323660997E-2</v>
      </c>
      <c r="AF148" s="15">
        <v>4.03888941693843E-2</v>
      </c>
      <c r="AG148" s="15">
        <v>4.4235979467981898E-2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0.29545929296167572</v>
      </c>
      <c r="AT148" s="12"/>
      <c r="AU148">
        <f t="shared" si="30"/>
        <v>1</v>
      </c>
      <c r="AV148">
        <f t="shared" si="31"/>
        <v>0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0.42927410309418107</v>
      </c>
      <c r="BE148" s="29">
        <f t="shared" si="42"/>
        <v>0</v>
      </c>
      <c r="BF148" s="29">
        <f t="shared" si="43"/>
        <v>0.72473339605585685</v>
      </c>
      <c r="BH148" s="29"/>
    </row>
    <row r="149" spans="1:60" x14ac:dyDescent="0.25">
      <c r="A149" s="1">
        <v>46239</v>
      </c>
      <c r="B149" s="33">
        <v>408.57</v>
      </c>
      <c r="C149" s="33">
        <v>392.94</v>
      </c>
      <c r="D149" s="15">
        <v>-5.3831850179304904E-4</v>
      </c>
      <c r="E149" s="15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408.57</v>
      </c>
      <c r="M149" s="33">
        <v>392.94</v>
      </c>
      <c r="N149" s="34">
        <v>0.96174462148468998</v>
      </c>
      <c r="O149" s="34">
        <v>1.00650546826212</v>
      </c>
      <c r="P149" s="34">
        <v>0.99542295772289702</v>
      </c>
      <c r="Q149" s="34">
        <v>0.99889268221199801</v>
      </c>
      <c r="R149" s="33">
        <v>411.227939167854</v>
      </c>
      <c r="S149" s="33">
        <v>408.304533796736</v>
      </c>
      <c r="T149" s="33">
        <v>408.887004830796</v>
      </c>
      <c r="U149" s="15">
        <v>4.5490728821867998E-2</v>
      </c>
      <c r="V149" s="15">
        <v>3.8356373887999097E-2</v>
      </c>
      <c r="W149" s="15">
        <v>3.9781917607354798E-2</v>
      </c>
      <c r="X149" s="34">
        <v>0.96174462148468998</v>
      </c>
      <c r="Y149" s="34">
        <v>1.00650546826212</v>
      </c>
      <c r="Z149" s="34">
        <v>0.99542295772289702</v>
      </c>
      <c r="AA149" s="34">
        <v>0.99889268221199801</v>
      </c>
      <c r="AB149" s="33">
        <v>411.227939167854</v>
      </c>
      <c r="AC149" s="33">
        <v>408.304533796736</v>
      </c>
      <c r="AD149" s="33">
        <v>408.887004830796</v>
      </c>
      <c r="AE149" s="15">
        <v>4.5490728821867998E-2</v>
      </c>
      <c r="AF149" s="15">
        <v>3.8356373887999097E-2</v>
      </c>
      <c r="AG149" s="15">
        <v>3.9781917607354798E-2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0.29545929296167572</v>
      </c>
      <c r="AT149" s="12"/>
      <c r="AU149">
        <f t="shared" si="30"/>
        <v>0</v>
      </c>
      <c r="AV149">
        <f t="shared" si="31"/>
        <v>0</v>
      </c>
      <c r="AW149">
        <f t="shared" si="38"/>
        <v>1</v>
      </c>
      <c r="AX149">
        <f t="shared" ref="AX149:AX176" si="45">IF(F150+H150&gt;0,0,1)</f>
        <v>1</v>
      </c>
      <c r="AY149">
        <f t="shared" si="39"/>
        <v>1</v>
      </c>
      <c r="AZ149" s="28">
        <f t="shared" si="32"/>
        <v>5.3831850179304904E-4</v>
      </c>
      <c r="BA149" s="28">
        <f t="shared" si="33"/>
        <v>0</v>
      </c>
      <c r="BB149" s="28">
        <f t="shared" si="40"/>
        <v>5.3831850179304904E-4</v>
      </c>
      <c r="BC149" s="29">
        <f t="shared" si="41"/>
        <v>0.4298124215959741</v>
      </c>
      <c r="BE149" s="29">
        <f t="shared" si="42"/>
        <v>5.3831850179304904E-4</v>
      </c>
      <c r="BF149" s="29">
        <f t="shared" si="43"/>
        <v>0.72527171455764994</v>
      </c>
      <c r="BH149" s="29"/>
    </row>
    <row r="150" spans="1:60" x14ac:dyDescent="0.25">
      <c r="A150" s="1">
        <v>46240</v>
      </c>
      <c r="B150" s="33">
        <v>411.13</v>
      </c>
      <c r="C150" s="33">
        <v>412.59</v>
      </c>
      <c r="D150" s="15">
        <v>6.2462079375841398E-3</v>
      </c>
      <c r="E150" s="15">
        <v>4.8797435336708703E-2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411.13</v>
      </c>
      <c r="M150" s="33">
        <v>412.59</v>
      </c>
      <c r="N150" s="34">
        <v>1.0035511881886501</v>
      </c>
      <c r="O150" s="34">
        <v>1.00650546826212</v>
      </c>
      <c r="P150" s="34">
        <v>0.99732329807233699</v>
      </c>
      <c r="Q150" s="34">
        <v>0.99941054422144004</v>
      </c>
      <c r="R150" s="33">
        <v>413.804593166605</v>
      </c>
      <c r="S150" s="33">
        <v>409.24824060861499</v>
      </c>
      <c r="T150" s="33">
        <v>410.67474843781798</v>
      </c>
      <c r="U150" s="15">
        <v>2.9395014227432399E-3</v>
      </c>
      <c r="V150" s="15">
        <v>-8.1324466153617804E-3</v>
      </c>
      <c r="W150" s="15">
        <v>-4.6528289254661502E-3</v>
      </c>
      <c r="X150" s="34">
        <v>1.0035511881886501</v>
      </c>
      <c r="Y150" s="34">
        <v>1.00650546826212</v>
      </c>
      <c r="Z150" s="34">
        <v>0.99732329807233699</v>
      </c>
      <c r="AA150" s="34">
        <v>0.99941054422144004</v>
      </c>
      <c r="AB150" s="33">
        <v>413.804593166605</v>
      </c>
      <c r="AC150" s="33">
        <v>409.24824060861499</v>
      </c>
      <c r="AD150" s="33">
        <v>410.67474843781798</v>
      </c>
      <c r="AE150" s="15">
        <v>2.9395014227432399E-3</v>
      </c>
      <c r="AF150" s="15">
        <v>-8.1324466153617804E-3</v>
      </c>
      <c r="AG150" s="15">
        <v>-4.6528289254661502E-3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0.29545929296167572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1</v>
      </c>
      <c r="AX150">
        <f t="shared" si="45"/>
        <v>1</v>
      </c>
      <c r="AY150">
        <f t="shared" si="39"/>
        <v>1</v>
      </c>
      <c r="AZ150" s="28">
        <f t="shared" ref="AZ150:AZ176" si="52">-AY150*D150</f>
        <v>-6.2462079375841398E-3</v>
      </c>
      <c r="BA150" s="28">
        <f t="shared" ref="BA150:BA176" si="53">AY150*$E150</f>
        <v>4.8797435336708703E-2</v>
      </c>
      <c r="BB150" s="28">
        <f t="shared" si="40"/>
        <v>4.2551227399124564E-2</v>
      </c>
      <c r="BC150" s="29">
        <f t="shared" si="41"/>
        <v>0.47236364899509864</v>
      </c>
      <c r="BE150" s="29">
        <f t="shared" si="42"/>
        <v>4.2551227399124564E-2</v>
      </c>
      <c r="BF150" s="29">
        <f t="shared" si="43"/>
        <v>0.76782294195677447</v>
      </c>
      <c r="BH150" s="29"/>
    </row>
    <row r="151" spans="1:60" x14ac:dyDescent="0.25">
      <c r="A151" s="1">
        <v>46241</v>
      </c>
      <c r="B151" s="33">
        <v>403.11</v>
      </c>
      <c r="C151" s="33">
        <v>411.85</v>
      </c>
      <c r="D151" s="15">
        <v>-1.9699988631131499E-2</v>
      </c>
      <c r="E151" s="15">
        <v>-1.7951584074681901E-3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403.11</v>
      </c>
      <c r="M151" s="33">
        <v>411.85</v>
      </c>
      <c r="N151" s="34">
        <v>1.0216814269058001</v>
      </c>
      <c r="O151" s="34">
        <v>1.00650546826212</v>
      </c>
      <c r="P151" s="34">
        <v>1.0011518898888001</v>
      </c>
      <c r="Q151" s="34">
        <v>0.99999720700393402</v>
      </c>
      <c r="R151" s="33">
        <v>405.73241931114302</v>
      </c>
      <c r="S151" s="33">
        <v>402.03099468594002</v>
      </c>
      <c r="T151" s="33">
        <v>402.87238448110497</v>
      </c>
      <c r="U151" s="15">
        <v>-1.49653288009199E-2</v>
      </c>
      <c r="V151" s="15">
        <v>-2.4130018531575901E-2</v>
      </c>
      <c r="W151" s="15">
        <v>-2.2039357407746901E-2</v>
      </c>
      <c r="X151" s="34">
        <v>1.0216814269058001</v>
      </c>
      <c r="Y151" s="34">
        <v>1.00650546826212</v>
      </c>
      <c r="Z151" s="34">
        <v>1.0011518898888001</v>
      </c>
      <c r="AA151" s="34">
        <v>0.99999720700393402</v>
      </c>
      <c r="AB151" s="33">
        <v>405.73241931114302</v>
      </c>
      <c r="AC151" s="33">
        <v>402.03099468594002</v>
      </c>
      <c r="AD151" s="33">
        <v>402.87238448110497</v>
      </c>
      <c r="AE151" s="15">
        <v>-1.49653288009199E-2</v>
      </c>
      <c r="AF151" s="15">
        <v>-2.4130018531575901E-2</v>
      </c>
      <c r="AG151" s="15">
        <v>-2.2039357407746901E-2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0.29545929296167572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0.47236364899509864</v>
      </c>
      <c r="BE151" s="29">
        <f t="shared" ref="BE151:BE176" si="62">AQ151+BB151</f>
        <v>0</v>
      </c>
      <c r="BF151" s="29">
        <f t="shared" ref="BF151:BF176" si="63">BF150+BE151</f>
        <v>0.76782294195677447</v>
      </c>
      <c r="BH151" s="29"/>
    </row>
    <row r="152" spans="1:60" x14ac:dyDescent="0.25">
      <c r="A152" s="1">
        <v>46244</v>
      </c>
      <c r="B152" s="33">
        <v>409.75</v>
      </c>
      <c r="C152" s="33">
        <v>411.85</v>
      </c>
      <c r="D152" s="15">
        <v>1.6337740068510999E-2</v>
      </c>
      <c r="E152" s="15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409.75</v>
      </c>
      <c r="M152" s="33">
        <v>411.85</v>
      </c>
      <c r="N152" s="34">
        <v>1.00512507626601</v>
      </c>
      <c r="O152" s="34">
        <v>1.00650546826212</v>
      </c>
      <c r="P152" s="34">
        <v>0.999098636411483</v>
      </c>
      <c r="Q152" s="34">
        <v>0.99902131796009197</v>
      </c>
      <c r="R152" s="33">
        <v>412.415615620403</v>
      </c>
      <c r="S152" s="33">
        <v>410.22198688193799</v>
      </c>
      <c r="T152" s="33">
        <v>409.74885556986197</v>
      </c>
      <c r="U152" s="15">
        <v>1.3724112675908399E-3</v>
      </c>
      <c r="V152" s="15">
        <v>-3.9607607906489801E-3</v>
      </c>
      <c r="W152" s="15">
        <v>-5.1147807632843803E-3</v>
      </c>
      <c r="X152" s="34">
        <v>1.00512507626601</v>
      </c>
      <c r="Y152" s="34">
        <v>1.00650546826212</v>
      </c>
      <c r="Z152" s="34">
        <v>0.999098636411483</v>
      </c>
      <c r="AA152" s="34">
        <v>0.99902131796009197</v>
      </c>
      <c r="AB152" s="33">
        <v>412.415615620403</v>
      </c>
      <c r="AC152" s="33">
        <v>410.22198688193799</v>
      </c>
      <c r="AD152" s="33">
        <v>409.74885556986197</v>
      </c>
      <c r="AE152" s="15">
        <v>1.3724112675908399E-3</v>
      </c>
      <c r="AF152" s="15">
        <v>-3.9607607906489801E-3</v>
      </c>
      <c r="AG152" s="15">
        <v>-5.1147807632843803E-3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0.29545929296167572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0.47236364899509864</v>
      </c>
      <c r="BE152" s="29">
        <f t="shared" si="62"/>
        <v>0</v>
      </c>
      <c r="BF152" s="29">
        <f t="shared" si="63"/>
        <v>0.76782294195677447</v>
      </c>
      <c r="BH152" s="29"/>
    </row>
    <row r="153" spans="1:60" x14ac:dyDescent="0.25">
      <c r="A153" s="1">
        <v>46245</v>
      </c>
      <c r="B153" s="33">
        <v>416.98</v>
      </c>
      <c r="C153" s="33">
        <v>411.85</v>
      </c>
      <c r="D153" s="15">
        <v>1.7491041393971202E-2</v>
      </c>
      <c r="E153" s="15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416.98</v>
      </c>
      <c r="M153" s="33">
        <v>411.85</v>
      </c>
      <c r="N153" s="34">
        <v>0.98769725166674605</v>
      </c>
      <c r="O153" s="34">
        <v>1.00650546826212</v>
      </c>
      <c r="P153" s="34">
        <v>0.99459501152026397</v>
      </c>
      <c r="Q153" s="34">
        <v>0.99864883699298301</v>
      </c>
      <c r="R153" s="33">
        <v>419.69265015593902</v>
      </c>
      <c r="S153" s="33">
        <v>416.60414941085997</v>
      </c>
      <c r="T153" s="33">
        <v>416.57190916299902</v>
      </c>
      <c r="U153" s="15">
        <v>1.88634526615621E-2</v>
      </c>
      <c r="V153" s="15">
        <v>1.1477283569704601E-2</v>
      </c>
      <c r="W153" s="15">
        <v>1.13998923687815E-2</v>
      </c>
      <c r="X153" s="34">
        <v>0.98769725166674605</v>
      </c>
      <c r="Y153" s="34">
        <v>1.00650546826212</v>
      </c>
      <c r="Z153" s="34">
        <v>0.99459501152026397</v>
      </c>
      <c r="AA153" s="34">
        <v>0.99864883699298301</v>
      </c>
      <c r="AB153" s="33">
        <v>419.69265015593902</v>
      </c>
      <c r="AC153" s="33">
        <v>416.60414941085997</v>
      </c>
      <c r="AD153" s="33">
        <v>416.57190916299902</v>
      </c>
      <c r="AE153" s="15">
        <v>1.88634526615621E-2</v>
      </c>
      <c r="AF153" s="15">
        <v>1.1477283569704601E-2</v>
      </c>
      <c r="AG153" s="15">
        <v>1.13998923687815E-2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0.29545929296167572</v>
      </c>
      <c r="AT153" s="12"/>
      <c r="AU153">
        <f t="shared" si="50"/>
        <v>0</v>
      </c>
      <c r="AV153">
        <f t="shared" si="51"/>
        <v>0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0.47236364899509864</v>
      </c>
      <c r="BE153" s="29">
        <f t="shared" si="62"/>
        <v>0</v>
      </c>
      <c r="BF153" s="29">
        <f t="shared" si="63"/>
        <v>0.76782294195677447</v>
      </c>
      <c r="BH153" s="29"/>
    </row>
    <row r="154" spans="1:60" x14ac:dyDescent="0.25">
      <c r="A154" s="1">
        <v>46246</v>
      </c>
      <c r="B154" s="33">
        <v>428.82</v>
      </c>
      <c r="C154" s="33">
        <v>411.85</v>
      </c>
      <c r="D154" s="15">
        <v>2.79989914420322E-2</v>
      </c>
      <c r="E154" s="15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428.82</v>
      </c>
      <c r="M154" s="33">
        <v>411.85</v>
      </c>
      <c r="N154" s="34">
        <v>0.96042628608740199</v>
      </c>
      <c r="O154" s="34">
        <v>1.00650546826212</v>
      </c>
      <c r="P154" s="34">
        <v>0.98817271592349998</v>
      </c>
      <c r="Q154" s="34">
        <v>0.99750182297003498</v>
      </c>
      <c r="R154" s="33">
        <v>431.60967490016202</v>
      </c>
      <c r="S154" s="33">
        <v>426.50223284011997</v>
      </c>
      <c r="T154" s="33">
        <v>428.24059427933099</v>
      </c>
      <c r="U154" s="15">
        <v>4.6862444103594303E-2</v>
      </c>
      <c r="V154" s="15">
        <v>3.4958396794828303E-2</v>
      </c>
      <c r="W154" s="15">
        <v>3.9025968421851298E-2</v>
      </c>
      <c r="X154" s="34">
        <v>0.96042628608740199</v>
      </c>
      <c r="Y154" s="34">
        <v>1.00650546826212</v>
      </c>
      <c r="Z154" s="34">
        <v>0.98817271592349998</v>
      </c>
      <c r="AA154" s="34">
        <v>0.99750182297003498</v>
      </c>
      <c r="AB154" s="33">
        <v>431.60967490016202</v>
      </c>
      <c r="AC154" s="33">
        <v>426.50223284011997</v>
      </c>
      <c r="AD154" s="33">
        <v>428.24059427933099</v>
      </c>
      <c r="AE154" s="15">
        <v>4.6862444103594303E-2</v>
      </c>
      <c r="AF154" s="15">
        <v>3.4958396794828303E-2</v>
      </c>
      <c r="AG154" s="15">
        <v>3.9025968421851298E-2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0.29545929296167572</v>
      </c>
      <c r="AT154" s="12"/>
      <c r="AU154">
        <f t="shared" si="50"/>
        <v>0</v>
      </c>
      <c r="AV154">
        <f t="shared" si="51"/>
        <v>0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0.47236364899509864</v>
      </c>
      <c r="BE154" s="29">
        <f t="shared" si="62"/>
        <v>0</v>
      </c>
      <c r="BF154" s="29">
        <f t="shared" si="63"/>
        <v>0.76782294195677447</v>
      </c>
      <c r="BH154" s="29"/>
    </row>
    <row r="155" spans="1:60" x14ac:dyDescent="0.25">
      <c r="A155" s="1">
        <v>46247</v>
      </c>
      <c r="B155" s="33">
        <v>427.16</v>
      </c>
      <c r="C155" s="33">
        <v>411.85</v>
      </c>
      <c r="D155" s="15">
        <v>-3.8786001565979098E-3</v>
      </c>
      <c r="E155" s="15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427.16</v>
      </c>
      <c r="M155" s="33">
        <v>411.85</v>
      </c>
      <c r="N155" s="34">
        <v>0.96415862908511996</v>
      </c>
      <c r="O155" s="34">
        <v>1.00650546826212</v>
      </c>
      <c r="P155" s="34">
        <v>0.98930414233827302</v>
      </c>
      <c r="Q155" s="34">
        <v>0.99397894497020201</v>
      </c>
      <c r="R155" s="33">
        <v>429.93887582284702</v>
      </c>
      <c r="S155" s="33">
        <v>422.10785733388201</v>
      </c>
      <c r="T155" s="33">
        <v>426.09287869987998</v>
      </c>
      <c r="U155" s="15">
        <v>4.2983843946996197E-2</v>
      </c>
      <c r="V155" s="15">
        <v>2.4601662091439099E-2</v>
      </c>
      <c r="W155" s="15">
        <v>3.39981422351808E-2</v>
      </c>
      <c r="X155" s="34">
        <v>0.96415862908511996</v>
      </c>
      <c r="Y155" s="34">
        <v>1.00650546826212</v>
      </c>
      <c r="Z155" s="34">
        <v>0.98930414233827302</v>
      </c>
      <c r="AA155" s="34">
        <v>0.99397894497020201</v>
      </c>
      <c r="AB155" s="33">
        <v>429.93887582284702</v>
      </c>
      <c r="AC155" s="33">
        <v>422.10785733388201</v>
      </c>
      <c r="AD155" s="33">
        <v>426.09287869987998</v>
      </c>
      <c r="AE155" s="15">
        <v>4.2983843946996197E-2</v>
      </c>
      <c r="AF155" s="15">
        <v>2.4601662091439099E-2</v>
      </c>
      <c r="AG155" s="15">
        <v>3.39981422351808E-2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0.29545929296167572</v>
      </c>
      <c r="AT155" s="12"/>
      <c r="AU155">
        <f t="shared" si="50"/>
        <v>0</v>
      </c>
      <c r="AV155">
        <f t="shared" si="51"/>
        <v>0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0.47236364899509864</v>
      </c>
      <c r="BE155" s="29">
        <f t="shared" si="62"/>
        <v>0</v>
      </c>
      <c r="BF155" s="29">
        <f t="shared" si="63"/>
        <v>0.76782294195677447</v>
      </c>
      <c r="BH155" s="29"/>
    </row>
    <row r="156" spans="1:60" x14ac:dyDescent="0.25">
      <c r="A156" s="1">
        <v>46248</v>
      </c>
      <c r="B156" s="33">
        <v>441.21</v>
      </c>
      <c r="C156" s="33">
        <v>411.85</v>
      </c>
      <c r="D156" s="15">
        <v>3.2362302276987498E-2</v>
      </c>
      <c r="E156" s="15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441.21</v>
      </c>
      <c r="M156" s="33">
        <v>411.85</v>
      </c>
      <c r="N156" s="34">
        <v>0.93345572403164001</v>
      </c>
      <c r="O156" s="34">
        <v>1.00650546826212</v>
      </c>
      <c r="P156" s="34">
        <v>0.980179533902653</v>
      </c>
      <c r="Q156" s="34">
        <v>0.99034535706484506</v>
      </c>
      <c r="R156" s="33">
        <v>444.08027765192998</v>
      </c>
      <c r="S156" s="33">
        <v>436.490880641069</v>
      </c>
      <c r="T156" s="33">
        <v>438.55345031030299</v>
      </c>
      <c r="U156" s="15">
        <v>7.5346146223983695E-2</v>
      </c>
      <c r="V156" s="15">
        <v>5.81082776720271E-2</v>
      </c>
      <c r="W156" s="15">
        <v>6.2822492520634099E-2</v>
      </c>
      <c r="X156" s="34">
        <v>0.93345572403164001</v>
      </c>
      <c r="Y156" s="34">
        <v>1.00650546826212</v>
      </c>
      <c r="Z156" s="34">
        <v>0.980179533902653</v>
      </c>
      <c r="AA156" s="34">
        <v>0.99034535706484506</v>
      </c>
      <c r="AB156" s="33">
        <v>444.08027765192998</v>
      </c>
      <c r="AC156" s="33">
        <v>436.490880641069</v>
      </c>
      <c r="AD156" s="33">
        <v>438.55345031030299</v>
      </c>
      <c r="AE156" s="15">
        <v>7.5346146223983695E-2</v>
      </c>
      <c r="AF156" s="15">
        <v>5.81082776720271E-2</v>
      </c>
      <c r="AG156" s="15">
        <v>6.2822492520634099E-2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0.29545929296167572</v>
      </c>
      <c r="AT156" s="12"/>
      <c r="AU156">
        <f t="shared" si="50"/>
        <v>1</v>
      </c>
      <c r="AV156">
        <f t="shared" si="51"/>
        <v>0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0.47236364899509864</v>
      </c>
      <c r="BE156" s="29">
        <f t="shared" si="62"/>
        <v>0</v>
      </c>
      <c r="BF156" s="29">
        <f t="shared" si="63"/>
        <v>0.76782294195677447</v>
      </c>
      <c r="BH156" s="29"/>
    </row>
    <row r="157" spans="1:60" x14ac:dyDescent="0.25">
      <c r="A157" s="1">
        <v>46251</v>
      </c>
      <c r="B157" s="33">
        <v>445.38</v>
      </c>
      <c r="C157" s="33">
        <v>450</v>
      </c>
      <c r="D157" s="15">
        <v>9.4068977771786192E-3</v>
      </c>
      <c r="E157" s="15">
        <v>8.8588377377107605E-2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445.38</v>
      </c>
      <c r="M157" s="33">
        <v>450</v>
      </c>
      <c r="N157" s="34">
        <v>1.0103731644887499</v>
      </c>
      <c r="O157" s="34">
        <v>1.00650546826212</v>
      </c>
      <c r="P157" s="34">
        <v>0.98094404040912198</v>
      </c>
      <c r="Q157" s="34">
        <v>0.99089432138080702</v>
      </c>
      <c r="R157" s="33">
        <v>448.277405454583</v>
      </c>
      <c r="S157" s="33">
        <v>436.55236080956399</v>
      </c>
      <c r="T157" s="33">
        <v>441.08001512954098</v>
      </c>
      <c r="U157" s="15">
        <v>-3.8353333759451802E-3</v>
      </c>
      <c r="V157" s="15">
        <v>-3.03392586432021E-2</v>
      </c>
      <c r="W157" s="15">
        <v>-2.0021283572761301E-2</v>
      </c>
      <c r="X157" s="34">
        <v>1.0103731644887499</v>
      </c>
      <c r="Y157" s="34">
        <v>1.00650546826212</v>
      </c>
      <c r="Z157" s="34">
        <v>0.98094404040912198</v>
      </c>
      <c r="AA157" s="34">
        <v>0.99089432138080702</v>
      </c>
      <c r="AB157" s="33">
        <v>448.277405454583</v>
      </c>
      <c r="AC157" s="33">
        <v>436.55236080956399</v>
      </c>
      <c r="AD157" s="33">
        <v>441.08001512954098</v>
      </c>
      <c r="AE157" s="15">
        <v>-3.8353333759451802E-3</v>
      </c>
      <c r="AF157" s="15">
        <v>-3.03392586432021E-2</v>
      </c>
      <c r="AG157" s="15">
        <v>-2.0021283572761301E-2</v>
      </c>
      <c r="AI157" s="12"/>
      <c r="AJ157">
        <f t="shared" si="46"/>
        <v>0</v>
      </c>
      <c r="AK157">
        <f t="shared" si="47"/>
        <v>0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0.29545929296167572</v>
      </c>
      <c r="AT157" s="12"/>
      <c r="AU157">
        <f t="shared" si="50"/>
        <v>0</v>
      </c>
      <c r="AV157">
        <f t="shared" si="51"/>
        <v>1</v>
      </c>
      <c r="AW157">
        <f t="shared" si="58"/>
        <v>1</v>
      </c>
      <c r="AX157">
        <f t="shared" si="45"/>
        <v>1</v>
      </c>
      <c r="AY157">
        <f t="shared" si="59"/>
        <v>1</v>
      </c>
      <c r="AZ157" s="28">
        <f t="shared" si="52"/>
        <v>-9.4068977771786192E-3</v>
      </c>
      <c r="BA157" s="28">
        <f t="shared" si="53"/>
        <v>8.8588377377107605E-2</v>
      </c>
      <c r="BB157" s="28">
        <f t="shared" si="60"/>
        <v>7.9181479599928981E-2</v>
      </c>
      <c r="BC157" s="29">
        <f t="shared" si="61"/>
        <v>0.55154512859502758</v>
      </c>
      <c r="BE157" s="29">
        <f t="shared" si="62"/>
        <v>7.9181479599928981E-2</v>
      </c>
      <c r="BF157" s="29">
        <f t="shared" si="63"/>
        <v>0.84700442155670341</v>
      </c>
      <c r="BH157" s="29"/>
    </row>
    <row r="158" spans="1:60" x14ac:dyDescent="0.25">
      <c r="A158" s="1">
        <v>46252</v>
      </c>
      <c r="B158" s="33">
        <v>437.71</v>
      </c>
      <c r="C158" s="33">
        <v>445.95</v>
      </c>
      <c r="D158" s="15">
        <v>-1.7371259722990799E-2</v>
      </c>
      <c r="E158" s="15">
        <v>-9.0407446521490707E-3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437.71</v>
      </c>
      <c r="M158" s="33">
        <v>445.95</v>
      </c>
      <c r="N158" s="34">
        <v>1.0188252495944801</v>
      </c>
      <c r="O158" s="34">
        <v>1.00650546826212</v>
      </c>
      <c r="P158" s="34">
        <v>0.98670386177992997</v>
      </c>
      <c r="Q158" s="34">
        <v>0.99302705852627704</v>
      </c>
      <c r="R158" s="33">
        <v>440.55750851301201</v>
      </c>
      <c r="S158" s="33">
        <v>429.36901592747603</v>
      </c>
      <c r="T158" s="33">
        <v>433.72435341159297</v>
      </c>
      <c r="U158" s="15">
        <v>-1.21658484467868E-2</v>
      </c>
      <c r="V158" s="15">
        <v>-3.7890111937285503E-2</v>
      </c>
      <c r="W158" s="15">
        <v>-2.7797636180592701E-2</v>
      </c>
      <c r="X158" s="34">
        <v>1.0188252495944801</v>
      </c>
      <c r="Y158" s="34">
        <v>1.00650546826212</v>
      </c>
      <c r="Z158" s="34">
        <v>0.98670386177992997</v>
      </c>
      <c r="AA158" s="34">
        <v>0.99302705852627704</v>
      </c>
      <c r="AB158" s="33">
        <v>440.55750851301201</v>
      </c>
      <c r="AC158" s="33">
        <v>429.36901592747603</v>
      </c>
      <c r="AD158" s="33">
        <v>433.72435341159297</v>
      </c>
      <c r="AE158" s="15">
        <v>-1.21658484467868E-2</v>
      </c>
      <c r="AF158" s="15">
        <v>-3.7890111937285503E-2</v>
      </c>
      <c r="AG158" s="15">
        <v>-2.7797636180592701E-2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0.29545929296167572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0.55154512859502758</v>
      </c>
      <c r="BE158" s="29">
        <f t="shared" si="62"/>
        <v>0</v>
      </c>
      <c r="BF158" s="29">
        <f t="shared" si="63"/>
        <v>0.84700442155670341</v>
      </c>
      <c r="BH158" s="29"/>
    </row>
    <row r="159" spans="1:60" x14ac:dyDescent="0.25">
      <c r="A159" s="1">
        <v>46253</v>
      </c>
      <c r="B159" s="33">
        <v>410.94</v>
      </c>
      <c r="C159" s="33">
        <v>417.7</v>
      </c>
      <c r="D159" s="15">
        <v>-6.3109372196650901E-2</v>
      </c>
      <c r="E159" s="15">
        <v>-6.5443366609086603E-2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410.94</v>
      </c>
      <c r="M159" s="33">
        <v>417.7</v>
      </c>
      <c r="N159" s="34">
        <v>1.01645009003747</v>
      </c>
      <c r="O159" s="34">
        <v>1.00650546826212</v>
      </c>
      <c r="P159" s="34">
        <v>0.992174408635209</v>
      </c>
      <c r="Q159" s="34">
        <v>0.99379868317905296</v>
      </c>
      <c r="R159" s="33">
        <v>413.61335712763503</v>
      </c>
      <c r="S159" s="33">
        <v>405.476084959844</v>
      </c>
      <c r="T159" s="33">
        <v>408.07453943078798</v>
      </c>
      <c r="U159" s="15">
        <v>-9.8318540343512294E-3</v>
      </c>
      <c r="V159" s="15">
        <v>-2.9701576358014101E-2</v>
      </c>
      <c r="W159" s="15">
        <v>-2.33136191023041E-2</v>
      </c>
      <c r="X159" s="34">
        <v>1.01645009003747</v>
      </c>
      <c r="Y159" s="34">
        <v>1.00650546826212</v>
      </c>
      <c r="Z159" s="34">
        <v>0.992174408635209</v>
      </c>
      <c r="AA159" s="34">
        <v>0.99379868317905296</v>
      </c>
      <c r="AB159" s="33">
        <v>413.61335712763503</v>
      </c>
      <c r="AC159" s="33">
        <v>405.476084959844</v>
      </c>
      <c r="AD159" s="33">
        <v>408.07453943078798</v>
      </c>
      <c r="AE159" s="15">
        <v>-9.8318540343512294E-3</v>
      </c>
      <c r="AF159" s="15">
        <v>-2.9701576358014101E-2</v>
      </c>
      <c r="AG159" s="15">
        <v>-2.33136191023041E-2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0.29545929296167572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0.55154512859502758</v>
      </c>
      <c r="BE159" s="29">
        <f t="shared" si="62"/>
        <v>0</v>
      </c>
      <c r="BF159" s="29">
        <f t="shared" si="63"/>
        <v>0.84700442155670341</v>
      </c>
      <c r="BH159" s="29"/>
    </row>
    <row r="160" spans="1:60" x14ac:dyDescent="0.25">
      <c r="A160" s="1">
        <v>46254</v>
      </c>
      <c r="B160" s="33">
        <v>381.52</v>
      </c>
      <c r="C160" s="33">
        <v>384.34</v>
      </c>
      <c r="D160" s="15">
        <v>-7.4283944447899999E-2</v>
      </c>
      <c r="E160" s="15">
        <v>-8.3235893998848606E-2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381.52</v>
      </c>
      <c r="M160" s="33">
        <v>384.34</v>
      </c>
      <c r="N160" s="34">
        <v>1.0073914866848299</v>
      </c>
      <c r="O160" s="34">
        <v>1.00650546826212</v>
      </c>
      <c r="P160" s="34">
        <v>0.99255843848482705</v>
      </c>
      <c r="Q160" s="34">
        <v>0.99494086827858297</v>
      </c>
      <c r="R160" s="33">
        <v>384.00196625136402</v>
      </c>
      <c r="S160" s="33">
        <v>378.53438038250403</v>
      </c>
      <c r="T160" s="33">
        <v>379.15407360647202</v>
      </c>
      <c r="U160" s="15">
        <v>-8.7990448340250198E-4</v>
      </c>
      <c r="V160" s="15">
        <v>-1.5220675508788899E-2</v>
      </c>
      <c r="W160" s="15">
        <v>-1.3584928365277599E-2</v>
      </c>
      <c r="X160" s="34">
        <v>1.0073914866848299</v>
      </c>
      <c r="Y160" s="34">
        <v>1.00650546826212</v>
      </c>
      <c r="Z160" s="34">
        <v>0.99255843848482705</v>
      </c>
      <c r="AA160" s="34">
        <v>0.99494086827858297</v>
      </c>
      <c r="AB160" s="33">
        <v>384.00196625136402</v>
      </c>
      <c r="AC160" s="33">
        <v>378.53438038250403</v>
      </c>
      <c r="AD160" s="33">
        <v>379.15407360647202</v>
      </c>
      <c r="AE160" s="15">
        <v>-8.7990448340250198E-4</v>
      </c>
      <c r="AF160" s="15">
        <v>-1.5220675508788899E-2</v>
      </c>
      <c r="AG160" s="15">
        <v>-1.3584928365277599E-2</v>
      </c>
      <c r="AI160" s="12"/>
      <c r="AJ160">
        <f t="shared" si="46"/>
        <v>0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0.29545929296167572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0.55154512859502758</v>
      </c>
      <c r="BE160" s="29">
        <f t="shared" si="62"/>
        <v>0</v>
      </c>
      <c r="BF160" s="29">
        <f t="shared" si="63"/>
        <v>0.84700442155670341</v>
      </c>
      <c r="BH160" s="29"/>
    </row>
    <row r="161" spans="1:60" x14ac:dyDescent="0.25">
      <c r="A161" s="1">
        <v>46255</v>
      </c>
      <c r="B161" s="33">
        <v>389.14</v>
      </c>
      <c r="C161" s="33">
        <v>397.1</v>
      </c>
      <c r="D161" s="15">
        <v>1.9775902053260901E-2</v>
      </c>
      <c r="E161" s="15">
        <v>3.2660560632924697E-2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389.14</v>
      </c>
      <c r="M161" s="33">
        <v>397.1</v>
      </c>
      <c r="N161" s="34">
        <v>1.0204553631083899</v>
      </c>
      <c r="O161" s="34">
        <v>1.00650546826212</v>
      </c>
      <c r="P161" s="34">
        <v>0.99243583210508601</v>
      </c>
      <c r="Q161" s="34">
        <v>0.996793860996946</v>
      </c>
      <c r="R161" s="33">
        <v>391.67153791952097</v>
      </c>
      <c r="S161" s="33">
        <v>386.244190751985</v>
      </c>
      <c r="T161" s="33">
        <v>387.17128948192698</v>
      </c>
      <c r="U161" s="15">
        <v>-1.37645630630662E-2</v>
      </c>
      <c r="V161" s="15">
        <v>-2.7718350162662699E-2</v>
      </c>
      <c r="W161" s="15">
        <v>-2.53209345492309E-2</v>
      </c>
      <c r="X161" s="34">
        <v>1.0204553631083899</v>
      </c>
      <c r="Y161" s="34">
        <v>1.00650546826212</v>
      </c>
      <c r="Z161" s="34">
        <v>0.99243583210508601</v>
      </c>
      <c r="AA161" s="34">
        <v>0.996793860996946</v>
      </c>
      <c r="AB161" s="33">
        <v>391.67153791952097</v>
      </c>
      <c r="AC161" s="33">
        <v>386.244190751985</v>
      </c>
      <c r="AD161" s="33">
        <v>387.17128948192698</v>
      </c>
      <c r="AE161" s="15">
        <v>-1.37645630630662E-2</v>
      </c>
      <c r="AF161" s="15">
        <v>-2.7718350162662699E-2</v>
      </c>
      <c r="AG161" s="15">
        <v>-2.53209345492309E-2</v>
      </c>
      <c r="AI161" s="12"/>
      <c r="AJ161">
        <f t="shared" si="46"/>
        <v>0</v>
      </c>
      <c r="AK161">
        <f t="shared" si="47"/>
        <v>0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0.29545929296167572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0.55154512859502758</v>
      </c>
      <c r="BE161" s="29">
        <f t="shared" si="62"/>
        <v>0</v>
      </c>
      <c r="BF161" s="29">
        <f t="shared" si="63"/>
        <v>0.84700442155670341</v>
      </c>
      <c r="BH161" s="29"/>
    </row>
    <row r="162" spans="1:60" x14ac:dyDescent="0.25">
      <c r="A162" s="1">
        <v>46258</v>
      </c>
      <c r="B162" s="33">
        <v>379.8</v>
      </c>
      <c r="C162" s="33">
        <v>387.62</v>
      </c>
      <c r="D162" s="15">
        <v>-2.42943776650444E-2</v>
      </c>
      <c r="E162" s="15">
        <v>-2.41626598646042E-2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379.8</v>
      </c>
      <c r="M162" s="33">
        <v>387.62</v>
      </c>
      <c r="N162" s="34">
        <v>1.0205897840968901</v>
      </c>
      <c r="O162" s="34">
        <v>1.00650546826212</v>
      </c>
      <c r="P162" s="34">
        <v>0.99398230288817402</v>
      </c>
      <c r="Q162" s="34">
        <v>0.99654046964982801</v>
      </c>
      <c r="R162" s="33">
        <v>382.27077684595298</v>
      </c>
      <c r="S162" s="33">
        <v>376.92712903351099</v>
      </c>
      <c r="T162" s="33">
        <v>378.58230840663998</v>
      </c>
      <c r="U162" s="15">
        <v>-1.38962808635063E-2</v>
      </c>
      <c r="V162" s="15">
        <v>-2.7973601196134401E-2</v>
      </c>
      <c r="W162" s="15">
        <v>-2.3591969573258299E-2</v>
      </c>
      <c r="X162" s="34">
        <v>1.0205897840968901</v>
      </c>
      <c r="Y162" s="34">
        <v>1.00650546826212</v>
      </c>
      <c r="Z162" s="34">
        <v>0.99398230288817402</v>
      </c>
      <c r="AA162" s="34">
        <v>0.99654046964982801</v>
      </c>
      <c r="AB162" s="33">
        <v>382.27077684595298</v>
      </c>
      <c r="AC162" s="33">
        <v>376.92712903351099</v>
      </c>
      <c r="AD162" s="33">
        <v>378.58230840663998</v>
      </c>
      <c r="AE162" s="15">
        <v>-1.38962808635063E-2</v>
      </c>
      <c r="AF162" s="15">
        <v>-2.7973601196134401E-2</v>
      </c>
      <c r="AG162" s="15">
        <v>-2.3591969573258299E-2</v>
      </c>
      <c r="AI162" s="12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0.29545929296167572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0.55154512859502758</v>
      </c>
      <c r="BE162" s="29">
        <f t="shared" si="62"/>
        <v>0</v>
      </c>
      <c r="BF162" s="29">
        <f t="shared" si="63"/>
        <v>0.84700442155670341</v>
      </c>
      <c r="BH162" s="29"/>
    </row>
    <row r="163" spans="1:60" x14ac:dyDescent="0.25">
      <c r="A163" s="1">
        <v>46259</v>
      </c>
      <c r="B163" s="33">
        <v>376.73</v>
      </c>
      <c r="C163" s="33">
        <v>385.71</v>
      </c>
      <c r="D163" s="15">
        <v>-8.1160478812018107E-3</v>
      </c>
      <c r="E163" s="15">
        <v>-4.9396865083344297E-3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376.73</v>
      </c>
      <c r="M163" s="33">
        <v>385.71</v>
      </c>
      <c r="N163" s="34">
        <v>1.0238367000238799</v>
      </c>
      <c r="O163" s="34">
        <v>1.00650546826212</v>
      </c>
      <c r="P163" s="34">
        <v>0.997596247723888</v>
      </c>
      <c r="Q163" s="34">
        <v>0.99609562962207598</v>
      </c>
      <c r="R163" s="33">
        <v>379.18080505838799</v>
      </c>
      <c r="S163" s="33">
        <v>374.46295296706103</v>
      </c>
      <c r="T163" s="33">
        <v>375.42669113117898</v>
      </c>
      <c r="U163" s="15">
        <v>-1.7072642236373701E-2</v>
      </c>
      <c r="V163" s="15">
        <v>-2.9592917686776798E-2</v>
      </c>
      <c r="W163" s="15">
        <v>-2.7022569630110099E-2</v>
      </c>
      <c r="X163" s="34">
        <v>1.0238367000238799</v>
      </c>
      <c r="Y163" s="34">
        <v>1.00650546826212</v>
      </c>
      <c r="Z163" s="34">
        <v>0.997596247723888</v>
      </c>
      <c r="AA163" s="34">
        <v>0.99609562962207598</v>
      </c>
      <c r="AB163" s="33">
        <v>379.18080505838799</v>
      </c>
      <c r="AC163" s="33">
        <v>374.46295296706103</v>
      </c>
      <c r="AD163" s="33">
        <v>375.42669113117898</v>
      </c>
      <c r="AE163" s="15">
        <v>-1.7072642236373701E-2</v>
      </c>
      <c r="AF163" s="15">
        <v>-2.9592917686776798E-2</v>
      </c>
      <c r="AG163" s="15">
        <v>-2.7022569630110099E-2</v>
      </c>
      <c r="AI163" s="12"/>
      <c r="AJ163">
        <f t="shared" si="46"/>
        <v>0</v>
      </c>
      <c r="AK163">
        <f t="shared" si="47"/>
        <v>0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0.29545929296167572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0.55154512859502758</v>
      </c>
      <c r="BE163" s="29">
        <f t="shared" si="62"/>
        <v>0</v>
      </c>
      <c r="BF163" s="29">
        <f t="shared" si="63"/>
        <v>0.84700442155670341</v>
      </c>
      <c r="BH163" s="29"/>
    </row>
    <row r="164" spans="1:60" x14ac:dyDescent="0.25">
      <c r="A164" s="1">
        <v>46260</v>
      </c>
      <c r="B164" s="33">
        <v>384.03</v>
      </c>
      <c r="C164" s="33">
        <v>385</v>
      </c>
      <c r="D164" s="15">
        <v>1.91919240391441E-2</v>
      </c>
      <c r="E164" s="15">
        <v>-1.8424574764829E-3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384.03</v>
      </c>
      <c r="M164" s="33">
        <v>385</v>
      </c>
      <c r="N164" s="34">
        <v>1.00252584433507</v>
      </c>
      <c r="O164" s="34">
        <v>1.00650546826212</v>
      </c>
      <c r="P164" s="34">
        <v>1.0018062035486499</v>
      </c>
      <c r="Q164" s="34">
        <v>0.994989459736078</v>
      </c>
      <c r="R164" s="33">
        <v>386.528294976702</v>
      </c>
      <c r="S164" s="33">
        <v>383.10688701340399</v>
      </c>
      <c r="T164" s="33">
        <v>382.53060464376603</v>
      </c>
      <c r="U164" s="15">
        <v>3.9617392792532296E-3</v>
      </c>
      <c r="V164" s="15">
        <v>-4.9293056782796097E-3</v>
      </c>
      <c r="W164" s="15">
        <v>-6.43467208142937E-3</v>
      </c>
      <c r="X164" s="34">
        <v>1.00252584433507</v>
      </c>
      <c r="Y164" s="34">
        <v>1.00650546826212</v>
      </c>
      <c r="Z164" s="34">
        <v>1.0018062035486499</v>
      </c>
      <c r="AA164" s="34">
        <v>0.994989459736078</v>
      </c>
      <c r="AB164" s="33">
        <v>386.528294976702</v>
      </c>
      <c r="AC164" s="33">
        <v>383.10688701340399</v>
      </c>
      <c r="AD164" s="33">
        <v>382.53060464376603</v>
      </c>
      <c r="AE164" s="15">
        <v>3.9617392792532296E-3</v>
      </c>
      <c r="AF164" s="15">
        <v>-4.9293056782796097E-3</v>
      </c>
      <c r="AG164" s="15">
        <v>-6.43467208142937E-3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0.29545929296167572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0.55154512859502758</v>
      </c>
      <c r="BE164" s="29">
        <f t="shared" si="62"/>
        <v>0</v>
      </c>
      <c r="BF164" s="29">
        <f t="shared" si="63"/>
        <v>0.84700442155670341</v>
      </c>
      <c r="BH164" s="29"/>
    </row>
    <row r="165" spans="1:60" x14ac:dyDescent="0.25">
      <c r="A165" s="1">
        <v>46261</v>
      </c>
      <c r="B165" s="33">
        <v>383.23</v>
      </c>
      <c r="C165" s="33">
        <v>385</v>
      </c>
      <c r="D165" s="15">
        <v>-2.08534340356701E-3</v>
      </c>
      <c r="E165" s="15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383.23</v>
      </c>
      <c r="M165" s="33">
        <v>385</v>
      </c>
      <c r="N165" s="34">
        <v>1.00461863632805</v>
      </c>
      <c r="O165" s="34">
        <v>1.00650546826212</v>
      </c>
      <c r="P165" s="34">
        <v>1.0058522042729401</v>
      </c>
      <c r="Q165" s="34">
        <v>0.99757817330561105</v>
      </c>
      <c r="R165" s="33">
        <v>385.72309060209199</v>
      </c>
      <c r="S165" s="33">
        <v>383.92219138595101</v>
      </c>
      <c r="T165" s="33">
        <v>381.30981065465699</v>
      </c>
      <c r="U165" s="15">
        <v>1.87639587568624E-3</v>
      </c>
      <c r="V165" s="15">
        <v>-2.8034288306851298E-3</v>
      </c>
      <c r="W165" s="15">
        <v>-9.6311382649482396E-3</v>
      </c>
      <c r="X165" s="34">
        <v>1.00461863632805</v>
      </c>
      <c r="Y165" s="34">
        <v>1.00650546826212</v>
      </c>
      <c r="Z165" s="34">
        <v>1.0058522042729401</v>
      </c>
      <c r="AA165" s="34">
        <v>0.99757817330561105</v>
      </c>
      <c r="AB165" s="33">
        <v>385.72309060209199</v>
      </c>
      <c r="AC165" s="33">
        <v>383.92219138595101</v>
      </c>
      <c r="AD165" s="33">
        <v>381.30981065465699</v>
      </c>
      <c r="AE165" s="15">
        <v>1.87639587568624E-3</v>
      </c>
      <c r="AF165" s="15">
        <v>-2.8034288306851298E-3</v>
      </c>
      <c r="AG165" s="15">
        <v>-9.6311382649482396E-3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0.29545929296167572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0.55154512859502758</v>
      </c>
      <c r="BE165" s="29">
        <f t="shared" si="62"/>
        <v>0</v>
      </c>
      <c r="BF165" s="29">
        <f t="shared" si="63"/>
        <v>0.84700442155670341</v>
      </c>
      <c r="BH165" s="29"/>
    </row>
    <row r="166" spans="1:60" x14ac:dyDescent="0.25">
      <c r="A166" s="1">
        <v>46262</v>
      </c>
      <c r="B166" s="33">
        <v>374.66</v>
      </c>
      <c r="C166" s="33">
        <v>385</v>
      </c>
      <c r="D166" s="15">
        <v>-2.2616383099648099E-2</v>
      </c>
      <c r="E166" s="15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374.66</v>
      </c>
      <c r="M166" s="33">
        <v>385</v>
      </c>
      <c r="N166" s="34">
        <v>1.02759835584263</v>
      </c>
      <c r="O166" s="34">
        <v>1.00650546826212</v>
      </c>
      <c r="P166" s="34">
        <v>1.0152664674540399</v>
      </c>
      <c r="Q166" s="34">
        <v>0.99772300067835096</v>
      </c>
      <c r="R166" s="33">
        <v>377.09733873908601</v>
      </c>
      <c r="S166" s="33">
        <v>376.85258685290302</v>
      </c>
      <c r="T166" s="33">
        <v>373.75263841067999</v>
      </c>
      <c r="U166" s="15">
        <v>-2.0739987223961798E-2</v>
      </c>
      <c r="V166" s="15">
        <v>-2.1389239611879201E-2</v>
      </c>
      <c r="W166" s="15">
        <v>-2.9649150315014101E-2</v>
      </c>
      <c r="X166" s="34">
        <v>1.02759835584263</v>
      </c>
      <c r="Y166" s="34">
        <v>1.00650546826212</v>
      </c>
      <c r="Z166" s="34">
        <v>1.0152664674540399</v>
      </c>
      <c r="AA166" s="34">
        <v>0.99772300067835096</v>
      </c>
      <c r="AB166" s="33">
        <v>377.09733873908601</v>
      </c>
      <c r="AC166" s="33">
        <v>376.85258685290302</v>
      </c>
      <c r="AD166" s="33">
        <v>373.75263841067999</v>
      </c>
      <c r="AE166" s="15">
        <v>-2.0739987223961798E-2</v>
      </c>
      <c r="AF166" s="15">
        <v>-2.1389239611879201E-2</v>
      </c>
      <c r="AG166" s="15">
        <v>-2.9649150315014101E-2</v>
      </c>
      <c r="AI166" s="12"/>
      <c r="AJ166">
        <f t="shared" si="46"/>
        <v>0</v>
      </c>
      <c r="AK166">
        <f t="shared" si="47"/>
        <v>0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0.29545929296167572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0.55154512859502758</v>
      </c>
      <c r="BE166" s="29">
        <f t="shared" si="62"/>
        <v>0</v>
      </c>
      <c r="BF166" s="29">
        <f t="shared" si="63"/>
        <v>0.84700442155670341</v>
      </c>
      <c r="BH166" s="29"/>
    </row>
    <row r="167" spans="1:60" x14ac:dyDescent="0.25">
      <c r="A167" s="1">
        <v>46265</v>
      </c>
      <c r="B167" s="33">
        <v>371.5</v>
      </c>
      <c r="C167" s="33">
        <v>375</v>
      </c>
      <c r="D167" s="15">
        <v>-8.4700838750990104E-3</v>
      </c>
      <c r="E167" s="15">
        <v>-2.6317308317373399E-2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371.5</v>
      </c>
      <c r="M167" s="33">
        <v>375</v>
      </c>
      <c r="N167" s="34">
        <v>1.0094212651413099</v>
      </c>
      <c r="O167" s="34">
        <v>1.00650546826212</v>
      </c>
      <c r="P167" s="34">
        <v>1.0151712775193</v>
      </c>
      <c r="Q167" s="34">
        <v>0.99805765896421295</v>
      </c>
      <c r="R167" s="33">
        <v>373.91678145937698</v>
      </c>
      <c r="S167" s="33">
        <v>377.17149265917902</v>
      </c>
      <c r="T167" s="33">
        <v>370.65409475200698</v>
      </c>
      <c r="U167" s="15">
        <v>-2.89276278168734E-3</v>
      </c>
      <c r="V167" s="15">
        <v>5.7739457376894104E-3</v>
      </c>
      <c r="W167" s="15">
        <v>-1.16567574391396E-2</v>
      </c>
      <c r="X167" s="34">
        <v>1.0094212651413099</v>
      </c>
      <c r="Y167" s="34">
        <v>1.00650546826212</v>
      </c>
      <c r="Z167" s="34">
        <v>1.0151712775193</v>
      </c>
      <c r="AA167" s="34">
        <v>0.99805765896421295</v>
      </c>
      <c r="AB167" s="33">
        <v>373.91678145937698</v>
      </c>
      <c r="AC167" s="33">
        <v>377.17149265917902</v>
      </c>
      <c r="AD167" s="33">
        <v>370.65409475200698</v>
      </c>
      <c r="AE167" s="15">
        <v>-2.89276278168734E-3</v>
      </c>
      <c r="AF167" s="15">
        <v>5.7739457376894104E-3</v>
      </c>
      <c r="AG167" s="15">
        <v>-1.16567574391396E-2</v>
      </c>
      <c r="AI167" s="12"/>
      <c r="AJ167">
        <f t="shared" si="46"/>
        <v>0</v>
      </c>
      <c r="AK167">
        <f t="shared" si="47"/>
        <v>0</v>
      </c>
      <c r="AL167">
        <f t="shared" si="54"/>
        <v>0</v>
      </c>
      <c r="AM167">
        <f t="shared" si="44"/>
        <v>1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0.29545929296167572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0.55154512859502758</v>
      </c>
      <c r="BE167" s="29">
        <f t="shared" si="62"/>
        <v>0</v>
      </c>
      <c r="BF167" s="29">
        <f t="shared" si="63"/>
        <v>0.84700442155670341</v>
      </c>
      <c r="BH167" s="29"/>
    </row>
    <row r="168" spans="1:60" x14ac:dyDescent="0.25">
      <c r="A168" s="1">
        <v>46266</v>
      </c>
      <c r="B168" s="33">
        <v>365.03</v>
      </c>
      <c r="C168" s="33">
        <v>373.4</v>
      </c>
      <c r="D168" s="15">
        <v>-1.7569322172059799E-2</v>
      </c>
      <c r="E168" s="15">
        <v>-4.2757948627886603E-3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365.03</v>
      </c>
      <c r="M168" s="33">
        <v>373.4</v>
      </c>
      <c r="N168" s="34">
        <v>1.0229296222228299</v>
      </c>
      <c r="O168" s="34">
        <v>1.00650546826212</v>
      </c>
      <c r="P168" s="34">
        <v>1.01558171478214</v>
      </c>
      <c r="Q168" s="34">
        <v>1.00114278828103</v>
      </c>
      <c r="R168" s="33">
        <v>367.40469107972098</v>
      </c>
      <c r="S168" s="33">
        <v>370.56797143287201</v>
      </c>
      <c r="T168" s="33">
        <v>364.32098725170601</v>
      </c>
      <c r="U168" s="15">
        <v>-1.61862900909584E-2</v>
      </c>
      <c r="V168" s="15">
        <v>-7.6133445397381996E-3</v>
      </c>
      <c r="W168" s="15">
        <v>-2.4614918948183899E-2</v>
      </c>
      <c r="X168" s="34">
        <v>1.0229296222228299</v>
      </c>
      <c r="Y168" s="34">
        <v>1.00650546826212</v>
      </c>
      <c r="Z168" s="34">
        <v>1.01558171478214</v>
      </c>
      <c r="AA168" s="34">
        <v>1.00114278828103</v>
      </c>
      <c r="AB168" s="33">
        <v>367.40469107972098</v>
      </c>
      <c r="AC168" s="33">
        <v>370.56797143287201</v>
      </c>
      <c r="AD168" s="33">
        <v>364.32098725170601</v>
      </c>
      <c r="AE168" s="15">
        <v>-1.61862900909584E-2</v>
      </c>
      <c r="AF168" s="15">
        <v>-7.6133445397381996E-3</v>
      </c>
      <c r="AG168" s="15">
        <v>-2.4614918948183899E-2</v>
      </c>
      <c r="AI168" s="12"/>
      <c r="AJ168">
        <f t="shared" si="46"/>
        <v>0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0.29545929296167572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0.55154512859502758</v>
      </c>
      <c r="BE168" s="29">
        <f t="shared" si="62"/>
        <v>0</v>
      </c>
      <c r="BF168" s="29">
        <f t="shared" si="63"/>
        <v>0.84700442155670341</v>
      </c>
      <c r="BH168" s="29"/>
    </row>
    <row r="169" spans="1:60" x14ac:dyDescent="0.25">
      <c r="A169" s="1">
        <v>46267</v>
      </c>
      <c r="B169" s="33">
        <v>365.16</v>
      </c>
      <c r="C169" s="33">
        <v>373.49</v>
      </c>
      <c r="D169" s="15">
        <v>3.5607171112618101E-4</v>
      </c>
      <c r="E169" s="15">
        <v>2.4099934511284099E-4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365.16</v>
      </c>
      <c r="M169" s="33">
        <v>373.49</v>
      </c>
      <c r="N169" s="34">
        <v>1.02281191806331</v>
      </c>
      <c r="O169" s="34">
        <v>1.00650546826212</v>
      </c>
      <c r="P169" s="34">
        <v>1.01621789758472</v>
      </c>
      <c r="Q169" s="34">
        <v>1.0041961531099599</v>
      </c>
      <c r="R169" s="33">
        <v>367.53553679059598</v>
      </c>
      <c r="S169" s="33">
        <v>370.84981896984601</v>
      </c>
      <c r="T169" s="33">
        <v>365.57730056870201</v>
      </c>
      <c r="U169" s="15">
        <v>-1.60712177249452E-2</v>
      </c>
      <c r="V169" s="15">
        <v>-7.0940504195485298E-3</v>
      </c>
      <c r="W169" s="15">
        <v>-2.1413480960292601E-2</v>
      </c>
      <c r="X169" s="34">
        <v>1.02281191806331</v>
      </c>
      <c r="Y169" s="34">
        <v>1.00650546826212</v>
      </c>
      <c r="Z169" s="34">
        <v>1.01621789758472</v>
      </c>
      <c r="AA169" s="34">
        <v>1.0041961531099599</v>
      </c>
      <c r="AB169" s="33">
        <v>367.53553679059598</v>
      </c>
      <c r="AC169" s="33">
        <v>370.84981896984601</v>
      </c>
      <c r="AD169" s="33">
        <v>365.57730056870201</v>
      </c>
      <c r="AE169" s="15">
        <v>-1.60712177249452E-2</v>
      </c>
      <c r="AF169" s="15">
        <v>-7.0940504195485298E-3</v>
      </c>
      <c r="AG169" s="15">
        <v>-2.1413480960292601E-2</v>
      </c>
      <c r="AI169" s="12"/>
      <c r="AJ169">
        <f t="shared" si="46"/>
        <v>0</v>
      </c>
      <c r="AK169">
        <f t="shared" si="47"/>
        <v>0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0.29545929296167572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0.55154512859502758</v>
      </c>
      <c r="BE169" s="29">
        <f t="shared" si="62"/>
        <v>0</v>
      </c>
      <c r="BF169" s="29">
        <f t="shared" si="63"/>
        <v>0.84700442155670341</v>
      </c>
      <c r="BH169" s="29"/>
    </row>
    <row r="170" spans="1:60" x14ac:dyDescent="0.25">
      <c r="A170" s="1">
        <v>46268</v>
      </c>
      <c r="B170" s="33">
        <v>370.12</v>
      </c>
      <c r="C170" s="33">
        <v>368.03</v>
      </c>
      <c r="D170" s="15">
        <v>1.34916636839495E-2</v>
      </c>
      <c r="E170" s="15">
        <v>-1.47267738673899E-2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370.12</v>
      </c>
      <c r="M170" s="33">
        <v>368.03</v>
      </c>
      <c r="N170" s="34">
        <v>0.99435318275153906</v>
      </c>
      <c r="O170" s="34">
        <v>1.00650546826212</v>
      </c>
      <c r="P170" s="34">
        <v>1.0149140671913901</v>
      </c>
      <c r="Q170" s="34">
        <v>1.00373625283811</v>
      </c>
      <c r="R170" s="33">
        <v>372.527803913176</v>
      </c>
      <c r="S170" s="33">
        <v>376.12256825405802</v>
      </c>
      <c r="T170" s="33">
        <v>371.67308018905999</v>
      </c>
      <c r="U170" s="15">
        <v>1.21472198263942E-2</v>
      </c>
      <c r="V170" s="15">
        <v>2.1750613083899702E-2</v>
      </c>
      <c r="W170" s="15">
        <v>9.8501946059445494E-3</v>
      </c>
      <c r="X170" s="34">
        <v>0.99435318275153906</v>
      </c>
      <c r="Y170" s="34">
        <v>1.00650546826212</v>
      </c>
      <c r="Z170" s="34">
        <v>1.0149140671913901</v>
      </c>
      <c r="AA170" s="34">
        <v>1.00373625283811</v>
      </c>
      <c r="AB170" s="33">
        <v>372.527803913176</v>
      </c>
      <c r="AC170" s="33">
        <v>376.12256825405802</v>
      </c>
      <c r="AD170" s="33">
        <v>371.67308018905999</v>
      </c>
      <c r="AE170" s="15">
        <v>1.21472198263942E-2</v>
      </c>
      <c r="AF170" s="15">
        <v>2.1750613083899702E-2</v>
      </c>
      <c r="AG170" s="15">
        <v>9.8501946059445494E-3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0.29545929296167572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0.55154512859502758</v>
      </c>
      <c r="BE170" s="29">
        <f t="shared" si="62"/>
        <v>0</v>
      </c>
      <c r="BF170" s="29">
        <f t="shared" si="63"/>
        <v>0.84700442155670341</v>
      </c>
      <c r="BH170" s="29"/>
    </row>
    <row r="171" spans="1:60" x14ac:dyDescent="0.25">
      <c r="A171" s="1">
        <v>46269</v>
      </c>
      <c r="B171" s="33">
        <v>371.68</v>
      </c>
      <c r="C171" s="33">
        <v>374.49</v>
      </c>
      <c r="D171" s="15">
        <v>4.2059916412694699E-3</v>
      </c>
      <c r="E171" s="15">
        <v>1.7400643745724399E-2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371.68</v>
      </c>
      <c r="M171" s="33">
        <v>374.49</v>
      </c>
      <c r="N171" s="34">
        <v>1.00756026689625</v>
      </c>
      <c r="O171" s="34">
        <v>1.00650546826212</v>
      </c>
      <c r="P171" s="34">
        <v>1.0136245575701801</v>
      </c>
      <c r="Q171" s="34">
        <v>1.0030301948376299</v>
      </c>
      <c r="R171" s="33">
        <v>374.09795244366501</v>
      </c>
      <c r="S171" s="33">
        <v>377.22326049369701</v>
      </c>
      <c r="T171" s="33">
        <v>373.068690454869</v>
      </c>
      <c r="U171" s="15">
        <v>-1.0474322780606199E-3</v>
      </c>
      <c r="V171" s="15">
        <v>7.2721147350562499E-3</v>
      </c>
      <c r="W171" s="15">
        <v>-3.8025409265534001E-3</v>
      </c>
      <c r="X171" s="34">
        <v>1.00756026689625</v>
      </c>
      <c r="Y171" s="34">
        <v>1.00650546826212</v>
      </c>
      <c r="Z171" s="34">
        <v>1.0136245575701801</v>
      </c>
      <c r="AA171" s="34">
        <v>1.0030301948376299</v>
      </c>
      <c r="AB171" s="33">
        <v>374.09795244366501</v>
      </c>
      <c r="AC171" s="33">
        <v>377.22326049369701</v>
      </c>
      <c r="AD171" s="33">
        <v>373.068690454869</v>
      </c>
      <c r="AE171" s="15">
        <v>-1.0474322780606199E-3</v>
      </c>
      <c r="AF171" s="15">
        <v>7.2721147350562499E-3</v>
      </c>
      <c r="AG171" s="15">
        <v>-3.8025409265534001E-3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0.29545929296167572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0.55154512859502758</v>
      </c>
      <c r="BE171" s="29">
        <f t="shared" si="62"/>
        <v>0</v>
      </c>
      <c r="BF171" s="29">
        <f t="shared" si="63"/>
        <v>0.84700442155670341</v>
      </c>
      <c r="BH171" s="29"/>
    </row>
    <row r="172" spans="1:60" x14ac:dyDescent="0.25">
      <c r="A172" s="1">
        <v>46273</v>
      </c>
      <c r="B172" s="33">
        <v>369.61</v>
      </c>
      <c r="C172" s="33">
        <v>378.45</v>
      </c>
      <c r="D172" s="15">
        <v>-5.5848733435280504E-3</v>
      </c>
      <c r="E172" s="15">
        <v>1.05188634241071E-2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369.61</v>
      </c>
      <c r="M172" s="33">
        <v>378.45</v>
      </c>
      <c r="N172" s="34">
        <v>1.0239171018100099</v>
      </c>
      <c r="O172" s="34">
        <v>1.00650546826212</v>
      </c>
      <c r="P172" s="34">
        <v>1.0139572893414901</v>
      </c>
      <c r="Q172" s="34">
        <v>1.0039697961148299</v>
      </c>
      <c r="R172" s="33">
        <v>372.01448612436201</v>
      </c>
      <c r="S172" s="33">
        <v>374.64577272351403</v>
      </c>
      <c r="T172" s="33">
        <v>370.72999031393698</v>
      </c>
      <c r="U172" s="15">
        <v>-1.7151169045695799E-2</v>
      </c>
      <c r="V172" s="15">
        <v>-1.0102990276858501E-2</v>
      </c>
      <c r="W172" s="15">
        <v>-2.0609955025877699E-2</v>
      </c>
      <c r="X172" s="34">
        <v>1.0239171018100099</v>
      </c>
      <c r="Y172" s="34">
        <v>1.00650546826212</v>
      </c>
      <c r="Z172" s="34">
        <v>1.0139572893414901</v>
      </c>
      <c r="AA172" s="34">
        <v>1.0039697961148299</v>
      </c>
      <c r="AB172" s="33">
        <v>372.01448612436201</v>
      </c>
      <c r="AC172" s="33">
        <v>374.64577272351403</v>
      </c>
      <c r="AD172" s="33">
        <v>370.72999031393698</v>
      </c>
      <c r="AE172" s="15">
        <v>-1.7151169045695799E-2</v>
      </c>
      <c r="AF172" s="15">
        <v>-1.0102990276858501E-2</v>
      </c>
      <c r="AG172" s="15">
        <v>-2.0609955025877699E-2</v>
      </c>
      <c r="AI172" s="12"/>
      <c r="AJ172">
        <f t="shared" si="46"/>
        <v>0</v>
      </c>
      <c r="AK172">
        <f t="shared" si="47"/>
        <v>0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0.29545929296167572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0.55154512859502758</v>
      </c>
      <c r="BE172" s="29">
        <f t="shared" si="62"/>
        <v>0</v>
      </c>
      <c r="BF172" s="29">
        <f t="shared" si="63"/>
        <v>0.84700442155670341</v>
      </c>
      <c r="BH172" s="29"/>
    </row>
    <row r="173" spans="1:60" x14ac:dyDescent="0.25">
      <c r="A173" s="1">
        <v>46274</v>
      </c>
      <c r="B173" s="33">
        <v>367.51</v>
      </c>
      <c r="C173" s="33">
        <v>370.11</v>
      </c>
      <c r="D173" s="15">
        <v>-5.69786651153529E-3</v>
      </c>
      <c r="E173" s="15">
        <v>-2.2283705003693401E-2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367.51</v>
      </c>
      <c r="M173" s="33">
        <v>370.11</v>
      </c>
      <c r="N173" s="34">
        <v>1.0070746374248301</v>
      </c>
      <c r="O173" s="34">
        <v>1.00650546826212</v>
      </c>
      <c r="P173" s="34">
        <v>1.01228108308158</v>
      </c>
      <c r="Q173" s="34">
        <v>1.0049386654027299</v>
      </c>
      <c r="R173" s="33">
        <v>369.90082464101101</v>
      </c>
      <c r="S173" s="33">
        <v>372.639443405892</v>
      </c>
      <c r="T173" s="33">
        <v>368.96893977016202</v>
      </c>
      <c r="U173" s="15">
        <v>-5.65330553537763E-4</v>
      </c>
      <c r="V173" s="15">
        <v>6.8110537324341603E-3</v>
      </c>
      <c r="W173" s="15">
        <v>-3.0877923183913001E-3</v>
      </c>
      <c r="X173" s="34">
        <v>1.0070746374248301</v>
      </c>
      <c r="Y173" s="34">
        <v>1.00650546826212</v>
      </c>
      <c r="Z173" s="34">
        <v>1.01228108308158</v>
      </c>
      <c r="AA173" s="34">
        <v>1.0049386654027299</v>
      </c>
      <c r="AB173" s="33">
        <v>369.90082464101101</v>
      </c>
      <c r="AC173" s="33">
        <v>372.639443405892</v>
      </c>
      <c r="AD173" s="33">
        <v>368.96893977016202</v>
      </c>
      <c r="AE173" s="15">
        <v>-5.65330553537763E-4</v>
      </c>
      <c r="AF173" s="15">
        <v>6.8110537324341603E-3</v>
      </c>
      <c r="AG173" s="15">
        <v>-3.0877923183913001E-3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0.29545929296167572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0.55154512859502758</v>
      </c>
      <c r="BE173" s="29">
        <f t="shared" si="62"/>
        <v>0</v>
      </c>
      <c r="BF173" s="29">
        <f t="shared" si="63"/>
        <v>0.84700442155670341</v>
      </c>
      <c r="BH173" s="29"/>
    </row>
    <row r="174" spans="1:60" x14ac:dyDescent="0.25">
      <c r="A174" s="1">
        <v>46275</v>
      </c>
      <c r="B174" s="33">
        <v>366.72</v>
      </c>
      <c r="C174" s="33">
        <v>370.11</v>
      </c>
      <c r="D174" s="15">
        <v>-2.1519150807155899E-3</v>
      </c>
      <c r="E174" s="15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366.72</v>
      </c>
      <c r="M174" s="33">
        <v>370.11</v>
      </c>
      <c r="N174" s="34">
        <v>1.0092441099476399</v>
      </c>
      <c r="O174" s="34">
        <v>1.00650546826212</v>
      </c>
      <c r="P174" s="34">
        <v>1.01295290964284</v>
      </c>
      <c r="Q174" s="34">
        <v>1.00737955659574</v>
      </c>
      <c r="R174" s="33">
        <v>369.10568532108402</v>
      </c>
      <c r="S174" s="33">
        <v>371.22371878767899</v>
      </c>
      <c r="T174" s="33">
        <v>368.531107376492</v>
      </c>
      <c r="U174" s="15">
        <v>-2.71724563425334E-3</v>
      </c>
      <c r="V174" s="15">
        <v>3.00463771531759E-3</v>
      </c>
      <c r="W174" s="15">
        <v>-4.2751344665085903E-3</v>
      </c>
      <c r="X174" s="34">
        <v>1.0092441099476399</v>
      </c>
      <c r="Y174" s="34">
        <v>1.00650546826212</v>
      </c>
      <c r="Z174" s="34">
        <v>1.01295290964284</v>
      </c>
      <c r="AA174" s="34">
        <v>1.00737955659574</v>
      </c>
      <c r="AB174" s="33">
        <v>369.10568532108402</v>
      </c>
      <c r="AC174" s="33">
        <v>371.22371878767899</v>
      </c>
      <c r="AD174" s="33">
        <v>368.531107376492</v>
      </c>
      <c r="AE174" s="15">
        <v>-2.71724563425334E-3</v>
      </c>
      <c r="AF174" s="15">
        <v>3.00463771531759E-3</v>
      </c>
      <c r="AG174" s="15">
        <v>-4.2751344665085903E-3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0.29545929296167572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0.55154512859502758</v>
      </c>
      <c r="BE174" s="29">
        <f t="shared" si="62"/>
        <v>0</v>
      </c>
      <c r="BF174" s="29">
        <f t="shared" si="63"/>
        <v>0.84700442155670341</v>
      </c>
      <c r="BH174" s="29"/>
    </row>
    <row r="175" spans="1:60" x14ac:dyDescent="0.25">
      <c r="A175" s="1">
        <v>46276</v>
      </c>
      <c r="B175" s="33">
        <v>367.02</v>
      </c>
      <c r="C175" s="33">
        <v>365.95</v>
      </c>
      <c r="D175" s="15">
        <v>8.1772839620828004E-4</v>
      </c>
      <c r="E175" s="15">
        <v>-1.1303546704246799E-2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367.02</v>
      </c>
      <c r="M175" s="33">
        <v>365.95</v>
      </c>
      <c r="N175" s="34">
        <v>0.99708462754073302</v>
      </c>
      <c r="O175" s="34">
        <v>1.00650546826212</v>
      </c>
      <c r="P175" s="34">
        <v>1.01219950876411</v>
      </c>
      <c r="Q175" s="34">
        <v>1.0090258565185299</v>
      </c>
      <c r="R175" s="33">
        <v>369.40763696156301</v>
      </c>
      <c r="S175" s="33">
        <v>371.77397689711597</v>
      </c>
      <c r="T175" s="33">
        <v>369.728444861772</v>
      </c>
      <c r="U175" s="15">
        <v>9.4040294662018197E-3</v>
      </c>
      <c r="V175" s="15">
        <v>1.5789368582675399E-2</v>
      </c>
      <c r="W175" s="15">
        <v>1.0272091324478601E-2</v>
      </c>
      <c r="X175" s="34">
        <v>0.99708462754073302</v>
      </c>
      <c r="Y175" s="34">
        <v>1.00650546826212</v>
      </c>
      <c r="Z175" s="34">
        <v>1.01219950876411</v>
      </c>
      <c r="AA175" s="34">
        <v>1.0090258565185299</v>
      </c>
      <c r="AB175" s="33">
        <v>369.40763696156301</v>
      </c>
      <c r="AC175" s="33">
        <v>371.77397689711597</v>
      </c>
      <c r="AD175" s="33">
        <v>369.728444861772</v>
      </c>
      <c r="AE175" s="15">
        <v>9.4040294662018197E-3</v>
      </c>
      <c r="AF175" s="15">
        <v>1.5789368582675399E-2</v>
      </c>
      <c r="AG175" s="15">
        <v>1.0272091324478601E-2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0.29545929296167572</v>
      </c>
      <c r="AT175" s="12"/>
      <c r="AU175">
        <f t="shared" si="50"/>
        <v>0</v>
      </c>
      <c r="AV175">
        <f t="shared" si="51"/>
        <v>0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0.55154512859502758</v>
      </c>
      <c r="BE175" s="29">
        <f t="shared" si="62"/>
        <v>0</v>
      </c>
      <c r="BF175" s="29">
        <f t="shared" si="63"/>
        <v>0.84700442155670341</v>
      </c>
      <c r="BH175" s="29"/>
    </row>
    <row r="176" spans="1:60" x14ac:dyDescent="0.25">
      <c r="A176" s="1">
        <v>46279</v>
      </c>
      <c r="B176" s="33">
        <v>362.41</v>
      </c>
      <c r="C176" s="33">
        <v>365.95</v>
      </c>
      <c r="D176" s="15">
        <v>-1.26401748754219E-2</v>
      </c>
      <c r="E176" s="15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362.41</v>
      </c>
      <c r="M176" s="33">
        <v>365.95</v>
      </c>
      <c r="N176" s="34">
        <v>1.00976794238569</v>
      </c>
      <c r="O176" s="34">
        <v>1.00650546826212</v>
      </c>
      <c r="P176" s="34">
        <v>1.01041646741841</v>
      </c>
      <c r="Q176" s="34">
        <v>1.01284146743623</v>
      </c>
      <c r="R176" s="33">
        <v>364.76764675287501</v>
      </c>
      <c r="S176" s="33">
        <v>366.83122397120098</v>
      </c>
      <c r="T176" s="33">
        <v>365.68106066088001</v>
      </c>
      <c r="U176" s="15">
        <v>-3.2361454092199602E-3</v>
      </c>
      <c r="V176" s="15">
        <v>2.4051500425484201E-3</v>
      </c>
      <c r="W176" s="15">
        <v>-7.3517751143472405E-4</v>
      </c>
      <c r="X176" s="34">
        <v>1.00976794238569</v>
      </c>
      <c r="Y176" s="34">
        <v>1.00650546826212</v>
      </c>
      <c r="Z176" s="34">
        <v>1.01041646741841</v>
      </c>
      <c r="AA176" s="34">
        <v>1.01284146743623</v>
      </c>
      <c r="AB176" s="33">
        <v>364.76764675287501</v>
      </c>
      <c r="AC176" s="33">
        <v>366.83122397120098</v>
      </c>
      <c r="AD176" s="33">
        <v>365.68106066088001</v>
      </c>
      <c r="AE176" s="15">
        <v>-3.2361454092199602E-3</v>
      </c>
      <c r="AF176" s="15">
        <v>2.4051500425484201E-3</v>
      </c>
      <c r="AG176" s="15">
        <v>-7.3517751143472405E-4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0.29545929296167572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0.55154512859502758</v>
      </c>
      <c r="BE176" s="29">
        <f t="shared" si="62"/>
        <v>0</v>
      </c>
      <c r="BF176" s="29">
        <f t="shared" si="63"/>
        <v>0.84700442155670341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2026-09-22T19:40:58Z</dcterms:created>
  <dcterms:modified xsi:type="dcterms:W3CDTF">2026-09-22T20:16:08Z</dcterms:modified>
</cp:coreProperties>
</file>