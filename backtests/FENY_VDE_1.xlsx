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71D5CC79-F22A-43E8-9218-83461D1E1301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P27" i="1"/>
  <c r="BR28" i="1" s="1"/>
  <c r="BP28" i="1" s="1"/>
  <c r="BR29" i="1" s="1"/>
  <c r="BU26" i="1"/>
  <c r="BX26" i="1" s="1"/>
  <c r="BX24" i="1"/>
  <c r="BS27" i="1"/>
  <c r="BU27" i="1" s="1"/>
  <c r="BI27" i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1" i="1" s="1"/>
  <c r="BU30" i="1"/>
  <c r="BX29" i="1"/>
  <c r="BD31" i="1"/>
  <c r="BF32" i="1" s="1"/>
  <c r="BG31" i="1"/>
  <c r="BH31" i="1"/>
  <c r="BI30" i="1" l="1"/>
  <c r="BJ30" i="1" s="1"/>
  <c r="BY29" i="1"/>
  <c r="BV30" i="1"/>
  <c r="BV31" i="1" s="1"/>
  <c r="BP32" i="1"/>
  <c r="BR33" i="1" s="1"/>
  <c r="BS32" i="1"/>
  <c r="BT32" i="1"/>
  <c r="BI31" i="1"/>
  <c r="BD32" i="1"/>
  <c r="BF33" i="1" s="1"/>
  <c r="BG32" i="1"/>
  <c r="BH32" i="1"/>
  <c r="BX30" i="1" l="1"/>
  <c r="BY30" i="1"/>
  <c r="BU32" i="1"/>
  <c r="BV32" i="1" s="1"/>
  <c r="BS33" i="1"/>
  <c r="BT33" i="1"/>
  <c r="BP33" i="1"/>
  <c r="BR34" i="1" s="1"/>
  <c r="BI32" i="1"/>
  <c r="BH33" i="1"/>
  <c r="BG33" i="1"/>
  <c r="BD33" i="1"/>
  <c r="BF34" i="1" s="1"/>
  <c r="BX31" i="1"/>
  <c r="BJ31" i="1"/>
  <c r="BY31" i="1" l="1"/>
  <c r="BU33" i="1"/>
  <c r="BV33" i="1" s="1"/>
  <c r="BX32" i="1"/>
  <c r="BI33" i="1"/>
  <c r="BJ32" i="1"/>
  <c r="BH34" i="1"/>
  <c r="BD34" i="1"/>
  <c r="BF35" i="1" s="1"/>
  <c r="BG34" i="1"/>
  <c r="BS34" i="1"/>
  <c r="BT34" i="1"/>
  <c r="BP34" i="1"/>
  <c r="BR35" i="1" s="1"/>
  <c r="BY32" i="1" l="1"/>
  <c r="BJ33" i="1"/>
  <c r="BX33" i="1"/>
  <c r="BY33" i="1" s="1"/>
  <c r="BD35" i="1"/>
  <c r="BF36" i="1" s="1"/>
  <c r="BG35" i="1"/>
  <c r="BH35" i="1"/>
  <c r="BI34" i="1"/>
  <c r="BU34" i="1"/>
  <c r="BV34" i="1" s="1"/>
  <c r="BT35" i="1"/>
  <c r="BS35" i="1"/>
  <c r="BU35" i="1" s="1"/>
  <c r="BP35" i="1"/>
  <c r="BR36" i="1" s="1"/>
  <c r="BJ34" i="1" l="1"/>
  <c r="BI35" i="1"/>
  <c r="BJ35" i="1" s="1"/>
  <c r="BG36" i="1"/>
  <c r="BD36" i="1"/>
  <c r="BF37" i="1" s="1"/>
  <c r="BH36" i="1"/>
  <c r="BV35" i="1"/>
  <c r="BT36" i="1"/>
  <c r="BS36" i="1"/>
  <c r="BP36" i="1"/>
  <c r="BR37" i="1" s="1"/>
  <c r="BX34" i="1"/>
  <c r="BY34" i="1" s="1"/>
  <c r="BU36" i="1" l="1"/>
  <c r="BV36" i="1" s="1"/>
  <c r="BG37" i="1"/>
  <c r="BH37" i="1"/>
  <c r="BI37" i="1" s="1"/>
  <c r="BD37" i="1"/>
  <c r="BF38" i="1" s="1"/>
  <c r="BI36" i="1"/>
  <c r="BJ36" i="1" s="1"/>
  <c r="BX35" i="1"/>
  <c r="BY35" i="1" s="1"/>
  <c r="BP37" i="1"/>
  <c r="BR38" i="1" s="1"/>
  <c r="BT37" i="1"/>
  <c r="BS37" i="1"/>
  <c r="BU37" i="1" s="1"/>
  <c r="BJ37" i="1" l="1"/>
  <c r="BD38" i="1"/>
  <c r="BF39" i="1" s="1"/>
  <c r="BG38" i="1"/>
  <c r="BH38" i="1"/>
  <c r="BX37" i="1"/>
  <c r="BX36" i="1"/>
  <c r="BY36" i="1" s="1"/>
  <c r="BP38" i="1"/>
  <c r="BR39" i="1" s="1"/>
  <c r="BT38" i="1"/>
  <c r="BS38" i="1"/>
  <c r="BV37" i="1"/>
  <c r="BY37" i="1" l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s="1"/>
  <c r="BI43" i="1" l="1"/>
  <c r="BJ43" i="1" s="1"/>
  <c r="BH44" i="1"/>
  <c r="BD44" i="1"/>
  <c r="BF45" i="1" s="1"/>
  <c r="BG44" i="1"/>
  <c r="BT44" i="1"/>
  <c r="BS44" i="1"/>
  <c r="BU44" i="1" s="1"/>
  <c r="BP44" i="1"/>
  <c r="BR45" i="1" s="1"/>
  <c r="BX42" i="1"/>
  <c r="BY42" i="1" s="1"/>
  <c r="BV42" i="1"/>
  <c r="BV43" i="1" s="1"/>
  <c r="BI44" i="1" l="1"/>
  <c r="BX44" i="1" s="1"/>
  <c r="BG45" i="1"/>
  <c r="BD45" i="1"/>
  <c r="BF46" i="1" s="1"/>
  <c r="BH45" i="1"/>
  <c r="BV44" i="1"/>
  <c r="BX43" i="1"/>
  <c r="BY43" i="1" s="1"/>
  <c r="BS45" i="1"/>
  <c r="BT45" i="1"/>
  <c r="BP45" i="1"/>
  <c r="BR46" i="1" s="1"/>
  <c r="BY44" i="1" l="1"/>
  <c r="BJ44" i="1"/>
  <c r="BD46" i="1"/>
  <c r="BF47" i="1" s="1"/>
  <c r="BH46" i="1"/>
  <c r="BG46" i="1"/>
  <c r="BI46" i="1" s="1"/>
  <c r="BI45" i="1"/>
  <c r="BT46" i="1"/>
  <c r="BS46" i="1"/>
  <c r="BP46" i="1"/>
  <c r="BR47" i="1" s="1"/>
  <c r="BU45" i="1"/>
  <c r="BU46" i="1" l="1"/>
  <c r="BJ45" i="1"/>
  <c r="BJ46" i="1" s="1"/>
  <c r="BX46" i="1"/>
  <c r="BH47" i="1"/>
  <c r="BD47" i="1"/>
  <c r="BF48" i="1" s="1"/>
  <c r="BG47" i="1"/>
  <c r="BX45" i="1"/>
  <c r="BY45" i="1" s="1"/>
  <c r="BV45" i="1"/>
  <c r="BV46" i="1" s="1"/>
  <c r="BS47" i="1"/>
  <c r="BT47" i="1"/>
  <c r="BP47" i="1"/>
  <c r="BR48" i="1" s="1"/>
  <c r="BU47" i="1" l="1"/>
  <c r="BV47" i="1" s="1"/>
  <c r="BI47" i="1"/>
  <c r="BJ47" i="1" s="1"/>
  <c r="BY46" i="1"/>
  <c r="BH48" i="1"/>
  <c r="BG48" i="1"/>
  <c r="BI48" i="1" s="1"/>
  <c r="BD48" i="1"/>
  <c r="BF49" i="1" s="1"/>
  <c r="BS48" i="1"/>
  <c r="BT48" i="1"/>
  <c r="BP48" i="1"/>
  <c r="BR49" i="1" s="1"/>
  <c r="BJ48" i="1" l="1"/>
  <c r="BX47" i="1"/>
  <c r="BY47" i="1" s="1"/>
  <c r="BU48" i="1"/>
  <c r="BV48" i="1" s="1"/>
  <c r="BD49" i="1"/>
  <c r="BF50" i="1" s="1"/>
  <c r="BH49" i="1"/>
  <c r="BG49" i="1"/>
  <c r="BP49" i="1"/>
  <c r="BR50" i="1" s="1"/>
  <c r="BT49" i="1"/>
  <c r="BS49" i="1"/>
  <c r="BU49" i="1" s="1"/>
  <c r="BI49" i="1" l="1"/>
  <c r="BX49" i="1" s="1"/>
  <c r="BJ49" i="1"/>
  <c r="BX48" i="1"/>
  <c r="BY48" i="1" s="1"/>
  <c r="BG50" i="1"/>
  <c r="BH50" i="1"/>
  <c r="BD50" i="1"/>
  <c r="BF51" i="1" s="1"/>
  <c r="BT50" i="1"/>
  <c r="BS50" i="1"/>
  <c r="BU50" i="1" s="1"/>
  <c r="BP50" i="1"/>
  <c r="BR51" i="1" s="1"/>
  <c r="BV49" i="1"/>
  <c r="BV50" i="1" l="1"/>
  <c r="BY49" i="1"/>
  <c r="BD51" i="1"/>
  <c r="BF52" i="1" s="1"/>
  <c r="BH51" i="1"/>
  <c r="BG51" i="1"/>
  <c r="BI51" i="1" s="1"/>
  <c r="BI50" i="1"/>
  <c r="BJ50" i="1" s="1"/>
  <c r="BX50" i="1"/>
  <c r="BS51" i="1"/>
  <c r="BT51" i="1"/>
  <c r="BP51" i="1"/>
  <c r="BR52" i="1" s="1"/>
  <c r="BY50" i="1" l="1"/>
  <c r="BJ51" i="1"/>
  <c r="BG52" i="1"/>
  <c r="BD52" i="1"/>
  <c r="BF53" i="1" s="1"/>
  <c r="BH52" i="1"/>
  <c r="BP52" i="1"/>
  <c r="BR53" i="1" s="1"/>
  <c r="BT52" i="1"/>
  <c r="BS52" i="1"/>
  <c r="BU51" i="1"/>
  <c r="BU52" i="1" l="1"/>
  <c r="BH53" i="1"/>
  <c r="BG53" i="1"/>
  <c r="BD53" i="1"/>
  <c r="BF54" i="1" s="1"/>
  <c r="BI52" i="1"/>
  <c r="BJ52" i="1" s="1"/>
  <c r="BX51" i="1"/>
  <c r="BY51" i="1" s="1"/>
  <c r="BV51" i="1"/>
  <c r="BT53" i="1"/>
  <c r="BS53" i="1"/>
  <c r="BU53" i="1" s="1"/>
  <c r="BP53" i="1"/>
  <c r="BR54" i="1" s="1"/>
  <c r="BV52" i="1" l="1"/>
  <c r="BV53" i="1" s="1"/>
  <c r="BV54" i="1" s="1"/>
  <c r="BI53" i="1"/>
  <c r="BJ53" i="1" s="1"/>
  <c r="BG54" i="1"/>
  <c r="BH54" i="1"/>
  <c r="BD54" i="1"/>
  <c r="BF55" i="1" s="1"/>
  <c r="BX52" i="1"/>
  <c r="BY52" i="1" s="1"/>
  <c r="BT54" i="1"/>
  <c r="BP54" i="1"/>
  <c r="BR55" i="1" s="1"/>
  <c r="BS54" i="1"/>
  <c r="BU54" i="1" s="1"/>
  <c r="BX53" i="1" l="1"/>
  <c r="BY53" i="1"/>
  <c r="BP55" i="1"/>
  <c r="BR56" i="1" s="1"/>
  <c r="BT55" i="1"/>
  <c r="BS55" i="1"/>
  <c r="BD55" i="1"/>
  <c r="BF56" i="1" s="1"/>
  <c r="BG55" i="1"/>
  <c r="BH55" i="1"/>
  <c r="BI54" i="1"/>
  <c r="BJ54" i="1" s="1"/>
  <c r="BU55" i="1" l="1"/>
  <c r="BV55" i="1" s="1"/>
  <c r="BS56" i="1"/>
  <c r="BP56" i="1"/>
  <c r="BR57" i="1" s="1"/>
  <c r="BT56" i="1"/>
  <c r="BI55" i="1"/>
  <c r="BH56" i="1"/>
  <c r="BD56" i="1"/>
  <c r="BF57" i="1" s="1"/>
  <c r="BG56" i="1"/>
  <c r="BI56" i="1" s="1"/>
  <c r="BX54" i="1"/>
  <c r="BY54" i="1" s="1"/>
  <c r="BX55" i="1" l="1"/>
  <c r="BY55" i="1" s="1"/>
  <c r="BS57" i="1"/>
  <c r="BP57" i="1"/>
  <c r="BR58" i="1" s="1"/>
  <c r="BT57" i="1"/>
  <c r="BU56" i="1"/>
  <c r="BV56" i="1" s="1"/>
  <c r="BG57" i="1"/>
  <c r="BH57" i="1"/>
  <c r="BI57" i="1" s="1"/>
  <c r="BD57" i="1"/>
  <c r="BF58" i="1" s="1"/>
  <c r="BJ55" i="1"/>
  <c r="BJ56" i="1" s="1"/>
  <c r="BJ57" i="1" s="1"/>
  <c r="BU57" i="1" l="1"/>
  <c r="BX57" i="1" s="1"/>
  <c r="BX56" i="1"/>
  <c r="BY56" i="1" s="1"/>
  <c r="BS58" i="1"/>
  <c r="BT58" i="1"/>
  <c r="BP58" i="1"/>
  <c r="BR59" i="1" s="1"/>
  <c r="BD58" i="1"/>
  <c r="BF59" i="1" s="1"/>
  <c r="BG58" i="1"/>
  <c r="BH58" i="1"/>
  <c r="BY57" i="1" l="1"/>
  <c r="BV57" i="1"/>
  <c r="BU58" i="1"/>
  <c r="BV58" i="1" s="1"/>
  <c r="BT59" i="1"/>
  <c r="BP59" i="1"/>
  <c r="BR60" i="1" s="1"/>
  <c r="BS59" i="1"/>
  <c r="BH59" i="1"/>
  <c r="BD59" i="1"/>
  <c r="BF60" i="1" s="1"/>
  <c r="BG59" i="1"/>
  <c r="BI59" i="1" s="1"/>
  <c r="BI58" i="1"/>
  <c r="BU59" i="1" l="1"/>
  <c r="BV59" i="1" s="1"/>
  <c r="BS60" i="1"/>
  <c r="BT60" i="1"/>
  <c r="BP60" i="1"/>
  <c r="BR61" i="1" s="1"/>
  <c r="BH60" i="1"/>
  <c r="BD60" i="1"/>
  <c r="BF61" i="1" s="1"/>
  <c r="BG60" i="1"/>
  <c r="BI60" i="1" s="1"/>
  <c r="BX58" i="1"/>
  <c r="BY58" i="1" s="1"/>
  <c r="BJ58" i="1"/>
  <c r="BJ59" i="1" s="1"/>
  <c r="BX59" i="1" l="1"/>
  <c r="BY59" i="1" s="1"/>
  <c r="BU60" i="1"/>
  <c r="BV60" i="1" s="1"/>
  <c r="BP61" i="1"/>
  <c r="BR62" i="1" s="1"/>
  <c r="BS61" i="1"/>
  <c r="BT61" i="1"/>
  <c r="BD61" i="1"/>
  <c r="BF62" i="1" s="1"/>
  <c r="BH61" i="1"/>
  <c r="BG61" i="1"/>
  <c r="BJ60" i="1"/>
  <c r="BI61" i="1" l="1"/>
  <c r="BJ61" i="1" s="1"/>
  <c r="BX60" i="1"/>
  <c r="BY60" i="1" s="1"/>
  <c r="BU61" i="1"/>
  <c r="BV61" i="1" s="1"/>
  <c r="BP62" i="1"/>
  <c r="BR63" i="1" s="1"/>
  <c r="BS62" i="1"/>
  <c r="BT62" i="1"/>
  <c r="BH62" i="1"/>
  <c r="BG62" i="1"/>
  <c r="BI62" i="1" s="1"/>
  <c r="BD62" i="1"/>
  <c r="BF63" i="1" s="1"/>
  <c r="BX61" i="1" l="1"/>
  <c r="BY61" i="1" s="1"/>
  <c r="BU62" i="1"/>
  <c r="BV62" i="1" s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X62" i="1" l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V67" i="1" s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X67" i="1" l="1"/>
  <c r="BY67" i="1" s="1"/>
  <c r="BJ68" i="1"/>
  <c r="BT69" i="1"/>
  <c r="BP69" i="1"/>
  <c r="BR70" i="1" s="1"/>
  <c r="BS69" i="1"/>
  <c r="BU68" i="1"/>
  <c r="BV68" i="1" s="1"/>
  <c r="BG69" i="1"/>
  <c r="BH69" i="1"/>
  <c r="BD69" i="1"/>
  <c r="BF70" i="1" s="1"/>
  <c r="BU69" i="1" l="1"/>
  <c r="BV69" i="1" s="1"/>
  <c r="BX68" i="1"/>
  <c r="BY68" i="1" s="1"/>
  <c r="BP70" i="1"/>
  <c r="BR71" i="1" s="1"/>
  <c r="BT70" i="1"/>
  <c r="BS70" i="1"/>
  <c r="BD70" i="1"/>
  <c r="BF71" i="1" s="1"/>
  <c r="BH70" i="1"/>
  <c r="BG70" i="1"/>
  <c r="BI70" i="1" s="1"/>
  <c r="BI69" i="1"/>
  <c r="BU70" i="1" l="1"/>
  <c r="BX70" i="1"/>
  <c r="BV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Y70" i="1" s="1"/>
  <c r="BJ69" i="1"/>
  <c r="BJ70" i="1" s="1"/>
  <c r="BU71" i="1" l="1"/>
  <c r="BV71" i="1" s="1"/>
  <c r="BS72" i="1"/>
  <c r="BP72" i="1"/>
  <c r="BR73" i="1" s="1"/>
  <c r="BT72" i="1"/>
  <c r="BG72" i="1"/>
  <c r="BD72" i="1"/>
  <c r="BF73" i="1" s="1"/>
  <c r="BH72" i="1"/>
  <c r="BJ71" i="1"/>
  <c r="BI72" i="1" l="1"/>
  <c r="BX71" i="1"/>
  <c r="BY71" i="1" s="1"/>
  <c r="BU72" i="1"/>
  <c r="BV72" i="1" s="1"/>
  <c r="BS73" i="1"/>
  <c r="BP73" i="1"/>
  <c r="BR74" i="1" s="1"/>
  <c r="BT73" i="1"/>
  <c r="BD73" i="1"/>
  <c r="BF74" i="1" s="1"/>
  <c r="BH73" i="1"/>
  <c r="BG73" i="1"/>
  <c r="BJ72" i="1"/>
  <c r="BX72" i="1" l="1"/>
  <c r="BY72" i="1" s="1"/>
  <c r="BS74" i="1"/>
  <c r="BT74" i="1"/>
  <c r="BP74" i="1"/>
  <c r="BR75" i="1" s="1"/>
  <c r="BU73" i="1"/>
  <c r="BV73" i="1" s="1"/>
  <c r="BH74" i="1"/>
  <c r="BD74" i="1"/>
  <c r="BF75" i="1" s="1"/>
  <c r="BG74" i="1"/>
  <c r="BI73" i="1"/>
  <c r="BX73" i="1" s="1"/>
  <c r="BY73" i="1" l="1"/>
  <c r="BI74" i="1"/>
  <c r="BU74" i="1"/>
  <c r="BV74" i="1" s="1"/>
  <c r="BP75" i="1"/>
  <c r="BR76" i="1" s="1"/>
  <c r="BT75" i="1"/>
  <c r="BS75" i="1"/>
  <c r="BU75" i="1" s="1"/>
  <c r="BG75" i="1"/>
  <c r="BD75" i="1"/>
  <c r="BF76" i="1" s="1"/>
  <c r="BH75" i="1"/>
  <c r="BJ73" i="1"/>
  <c r="BJ74" i="1" l="1"/>
  <c r="BX74" i="1"/>
  <c r="BY74" i="1" s="1"/>
  <c r="BV75" i="1"/>
  <c r="BS76" i="1"/>
  <c r="BT76" i="1"/>
  <c r="BP76" i="1"/>
  <c r="BR77" i="1" s="1"/>
  <c r="BG76" i="1"/>
  <c r="BD76" i="1"/>
  <c r="BF77" i="1" s="1"/>
  <c r="BH76" i="1"/>
  <c r="BI75" i="1"/>
  <c r="BX75" i="1" s="1"/>
  <c r="BY75" i="1" s="1"/>
  <c r="BJ75" i="1"/>
  <c r="BP77" i="1" l="1"/>
  <c r="BR78" i="1" s="1"/>
  <c r="BT77" i="1"/>
  <c r="BS77" i="1"/>
  <c r="BU76" i="1"/>
  <c r="BV76" i="1" s="1"/>
  <c r="BD77" i="1"/>
  <c r="BF78" i="1" s="1"/>
  <c r="BH77" i="1"/>
  <c r="BG77" i="1"/>
  <c r="BI77" i="1" s="1"/>
  <c r="BI76" i="1"/>
  <c r="BX76" i="1" s="1"/>
  <c r="BY76" i="1" s="1"/>
  <c r="BU77" i="1" l="1"/>
  <c r="BX77" i="1" s="1"/>
  <c r="BY77" i="1" s="1"/>
  <c r="BJ76" i="1"/>
  <c r="BJ77" i="1" s="1"/>
  <c r="BT78" i="1"/>
  <c r="BP78" i="1"/>
  <c r="BR79" i="1" s="1"/>
  <c r="BS78" i="1"/>
  <c r="BH78" i="1"/>
  <c r="BG78" i="1"/>
  <c r="BD78" i="1"/>
  <c r="BF79" i="1" s="1"/>
  <c r="BI78" i="1" l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V80" i="1" s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Y80" i="1" l="1"/>
  <c r="BU81" i="1"/>
  <c r="BV81" i="1"/>
  <c r="BT82" i="1"/>
  <c r="BS82" i="1"/>
  <c r="BP82" i="1"/>
  <c r="BR83" i="1" s="1"/>
  <c r="BI81" i="1"/>
  <c r="BJ81" i="1"/>
  <c r="BH82" i="1"/>
  <c r="BD82" i="1"/>
  <c r="BF83" i="1" s="1"/>
  <c r="BG82" i="1"/>
  <c r="BX81" i="1" l="1"/>
  <c r="BY81" i="1" s="1"/>
  <c r="BU82" i="1"/>
  <c r="BV82" i="1" s="1"/>
  <c r="BS83" i="1"/>
  <c r="BT83" i="1"/>
  <c r="BP83" i="1"/>
  <c r="BR84" i="1" s="1"/>
  <c r="BI82" i="1"/>
  <c r="BH83" i="1"/>
  <c r="BD83" i="1"/>
  <c r="BF84" i="1" s="1"/>
  <c r="BG83" i="1"/>
  <c r="BI83" i="1" s="1"/>
  <c r="BX82" i="1" l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6" i="1" s="1"/>
  <c r="BU85" i="1"/>
  <c r="BG86" i="1"/>
  <c r="BD86" i="1"/>
  <c r="BF87" i="1" s="1"/>
  <c r="BH86" i="1"/>
  <c r="BI85" i="1"/>
  <c r="BX85" i="1" s="1"/>
  <c r="BV85" i="1" l="1"/>
  <c r="BV86" i="1" s="1"/>
  <c r="BY85" i="1"/>
  <c r="BP87" i="1"/>
  <c r="BR88" i="1" s="1"/>
  <c r="BS87" i="1"/>
  <c r="BT87" i="1"/>
  <c r="BH87" i="1"/>
  <c r="BG87" i="1"/>
  <c r="BI87" i="1" s="1"/>
  <c r="BD87" i="1"/>
  <c r="BF88" i="1" s="1"/>
  <c r="BI86" i="1"/>
  <c r="BX86" i="1" s="1"/>
  <c r="BJ85" i="1"/>
  <c r="BJ86" i="1" s="1"/>
  <c r="BY86" i="1" l="1"/>
  <c r="BU87" i="1"/>
  <c r="BV87" i="1" s="1"/>
  <c r="BS88" i="1"/>
  <c r="BP88" i="1"/>
  <c r="BR89" i="1" s="1"/>
  <c r="BT88" i="1"/>
  <c r="BH88" i="1"/>
  <c r="BG88" i="1"/>
  <c r="BD88" i="1"/>
  <c r="BF89" i="1" s="1"/>
  <c r="BJ87" i="1"/>
  <c r="BS89" i="1" l="1"/>
  <c r="BP89" i="1"/>
  <c r="BR90" i="1" s="1"/>
  <c r="BT89" i="1"/>
  <c r="BI88" i="1"/>
  <c r="BU88" i="1"/>
  <c r="BV88" i="1" s="1"/>
  <c r="BX87" i="1"/>
  <c r="BY87" i="1" s="1"/>
  <c r="BJ88" i="1"/>
  <c r="BH89" i="1"/>
  <c r="BD89" i="1"/>
  <c r="BF90" i="1" s="1"/>
  <c r="BG89" i="1"/>
  <c r="BT90" i="1" l="1"/>
  <c r="BP90" i="1"/>
  <c r="BR91" i="1" s="1"/>
  <c r="BS90" i="1"/>
  <c r="BU89" i="1"/>
  <c r="BV89" i="1" s="1"/>
  <c r="BX88" i="1"/>
  <c r="BY88" i="1" s="1"/>
  <c r="BG90" i="1"/>
  <c r="BD90" i="1"/>
  <c r="BF91" i="1" s="1"/>
  <c r="BH90" i="1"/>
  <c r="BI89" i="1"/>
  <c r="BU90" i="1" l="1"/>
  <c r="BV90" i="1" s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X90" i="1" l="1"/>
  <c r="BY90" i="1" s="1"/>
  <c r="BU91" i="1"/>
  <c r="BV91" i="1" s="1"/>
  <c r="BP92" i="1"/>
  <c r="BR93" i="1" s="1"/>
  <c r="BT92" i="1"/>
  <c r="BS92" i="1"/>
  <c r="BU92" i="1" s="1"/>
  <c r="BD92" i="1"/>
  <c r="BF93" i="1" s="1"/>
  <c r="BG92" i="1"/>
  <c r="BH92" i="1"/>
  <c r="BV92" i="1" l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U95" i="1" s="1"/>
  <c r="BI94" i="1"/>
  <c r="BG95" i="1"/>
  <c r="BH95" i="1"/>
  <c r="BD95" i="1"/>
  <c r="BF96" i="1" s="1"/>
  <c r="BY92" i="1"/>
  <c r="BY93" i="1" l="1"/>
  <c r="BT96" i="1"/>
  <c r="BP96" i="1"/>
  <c r="BR97" i="1" s="1"/>
  <c r="BS96" i="1"/>
  <c r="BV95" i="1"/>
  <c r="BH96" i="1"/>
  <c r="BD96" i="1"/>
  <c r="BF97" i="1" s="1"/>
  <c r="BG96" i="1"/>
  <c r="BI95" i="1"/>
  <c r="BX94" i="1"/>
  <c r="BJ94" i="1"/>
  <c r="BJ95" i="1" s="1"/>
  <c r="BI96" i="1" l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Y99" i="1" s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V100" i="1" l="1"/>
  <c r="BI101" i="1"/>
  <c r="BJ100" i="1"/>
  <c r="BJ101" i="1" s="1"/>
  <c r="BX100" i="1"/>
  <c r="BY100" i="1" s="1"/>
  <c r="BS102" i="1"/>
  <c r="BP102" i="1"/>
  <c r="BR103" i="1" s="1"/>
  <c r="BT102" i="1"/>
  <c r="BU101" i="1"/>
  <c r="BG102" i="1"/>
  <c r="BH102" i="1"/>
  <c r="BD102" i="1"/>
  <c r="BF103" i="1" s="1"/>
  <c r="BX101" i="1" l="1"/>
  <c r="BY101" i="1" s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X102" i="1" l="1"/>
  <c r="BY102" i="1" s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I104" i="1" l="1"/>
  <c r="BV103" i="1"/>
  <c r="BJ103" i="1"/>
  <c r="BX103" i="1"/>
  <c r="BY103" i="1" s="1"/>
  <c r="BT105" i="1"/>
  <c r="BP105" i="1"/>
  <c r="BR106" i="1" s="1"/>
  <c r="BS105" i="1"/>
  <c r="BU104" i="1"/>
  <c r="BD105" i="1"/>
  <c r="BF106" i="1" s="1"/>
  <c r="BH105" i="1"/>
  <c r="BG105" i="1"/>
  <c r="BI105" i="1" l="1"/>
  <c r="BX104" i="1"/>
  <c r="BJ104" i="1"/>
  <c r="BJ105" i="1" s="1"/>
  <c r="BU105" i="1"/>
  <c r="BX105" i="1" s="1"/>
  <c r="BY104" i="1"/>
  <c r="BH106" i="1"/>
  <c r="BG106" i="1"/>
  <c r="BD106" i="1"/>
  <c r="BF107" i="1" s="1"/>
  <c r="BV104" i="1"/>
  <c r="BP106" i="1"/>
  <c r="BR107" i="1" s="1"/>
  <c r="BS106" i="1"/>
  <c r="BT106" i="1"/>
  <c r="BV105" i="1" l="1"/>
  <c r="BY105" i="1"/>
  <c r="BU106" i="1"/>
  <c r="BI106" i="1"/>
  <c r="BJ106" i="1" s="1"/>
  <c r="BP107" i="1"/>
  <c r="BR108" i="1" s="1"/>
  <c r="BS107" i="1"/>
  <c r="BT107" i="1"/>
  <c r="BD107" i="1"/>
  <c r="BF108" i="1" s="1"/>
  <c r="BH107" i="1"/>
  <c r="BG107" i="1"/>
  <c r="BV106" i="1" l="1"/>
  <c r="BX106" i="1"/>
  <c r="BY106" i="1" s="1"/>
  <c r="BI107" i="1"/>
  <c r="BU107" i="1"/>
  <c r="BS108" i="1"/>
  <c r="BT108" i="1"/>
  <c r="BP108" i="1"/>
  <c r="BR109" i="1" s="1"/>
  <c r="BD108" i="1"/>
  <c r="BF109" i="1" s="1"/>
  <c r="BH108" i="1"/>
  <c r="BG108" i="1"/>
  <c r="BI108" i="1" s="1"/>
  <c r="BX107" i="1" l="1"/>
  <c r="BY107" i="1" s="1"/>
  <c r="BJ107" i="1"/>
  <c r="BJ108" i="1" s="1"/>
  <c r="BD109" i="1"/>
  <c r="BF110" i="1" s="1"/>
  <c r="BH109" i="1"/>
  <c r="BG109" i="1"/>
  <c r="BT109" i="1"/>
  <c r="BS109" i="1"/>
  <c r="BP109" i="1"/>
  <c r="BR110" i="1" s="1"/>
  <c r="BU108" i="1"/>
  <c r="BX108" i="1" s="1"/>
  <c r="BV107" i="1"/>
  <c r="BV108" i="1" s="1"/>
  <c r="BY108" i="1" l="1"/>
  <c r="BU109" i="1"/>
  <c r="BV109" i="1" s="1"/>
  <c r="BT110" i="1"/>
  <c r="BS110" i="1"/>
  <c r="BP110" i="1"/>
  <c r="BR111" i="1" s="1"/>
  <c r="BI109" i="1"/>
  <c r="BJ109" i="1" s="1"/>
  <c r="BJ110" i="1" s="1"/>
  <c r="BG110" i="1"/>
  <c r="BH110" i="1"/>
  <c r="BI110" i="1" s="1"/>
  <c r="BD110" i="1"/>
  <c r="BF111" i="1" s="1"/>
  <c r="BX109" i="1" l="1"/>
  <c r="BY109" i="1" s="1"/>
  <c r="BU110" i="1"/>
  <c r="BV110" i="1" s="1"/>
  <c r="BD111" i="1"/>
  <c r="BF112" i="1" s="1"/>
  <c r="BG111" i="1"/>
  <c r="BH111" i="1"/>
  <c r="BS111" i="1"/>
  <c r="BT111" i="1"/>
  <c r="BP111" i="1"/>
  <c r="BR112" i="1" s="1"/>
  <c r="BX110" i="1" l="1"/>
  <c r="BY110" i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S113" i="1" l="1"/>
  <c r="BP113" i="1"/>
  <c r="BR114" i="1" s="1"/>
  <c r="BT113" i="1"/>
  <c r="BH113" i="1"/>
  <c r="BD113" i="1"/>
  <c r="BF114" i="1" s="1"/>
  <c r="BG113" i="1"/>
  <c r="BI113" i="1" s="1"/>
  <c r="BI112" i="1"/>
  <c r="BX111" i="1"/>
  <c r="BY111" i="1" s="1"/>
  <c r="BJ111" i="1"/>
  <c r="BJ112" i="1" s="1"/>
  <c r="BJ113" i="1" s="1"/>
  <c r="BU112" i="1"/>
  <c r="BX112" i="1" s="1"/>
  <c r="BY112" i="1" l="1"/>
  <c r="BG114" i="1"/>
  <c r="BD114" i="1"/>
  <c r="BF115" i="1" s="1"/>
  <c r="BH114" i="1"/>
  <c r="BT114" i="1"/>
  <c r="BS114" i="1"/>
  <c r="BU114" i="1" s="1"/>
  <c r="BP114" i="1"/>
  <c r="BR115" i="1" s="1"/>
  <c r="BU113" i="1"/>
  <c r="BX113" i="1" s="1"/>
  <c r="BV112" i="1"/>
  <c r="BV113" i="1" s="1"/>
  <c r="BV114" i="1" s="1"/>
  <c r="BI114" i="1" l="1"/>
  <c r="BJ114" i="1" s="1"/>
  <c r="BS115" i="1"/>
  <c r="BT115" i="1"/>
  <c r="BP115" i="1"/>
  <c r="BR116" i="1" s="1"/>
  <c r="BG115" i="1"/>
  <c r="BH115" i="1"/>
  <c r="BD115" i="1"/>
  <c r="BF116" i="1" s="1"/>
  <c r="BY113" i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s="1"/>
  <c r="BU118" i="1" l="1"/>
  <c r="BY117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I119" i="1"/>
  <c r="BX118" i="1"/>
  <c r="BS120" i="1"/>
  <c r="BT120" i="1"/>
  <c r="BP120" i="1"/>
  <c r="BR121" i="1" s="1"/>
  <c r="BG120" i="1"/>
  <c r="BH120" i="1"/>
  <c r="BD120" i="1"/>
  <c r="BF121" i="1" s="1"/>
  <c r="BX119" i="1"/>
  <c r="BJ119" i="1"/>
  <c r="BV119" i="1"/>
  <c r="BD121" i="1" l="1"/>
  <c r="BF122" i="1" s="1"/>
  <c r="BH121" i="1"/>
  <c r="BG121" i="1"/>
  <c r="BI121" i="1" s="1"/>
  <c r="BI120" i="1"/>
  <c r="BJ120" i="1" s="1"/>
  <c r="BS121" i="1"/>
  <c r="BT121" i="1"/>
  <c r="BP121" i="1"/>
  <c r="BR122" i="1" s="1"/>
  <c r="BU120" i="1"/>
  <c r="BY118" i="1"/>
  <c r="BY119" i="1" s="1"/>
  <c r="BJ121" i="1" l="1"/>
  <c r="BX120" i="1"/>
  <c r="BY120" i="1" s="1"/>
  <c r="BS122" i="1"/>
  <c r="BT122" i="1"/>
  <c r="BP122" i="1"/>
  <c r="BR123" i="1" s="1"/>
  <c r="BU121" i="1"/>
  <c r="BX121" i="1" s="1"/>
  <c r="BV120" i="1"/>
  <c r="BV121" i="1" s="1"/>
  <c r="BH122" i="1"/>
  <c r="BD122" i="1"/>
  <c r="BF123" i="1" s="1"/>
  <c r="BG122" i="1"/>
  <c r="BI122" i="1" s="1"/>
  <c r="BJ122" i="1" l="1"/>
  <c r="BY121" i="1"/>
  <c r="BG123" i="1"/>
  <c r="BD123" i="1"/>
  <c r="BF124" i="1" s="1"/>
  <c r="BH123" i="1"/>
  <c r="BT123" i="1"/>
  <c r="BS123" i="1"/>
  <c r="BP123" i="1"/>
  <c r="BR124" i="1" s="1"/>
  <c r="BU122" i="1"/>
  <c r="BV122" i="1" s="1"/>
  <c r="BX122" i="1" l="1"/>
  <c r="BP124" i="1"/>
  <c r="BR125" i="1" s="1"/>
  <c r="BT124" i="1"/>
  <c r="BS124" i="1"/>
  <c r="BU123" i="1"/>
  <c r="BV123" i="1"/>
  <c r="BD124" i="1"/>
  <c r="BF125" i="1" s="1"/>
  <c r="BG124" i="1"/>
  <c r="BH124" i="1"/>
  <c r="BI123" i="1"/>
  <c r="BJ123" i="1" s="1"/>
  <c r="BU124" i="1" l="1"/>
  <c r="BV124" i="1" s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Y123" i="1" s="1"/>
  <c r="BI125" i="1" l="1"/>
  <c r="BJ125" i="1" s="1"/>
  <c r="BX124" i="1"/>
  <c r="BY124" i="1" s="1"/>
  <c r="BS126" i="1"/>
  <c r="BT126" i="1"/>
  <c r="BP126" i="1"/>
  <c r="BR127" i="1" s="1"/>
  <c r="BU125" i="1"/>
  <c r="BV125" i="1" s="1"/>
  <c r="BH126" i="1"/>
  <c r="BG126" i="1"/>
  <c r="BD126" i="1"/>
  <c r="BF127" i="1" s="1"/>
  <c r="BX125" i="1" l="1"/>
  <c r="BY125" i="1" s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X126" i="1" s="1"/>
  <c r="BU127" i="1" l="1"/>
  <c r="BY126" i="1"/>
  <c r="BV126" i="1"/>
  <c r="BV127" i="1" s="1"/>
  <c r="BI127" i="1"/>
  <c r="BJ127" i="1" s="1"/>
  <c r="BX127" i="1"/>
  <c r="BY127" i="1" s="1"/>
  <c r="BS128" i="1"/>
  <c r="BT128" i="1"/>
  <c r="BP128" i="1"/>
  <c r="BR129" i="1" s="1"/>
  <c r="BG128" i="1"/>
  <c r="BD128" i="1"/>
  <c r="BF129" i="1" s="1"/>
  <c r="BH128" i="1"/>
  <c r="BU128" i="1" l="1"/>
  <c r="BV128" i="1" s="1"/>
  <c r="BH129" i="1"/>
  <c r="BG129" i="1"/>
  <c r="BI129" i="1" s="1"/>
  <c r="BD129" i="1"/>
  <c r="BF130" i="1" s="1"/>
  <c r="BI128" i="1"/>
  <c r="BS129" i="1"/>
  <c r="BP129" i="1"/>
  <c r="BR130" i="1" s="1"/>
  <c r="BT129" i="1"/>
  <c r="BJ128" i="1"/>
  <c r="BJ129" i="1" l="1"/>
  <c r="BT130" i="1"/>
  <c r="BP130" i="1"/>
  <c r="BR131" i="1" s="1"/>
  <c r="BS130" i="1"/>
  <c r="BU129" i="1"/>
  <c r="BX129" i="1" s="1"/>
  <c r="BG130" i="1"/>
  <c r="BH130" i="1"/>
  <c r="BD130" i="1"/>
  <c r="BF131" i="1" s="1"/>
  <c r="BX128" i="1"/>
  <c r="BY128" i="1" s="1"/>
  <c r="BY129" i="1" s="1"/>
  <c r="BU130" i="1" l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I131" i="1" l="1"/>
  <c r="BJ131" i="1" s="1"/>
  <c r="BV130" i="1"/>
  <c r="BV131" i="1" s="1"/>
  <c r="BX130" i="1"/>
  <c r="BY130" i="1" s="1"/>
  <c r="BG132" i="1"/>
  <c r="BH132" i="1"/>
  <c r="BD132" i="1"/>
  <c r="BF133" i="1" s="1"/>
  <c r="BP132" i="1"/>
  <c r="BR133" i="1" s="1"/>
  <c r="BT132" i="1"/>
  <c r="BS132" i="1"/>
  <c r="BU132" i="1" s="1"/>
  <c r="BX131" i="1" l="1"/>
  <c r="BY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I133" i="1" l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I134" i="1" s="1"/>
  <c r="BD134" i="1"/>
  <c r="BF135" i="1" s="1"/>
  <c r="BX133" i="1"/>
  <c r="BY133" i="1" s="1"/>
  <c r="BJ134" i="1" l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/>
  <c r="BI142" i="1" l="1"/>
  <c r="BJ142" i="1" s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X142" i="1"/>
  <c r="BU143" i="1" l="1"/>
  <c r="BV143" i="1" s="1"/>
  <c r="BY142" i="1"/>
  <c r="BH144" i="1"/>
  <c r="BG144" i="1"/>
  <c r="BI144" i="1" s="1"/>
  <c r="BD144" i="1"/>
  <c r="BF145" i="1" s="1"/>
  <c r="BT144" i="1"/>
  <c r="BP144" i="1"/>
  <c r="BR145" i="1" s="1"/>
  <c r="BS144" i="1"/>
  <c r="BU144" i="1" s="1"/>
  <c r="BX144" i="1" s="1"/>
  <c r="BI143" i="1"/>
  <c r="BJ143" i="1" s="1"/>
  <c r="BJ144" i="1" s="1"/>
  <c r="BX143" i="1" l="1"/>
  <c r="BY143" i="1" s="1"/>
  <c r="BY144" i="1" s="1"/>
  <c r="BS145" i="1"/>
  <c r="BP145" i="1"/>
  <c r="BR146" i="1" s="1"/>
  <c r="BT145" i="1"/>
  <c r="BG145" i="1"/>
  <c r="BH145" i="1"/>
  <c r="BD145" i="1"/>
  <c r="BF146" i="1" s="1"/>
  <c r="BV144" i="1"/>
  <c r="BU145" i="1" l="1"/>
  <c r="BV145" i="1" s="1"/>
  <c r="BD146" i="1"/>
  <c r="BF147" i="1" s="1"/>
  <c r="BG146" i="1"/>
  <c r="BH146" i="1"/>
  <c r="BI145" i="1"/>
  <c r="BJ145" i="1" s="1"/>
  <c r="BT146" i="1"/>
  <c r="BS146" i="1"/>
  <c r="BU146" i="1" s="1"/>
  <c r="BP146" i="1"/>
  <c r="BR147" i="1" s="1"/>
  <c r="BI146" i="1" l="1"/>
  <c r="BX146" i="1" s="1"/>
  <c r="BG147" i="1"/>
  <c r="BH147" i="1"/>
  <c r="BD147" i="1"/>
  <c r="BF148" i="1" s="1"/>
  <c r="BP147" i="1"/>
  <c r="BR148" i="1" s="1"/>
  <c r="BS147" i="1"/>
  <c r="BT147" i="1"/>
  <c r="BV146" i="1"/>
  <c r="BX145" i="1"/>
  <c r="BY145" i="1" s="1"/>
  <c r="BI147" i="1" l="1"/>
  <c r="BY146" i="1"/>
  <c r="BJ146" i="1"/>
  <c r="BJ147" i="1" s="1"/>
  <c r="BU147" i="1"/>
  <c r="BT148" i="1"/>
  <c r="BP148" i="1"/>
  <c r="BR149" i="1" s="1"/>
  <c r="BS148" i="1"/>
  <c r="BG148" i="1"/>
  <c r="BD148" i="1"/>
  <c r="BF149" i="1" s="1"/>
  <c r="BH148" i="1"/>
  <c r="BU148" i="1" l="1"/>
  <c r="BX148" i="1" s="1"/>
  <c r="BX147" i="1"/>
  <c r="BV147" i="1"/>
  <c r="BY147" i="1"/>
  <c r="BG149" i="1"/>
  <c r="BH149" i="1"/>
  <c r="BD149" i="1"/>
  <c r="BF150" i="1" s="1"/>
  <c r="BI148" i="1"/>
  <c r="BJ148" i="1" s="1"/>
  <c r="BT149" i="1"/>
  <c r="BP149" i="1"/>
  <c r="BR150" i="1" s="1"/>
  <c r="BS149" i="1"/>
  <c r="BU149" i="1" s="1"/>
  <c r="BV148" i="1" l="1"/>
  <c r="BY148" i="1"/>
  <c r="BV149" i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U151" i="1"/>
  <c r="BX150" i="1"/>
  <c r="BY150" i="1" s="1"/>
  <c r="BV150" i="1"/>
  <c r="BV151" i="1" s="1"/>
  <c r="BD152" i="1"/>
  <c r="BF153" i="1" s="1"/>
  <c r="BG152" i="1"/>
  <c r="BH152" i="1"/>
  <c r="BI151" i="1"/>
  <c r="BS152" i="1"/>
  <c r="BP152" i="1"/>
  <c r="BR153" i="1" s="1"/>
  <c r="BT152" i="1"/>
  <c r="BX151" i="1"/>
  <c r="BY151" i="1" s="1"/>
  <c r="BJ151" i="1"/>
  <c r="BP153" i="1" l="1"/>
  <c r="BR154" i="1" s="1"/>
  <c r="BS153" i="1"/>
  <c r="BT153" i="1"/>
  <c r="BU152" i="1"/>
  <c r="BI152" i="1"/>
  <c r="BJ152" i="1" s="1"/>
  <c r="BG153" i="1"/>
  <c r="BH153" i="1"/>
  <c r="BD153" i="1"/>
  <c r="BF154" i="1" s="1"/>
  <c r="BD154" i="1" l="1"/>
  <c r="BF155" i="1" s="1"/>
  <c r="BG154" i="1"/>
  <c r="BH154" i="1"/>
  <c r="BI153" i="1"/>
  <c r="BJ153" i="1" s="1"/>
  <c r="BX152" i="1"/>
  <c r="BY152" i="1" s="1"/>
  <c r="BV152" i="1"/>
  <c r="BU153" i="1"/>
  <c r="BX153" i="1" s="1"/>
  <c r="BP154" i="1"/>
  <c r="BR155" i="1" s="1"/>
  <c r="BT154" i="1"/>
  <c r="BS154" i="1"/>
  <c r="BU154" i="1" l="1"/>
  <c r="BP155" i="1"/>
  <c r="BR156" i="1" s="1"/>
  <c r="BT155" i="1"/>
  <c r="BS155" i="1"/>
  <c r="BU155" i="1" s="1"/>
  <c r="BY153" i="1"/>
  <c r="BI154" i="1"/>
  <c r="BJ154" i="1" s="1"/>
  <c r="BV153" i="1"/>
  <c r="BG155" i="1"/>
  <c r="BD155" i="1"/>
  <c r="BF156" i="1" s="1"/>
  <c r="BH155" i="1"/>
  <c r="BI155" i="1" s="1"/>
  <c r="BX155" i="1" s="1"/>
  <c r="BX154" i="1" l="1"/>
  <c r="BY154" i="1" s="1"/>
  <c r="BY155" i="1" s="1"/>
  <c r="BV154" i="1"/>
  <c r="BV155" i="1" s="1"/>
  <c r="BJ155" i="1"/>
  <c r="BH156" i="1"/>
  <c r="BD156" i="1"/>
  <c r="BF157" i="1" s="1"/>
  <c r="BG156" i="1"/>
  <c r="BI156" i="1" s="1"/>
  <c r="BS156" i="1"/>
  <c r="BP156" i="1"/>
  <c r="BR157" i="1" s="1"/>
  <c r="BT156" i="1"/>
  <c r="BU156" i="1" s="1"/>
  <c r="BV156" i="1" l="1"/>
  <c r="BG157" i="1"/>
  <c r="BD157" i="1"/>
  <c r="BF158" i="1" s="1"/>
  <c r="BH157" i="1"/>
  <c r="BT157" i="1"/>
  <c r="BS157" i="1"/>
  <c r="BP157" i="1"/>
  <c r="BR158" i="1" s="1"/>
  <c r="BX156" i="1"/>
  <c r="BY156" i="1" s="1"/>
  <c r="BJ156" i="1"/>
  <c r="BU157" i="1" l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I160" i="1" s="1"/>
  <c r="BP160" i="1"/>
  <c r="BR161" i="1" s="1"/>
  <c r="BS160" i="1"/>
  <c r="BT160" i="1"/>
  <c r="BJ160" i="1" l="1"/>
  <c r="BX159" i="1"/>
  <c r="BY159" i="1" s="1"/>
  <c r="BU160" i="1"/>
  <c r="BX160" i="1" s="1"/>
  <c r="BY160" i="1" s="1"/>
  <c r="BV160" i="1"/>
  <c r="BP161" i="1"/>
  <c r="BR162" i="1" s="1"/>
  <c r="BT161" i="1"/>
  <c r="BS161" i="1"/>
  <c r="BH161" i="1"/>
  <c r="BG161" i="1"/>
  <c r="BD161" i="1"/>
  <c r="BF162" i="1" s="1"/>
  <c r="BG162" i="1" l="1"/>
  <c r="BD162" i="1"/>
  <c r="BF163" i="1" s="1"/>
  <c r="BH162" i="1"/>
  <c r="BI161" i="1"/>
  <c r="BU161" i="1"/>
  <c r="BP162" i="1"/>
  <c r="BR163" i="1" s="1"/>
  <c r="BS162" i="1"/>
  <c r="BT162" i="1"/>
  <c r="BV161" i="1"/>
  <c r="BI162" i="1" l="1"/>
  <c r="BT163" i="1"/>
  <c r="BP163" i="1"/>
  <c r="BR164" i="1" s="1"/>
  <c r="BS163" i="1"/>
  <c r="BU163" i="1" s="1"/>
  <c r="BX161" i="1"/>
  <c r="BY161" i="1" s="1"/>
  <c r="BJ161" i="1"/>
  <c r="BU162" i="1"/>
  <c r="BV162" i="1" s="1"/>
  <c r="BD163" i="1"/>
  <c r="BF164" i="1" s="1"/>
  <c r="BG163" i="1"/>
  <c r="BH163" i="1"/>
  <c r="BV163" i="1" l="1"/>
  <c r="BX162" i="1"/>
  <c r="BY162" i="1" s="1"/>
  <c r="BJ162" i="1"/>
  <c r="BI163" i="1"/>
  <c r="BX163" i="1" s="1"/>
  <c r="BD164" i="1"/>
  <c r="BF165" i="1" s="1"/>
  <c r="BH164" i="1"/>
  <c r="BG164" i="1"/>
  <c r="BS164" i="1"/>
  <c r="BP164" i="1"/>
  <c r="BR165" i="1" s="1"/>
  <c r="BT164" i="1"/>
  <c r="BJ163" i="1" l="1"/>
  <c r="BJ164" i="1" s="1"/>
  <c r="BY163" i="1"/>
  <c r="BI164" i="1"/>
  <c r="BU164" i="1"/>
  <c r="BV164" i="1" s="1"/>
  <c r="BS165" i="1"/>
  <c r="BT165" i="1"/>
  <c r="BP165" i="1"/>
  <c r="BR166" i="1" s="1"/>
  <c r="BG165" i="1"/>
  <c r="BD165" i="1"/>
  <c r="BF166" i="1" s="1"/>
  <c r="BH165" i="1"/>
  <c r="BU165" i="1" l="1"/>
  <c r="BV165" i="1" s="1"/>
  <c r="BX164" i="1"/>
  <c r="BY164" i="1" s="1"/>
  <c r="BH166" i="1"/>
  <c r="BG166" i="1"/>
  <c r="BI166" i="1" s="1"/>
  <c r="BD166" i="1"/>
  <c r="BF167" i="1" s="1"/>
  <c r="BI165" i="1"/>
  <c r="BT166" i="1"/>
  <c r="BP166" i="1"/>
  <c r="BR167" i="1" s="1"/>
  <c r="BS166" i="1"/>
  <c r="BU166" i="1" s="1"/>
  <c r="BV166" i="1" s="1"/>
  <c r="BP167" i="1" l="1"/>
  <c r="BT167" i="1"/>
  <c r="BS167" i="1"/>
  <c r="BU167" i="1" s="1"/>
  <c r="BV167" i="1" s="1"/>
  <c r="BV1" i="1" s="1"/>
  <c r="BX165" i="1"/>
  <c r="BY165" i="1" s="1"/>
  <c r="BJ165" i="1"/>
  <c r="BJ166" i="1" s="1"/>
  <c r="BD167" i="1"/>
  <c r="BG167" i="1"/>
  <c r="BH167" i="1"/>
  <c r="BX166" i="1"/>
  <c r="BI167" i="1" l="1"/>
  <c r="BX167" i="1" s="1"/>
  <c r="BJ10" i="1"/>
  <c r="BJ9" i="1"/>
  <c r="BY166" i="1"/>
  <c r="BV9" i="1"/>
  <c r="BV10" i="1"/>
  <c r="BY167" i="1" l="1"/>
  <c r="BY1" i="1" s="1"/>
  <c r="BJ167" i="1"/>
  <c r="BJ1" i="1" s="1"/>
  <c r="BV11" i="1"/>
  <c r="BJ11" i="1"/>
  <c r="BY10" i="1"/>
  <c r="BY9" i="1"/>
  <c r="BY11" i="1" s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<sst xmlns="http://schemas.openxmlformats.org/spreadsheetml/2006/main" count="53" uniqueCount="42">
  <si>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</si>
  <si>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</si>
  <si>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</si>
  <si>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</si>
  <si>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</si>
  <si>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</si>
  <si>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</si>
  <si>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</si>
  <si>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</si>
  <si>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</si>
  <si>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FENY</t>
  </si>
  <si>
    <t>VDE</t>
  </si>
  <si>
    <t>FENY log rtn</t>
  </si>
  <si>
    <t>VDE log rtn</t>
  </si>
  <si>
    <t>FENY div</t>
  </si>
  <si>
    <t>FENY div cumsum</t>
  </si>
  <si>
    <t>VDE div</t>
  </si>
  <si>
    <t>VDE div cumsum</t>
  </si>
  <si>
    <t>FENY div adjustment</t>
  </si>
  <si>
    <t>VDE div adjustment</t>
  </si>
  <si>
    <t>FENY*</t>
  </si>
  <si>
    <t>VDE*</t>
  </si>
  <si>
    <t>VDE/FENY</t>
  </si>
  <si>
    <t>VDE/FENY avg</t>
  </si>
  <si>
    <t>VDE/FENY 10 dma</t>
  </si>
  <si>
    <t>VDE/FENY 20 dma</t>
  </si>
  <si>
    <t>FENY x avg</t>
  </si>
  <si>
    <t>FENY x 10 dma</t>
  </si>
  <si>
    <t>FENY x 20 dma</t>
  </si>
  <si>
    <t>log diff FENY x avg / VDE</t>
  </si>
  <si>
    <t>log diff FENY x 10 dma / VDE</t>
  </si>
  <si>
    <t>log diff FENY x 20 dma / VDE</t>
  </si>
  <si>
    <t>VDE*/FENY*</t>
  </si>
  <si>
    <t>VDE*/FENY* avg</t>
  </si>
  <si>
    <t>VDE*/FENY* 10 dma</t>
  </si>
  <si>
    <t>VDE*/FENY* 20 dma</t>
  </si>
  <si>
    <t>FENY* x avg</t>
  </si>
  <si>
    <t>FENY* x 10 dma</t>
  </si>
  <si>
    <t>FENY* x 20 dma</t>
  </si>
  <si>
    <t>log diff FENY* x avg / VDE*</t>
  </si>
  <si>
    <t>log diff FENY* x 10 dma / VDE*</t>
  </si>
  <si>
    <t>log diff FENY* x 20 dma / VDE*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</si>
</sst>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VDE/FENY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5.0856511037897496</c:v>
                </c:pt>
                <c:pt idx="1">
                  <c:v>5.0856511037897496</c:v>
                </c:pt>
                <c:pt idx="2">
                  <c:v>5.0856511037897496</c:v>
                </c:pt>
                <c:pt idx="3">
                  <c:v>5.0856511037897496</c:v>
                </c:pt>
                <c:pt idx="4">
                  <c:v>5.0856511037897496</c:v>
                </c:pt>
                <c:pt idx="5">
                  <c:v>5.0856511037897496</c:v>
                </c:pt>
                <c:pt idx="6">
                  <c:v>5.0856511037897496</c:v>
                </c:pt>
                <c:pt idx="7">
                  <c:v>5.0856511037897496</c:v>
                </c:pt>
                <c:pt idx="8">
                  <c:v>5.0856511037897496</c:v>
                </c:pt>
                <c:pt idx="9">
                  <c:v>5.0856511037897496</c:v>
                </c:pt>
                <c:pt idx="10">
                  <c:v>5.0856511037897496</c:v>
                </c:pt>
                <c:pt idx="11">
                  <c:v>5.0856511037897496</c:v>
                </c:pt>
                <c:pt idx="12">
                  <c:v>5.0856511037897496</c:v>
                </c:pt>
                <c:pt idx="13">
                  <c:v>5.0856511037897496</c:v>
                </c:pt>
                <c:pt idx="14">
                  <c:v>5.0856511037897496</c:v>
                </c:pt>
                <c:pt idx="15">
                  <c:v>5.0856511037897496</c:v>
                </c:pt>
                <c:pt idx="16">
                  <c:v>5.0856511037897496</c:v>
                </c:pt>
                <c:pt idx="17">
                  <c:v>5.0856511037897496</c:v>
                </c:pt>
                <c:pt idx="18">
                  <c:v>5.0856511037897496</c:v>
                </c:pt>
                <c:pt idx="19">
                  <c:v>5.0856511037897496</c:v>
                </c:pt>
                <c:pt idx="20">
                  <c:v>5.0856511037897496</c:v>
                </c:pt>
                <c:pt idx="21">
                  <c:v>5.0856511037897496</c:v>
                </c:pt>
                <c:pt idx="22">
                  <c:v>5.0856511037897496</c:v>
                </c:pt>
                <c:pt idx="23">
                  <c:v>5.0856511037897496</c:v>
                </c:pt>
                <c:pt idx="24">
                  <c:v>5.0856511037897496</c:v>
                </c:pt>
                <c:pt idx="25">
                  <c:v>5.0856511037897496</c:v>
                </c:pt>
                <c:pt idx="26">
                  <c:v>5.0856511037897496</c:v>
                </c:pt>
                <c:pt idx="27">
                  <c:v>5.0856511037897496</c:v>
                </c:pt>
                <c:pt idx="28">
                  <c:v>5.0856511037897496</c:v>
                </c:pt>
                <c:pt idx="29">
                  <c:v>5.0856511037897496</c:v>
                </c:pt>
                <c:pt idx="30">
                  <c:v>5.0856511037897496</c:v>
                </c:pt>
                <c:pt idx="31">
                  <c:v>5.0856511037897496</c:v>
                </c:pt>
                <c:pt idx="32">
                  <c:v>5.0856511037897496</c:v>
                </c:pt>
                <c:pt idx="33">
                  <c:v>5.0856511037897496</c:v>
                </c:pt>
                <c:pt idx="34">
                  <c:v>5.0856511037897496</c:v>
                </c:pt>
                <c:pt idx="35">
                  <c:v>5.0856511037897496</c:v>
                </c:pt>
                <c:pt idx="36">
                  <c:v>5.0856511037897496</c:v>
                </c:pt>
                <c:pt idx="37">
                  <c:v>5.0856511037897496</c:v>
                </c:pt>
                <c:pt idx="38">
                  <c:v>5.0856511037897496</c:v>
                </c:pt>
                <c:pt idx="39">
                  <c:v>5.0856511037897496</c:v>
                </c:pt>
                <c:pt idx="40">
                  <c:v>5.0856511037897496</c:v>
                </c:pt>
                <c:pt idx="41">
                  <c:v>5.0856511037897496</c:v>
                </c:pt>
                <c:pt idx="42">
                  <c:v>5.0856511037897496</c:v>
                </c:pt>
                <c:pt idx="43">
                  <c:v>5.0856511037897496</c:v>
                </c:pt>
                <c:pt idx="44">
                  <c:v>5.0856511037897496</c:v>
                </c:pt>
                <c:pt idx="45">
                  <c:v>5.0856511037897496</c:v>
                </c:pt>
                <c:pt idx="46">
                  <c:v>5.0856511037897496</c:v>
                </c:pt>
                <c:pt idx="47">
                  <c:v>5.0856511037897496</c:v>
                </c:pt>
                <c:pt idx="48">
                  <c:v>5.0856511037897496</c:v>
                </c:pt>
                <c:pt idx="49">
                  <c:v>5.0856511037897496</c:v>
                </c:pt>
                <c:pt idx="50">
                  <c:v>5.0856511037897496</c:v>
                </c:pt>
                <c:pt idx="51">
                  <c:v>5.0856511037897496</c:v>
                </c:pt>
                <c:pt idx="52">
                  <c:v>5.0856511037897496</c:v>
                </c:pt>
                <c:pt idx="53">
                  <c:v>5.0856511037897496</c:v>
                </c:pt>
                <c:pt idx="54">
                  <c:v>5.0856511037897496</c:v>
                </c:pt>
                <c:pt idx="55">
                  <c:v>5.0856511037897496</c:v>
                </c:pt>
                <c:pt idx="56">
                  <c:v>5.0856511037897496</c:v>
                </c:pt>
                <c:pt idx="57">
                  <c:v>5.0856511037897496</c:v>
                </c:pt>
                <c:pt idx="58">
                  <c:v>5.0856511037897496</c:v>
                </c:pt>
                <c:pt idx="59">
                  <c:v>5.0856511037897496</c:v>
                </c:pt>
                <c:pt idx="60">
                  <c:v>5.0856511037897496</c:v>
                </c:pt>
                <c:pt idx="61">
                  <c:v>5.0856511037897496</c:v>
                </c:pt>
                <c:pt idx="62">
                  <c:v>5.0856511037897496</c:v>
                </c:pt>
                <c:pt idx="63">
                  <c:v>5.0856511037897496</c:v>
                </c:pt>
                <c:pt idx="64">
                  <c:v>5.0856511037897496</c:v>
                </c:pt>
                <c:pt idx="65">
                  <c:v>5.0856511037897496</c:v>
                </c:pt>
                <c:pt idx="66">
                  <c:v>5.0856511037897496</c:v>
                </c:pt>
                <c:pt idx="67">
                  <c:v>5.0856511037897496</c:v>
                </c:pt>
                <c:pt idx="68">
                  <c:v>5.0856511037897496</c:v>
                </c:pt>
                <c:pt idx="69">
                  <c:v>5.0856511037897496</c:v>
                </c:pt>
                <c:pt idx="70">
                  <c:v>5.0856511037897496</c:v>
                </c:pt>
                <c:pt idx="71">
                  <c:v>5.0856511037897496</c:v>
                </c:pt>
                <c:pt idx="72">
                  <c:v>5.0856511037897496</c:v>
                </c:pt>
                <c:pt idx="73">
                  <c:v>5.0856511037897496</c:v>
                </c:pt>
                <c:pt idx="74">
                  <c:v>5.0856511037897496</c:v>
                </c:pt>
                <c:pt idx="75">
                  <c:v>5.0856511037897496</c:v>
                </c:pt>
                <c:pt idx="76">
                  <c:v>5.0856511037897496</c:v>
                </c:pt>
                <c:pt idx="77">
                  <c:v>5.0856511037897496</c:v>
                </c:pt>
                <c:pt idx="78">
                  <c:v>5.0856511037897496</c:v>
                </c:pt>
                <c:pt idx="79">
                  <c:v>5.0856511037897496</c:v>
                </c:pt>
                <c:pt idx="80">
                  <c:v>5.0856511037897496</c:v>
                </c:pt>
                <c:pt idx="81">
                  <c:v>5.0856511037897496</c:v>
                </c:pt>
                <c:pt idx="82">
                  <c:v>5.0856511037897496</c:v>
                </c:pt>
                <c:pt idx="83">
                  <c:v>5.0856511037897496</c:v>
                </c:pt>
                <c:pt idx="84">
                  <c:v>5.0856511037897496</c:v>
                </c:pt>
                <c:pt idx="85">
                  <c:v>5.0856511037897496</c:v>
                </c:pt>
                <c:pt idx="86">
                  <c:v>5.0856511037897496</c:v>
                </c:pt>
                <c:pt idx="87">
                  <c:v>5.0856511037897496</c:v>
                </c:pt>
                <c:pt idx="88">
                  <c:v>5.0856511037897496</c:v>
                </c:pt>
                <c:pt idx="89">
                  <c:v>5.0856511037897496</c:v>
                </c:pt>
                <c:pt idx="90">
                  <c:v>5.0856511037897496</c:v>
                </c:pt>
                <c:pt idx="91">
                  <c:v>5.0856511037897496</c:v>
                </c:pt>
                <c:pt idx="92">
                  <c:v>5.0856511037897496</c:v>
                </c:pt>
                <c:pt idx="93">
                  <c:v>5.0856511037897496</c:v>
                </c:pt>
                <c:pt idx="94">
                  <c:v>5.0856511037897496</c:v>
                </c:pt>
                <c:pt idx="95">
                  <c:v>5.0856511037897496</c:v>
                </c:pt>
                <c:pt idx="96">
                  <c:v>5.0856511037897496</c:v>
                </c:pt>
                <c:pt idx="97">
                  <c:v>5.0856511037897496</c:v>
                </c:pt>
                <c:pt idx="98">
                  <c:v>5.0856511037897496</c:v>
                </c:pt>
                <c:pt idx="99">
                  <c:v>5.0856511037897496</c:v>
                </c:pt>
                <c:pt idx="100">
                  <c:v>5.0856511037897496</c:v>
                </c:pt>
                <c:pt idx="101">
                  <c:v>5.0856511037897496</c:v>
                </c:pt>
                <c:pt idx="102">
                  <c:v>5.0856511037897496</c:v>
                </c:pt>
                <c:pt idx="103">
                  <c:v>5.0856511037897496</c:v>
                </c:pt>
                <c:pt idx="104">
                  <c:v>5.0856511037897496</c:v>
                </c:pt>
                <c:pt idx="105">
                  <c:v>5.0856511037897496</c:v>
                </c:pt>
                <c:pt idx="106">
                  <c:v>5.0856511037897496</c:v>
                </c:pt>
                <c:pt idx="107">
                  <c:v>5.0856511037897496</c:v>
                </c:pt>
                <c:pt idx="108">
                  <c:v>5.0856511037897496</c:v>
                </c:pt>
                <c:pt idx="109">
                  <c:v>5.0856511037897496</c:v>
                </c:pt>
                <c:pt idx="110">
                  <c:v>5.0856511037897496</c:v>
                </c:pt>
                <c:pt idx="111">
                  <c:v>5.0856511037897496</c:v>
                </c:pt>
                <c:pt idx="112">
                  <c:v>5.0856511037897496</c:v>
                </c:pt>
                <c:pt idx="113">
                  <c:v>5.0856511037897496</c:v>
                </c:pt>
                <c:pt idx="114">
                  <c:v>5.0856511037897496</c:v>
                </c:pt>
                <c:pt idx="115">
                  <c:v>5.0856511037897496</c:v>
                </c:pt>
                <c:pt idx="116">
                  <c:v>5.0856511037897496</c:v>
                </c:pt>
                <c:pt idx="117">
                  <c:v>5.0856511037897496</c:v>
                </c:pt>
                <c:pt idx="118">
                  <c:v>5.0856511037897496</c:v>
                </c:pt>
                <c:pt idx="119">
                  <c:v>5.0856511037897496</c:v>
                </c:pt>
                <c:pt idx="120">
                  <c:v>5.0856511037897496</c:v>
                </c:pt>
                <c:pt idx="121">
                  <c:v>5.0856511037897496</c:v>
                </c:pt>
                <c:pt idx="122">
                  <c:v>5.0856511037897496</c:v>
                </c:pt>
                <c:pt idx="123">
                  <c:v>5.0856511037897496</c:v>
                </c:pt>
                <c:pt idx="124">
                  <c:v>5.0856511037897496</c:v>
                </c:pt>
                <c:pt idx="125">
                  <c:v>5.0856511037897496</c:v>
                </c:pt>
                <c:pt idx="126">
                  <c:v>5.0856511037897496</c:v>
                </c:pt>
                <c:pt idx="127">
                  <c:v>5.0856511037897496</c:v>
                </c:pt>
                <c:pt idx="128">
                  <c:v>5.0856511037897496</c:v>
                </c:pt>
                <c:pt idx="129">
                  <c:v>5.0856511037897496</c:v>
                </c:pt>
                <c:pt idx="130">
                  <c:v>5.0856511037897496</c:v>
                </c:pt>
                <c:pt idx="131">
                  <c:v>5.0856511037897496</c:v>
                </c:pt>
                <c:pt idx="132">
                  <c:v>5.0856511037897496</c:v>
                </c:pt>
                <c:pt idx="133">
                  <c:v>5.0856511037897496</c:v>
                </c:pt>
                <c:pt idx="134">
                  <c:v>5.0856511037897496</c:v>
                </c:pt>
                <c:pt idx="135">
                  <c:v>5.0856511037897496</c:v>
                </c:pt>
                <c:pt idx="136">
                  <c:v>5.0856511037897496</c:v>
                </c:pt>
                <c:pt idx="137">
                  <c:v>5.0856511037897496</c:v>
                </c:pt>
                <c:pt idx="138">
                  <c:v>5.0856511037897496</c:v>
                </c:pt>
                <c:pt idx="139">
                  <c:v>5.0856511037897496</c:v>
                </c:pt>
                <c:pt idx="140">
                  <c:v>5.0856511037897496</c:v>
                </c:pt>
                <c:pt idx="141">
                  <c:v>5.0856511037897496</c:v>
                </c:pt>
                <c:pt idx="142">
                  <c:v>5.0856511037897496</c:v>
                </c:pt>
                <c:pt idx="143">
                  <c:v>5.0856511037897496</c:v>
                </c:pt>
                <c:pt idx="144">
                  <c:v>5.0856511037897496</c:v>
                </c:pt>
                <c:pt idx="145">
                  <c:v>5.0856511037897496</c:v>
                </c:pt>
                <c:pt idx="146">
                  <c:v>5.0856511037897496</c:v>
                </c:pt>
                <c:pt idx="147">
                  <c:v>5.0856511037897496</c:v>
                </c:pt>
                <c:pt idx="148">
                  <c:v>5.0856511037897496</c:v>
                </c:pt>
                <c:pt idx="149">
                  <c:v>5.0856511037897496</c:v>
                </c:pt>
                <c:pt idx="150">
                  <c:v>5.0856511037897496</c:v>
                </c:pt>
                <c:pt idx="151">
                  <c:v>5.0856511037897496</c:v>
                </c:pt>
                <c:pt idx="152">
                  <c:v>5.0856511037897496</c:v>
                </c:pt>
                <c:pt idx="153">
                  <c:v>5.0856511037897496</c:v>
                </c:pt>
                <c:pt idx="154">
                  <c:v>5.0856511037897496</c:v>
                </c:pt>
                <c:pt idx="155">
                  <c:v>5.0856511037897496</c:v>
                </c:pt>
                <c:pt idx="156">
                  <c:v>5.0856511037897496</c:v>
                </c:pt>
                <c:pt idx="157">
                  <c:v>5.0856511037897496</c:v>
                </c:pt>
                <c:pt idx="158">
                  <c:v>5.0856511037897496</c:v>
                </c:pt>
                <c:pt idx="159">
                  <c:v>5.0856511037897496</c:v>
                </c:pt>
                <c:pt idx="160">
                  <c:v>5.0856511037897496</c:v>
                </c:pt>
                <c:pt idx="161">
                  <c:v>5.0856511037897496</c:v>
                </c:pt>
                <c:pt idx="162">
                  <c:v>5.0856511037897496</c:v>
                </c:pt>
                <c:pt idx="163">
                  <c:v>5.0856511037897496</c:v>
                </c:pt>
                <c:pt idx="164">
                  <c:v>5.0856511037897496</c:v>
                </c:pt>
                <c:pt idx="165">
                  <c:v>5.0856511037897496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VDE/FENY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5.0850709894024098</c:v>
                </c:pt>
                <c:pt idx="10">
                  <c:v>5.0851091861229802</c:v>
                </c:pt>
                <c:pt idx="11">
                  <c:v>5.0852185812323798</c:v>
                </c:pt>
                <c:pt idx="12">
                  <c:v>5.0853935915645296</c:v>
                </c:pt>
                <c:pt idx="13">
                  <c:v>5.0855659613974096</c:v>
                </c:pt>
                <c:pt idx="14">
                  <c:v>5.0858920292081704</c:v>
                </c:pt>
                <c:pt idx="15">
                  <c:v>5.0859457555110303</c:v>
                </c:pt>
                <c:pt idx="16">
                  <c:v>5.0859632321528299</c:v>
                </c:pt>
                <c:pt idx="17">
                  <c:v>5.08631234540516</c:v>
                </c:pt>
                <c:pt idx="18">
                  <c:v>5.08674339317436</c:v>
                </c:pt>
                <c:pt idx="19">
                  <c:v>5.0867476257404798</c:v>
                </c:pt>
                <c:pt idx="20">
                  <c:v>5.0869317930951201</c:v>
                </c:pt>
                <c:pt idx="21">
                  <c:v>5.0874826850153703</c:v>
                </c:pt>
                <c:pt idx="22">
                  <c:v>5.0874428826397402</c:v>
                </c:pt>
                <c:pt idx="23">
                  <c:v>5.0872722067529903</c:v>
                </c:pt>
                <c:pt idx="24">
                  <c:v>5.08710966011847</c:v>
                </c:pt>
                <c:pt idx="25">
                  <c:v>5.0873078131325498</c:v>
                </c:pt>
                <c:pt idx="26">
                  <c:v>5.08709267067717</c:v>
                </c:pt>
                <c:pt idx="27">
                  <c:v>5.0868995666202004</c:v>
                </c:pt>
                <c:pt idx="28">
                  <c:v>5.0865368580017103</c:v>
                </c:pt>
                <c:pt idx="29">
                  <c:v>5.0867321472584104</c:v>
                </c:pt>
                <c:pt idx="30">
                  <c:v>5.0863476121817301</c:v>
                </c:pt>
                <c:pt idx="31">
                  <c:v>5.0860772483142798</c:v>
                </c:pt>
                <c:pt idx="32">
                  <c:v>5.0860503122359901</c:v>
                </c:pt>
                <c:pt idx="33">
                  <c:v>5.0861565510092897</c:v>
                </c:pt>
                <c:pt idx="34">
                  <c:v>5.0859850937527797</c:v>
                </c:pt>
                <c:pt idx="35">
                  <c:v>5.0856567868782303</c:v>
                </c:pt>
                <c:pt idx="36">
                  <c:v>5.0860808379072999</c:v>
                </c:pt>
                <c:pt idx="37">
                  <c:v>5.0862519421062</c:v>
                </c:pt>
                <c:pt idx="38">
                  <c:v>5.0860861501550199</c:v>
                </c:pt>
                <c:pt idx="39">
                  <c:v>5.0861023206649598</c:v>
                </c:pt>
                <c:pt idx="40">
                  <c:v>5.0864406352053599</c:v>
                </c:pt>
                <c:pt idx="41">
                  <c:v>5.0866352299370998</c:v>
                </c:pt>
                <c:pt idx="42">
                  <c:v>5.0865713907958803</c:v>
                </c:pt>
                <c:pt idx="43">
                  <c:v>5.0866901091449002</c:v>
                </c:pt>
                <c:pt idx="44">
                  <c:v>5.0866377595316399</c:v>
                </c:pt>
                <c:pt idx="45">
                  <c:v>5.0869277480871196</c:v>
                </c:pt>
                <c:pt idx="46">
                  <c:v>5.0867332988960596</c:v>
                </c:pt>
                <c:pt idx="47">
                  <c:v>5.0865069377466696</c:v>
                </c:pt>
                <c:pt idx="48">
                  <c:v>5.0869986135727903</c:v>
                </c:pt>
                <c:pt idx="49">
                  <c:v>5.0870641310941904</c:v>
                </c:pt>
                <c:pt idx="50">
                  <c:v>5.0869121874551899</c:v>
                </c:pt>
                <c:pt idx="51">
                  <c:v>5.0865037313373103</c:v>
                </c:pt>
                <c:pt idx="52">
                  <c:v>5.0866304480612401</c:v>
                </c:pt>
                <c:pt idx="53">
                  <c:v>5.0892942580552498</c:v>
                </c:pt>
                <c:pt idx="54">
                  <c:v>5.0918275389261298</c:v>
                </c:pt>
                <c:pt idx="55">
                  <c:v>5.0915654281246097</c:v>
                </c:pt>
                <c:pt idx="56">
                  <c:v>5.09141265868735</c:v>
                </c:pt>
                <c:pt idx="57">
                  <c:v>5.0915215885737801</c:v>
                </c:pt>
                <c:pt idx="58">
                  <c:v>5.0912982416148802</c:v>
                </c:pt>
                <c:pt idx="59">
                  <c:v>5.0911431512820098</c:v>
                </c:pt>
                <c:pt idx="60">
                  <c:v>5.0912233772836002</c:v>
                </c:pt>
                <c:pt idx="61">
                  <c:v>5.0913599626494497</c:v>
                </c:pt>
                <c:pt idx="62">
                  <c:v>5.0914126834846503</c:v>
                </c:pt>
                <c:pt idx="63">
                  <c:v>5.0882746572103397</c:v>
                </c:pt>
                <c:pt idx="64">
                  <c:v>5.0856411028941597</c:v>
                </c:pt>
                <c:pt idx="65">
                  <c:v>5.0857427678284202</c:v>
                </c:pt>
                <c:pt idx="66">
                  <c:v>5.08585985981866</c:v>
                </c:pt>
                <c:pt idx="67">
                  <c:v>5.0855786347050804</c:v>
                </c:pt>
                <c:pt idx="68">
                  <c:v>5.0856047933582103</c:v>
                </c:pt>
                <c:pt idx="69">
                  <c:v>5.0856534990117499</c:v>
                </c:pt>
                <c:pt idx="70">
                  <c:v>5.0856792604607302</c:v>
                </c:pt>
                <c:pt idx="71">
                  <c:v>5.0856102896288498</c:v>
                </c:pt>
                <c:pt idx="72">
                  <c:v>5.0854910980252397</c:v>
                </c:pt>
                <c:pt idx="73">
                  <c:v>5.0855850106158096</c:v>
                </c:pt>
                <c:pt idx="74">
                  <c:v>5.0854134732506102</c:v>
                </c:pt>
                <c:pt idx="75">
                  <c:v>5.0852139980005298</c:v>
                </c:pt>
                <c:pt idx="76">
                  <c:v>5.08512390785741</c:v>
                </c:pt>
                <c:pt idx="77">
                  <c:v>5.08522356433705</c:v>
                </c:pt>
                <c:pt idx="78">
                  <c:v>5.0851824693354297</c:v>
                </c:pt>
                <c:pt idx="79">
                  <c:v>5.0853168625824496</c:v>
                </c:pt>
                <c:pt idx="80">
                  <c:v>5.0853631954163498</c:v>
                </c:pt>
                <c:pt idx="81">
                  <c:v>5.0856864599703</c:v>
                </c:pt>
                <c:pt idx="82">
                  <c:v>5.0860194650891</c:v>
                </c:pt>
                <c:pt idx="83">
                  <c:v>5.0865922327247901</c:v>
                </c:pt>
                <c:pt idx="84">
                  <c:v>5.0872586746142696</c:v>
                </c:pt>
                <c:pt idx="85">
                  <c:v>5.0874251790935299</c:v>
                </c:pt>
                <c:pt idx="86">
                  <c:v>5.0874776716796299</c:v>
                </c:pt>
                <c:pt idx="87">
                  <c:v>5.0873672302166399</c:v>
                </c:pt>
                <c:pt idx="88">
                  <c:v>5.0872410021181302</c:v>
                </c:pt>
                <c:pt idx="89">
                  <c:v>5.0870926449502196</c:v>
                </c:pt>
                <c:pt idx="90">
                  <c:v>5.0871161375477403</c:v>
                </c:pt>
                <c:pt idx="91">
                  <c:v>5.0866534509336203</c:v>
                </c:pt>
                <c:pt idx="92">
                  <c:v>5.0860237287045704</c:v>
                </c:pt>
                <c:pt idx="93">
                  <c:v>5.0856014095615096</c:v>
                </c:pt>
                <c:pt idx="94">
                  <c:v>5.0851508908373502</c:v>
                </c:pt>
                <c:pt idx="95">
                  <c:v>5.0847742365029296</c:v>
                </c:pt>
                <c:pt idx="96">
                  <c:v>5.0842625661196799</c:v>
                </c:pt>
                <c:pt idx="97">
                  <c:v>5.0840470136779397</c:v>
                </c:pt>
                <c:pt idx="98">
                  <c:v>5.0840122155169896</c:v>
                </c:pt>
                <c:pt idx="99">
                  <c:v>5.0837482530869504</c:v>
                </c:pt>
                <c:pt idx="100">
                  <c:v>5.0834573849820499</c:v>
                </c:pt>
                <c:pt idx="101">
                  <c:v>5.0837609060632598</c:v>
                </c:pt>
                <c:pt idx="102">
                  <c:v>5.0837806906942298</c:v>
                </c:pt>
                <c:pt idx="103">
                  <c:v>5.0833120487287404</c:v>
                </c:pt>
                <c:pt idx="104">
                  <c:v>5.0829953732242403</c:v>
                </c:pt>
                <c:pt idx="105">
                  <c:v>5.0829742612198103</c:v>
                </c:pt>
                <c:pt idx="106">
                  <c:v>5.0830023275521903</c:v>
                </c:pt>
                <c:pt idx="107">
                  <c:v>5.0832164207789896</c:v>
                </c:pt>
                <c:pt idx="108">
                  <c:v>5.0829793447814202</c:v>
                </c:pt>
                <c:pt idx="109">
                  <c:v>5.0829378306595698</c:v>
                </c:pt>
                <c:pt idx="110">
                  <c:v>5.0830138638481399</c:v>
                </c:pt>
                <c:pt idx="111">
                  <c:v>5.0828068292784296</c:v>
                </c:pt>
                <c:pt idx="112">
                  <c:v>5.0826829216527898</c:v>
                </c:pt>
                <c:pt idx="113">
                  <c:v>5.0825317823964102</c:v>
                </c:pt>
                <c:pt idx="114">
                  <c:v>5.0825052135612898</c:v>
                </c:pt>
                <c:pt idx="115">
                  <c:v>5.08622353922601</c:v>
                </c:pt>
                <c:pt idx="116">
                  <c:v>5.0900425371295199</c:v>
                </c:pt>
                <c:pt idx="117">
                  <c:v>5.0934474379864403</c:v>
                </c:pt>
                <c:pt idx="118">
                  <c:v>5.0935931041633102</c:v>
                </c:pt>
                <c:pt idx="119">
                  <c:v>5.0934186644878201</c:v>
                </c:pt>
                <c:pt idx="120">
                  <c:v>5.0933212130425796</c:v>
                </c:pt>
                <c:pt idx="121">
                  <c:v>5.0932298673906304</c:v>
                </c:pt>
                <c:pt idx="122">
                  <c:v>5.0929759981073799</c:v>
                </c:pt>
                <c:pt idx="123">
                  <c:v>5.0932664746885301</c:v>
                </c:pt>
                <c:pt idx="124">
                  <c:v>5.0929978992592302</c:v>
                </c:pt>
                <c:pt idx="125">
                  <c:v>5.0894239026531398</c:v>
                </c:pt>
                <c:pt idx="126">
                  <c:v>5.08560184390846</c:v>
                </c:pt>
                <c:pt idx="127">
                  <c:v>5.0819807732110203</c:v>
                </c:pt>
                <c:pt idx="128">
                  <c:v>5.0820322030217202</c:v>
                </c:pt>
                <c:pt idx="129">
                  <c:v>5.0820742229387301</c:v>
                </c:pt>
                <c:pt idx="130">
                  <c:v>5.0819002958894099</c:v>
                </c:pt>
                <c:pt idx="131">
                  <c:v>5.0819713859368001</c:v>
                </c:pt>
                <c:pt idx="132">
                  <c:v>5.0821197053286697</c:v>
                </c:pt>
                <c:pt idx="133">
                  <c:v>5.0821004325380903</c:v>
                </c:pt>
                <c:pt idx="134">
                  <c:v>5.08257013391058</c:v>
                </c:pt>
                <c:pt idx="135">
                  <c:v>5.08260962838136</c:v>
                </c:pt>
                <c:pt idx="136">
                  <c:v>5.0827974834918299</c:v>
                </c:pt>
                <c:pt idx="137">
                  <c:v>5.0828877246328297</c:v>
                </c:pt>
                <c:pt idx="138">
                  <c:v>5.0830078658668096</c:v>
                </c:pt>
                <c:pt idx="139">
                  <c:v>5.0830856653652603</c:v>
                </c:pt>
                <c:pt idx="140">
                  <c:v>5.0829257310404596</c:v>
                </c:pt>
                <c:pt idx="141">
                  <c:v>5.0825802603094603</c:v>
                </c:pt>
                <c:pt idx="142">
                  <c:v>5.0829856281663703</c:v>
                </c:pt>
                <c:pt idx="143">
                  <c:v>5.0830800398875002</c:v>
                </c:pt>
                <c:pt idx="144">
                  <c:v>5.0829402256072802</c:v>
                </c:pt>
                <c:pt idx="145">
                  <c:v>5.0829427794942896</c:v>
                </c:pt>
                <c:pt idx="146">
                  <c:v>5.0830505096020202</c:v>
                </c:pt>
                <c:pt idx="147">
                  <c:v>5.0829764652642098</c:v>
                </c:pt>
                <c:pt idx="148">
                  <c:v>5.0825605541796399</c:v>
                </c:pt>
                <c:pt idx="149">
                  <c:v>5.0825131330297104</c:v>
                </c:pt>
                <c:pt idx="150">
                  <c:v>5.0828522118498896</c:v>
                </c:pt>
                <c:pt idx="151">
                  <c:v>5.08324979379507</c:v>
                </c:pt>
                <c:pt idx="152">
                  <c:v>5.0831938863169501</c:v>
                </c:pt>
                <c:pt idx="153">
                  <c:v>5.0832573751214802</c:v>
                </c:pt>
                <c:pt idx="154">
                  <c:v>5.0832613454417901</c:v>
                </c:pt>
                <c:pt idx="155">
                  <c:v>5.0833307547096398</c:v>
                </c:pt>
                <c:pt idx="156">
                  <c:v>5.0834106464410604</c:v>
                </c:pt>
                <c:pt idx="157">
                  <c:v>5.0835733767665499</c:v>
                </c:pt>
                <c:pt idx="158">
                  <c:v>5.0838636189707804</c:v>
                </c:pt>
                <c:pt idx="159">
                  <c:v>5.0841004520746003</c:v>
                </c:pt>
                <c:pt idx="160">
                  <c:v>5.0835797246491401</c:v>
                </c:pt>
                <c:pt idx="161">
                  <c:v>5.0831881740983196</c:v>
                </c:pt>
                <c:pt idx="162">
                  <c:v>5.0831583087923002</c:v>
                </c:pt>
                <c:pt idx="163">
                  <c:v>5.0828146634543598</c:v>
                </c:pt>
                <c:pt idx="164">
                  <c:v>5.0829596616410404</c:v>
                </c:pt>
                <c:pt idx="165">
                  <c:v>5.0827913186084199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VDE/FENY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5.0859093075714403</c:v>
                </c:pt>
                <c:pt idx="20">
                  <c:v>5.0860204896090497</c:v>
                </c:pt>
                <c:pt idx="21">
                  <c:v>5.0863506331238799</c:v>
                </c:pt>
                <c:pt idx="22">
                  <c:v>5.08641823710213</c:v>
                </c:pt>
                <c:pt idx="23">
                  <c:v>5.0864190840752004</c:v>
                </c:pt>
                <c:pt idx="24">
                  <c:v>5.0865008446633198</c:v>
                </c:pt>
                <c:pt idx="25">
                  <c:v>5.0866267843217896</c:v>
                </c:pt>
                <c:pt idx="26">
                  <c:v>5.0865279514149897</c:v>
                </c:pt>
                <c:pt idx="27">
                  <c:v>5.0866059560126802</c:v>
                </c:pt>
                <c:pt idx="28">
                  <c:v>5.0866401255880396</c:v>
                </c:pt>
                <c:pt idx="29">
                  <c:v>5.0867398864994504</c:v>
                </c:pt>
                <c:pt idx="30">
                  <c:v>5.08663970263843</c:v>
                </c:pt>
                <c:pt idx="31">
                  <c:v>5.0867799666648299</c:v>
                </c:pt>
                <c:pt idx="32">
                  <c:v>5.0867465974378696</c:v>
                </c:pt>
                <c:pt idx="33">
                  <c:v>5.0867143788811404</c:v>
                </c:pt>
                <c:pt idx="34">
                  <c:v>5.08654737693562</c:v>
                </c:pt>
                <c:pt idx="35">
                  <c:v>5.0864823000053896</c:v>
                </c:pt>
                <c:pt idx="36">
                  <c:v>5.0865867542922301</c:v>
                </c:pt>
                <c:pt idx="37">
                  <c:v>5.0865757543632002</c:v>
                </c:pt>
                <c:pt idx="38">
                  <c:v>5.0863115040783704</c:v>
                </c:pt>
                <c:pt idx="39">
                  <c:v>5.0864172339616802</c:v>
                </c:pt>
                <c:pt idx="40">
                  <c:v>5.0863941236935499</c:v>
                </c:pt>
                <c:pt idx="41">
                  <c:v>5.0863562391256902</c:v>
                </c:pt>
                <c:pt idx="42">
                  <c:v>5.0863108515159396</c:v>
                </c:pt>
                <c:pt idx="43">
                  <c:v>5.0864233300770998</c:v>
                </c:pt>
                <c:pt idx="44">
                  <c:v>5.0863114266422098</c:v>
                </c:pt>
                <c:pt idx="45">
                  <c:v>5.0862922674826798</c:v>
                </c:pt>
                <c:pt idx="46">
                  <c:v>5.0864070684016802</c:v>
                </c:pt>
                <c:pt idx="47">
                  <c:v>5.0863794399264401</c:v>
                </c:pt>
                <c:pt idx="48">
                  <c:v>5.0865423818639099</c:v>
                </c:pt>
                <c:pt idx="49">
                  <c:v>5.0865832258795702</c:v>
                </c:pt>
                <c:pt idx="50">
                  <c:v>5.08667641133027</c:v>
                </c:pt>
                <c:pt idx="51">
                  <c:v>5.0865694806372002</c:v>
                </c:pt>
                <c:pt idx="52">
                  <c:v>5.0866009194285597</c:v>
                </c:pt>
                <c:pt idx="53">
                  <c:v>5.0879921836000799</c:v>
                </c:pt>
                <c:pt idx="54">
                  <c:v>5.0892326492288804</c:v>
                </c:pt>
                <c:pt idx="55">
                  <c:v>5.0892465881058699</c:v>
                </c:pt>
                <c:pt idx="56">
                  <c:v>5.0890729787917097</c:v>
                </c:pt>
                <c:pt idx="57">
                  <c:v>5.0890142631602302</c:v>
                </c:pt>
                <c:pt idx="58">
                  <c:v>5.0891484275938303</c:v>
                </c:pt>
                <c:pt idx="59">
                  <c:v>5.0891036411880997</c:v>
                </c:pt>
                <c:pt idx="60">
                  <c:v>5.0890677823693897</c:v>
                </c:pt>
                <c:pt idx="61">
                  <c:v>5.08893184699338</c:v>
                </c:pt>
                <c:pt idx="62">
                  <c:v>5.0890215657729403</c:v>
                </c:pt>
                <c:pt idx="63">
                  <c:v>5.0887844576327996</c:v>
                </c:pt>
                <c:pt idx="64">
                  <c:v>5.0887343209101399</c:v>
                </c:pt>
                <c:pt idx="65">
                  <c:v>5.0886540979765202</c:v>
                </c:pt>
                <c:pt idx="66">
                  <c:v>5.0886362592529997</c:v>
                </c:pt>
                <c:pt idx="67">
                  <c:v>5.0885501116394298</c:v>
                </c:pt>
                <c:pt idx="68">
                  <c:v>5.0884515174865399</c:v>
                </c:pt>
                <c:pt idx="69">
                  <c:v>5.0883983251468798</c:v>
                </c:pt>
                <c:pt idx="70">
                  <c:v>5.0884513188721696</c:v>
                </c:pt>
                <c:pt idx="71">
                  <c:v>5.0884851261391502</c:v>
                </c:pt>
                <c:pt idx="72">
                  <c:v>5.0884518907549401</c:v>
                </c:pt>
                <c:pt idx="73">
                  <c:v>5.0869298339130697</c:v>
                </c:pt>
                <c:pt idx="74">
                  <c:v>5.0855272880723801</c:v>
                </c:pt>
                <c:pt idx="75">
                  <c:v>5.0854783829144798</c:v>
                </c:pt>
                <c:pt idx="76">
                  <c:v>5.0854918838380296</c:v>
                </c:pt>
                <c:pt idx="77">
                  <c:v>5.0854010995210697</c:v>
                </c:pt>
                <c:pt idx="78">
                  <c:v>5.08539363134682</c:v>
                </c:pt>
                <c:pt idx="79">
                  <c:v>5.0854851807971002</c:v>
                </c:pt>
                <c:pt idx="80">
                  <c:v>5.08552122793854</c:v>
                </c:pt>
                <c:pt idx="81">
                  <c:v>5.08564837479957</c:v>
                </c:pt>
                <c:pt idx="82">
                  <c:v>5.0857552815571703</c:v>
                </c:pt>
                <c:pt idx="83">
                  <c:v>5.0860886216703003</c:v>
                </c:pt>
                <c:pt idx="84">
                  <c:v>5.0863360739324399</c:v>
                </c:pt>
                <c:pt idx="85">
                  <c:v>5.0863195885470303</c:v>
                </c:pt>
                <c:pt idx="86">
                  <c:v>5.0863007897685204</c:v>
                </c:pt>
                <c:pt idx="87">
                  <c:v>5.0862953972768397</c:v>
                </c:pt>
                <c:pt idx="88">
                  <c:v>5.0862117357267804</c:v>
                </c:pt>
                <c:pt idx="89">
                  <c:v>5.0862047537663297</c:v>
                </c:pt>
                <c:pt idx="90">
                  <c:v>5.0862396664820499</c:v>
                </c:pt>
                <c:pt idx="91">
                  <c:v>5.0861699554519602</c:v>
                </c:pt>
                <c:pt idx="92">
                  <c:v>5.0860215968968303</c:v>
                </c:pt>
                <c:pt idx="93">
                  <c:v>5.0860968211431503</c:v>
                </c:pt>
                <c:pt idx="94">
                  <c:v>5.0862047827258099</c:v>
                </c:pt>
                <c:pt idx="95">
                  <c:v>5.0860997077982297</c:v>
                </c:pt>
                <c:pt idx="96">
                  <c:v>5.0858701188996598</c:v>
                </c:pt>
                <c:pt idx="97">
                  <c:v>5.0857071219472898</c:v>
                </c:pt>
                <c:pt idx="98">
                  <c:v>5.0856266088175603</c:v>
                </c:pt>
                <c:pt idx="99">
                  <c:v>5.0854204490185797</c:v>
                </c:pt>
                <c:pt idx="100">
                  <c:v>5.0852867612649</c:v>
                </c:pt>
                <c:pt idx="101">
                  <c:v>5.0852071784984396</c:v>
                </c:pt>
                <c:pt idx="102">
                  <c:v>5.0849022096993997</c:v>
                </c:pt>
                <c:pt idx="103">
                  <c:v>5.0844567291451197</c:v>
                </c:pt>
                <c:pt idx="104">
                  <c:v>5.0840731320307899</c:v>
                </c:pt>
                <c:pt idx="105">
                  <c:v>5.0838742488613704</c:v>
                </c:pt>
                <c:pt idx="106">
                  <c:v>5.0836324468359297</c:v>
                </c:pt>
                <c:pt idx="107">
                  <c:v>5.0836317172284602</c:v>
                </c:pt>
                <c:pt idx="108">
                  <c:v>5.0834957801492102</c:v>
                </c:pt>
                <c:pt idx="109">
                  <c:v>5.0833430418732597</c:v>
                </c:pt>
                <c:pt idx="110">
                  <c:v>5.0832356244151002</c:v>
                </c:pt>
                <c:pt idx="111">
                  <c:v>5.0832838676708496</c:v>
                </c:pt>
                <c:pt idx="112">
                  <c:v>5.0832318061735098</c:v>
                </c:pt>
                <c:pt idx="113">
                  <c:v>5.0829219155625696</c:v>
                </c:pt>
                <c:pt idx="114">
                  <c:v>5.0827502933927597</c:v>
                </c:pt>
                <c:pt idx="115">
                  <c:v>5.0845989002229102</c:v>
                </c:pt>
                <c:pt idx="116">
                  <c:v>5.0865224323408498</c:v>
                </c:pt>
                <c:pt idx="117">
                  <c:v>5.0883319293827096</c:v>
                </c:pt>
                <c:pt idx="118">
                  <c:v>5.0882862244723599</c:v>
                </c:pt>
                <c:pt idx="119">
                  <c:v>5.0881782475736896</c:v>
                </c:pt>
                <c:pt idx="120">
                  <c:v>5.0881675384453597</c:v>
                </c:pt>
                <c:pt idx="121">
                  <c:v>5.08801834833453</c:v>
                </c:pt>
                <c:pt idx="122">
                  <c:v>5.08782945988008</c:v>
                </c:pt>
                <c:pt idx="123">
                  <c:v>5.0878991285424702</c:v>
                </c:pt>
                <c:pt idx="124">
                  <c:v>5.08775155641026</c:v>
                </c:pt>
                <c:pt idx="125">
                  <c:v>5.0878237209395802</c:v>
                </c:pt>
                <c:pt idx="126">
                  <c:v>5.08782219051899</c:v>
                </c:pt>
                <c:pt idx="127">
                  <c:v>5.0877141055987298</c:v>
                </c:pt>
                <c:pt idx="128">
                  <c:v>5.0878126535925201</c:v>
                </c:pt>
                <c:pt idx="129">
                  <c:v>5.0877464437132698</c:v>
                </c:pt>
                <c:pt idx="130">
                  <c:v>5.0876107544659899</c:v>
                </c:pt>
                <c:pt idx="131">
                  <c:v>5.0876006266637201</c:v>
                </c:pt>
                <c:pt idx="132">
                  <c:v>5.0875478517180301</c:v>
                </c:pt>
                <c:pt idx="133">
                  <c:v>5.0876834536133098</c:v>
                </c:pt>
                <c:pt idx="134">
                  <c:v>5.0877840165849104</c:v>
                </c:pt>
                <c:pt idx="135">
                  <c:v>5.0860167655172503</c:v>
                </c:pt>
                <c:pt idx="136">
                  <c:v>5.0841996637001499</c:v>
                </c:pt>
                <c:pt idx="137">
                  <c:v>5.0824342489219196</c:v>
                </c:pt>
                <c:pt idx="138">
                  <c:v>5.0825200344442596</c:v>
                </c:pt>
                <c:pt idx="139">
                  <c:v>5.0825799441519903</c:v>
                </c:pt>
                <c:pt idx="140">
                  <c:v>5.0824130134649304</c:v>
                </c:pt>
                <c:pt idx="141">
                  <c:v>5.0822758231231298</c:v>
                </c:pt>
                <c:pt idx="142">
                  <c:v>5.08255266674752</c:v>
                </c:pt>
                <c:pt idx="143">
                  <c:v>5.0825902362127904</c:v>
                </c:pt>
                <c:pt idx="144">
                  <c:v>5.0827551797589301</c:v>
                </c:pt>
                <c:pt idx="145">
                  <c:v>5.0827762039378301</c:v>
                </c:pt>
                <c:pt idx="146">
                  <c:v>5.0829239965469304</c:v>
                </c:pt>
                <c:pt idx="147">
                  <c:v>5.0829320949485197</c:v>
                </c:pt>
                <c:pt idx="148">
                  <c:v>5.0827842100232203</c:v>
                </c:pt>
                <c:pt idx="149">
                  <c:v>5.08279939919748</c:v>
                </c:pt>
                <c:pt idx="150">
                  <c:v>5.0828889714451702</c:v>
                </c:pt>
                <c:pt idx="151">
                  <c:v>5.0829150270522696</c:v>
                </c:pt>
                <c:pt idx="152">
                  <c:v>5.0830897572416598</c:v>
                </c:pt>
                <c:pt idx="153">
                  <c:v>5.0831687075044902</c:v>
                </c:pt>
                <c:pt idx="154">
                  <c:v>5.0831007855245298</c:v>
                </c:pt>
                <c:pt idx="155">
                  <c:v>5.08313676710197</c:v>
                </c:pt>
                <c:pt idx="156">
                  <c:v>5.0832305780215403</c:v>
                </c:pt>
                <c:pt idx="157">
                  <c:v>5.0832749210153798</c:v>
                </c:pt>
                <c:pt idx="158">
                  <c:v>5.0832120865752097</c:v>
                </c:pt>
                <c:pt idx="159">
                  <c:v>5.0833067925521496</c:v>
                </c:pt>
                <c:pt idx="160">
                  <c:v>5.0832159682495197</c:v>
                </c:pt>
                <c:pt idx="161">
                  <c:v>5.0832189839466997</c:v>
                </c:pt>
                <c:pt idx="162">
                  <c:v>5.0831760975546301</c:v>
                </c:pt>
                <c:pt idx="163">
                  <c:v>5.0830360192879196</c:v>
                </c:pt>
                <c:pt idx="164">
                  <c:v>5.0831105035414197</c:v>
                </c:pt>
                <c:pt idx="165">
                  <c:v>5.0830610366590303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FENY* x avg / VDE*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4.7616811316454101E-4</c:v>
                </c:pt>
                <c:pt idx="2">
                  <c:v>6.6263942369449103E-5</c:v>
                </c:pt>
                <c:pt idx="3">
                  <c:v>-2.7027750355850102E-4</c:v>
                </c:pt>
                <c:pt idx="4">
                  <c:v>-3.1868192874764099E-4</c:v>
                </c:pt>
                <c:pt idx="5">
                  <c:v>-1.2022873742783399E-4</c:v>
                </c:pt>
                <c:pt idx="6">
                  <c:v>-4.48230850990968E-4</c:v>
                </c:pt>
                <c:pt idx="7">
                  <c:v>-1.1671631134278001E-4</c:v>
                </c:pt>
                <c:pt idx="8">
                  <c:v>2.6952751644433301E-5</c:v>
                </c:pt>
                <c:pt idx="9">
                  <c:v>3.7419497714678603E-5</c:v>
                </c:pt>
                <c:pt idx="10">
                  <c:v>-2.1582249856830099E-4</c:v>
                </c:pt>
                <c:pt idx="11">
                  <c:v>2.6094145967803998E-4</c:v>
                </c:pt>
                <c:pt idx="12">
                  <c:v>-2.7789243208530901E-4</c:v>
                </c:pt>
                <c:pt idx="13">
                  <c:v>-6.0912820077881199E-4</c:v>
                </c:pt>
                <c:pt idx="14">
                  <c:v>-9.5954971400171796E-4</c:v>
                </c:pt>
                <c:pt idx="15">
                  <c:v>-2.2587396575776401E-4</c:v>
                </c:pt>
                <c:pt idx="16">
                  <c:v>-4.8258616688499998E-4</c:v>
                </c:pt>
                <c:pt idx="17">
                  <c:v>-8.0300161334175804E-4</c:v>
                </c:pt>
                <c:pt idx="18">
                  <c:v>-8.2045253319912705E-4</c:v>
                </c:pt>
                <c:pt idx="19">
                  <c:v>2.9095033711337699E-5</c:v>
                </c:pt>
                <c:pt idx="20">
                  <c:v>-5.77880694241228E-4</c:v>
                </c:pt>
                <c:pt idx="21">
                  <c:v>-8.2219354808810499E-4</c:v>
                </c:pt>
                <c:pt idx="22">
                  <c:v>-1.9963179365171E-4</c:v>
                </c:pt>
                <c:pt idx="23">
                  <c:v>-2.7360808133929001E-4</c:v>
                </c:pt>
                <c:pt idx="24">
                  <c:v>-6.4012486303122596E-4</c:v>
                </c:pt>
                <c:pt idx="25">
                  <c:v>-6.1541757288813195E-4</c:v>
                </c:pt>
                <c:pt idx="26">
                  <c:v>-5.9580219726084402E-5</c:v>
                </c:pt>
                <c:pt idx="27">
                  <c:v>-4.2345671431151001E-4</c:v>
                </c:pt>
                <c:pt idx="28">
                  <c:v>-1.07444436957966E-4</c:v>
                </c:pt>
                <c:pt idx="29">
                  <c:v>-3.5491775148576397E-4</c:v>
                </c:pt>
                <c:pt idx="30">
                  <c:v>1.7823326242149401E-4</c:v>
                </c:pt>
                <c:pt idx="31">
                  <c:v>-2.9076478697387501E-4</c:v>
                </c:pt>
                <c:pt idx="32">
                  <c:v>-1.4666578421199E-4</c:v>
                </c:pt>
                <c:pt idx="33">
                  <c:v>-4.8246888856976399E-4</c:v>
                </c:pt>
                <c:pt idx="34">
                  <c:v>-3.0307889223617597E-4</c:v>
                </c:pt>
                <c:pt idx="35">
                  <c:v>3.0074553423513699E-5</c:v>
                </c:pt>
                <c:pt idx="36">
                  <c:v>-8.9316410188759298E-4</c:v>
                </c:pt>
                <c:pt idx="37">
                  <c:v>-7.5976829076346004E-4</c:v>
                </c:pt>
                <c:pt idx="38">
                  <c:v>2.1863669615520599E-4</c:v>
                </c:pt>
                <c:pt idx="39">
                  <c:v>-3.8670850039717198E-4</c:v>
                </c:pt>
                <c:pt idx="40">
                  <c:v>-4.8702716051292702E-4</c:v>
                </c:pt>
                <c:pt idx="41">
                  <c:v>-6.7328978325033805E-4</c:v>
                </c:pt>
                <c:pt idx="42">
                  <c:v>-2.11238873305366E-5</c:v>
                </c:pt>
                <c:pt idx="43">
                  <c:v>-7.1581240028729303E-4</c:v>
                </c:pt>
                <c:pt idx="44">
                  <c:v>-2.0014881739067501E-4</c:v>
                </c:pt>
                <c:pt idx="45">
                  <c:v>-5.40100468097422E-4</c:v>
                </c:pt>
                <c:pt idx="46">
                  <c:v>-5.1100930851256303E-4</c:v>
                </c:pt>
                <c:pt idx="47">
                  <c:v>-3.14822986323834E-4</c:v>
                </c:pt>
                <c:pt idx="48">
                  <c:v>-7.4808609247982601E-4</c:v>
                </c:pt>
                <c:pt idx="49">
                  <c:v>-5.1550368670407202E-4</c:v>
                </c:pt>
                <c:pt idx="50">
                  <c:v>-1.88300515153494E-4</c:v>
                </c:pt>
                <c:pt idx="51">
                  <c:v>1.2980251778143401E-4</c:v>
                </c:pt>
                <c:pt idx="52">
                  <c:v>-2.70301338216286E-4</c:v>
                </c:pt>
                <c:pt idx="53">
                  <c:v>-2.5229347928699801E-4</c:v>
                </c:pt>
                <c:pt idx="54">
                  <c:v>4.5618494539892499E-4</c:v>
                </c:pt>
                <c:pt idx="55">
                  <c:v>-2.4752767126033299E-5</c:v>
                </c:pt>
                <c:pt idx="56">
                  <c:v>-2.10666074363327E-4</c:v>
                </c:pt>
                <c:pt idx="57">
                  <c:v>-5.2896501338676604E-4</c:v>
                </c:pt>
                <c:pt idx="58">
                  <c:v>-3.0906178263292002E-4</c:v>
                </c:pt>
                <c:pt idx="59">
                  <c:v>-2.1059826913634599E-4</c:v>
                </c:pt>
                <c:pt idx="60">
                  <c:v>-3.4603883209858303E-4</c:v>
                </c:pt>
                <c:pt idx="61">
                  <c:v>-1.3881868955965999E-4</c:v>
                </c:pt>
                <c:pt idx="62">
                  <c:v>-3.73954002306001E-4</c:v>
                </c:pt>
                <c:pt idx="63">
                  <c:v>2.16595889423791E-4</c:v>
                </c:pt>
                <c:pt idx="64">
                  <c:v>-2.9610738518187599E-6</c:v>
                </c:pt>
                <c:pt idx="65">
                  <c:v>-2.24672244171379E-4</c:v>
                </c:pt>
                <c:pt idx="66">
                  <c:v>-4.4087586610738999E-4</c:v>
                </c:pt>
                <c:pt idx="67">
                  <c:v>2.39807373843319E-5</c:v>
                </c:pt>
                <c:pt idx="68">
                  <c:v>-3.6049078183831998E-4</c:v>
                </c:pt>
                <c:pt idx="69">
                  <c:v>-3.0636291432541802E-4</c:v>
                </c:pt>
                <c:pt idx="70">
                  <c:v>-3.9668505847874097E-4</c:v>
                </c:pt>
                <c:pt idx="71">
                  <c:v>-3.1833952294728098E-6</c:v>
                </c:pt>
                <c:pt idx="72">
                  <c:v>-1.3960007782843001E-4</c:v>
                </c:pt>
                <c:pt idx="73">
                  <c:v>3.1875064048381503E-5</c:v>
                </c:pt>
                <c:pt idx="74">
                  <c:v>3.3445735752395502E-4</c:v>
                </c:pt>
                <c:pt idx="75">
                  <c:v>1.67624508586149E-4</c:v>
                </c:pt>
                <c:pt idx="76">
                  <c:v>-2.6375800759853498E-4</c:v>
                </c:pt>
                <c:pt idx="77">
                  <c:v>-1.71999141450046E-4</c:v>
                </c:pt>
                <c:pt idx="78">
                  <c:v>-2.7969511442412398E-4</c:v>
                </c:pt>
                <c:pt idx="79">
                  <c:v>-5.7055822825118801E-4</c:v>
                </c:pt>
                <c:pt idx="80">
                  <c:v>-4.8776754815265202E-4</c:v>
                </c:pt>
                <c:pt idx="81">
                  <c:v>-6.3874371121989103E-4</c:v>
                </c:pt>
                <c:pt idx="82">
                  <c:v>-7.9421546836887095E-4</c:v>
                </c:pt>
                <c:pt idx="83">
                  <c:v>-1.09398884553236E-3</c:v>
                </c:pt>
                <c:pt idx="84">
                  <c:v>-9.7581347314226795E-4</c:v>
                </c:pt>
                <c:pt idx="85">
                  <c:v>-1.5984109944921799E-4</c:v>
                </c:pt>
                <c:pt idx="86">
                  <c:v>-3.6696261721228001E-4</c:v>
                </c:pt>
                <c:pt idx="87">
                  <c:v>4.5192296184538501E-5</c:v>
                </c:pt>
                <c:pt idx="88">
                  <c:v>-3.1480954275158802E-5</c:v>
                </c:pt>
                <c:pt idx="89">
                  <c:v>-2.7890810856652401E-4</c:v>
                </c:pt>
                <c:pt idx="90">
                  <c:v>-5.3394683923092996E-4</c:v>
                </c:pt>
                <c:pt idx="91">
                  <c:v>2.7105467714764201E-4</c:v>
                </c:pt>
                <c:pt idx="92">
                  <c:v>4.44042247275451E-4</c:v>
                </c:pt>
                <c:pt idx="93">
                  <c:v>-2.6397762735098598E-4</c:v>
                </c:pt>
                <c:pt idx="94">
                  <c:v>-9.0250552148592701E-5</c:v>
                </c:pt>
                <c:pt idx="95">
                  <c:v>5.8108094472203995E-4</c:v>
                </c:pt>
                <c:pt idx="96">
                  <c:v>6.3947653347974697E-4</c:v>
                </c:pt>
                <c:pt idx="97">
                  <c:v>4.6922830116588599E-4</c:v>
                </c:pt>
                <c:pt idx="98">
                  <c:v>3.69567711494147E-5</c:v>
                </c:pt>
                <c:pt idx="99">
                  <c:v>2.40216715368802E-4</c:v>
                </c:pt>
                <c:pt idx="100">
                  <c:v>3.7961565836170797E-5</c:v>
                </c:pt>
                <c:pt idx="101">
                  <c:v>-3.2586382164184199E-4</c:v>
                </c:pt>
                <c:pt idx="102">
                  <c:v>4.0511529237698802E-4</c:v>
                </c:pt>
                <c:pt idx="103">
                  <c:v>6.5788196961499802E-4</c:v>
                </c:pt>
                <c:pt idx="104">
                  <c:v>5.3269289936835602E-4</c:v>
                </c:pt>
                <c:pt idx="105">
                  <c:v>6.2262691783721404E-4</c:v>
                </c:pt>
                <c:pt idx="106">
                  <c:v>5.8424469783562505E-4</c:v>
                </c:pt>
                <c:pt idx="107">
                  <c:v>4.8062267815075802E-5</c:v>
                </c:pt>
                <c:pt idx="108">
                  <c:v>5.0334007248804098E-4</c:v>
                </c:pt>
                <c:pt idx="109">
                  <c:v>3.2188548261169702E-4</c:v>
                </c:pt>
                <c:pt idx="110">
                  <c:v>-1.1156739171479801E-4</c:v>
                </c:pt>
                <c:pt idx="111">
                  <c:v>8.1261238649890004E-5</c:v>
                </c:pt>
                <c:pt idx="112">
                  <c:v>6.4893286495505697E-4</c:v>
                </c:pt>
                <c:pt idx="113">
                  <c:v>9.5536738432795904E-4</c:v>
                </c:pt>
                <c:pt idx="114">
                  <c:v>5.8497503239076699E-4</c:v>
                </c:pt>
                <c:pt idx="115">
                  <c:v>3.8717948438506301E-4</c:v>
                </c:pt>
                <c:pt idx="116">
                  <c:v>6.5800469693937295E-5</c:v>
                </c:pt>
                <c:pt idx="117">
                  <c:v>2.9865301477214099E-4</c:v>
                </c:pt>
                <c:pt idx="118">
                  <c:v>2.1675525902133301E-4</c:v>
                </c:pt>
                <c:pt idx="119">
                  <c:v>6.6512531421238595E-4</c:v>
                </c:pt>
                <c:pt idx="120">
                  <c:v>8.0087334477925196E-5</c:v>
                </c:pt>
                <c:pt idx="121">
                  <c:v>2.6094145967781799E-4</c:v>
                </c:pt>
                <c:pt idx="122">
                  <c:v>1.1486665007762499E-3</c:v>
                </c:pt>
                <c:pt idx="123">
                  <c:v>3.8370452154267001E-4</c:v>
                </c:pt>
                <c:pt idx="124">
                  <c:v>1.1136310825059601E-3</c:v>
                </c:pt>
                <c:pt idx="125">
                  <c:v>3.38638518883241E-4</c:v>
                </c:pt>
                <c:pt idx="126">
                  <c:v>5.9026798990599605E-4</c:v>
                </c:pt>
                <c:pt idx="127">
                  <c:v>4.7331430223693097E-4</c:v>
                </c:pt>
                <c:pt idx="128">
                  <c:v>1.1559144852069199E-4</c:v>
                </c:pt>
                <c:pt idx="129">
                  <c:v>5.8243318403523902E-4</c:v>
                </c:pt>
                <c:pt idx="130">
                  <c:v>4.2223555900500301E-4</c:v>
                </c:pt>
                <c:pt idx="131">
                  <c:v>1.21101964115301E-4</c:v>
                </c:pt>
                <c:pt idx="132">
                  <c:v>8.5667415009833597E-4</c:v>
                </c:pt>
                <c:pt idx="133">
                  <c:v>4.2162358154586402E-4</c:v>
                </c:pt>
                <c:pt idx="134">
                  <c:v>1.89267514662238E-4</c:v>
                </c:pt>
                <c:pt idx="135">
                  <c:v>2.6094145967781799E-4</c:v>
                </c:pt>
                <c:pt idx="136">
                  <c:v>2.20663542040781E-4</c:v>
                </c:pt>
                <c:pt idx="137">
                  <c:v>2.9576880312633097E-4</c:v>
                </c:pt>
                <c:pt idx="138">
                  <c:v>-1.20689695968169E-4</c:v>
                </c:pt>
                <c:pt idx="139">
                  <c:v>4.2934749693702799E-4</c:v>
                </c:pt>
                <c:pt idx="140">
                  <c:v>7.3696073225449201E-4</c:v>
                </c:pt>
                <c:pt idx="141">
                  <c:v>8.0085246460975096E-4</c:v>
                </c:pt>
                <c:pt idx="142">
                  <c:v>5.9072149183651997E-5</c:v>
                </c:pt>
                <c:pt idx="143">
                  <c:v>2.3588301084456799E-4</c:v>
                </c:pt>
                <c:pt idx="144">
                  <c:v>4.6433011377260001E-4</c:v>
                </c:pt>
                <c:pt idx="145">
                  <c:v>2.5591743226684399E-4</c:v>
                </c:pt>
                <c:pt idx="146">
                  <c:v>8.7664488850933403E-6</c:v>
                </c:pt>
                <c:pt idx="147">
                  <c:v>4.4144547896095201E-4</c:v>
                </c:pt>
                <c:pt idx="148">
                  <c:v>6.9751849961433596E-4</c:v>
                </c:pt>
                <c:pt idx="149">
                  <c:v>5.22655069509628E-4</c:v>
                </c:pt>
                <c:pt idx="150">
                  <c:v>6.9825414904530806E-5</c:v>
                </c:pt>
                <c:pt idx="151">
                  <c:v>1.8607687342391699E-5</c:v>
                </c:pt>
                <c:pt idx="152">
                  <c:v>1.6903791963412699E-4</c:v>
                </c:pt>
                <c:pt idx="153">
                  <c:v>1.109979300648E-4</c:v>
                </c:pt>
                <c:pt idx="154">
                  <c:v>4.5651808937113001E-4</c:v>
                </c:pt>
                <c:pt idx="155">
                  <c:v>1.19384617291594E-4</c:v>
                </c:pt>
                <c:pt idx="156">
                  <c:v>-1.4834564232963499E-4</c:v>
                </c:pt>
                <c:pt idx="157">
                  <c:v>1.2131370703906299E-4</c:v>
                </c:pt>
                <c:pt idx="158">
                  <c:v>1.2646398561131801E-4</c:v>
                </c:pt>
                <c:pt idx="159">
                  <c:v>5.6740488085502498E-5</c:v>
                </c:pt>
                <c:pt idx="160">
                  <c:v>1.0945363153086001E-3</c:v>
                </c:pt>
                <c:pt idx="161">
                  <c:v>7.8898108918995004E-4</c:v>
                </c:pt>
                <c:pt idx="162">
                  <c:v>2.2778566771332201E-4</c:v>
                </c:pt>
                <c:pt idx="163">
                  <c:v>7.8714872636911697E-4</c:v>
                </c:pt>
                <c:pt idx="164">
                  <c:v>1.7126065249053901E-4</c:v>
                </c:pt>
                <c:pt idx="165">
                  <c:v>4.5055919551670998E-4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FENY* x 10 dma / VDE*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-1.34988389368337E-4</c:v>
                </c:pt>
                <c:pt idx="11">
                  <c:v>3.4928708193259601E-4</c:v>
                </c:pt>
                <c:pt idx="12">
                  <c:v>-1.6803420730668699E-4</c:v>
                </c:pt>
                <c:pt idx="13">
                  <c:v>-4.6485506976044202E-4</c:v>
                </c:pt>
                <c:pt idx="14">
                  <c:v>-7.8138207538889397E-4</c:v>
                </c:pt>
                <c:pt idx="15">
                  <c:v>1.6407944607373499E-5</c:v>
                </c:pt>
                <c:pt idx="16">
                  <c:v>-2.29740520840981E-4</c:v>
                </c:pt>
                <c:pt idx="17">
                  <c:v>-5.4671971126798102E-4</c:v>
                </c:pt>
                <c:pt idx="18">
                  <c:v>-4.9553048275043695E-4</c:v>
                </c:pt>
                <c:pt idx="19">
                  <c:v>4.3876011133572401E-4</c:v>
                </c:pt>
                <c:pt idx="20">
                  <c:v>-1.6738353918968501E-4</c:v>
                </c:pt>
                <c:pt idx="21">
                  <c:v>-3.7549172271411602E-4</c:v>
                </c:pt>
                <c:pt idx="22">
                  <c:v>3.5535968750068298E-4</c:v>
                </c:pt>
                <c:pt idx="23">
                  <c:v>2.73559779803208E-4</c:v>
                </c:pt>
                <c:pt idx="24">
                  <c:v>-1.2650602714664401E-4</c:v>
                </c:pt>
                <c:pt idx="25">
                  <c:v>-1.3375087653770499E-4</c:v>
                </c:pt>
                <c:pt idx="26">
                  <c:v>4.6103770201616701E-4</c:v>
                </c:pt>
                <c:pt idx="27">
                  <c:v>5.4870272301322802E-5</c:v>
                </c:pt>
                <c:pt idx="28">
                  <c:v>3.32922218550858E-4</c:v>
                </c:pt>
                <c:pt idx="29">
                  <c:v>1.4143869321411601E-5</c:v>
                </c:pt>
                <c:pt idx="30">
                  <c:v>5.8568750936048304E-4</c:v>
                </c:pt>
                <c:pt idx="31">
                  <c:v>4.1090902603598201E-5</c:v>
                </c:pt>
                <c:pt idx="32">
                  <c:v>1.32033677382768E-4</c:v>
                </c:pt>
                <c:pt idx="33">
                  <c:v>-2.09065482913373E-4</c:v>
                </c:pt>
                <c:pt idx="34">
                  <c:v>-8.7874384443216193E-6</c:v>
                </c:pt>
                <c:pt idx="35">
                  <c:v>2.9065486505574199E-4</c:v>
                </c:pt>
                <c:pt idx="36">
                  <c:v>-6.9713715902584004E-4</c:v>
                </c:pt>
                <c:pt idx="37">
                  <c:v>-4.8036306093600698E-4</c:v>
                </c:pt>
                <c:pt idx="38">
                  <c:v>5.3168301944988498E-4</c:v>
                </c:pt>
                <c:pt idx="39">
                  <c:v>-1.06258803303047E-4</c:v>
                </c:pt>
                <c:pt idx="40">
                  <c:v>-2.03398106296355E-4</c:v>
                </c:pt>
                <c:pt idx="41">
                  <c:v>-3.23145494446053E-4</c:v>
                </c:pt>
                <c:pt idx="42">
                  <c:v>3.6727721472033201E-4</c:v>
                </c:pt>
                <c:pt idx="43">
                  <c:v>-3.3996174444179999E-4</c:v>
                </c:pt>
                <c:pt idx="44">
                  <c:v>1.99041128224629E-4</c:v>
                </c:pt>
                <c:pt idx="45">
                  <c:v>-1.51202064039128E-4</c:v>
                </c:pt>
                <c:pt idx="46">
                  <c:v>-6.5102659833473004E-5</c:v>
                </c:pt>
                <c:pt idx="47">
                  <c:v>9.2857660882819806E-5</c:v>
                </c:pt>
                <c:pt idx="48">
                  <c:v>-3.8490673378344798E-4</c:v>
                </c:pt>
                <c:pt idx="49">
                  <c:v>-5.5666234292173999E-5</c:v>
                </c:pt>
                <c:pt idx="50">
                  <c:v>2.8441626050383298E-4</c:v>
                </c:pt>
                <c:pt idx="51">
                  <c:v>5.7265021683391005E-4</c:v>
                </c:pt>
                <c:pt idx="52">
                  <c:v>9.2247644780240904E-5</c:v>
                </c:pt>
                <c:pt idx="53">
                  <c:v>1.35167536067662E-4</c:v>
                </c:pt>
                <c:pt idx="54">
                  <c:v>7.9728851631425204E-4</c:v>
                </c:pt>
                <c:pt idx="55">
                  <c:v>2.5074605720418203E-4</c:v>
                </c:pt>
                <c:pt idx="56">
                  <c:v>1.32962942956503E-5</c:v>
                </c:pt>
                <c:pt idx="57">
                  <c:v>-3.3504153065751002E-4</c:v>
                </c:pt>
                <c:pt idx="58">
                  <c:v>-9.3719444178463299E-5</c:v>
                </c:pt>
                <c:pt idx="59">
                  <c:v>-3.9173080145719399E-5</c:v>
                </c:pt>
                <c:pt idx="60">
                  <c:v>-2.0511049334130099E-4</c:v>
                </c:pt>
                <c:pt idx="61">
                  <c:v>1.7885347906968201E-5</c:v>
                </c:pt>
                <c:pt idx="62">
                  <c:v>-1.9039229268997499E-4</c:v>
                </c:pt>
                <c:pt idx="63">
                  <c:v>4.10524248092043E-4</c:v>
                </c:pt>
                <c:pt idx="64">
                  <c:v>1.4408550403917201E-4</c:v>
                </c:pt>
                <c:pt idx="65">
                  <c:v>-3.17292703850453E-5</c:v>
                </c:pt>
                <c:pt idx="66">
                  <c:v>-2.27942508405466E-4</c:v>
                </c:pt>
                <c:pt idx="67">
                  <c:v>2.5993740705181902E-4</c:v>
                </c:pt>
                <c:pt idx="68">
                  <c:v>-1.7983113113328601E-4</c:v>
                </c:pt>
                <c:pt idx="69">
                  <c:v>-1.20559584260698E-4</c:v>
                </c:pt>
                <c:pt idx="70">
                  <c:v>-2.0130461373545701E-4</c:v>
                </c:pt>
                <c:pt idx="71">
                  <c:v>1.97262550680659E-4</c:v>
                </c:pt>
                <c:pt idx="72">
                  <c:v>4.7284002292858303E-5</c:v>
                </c:pt>
                <c:pt idx="73">
                  <c:v>1.9532183899067799E-4</c:v>
                </c:pt>
                <c:pt idx="74">
                  <c:v>5.1637073119517195E-4</c:v>
                </c:pt>
                <c:pt idx="75">
                  <c:v>3.1580719878818397E-4</c:v>
                </c:pt>
                <c:pt idx="76">
                  <c:v>-1.5480106834753901E-4</c:v>
                </c:pt>
                <c:pt idx="77">
                  <c:v>-8.0758455869824706E-5</c:v>
                </c:pt>
                <c:pt idx="78">
                  <c:v>-1.6885697066006101E-4</c:v>
                </c:pt>
                <c:pt idx="79">
                  <c:v>-4.6780137474918302E-4</c:v>
                </c:pt>
                <c:pt idx="80">
                  <c:v>-3.5858264178159101E-4</c:v>
                </c:pt>
                <c:pt idx="81">
                  <c:v>-5.0044774567869598E-4</c:v>
                </c:pt>
                <c:pt idx="82">
                  <c:v>-5.9235387980838001E-4</c:v>
                </c:pt>
                <c:pt idx="83">
                  <c:v>-8.2665050776718101E-4</c:v>
                </c:pt>
                <c:pt idx="84">
                  <c:v>-5.9586538415182895E-4</c:v>
                </c:pt>
                <c:pt idx="85">
                  <c:v>3.5111773394864298E-4</c:v>
                </c:pt>
                <c:pt idx="86">
                  <c:v>1.7672538628533E-4</c:v>
                </c:pt>
                <c:pt idx="87">
                  <c:v>5.9919835123883197E-4</c:v>
                </c:pt>
                <c:pt idx="88">
                  <c:v>5.0081637419561998E-4</c:v>
                </c:pt>
                <c:pt idx="89">
                  <c:v>2.28576844698687E-4</c:v>
                </c:pt>
                <c:pt idx="90">
                  <c:v>-5.56249099176246E-5</c:v>
                </c:pt>
                <c:pt idx="91">
                  <c:v>7.5399467515400195E-4</c:v>
                </c:pt>
                <c:pt idx="92">
                  <c:v>8.3602547445622301E-4</c:v>
                </c:pt>
                <c:pt idx="93">
                  <c:v>4.1990111152353199E-6</c:v>
                </c:pt>
                <c:pt idx="94">
                  <c:v>9.4887410087352098E-5</c:v>
                </c:pt>
                <c:pt idx="95">
                  <c:v>6.7762787432753603E-4</c:v>
                </c:pt>
                <c:pt idx="96">
                  <c:v>6.6195126887083405E-4</c:v>
                </c:pt>
                <c:pt idx="97">
                  <c:v>3.9107002802053699E-4</c:v>
                </c:pt>
                <c:pt idx="98">
                  <c:v>-8.3598409776916401E-5</c:v>
                </c:pt>
                <c:pt idx="99">
                  <c:v>1.12816932112377E-4</c:v>
                </c:pt>
                <c:pt idx="100">
                  <c:v>-1.41359666773053E-4</c:v>
                </c:pt>
                <c:pt idx="101">
                  <c:v>-5.6240197605601197E-4</c:v>
                </c:pt>
                <c:pt idx="102">
                  <c:v>2.2828296360893701E-4</c:v>
                </c:pt>
                <c:pt idx="103">
                  <c:v>4.8494136448220599E-4</c:v>
                </c:pt>
                <c:pt idx="104">
                  <c:v>2.6756429559466E-4</c:v>
                </c:pt>
                <c:pt idx="105">
                  <c:v>2.9519929211622802E-4</c:v>
                </c:pt>
                <c:pt idx="106">
                  <c:v>2.5266360615148098E-4</c:v>
                </c:pt>
                <c:pt idx="107">
                  <c:v>-2.7799720336650499E-4</c:v>
                </c:pt>
                <c:pt idx="108">
                  <c:v>2.19399157306434E-4</c:v>
                </c:pt>
                <c:pt idx="109">
                  <c:v>-8.6954940204342093E-6</c:v>
                </c:pt>
                <c:pt idx="110">
                  <c:v>-4.5031568294045599E-4</c:v>
                </c:pt>
                <c:pt idx="111">
                  <c:v>-2.42528652051791E-4</c:v>
                </c:pt>
                <c:pt idx="112">
                  <c:v>2.8441147288559102E-4</c:v>
                </c:pt>
                <c:pt idx="113">
                  <c:v>5.6646789957589497E-4</c:v>
                </c:pt>
                <c:pt idx="114">
                  <c:v>1.6633898805090699E-4</c:v>
                </c:pt>
                <c:pt idx="115">
                  <c:v>-3.6684053987729702E-5</c:v>
                </c:pt>
                <c:pt idx="116">
                  <c:v>-3.3452051038846298E-4</c:v>
                </c:pt>
                <c:pt idx="117">
                  <c:v>-4.9820982044561401E-5</c:v>
                </c:pt>
                <c:pt idx="118">
                  <c:v>-1.56782515288763E-4</c:v>
                </c:pt>
                <c:pt idx="119">
                  <c:v>3.2024599729839402E-4</c:v>
                </c:pt>
                <c:pt idx="120">
                  <c:v>-2.9911145361088899E-4</c:v>
                </c:pt>
                <c:pt idx="121">
                  <c:v>-1.3743055554853799E-4</c:v>
                </c:pt>
                <c:pt idx="122">
                  <c:v>7.32322217854041E-4</c:v>
                </c:pt>
                <c:pt idx="123">
                  <c:v>-8.2590268882934005E-5</c:v>
                </c:pt>
                <c:pt idx="124">
                  <c:v>7.0448932850893597E-4</c:v>
                </c:pt>
                <c:pt idx="125">
                  <c:v>-1.2334697267277599E-4</c:v>
                </c:pt>
                <c:pt idx="126">
                  <c:v>1.33137064067793E-4</c:v>
                </c:pt>
                <c:pt idx="127">
                  <c:v>-3.6271523097082501E-5</c:v>
                </c:pt>
                <c:pt idx="128">
                  <c:v>-4.11462817139387E-4</c:v>
                </c:pt>
                <c:pt idx="129">
                  <c:v>6.5498899690097896E-5</c:v>
                </c:pt>
                <c:pt idx="130">
                  <c:v>-8.6430429979277197E-5</c:v>
                </c:pt>
                <c:pt idx="131">
                  <c:v>-4.2178824473731302E-4</c:v>
                </c:pt>
                <c:pt idx="132">
                  <c:v>3.2777271434703302E-4</c:v>
                </c:pt>
                <c:pt idx="133">
                  <c:v>-7.8092875331968201E-5</c:v>
                </c:pt>
                <c:pt idx="134">
                  <c:v>-3.14241223438178E-4</c:v>
                </c:pt>
                <c:pt idx="135">
                  <c:v>-1.5014886313612799E-4</c:v>
                </c:pt>
                <c:pt idx="136">
                  <c:v>-1.8265624022239499E-4</c:v>
                </c:pt>
                <c:pt idx="137">
                  <c:v>-7.0591296473629205E-5</c:v>
                </c:pt>
                <c:pt idx="138">
                  <c:v>-4.6929572603907901E-4</c:v>
                </c:pt>
                <c:pt idx="139">
                  <c:v>1.04377600625565E-4</c:v>
                </c:pt>
                <c:pt idx="140">
                  <c:v>4.2729651815303997E-4</c:v>
                </c:pt>
                <c:pt idx="141">
                  <c:v>4.5972373240415202E-4</c:v>
                </c:pt>
                <c:pt idx="142">
                  <c:v>-3.5002579801630198E-4</c:v>
                </c:pt>
                <c:pt idx="143">
                  <c:v>-9.3461804740218194E-5</c:v>
                </c:pt>
                <c:pt idx="144">
                  <c:v>1.5355919377538099E-4</c:v>
                </c:pt>
                <c:pt idx="145">
                  <c:v>-8.2359685155895495E-5</c:v>
                </c:pt>
                <c:pt idx="146">
                  <c:v>-3.2900822580554803E-4</c:v>
                </c:pt>
                <c:pt idx="147">
                  <c:v>1.2486501612357201E-4</c:v>
                </c:pt>
                <c:pt idx="148">
                  <c:v>3.66371020969612E-4</c:v>
                </c:pt>
                <c:pt idx="149">
                  <c:v>1.09679924702053E-4</c:v>
                </c:pt>
                <c:pt idx="150">
                  <c:v>-3.52479942627E-4</c:v>
                </c:pt>
                <c:pt idx="151">
                  <c:v>-3.36985100832594E-4</c:v>
                </c:pt>
                <c:pt idx="152">
                  <c:v>-1.08337682609963E-4</c:v>
                </c:pt>
                <c:pt idx="153">
                  <c:v>-1.77376105826278E-4</c:v>
                </c:pt>
                <c:pt idx="154">
                  <c:v>1.8063391899867499E-4</c:v>
                </c:pt>
                <c:pt idx="155">
                  <c:v>-1.5571849509557099E-4</c:v>
                </c:pt>
                <c:pt idx="156">
                  <c:v>-4.0979437236985999E-4</c:v>
                </c:pt>
                <c:pt idx="157">
                  <c:v>-1.2441873234874E-4</c:v>
                </c:pt>
                <c:pt idx="158">
                  <c:v>-8.7256929979758396E-5</c:v>
                </c:pt>
                <c:pt idx="159">
                  <c:v>-9.9887926331724706E-5</c:v>
                </c:pt>
                <c:pt idx="160">
                  <c:v>9.8449207491256596E-4</c:v>
                </c:pt>
                <c:pt idx="161">
                  <c:v>5.7650887764167298E-4</c:v>
                </c:pt>
                <c:pt idx="162">
                  <c:v>-6.1712114775452903E-5</c:v>
                </c:pt>
                <c:pt idx="163">
                  <c:v>4.9177561667796896E-4</c:v>
                </c:pt>
                <c:pt idx="164">
                  <c:v>-1.91719431765008E-4</c:v>
                </c:pt>
                <c:pt idx="165">
                  <c:v>1.1610584853827E-4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FENY* x 20 dma / VDE*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-3.3220147740022998E-4</c:v>
                </c:pt>
                <c:pt idx="21">
                  <c:v>-5.54653771878E-4</c:v>
                </c:pt>
                <c:pt idx="22">
                  <c:v>1.32817827265765E-4</c:v>
                </c:pt>
                <c:pt idx="23">
                  <c:v>7.2132705261628198E-5</c:v>
                </c:pt>
                <c:pt idx="24">
                  <c:v>-2.9421755984434302E-4</c:v>
                </c:pt>
                <c:pt idx="25">
                  <c:v>-2.5343610639599201E-4</c:v>
                </c:pt>
                <c:pt idx="26">
                  <c:v>3.2716052691622599E-4</c:v>
                </c:pt>
                <c:pt idx="27">
                  <c:v>-5.6146106965769298E-5</c:v>
                </c:pt>
                <c:pt idx="28">
                  <c:v>2.7520158195266898E-4</c:v>
                </c:pt>
                <c:pt idx="29">
                  <c:v>3.4445803810327699E-5</c:v>
                </c:pt>
                <c:pt idx="30">
                  <c:v>5.8720896457394999E-4</c:v>
                </c:pt>
                <c:pt idx="31">
                  <c:v>9.8515619206212198E-5</c:v>
                </c:pt>
                <c:pt idx="32">
                  <c:v>2.7018922932159697E-4</c:v>
                </c:pt>
                <c:pt idx="33">
                  <c:v>-7.2173886798037199E-5</c:v>
                </c:pt>
                <c:pt idx="34">
                  <c:v>1.008822656648E-4</c:v>
                </c:pt>
                <c:pt idx="35">
                  <c:v>4.0120416731343102E-4</c:v>
                </c:pt>
                <c:pt idx="36">
                  <c:v>-5.3482849967296598E-4</c:v>
                </c:pt>
                <c:pt idx="37">
                  <c:v>-3.8089723631026101E-4</c:v>
                </c:pt>
                <c:pt idx="38">
                  <c:v>5.9534521186555098E-4</c:v>
                </c:pt>
                <c:pt idx="39">
                  <c:v>-6.1951859937161807E-5</c:v>
                </c:pt>
                <c:pt idx="40">
                  <c:v>-1.41483593350508E-4</c:v>
                </c:pt>
                <c:pt idx="41">
                  <c:v>-3.3228975225039901E-4</c:v>
                </c:pt>
                <c:pt idx="42">
                  <c:v>3.1242789879842397E-4</c:v>
                </c:pt>
                <c:pt idx="43">
                  <c:v>-3.91184057606252E-4</c:v>
                </c:pt>
                <c:pt idx="44">
                  <c:v>1.4659325777462899E-4</c:v>
                </c:pt>
                <c:pt idx="45">
                  <c:v>-2.1535905206063801E-4</c:v>
                </c:pt>
                <c:pt idx="46">
                  <c:v>-1.9003470775867101E-4</c:v>
                </c:pt>
                <c:pt idx="47">
                  <c:v>2.8722009016357001E-5</c:v>
                </c:pt>
                <c:pt idx="48">
                  <c:v>-4.0997293731930001E-4</c:v>
                </c:pt>
                <c:pt idx="49">
                  <c:v>-1.45356089455145E-4</c:v>
                </c:pt>
                <c:pt idx="50">
                  <c:v>1.8987686905406201E-4</c:v>
                </c:pt>
                <c:pt idx="51">
                  <c:v>5.26299585950145E-4</c:v>
                </c:pt>
                <c:pt idx="52">
                  <c:v>1.05173787848876E-4</c:v>
                </c:pt>
                <c:pt idx="53">
                  <c:v>1.2936237316301999E-4</c:v>
                </c:pt>
                <c:pt idx="54">
                  <c:v>8.2633212541764799E-4</c:v>
                </c:pt>
                <c:pt idx="55">
                  <c:v>3.0744745450143602E-4</c:v>
                </c:pt>
                <c:pt idx="56">
                  <c:v>1.2427459171379101E-4</c:v>
                </c:pt>
                <c:pt idx="57">
                  <c:v>-2.2815723690306099E-4</c:v>
                </c:pt>
                <c:pt idx="58">
                  <c:v>-1.9798202084410901E-5</c:v>
                </c:pt>
                <c:pt idx="59">
                  <c:v>1.0504344926900101E-4</c:v>
                </c:pt>
                <c:pt idx="60">
                  <c:v>-3.9202514445304798E-5</c:v>
                </c:pt>
                <c:pt idx="61">
                  <c:v>1.6096741347432699E-4</c:v>
                </c:pt>
                <c:pt idx="62">
                  <c:v>-1.00894651444308E-4</c:v>
                </c:pt>
                <c:pt idx="63">
                  <c:v>5.0729525829612196E-4</c:v>
                </c:pt>
                <c:pt idx="64">
                  <c:v>2.4111870781573001E-4</c:v>
                </c:pt>
                <c:pt idx="65">
                  <c:v>9.5495068203687299E-6</c:v>
                </c:pt>
                <c:pt idx="66">
                  <c:v>-2.2242798772226301E-4</c:v>
                </c:pt>
                <c:pt idx="67">
                  <c:v>2.38921034431264E-4</c:v>
                </c:pt>
                <c:pt idx="68">
                  <c:v>-1.62489636897445E-4</c:v>
                </c:pt>
                <c:pt idx="69">
                  <c:v>-1.27748628956608E-4</c:v>
                </c:pt>
                <c:pt idx="70">
                  <c:v>-2.2853029609952401E-4</c:v>
                </c:pt>
                <c:pt idx="71">
                  <c:v>1.7539183562833099E-4</c:v>
                </c:pt>
                <c:pt idx="72">
                  <c:v>4.5622818419799899E-5</c:v>
                </c:pt>
                <c:pt idx="73">
                  <c:v>2.1056274699417899E-4</c:v>
                </c:pt>
                <c:pt idx="74">
                  <c:v>4.9893748526689597E-4</c:v>
                </c:pt>
                <c:pt idx="75">
                  <c:v>3.3818759101576101E-4</c:v>
                </c:pt>
                <c:pt idx="76">
                  <c:v>-1.0281150773516601E-4</c:v>
                </c:pt>
                <c:pt idx="77">
                  <c:v>-8.3978459866238305E-6</c:v>
                </c:pt>
                <c:pt idx="78">
                  <c:v>-1.33945607809133E-4</c:v>
                </c:pt>
                <c:pt idx="79">
                  <c:v>-4.2627727437830098E-4</c:v>
                </c:pt>
                <c:pt idx="80">
                  <c:v>-3.2548432486452001E-4</c:v>
                </c:pt>
                <c:pt idx="81">
                  <c:v>-4.6937227266668498E-4</c:v>
                </c:pt>
                <c:pt idx="82">
                  <c:v>-5.9984260598726596E-4</c:v>
                </c:pt>
                <c:pt idx="83">
                  <c:v>-8.7859493999653602E-4</c:v>
                </c:pt>
                <c:pt idx="84">
                  <c:v>-6.9487783959270698E-4</c:v>
                </c:pt>
                <c:pt idx="85">
                  <c:v>1.69746113167039E-4</c:v>
                </c:pt>
                <c:pt idx="86">
                  <c:v>-4.0616521950872902E-5</c:v>
                </c:pt>
                <c:pt idx="87">
                  <c:v>3.6784243547480097E-4</c:v>
                </c:pt>
                <c:pt idx="88">
                  <c:v>2.90108985322878E-4</c:v>
                </c:pt>
                <c:pt idx="89">
                  <c:v>2.6233270421232401E-5</c:v>
                </c:pt>
                <c:pt idx="90">
                  <c:v>-2.30178184305962E-4</c:v>
                </c:pt>
                <c:pt idx="91">
                  <c:v>5.81687506359778E-4</c:v>
                </c:pt>
                <c:pt idx="92">
                  <c:v>7.4096917342580395E-4</c:v>
                </c:pt>
                <c:pt idx="93">
                  <c:v>3.7798608522514001E-6</c:v>
                </c:pt>
                <c:pt idx="94">
                  <c:v>1.92297217337805E-4</c:v>
                </c:pt>
                <c:pt idx="95">
                  <c:v>8.8485529337679805E-4</c:v>
                </c:pt>
                <c:pt idx="96">
                  <c:v>9.2259186083254896E-4</c:v>
                </c:pt>
                <c:pt idx="97">
                  <c:v>7.07202146086817E-4</c:v>
                </c:pt>
                <c:pt idx="98">
                  <c:v>2.4288112197056E-4</c:v>
                </c:pt>
                <c:pt idx="99">
                  <c:v>4.30309685200717E-4</c:v>
                </c:pt>
                <c:pt idx="100">
                  <c:v>1.87515976003502E-4</c:v>
                </c:pt>
                <c:pt idx="101">
                  <c:v>-2.0259819374565899E-4</c:v>
                </c:pt>
                <c:pt idx="102">
                  <c:v>5.1273118547486105E-4</c:v>
                </c:pt>
                <c:pt idx="103">
                  <c:v>7.0552430933428802E-4</c:v>
                </c:pt>
                <c:pt idx="104">
                  <c:v>4.9272292109663399E-4</c:v>
                </c:pt>
                <c:pt idx="105">
                  <c:v>5.0720903908221099E-4</c:v>
                </c:pt>
                <c:pt idx="106">
                  <c:v>4.2970718912996298E-4</c:v>
                </c:pt>
                <c:pt idx="107">
                  <c:v>-1.5403892247273899E-4</c:v>
                </c:pt>
                <c:pt idx="108">
                  <c:v>3.0109536129626897E-4</c:v>
                </c:pt>
                <c:pt idx="109">
                  <c:v>9.2900262992026995E-5</c:v>
                </c:pt>
                <c:pt idx="110">
                  <c:v>-3.7059897650870103E-4</c:v>
                </c:pt>
                <c:pt idx="111">
                  <c:v>-1.98901832299756E-4</c:v>
                </c:pt>
                <c:pt idx="112">
                  <c:v>3.78260407934271E-4</c:v>
                </c:pt>
                <c:pt idx="113">
                  <c:v>6.7445316916557802E-4</c:v>
                </c:pt>
                <c:pt idx="114">
                  <c:v>2.4309565390086399E-4</c:v>
                </c:pt>
                <c:pt idx="115">
                  <c:v>1.1535064823874899E-5</c:v>
                </c:pt>
                <c:pt idx="116">
                  <c:v>-3.0014997554289201E-4</c:v>
                </c:pt>
                <c:pt idx="117">
                  <c:v>-3.8613656425406799E-5</c:v>
                </c:pt>
                <c:pt idx="118">
                  <c:v>-1.11983082275029E-4</c:v>
                </c:pt>
                <c:pt idx="119">
                  <c:v>3.2739519299443599E-4</c:v>
                </c:pt>
                <c:pt idx="120">
                  <c:v>-2.7888600064901101E-4</c:v>
                </c:pt>
                <c:pt idx="121">
                  <c:v>-1.00138797974404E-4</c:v>
                </c:pt>
                <c:pt idx="122">
                  <c:v>7.5823399898195096E-4</c:v>
                </c:pt>
                <c:pt idx="123">
                  <c:v>-4.3891867291900397E-5</c:v>
                </c:pt>
                <c:pt idx="124">
                  <c:v>6.99742194605292E-4</c:v>
                </c:pt>
                <c:pt idx="125">
                  <c:v>-1.0428581442081199E-4</c:v>
                </c:pt>
                <c:pt idx="126">
                  <c:v>1.6154244036707501E-4</c:v>
                </c:pt>
                <c:pt idx="127">
                  <c:v>4.4287635789478199E-5</c:v>
                </c:pt>
                <c:pt idx="128">
                  <c:v>-3.3470162555002201E-4</c:v>
                </c:pt>
                <c:pt idx="129">
                  <c:v>1.5153008376955299E-4</c:v>
                </c:pt>
                <c:pt idx="130">
                  <c:v>-2.1694734312195701E-5</c:v>
                </c:pt>
                <c:pt idx="131">
                  <c:v>-3.4952653723571199E-4</c:v>
                </c:pt>
                <c:pt idx="132">
                  <c:v>3.8405287440088299E-4</c:v>
                </c:pt>
                <c:pt idx="133">
                  <c:v>-6.1381902479957601E-5</c:v>
                </c:pt>
                <c:pt idx="134">
                  <c:v>-2.67056618245486E-4</c:v>
                </c:pt>
                <c:pt idx="135">
                  <c:v>-1.7559612371745401E-4</c:v>
                </c:pt>
                <c:pt idx="136">
                  <c:v>-2.0956145005483301E-4</c:v>
                </c:pt>
                <c:pt idx="137">
                  <c:v>-1.4220159514011699E-4</c:v>
                </c:pt>
                <c:pt idx="138">
                  <c:v>-5.5851586336223098E-4</c:v>
                </c:pt>
                <c:pt idx="139">
                  <c:v>8.4000128997168706E-6</c:v>
                </c:pt>
                <c:pt idx="140">
                  <c:v>3.2780058092498102E-4</c:v>
                </c:pt>
                <c:pt idx="141">
                  <c:v>3.5884808254254001E-4</c:v>
                </c:pt>
                <c:pt idx="142">
                  <c:v>-4.0992574818237299E-4</c:v>
                </c:pt>
                <c:pt idx="143">
                  <c:v>-1.78643997074647E-4</c:v>
                </c:pt>
                <c:pt idx="144">
                  <c:v>5.7194928206954903E-5</c:v>
                </c:pt>
                <c:pt idx="145">
                  <c:v>-1.18765625130986E-4</c:v>
                </c:pt>
                <c:pt idx="146">
                  <c:v>-3.6178024257170499E-4</c:v>
                </c:pt>
                <c:pt idx="147">
                  <c:v>9.9975507493718996E-5</c:v>
                </c:pt>
                <c:pt idx="148">
                  <c:v>3.5764178335662302E-4</c:v>
                </c:pt>
                <c:pt idx="149">
                  <c:v>1.5368351706558601E-4</c:v>
                </c:pt>
                <c:pt idx="150">
                  <c:v>-2.9615778490868798E-4</c:v>
                </c:pt>
                <c:pt idx="151">
                  <c:v>-3.2975304669679098E-4</c:v>
                </c:pt>
                <c:pt idx="152">
                  <c:v>-1.7419668624082599E-4</c:v>
                </c:pt>
                <c:pt idx="153">
                  <c:v>-1.9786128584756E-4</c:v>
                </c:pt>
                <c:pt idx="154">
                  <c:v>1.6319069632198099E-4</c:v>
                </c:pt>
                <c:pt idx="155">
                  <c:v>-1.8730499874380899E-4</c:v>
                </c:pt>
                <c:pt idx="156">
                  <c:v>-4.4795661648879697E-4</c:v>
                </c:pt>
                <c:pt idx="157">
                  <c:v>-1.5984211664336499E-4</c:v>
                </c:pt>
                <c:pt idx="158">
                  <c:v>-1.45968487881436E-4</c:v>
                </c:pt>
                <c:pt idx="159">
                  <c:v>-2.28053077320915E-4</c:v>
                </c:pt>
                <c:pt idx="160">
                  <c:v>8.2837370472047705E-4</c:v>
                </c:pt>
                <c:pt idx="161">
                  <c:v>5.0495114976588905E-4</c:v>
                </c:pt>
                <c:pt idx="162">
                  <c:v>-5.5651006284539302E-5</c:v>
                </c:pt>
                <c:pt idx="163">
                  <c:v>4.9527515970141398E-4</c:v>
                </c:pt>
                <c:pt idx="164">
                  <c:v>-1.4817052661110199E-4</c:v>
                </c:pt>
                <c:pt idx="165">
                  <c:v>1.4578140614008699E-4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VDE*/FENY*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5.0846599588316304</c:v>
                </c:pt>
                <c:pt idx="1">
                  <c:v>5.0846599588316304</c:v>
                </c:pt>
                <c:pt idx="2">
                  <c:v>5.0846599588316304</c:v>
                </c:pt>
                <c:pt idx="3">
                  <c:v>5.0846599588316304</c:v>
                </c:pt>
                <c:pt idx="4">
                  <c:v>5.0846599588316304</c:v>
                </c:pt>
                <c:pt idx="5">
                  <c:v>5.0846599588316304</c:v>
                </c:pt>
                <c:pt idx="6">
                  <c:v>5.0846599588316304</c:v>
                </c:pt>
                <c:pt idx="7">
                  <c:v>5.0846599588316304</c:v>
                </c:pt>
                <c:pt idx="8">
                  <c:v>5.0846599588316304</c:v>
                </c:pt>
                <c:pt idx="9">
                  <c:v>5.0846599588316304</c:v>
                </c:pt>
                <c:pt idx="10">
                  <c:v>5.0846599588316304</c:v>
                </c:pt>
                <c:pt idx="11">
                  <c:v>5.0846599588316304</c:v>
                </c:pt>
                <c:pt idx="12">
                  <c:v>5.0846599588316304</c:v>
                </c:pt>
                <c:pt idx="13">
                  <c:v>5.0846599588316304</c:v>
                </c:pt>
                <c:pt idx="14">
                  <c:v>5.0846599588316304</c:v>
                </c:pt>
                <c:pt idx="15">
                  <c:v>5.0846599588316304</c:v>
                </c:pt>
                <c:pt idx="16">
                  <c:v>5.0846599588316304</c:v>
                </c:pt>
                <c:pt idx="17">
                  <c:v>5.0846599588316304</c:v>
                </c:pt>
                <c:pt idx="18">
                  <c:v>5.0846599588316304</c:v>
                </c:pt>
                <c:pt idx="19">
                  <c:v>5.0846599588316304</c:v>
                </c:pt>
                <c:pt idx="20">
                  <c:v>5.0846599588316304</c:v>
                </c:pt>
                <c:pt idx="21">
                  <c:v>5.0846599588316304</c:v>
                </c:pt>
                <c:pt idx="22">
                  <c:v>5.0846599588316304</c:v>
                </c:pt>
                <c:pt idx="23">
                  <c:v>5.0846599588316304</c:v>
                </c:pt>
                <c:pt idx="24">
                  <c:v>5.0846599588316304</c:v>
                </c:pt>
                <c:pt idx="25">
                  <c:v>5.0846599588316304</c:v>
                </c:pt>
                <c:pt idx="26">
                  <c:v>5.0846599588316304</c:v>
                </c:pt>
                <c:pt idx="27">
                  <c:v>5.0846599588316304</c:v>
                </c:pt>
                <c:pt idx="28">
                  <c:v>5.0846599588316304</c:v>
                </c:pt>
                <c:pt idx="29">
                  <c:v>5.0846599588316304</c:v>
                </c:pt>
                <c:pt idx="30">
                  <c:v>5.0846599588316304</c:v>
                </c:pt>
                <c:pt idx="31">
                  <c:v>5.0846599588316304</c:v>
                </c:pt>
                <c:pt idx="32">
                  <c:v>5.0846599588316304</c:v>
                </c:pt>
                <c:pt idx="33">
                  <c:v>5.0846599588316304</c:v>
                </c:pt>
                <c:pt idx="34">
                  <c:v>5.0846599588316304</c:v>
                </c:pt>
                <c:pt idx="35">
                  <c:v>5.0846599588316304</c:v>
                </c:pt>
                <c:pt idx="36">
                  <c:v>5.0846599588316304</c:v>
                </c:pt>
                <c:pt idx="37">
                  <c:v>5.0846599588316304</c:v>
                </c:pt>
                <c:pt idx="38">
                  <c:v>5.0846599588316304</c:v>
                </c:pt>
                <c:pt idx="39">
                  <c:v>5.0846599588316304</c:v>
                </c:pt>
                <c:pt idx="40">
                  <c:v>5.0846599588316304</c:v>
                </c:pt>
                <c:pt idx="41">
                  <c:v>5.0846599588316304</c:v>
                </c:pt>
                <c:pt idx="42">
                  <c:v>5.0846599588316304</c:v>
                </c:pt>
                <c:pt idx="43">
                  <c:v>5.0846599588316304</c:v>
                </c:pt>
                <c:pt idx="44">
                  <c:v>5.0846599588316304</c:v>
                </c:pt>
                <c:pt idx="45">
                  <c:v>5.0846599588316304</c:v>
                </c:pt>
                <c:pt idx="46">
                  <c:v>5.0846599588316304</c:v>
                </c:pt>
                <c:pt idx="47">
                  <c:v>5.0846599588316304</c:v>
                </c:pt>
                <c:pt idx="48">
                  <c:v>5.0846599588316304</c:v>
                </c:pt>
                <c:pt idx="49">
                  <c:v>5.0846599588316304</c:v>
                </c:pt>
                <c:pt idx="50">
                  <c:v>5.0846599588316304</c:v>
                </c:pt>
                <c:pt idx="51">
                  <c:v>5.0846599588316304</c:v>
                </c:pt>
                <c:pt idx="52">
                  <c:v>5.0846599588316304</c:v>
                </c:pt>
                <c:pt idx="53">
                  <c:v>5.0846599588316304</c:v>
                </c:pt>
                <c:pt idx="54">
                  <c:v>5.0846599588316304</c:v>
                </c:pt>
                <c:pt idx="55">
                  <c:v>5.0846599588316304</c:v>
                </c:pt>
                <c:pt idx="56">
                  <c:v>5.0846599588316304</c:v>
                </c:pt>
                <c:pt idx="57">
                  <c:v>5.0846599588316304</c:v>
                </c:pt>
                <c:pt idx="58">
                  <c:v>5.0846599588316304</c:v>
                </c:pt>
                <c:pt idx="59">
                  <c:v>5.0846599588316304</c:v>
                </c:pt>
                <c:pt idx="60">
                  <c:v>5.0846599588316304</c:v>
                </c:pt>
                <c:pt idx="61">
                  <c:v>5.0846599588316304</c:v>
                </c:pt>
                <c:pt idx="62">
                  <c:v>5.0846599588316304</c:v>
                </c:pt>
                <c:pt idx="63">
                  <c:v>5.0846599588316304</c:v>
                </c:pt>
                <c:pt idx="64">
                  <c:v>5.0846599588316304</c:v>
                </c:pt>
                <c:pt idx="65">
                  <c:v>5.0846599588316304</c:v>
                </c:pt>
                <c:pt idx="66">
                  <c:v>5.0846599588316304</c:v>
                </c:pt>
                <c:pt idx="67">
                  <c:v>5.0846599588316304</c:v>
                </c:pt>
                <c:pt idx="68">
                  <c:v>5.0846599588316304</c:v>
                </c:pt>
                <c:pt idx="69">
                  <c:v>5.0846599588316304</c:v>
                </c:pt>
                <c:pt idx="70">
                  <c:v>5.0846599588316304</c:v>
                </c:pt>
                <c:pt idx="71">
                  <c:v>5.0846599588316304</c:v>
                </c:pt>
                <c:pt idx="72">
                  <c:v>5.0846599588316304</c:v>
                </c:pt>
                <c:pt idx="73">
                  <c:v>5.0846599588316304</c:v>
                </c:pt>
                <c:pt idx="74">
                  <c:v>5.0846599588316304</c:v>
                </c:pt>
                <c:pt idx="75">
                  <c:v>5.0846599588316304</c:v>
                </c:pt>
                <c:pt idx="76">
                  <c:v>5.0846599588316304</c:v>
                </c:pt>
                <c:pt idx="77">
                  <c:v>5.0846599588316304</c:v>
                </c:pt>
                <c:pt idx="78">
                  <c:v>5.0846599588316304</c:v>
                </c:pt>
                <c:pt idx="79">
                  <c:v>5.0846599588316304</c:v>
                </c:pt>
                <c:pt idx="80">
                  <c:v>5.0846599588316304</c:v>
                </c:pt>
                <c:pt idx="81">
                  <c:v>5.0846599588316304</c:v>
                </c:pt>
                <c:pt idx="82">
                  <c:v>5.0846599588316304</c:v>
                </c:pt>
                <c:pt idx="83">
                  <c:v>5.0846599588316304</c:v>
                </c:pt>
                <c:pt idx="84">
                  <c:v>5.0846599588316304</c:v>
                </c:pt>
                <c:pt idx="85">
                  <c:v>5.0846599588316304</c:v>
                </c:pt>
                <c:pt idx="86">
                  <c:v>5.0846599588316304</c:v>
                </c:pt>
                <c:pt idx="87">
                  <c:v>5.0846599588316304</c:v>
                </c:pt>
                <c:pt idx="88">
                  <c:v>5.0846599588316304</c:v>
                </c:pt>
                <c:pt idx="89">
                  <c:v>5.0846599588316304</c:v>
                </c:pt>
                <c:pt idx="90">
                  <c:v>5.0846599588316304</c:v>
                </c:pt>
                <c:pt idx="91">
                  <c:v>5.0846599588316304</c:v>
                </c:pt>
                <c:pt idx="92">
                  <c:v>5.0846599588316304</c:v>
                </c:pt>
                <c:pt idx="93">
                  <c:v>5.0846599588316304</c:v>
                </c:pt>
                <c:pt idx="94">
                  <c:v>5.0846599588316304</c:v>
                </c:pt>
                <c:pt idx="95">
                  <c:v>5.0846599588316304</c:v>
                </c:pt>
                <c:pt idx="96">
                  <c:v>5.0846599588316304</c:v>
                </c:pt>
                <c:pt idx="97">
                  <c:v>5.0846599588316304</c:v>
                </c:pt>
                <c:pt idx="98">
                  <c:v>5.0846599588316304</c:v>
                </c:pt>
                <c:pt idx="99">
                  <c:v>5.0846599588316304</c:v>
                </c:pt>
                <c:pt idx="100">
                  <c:v>5.0846599588316304</c:v>
                </c:pt>
                <c:pt idx="101">
                  <c:v>5.0846599588316304</c:v>
                </c:pt>
                <c:pt idx="102">
                  <c:v>5.0846599588316304</c:v>
                </c:pt>
                <c:pt idx="103">
                  <c:v>5.0846599588316304</c:v>
                </c:pt>
                <c:pt idx="104">
                  <c:v>5.0846599588316304</c:v>
                </c:pt>
                <c:pt idx="105">
                  <c:v>5.0846599588316304</c:v>
                </c:pt>
                <c:pt idx="106">
                  <c:v>5.0846599588316304</c:v>
                </c:pt>
                <c:pt idx="107">
                  <c:v>5.0846599588316304</c:v>
                </c:pt>
                <c:pt idx="108">
                  <c:v>5.0846599588316304</c:v>
                </c:pt>
                <c:pt idx="109">
                  <c:v>5.0846599588316304</c:v>
                </c:pt>
                <c:pt idx="110">
                  <c:v>5.0846599588316304</c:v>
                </c:pt>
                <c:pt idx="111">
                  <c:v>5.0846599588316304</c:v>
                </c:pt>
                <c:pt idx="112">
                  <c:v>5.0846599588316304</c:v>
                </c:pt>
                <c:pt idx="113">
                  <c:v>5.0846599588316304</c:v>
                </c:pt>
                <c:pt idx="114">
                  <c:v>5.0846599588316304</c:v>
                </c:pt>
                <c:pt idx="115">
                  <c:v>5.0846599588316304</c:v>
                </c:pt>
                <c:pt idx="116">
                  <c:v>5.0846599588316304</c:v>
                </c:pt>
                <c:pt idx="117">
                  <c:v>5.0846599588316304</c:v>
                </c:pt>
                <c:pt idx="118">
                  <c:v>5.0846599588316304</c:v>
                </c:pt>
                <c:pt idx="119">
                  <c:v>5.0846599588316304</c:v>
                </c:pt>
                <c:pt idx="120">
                  <c:v>5.0846599588316304</c:v>
                </c:pt>
                <c:pt idx="121">
                  <c:v>5.0846599588316304</c:v>
                </c:pt>
                <c:pt idx="122">
                  <c:v>5.0846599588316304</c:v>
                </c:pt>
                <c:pt idx="123">
                  <c:v>5.0846599588316304</c:v>
                </c:pt>
                <c:pt idx="124">
                  <c:v>5.0846599588316304</c:v>
                </c:pt>
                <c:pt idx="125">
                  <c:v>5.0846599588316304</c:v>
                </c:pt>
                <c:pt idx="126">
                  <c:v>5.0846599588316304</c:v>
                </c:pt>
                <c:pt idx="127">
                  <c:v>5.0846599588316304</c:v>
                </c:pt>
                <c:pt idx="128">
                  <c:v>5.0846599588316304</c:v>
                </c:pt>
                <c:pt idx="129">
                  <c:v>5.0846599588316304</c:v>
                </c:pt>
                <c:pt idx="130">
                  <c:v>5.0846599588316304</c:v>
                </c:pt>
                <c:pt idx="131">
                  <c:v>5.0846599588316304</c:v>
                </c:pt>
                <c:pt idx="132">
                  <c:v>5.0846599588316304</c:v>
                </c:pt>
                <c:pt idx="133">
                  <c:v>5.0846599588316304</c:v>
                </c:pt>
                <c:pt idx="134">
                  <c:v>5.0846599588316304</c:v>
                </c:pt>
                <c:pt idx="135">
                  <c:v>5.0846599588316304</c:v>
                </c:pt>
                <c:pt idx="136">
                  <c:v>5.0846599588316304</c:v>
                </c:pt>
                <c:pt idx="137">
                  <c:v>5.0846599588316304</c:v>
                </c:pt>
                <c:pt idx="138">
                  <c:v>5.0846599588316304</c:v>
                </c:pt>
                <c:pt idx="139">
                  <c:v>5.0846599588316304</c:v>
                </c:pt>
                <c:pt idx="140">
                  <c:v>5.0846599588316304</c:v>
                </c:pt>
                <c:pt idx="141">
                  <c:v>5.0846599588316304</c:v>
                </c:pt>
                <c:pt idx="142">
                  <c:v>5.0846599588316304</c:v>
                </c:pt>
                <c:pt idx="143">
                  <c:v>5.0846599588316304</c:v>
                </c:pt>
                <c:pt idx="144">
                  <c:v>5.0846599588316304</c:v>
                </c:pt>
                <c:pt idx="145">
                  <c:v>5.0846599588316304</c:v>
                </c:pt>
                <c:pt idx="146">
                  <c:v>5.0846599588316304</c:v>
                </c:pt>
                <c:pt idx="147">
                  <c:v>5.0846599588316304</c:v>
                </c:pt>
                <c:pt idx="148">
                  <c:v>5.0846599588316304</c:v>
                </c:pt>
                <c:pt idx="149">
                  <c:v>5.0846599588316304</c:v>
                </c:pt>
                <c:pt idx="150">
                  <c:v>5.0846599588316304</c:v>
                </c:pt>
                <c:pt idx="151">
                  <c:v>5.0846599588316304</c:v>
                </c:pt>
                <c:pt idx="152">
                  <c:v>5.0846599588316304</c:v>
                </c:pt>
                <c:pt idx="153">
                  <c:v>5.0846599588316304</c:v>
                </c:pt>
                <c:pt idx="154">
                  <c:v>5.0846599588316304</c:v>
                </c:pt>
                <c:pt idx="155">
                  <c:v>5.0846599588316304</c:v>
                </c:pt>
                <c:pt idx="156">
                  <c:v>5.0846599588316304</c:v>
                </c:pt>
                <c:pt idx="157">
                  <c:v>5.0846599588316304</c:v>
                </c:pt>
                <c:pt idx="158">
                  <c:v>5.0846599588316304</c:v>
                </c:pt>
                <c:pt idx="159">
                  <c:v>5.0846599588316304</c:v>
                </c:pt>
                <c:pt idx="160">
                  <c:v>5.0846599588316304</c:v>
                </c:pt>
                <c:pt idx="161">
                  <c:v>5.0846599588316304</c:v>
                </c:pt>
                <c:pt idx="162">
                  <c:v>5.0846599588316304</c:v>
                </c:pt>
                <c:pt idx="163">
                  <c:v>5.0846599588316304</c:v>
                </c:pt>
                <c:pt idx="164">
                  <c:v>5.0846599588316304</c:v>
                </c:pt>
                <c:pt idx="165">
                  <c:v>5.0846599588316304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VDE*/FENY*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5.0850709894024098</c:v>
                </c:pt>
                <c:pt idx="10">
                  <c:v>5.0851091861229802</c:v>
                </c:pt>
                <c:pt idx="11">
                  <c:v>5.0852185812323798</c:v>
                </c:pt>
                <c:pt idx="12">
                  <c:v>5.0853935915645296</c:v>
                </c:pt>
                <c:pt idx="13">
                  <c:v>5.0855659613974096</c:v>
                </c:pt>
                <c:pt idx="14">
                  <c:v>5.0858920292081704</c:v>
                </c:pt>
                <c:pt idx="15">
                  <c:v>5.0859457555110303</c:v>
                </c:pt>
                <c:pt idx="16">
                  <c:v>5.0859632321528299</c:v>
                </c:pt>
                <c:pt idx="17">
                  <c:v>5.08631234540516</c:v>
                </c:pt>
                <c:pt idx="18">
                  <c:v>5.08674339317436</c:v>
                </c:pt>
                <c:pt idx="19">
                  <c:v>5.0867476257404798</c:v>
                </c:pt>
                <c:pt idx="20">
                  <c:v>5.0869317930951201</c:v>
                </c:pt>
                <c:pt idx="21">
                  <c:v>5.0874826850153703</c:v>
                </c:pt>
                <c:pt idx="22">
                  <c:v>5.0874428826397402</c:v>
                </c:pt>
                <c:pt idx="23">
                  <c:v>5.0872722067529903</c:v>
                </c:pt>
                <c:pt idx="24">
                  <c:v>5.08710966011847</c:v>
                </c:pt>
                <c:pt idx="25">
                  <c:v>5.0873078131325498</c:v>
                </c:pt>
                <c:pt idx="26">
                  <c:v>5.08709267067717</c:v>
                </c:pt>
                <c:pt idx="27">
                  <c:v>5.0868995666202004</c:v>
                </c:pt>
                <c:pt idx="28">
                  <c:v>5.0865368580017103</c:v>
                </c:pt>
                <c:pt idx="29">
                  <c:v>5.0867321472584104</c:v>
                </c:pt>
                <c:pt idx="30">
                  <c:v>5.0863476121817301</c:v>
                </c:pt>
                <c:pt idx="31">
                  <c:v>5.0860772483142798</c:v>
                </c:pt>
                <c:pt idx="32">
                  <c:v>5.0860503122359901</c:v>
                </c:pt>
                <c:pt idx="33">
                  <c:v>5.0861565510092897</c:v>
                </c:pt>
                <c:pt idx="34">
                  <c:v>5.0859850937527797</c:v>
                </c:pt>
                <c:pt idx="35">
                  <c:v>5.0856567868782303</c:v>
                </c:pt>
                <c:pt idx="36">
                  <c:v>5.0860808379072999</c:v>
                </c:pt>
                <c:pt idx="37">
                  <c:v>5.0862519421062</c:v>
                </c:pt>
                <c:pt idx="38">
                  <c:v>5.0860861501550199</c:v>
                </c:pt>
                <c:pt idx="39">
                  <c:v>5.0861023206649598</c:v>
                </c:pt>
                <c:pt idx="40">
                  <c:v>5.0864406352053599</c:v>
                </c:pt>
                <c:pt idx="41">
                  <c:v>5.0866352299370998</c:v>
                </c:pt>
                <c:pt idx="42">
                  <c:v>5.0865713907958803</c:v>
                </c:pt>
                <c:pt idx="43">
                  <c:v>5.0866901091449002</c:v>
                </c:pt>
                <c:pt idx="44">
                  <c:v>5.0866377595316399</c:v>
                </c:pt>
                <c:pt idx="45">
                  <c:v>5.0869277480871196</c:v>
                </c:pt>
                <c:pt idx="46">
                  <c:v>5.0867332988960596</c:v>
                </c:pt>
                <c:pt idx="47">
                  <c:v>5.0865069377466696</c:v>
                </c:pt>
                <c:pt idx="48">
                  <c:v>5.0869986135727903</c:v>
                </c:pt>
                <c:pt idx="49">
                  <c:v>5.0870641310941904</c:v>
                </c:pt>
                <c:pt idx="50">
                  <c:v>5.0869121874551899</c:v>
                </c:pt>
                <c:pt idx="51">
                  <c:v>5.0865037313373103</c:v>
                </c:pt>
                <c:pt idx="52">
                  <c:v>5.0866304480612401</c:v>
                </c:pt>
                <c:pt idx="53">
                  <c:v>5.0863946503383897</c:v>
                </c:pt>
                <c:pt idx="54">
                  <c:v>5.0860609696519603</c:v>
                </c:pt>
                <c:pt idx="55">
                  <c:v>5.0857988588504499</c:v>
                </c:pt>
                <c:pt idx="56">
                  <c:v>5.0856460894131903</c:v>
                </c:pt>
                <c:pt idx="57">
                  <c:v>5.0857550192996204</c:v>
                </c:pt>
                <c:pt idx="58">
                  <c:v>5.0855316723407196</c:v>
                </c:pt>
                <c:pt idx="59">
                  <c:v>5.0853765820078403</c:v>
                </c:pt>
                <c:pt idx="60">
                  <c:v>5.0854568080094298</c:v>
                </c:pt>
                <c:pt idx="61">
                  <c:v>5.0855933933752899</c:v>
                </c:pt>
                <c:pt idx="62">
                  <c:v>5.0856461142104896</c:v>
                </c:pt>
                <c:pt idx="63">
                  <c:v>5.0854076956530401</c:v>
                </c:pt>
                <c:pt idx="64">
                  <c:v>5.0856411028941597</c:v>
                </c:pt>
                <c:pt idx="65">
                  <c:v>5.0857427678284202</c:v>
                </c:pt>
                <c:pt idx="66">
                  <c:v>5.08585985981866</c:v>
                </c:pt>
                <c:pt idx="67">
                  <c:v>5.0855786347050804</c:v>
                </c:pt>
                <c:pt idx="68">
                  <c:v>5.0856047933582103</c:v>
                </c:pt>
                <c:pt idx="69">
                  <c:v>5.0856534990117499</c:v>
                </c:pt>
                <c:pt idx="70">
                  <c:v>5.0856792604607302</c:v>
                </c:pt>
                <c:pt idx="71">
                  <c:v>5.0856102896288498</c:v>
                </c:pt>
                <c:pt idx="72">
                  <c:v>5.0854910980252397</c:v>
                </c:pt>
                <c:pt idx="73">
                  <c:v>5.0855850106157998</c:v>
                </c:pt>
                <c:pt idx="74">
                  <c:v>5.0854134732506102</c:v>
                </c:pt>
                <c:pt idx="75">
                  <c:v>5.0852139980005298</c:v>
                </c:pt>
                <c:pt idx="76">
                  <c:v>5.08512390785741</c:v>
                </c:pt>
                <c:pt idx="77">
                  <c:v>5.08522356433705</c:v>
                </c:pt>
                <c:pt idx="78">
                  <c:v>5.0851824693354297</c:v>
                </c:pt>
                <c:pt idx="79">
                  <c:v>5.0853168625824496</c:v>
                </c:pt>
                <c:pt idx="80">
                  <c:v>5.0853631954163498</c:v>
                </c:pt>
                <c:pt idx="81">
                  <c:v>5.0856864599703</c:v>
                </c:pt>
                <c:pt idx="82">
                  <c:v>5.0860194650891</c:v>
                </c:pt>
                <c:pt idx="83">
                  <c:v>5.0865922327247901</c:v>
                </c:pt>
                <c:pt idx="84">
                  <c:v>5.0872586746142696</c:v>
                </c:pt>
                <c:pt idx="85">
                  <c:v>5.0874251790935299</c:v>
                </c:pt>
                <c:pt idx="86">
                  <c:v>5.0874776716796299</c:v>
                </c:pt>
                <c:pt idx="87">
                  <c:v>5.0873672302166399</c:v>
                </c:pt>
                <c:pt idx="88">
                  <c:v>5.0872410021181302</c:v>
                </c:pt>
                <c:pt idx="89">
                  <c:v>5.0870926449502196</c:v>
                </c:pt>
                <c:pt idx="90">
                  <c:v>5.0871161375477403</c:v>
                </c:pt>
                <c:pt idx="91">
                  <c:v>5.0866534509336203</c:v>
                </c:pt>
                <c:pt idx="92">
                  <c:v>5.0860237287045704</c:v>
                </c:pt>
                <c:pt idx="93">
                  <c:v>5.0856014095615096</c:v>
                </c:pt>
                <c:pt idx="94">
                  <c:v>5.0851508908373502</c:v>
                </c:pt>
                <c:pt idx="95">
                  <c:v>5.0847742365029296</c:v>
                </c:pt>
                <c:pt idx="96">
                  <c:v>5.0842625661196799</c:v>
                </c:pt>
                <c:pt idx="97">
                  <c:v>5.0840470136779397</c:v>
                </c:pt>
                <c:pt idx="98">
                  <c:v>5.0840122155170002</c:v>
                </c:pt>
                <c:pt idx="99">
                  <c:v>5.0837482530869504</c:v>
                </c:pt>
                <c:pt idx="100">
                  <c:v>5.0834573849820499</c:v>
                </c:pt>
                <c:pt idx="101">
                  <c:v>5.08376090606325</c:v>
                </c:pt>
                <c:pt idx="102">
                  <c:v>5.0837806906942298</c:v>
                </c:pt>
                <c:pt idx="103">
                  <c:v>5.0833120487287404</c:v>
                </c:pt>
                <c:pt idx="104">
                  <c:v>5.0829953732242403</c:v>
                </c:pt>
                <c:pt idx="105">
                  <c:v>5.0829742612198103</c:v>
                </c:pt>
                <c:pt idx="106">
                  <c:v>5.0830023275521903</c:v>
                </c:pt>
                <c:pt idx="107">
                  <c:v>5.0832164207789896</c:v>
                </c:pt>
                <c:pt idx="108">
                  <c:v>5.0829793447814202</c:v>
                </c:pt>
                <c:pt idx="109">
                  <c:v>5.0829378306595698</c:v>
                </c:pt>
                <c:pt idx="110">
                  <c:v>5.0830138638481399</c:v>
                </c:pt>
                <c:pt idx="111">
                  <c:v>5.0828068292784403</c:v>
                </c:pt>
                <c:pt idx="112">
                  <c:v>5.0826829216527898</c:v>
                </c:pt>
                <c:pt idx="113">
                  <c:v>5.0825317823964102</c:v>
                </c:pt>
                <c:pt idx="114">
                  <c:v>5.0825052135612898</c:v>
                </c:pt>
                <c:pt idx="115">
                  <c:v>5.0826248701450503</c:v>
                </c:pt>
                <c:pt idx="116">
                  <c:v>5.0828883957430797</c:v>
                </c:pt>
                <c:pt idx="117">
                  <c:v>5.0827610009558102</c:v>
                </c:pt>
                <c:pt idx="118">
                  <c:v>5.0829066671326899</c:v>
                </c:pt>
                <c:pt idx="119">
                  <c:v>5.0827322274571998</c:v>
                </c:pt>
                <c:pt idx="120">
                  <c:v>5.0826347760119504</c:v>
                </c:pt>
                <c:pt idx="121">
                  <c:v>5.0825434303600003</c:v>
                </c:pt>
                <c:pt idx="122">
                  <c:v>5.0822895610767498</c:v>
                </c:pt>
                <c:pt idx="123">
                  <c:v>5.0825800376579098</c:v>
                </c:pt>
                <c:pt idx="124">
                  <c:v>5.0823114622286001</c:v>
                </c:pt>
                <c:pt idx="125">
                  <c:v>5.0823361347034801</c:v>
                </c:pt>
                <c:pt idx="126">
                  <c:v>5.0820695482642702</c:v>
                </c:pt>
                <c:pt idx="127">
                  <c:v>5.0819807732110203</c:v>
                </c:pt>
                <c:pt idx="128">
                  <c:v>5.0820322030217202</c:v>
                </c:pt>
                <c:pt idx="129">
                  <c:v>5.0820742229387301</c:v>
                </c:pt>
                <c:pt idx="130">
                  <c:v>5.0819002958894099</c:v>
                </c:pt>
                <c:pt idx="131">
                  <c:v>5.0819713859368001</c:v>
                </c:pt>
                <c:pt idx="132">
                  <c:v>5.0821197053286697</c:v>
                </c:pt>
                <c:pt idx="133">
                  <c:v>5.0821004325380903</c:v>
                </c:pt>
                <c:pt idx="134">
                  <c:v>5.08257013391058</c:v>
                </c:pt>
                <c:pt idx="135">
                  <c:v>5.08260962838136</c:v>
                </c:pt>
                <c:pt idx="136">
                  <c:v>5.0827974834918397</c:v>
                </c:pt>
                <c:pt idx="137">
                  <c:v>5.0828877246328297</c:v>
                </c:pt>
                <c:pt idx="138">
                  <c:v>5.0830078658668096</c:v>
                </c:pt>
                <c:pt idx="139">
                  <c:v>5.0830856653652603</c:v>
                </c:pt>
                <c:pt idx="140">
                  <c:v>5.0829257310404596</c:v>
                </c:pt>
                <c:pt idx="141">
                  <c:v>5.0825802603094603</c:v>
                </c:pt>
                <c:pt idx="142">
                  <c:v>5.0829856281663703</c:v>
                </c:pt>
                <c:pt idx="143">
                  <c:v>5.0830800398875002</c:v>
                </c:pt>
                <c:pt idx="144">
                  <c:v>5.0829402256072802</c:v>
                </c:pt>
                <c:pt idx="145">
                  <c:v>5.0829427794942896</c:v>
                </c:pt>
                <c:pt idx="146">
                  <c:v>5.0830505096020202</c:v>
                </c:pt>
                <c:pt idx="147">
                  <c:v>5.0829764652642</c:v>
                </c:pt>
                <c:pt idx="148">
                  <c:v>5.0825605541796399</c:v>
                </c:pt>
                <c:pt idx="149">
                  <c:v>5.0825131330297104</c:v>
                </c:pt>
                <c:pt idx="150">
                  <c:v>5.0828522118498896</c:v>
                </c:pt>
                <c:pt idx="151">
                  <c:v>5.08324979379507</c:v>
                </c:pt>
                <c:pt idx="152">
                  <c:v>5.0831938863169501</c:v>
                </c:pt>
                <c:pt idx="153">
                  <c:v>5.0832573751214802</c:v>
                </c:pt>
                <c:pt idx="154">
                  <c:v>5.0832613454417901</c:v>
                </c:pt>
                <c:pt idx="155">
                  <c:v>5.0833307547096398</c:v>
                </c:pt>
                <c:pt idx="156">
                  <c:v>5.0834106464410604</c:v>
                </c:pt>
                <c:pt idx="157">
                  <c:v>5.0835733767665499</c:v>
                </c:pt>
                <c:pt idx="158">
                  <c:v>5.0838636189707804</c:v>
                </c:pt>
                <c:pt idx="159">
                  <c:v>5.0841004520746003</c:v>
                </c:pt>
                <c:pt idx="160">
                  <c:v>5.0835797246491401</c:v>
                </c:pt>
                <c:pt idx="161">
                  <c:v>5.0831881740983196</c:v>
                </c:pt>
                <c:pt idx="162">
                  <c:v>5.0831583087923002</c:v>
                </c:pt>
                <c:pt idx="163">
                  <c:v>5.0828146634543598</c:v>
                </c:pt>
                <c:pt idx="164">
                  <c:v>5.0829596616410404</c:v>
                </c:pt>
                <c:pt idx="165">
                  <c:v>5.0827913186084102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VDE*/FENY*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5.0859093075714403</c:v>
                </c:pt>
                <c:pt idx="20">
                  <c:v>5.0860204896090497</c:v>
                </c:pt>
                <c:pt idx="21">
                  <c:v>5.0863506331238799</c:v>
                </c:pt>
                <c:pt idx="22">
                  <c:v>5.08641823710213</c:v>
                </c:pt>
                <c:pt idx="23">
                  <c:v>5.0864190840752004</c:v>
                </c:pt>
                <c:pt idx="24">
                  <c:v>5.0865008446633198</c:v>
                </c:pt>
                <c:pt idx="25">
                  <c:v>5.0866267843217896</c:v>
                </c:pt>
                <c:pt idx="26">
                  <c:v>5.0865279514149897</c:v>
                </c:pt>
                <c:pt idx="27">
                  <c:v>5.0866059560126802</c:v>
                </c:pt>
                <c:pt idx="28">
                  <c:v>5.0866401255880396</c:v>
                </c:pt>
                <c:pt idx="29">
                  <c:v>5.0867398864994504</c:v>
                </c:pt>
                <c:pt idx="30">
                  <c:v>5.08663970263843</c:v>
                </c:pt>
                <c:pt idx="31">
                  <c:v>5.0867799666648299</c:v>
                </c:pt>
                <c:pt idx="32">
                  <c:v>5.0867465974378696</c:v>
                </c:pt>
                <c:pt idx="33">
                  <c:v>5.0867143788811404</c:v>
                </c:pt>
                <c:pt idx="34">
                  <c:v>5.08654737693562</c:v>
                </c:pt>
                <c:pt idx="35">
                  <c:v>5.0864823000053896</c:v>
                </c:pt>
                <c:pt idx="36">
                  <c:v>5.0865867542922301</c:v>
                </c:pt>
                <c:pt idx="37">
                  <c:v>5.0865757543632002</c:v>
                </c:pt>
                <c:pt idx="38">
                  <c:v>5.0863115040783704</c:v>
                </c:pt>
                <c:pt idx="39">
                  <c:v>5.0864172339616802</c:v>
                </c:pt>
                <c:pt idx="40">
                  <c:v>5.0863941236935499</c:v>
                </c:pt>
                <c:pt idx="41">
                  <c:v>5.0863562391256902</c:v>
                </c:pt>
                <c:pt idx="42">
                  <c:v>5.0863108515159396</c:v>
                </c:pt>
                <c:pt idx="43">
                  <c:v>5.0864233300770998</c:v>
                </c:pt>
                <c:pt idx="44">
                  <c:v>5.0863114266422098</c:v>
                </c:pt>
                <c:pt idx="45">
                  <c:v>5.0862922674826798</c:v>
                </c:pt>
                <c:pt idx="46">
                  <c:v>5.0864070684016802</c:v>
                </c:pt>
                <c:pt idx="47">
                  <c:v>5.0863794399264401</c:v>
                </c:pt>
                <c:pt idx="48">
                  <c:v>5.0865423818639099</c:v>
                </c:pt>
                <c:pt idx="49">
                  <c:v>5.0865832258795702</c:v>
                </c:pt>
                <c:pt idx="50">
                  <c:v>5.08667641133027</c:v>
                </c:pt>
                <c:pt idx="51">
                  <c:v>5.0865694806372002</c:v>
                </c:pt>
                <c:pt idx="52">
                  <c:v>5.0866009194285597</c:v>
                </c:pt>
                <c:pt idx="53">
                  <c:v>5.0865423797416502</c:v>
                </c:pt>
                <c:pt idx="54">
                  <c:v>5.0863493645917996</c:v>
                </c:pt>
                <c:pt idx="55">
                  <c:v>5.0863633034687803</c:v>
                </c:pt>
                <c:pt idx="56">
                  <c:v>5.0861896941546298</c:v>
                </c:pt>
                <c:pt idx="57">
                  <c:v>5.0861309785231397</c:v>
                </c:pt>
                <c:pt idx="58">
                  <c:v>5.0862651429567496</c:v>
                </c:pt>
                <c:pt idx="59">
                  <c:v>5.0862203565510198</c:v>
                </c:pt>
                <c:pt idx="60">
                  <c:v>5.0861844977323099</c:v>
                </c:pt>
                <c:pt idx="61">
                  <c:v>5.0860485623563001</c:v>
                </c:pt>
                <c:pt idx="62">
                  <c:v>5.0861382811358604</c:v>
                </c:pt>
                <c:pt idx="63">
                  <c:v>5.08590117299571</c:v>
                </c:pt>
                <c:pt idx="64">
                  <c:v>5.08585103627306</c:v>
                </c:pt>
                <c:pt idx="65">
                  <c:v>5.0857708133394297</c:v>
                </c:pt>
                <c:pt idx="66">
                  <c:v>5.0857529746159198</c:v>
                </c:pt>
                <c:pt idx="67">
                  <c:v>5.08566682700235</c:v>
                </c:pt>
                <c:pt idx="68">
                  <c:v>5.08556823284946</c:v>
                </c:pt>
                <c:pt idx="69">
                  <c:v>5.0855150405098</c:v>
                </c:pt>
                <c:pt idx="70">
                  <c:v>5.08556803423508</c:v>
                </c:pt>
                <c:pt idx="71">
                  <c:v>5.0856018415020703</c:v>
                </c:pt>
                <c:pt idx="72">
                  <c:v>5.0855686061178602</c:v>
                </c:pt>
                <c:pt idx="73">
                  <c:v>5.0854963531344204</c:v>
                </c:pt>
                <c:pt idx="74">
                  <c:v>5.0855272880723801</c:v>
                </c:pt>
                <c:pt idx="75">
                  <c:v>5.0854783829144798</c:v>
                </c:pt>
                <c:pt idx="76">
                  <c:v>5.0854918838380296</c:v>
                </c:pt>
                <c:pt idx="77">
                  <c:v>5.0854010995210697</c:v>
                </c:pt>
                <c:pt idx="78">
                  <c:v>5.08539363134682</c:v>
                </c:pt>
                <c:pt idx="79">
                  <c:v>5.0854851807971002</c:v>
                </c:pt>
                <c:pt idx="80">
                  <c:v>5.08552122793854</c:v>
                </c:pt>
                <c:pt idx="81">
                  <c:v>5.08564837479957</c:v>
                </c:pt>
                <c:pt idx="82">
                  <c:v>5.0857552815571703</c:v>
                </c:pt>
                <c:pt idx="83">
                  <c:v>5.0860886216703003</c:v>
                </c:pt>
                <c:pt idx="84">
                  <c:v>5.0863360739324399</c:v>
                </c:pt>
                <c:pt idx="85">
                  <c:v>5.0863195885470303</c:v>
                </c:pt>
                <c:pt idx="86">
                  <c:v>5.0863007897685204</c:v>
                </c:pt>
                <c:pt idx="87">
                  <c:v>5.0862953972768503</c:v>
                </c:pt>
                <c:pt idx="88">
                  <c:v>5.0862117357267804</c:v>
                </c:pt>
                <c:pt idx="89">
                  <c:v>5.0862047537663297</c:v>
                </c:pt>
                <c:pt idx="90">
                  <c:v>5.0862396664820499</c:v>
                </c:pt>
                <c:pt idx="91">
                  <c:v>5.0861699554519602</c:v>
                </c:pt>
                <c:pt idx="92">
                  <c:v>5.0860215968968303</c:v>
                </c:pt>
                <c:pt idx="93">
                  <c:v>5.0860968211431503</c:v>
                </c:pt>
                <c:pt idx="94">
                  <c:v>5.0862047827258099</c:v>
                </c:pt>
                <c:pt idx="95">
                  <c:v>5.0860997077982297</c:v>
                </c:pt>
                <c:pt idx="96">
                  <c:v>5.0858701188996598</c:v>
                </c:pt>
                <c:pt idx="97">
                  <c:v>5.0857071219472898</c:v>
                </c:pt>
                <c:pt idx="98">
                  <c:v>5.0856266088175603</c:v>
                </c:pt>
                <c:pt idx="99">
                  <c:v>5.0854204490185797</c:v>
                </c:pt>
                <c:pt idx="100">
                  <c:v>5.0852867612649</c:v>
                </c:pt>
                <c:pt idx="101">
                  <c:v>5.0852071784984396</c:v>
                </c:pt>
                <c:pt idx="102">
                  <c:v>5.0849022096993997</c:v>
                </c:pt>
                <c:pt idx="103">
                  <c:v>5.0844567291451197</c:v>
                </c:pt>
                <c:pt idx="104">
                  <c:v>5.0840731320307899</c:v>
                </c:pt>
                <c:pt idx="105">
                  <c:v>5.0838742488613704</c:v>
                </c:pt>
                <c:pt idx="106">
                  <c:v>5.0836324468359297</c:v>
                </c:pt>
                <c:pt idx="107">
                  <c:v>5.0836317172284602</c:v>
                </c:pt>
                <c:pt idx="108">
                  <c:v>5.0834957801492102</c:v>
                </c:pt>
                <c:pt idx="109">
                  <c:v>5.0833430418732597</c:v>
                </c:pt>
                <c:pt idx="110">
                  <c:v>5.0832356244151002</c:v>
                </c:pt>
                <c:pt idx="111">
                  <c:v>5.0832838676708398</c:v>
                </c:pt>
                <c:pt idx="112">
                  <c:v>5.0832318061735098</c:v>
                </c:pt>
                <c:pt idx="113">
                  <c:v>5.0829219155625696</c:v>
                </c:pt>
                <c:pt idx="114">
                  <c:v>5.0827502933927597</c:v>
                </c:pt>
                <c:pt idx="115">
                  <c:v>5.0827995656824303</c:v>
                </c:pt>
                <c:pt idx="116">
                  <c:v>5.0829453616476403</c:v>
                </c:pt>
                <c:pt idx="117">
                  <c:v>5.0829887108673999</c:v>
                </c:pt>
                <c:pt idx="118">
                  <c:v>5.0829430059570502</c:v>
                </c:pt>
                <c:pt idx="119">
                  <c:v>5.0828350290583799</c:v>
                </c:pt>
                <c:pt idx="120">
                  <c:v>5.08282431993005</c:v>
                </c:pt>
                <c:pt idx="121">
                  <c:v>5.0826751298192203</c:v>
                </c:pt>
                <c:pt idx="122">
                  <c:v>5.0824862413647702</c:v>
                </c:pt>
                <c:pt idx="123">
                  <c:v>5.0825559100271596</c:v>
                </c:pt>
                <c:pt idx="124">
                  <c:v>5.0824083378949503</c:v>
                </c:pt>
                <c:pt idx="125">
                  <c:v>5.0824805024242696</c:v>
                </c:pt>
                <c:pt idx="126">
                  <c:v>5.0824789720036803</c:v>
                </c:pt>
                <c:pt idx="127">
                  <c:v>5.0823708870834201</c:v>
                </c:pt>
                <c:pt idx="128">
                  <c:v>5.0824694350771997</c:v>
                </c:pt>
                <c:pt idx="129">
                  <c:v>5.0824032251979601</c:v>
                </c:pt>
                <c:pt idx="130">
                  <c:v>5.0822675359506801</c:v>
                </c:pt>
                <c:pt idx="131">
                  <c:v>5.0822574081483998</c:v>
                </c:pt>
                <c:pt idx="132">
                  <c:v>5.0822046332027098</c:v>
                </c:pt>
                <c:pt idx="133">
                  <c:v>5.082340235098</c:v>
                </c:pt>
                <c:pt idx="134">
                  <c:v>5.08244079806959</c:v>
                </c:pt>
                <c:pt idx="135">
                  <c:v>5.0824728815424196</c:v>
                </c:pt>
                <c:pt idx="136">
                  <c:v>5.0824335158780496</c:v>
                </c:pt>
                <c:pt idx="137">
                  <c:v>5.0824342489219196</c:v>
                </c:pt>
                <c:pt idx="138">
                  <c:v>5.0825200344442596</c:v>
                </c:pt>
                <c:pt idx="139">
                  <c:v>5.0825799441519903</c:v>
                </c:pt>
                <c:pt idx="140">
                  <c:v>5.0824130134649304</c:v>
                </c:pt>
                <c:pt idx="141">
                  <c:v>5.0822758231231298</c:v>
                </c:pt>
                <c:pt idx="142">
                  <c:v>5.08255266674752</c:v>
                </c:pt>
                <c:pt idx="143">
                  <c:v>5.0825902362127904</c:v>
                </c:pt>
                <c:pt idx="144">
                  <c:v>5.0827551797589301</c:v>
                </c:pt>
                <c:pt idx="145">
                  <c:v>5.0827762039378301</c:v>
                </c:pt>
                <c:pt idx="146">
                  <c:v>5.0829239965469304</c:v>
                </c:pt>
                <c:pt idx="147">
                  <c:v>5.0829320949485197</c:v>
                </c:pt>
                <c:pt idx="148">
                  <c:v>5.0827842100232203</c:v>
                </c:pt>
                <c:pt idx="149">
                  <c:v>5.08279939919748</c:v>
                </c:pt>
                <c:pt idx="150">
                  <c:v>5.0828889714451702</c:v>
                </c:pt>
                <c:pt idx="151">
                  <c:v>5.0829150270522696</c:v>
                </c:pt>
                <c:pt idx="152">
                  <c:v>5.0830897572416598</c:v>
                </c:pt>
                <c:pt idx="153">
                  <c:v>5.0831687075044902</c:v>
                </c:pt>
                <c:pt idx="154">
                  <c:v>5.0831007855245396</c:v>
                </c:pt>
                <c:pt idx="155">
                  <c:v>5.08313676710197</c:v>
                </c:pt>
                <c:pt idx="156">
                  <c:v>5.0832305780215403</c:v>
                </c:pt>
                <c:pt idx="157">
                  <c:v>5.0832749210153798</c:v>
                </c:pt>
                <c:pt idx="158">
                  <c:v>5.0832120865752097</c:v>
                </c:pt>
                <c:pt idx="159">
                  <c:v>5.0833067925521602</c:v>
                </c:pt>
                <c:pt idx="160">
                  <c:v>5.0832159682495197</c:v>
                </c:pt>
                <c:pt idx="161">
                  <c:v>5.0832189839466997</c:v>
                </c:pt>
                <c:pt idx="162">
                  <c:v>5.0831760975546301</c:v>
                </c:pt>
                <c:pt idx="163">
                  <c:v>5.0830360192879196</c:v>
                </c:pt>
                <c:pt idx="164">
                  <c:v>5.0831105035414197</c:v>
                </c:pt>
                <c:pt idx="165">
                  <c:v>5.0830610366590303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FENY x avg / VDE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6.7107758154836303E-4</c:v>
                </c:pt>
                <c:pt idx="2">
                  <c:v>2.6117341075326399E-4</c:v>
                </c:pt>
                <c:pt idx="3">
                  <c:v>-7.5368035174683398E-5</c:v>
                </c:pt>
                <c:pt idx="4">
                  <c:v>-1.23772460363688E-4</c:v>
                </c:pt>
                <c:pt idx="5">
                  <c:v>7.4680730955816894E-5</c:v>
                </c:pt>
                <c:pt idx="6">
                  <c:v>-2.5332138260716398E-4</c:v>
                </c:pt>
                <c:pt idx="7">
                  <c:v>7.8193157041207907E-5</c:v>
                </c:pt>
                <c:pt idx="8">
                  <c:v>2.2186222002829099E-4</c:v>
                </c:pt>
                <c:pt idx="9">
                  <c:v>2.32328966098475E-4</c:v>
                </c:pt>
                <c:pt idx="10">
                  <c:v>-2.0913030184624498E-5</c:v>
                </c:pt>
                <c:pt idx="11">
                  <c:v>4.5585092806185902E-4</c:v>
                </c:pt>
                <c:pt idx="12">
                  <c:v>-8.2982963701574893E-5</c:v>
                </c:pt>
                <c:pt idx="13">
                  <c:v>-4.14218732395121E-4</c:v>
                </c:pt>
                <c:pt idx="14">
                  <c:v>-7.6464024561791904E-4</c:v>
                </c:pt>
                <c:pt idx="15">
                  <c:v>-3.0964497373852503E-5</c:v>
                </c:pt>
                <c:pt idx="16">
                  <c:v>-2.8767669850106499E-4</c:v>
                </c:pt>
                <c:pt idx="17">
                  <c:v>-6.08092144957946E-4</c:v>
                </c:pt>
                <c:pt idx="18">
                  <c:v>-6.2554306481511996E-4</c:v>
                </c:pt>
                <c:pt idx="19">
                  <c:v>2.24004502095247E-4</c:v>
                </c:pt>
                <c:pt idx="20">
                  <c:v>-3.8297122585734201E-4</c:v>
                </c:pt>
                <c:pt idx="21">
                  <c:v>-6.2728407970433404E-4</c:v>
                </c:pt>
                <c:pt idx="22">
                  <c:v>-4.7223252677937596E-6</c:v>
                </c:pt>
                <c:pt idx="23">
                  <c:v>-7.8698612955292206E-5</c:v>
                </c:pt>
                <c:pt idx="24">
                  <c:v>-4.4521539464735798E-4</c:v>
                </c:pt>
                <c:pt idx="25">
                  <c:v>-4.2050810450433899E-4</c:v>
                </c:pt>
                <c:pt idx="26">
                  <c:v>1.3532924865774799E-4</c:v>
                </c:pt>
                <c:pt idx="27">
                  <c:v>-2.2854724592752499E-4</c:v>
                </c:pt>
                <c:pt idx="28">
                  <c:v>8.7465031425884305E-5</c:v>
                </c:pt>
                <c:pt idx="29">
                  <c:v>-1.6000828310195901E-4</c:v>
                </c:pt>
                <c:pt idx="30">
                  <c:v>3.7314273080528898E-4</c:v>
                </c:pt>
                <c:pt idx="31">
                  <c:v>-9.5855318590084404E-5</c:v>
                </c:pt>
                <c:pt idx="32">
                  <c:v>4.8243684171854802E-5</c:v>
                </c:pt>
                <c:pt idx="33">
                  <c:v>-2.8755942018596101E-4</c:v>
                </c:pt>
                <c:pt idx="34">
                  <c:v>-1.08169423852177E-4</c:v>
                </c:pt>
                <c:pt idx="35">
                  <c:v>2.2498402180720701E-4</c:v>
                </c:pt>
                <c:pt idx="36">
                  <c:v>-6.9825463350378495E-4</c:v>
                </c:pt>
                <c:pt idx="37">
                  <c:v>-5.6485882237976303E-4</c:v>
                </c:pt>
                <c:pt idx="38">
                  <c:v>4.1354616453905202E-4</c:v>
                </c:pt>
                <c:pt idx="39">
                  <c:v>-1.9179903201333901E-4</c:v>
                </c:pt>
                <c:pt idx="40">
                  <c:v>-2.9211769212904E-4</c:v>
                </c:pt>
                <c:pt idx="41">
                  <c:v>-4.78380314866455E-4</c:v>
                </c:pt>
                <c:pt idx="42">
                  <c:v>1.73785581053275E-4</c:v>
                </c:pt>
                <c:pt idx="43">
                  <c:v>-5.2090293190331499E-4</c:v>
                </c:pt>
                <c:pt idx="44">
                  <c:v>-5.2393490069910498E-6</c:v>
                </c:pt>
                <c:pt idx="45">
                  <c:v>-3.4519099971359901E-4</c:v>
                </c:pt>
                <c:pt idx="46">
                  <c:v>-3.16099840128699E-4</c:v>
                </c:pt>
                <c:pt idx="47">
                  <c:v>-1.19913517940005E-4</c:v>
                </c:pt>
                <c:pt idx="48">
                  <c:v>-5.5317662409599304E-4</c:v>
                </c:pt>
                <c:pt idx="49">
                  <c:v>-3.2059421832018501E-4</c:v>
                </c:pt>
                <c:pt idx="50">
                  <c:v>6.6089532302536302E-6</c:v>
                </c:pt>
                <c:pt idx="51">
                  <c:v>3.2471198616506702E-4</c:v>
                </c:pt>
                <c:pt idx="52">
                  <c:v>-7.5391869832289106E-5</c:v>
                </c:pt>
                <c:pt idx="53">
                  <c:v>-5.7424130788384601E-3</c:v>
                </c:pt>
                <c:pt idx="54">
                  <c:v>-4.9740802247707303E-3</c:v>
                </c:pt>
                <c:pt idx="55">
                  <c:v>1.701567012579E-4</c:v>
                </c:pt>
                <c:pt idx="56">
                  <c:v>-1.57566059793726E-5</c:v>
                </c:pt>
                <c:pt idx="57">
                  <c:v>-3.3405554500290499E-4</c:v>
                </c:pt>
                <c:pt idx="58">
                  <c:v>-1.14152314249017E-4</c:v>
                </c:pt>
                <c:pt idx="59">
                  <c:v>-1.5688800752458E-5</c:v>
                </c:pt>
                <c:pt idx="60">
                  <c:v>-1.51129363714833E-4</c:v>
                </c:pt>
                <c:pt idx="61">
                  <c:v>5.6090778824336599E-5</c:v>
                </c:pt>
                <c:pt idx="62">
                  <c:v>-1.79044533922278E-4</c:v>
                </c:pt>
                <c:pt idx="63">
                  <c:v>4.1150535780760299E-4</c:v>
                </c:pt>
                <c:pt idx="64">
                  <c:v>1.9194839453203199E-4</c:v>
                </c:pt>
                <c:pt idx="65">
                  <c:v>-2.9762775787562399E-5</c:v>
                </c:pt>
                <c:pt idx="66">
                  <c:v>-2.4596639772350102E-4</c:v>
                </c:pt>
                <c:pt idx="67">
                  <c:v>2.18890205768326E-4</c:v>
                </c:pt>
                <c:pt idx="68">
                  <c:v>-1.6558131345444601E-4</c:v>
                </c:pt>
                <c:pt idx="69">
                  <c:v>-1.11453445941496E-4</c:v>
                </c:pt>
                <c:pt idx="70">
                  <c:v>-2.01775590094794E-4</c:v>
                </c:pt>
                <c:pt idx="71">
                  <c:v>1.9172607315445301E-4</c:v>
                </c:pt>
                <c:pt idx="72">
                  <c:v>5.5309390555446397E-5</c:v>
                </c:pt>
                <c:pt idx="73">
                  <c:v>2.2678453243211999E-4</c:v>
                </c:pt>
                <c:pt idx="74">
                  <c:v>5.2936682590786605E-4</c:v>
                </c:pt>
                <c:pt idx="75">
                  <c:v>3.6253397696992901E-4</c:v>
                </c:pt>
                <c:pt idx="76">
                  <c:v>-6.88485392147215E-5</c:v>
                </c:pt>
                <c:pt idx="77">
                  <c:v>2.2910326933878501E-5</c:v>
                </c:pt>
                <c:pt idx="78">
                  <c:v>-8.4785646040235098E-5</c:v>
                </c:pt>
                <c:pt idx="79">
                  <c:v>-3.7564875986741798E-4</c:v>
                </c:pt>
                <c:pt idx="80">
                  <c:v>-2.9285807976896401E-4</c:v>
                </c:pt>
                <c:pt idx="81">
                  <c:v>-4.4383424283605898E-4</c:v>
                </c:pt>
                <c:pt idx="82">
                  <c:v>-5.9930599998494604E-4</c:v>
                </c:pt>
                <c:pt idx="83">
                  <c:v>-8.9907937714855501E-4</c:v>
                </c:pt>
                <c:pt idx="84">
                  <c:v>-7.8090400475858796E-4</c:v>
                </c:pt>
                <c:pt idx="85">
                  <c:v>3.5068368934656598E-5</c:v>
                </c:pt>
                <c:pt idx="86">
                  <c:v>-1.7205314882837299E-4</c:v>
                </c:pt>
                <c:pt idx="87">
                  <c:v>2.40101764568487E-4</c:v>
                </c:pt>
                <c:pt idx="88">
                  <c:v>1.63428514108608E-4</c:v>
                </c:pt>
                <c:pt idx="89">
                  <c:v>-8.3998640182650805E-5</c:v>
                </c:pt>
                <c:pt idx="90">
                  <c:v>-3.3903737084709098E-4</c:v>
                </c:pt>
                <c:pt idx="91">
                  <c:v>4.6596414553150099E-4</c:v>
                </c:pt>
                <c:pt idx="92">
                  <c:v>6.3895171565940697E-4</c:v>
                </c:pt>
                <c:pt idx="93">
                  <c:v>-6.9068158967312794E-5</c:v>
                </c:pt>
                <c:pt idx="94">
                  <c:v>1.04658916235363E-4</c:v>
                </c:pt>
                <c:pt idx="95">
                  <c:v>7.75990413105847E-4</c:v>
                </c:pt>
                <c:pt idx="96">
                  <c:v>8.3438600186366298E-4</c:v>
                </c:pt>
                <c:pt idx="97">
                  <c:v>6.64137769549708E-4</c:v>
                </c:pt>
                <c:pt idx="98">
                  <c:v>2.31866239533077E-4</c:v>
                </c:pt>
                <c:pt idx="99">
                  <c:v>4.3512618375264801E-4</c:v>
                </c:pt>
                <c:pt idx="100">
                  <c:v>2.3287103422006301E-4</c:v>
                </c:pt>
                <c:pt idx="101">
                  <c:v>-1.30954353258142E-4</c:v>
                </c:pt>
                <c:pt idx="102">
                  <c:v>6.0002476076074704E-4</c:v>
                </c:pt>
                <c:pt idx="103">
                  <c:v>8.5279143799881201E-4</c:v>
                </c:pt>
                <c:pt idx="104">
                  <c:v>7.2760236775220102E-4</c:v>
                </c:pt>
                <c:pt idx="105">
                  <c:v>8.1753638622111997E-4</c:v>
                </c:pt>
                <c:pt idx="106">
                  <c:v>7.7915416621952502E-4</c:v>
                </c:pt>
                <c:pt idx="107">
                  <c:v>2.4297173619891699E-4</c:v>
                </c:pt>
                <c:pt idx="108">
                  <c:v>6.9824954087176498E-4</c:v>
                </c:pt>
                <c:pt idx="109">
                  <c:v>5.1679495099561201E-4</c:v>
                </c:pt>
                <c:pt idx="110">
                  <c:v>8.3342076669096706E-5</c:v>
                </c:pt>
                <c:pt idx="111">
                  <c:v>2.7617070703369597E-4</c:v>
                </c:pt>
                <c:pt idx="112">
                  <c:v>8.4384233333905897E-4</c:v>
                </c:pt>
                <c:pt idx="113">
                  <c:v>1.15027685271207E-3</c:v>
                </c:pt>
                <c:pt idx="114">
                  <c:v>7.7988450077492099E-4</c:v>
                </c:pt>
                <c:pt idx="115">
                  <c:v>-6.4732065654634699E-3</c:v>
                </c:pt>
                <c:pt idx="116">
                  <c:v>-6.7079593780155801E-3</c:v>
                </c:pt>
                <c:pt idx="117">
                  <c:v>-6.4314445811302599E-3</c:v>
                </c:pt>
                <c:pt idx="118">
                  <c:v>4.1166472740522E-4</c:v>
                </c:pt>
                <c:pt idx="119">
                  <c:v>8.6003478259611798E-4</c:v>
                </c:pt>
                <c:pt idx="120">
                  <c:v>2.7499680286169901E-4</c:v>
                </c:pt>
                <c:pt idx="121">
                  <c:v>4.5585092806163697E-4</c:v>
                </c:pt>
                <c:pt idx="122">
                  <c:v>1.34357596916005E-3</c:v>
                </c:pt>
                <c:pt idx="123">
                  <c:v>5.7861398992646996E-4</c:v>
                </c:pt>
                <c:pt idx="124">
                  <c:v>1.3085405508899499E-3</c:v>
                </c:pt>
                <c:pt idx="125">
                  <c:v>5.3354798726705001E-4</c:v>
                </c:pt>
                <c:pt idx="126">
                  <c:v>7.85177458289816E-4</c:v>
                </c:pt>
                <c:pt idx="127">
                  <c:v>6.6822377062086499E-4</c:v>
                </c:pt>
                <c:pt idx="128">
                  <c:v>3.1050091690452102E-4</c:v>
                </c:pt>
                <c:pt idx="129">
                  <c:v>7.77342652418973E-4</c:v>
                </c:pt>
                <c:pt idx="130">
                  <c:v>6.1714502738894098E-4</c:v>
                </c:pt>
                <c:pt idx="131">
                  <c:v>3.1601143249920701E-4</c:v>
                </c:pt>
                <c:pt idx="132">
                  <c:v>1.05158361848217E-3</c:v>
                </c:pt>
                <c:pt idx="133">
                  <c:v>6.1653304992988103E-4</c:v>
                </c:pt>
                <c:pt idx="134">
                  <c:v>3.8417698304607398E-4</c:v>
                </c:pt>
                <c:pt idx="135">
                  <c:v>4.5585092806163697E-4</c:v>
                </c:pt>
                <c:pt idx="136">
                  <c:v>4.1557301042466002E-4</c:v>
                </c:pt>
                <c:pt idx="137">
                  <c:v>4.9067827151002099E-4</c:v>
                </c:pt>
                <c:pt idx="138">
                  <c:v>7.4219772415688501E-5</c:v>
                </c:pt>
                <c:pt idx="139">
                  <c:v>6.2425696532111504E-4</c:v>
                </c:pt>
                <c:pt idx="140">
                  <c:v>9.3187020063848099E-4</c:v>
                </c:pt>
                <c:pt idx="141">
                  <c:v>9.9576193299359401E-4</c:v>
                </c:pt>
                <c:pt idx="142">
                  <c:v>2.5398161756732201E-4</c:v>
                </c:pt>
                <c:pt idx="143">
                  <c:v>4.3079247922869199E-4</c:v>
                </c:pt>
                <c:pt idx="144">
                  <c:v>6.5923958215624405E-4</c:v>
                </c:pt>
                <c:pt idx="145">
                  <c:v>4.50826900650868E-4</c:v>
                </c:pt>
                <c:pt idx="146">
                  <c:v>2.0367591726878201E-4</c:v>
                </c:pt>
                <c:pt idx="147">
                  <c:v>6.3635494734487897E-4</c:v>
                </c:pt>
                <c:pt idx="148">
                  <c:v>8.9242796799820199E-4</c:v>
                </c:pt>
                <c:pt idx="149">
                  <c:v>7.17564537893419E-4</c:v>
                </c:pt>
                <c:pt idx="150">
                  <c:v>2.6473488328825599E-4</c:v>
                </c:pt>
                <c:pt idx="151">
                  <c:v>2.1351715572601301E-4</c:v>
                </c:pt>
                <c:pt idx="152">
                  <c:v>3.6394738801794302E-4</c:v>
                </c:pt>
                <c:pt idx="153">
                  <c:v>3.0590739844880001E-4</c:v>
                </c:pt>
                <c:pt idx="154">
                  <c:v>6.5142755775486995E-4</c:v>
                </c:pt>
                <c:pt idx="155">
                  <c:v>3.1429408567534698E-4</c:v>
                </c:pt>
                <c:pt idx="156">
                  <c:v>4.6563826054194097E-5</c:v>
                </c:pt>
                <c:pt idx="157">
                  <c:v>3.1622317542288902E-4</c:v>
                </c:pt>
                <c:pt idx="158">
                  <c:v>3.2137345399525698E-4</c:v>
                </c:pt>
                <c:pt idx="159">
                  <c:v>2.5164995646930898E-4</c:v>
                </c:pt>
                <c:pt idx="160">
                  <c:v>1.28944578369248E-3</c:v>
                </c:pt>
                <c:pt idx="161">
                  <c:v>9.8389055757375698E-4</c:v>
                </c:pt>
                <c:pt idx="162">
                  <c:v>4.22695136096964E-4</c:v>
                </c:pt>
                <c:pt idx="163">
                  <c:v>9.8205819475301499E-4</c:v>
                </c:pt>
                <c:pt idx="164">
                  <c:v>3.66170120874305E-4</c:v>
                </c:pt>
                <c:pt idx="165">
                  <c:v>6.4546866390053801E-4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FENY x 10 dma / VDE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-1.34988389368337E-4</c:v>
                </c:pt>
                <c:pt idx="11">
                  <c:v>3.4928708193259601E-4</c:v>
                </c:pt>
                <c:pt idx="12">
                  <c:v>-1.6803420730668699E-4</c:v>
                </c:pt>
                <c:pt idx="13">
                  <c:v>-4.6485506976044202E-4</c:v>
                </c:pt>
                <c:pt idx="14">
                  <c:v>-7.8138207538889397E-4</c:v>
                </c:pt>
                <c:pt idx="15">
                  <c:v>1.6407944607373499E-5</c:v>
                </c:pt>
                <c:pt idx="16">
                  <c:v>-2.29740520840981E-4</c:v>
                </c:pt>
                <c:pt idx="17">
                  <c:v>-5.4671971126798102E-4</c:v>
                </c:pt>
                <c:pt idx="18">
                  <c:v>-4.9553048275043695E-4</c:v>
                </c:pt>
                <c:pt idx="19">
                  <c:v>4.3876011133572401E-4</c:v>
                </c:pt>
                <c:pt idx="20">
                  <c:v>-1.6738353918968501E-4</c:v>
                </c:pt>
                <c:pt idx="21">
                  <c:v>-3.7549172271411602E-4</c:v>
                </c:pt>
                <c:pt idx="22">
                  <c:v>3.5535968750068298E-4</c:v>
                </c:pt>
                <c:pt idx="23">
                  <c:v>2.73559779803208E-4</c:v>
                </c:pt>
                <c:pt idx="24">
                  <c:v>-1.2650602714664401E-4</c:v>
                </c:pt>
                <c:pt idx="25">
                  <c:v>-1.3375087653770499E-4</c:v>
                </c:pt>
                <c:pt idx="26">
                  <c:v>4.6103770201616701E-4</c:v>
                </c:pt>
                <c:pt idx="27">
                  <c:v>5.4870272301322802E-5</c:v>
                </c:pt>
                <c:pt idx="28">
                  <c:v>3.32922218550858E-4</c:v>
                </c:pt>
                <c:pt idx="29">
                  <c:v>1.4143869321411601E-5</c:v>
                </c:pt>
                <c:pt idx="30">
                  <c:v>5.8568750936048304E-4</c:v>
                </c:pt>
                <c:pt idx="31">
                  <c:v>4.1090902603598201E-5</c:v>
                </c:pt>
                <c:pt idx="32">
                  <c:v>1.32033677382768E-4</c:v>
                </c:pt>
                <c:pt idx="33">
                  <c:v>-2.09065482913373E-4</c:v>
                </c:pt>
                <c:pt idx="34">
                  <c:v>-8.7874384443216193E-6</c:v>
                </c:pt>
                <c:pt idx="35">
                  <c:v>2.9065486505574199E-4</c:v>
                </c:pt>
                <c:pt idx="36">
                  <c:v>-6.9713715902584004E-4</c:v>
                </c:pt>
                <c:pt idx="37">
                  <c:v>-4.8036306093600698E-4</c:v>
                </c:pt>
                <c:pt idx="38">
                  <c:v>5.3168301944988498E-4</c:v>
                </c:pt>
                <c:pt idx="39">
                  <c:v>-1.06258803303047E-4</c:v>
                </c:pt>
                <c:pt idx="40">
                  <c:v>-2.03398106296355E-4</c:v>
                </c:pt>
                <c:pt idx="41">
                  <c:v>-3.23145494446053E-4</c:v>
                </c:pt>
                <c:pt idx="42">
                  <c:v>3.6727721472033201E-4</c:v>
                </c:pt>
                <c:pt idx="43">
                  <c:v>-3.3996174444179999E-4</c:v>
                </c:pt>
                <c:pt idx="44">
                  <c:v>1.99041128224629E-4</c:v>
                </c:pt>
                <c:pt idx="45">
                  <c:v>-1.51202064039128E-4</c:v>
                </c:pt>
                <c:pt idx="46">
                  <c:v>-6.5102659833473004E-5</c:v>
                </c:pt>
                <c:pt idx="47">
                  <c:v>9.2857660882819806E-5</c:v>
                </c:pt>
                <c:pt idx="48">
                  <c:v>-3.8490673378344798E-4</c:v>
                </c:pt>
                <c:pt idx="49">
                  <c:v>-5.5666234292173999E-5</c:v>
                </c:pt>
                <c:pt idx="50">
                  <c:v>2.8441626050383298E-4</c:v>
                </c:pt>
                <c:pt idx="51">
                  <c:v>5.7265021683391005E-4</c:v>
                </c:pt>
                <c:pt idx="52">
                  <c:v>9.2247644780240904E-5</c:v>
                </c:pt>
                <c:pt idx="53">
                  <c:v>-5.5498615318677301E-3</c:v>
                </c:pt>
                <c:pt idx="54">
                  <c:v>-4.2579772302819997E-3</c:v>
                </c:pt>
                <c:pt idx="55">
                  <c:v>1.3839024847578901E-3</c:v>
                </c:pt>
                <c:pt idx="56">
                  <c:v>1.1465110891424599E-3</c:v>
                </c:pt>
                <c:pt idx="57">
                  <c:v>7.9820728592959098E-4</c:v>
                </c:pt>
                <c:pt idx="58">
                  <c:v>1.03950511352371E-3</c:v>
                </c:pt>
                <c:pt idx="59">
                  <c:v>1.09410121845085E-3</c:v>
                </c:pt>
                <c:pt idx="60">
                  <c:v>9.2819834750209902E-4</c:v>
                </c:pt>
                <c:pt idx="61">
                  <c:v>1.1511763202792999E-3</c:v>
                </c:pt>
                <c:pt idx="62">
                  <c:v>9.4286825977390402E-4</c:v>
                </c:pt>
                <c:pt idx="63">
                  <c:v>1.5437730591566399E-3</c:v>
                </c:pt>
                <c:pt idx="64">
                  <c:v>7.0768903199673605E-4</c:v>
                </c:pt>
                <c:pt idx="65">
                  <c:v>-3.1729270384823201E-5</c:v>
                </c:pt>
                <c:pt idx="66">
                  <c:v>-2.27942508405466E-4</c:v>
                </c:pt>
                <c:pt idx="67">
                  <c:v>2.5993740705181902E-4</c:v>
                </c:pt>
                <c:pt idx="68">
                  <c:v>-1.7983113113328601E-4</c:v>
                </c:pt>
                <c:pt idx="69">
                  <c:v>-1.20559584260698E-4</c:v>
                </c:pt>
                <c:pt idx="70">
                  <c:v>-2.01304613735679E-4</c:v>
                </c:pt>
                <c:pt idx="71">
                  <c:v>1.9726255068043701E-4</c:v>
                </c:pt>
                <c:pt idx="72">
                  <c:v>4.7284002292858303E-5</c:v>
                </c:pt>
                <c:pt idx="73">
                  <c:v>1.95321838990456E-4</c:v>
                </c:pt>
                <c:pt idx="74">
                  <c:v>5.1637073119539399E-4</c:v>
                </c:pt>
                <c:pt idx="75">
                  <c:v>3.1580719878818397E-4</c:v>
                </c:pt>
                <c:pt idx="76">
                  <c:v>-1.5480106834753901E-4</c:v>
                </c:pt>
                <c:pt idx="77">
                  <c:v>-8.0758455869824706E-5</c:v>
                </c:pt>
                <c:pt idx="78">
                  <c:v>-1.6885697066006101E-4</c:v>
                </c:pt>
                <c:pt idx="79">
                  <c:v>-4.6780137474918302E-4</c:v>
                </c:pt>
                <c:pt idx="80">
                  <c:v>-3.5858264178159101E-4</c:v>
                </c:pt>
                <c:pt idx="81">
                  <c:v>-5.0044774567869598E-4</c:v>
                </c:pt>
                <c:pt idx="82">
                  <c:v>-5.9235387980826899E-4</c:v>
                </c:pt>
                <c:pt idx="83">
                  <c:v>-8.2665050776695897E-4</c:v>
                </c:pt>
                <c:pt idx="84">
                  <c:v>-5.9586538415171803E-4</c:v>
                </c:pt>
                <c:pt idx="85">
                  <c:v>3.5111773394864298E-4</c:v>
                </c:pt>
                <c:pt idx="86">
                  <c:v>1.7672538628533E-4</c:v>
                </c:pt>
                <c:pt idx="87">
                  <c:v>5.9919835123883197E-4</c:v>
                </c:pt>
                <c:pt idx="88">
                  <c:v>5.0081637419584202E-4</c:v>
                </c:pt>
                <c:pt idx="89">
                  <c:v>2.2857684469890899E-4</c:v>
                </c:pt>
                <c:pt idx="90">
                  <c:v>-5.5624909917402501E-5</c:v>
                </c:pt>
                <c:pt idx="91">
                  <c:v>7.5399467515400195E-4</c:v>
                </c:pt>
                <c:pt idx="92">
                  <c:v>8.3602547445622301E-4</c:v>
                </c:pt>
                <c:pt idx="93">
                  <c:v>4.1990111152353199E-6</c:v>
                </c:pt>
                <c:pt idx="94">
                  <c:v>9.4887410087574102E-5</c:v>
                </c:pt>
                <c:pt idx="95">
                  <c:v>6.7762787432753603E-4</c:v>
                </c:pt>
                <c:pt idx="96">
                  <c:v>6.6195126887083405E-4</c:v>
                </c:pt>
                <c:pt idx="97">
                  <c:v>3.9107002802075898E-4</c:v>
                </c:pt>
                <c:pt idx="98">
                  <c:v>-8.3598409776916401E-5</c:v>
                </c:pt>
                <c:pt idx="99">
                  <c:v>1.12816932112377E-4</c:v>
                </c:pt>
                <c:pt idx="100">
                  <c:v>-1.41359666773053E-4</c:v>
                </c:pt>
                <c:pt idx="101">
                  <c:v>-5.6240197605601197E-4</c:v>
                </c:pt>
                <c:pt idx="102">
                  <c:v>2.28282963609159E-4</c:v>
                </c:pt>
                <c:pt idx="103">
                  <c:v>4.8494136448220599E-4</c:v>
                </c:pt>
                <c:pt idx="104">
                  <c:v>2.6756429559466E-4</c:v>
                </c:pt>
                <c:pt idx="105">
                  <c:v>2.9519929211622802E-4</c:v>
                </c:pt>
                <c:pt idx="106">
                  <c:v>2.5266360615148098E-4</c:v>
                </c:pt>
                <c:pt idx="107">
                  <c:v>-2.7799720336672698E-4</c:v>
                </c:pt>
                <c:pt idx="108">
                  <c:v>2.19399157306434E-4</c:v>
                </c:pt>
                <c:pt idx="109">
                  <c:v>-8.6954940204342093E-6</c:v>
                </c:pt>
                <c:pt idx="110">
                  <c:v>-4.5031568294045599E-4</c:v>
                </c:pt>
                <c:pt idx="111">
                  <c:v>-2.4252865205156901E-4</c:v>
                </c:pt>
                <c:pt idx="112">
                  <c:v>2.8441147288536898E-4</c:v>
                </c:pt>
                <c:pt idx="113">
                  <c:v>5.6646789957611604E-4</c:v>
                </c:pt>
                <c:pt idx="114">
                  <c:v>1.6633898805090699E-4</c:v>
                </c:pt>
                <c:pt idx="115">
                  <c:v>-7.0919795722201497E-3</c:v>
                </c:pt>
                <c:pt idx="116">
                  <c:v>-6.5954067843272601E-3</c:v>
                </c:pt>
                <c:pt idx="117">
                  <c:v>-5.5683223670844797E-3</c:v>
                </c:pt>
                <c:pt idx="118">
                  <c:v>1.94349697938861E-3</c:v>
                </c:pt>
                <c:pt idx="119">
                  <c:v>2.4204653652294401E-3</c:v>
                </c:pt>
                <c:pt idx="120">
                  <c:v>1.8011799183340301E-3</c:v>
                </c:pt>
                <c:pt idx="121">
                  <c:v>1.9629010438857301E-3</c:v>
                </c:pt>
                <c:pt idx="122">
                  <c:v>2.8326915257347201E-3</c:v>
                </c:pt>
                <c:pt idx="123">
                  <c:v>2.0178838460196699E-3</c:v>
                </c:pt>
                <c:pt idx="124">
                  <c:v>2.8048435243495299E-3</c:v>
                </c:pt>
                <c:pt idx="125">
                  <c:v>1.9771181001785902E-3</c:v>
                </c:pt>
                <c:pt idx="126">
                  <c:v>1.52675411180948E-3</c:v>
                </c:pt>
                <c:pt idx="127">
                  <c:v>6.5853767166337601E-4</c:v>
                </c:pt>
                <c:pt idx="128">
                  <c:v>-4.11462817139387E-4</c:v>
                </c:pt>
                <c:pt idx="129">
                  <c:v>6.5498899690097896E-5</c:v>
                </c:pt>
                <c:pt idx="130">
                  <c:v>-8.6430429979055098E-5</c:v>
                </c:pt>
                <c:pt idx="131">
                  <c:v>-4.2178824473731302E-4</c:v>
                </c:pt>
                <c:pt idx="132">
                  <c:v>3.2777271434725501E-4</c:v>
                </c:pt>
                <c:pt idx="133">
                  <c:v>-7.8092875331968201E-5</c:v>
                </c:pt>
                <c:pt idx="134">
                  <c:v>-3.1424122343839999E-4</c:v>
                </c:pt>
                <c:pt idx="135">
                  <c:v>-1.5014886313612799E-4</c:v>
                </c:pt>
                <c:pt idx="136">
                  <c:v>-1.8265624022239499E-4</c:v>
                </c:pt>
                <c:pt idx="137">
                  <c:v>-7.0591296473740295E-5</c:v>
                </c:pt>
                <c:pt idx="138">
                  <c:v>-4.6929572603918998E-4</c:v>
                </c:pt>
                <c:pt idx="139">
                  <c:v>1.04377600625787E-4</c:v>
                </c:pt>
                <c:pt idx="140">
                  <c:v>4.2729651815281798E-4</c:v>
                </c:pt>
                <c:pt idx="141">
                  <c:v>4.5972373240437298E-4</c:v>
                </c:pt>
                <c:pt idx="142">
                  <c:v>-3.5002579801630198E-4</c:v>
                </c:pt>
                <c:pt idx="143">
                  <c:v>-9.3461804740218194E-5</c:v>
                </c:pt>
                <c:pt idx="144">
                  <c:v>1.5355919377538099E-4</c:v>
                </c:pt>
                <c:pt idx="145">
                  <c:v>-8.2359685156117594E-5</c:v>
                </c:pt>
                <c:pt idx="146">
                  <c:v>-3.2900822580554803E-4</c:v>
                </c:pt>
                <c:pt idx="147">
                  <c:v>1.2486501612357201E-4</c:v>
                </c:pt>
                <c:pt idx="148">
                  <c:v>3.6637102096983399E-4</c:v>
                </c:pt>
                <c:pt idx="149">
                  <c:v>1.09679924702275E-4</c:v>
                </c:pt>
                <c:pt idx="150">
                  <c:v>-3.5247994262688898E-4</c:v>
                </c:pt>
                <c:pt idx="151">
                  <c:v>-3.3698510083270502E-4</c:v>
                </c:pt>
                <c:pt idx="152">
                  <c:v>-1.08337682609963E-4</c:v>
                </c:pt>
                <c:pt idx="153">
                  <c:v>-1.77376105826278E-4</c:v>
                </c:pt>
                <c:pt idx="154">
                  <c:v>1.8063391899867499E-4</c:v>
                </c:pt>
                <c:pt idx="155">
                  <c:v>-1.55718495095349E-4</c:v>
                </c:pt>
                <c:pt idx="156">
                  <c:v>-4.0979437236997101E-4</c:v>
                </c:pt>
                <c:pt idx="157">
                  <c:v>-1.2441873234874E-4</c:v>
                </c:pt>
                <c:pt idx="158">
                  <c:v>-8.7256929979758396E-5</c:v>
                </c:pt>
                <c:pt idx="159">
                  <c:v>-9.9887926331724706E-5</c:v>
                </c:pt>
                <c:pt idx="160">
                  <c:v>9.8449207491256596E-4</c:v>
                </c:pt>
                <c:pt idx="161">
                  <c:v>5.7650887764189502E-4</c:v>
                </c:pt>
                <c:pt idx="162">
                  <c:v>-6.1712114775341895E-5</c:v>
                </c:pt>
                <c:pt idx="163">
                  <c:v>4.9177561667796896E-4</c:v>
                </c:pt>
                <c:pt idx="164">
                  <c:v>-1.9171943176511899E-4</c:v>
                </c:pt>
                <c:pt idx="165">
                  <c:v>1.1610584853827E-4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FENY x 20 dma / VDE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-3.3220147740022998E-4</c:v>
                </c:pt>
                <c:pt idx="21">
                  <c:v>-5.54653771878E-4</c:v>
                </c:pt>
                <c:pt idx="22">
                  <c:v>1.32817827265765E-4</c:v>
                </c:pt>
                <c:pt idx="23">
                  <c:v>7.2132705261628198E-5</c:v>
                </c:pt>
                <c:pt idx="24">
                  <c:v>-2.9421755984434302E-4</c:v>
                </c:pt>
                <c:pt idx="25">
                  <c:v>-2.5343610639599201E-4</c:v>
                </c:pt>
                <c:pt idx="26">
                  <c:v>3.2716052691622599E-4</c:v>
                </c:pt>
                <c:pt idx="27">
                  <c:v>-5.6146106965769298E-5</c:v>
                </c:pt>
                <c:pt idx="28">
                  <c:v>2.7520158195266898E-4</c:v>
                </c:pt>
                <c:pt idx="29">
                  <c:v>3.4445803810327699E-5</c:v>
                </c:pt>
                <c:pt idx="30">
                  <c:v>5.8720896457394999E-4</c:v>
                </c:pt>
                <c:pt idx="31">
                  <c:v>9.8515619206212198E-5</c:v>
                </c:pt>
                <c:pt idx="32">
                  <c:v>2.7018922932159697E-4</c:v>
                </c:pt>
                <c:pt idx="33">
                  <c:v>-7.2173886798037199E-5</c:v>
                </c:pt>
                <c:pt idx="34">
                  <c:v>1.008822656648E-4</c:v>
                </c:pt>
                <c:pt idx="35">
                  <c:v>4.0120416731343102E-4</c:v>
                </c:pt>
                <c:pt idx="36">
                  <c:v>-5.3482849967296598E-4</c:v>
                </c:pt>
                <c:pt idx="37">
                  <c:v>-3.8089723631026101E-4</c:v>
                </c:pt>
                <c:pt idx="38">
                  <c:v>5.9534521186555098E-4</c:v>
                </c:pt>
                <c:pt idx="39">
                  <c:v>-6.1951859937161807E-5</c:v>
                </c:pt>
                <c:pt idx="40">
                  <c:v>-1.41483593350508E-4</c:v>
                </c:pt>
                <c:pt idx="41">
                  <c:v>-3.3228975225039901E-4</c:v>
                </c:pt>
                <c:pt idx="42">
                  <c:v>3.1242789879842397E-4</c:v>
                </c:pt>
                <c:pt idx="43">
                  <c:v>-3.91184057606252E-4</c:v>
                </c:pt>
                <c:pt idx="44">
                  <c:v>1.4659325777462899E-4</c:v>
                </c:pt>
                <c:pt idx="45">
                  <c:v>-2.1535905206063801E-4</c:v>
                </c:pt>
                <c:pt idx="46">
                  <c:v>-1.9003470775867101E-4</c:v>
                </c:pt>
                <c:pt idx="47">
                  <c:v>2.8722009016357001E-5</c:v>
                </c:pt>
                <c:pt idx="48">
                  <c:v>-4.0997293731930001E-4</c:v>
                </c:pt>
                <c:pt idx="49">
                  <c:v>-1.45356089455145E-4</c:v>
                </c:pt>
                <c:pt idx="50">
                  <c:v>1.8987686905406201E-4</c:v>
                </c:pt>
                <c:pt idx="51">
                  <c:v>5.26299585950145E-4</c:v>
                </c:pt>
                <c:pt idx="52">
                  <c:v>1.05173787848876E-4</c:v>
                </c:pt>
                <c:pt idx="53">
                  <c:v>-5.5556666947723498E-3</c:v>
                </c:pt>
                <c:pt idx="54">
                  <c:v>-4.51385574362496E-3</c:v>
                </c:pt>
                <c:pt idx="55">
                  <c:v>8.7415404884315904E-4</c:v>
                </c:pt>
                <c:pt idx="56">
                  <c:v>6.90979633469591E-4</c:v>
                </c:pt>
                <c:pt idx="57">
                  <c:v>3.3856714298355898E-4</c:v>
                </c:pt>
                <c:pt idx="58">
                  <c:v>5.4693271836346396E-4</c:v>
                </c:pt>
                <c:pt idx="59">
                  <c:v>6.7175942484304504E-4</c:v>
                </c:pt>
                <c:pt idx="60">
                  <c:v>5.2751844989819296E-4</c:v>
                </c:pt>
                <c:pt idx="61">
                  <c:v>7.2769237220434899E-4</c:v>
                </c:pt>
                <c:pt idx="62">
                  <c:v>4.65845449914154E-4</c:v>
                </c:pt>
                <c:pt idx="63">
                  <c:v>1.0740253652697801E-3</c:v>
                </c:pt>
                <c:pt idx="64">
                  <c:v>8.0787522864296795E-4</c:v>
                </c:pt>
                <c:pt idx="65">
                  <c:v>5.7631161319523399E-4</c:v>
                </c:pt>
                <c:pt idx="66">
                  <c:v>3.44343056223584E-4</c:v>
                </c:pt>
                <c:pt idx="67">
                  <c:v>8.0569406581267099E-4</c:v>
                </c:pt>
                <c:pt idx="68">
                  <c:v>4.0429299249946E-4</c:v>
                </c:pt>
                <c:pt idx="69">
                  <c:v>4.39044985568865E-4</c:v>
                </c:pt>
                <c:pt idx="70">
                  <c:v>3.38269245167791E-4</c:v>
                </c:pt>
                <c:pt idx="71">
                  <c:v>7.4218547228325897E-4</c:v>
                </c:pt>
                <c:pt idx="72">
                  <c:v>6.1241268830035595E-4</c:v>
                </c:pt>
                <c:pt idx="73">
                  <c:v>7.7735631993014205E-4</c:v>
                </c:pt>
                <c:pt idx="74">
                  <c:v>7.8077404259989803E-4</c:v>
                </c:pt>
                <c:pt idx="75">
                  <c:v>3.3818759101576101E-4</c:v>
                </c:pt>
                <c:pt idx="76">
                  <c:v>-1.0281150773516601E-4</c:v>
                </c:pt>
                <c:pt idx="77">
                  <c:v>-8.3978459866238305E-6</c:v>
                </c:pt>
                <c:pt idx="78">
                  <c:v>-1.33945607809133E-4</c:v>
                </c:pt>
                <c:pt idx="79">
                  <c:v>-4.2627727437830098E-4</c:v>
                </c:pt>
                <c:pt idx="80">
                  <c:v>-3.2548432486452001E-4</c:v>
                </c:pt>
                <c:pt idx="81">
                  <c:v>-4.6937227266668498E-4</c:v>
                </c:pt>
                <c:pt idx="82">
                  <c:v>-5.9984260598726596E-4</c:v>
                </c:pt>
                <c:pt idx="83">
                  <c:v>-8.7859493999653602E-4</c:v>
                </c:pt>
                <c:pt idx="84">
                  <c:v>-6.9487783959270698E-4</c:v>
                </c:pt>
                <c:pt idx="85">
                  <c:v>1.69746113167039E-4</c:v>
                </c:pt>
                <c:pt idx="86">
                  <c:v>-4.0616521951095001E-5</c:v>
                </c:pt>
                <c:pt idx="87">
                  <c:v>3.6784243547480097E-4</c:v>
                </c:pt>
                <c:pt idx="88">
                  <c:v>2.9010898532265601E-4</c:v>
                </c:pt>
                <c:pt idx="89">
                  <c:v>2.6233270421232401E-5</c:v>
                </c:pt>
                <c:pt idx="90">
                  <c:v>-2.30178184306073E-4</c:v>
                </c:pt>
                <c:pt idx="91">
                  <c:v>5.81687506359778E-4</c:v>
                </c:pt>
                <c:pt idx="92">
                  <c:v>7.4096917342580395E-4</c:v>
                </c:pt>
                <c:pt idx="93">
                  <c:v>3.7798608522514001E-6</c:v>
                </c:pt>
                <c:pt idx="94">
                  <c:v>1.92297217337805E-4</c:v>
                </c:pt>
                <c:pt idx="95">
                  <c:v>8.8485529337679805E-4</c:v>
                </c:pt>
                <c:pt idx="96">
                  <c:v>9.2259186083254896E-4</c:v>
                </c:pt>
                <c:pt idx="97">
                  <c:v>7.07202146086817E-4</c:v>
                </c:pt>
                <c:pt idx="98">
                  <c:v>2.4288112197056E-4</c:v>
                </c:pt>
                <c:pt idx="99">
                  <c:v>4.30309685200717E-4</c:v>
                </c:pt>
                <c:pt idx="100">
                  <c:v>1.87515976003502E-4</c:v>
                </c:pt>
                <c:pt idx="101">
                  <c:v>-2.0259819374565899E-4</c:v>
                </c:pt>
                <c:pt idx="102">
                  <c:v>5.1273118547486105E-4</c:v>
                </c:pt>
                <c:pt idx="103">
                  <c:v>7.0552430933428802E-4</c:v>
                </c:pt>
                <c:pt idx="104">
                  <c:v>4.9272292109663399E-4</c:v>
                </c:pt>
                <c:pt idx="105">
                  <c:v>5.0720903908221099E-4</c:v>
                </c:pt>
                <c:pt idx="106">
                  <c:v>4.2970718912996298E-4</c:v>
                </c:pt>
                <c:pt idx="107">
                  <c:v>-1.5403892247273899E-4</c:v>
                </c:pt>
                <c:pt idx="108">
                  <c:v>3.0109536129626897E-4</c:v>
                </c:pt>
                <c:pt idx="109">
                  <c:v>9.2900262992026995E-5</c:v>
                </c:pt>
                <c:pt idx="110">
                  <c:v>-3.7059897650870103E-4</c:v>
                </c:pt>
                <c:pt idx="111">
                  <c:v>-1.98901832299756E-4</c:v>
                </c:pt>
                <c:pt idx="112">
                  <c:v>3.7826040793449299E-4</c:v>
                </c:pt>
                <c:pt idx="113">
                  <c:v>6.7445316916557802E-4</c:v>
                </c:pt>
                <c:pt idx="114">
                  <c:v>2.4309565390086399E-4</c:v>
                </c:pt>
                <c:pt idx="115">
                  <c:v>-7.0437604534085803E-3</c:v>
                </c:pt>
                <c:pt idx="116">
                  <c:v>-6.9148773141872802E-3</c:v>
                </c:pt>
                <c:pt idx="117">
                  <c:v>-6.260128480369E-3</c:v>
                </c:pt>
                <c:pt idx="118">
                  <c:v>9.3866101711161099E-4</c:v>
                </c:pt>
                <c:pt idx="119">
                  <c:v>1.37804873462274E-3</c:v>
                </c:pt>
                <c:pt idx="120">
                  <c:v>7.7178984875323701E-4</c:v>
                </c:pt>
                <c:pt idx="121">
                  <c:v>9.5053926396002802E-4</c:v>
                </c:pt>
                <c:pt idx="122">
                  <c:v>1.80894288493179E-3</c:v>
                </c:pt>
                <c:pt idx="123">
                  <c:v>1.00685604730181E-3</c:v>
                </c:pt>
                <c:pt idx="124">
                  <c:v>1.75047571373369E-3</c:v>
                </c:pt>
                <c:pt idx="125">
                  <c:v>9.4647819764308598E-4</c:v>
                </c:pt>
                <c:pt idx="126">
                  <c:v>1.2122915408013699E-3</c:v>
                </c:pt>
                <c:pt idx="127">
                  <c:v>1.0950370524559199E-3</c:v>
                </c:pt>
                <c:pt idx="128">
                  <c:v>7.1607012528339701E-4</c:v>
                </c:pt>
                <c:pt idx="129">
                  <c:v>1.2022814710641401E-3</c:v>
                </c:pt>
                <c:pt idx="130">
                  <c:v>1.0290703342239001E-3</c:v>
                </c:pt>
                <c:pt idx="131">
                  <c:v>7.0126657048492403E-4</c:v>
                </c:pt>
                <c:pt idx="132">
                  <c:v>1.4348480750170599E-3</c:v>
                </c:pt>
                <c:pt idx="133">
                  <c:v>9.8942420413846094E-4</c:v>
                </c:pt>
                <c:pt idx="134">
                  <c:v>7.8372146654511496E-4</c:v>
                </c:pt>
                <c:pt idx="135">
                  <c:v>8.7516118092572899E-4</c:v>
                </c:pt>
                <c:pt idx="136">
                  <c:v>4.8747109682678499E-4</c:v>
                </c:pt>
                <c:pt idx="137">
                  <c:v>2.05238468579361E-4</c:v>
                </c:pt>
                <c:pt idx="138">
                  <c:v>-5.5851586336223098E-4</c:v>
                </c:pt>
                <c:pt idx="139">
                  <c:v>8.4000128994948192E-6</c:v>
                </c:pt>
                <c:pt idx="140">
                  <c:v>3.2780058092498102E-4</c:v>
                </c:pt>
                <c:pt idx="141">
                  <c:v>3.5884808254254001E-4</c:v>
                </c:pt>
                <c:pt idx="142">
                  <c:v>-4.0992574818237299E-4</c:v>
                </c:pt>
                <c:pt idx="143">
                  <c:v>-1.78643997074647E-4</c:v>
                </c:pt>
                <c:pt idx="144">
                  <c:v>5.7194928206954903E-5</c:v>
                </c:pt>
                <c:pt idx="145">
                  <c:v>-1.18765625130986E-4</c:v>
                </c:pt>
                <c:pt idx="146">
                  <c:v>-3.6178024257170499E-4</c:v>
                </c:pt>
                <c:pt idx="147">
                  <c:v>9.9975507493718996E-5</c:v>
                </c:pt>
                <c:pt idx="148">
                  <c:v>3.5764178335684501E-4</c:v>
                </c:pt>
                <c:pt idx="149">
                  <c:v>1.5368351706558601E-4</c:v>
                </c:pt>
                <c:pt idx="150">
                  <c:v>-2.9615778490868798E-4</c:v>
                </c:pt>
                <c:pt idx="151">
                  <c:v>-3.2975304669679098E-4</c:v>
                </c:pt>
                <c:pt idx="152">
                  <c:v>-1.7419668624082599E-4</c:v>
                </c:pt>
                <c:pt idx="153">
                  <c:v>-1.9786128584756E-4</c:v>
                </c:pt>
                <c:pt idx="154">
                  <c:v>1.6319069632198099E-4</c:v>
                </c:pt>
                <c:pt idx="155">
                  <c:v>-1.8730499874414301E-4</c:v>
                </c:pt>
                <c:pt idx="156">
                  <c:v>-4.4795661648879697E-4</c:v>
                </c:pt>
                <c:pt idx="157">
                  <c:v>-1.5984211664336499E-4</c:v>
                </c:pt>
                <c:pt idx="158">
                  <c:v>-1.4596848788165799E-4</c:v>
                </c:pt>
                <c:pt idx="159">
                  <c:v>-2.28053077320915E-4</c:v>
                </c:pt>
                <c:pt idx="160">
                  <c:v>8.2837370472047705E-4</c:v>
                </c:pt>
                <c:pt idx="161">
                  <c:v>5.0495114976588905E-4</c:v>
                </c:pt>
                <c:pt idx="162">
                  <c:v>-5.5651006284650398E-5</c:v>
                </c:pt>
                <c:pt idx="163">
                  <c:v>4.9527515970141398E-4</c:v>
                </c:pt>
                <c:pt idx="164">
                  <c:v>-1.4817052661110199E-4</c:v>
                </c:pt>
                <c:pt idx="165">
                  <c:v>1.4578140614008699E-4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0</v>
      </c>
      <c r="BS1" s="6"/>
      <c r="BT1" s="6"/>
      <c r="BU1" s="6"/>
      <c r="BV1" s="7">
        <f>BV167</f>
        <v>0</v>
      </c>
      <c r="BY1" s="7">
        <f>BY167</f>
        <v>0</v>
      </c>
    </row>
    <row r="2" spans="1:77" x14ac:dyDescent="0.3">
      <c r="A2" s="1">
        <v>46024</v>
      </c>
      <c r="B2" s="8">
        <v>25.3</v>
      </c>
      <c r="C2" s="8">
        <v>128.66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25.3</v>
      </c>
      <c r="M2" s="8">
        <v>128.66</v>
      </c>
      <c r="N2" s="10">
        <v>5.0853754940711404</v>
      </c>
      <c r="O2" s="10">
        <v>5.0856511037897496</v>
      </c>
      <c r="X2" s="10">
        <v>5.0853754940711404</v>
      </c>
      <c r="Y2" s="10">
        <v>5.0846599588316304</v>
      </c>
    </row>
    <row r="3" spans="1:77" x14ac:dyDescent="0.3">
      <c r="A3" s="1">
        <v>46027</v>
      </c>
      <c r="B3" s="8">
        <v>25.9</v>
      </c>
      <c r="C3" s="8">
        <v>131.63</v>
      </c>
      <c r="D3" s="9">
        <v>2.3438572972017301E-2</v>
      </c>
      <c r="E3" s="9">
        <v>2.2821690454462001E-2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25.9</v>
      </c>
      <c r="M3" s="8">
        <v>131.63</v>
      </c>
      <c r="N3" s="10">
        <v>5.0822393822393801</v>
      </c>
      <c r="O3" s="10">
        <v>5.0856511037897496</v>
      </c>
      <c r="R3" s="8">
        <v>131.71836358815401</v>
      </c>
      <c r="U3" s="9">
        <v>6.7107758154836303E-4</v>
      </c>
      <c r="X3" s="10">
        <v>5.0822393822393801</v>
      </c>
      <c r="Y3" s="10">
        <v>5.0846599588316304</v>
      </c>
      <c r="AB3" s="8">
        <v>131.69269293373901</v>
      </c>
      <c r="AE3" s="9">
        <v>4.7616811316454101E-4</v>
      </c>
    </row>
    <row r="4" spans="1:77" x14ac:dyDescent="0.3">
      <c r="A4" s="1">
        <v>46028</v>
      </c>
      <c r="B4" s="8">
        <v>25.26</v>
      </c>
      <c r="C4" s="8">
        <v>128.43</v>
      </c>
      <c r="D4" s="9">
        <v>-2.5020851783146902E-2</v>
      </c>
      <c r="E4" s="9">
        <v>-2.4610947612351799E-2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25.26</v>
      </c>
      <c r="M4" s="8">
        <v>128.43</v>
      </c>
      <c r="N4" s="10">
        <v>5.0843230403800401</v>
      </c>
      <c r="O4" s="10">
        <v>5.0856511037897496</v>
      </c>
      <c r="R4" s="8">
        <v>128.463546881729</v>
      </c>
      <c r="U4" s="9">
        <v>2.6117341075326399E-4</v>
      </c>
      <c r="X4" s="10">
        <v>5.0843230403800401</v>
      </c>
      <c r="Y4" s="10">
        <v>5.0846599588316304</v>
      </c>
      <c r="AB4" s="8">
        <v>128.438510560087</v>
      </c>
      <c r="AE4" s="9">
        <v>6.6263942369449103E-5</v>
      </c>
    </row>
    <row r="5" spans="1:77" x14ac:dyDescent="0.3">
      <c r="A5" s="1">
        <v>46029</v>
      </c>
      <c r="B5" s="8">
        <v>24.99</v>
      </c>
      <c r="C5" s="8">
        <v>127.1</v>
      </c>
      <c r="D5" s="9">
        <v>-1.07463720754841E-2</v>
      </c>
      <c r="E5" s="9">
        <v>-1.0409830629556201E-2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24.99</v>
      </c>
      <c r="M5" s="8">
        <v>127.1</v>
      </c>
      <c r="N5" s="10">
        <v>5.0860344137654998</v>
      </c>
      <c r="O5" s="10">
        <v>5.0856511037897496</v>
      </c>
      <c r="R5" s="8">
        <v>127.090421083705</v>
      </c>
      <c r="U5" s="9">
        <v>-7.5368035174683398E-5</v>
      </c>
      <c r="X5" s="10">
        <v>5.0860344137654998</v>
      </c>
      <c r="Y5" s="10">
        <v>5.0846599588316304</v>
      </c>
      <c r="AB5" s="8">
        <v>127.06565237120201</v>
      </c>
      <c r="AE5" s="9">
        <v>-2.7027750355850102E-4</v>
      </c>
    </row>
    <row r="6" spans="1:77" x14ac:dyDescent="0.3">
      <c r="A6" s="1">
        <v>46030</v>
      </c>
      <c r="B6" s="8">
        <v>25.73</v>
      </c>
      <c r="C6" s="8">
        <v>130.87</v>
      </c>
      <c r="D6" s="9">
        <v>2.9181881446791801E-2</v>
      </c>
      <c r="E6" s="9">
        <v>2.9230285871980899E-2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25.73</v>
      </c>
      <c r="M6" s="8">
        <v>130.87</v>
      </c>
      <c r="N6" s="10">
        <v>5.0862806062961496</v>
      </c>
      <c r="O6" s="10">
        <v>5.0856511037897496</v>
      </c>
      <c r="R6" s="8">
        <v>130.85380290051</v>
      </c>
      <c r="U6" s="9">
        <v>-1.23772460363688E-4</v>
      </c>
      <c r="X6" s="10">
        <v>5.0862806062961496</v>
      </c>
      <c r="Y6" s="10">
        <v>5.0846599588316304</v>
      </c>
      <c r="AB6" s="8">
        <v>130.82830074073701</v>
      </c>
      <c r="AE6" s="9">
        <v>-3.1868192874764099E-4</v>
      </c>
    </row>
    <row r="7" spans="1:77" x14ac:dyDescent="0.3">
      <c r="A7" s="1">
        <v>46031</v>
      </c>
      <c r="B7" s="8">
        <v>25.8</v>
      </c>
      <c r="C7" s="8">
        <v>131.19999999999999</v>
      </c>
      <c r="D7" s="9">
        <v>2.7168656339190498E-3</v>
      </c>
      <c r="E7" s="9">
        <v>2.5184124425992201E-3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25.8</v>
      </c>
      <c r="M7" s="8">
        <v>131.19999999999999</v>
      </c>
      <c r="N7" s="10">
        <v>5.0852713178294504</v>
      </c>
      <c r="O7" s="10">
        <v>5.0856511037897496</v>
      </c>
      <c r="R7" s="8">
        <v>131.209798477775</v>
      </c>
      <c r="U7" s="9">
        <v>7.4680730955816894E-5</v>
      </c>
      <c r="X7" s="10">
        <v>5.0852713178294504</v>
      </c>
      <c r="Y7" s="10">
        <v>5.0846599588316304</v>
      </c>
      <c r="AB7" s="8">
        <v>131.18422693785601</v>
      </c>
      <c r="AE7" s="9">
        <v>-1.2022873742783399E-4</v>
      </c>
    </row>
    <row r="8" spans="1:77" x14ac:dyDescent="0.3">
      <c r="A8" s="1">
        <v>46034</v>
      </c>
      <c r="B8" s="8">
        <v>25.65</v>
      </c>
      <c r="C8" s="8">
        <v>130.47999999999999</v>
      </c>
      <c r="D8" s="9">
        <v>-5.8309203107933198E-3</v>
      </c>
      <c r="E8" s="9">
        <v>-5.5029181972302398E-3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25.65</v>
      </c>
      <c r="M8" s="8">
        <v>130.47999999999999</v>
      </c>
      <c r="N8" s="10">
        <v>5.08693957115009</v>
      </c>
      <c r="O8" s="10">
        <v>5.0856511037897496</v>
      </c>
      <c r="R8" s="8">
        <v>130.44695081220701</v>
      </c>
      <c r="U8" s="9">
        <v>-2.5332138260716398E-4</v>
      </c>
      <c r="X8" s="10">
        <v>5.08693957115009</v>
      </c>
      <c r="Y8" s="10">
        <v>5.0846599588316304</v>
      </c>
      <c r="AB8" s="8">
        <v>130.421527944031</v>
      </c>
      <c r="AE8" s="9">
        <v>-4.48230850990968E-4</v>
      </c>
    </row>
    <row r="9" spans="1:77" x14ac:dyDescent="0.3">
      <c r="A9" s="1">
        <v>46035</v>
      </c>
      <c r="B9" s="8">
        <v>26.04</v>
      </c>
      <c r="C9" s="8">
        <v>132.41999999999999</v>
      </c>
      <c r="D9" s="9">
        <v>1.5090245723590001E-2</v>
      </c>
      <c r="E9" s="9">
        <v>1.47587311839416E-2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26.04</v>
      </c>
      <c r="M9" s="8">
        <v>132.41999999999999</v>
      </c>
      <c r="N9" s="10">
        <v>5.0852534562211904</v>
      </c>
      <c r="O9" s="10">
        <v>5.0856511037897496</v>
      </c>
      <c r="R9" s="8">
        <v>132.43035474268501</v>
      </c>
      <c r="U9" s="9">
        <v>7.8193157041207907E-5</v>
      </c>
      <c r="X9" s="10">
        <v>5.0852534562211904</v>
      </c>
      <c r="Y9" s="10">
        <v>5.0846599588316304</v>
      </c>
      <c r="AB9" s="8">
        <v>132.404545327975</v>
      </c>
      <c r="AE9" s="9">
        <v>-1.1671631134278001E-4</v>
      </c>
      <c r="BJ9" s="12">
        <f>AVERAGE(BI22:BI200)</f>
        <v>0</v>
      </c>
      <c r="BV9" s="12">
        <f>AVERAGE(BU22:BU200)</f>
        <v>0</v>
      </c>
      <c r="BY9" s="12">
        <f>AVERAGE(BX22:BX200)</f>
        <v>0</v>
      </c>
    </row>
    <row r="10" spans="1:77" x14ac:dyDescent="0.3">
      <c r="A10" s="1">
        <v>46036</v>
      </c>
      <c r="B10" s="8">
        <v>26.62</v>
      </c>
      <c r="C10" s="8">
        <v>135.35</v>
      </c>
      <c r="D10" s="9">
        <v>2.20289956265971E-2</v>
      </c>
      <c r="E10" s="9">
        <v>2.18853265636101E-2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26.62</v>
      </c>
      <c r="M10" s="8">
        <v>135.35</v>
      </c>
      <c r="N10" s="10">
        <v>5.0845229151014202</v>
      </c>
      <c r="O10" s="10">
        <v>5.0856511037897496</v>
      </c>
      <c r="R10" s="8">
        <v>135.380032382883</v>
      </c>
      <c r="U10" s="9">
        <v>2.2186222002829099E-4</v>
      </c>
      <c r="X10" s="10">
        <v>5.0845229151014202</v>
      </c>
      <c r="Y10" s="10">
        <v>5.0846599588316304</v>
      </c>
      <c r="AB10" s="8">
        <v>135.353648104098</v>
      </c>
      <c r="AE10" s="9">
        <v>2.6952751644433301E-5</v>
      </c>
      <c r="AZ10" s="13"/>
      <c r="BJ10" s="12">
        <f>STDEV(BI22:BI200)</f>
        <v>0</v>
      </c>
      <c r="BL10" s="13"/>
      <c r="BV10" s="12">
        <f>STDEV(BU22:BU200)</f>
        <v>0</v>
      </c>
      <c r="BY10" s="12">
        <f>STDEV(BX22:BX200)</f>
        <v>0</v>
      </c>
    </row>
    <row r="11" spans="1:77" x14ac:dyDescent="0.3">
      <c r="A11" s="1">
        <v>46037</v>
      </c>
      <c r="B11" s="8">
        <v>26.4</v>
      </c>
      <c r="C11" s="8">
        <v>134.22999999999999</v>
      </c>
      <c r="D11" s="9">
        <v>-8.2988028146951699E-3</v>
      </c>
      <c r="E11" s="9">
        <v>-8.3092695607655392E-3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26.4</v>
      </c>
      <c r="M11" s="8">
        <v>134.22999999999999</v>
      </c>
      <c r="N11" s="10">
        <v>5.0844696969696903</v>
      </c>
      <c r="O11" s="10">
        <v>5.0856511037897496</v>
      </c>
      <c r="P11" s="10">
        <v>5.0850709894024098</v>
      </c>
      <c r="R11" s="8">
        <v>134.261189140049</v>
      </c>
      <c r="U11" s="9">
        <v>2.32328966098475E-4</v>
      </c>
      <c r="X11" s="10">
        <v>5.0844696969696903</v>
      </c>
      <c r="Y11" s="10">
        <v>5.0846599588316304</v>
      </c>
      <c r="Z11" s="10">
        <v>5.0850709894024098</v>
      </c>
      <c r="AB11" s="8">
        <v>134.23502291315501</v>
      </c>
      <c r="AE11" s="9">
        <v>3.7419497714678603E-5</v>
      </c>
      <c r="BJ11" t="e">
        <f>SQRT(252)*BJ9/BJ10</f>
        <v>#DIV/0!</v>
      </c>
      <c r="BV11" t="e">
        <f>SQRT(252)*BV9/BV10</f>
        <v>#DIV/0!</v>
      </c>
      <c r="BY11" t="e">
        <f>SQRT(252)*BY9/BY10</f>
        <v>#DIV/0!</v>
      </c>
    </row>
    <row r="12" spans="1:77" x14ac:dyDescent="0.3">
      <c r="A12" s="1">
        <v>46038</v>
      </c>
      <c r="B12" s="8">
        <v>26.47</v>
      </c>
      <c r="C12" s="8">
        <v>134.62</v>
      </c>
      <c r="D12" s="9">
        <v>2.6480060867394499E-3</v>
      </c>
      <c r="E12" s="9">
        <v>2.9012480830225302E-3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26.47</v>
      </c>
      <c r="M12" s="8">
        <v>134.62</v>
      </c>
      <c r="N12" s="10">
        <v>5.0857574612769101</v>
      </c>
      <c r="O12" s="10">
        <v>5.0856511037897496</v>
      </c>
      <c r="P12" s="10">
        <v>5.0851091861229802</v>
      </c>
      <c r="R12" s="8">
        <v>134.61718471731399</v>
      </c>
      <c r="S12" s="8">
        <v>134.60182908948099</v>
      </c>
      <c r="U12" s="9">
        <v>-2.0913030184624498E-5</v>
      </c>
      <c r="V12" s="9">
        <v>-1.34988389368337E-4</v>
      </c>
      <c r="X12" s="10">
        <v>5.0857574612769101</v>
      </c>
      <c r="Y12" s="10">
        <v>5.0846599588316304</v>
      </c>
      <c r="Z12" s="10">
        <v>5.0851091861229802</v>
      </c>
      <c r="AB12" s="8">
        <v>134.59094911027299</v>
      </c>
      <c r="AC12" s="8">
        <v>134.60182908948099</v>
      </c>
      <c r="AE12" s="9">
        <v>-2.1582249856830099E-4</v>
      </c>
      <c r="AF12" s="9">
        <v>-1.34988389368337E-4</v>
      </c>
    </row>
    <row r="13" spans="1:77" x14ac:dyDescent="0.3">
      <c r="A13" s="1">
        <v>46042</v>
      </c>
      <c r="B13" s="8">
        <v>26.4</v>
      </c>
      <c r="C13" s="8">
        <v>134.19999999999999</v>
      </c>
      <c r="D13" s="9">
        <v>-2.6480060867394299E-3</v>
      </c>
      <c r="E13" s="9">
        <v>-3.1247700449857601E-3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26.4</v>
      </c>
      <c r="M13" s="8">
        <v>134.19999999999999</v>
      </c>
      <c r="N13" s="10">
        <v>5.0833333333333304</v>
      </c>
      <c r="O13" s="10">
        <v>5.0856511037897496</v>
      </c>
      <c r="P13" s="10">
        <v>5.0852185812323798</v>
      </c>
      <c r="R13" s="8">
        <v>134.261189140049</v>
      </c>
      <c r="S13" s="8">
        <v>134.246882513646</v>
      </c>
      <c r="U13" s="9">
        <v>4.5585092806185902E-4</v>
      </c>
      <c r="V13" s="9">
        <v>3.4928708193259601E-4</v>
      </c>
      <c r="X13" s="10">
        <v>5.0833333333333304</v>
      </c>
      <c r="Y13" s="10">
        <v>5.0846599588316304</v>
      </c>
      <c r="Z13" s="10">
        <v>5.0852185812323798</v>
      </c>
      <c r="AB13" s="8">
        <v>134.23502291315501</v>
      </c>
      <c r="AC13" s="8">
        <v>134.246882513646</v>
      </c>
      <c r="AE13" s="9">
        <v>2.6094145967803998E-4</v>
      </c>
      <c r="AF13" s="9">
        <v>3.4928708193259601E-4</v>
      </c>
    </row>
    <row r="14" spans="1:77" x14ac:dyDescent="0.3">
      <c r="A14" s="1">
        <v>46043</v>
      </c>
      <c r="B14" s="8">
        <v>27.07</v>
      </c>
      <c r="C14" s="8">
        <v>137.68</v>
      </c>
      <c r="D14" s="9">
        <v>2.5062093473939302E-2</v>
      </c>
      <c r="E14" s="9">
        <v>2.5600927365702599E-2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27.07</v>
      </c>
      <c r="M14" s="8">
        <v>137.68</v>
      </c>
      <c r="N14" s="10">
        <v>5.0860731437015101</v>
      </c>
      <c r="O14" s="10">
        <v>5.0856511037897496</v>
      </c>
      <c r="P14" s="10">
        <v>5.0853935915645296</v>
      </c>
      <c r="R14" s="8">
        <v>137.66857537958799</v>
      </c>
      <c r="S14" s="8">
        <v>137.65686699395999</v>
      </c>
      <c r="U14" s="9">
        <v>-8.2982963701574893E-5</v>
      </c>
      <c r="V14" s="9">
        <v>-1.6803420730668699E-4</v>
      </c>
      <c r="X14" s="10">
        <v>5.0860731437015101</v>
      </c>
      <c r="Y14" s="10">
        <v>5.0846599588316304</v>
      </c>
      <c r="Z14" s="10">
        <v>5.0853935915645296</v>
      </c>
      <c r="AB14" s="8">
        <v>137.64174508557201</v>
      </c>
      <c r="AC14" s="8">
        <v>137.65686699395999</v>
      </c>
      <c r="AE14" s="9">
        <v>-2.7789243208530901E-4</v>
      </c>
      <c r="AF14" s="9">
        <v>-1.6803420730668699E-4</v>
      </c>
    </row>
    <row r="15" spans="1:77" x14ac:dyDescent="0.3">
      <c r="A15" s="1">
        <v>46044</v>
      </c>
      <c r="B15" s="8">
        <v>27.12</v>
      </c>
      <c r="C15" s="8">
        <v>137.97999999999999</v>
      </c>
      <c r="D15" s="9">
        <v>1.845359445985E-3</v>
      </c>
      <c r="E15" s="9">
        <v>2.1765952146785002E-3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27.12</v>
      </c>
      <c r="M15" s="8">
        <v>137.97999999999999</v>
      </c>
      <c r="N15" s="10">
        <v>5.0877581120943898</v>
      </c>
      <c r="O15" s="10">
        <v>5.0856511037897496</v>
      </c>
      <c r="P15" s="10">
        <v>5.0855659613974096</v>
      </c>
      <c r="R15" s="8">
        <v>137.92285793477799</v>
      </c>
      <c r="S15" s="8">
        <v>137.91587420323</v>
      </c>
      <c r="U15" s="9">
        <v>-4.14218732395121E-4</v>
      </c>
      <c r="V15" s="9">
        <v>-4.6485506976044202E-4</v>
      </c>
      <c r="X15" s="10">
        <v>5.0877581120943898</v>
      </c>
      <c r="Y15" s="10">
        <v>5.0846599588316304</v>
      </c>
      <c r="Z15" s="10">
        <v>5.0855659613974096</v>
      </c>
      <c r="AB15" s="8">
        <v>137.895978083513</v>
      </c>
      <c r="AC15" s="8">
        <v>137.91587420323</v>
      </c>
      <c r="AE15" s="9">
        <v>-6.0912820077881199E-4</v>
      </c>
      <c r="AF15" s="9">
        <v>-4.6485506976044202E-4</v>
      </c>
    </row>
    <row r="16" spans="1:77" x14ac:dyDescent="0.3">
      <c r="A16" s="1">
        <v>46045</v>
      </c>
      <c r="B16" s="8">
        <v>27.25</v>
      </c>
      <c r="C16" s="8">
        <v>138.69</v>
      </c>
      <c r="D16" s="9">
        <v>4.78205803705831E-3</v>
      </c>
      <c r="E16" s="9">
        <v>5.1324795502812404E-3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27.25</v>
      </c>
      <c r="M16" s="8">
        <v>138.69</v>
      </c>
      <c r="N16" s="10">
        <v>5.08954128440367</v>
      </c>
      <c r="O16" s="10">
        <v>5.0856511037897496</v>
      </c>
      <c r="P16" s="10">
        <v>5.0858920292081704</v>
      </c>
      <c r="R16" s="8">
        <v>138.58399257827</v>
      </c>
      <c r="S16" s="8">
        <v>138.58167244807899</v>
      </c>
      <c r="U16" s="9">
        <v>-7.6464024561791904E-4</v>
      </c>
      <c r="V16" s="9">
        <v>-7.8138207538889397E-4</v>
      </c>
      <c r="X16" s="10">
        <v>5.08954128440367</v>
      </c>
      <c r="Y16" s="10">
        <v>5.0846599588316304</v>
      </c>
      <c r="Z16" s="10">
        <v>5.0858920292081704</v>
      </c>
      <c r="AB16" s="8">
        <v>138.55698387816199</v>
      </c>
      <c r="AC16" s="8">
        <v>138.58167244807899</v>
      </c>
      <c r="AE16" s="9">
        <v>-9.5954971400171796E-4</v>
      </c>
      <c r="AF16" s="9">
        <v>-7.8138207538889397E-4</v>
      </c>
    </row>
    <row r="17" spans="1:77" x14ac:dyDescent="0.3">
      <c r="A17" s="1">
        <v>46048</v>
      </c>
      <c r="B17" s="8">
        <v>27.27</v>
      </c>
      <c r="C17" s="8">
        <v>138.69</v>
      </c>
      <c r="D17" s="9">
        <v>7.33675748244009E-4</v>
      </c>
      <c r="E17" s="9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27.27</v>
      </c>
      <c r="M17" s="8">
        <v>138.69</v>
      </c>
      <c r="N17" s="10">
        <v>5.08580858085808</v>
      </c>
      <c r="O17" s="10">
        <v>5.0856511037897496</v>
      </c>
      <c r="P17" s="10">
        <v>5.0859457555110303</v>
      </c>
      <c r="R17" s="8">
        <v>138.68570560034601</v>
      </c>
      <c r="S17" s="8">
        <v>138.692275636506</v>
      </c>
      <c r="U17" s="9">
        <v>-3.0964497373852503E-5</v>
      </c>
      <c r="V17" s="9">
        <v>1.6407944607373499E-5</v>
      </c>
      <c r="X17" s="10">
        <v>5.08580858085808</v>
      </c>
      <c r="Y17" s="10">
        <v>5.0846599588316304</v>
      </c>
      <c r="Z17" s="10">
        <v>5.0859457555110303</v>
      </c>
      <c r="AB17" s="8">
        <v>138.65867707733801</v>
      </c>
      <c r="AC17" s="8">
        <v>138.692275636506</v>
      </c>
      <c r="AE17" s="9">
        <v>-2.2587396575776401E-4</v>
      </c>
      <c r="AF17" s="9">
        <v>1.6407944607373499E-5</v>
      </c>
    </row>
    <row r="18" spans="1:77" x14ac:dyDescent="0.3">
      <c r="A18" s="1">
        <v>46049</v>
      </c>
      <c r="B18" s="8">
        <v>27.55</v>
      </c>
      <c r="C18" s="8">
        <v>140.15</v>
      </c>
      <c r="D18" s="9">
        <v>1.02153387414264E-2</v>
      </c>
      <c r="E18" s="9">
        <v>1.0472050942553501E-2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27.55</v>
      </c>
      <c r="M18" s="8">
        <v>140.15</v>
      </c>
      <c r="N18" s="10">
        <v>5.0871143375680496</v>
      </c>
      <c r="O18" s="10">
        <v>5.0856511037897496</v>
      </c>
      <c r="P18" s="10">
        <v>5.0859632321528299</v>
      </c>
      <c r="R18" s="8">
        <v>140.109687909407</v>
      </c>
      <c r="S18" s="8">
        <v>140.11780556432799</v>
      </c>
      <c r="U18" s="9">
        <v>-2.8767669850106499E-4</v>
      </c>
      <c r="V18" s="9">
        <v>-2.29740520840981E-4</v>
      </c>
      <c r="X18" s="10">
        <v>5.0871143375680496</v>
      </c>
      <c r="Y18" s="10">
        <v>5.0846599588316304</v>
      </c>
      <c r="Z18" s="10">
        <v>5.0859632321528299</v>
      </c>
      <c r="AB18" s="8">
        <v>140.08238186581099</v>
      </c>
      <c r="AC18" s="8">
        <v>140.11780556432799</v>
      </c>
      <c r="AE18" s="9">
        <v>-4.8258616688499998E-4</v>
      </c>
      <c r="AF18" s="9">
        <v>-2.29740520840981E-4</v>
      </c>
    </row>
    <row r="19" spans="1:77" x14ac:dyDescent="0.3">
      <c r="A19" s="1">
        <v>46050</v>
      </c>
      <c r="B19" s="8">
        <v>27.72</v>
      </c>
      <c r="C19" s="8">
        <v>141.06</v>
      </c>
      <c r="D19" s="9">
        <v>6.1516387227789496E-3</v>
      </c>
      <c r="E19" s="9">
        <v>6.4720541692357197E-3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27.72</v>
      </c>
      <c r="M19" s="8">
        <v>141.06</v>
      </c>
      <c r="N19" s="10">
        <v>5.0887445887445804</v>
      </c>
      <c r="O19" s="10">
        <v>5.0856511037897496</v>
      </c>
      <c r="P19" s="10">
        <v>5.08631234540516</v>
      </c>
      <c r="R19" s="8">
        <v>140.974248597051</v>
      </c>
      <c r="S19" s="8">
        <v>140.98290079527601</v>
      </c>
      <c r="U19" s="9">
        <v>-6.08092144957946E-4</v>
      </c>
      <c r="V19" s="9">
        <v>-5.4671971126798102E-4</v>
      </c>
      <c r="X19" s="10">
        <v>5.0887445887445804</v>
      </c>
      <c r="Y19" s="10">
        <v>5.0846599588316304</v>
      </c>
      <c r="Z19" s="10">
        <v>5.08631234540516</v>
      </c>
      <c r="AB19" s="8">
        <v>140.946774058812</v>
      </c>
      <c r="AC19" s="8">
        <v>140.98290079527601</v>
      </c>
      <c r="AE19" s="9">
        <v>-8.0300161334175804E-4</v>
      </c>
      <c r="AF19" s="9">
        <v>-5.4671971126798102E-4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28.03</v>
      </c>
      <c r="C20" s="8">
        <v>142.63999999999999</v>
      </c>
      <c r="D20" s="9">
        <v>1.1121190854994399E-2</v>
      </c>
      <c r="E20" s="9">
        <v>1.1138641774851601E-2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28.03</v>
      </c>
      <c r="M20" s="8">
        <v>142.63999999999999</v>
      </c>
      <c r="N20" s="10">
        <v>5.0888333927934299</v>
      </c>
      <c r="O20" s="10">
        <v>5.0856511037897496</v>
      </c>
      <c r="P20" s="10">
        <v>5.08674339317436</v>
      </c>
      <c r="R20" s="8">
        <v>142.55080043922601</v>
      </c>
      <c r="S20" s="8">
        <v>142.56933504170601</v>
      </c>
      <c r="U20" s="9">
        <v>-6.2554306481511996E-4</v>
      </c>
      <c r="V20" s="9">
        <v>-4.9553048275043695E-4</v>
      </c>
      <c r="X20" s="10">
        <v>5.0888333927934299</v>
      </c>
      <c r="Y20" s="10">
        <v>5.0846599588316304</v>
      </c>
      <c r="Z20" s="10">
        <v>5.08674339317436</v>
      </c>
      <c r="AB20" s="8">
        <v>142.52301864604999</v>
      </c>
      <c r="AC20" s="8">
        <v>142.56933504170601</v>
      </c>
      <c r="AE20" s="9">
        <v>-8.2045253319912705E-4</v>
      </c>
      <c r="AF20" s="9">
        <v>-4.9553048275043695E-4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FENY log rtn</v>
      </c>
      <c r="BH20" s="6" t="str">
        <f>E1</f>
        <v>VDE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FENY log rtn</v>
      </c>
      <c r="BT20" s="7" t="str">
        <f>E1</f>
        <v>VDE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28.28</v>
      </c>
      <c r="C21" s="8">
        <v>143.79</v>
      </c>
      <c r="D21" s="9">
        <v>8.8794758516750893E-3</v>
      </c>
      <c r="E21" s="9">
        <v>8.02992828476457E-3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28.28</v>
      </c>
      <c r="M21" s="8">
        <v>143.79</v>
      </c>
      <c r="N21" s="10">
        <v>5.0845120226308298</v>
      </c>
      <c r="O21" s="10">
        <v>5.0856511037897496</v>
      </c>
      <c r="P21" s="10">
        <v>5.0867476257404798</v>
      </c>
      <c r="Q21" s="10">
        <v>5.0859093075714403</v>
      </c>
      <c r="R21" s="8">
        <v>143.822213215174</v>
      </c>
      <c r="S21" s="8">
        <v>143.85310315897101</v>
      </c>
      <c r="U21" s="9">
        <v>2.24004502095247E-4</v>
      </c>
      <c r="V21" s="9">
        <v>4.3876011133572401E-4</v>
      </c>
      <c r="X21" s="10">
        <v>5.0845120226308298</v>
      </c>
      <c r="Y21" s="10">
        <v>5.0846599588316304</v>
      </c>
      <c r="Z21" s="10">
        <v>5.0867476257404798</v>
      </c>
      <c r="AA21" s="10">
        <v>5.0859093075714403</v>
      </c>
      <c r="AB21" s="8">
        <v>143.794183635758</v>
      </c>
      <c r="AC21" s="8">
        <v>143.85310315897101</v>
      </c>
      <c r="AE21" s="9">
        <v>2.9095033711337699E-5</v>
      </c>
      <c r="AF21" s="9">
        <v>4.3876011133572401E-4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27.74</v>
      </c>
      <c r="C22" s="8">
        <v>141.13</v>
      </c>
      <c r="D22" s="9">
        <v>-1.9279426141686502E-2</v>
      </c>
      <c r="E22" s="9">
        <v>-1.8672450413733901E-2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27.74</v>
      </c>
      <c r="M22" s="8">
        <v>141.13</v>
      </c>
      <c r="N22" s="10">
        <v>5.0875991348233596</v>
      </c>
      <c r="O22" s="10">
        <v>5.0856511037897496</v>
      </c>
      <c r="P22" s="10">
        <v>5.0869317930951201</v>
      </c>
      <c r="Q22" s="10">
        <v>5.0860204896090497</v>
      </c>
      <c r="R22" s="8">
        <v>141.07596161912701</v>
      </c>
      <c r="S22" s="8">
        <v>141.10637913804101</v>
      </c>
      <c r="T22" s="8">
        <v>141.08312419203099</v>
      </c>
      <c r="U22" s="9">
        <v>-3.8297122585734201E-4</v>
      </c>
      <c r="V22" s="9">
        <v>-1.6738353918968501E-4</v>
      </c>
      <c r="W22" s="9">
        <v>-3.3220147740022998E-4</v>
      </c>
      <c r="X22" s="10">
        <v>5.0875991348233596</v>
      </c>
      <c r="Y22" s="10">
        <v>5.0846599588316304</v>
      </c>
      <c r="Z22" s="10">
        <v>5.0869317930951201</v>
      </c>
      <c r="AA22" s="10">
        <v>5.0860204896090497</v>
      </c>
      <c r="AB22" s="8">
        <v>141.04846725798899</v>
      </c>
      <c r="AC22" s="8">
        <v>141.10637913804101</v>
      </c>
      <c r="AD22" s="8">
        <v>141.08312419203099</v>
      </c>
      <c r="AE22" s="9">
        <v>-5.77880694241228E-4</v>
      </c>
      <c r="AF22" s="9">
        <v>-1.6738353918968501E-4</v>
      </c>
      <c r="AG22" s="9">
        <v>-3.3220147740022998E-4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28.59</v>
      </c>
      <c r="C23" s="8">
        <v>145.49</v>
      </c>
      <c r="D23" s="9">
        <v>3.0181591447534802E-2</v>
      </c>
      <c r="E23" s="9">
        <v>3.0425904301381701E-2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28.59</v>
      </c>
      <c r="M23" s="8">
        <v>145.49</v>
      </c>
      <c r="N23" s="10">
        <v>5.0888422525358497</v>
      </c>
      <c r="O23" s="10">
        <v>5.0856511037897496</v>
      </c>
      <c r="P23" s="10">
        <v>5.0874826850153703</v>
      </c>
      <c r="Q23" s="10">
        <v>5.0863506331238799</v>
      </c>
      <c r="R23" s="8">
        <v>145.39876505734799</v>
      </c>
      <c r="S23" s="8">
        <v>145.435379964589</v>
      </c>
      <c r="T23" s="8">
        <v>145.40932579792201</v>
      </c>
      <c r="U23" s="9">
        <v>-6.2728407970433404E-4</v>
      </c>
      <c r="V23" s="9">
        <v>-3.7549172271411602E-4</v>
      </c>
      <c r="W23" s="9">
        <v>-5.54653771878E-4</v>
      </c>
      <c r="X23" s="10">
        <v>5.0888422525358497</v>
      </c>
      <c r="Y23" s="10">
        <v>5.0846599588316304</v>
      </c>
      <c r="Z23" s="10">
        <v>5.0874826850153703</v>
      </c>
      <c r="AA23" s="10">
        <v>5.0863506331238799</v>
      </c>
      <c r="AB23" s="8">
        <v>145.370428222996</v>
      </c>
      <c r="AC23" s="8">
        <v>145.435379964589</v>
      </c>
      <c r="AD23" s="8">
        <v>145.40932579792201</v>
      </c>
      <c r="AE23" s="9">
        <v>-8.2219354808810499E-4</v>
      </c>
      <c r="AF23" s="9">
        <v>-3.7549172271411602E-4</v>
      </c>
      <c r="AG23" s="9">
        <v>-5.54653771878E-4</v>
      </c>
      <c r="AZ23" s="9"/>
      <c r="BB23">
        <f t="shared" ref="BB23:BB86" si="2">IF($AG23&lt;BA$20,1,0)</f>
        <v>0</v>
      </c>
      <c r="BC23">
        <f t="shared" ref="BC23:BC86" si="3">IF($AG23&gt;BA$21,1,0)</f>
        <v>0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29.18</v>
      </c>
      <c r="C24" s="8">
        <v>148.4</v>
      </c>
      <c r="D24" s="9">
        <v>2.0426536760419101E-2</v>
      </c>
      <c r="E24" s="9">
        <v>1.9803975005982698E-2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29.18</v>
      </c>
      <c r="M24" s="8">
        <v>148.4</v>
      </c>
      <c r="N24" s="10">
        <v>5.0856751199451598</v>
      </c>
      <c r="O24" s="10">
        <v>5.0856511037897496</v>
      </c>
      <c r="P24" s="10">
        <v>5.0874428826397402</v>
      </c>
      <c r="Q24" s="10">
        <v>5.08641823710213</v>
      </c>
      <c r="R24" s="8">
        <v>148.39929920858401</v>
      </c>
      <c r="S24" s="8">
        <v>148.45274474874799</v>
      </c>
      <c r="T24" s="8">
        <v>148.41971147455399</v>
      </c>
      <c r="U24" s="9">
        <v>-4.7223252677937596E-6</v>
      </c>
      <c r="V24" s="9">
        <v>3.5535968750068298E-4</v>
      </c>
      <c r="W24" s="9">
        <v>1.32817827265765E-4</v>
      </c>
      <c r="X24" s="10">
        <v>5.0856751199451598</v>
      </c>
      <c r="Y24" s="10">
        <v>5.0846599588316304</v>
      </c>
      <c r="Z24" s="10">
        <v>5.0874428826397402</v>
      </c>
      <c r="AA24" s="10">
        <v>5.08641823710213</v>
      </c>
      <c r="AB24" s="8">
        <v>148.37037759870699</v>
      </c>
      <c r="AC24" s="8">
        <v>148.45274474874799</v>
      </c>
      <c r="AD24" s="8">
        <v>148.41971147455399</v>
      </c>
      <c r="AE24" s="9">
        <v>-1.9963179365171E-4</v>
      </c>
      <c r="AF24" s="9">
        <v>3.5535968750068298E-4</v>
      </c>
      <c r="AG24" s="9">
        <v>1.32817827265765E-4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28.82</v>
      </c>
      <c r="C25" s="8">
        <v>146.58000000000001</v>
      </c>
      <c r="D25" s="9">
        <v>-1.2413952523263499E-2</v>
      </c>
      <c r="E25" s="9">
        <v>-1.23399762355759E-2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28.82</v>
      </c>
      <c r="M25" s="8">
        <v>146.58000000000001</v>
      </c>
      <c r="N25" s="10">
        <v>5.08605135322692</v>
      </c>
      <c r="O25" s="10">
        <v>5.0856511037897496</v>
      </c>
      <c r="P25" s="10">
        <v>5.0872722067529903</v>
      </c>
      <c r="Q25" s="10">
        <v>5.0864190840752004</v>
      </c>
      <c r="R25" s="8">
        <v>146.56846481122</v>
      </c>
      <c r="S25" s="8">
        <v>146.620103877677</v>
      </c>
      <c r="T25" s="8">
        <v>146.59057359328301</v>
      </c>
      <c r="U25" s="9">
        <v>-7.8698612955292206E-5</v>
      </c>
      <c r="V25" s="9">
        <v>2.73559779803208E-4</v>
      </c>
      <c r="W25" s="9">
        <v>7.2132705261628198E-5</v>
      </c>
      <c r="X25" s="10">
        <v>5.08605135322692</v>
      </c>
      <c r="Y25" s="10">
        <v>5.0846599588316304</v>
      </c>
      <c r="Z25" s="10">
        <v>5.0872722067529903</v>
      </c>
      <c r="AA25" s="10">
        <v>5.0864190840752004</v>
      </c>
      <c r="AB25" s="8">
        <v>146.53990001352699</v>
      </c>
      <c r="AC25" s="8">
        <v>146.620103877677</v>
      </c>
      <c r="AD25" s="8">
        <v>146.59057359328301</v>
      </c>
      <c r="AE25" s="9">
        <v>-2.7360808133929001E-4</v>
      </c>
      <c r="AF25" s="9">
        <v>2.73559779803208E-4</v>
      </c>
      <c r="AG25" s="9">
        <v>7.2132705261628198E-5</v>
      </c>
      <c r="AZ25" s="9"/>
      <c r="BB25">
        <f t="shared" si="2"/>
        <v>0</v>
      </c>
      <c r="BC25">
        <f t="shared" si="3"/>
        <v>1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0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29.46</v>
      </c>
      <c r="C26" s="8">
        <v>149.88999999999999</v>
      </c>
      <c r="D26" s="9">
        <v>2.1963820463108099E-2</v>
      </c>
      <c r="E26" s="9">
        <v>2.23303372448002E-2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29.46</v>
      </c>
      <c r="M26" s="8">
        <v>149.88999999999999</v>
      </c>
      <c r="N26" s="10">
        <v>5.0879158180583799</v>
      </c>
      <c r="O26" s="10">
        <v>5.0856511037897496</v>
      </c>
      <c r="P26" s="10">
        <v>5.08710966011847</v>
      </c>
      <c r="Q26" s="10">
        <v>5.0865008446633198</v>
      </c>
      <c r="R26" s="8">
        <v>149.823281517646</v>
      </c>
      <c r="S26" s="8">
        <v>149.871039210943</v>
      </c>
      <c r="T26" s="8">
        <v>149.84590621685501</v>
      </c>
      <c r="U26" s="9">
        <v>-4.4521539464735798E-4</v>
      </c>
      <c r="V26" s="9">
        <v>-1.2650602714664401E-4</v>
      </c>
      <c r="W26" s="9">
        <v>-2.9421755984434302E-4</v>
      </c>
      <c r="X26" s="10">
        <v>5.0879158180583799</v>
      </c>
      <c r="Y26" s="10">
        <v>5.0846599588316304</v>
      </c>
      <c r="Z26" s="10">
        <v>5.08710966011847</v>
      </c>
      <c r="AA26" s="10">
        <v>5.0865008446633198</v>
      </c>
      <c r="AB26" s="8">
        <v>149.794082387179</v>
      </c>
      <c r="AC26" s="8">
        <v>149.871039210943</v>
      </c>
      <c r="AD26" s="8">
        <v>149.84590621685501</v>
      </c>
      <c r="AE26" s="9">
        <v>-6.4012486303122596E-4</v>
      </c>
      <c r="AF26" s="9">
        <v>-1.2650602714664401E-4</v>
      </c>
      <c r="AG26" s="9">
        <v>-2.9421755984434302E-4</v>
      </c>
      <c r="AZ26" s="9"/>
      <c r="BB26">
        <f t="shared" si="2"/>
        <v>0</v>
      </c>
      <c r="BC26">
        <f t="shared" si="3"/>
        <v>0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29.73</v>
      </c>
      <c r="C27" s="8">
        <v>151.26</v>
      </c>
      <c r="D27" s="9">
        <v>9.1232259755221895E-3</v>
      </c>
      <c r="E27" s="9">
        <v>9.0985186853790104E-3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29.73</v>
      </c>
      <c r="M27" s="8">
        <v>151.26</v>
      </c>
      <c r="N27" s="10">
        <v>5.0877901109989896</v>
      </c>
      <c r="O27" s="10">
        <v>5.0856511037897496</v>
      </c>
      <c r="P27" s="10">
        <v>5.0873078131325498</v>
      </c>
      <c r="Q27" s="10">
        <v>5.0866267843217896</v>
      </c>
      <c r="R27" s="8">
        <v>151.19640731566901</v>
      </c>
      <c r="S27" s="8">
        <v>151.239770195322</v>
      </c>
      <c r="T27" s="8">
        <v>151.22167011184001</v>
      </c>
      <c r="U27" s="9">
        <v>-4.2050810450433899E-4</v>
      </c>
      <c r="V27" s="9">
        <v>-1.3375087653770499E-4</v>
      </c>
      <c r="W27" s="9">
        <v>-2.5343610639599201E-4</v>
      </c>
      <c r="X27" s="10">
        <v>5.0877901109989896</v>
      </c>
      <c r="Y27" s="10">
        <v>5.0846599588316304</v>
      </c>
      <c r="Z27" s="10">
        <v>5.0873078131325498</v>
      </c>
      <c r="AA27" s="10">
        <v>5.0866267843217896</v>
      </c>
      <c r="AB27" s="8">
        <v>151.16694057606401</v>
      </c>
      <c r="AC27" s="8">
        <v>151.239770195322</v>
      </c>
      <c r="AD27" s="8">
        <v>151.22167011184001</v>
      </c>
      <c r="AE27" s="9">
        <v>-6.1541757288813195E-4</v>
      </c>
      <c r="AF27" s="9">
        <v>-1.3375087653770499E-4</v>
      </c>
      <c r="AG27" s="9">
        <v>-2.5343610639599201E-4</v>
      </c>
      <c r="AZ27" s="9"/>
      <c r="BB27">
        <f t="shared" si="2"/>
        <v>0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29.66</v>
      </c>
      <c r="C28" s="8">
        <v>150.82</v>
      </c>
      <c r="D28" s="9">
        <v>-2.35730030022033E-3</v>
      </c>
      <c r="E28" s="9">
        <v>-2.9131376533824598E-3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29.66</v>
      </c>
      <c r="M28" s="8">
        <v>150.82</v>
      </c>
      <c r="N28" s="10">
        <v>5.0849629130141603</v>
      </c>
      <c r="O28" s="10">
        <v>5.0856511037897496</v>
      </c>
      <c r="P28" s="10">
        <v>5.08709267067717</v>
      </c>
      <c r="Q28" s="10">
        <v>5.0865279514149897</v>
      </c>
      <c r="R28" s="8">
        <v>150.84041173840399</v>
      </c>
      <c r="S28" s="8">
        <v>150.889549737511</v>
      </c>
      <c r="T28" s="8">
        <v>150.86935042298401</v>
      </c>
      <c r="U28" s="9">
        <v>1.3532924865774799E-4</v>
      </c>
      <c r="V28" s="9">
        <v>4.6103770201616701E-4</v>
      </c>
      <c r="W28" s="9">
        <v>3.2716052691622599E-4</v>
      </c>
      <c r="X28" s="10">
        <v>5.0849629130141603</v>
      </c>
      <c r="Y28" s="10">
        <v>5.0846599588316304</v>
      </c>
      <c r="Z28" s="10">
        <v>5.08709267067717</v>
      </c>
      <c r="AA28" s="10">
        <v>5.0865279514149897</v>
      </c>
      <c r="AB28" s="8">
        <v>150.811014378946</v>
      </c>
      <c r="AC28" s="8">
        <v>150.889549737511</v>
      </c>
      <c r="AD28" s="8">
        <v>150.86935042298401</v>
      </c>
      <c r="AE28" s="9">
        <v>-5.9580219726084402E-5</v>
      </c>
      <c r="AF28" s="9">
        <v>4.6103770201616701E-4</v>
      </c>
      <c r="AG28" s="9">
        <v>3.2716052691622599E-4</v>
      </c>
      <c r="AZ28" s="9"/>
      <c r="BB28">
        <f t="shared" si="2"/>
        <v>0</v>
      </c>
      <c r="BC28">
        <f t="shared" si="3"/>
        <v>1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0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30.41</v>
      </c>
      <c r="C29" s="8">
        <v>154.69</v>
      </c>
      <c r="D29" s="9">
        <v>2.4972164979487201E-2</v>
      </c>
      <c r="E29" s="9">
        <v>2.5336041474072701E-2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30.41</v>
      </c>
      <c r="M29" s="8">
        <v>154.69</v>
      </c>
      <c r="N29" s="10">
        <v>5.0868135481749404</v>
      </c>
      <c r="O29" s="10">
        <v>5.0856511037897496</v>
      </c>
      <c r="P29" s="10">
        <v>5.0868995666202004</v>
      </c>
      <c r="Q29" s="10">
        <v>5.0866059560126802</v>
      </c>
      <c r="R29" s="8">
        <v>154.65465006624601</v>
      </c>
      <c r="S29" s="8">
        <v>154.69848811529201</v>
      </c>
      <c r="T29" s="8">
        <v>154.68131500253</v>
      </c>
      <c r="U29" s="9">
        <v>-2.2854724592752499E-4</v>
      </c>
      <c r="V29" s="9">
        <v>5.4870272301322802E-5</v>
      </c>
      <c r="W29" s="9">
        <v>-5.6146106965769298E-5</v>
      </c>
      <c r="X29" s="10">
        <v>5.0868135481749404</v>
      </c>
      <c r="Y29" s="10">
        <v>5.0846599588316304</v>
      </c>
      <c r="Z29" s="10">
        <v>5.0868995666202004</v>
      </c>
      <c r="AA29" s="10">
        <v>5.0866059560126802</v>
      </c>
      <c r="AB29" s="8">
        <v>154.62450934806901</v>
      </c>
      <c r="AC29" s="8">
        <v>154.69848811529201</v>
      </c>
      <c r="AD29" s="8">
        <v>154.68131500253</v>
      </c>
      <c r="AE29" s="9">
        <v>-4.2345671431151001E-4</v>
      </c>
      <c r="AF29" s="9">
        <v>5.4870272301322802E-5</v>
      </c>
      <c r="AG29" s="9">
        <v>-5.6146106965769298E-5</v>
      </c>
      <c r="AZ29" s="9"/>
      <c r="BB29">
        <f t="shared" si="2"/>
        <v>0</v>
      </c>
      <c r="BC29">
        <f t="shared" si="3"/>
        <v>0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29.81</v>
      </c>
      <c r="C30" s="8">
        <v>151.59</v>
      </c>
      <c r="D30" s="9">
        <v>-1.9927593999293201E-2</v>
      </c>
      <c r="E30" s="9">
        <v>-2.0243606276646502E-2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29.81</v>
      </c>
      <c r="M30" s="8">
        <v>151.59</v>
      </c>
      <c r="N30" s="10">
        <v>5.0852063066085202</v>
      </c>
      <c r="O30" s="10">
        <v>5.0856511037897496</v>
      </c>
      <c r="P30" s="10">
        <v>5.0865368580017103</v>
      </c>
      <c r="Q30" s="10">
        <v>5.0866401255880396</v>
      </c>
      <c r="R30" s="8">
        <v>151.603259403972</v>
      </c>
      <c r="S30" s="8">
        <v>151.64047608094799</v>
      </c>
      <c r="T30" s="8">
        <v>151.63172354873799</v>
      </c>
      <c r="U30" s="9">
        <v>8.7465031425884305E-5</v>
      </c>
      <c r="V30" s="9">
        <v>3.32922218550858E-4</v>
      </c>
      <c r="W30" s="9">
        <v>2.7520158195266898E-4</v>
      </c>
      <c r="X30" s="10">
        <v>5.0852063066085202</v>
      </c>
      <c r="Y30" s="10">
        <v>5.0846599588316304</v>
      </c>
      <c r="Z30" s="10">
        <v>5.0865368580017103</v>
      </c>
      <c r="AA30" s="10">
        <v>5.0866401255880396</v>
      </c>
      <c r="AB30" s="8">
        <v>151.57371337276999</v>
      </c>
      <c r="AC30" s="8">
        <v>151.64047608094799</v>
      </c>
      <c r="AD30" s="8">
        <v>151.63172354873799</v>
      </c>
      <c r="AE30" s="9">
        <v>-1.07444436957966E-4</v>
      </c>
      <c r="AF30" s="9">
        <v>3.32922218550858E-4</v>
      </c>
      <c r="AG30" s="9">
        <v>2.7520158195266898E-4</v>
      </c>
      <c r="AZ30" s="9"/>
      <c r="BB30">
        <f t="shared" si="2"/>
        <v>0</v>
      </c>
      <c r="BC30">
        <f t="shared" si="3"/>
        <v>1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0</v>
      </c>
      <c r="BO30">
        <f t="shared" si="11"/>
        <v>0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30.07</v>
      </c>
      <c r="C31" s="8">
        <v>152.94999999999999</v>
      </c>
      <c r="D31" s="9">
        <v>8.6840893104576794E-3</v>
      </c>
      <c r="E31" s="9">
        <v>8.9315626249854303E-3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30.07</v>
      </c>
      <c r="M31" s="8">
        <v>152.94999999999999</v>
      </c>
      <c r="N31" s="10">
        <v>5.0864649151978698</v>
      </c>
      <c r="O31" s="10">
        <v>5.0856511037897496</v>
      </c>
      <c r="P31" s="10">
        <v>5.0867321472584104</v>
      </c>
      <c r="Q31" s="10">
        <v>5.0867398864994504</v>
      </c>
      <c r="R31" s="8">
        <v>152.92552869095701</v>
      </c>
      <c r="S31" s="8">
        <v>152.952163320111</v>
      </c>
      <c r="T31" s="8">
        <v>152.95526857643199</v>
      </c>
      <c r="U31" s="9">
        <v>-1.6000828310195901E-4</v>
      </c>
      <c r="V31" s="9">
        <v>1.4143869321411601E-5</v>
      </c>
      <c r="W31" s="9">
        <v>3.4445803810327699E-5</v>
      </c>
      <c r="X31" s="10">
        <v>5.0864649151978698</v>
      </c>
      <c r="Y31" s="10">
        <v>5.0846599588316304</v>
      </c>
      <c r="Z31" s="10">
        <v>5.0867321472584104</v>
      </c>
      <c r="AA31" s="10">
        <v>5.0867398864994504</v>
      </c>
      <c r="AB31" s="8">
        <v>152.89572496206699</v>
      </c>
      <c r="AC31" s="8">
        <v>152.952163320111</v>
      </c>
      <c r="AD31" s="8">
        <v>152.95526857643199</v>
      </c>
      <c r="AE31" s="9">
        <v>-3.5491775148576397E-4</v>
      </c>
      <c r="AF31" s="9">
        <v>1.4143869321411601E-5</v>
      </c>
      <c r="AG31" s="9">
        <v>3.4445803810327699E-5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0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0</v>
      </c>
    </row>
    <row r="32" spans="1:77" x14ac:dyDescent="0.3">
      <c r="A32" s="1">
        <v>46070</v>
      </c>
      <c r="B32" s="8">
        <v>29.73</v>
      </c>
      <c r="C32" s="8">
        <v>151.13999999999999</v>
      </c>
      <c r="D32" s="9">
        <v>-1.1371359990431399E-2</v>
      </c>
      <c r="E32" s="9">
        <v>-1.19045110043386E-2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29.73</v>
      </c>
      <c r="M32" s="8">
        <v>151.13999999999999</v>
      </c>
      <c r="N32" s="10">
        <v>5.0837537840565004</v>
      </c>
      <c r="O32" s="10">
        <v>5.0856511037897496</v>
      </c>
      <c r="P32" s="10">
        <v>5.0863476121817301</v>
      </c>
      <c r="Q32" s="10">
        <v>5.08663970263843</v>
      </c>
      <c r="R32" s="8">
        <v>151.19640731566901</v>
      </c>
      <c r="S32" s="8">
        <v>151.22854673799199</v>
      </c>
      <c r="T32" s="8">
        <v>151.22877682562799</v>
      </c>
      <c r="U32" s="9">
        <v>3.7314273080528898E-4</v>
      </c>
      <c r="V32" s="9">
        <v>5.8568750936048304E-4</v>
      </c>
      <c r="W32" s="9">
        <v>5.8720896457394999E-4</v>
      </c>
      <c r="X32" s="10">
        <v>5.0837537840565004</v>
      </c>
      <c r="Y32" s="10">
        <v>5.0846599588316304</v>
      </c>
      <c r="Z32" s="10">
        <v>5.0863476121817301</v>
      </c>
      <c r="AA32" s="10">
        <v>5.08663970263843</v>
      </c>
      <c r="AB32" s="8">
        <v>151.16694057606401</v>
      </c>
      <c r="AC32" s="8">
        <v>151.22854673799199</v>
      </c>
      <c r="AD32" s="8">
        <v>151.22877682562799</v>
      </c>
      <c r="AE32" s="9">
        <v>1.7823326242149401E-4</v>
      </c>
      <c r="AF32" s="9">
        <v>5.8568750936048304E-4</v>
      </c>
      <c r="AG32" s="9">
        <v>5.8720896457394999E-4</v>
      </c>
      <c r="AZ32" s="9"/>
      <c r="BB32">
        <f t="shared" si="2"/>
        <v>0</v>
      </c>
      <c r="BC32">
        <f t="shared" si="3"/>
        <v>1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0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0</v>
      </c>
    </row>
    <row r="33" spans="1:77" x14ac:dyDescent="0.3">
      <c r="A33" s="1">
        <v>46071</v>
      </c>
      <c r="B33" s="8">
        <v>30.3</v>
      </c>
      <c r="C33" s="8">
        <v>154.11000000000001</v>
      </c>
      <c r="D33" s="9">
        <v>1.8991075505317201E-2</v>
      </c>
      <c r="E33" s="9">
        <v>1.9460073554712499E-2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30.3</v>
      </c>
      <c r="M33" s="8">
        <v>154.11000000000001</v>
      </c>
      <c r="N33" s="10">
        <v>5.0861386138613804</v>
      </c>
      <c r="O33" s="10">
        <v>5.0856511037897496</v>
      </c>
      <c r="P33" s="10">
        <v>5.0860772483142798</v>
      </c>
      <c r="Q33" s="10">
        <v>5.0867799666648299</v>
      </c>
      <c r="R33" s="8">
        <v>154.09522844482899</v>
      </c>
      <c r="S33" s="8">
        <v>154.116332649106</v>
      </c>
      <c r="T33" s="8">
        <v>154.12518298994399</v>
      </c>
      <c r="U33" s="9">
        <v>-9.5855318590084404E-5</v>
      </c>
      <c r="V33" s="9">
        <v>4.1090902603598201E-5</v>
      </c>
      <c r="W33" s="9">
        <v>9.8515619206212198E-5</v>
      </c>
      <c r="X33" s="10">
        <v>5.0861386138613804</v>
      </c>
      <c r="Y33" s="10">
        <v>5.0846599588316304</v>
      </c>
      <c r="Z33" s="10">
        <v>5.0860772483142798</v>
      </c>
      <c r="AA33" s="10">
        <v>5.0867799666648299</v>
      </c>
      <c r="AB33" s="8">
        <v>154.06519675259801</v>
      </c>
      <c r="AC33" s="8">
        <v>154.116332649106</v>
      </c>
      <c r="AD33" s="8">
        <v>154.12518298994399</v>
      </c>
      <c r="AE33" s="9">
        <v>-2.9076478697387501E-4</v>
      </c>
      <c r="AF33" s="9">
        <v>4.1090902603598201E-5</v>
      </c>
      <c r="AG33" s="9">
        <v>9.8515619206212198E-5</v>
      </c>
      <c r="AZ33" s="9"/>
      <c r="BB33">
        <f t="shared" si="2"/>
        <v>0</v>
      </c>
      <c r="BC33">
        <f t="shared" si="3"/>
        <v>1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0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0</v>
      </c>
    </row>
    <row r="34" spans="1:77" x14ac:dyDescent="0.3">
      <c r="A34" s="1">
        <v>46072</v>
      </c>
      <c r="B34" s="8">
        <v>30.56</v>
      </c>
      <c r="C34" s="8">
        <v>155.41</v>
      </c>
      <c r="D34" s="9">
        <v>8.5442517829961394E-3</v>
      </c>
      <c r="E34" s="9">
        <v>8.4001527802342307E-3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30.56</v>
      </c>
      <c r="M34" s="8">
        <v>155.41</v>
      </c>
      <c r="N34" s="10">
        <v>5.0854057591622999</v>
      </c>
      <c r="O34" s="10">
        <v>5.0856511037897496</v>
      </c>
      <c r="P34" s="10">
        <v>5.0860503122359901</v>
      </c>
      <c r="Q34" s="10">
        <v>5.0867465974378696</v>
      </c>
      <c r="R34" s="8">
        <v>155.417497731814</v>
      </c>
      <c r="S34" s="8">
        <v>155.43052070848401</v>
      </c>
      <c r="T34" s="8">
        <v>155.45199578127699</v>
      </c>
      <c r="U34" s="9">
        <v>4.8243684171854802E-5</v>
      </c>
      <c r="V34" s="9">
        <v>1.32033677382768E-4</v>
      </c>
      <c r="W34" s="9">
        <v>2.7018922932159697E-4</v>
      </c>
      <c r="X34" s="10">
        <v>5.0854057591622999</v>
      </c>
      <c r="Y34" s="10">
        <v>5.0846599588316304</v>
      </c>
      <c r="Z34" s="10">
        <v>5.0860503122359901</v>
      </c>
      <c r="AA34" s="10">
        <v>5.0867465974378696</v>
      </c>
      <c r="AB34" s="8">
        <v>155.387208341894</v>
      </c>
      <c r="AC34" s="8">
        <v>155.43052070848401</v>
      </c>
      <c r="AD34" s="8">
        <v>155.45199578127699</v>
      </c>
      <c r="AE34" s="9">
        <v>-1.4666578421199E-4</v>
      </c>
      <c r="AF34" s="9">
        <v>1.32033677382768E-4</v>
      </c>
      <c r="AG34" s="9">
        <v>2.7018922932159697E-4</v>
      </c>
      <c r="AZ34" s="9"/>
      <c r="BB34">
        <f t="shared" si="2"/>
        <v>0</v>
      </c>
      <c r="BC34">
        <f t="shared" si="3"/>
        <v>1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0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0</v>
      </c>
    </row>
    <row r="35" spans="1:77" x14ac:dyDescent="0.3">
      <c r="A35" s="1">
        <v>46073</v>
      </c>
      <c r="B35" s="8">
        <v>30.42</v>
      </c>
      <c r="C35" s="8">
        <v>154.75</v>
      </c>
      <c r="D35" s="9">
        <v>-4.5916774671728696E-3</v>
      </c>
      <c r="E35" s="9">
        <v>-4.2558743628150998E-3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30.42</v>
      </c>
      <c r="M35" s="8">
        <v>154.75</v>
      </c>
      <c r="N35" s="10">
        <v>5.0871137409598903</v>
      </c>
      <c r="O35" s="10">
        <v>5.0856511037897496</v>
      </c>
      <c r="P35" s="10">
        <v>5.0861565510092897</v>
      </c>
      <c r="Q35" s="10">
        <v>5.0867143788811404</v>
      </c>
      <c r="R35" s="8">
        <v>154.70550657728401</v>
      </c>
      <c r="S35" s="8">
        <v>154.717650498219</v>
      </c>
      <c r="T35" s="8">
        <v>154.73883149406001</v>
      </c>
      <c r="U35" s="9">
        <v>-2.8755942018596101E-4</v>
      </c>
      <c r="V35" s="9">
        <v>-2.09065482913373E-4</v>
      </c>
      <c r="W35" s="9">
        <v>-7.2173886798037199E-5</v>
      </c>
      <c r="X35" s="10">
        <v>5.0871137409598903</v>
      </c>
      <c r="Y35" s="10">
        <v>5.0846599588316304</v>
      </c>
      <c r="Z35" s="10">
        <v>5.0861565510092897</v>
      </c>
      <c r="AA35" s="10">
        <v>5.0867143788811404</v>
      </c>
      <c r="AB35" s="8">
        <v>154.67535594765801</v>
      </c>
      <c r="AC35" s="8">
        <v>154.717650498219</v>
      </c>
      <c r="AD35" s="8">
        <v>154.73883149406001</v>
      </c>
      <c r="AE35" s="9">
        <v>-4.8246888856976399E-4</v>
      </c>
      <c r="AF35" s="9">
        <v>-2.09065482913373E-4</v>
      </c>
      <c r="AG35" s="9">
        <v>-7.2173886798037199E-5</v>
      </c>
      <c r="AZ35" s="9"/>
      <c r="BB35">
        <f t="shared" si="2"/>
        <v>0</v>
      </c>
      <c r="BC35">
        <f t="shared" si="3"/>
        <v>0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1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0</v>
      </c>
    </row>
    <row r="36" spans="1:77" x14ac:dyDescent="0.3">
      <c r="A36" s="1">
        <v>46076</v>
      </c>
      <c r="B36" s="8">
        <v>30.51</v>
      </c>
      <c r="C36" s="8">
        <v>155.18</v>
      </c>
      <c r="D36" s="9">
        <v>2.9542118974313801E-3</v>
      </c>
      <c r="E36" s="9">
        <v>2.7748219010977999E-3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30.51</v>
      </c>
      <c r="M36" s="8">
        <v>155.18</v>
      </c>
      <c r="N36" s="10">
        <v>5.0862012454932799</v>
      </c>
      <c r="O36" s="10">
        <v>5.0856511037897496</v>
      </c>
      <c r="P36" s="10">
        <v>5.0859850937527797</v>
      </c>
      <c r="Q36" s="10">
        <v>5.08654737693562</v>
      </c>
      <c r="R36" s="8">
        <v>155.16321517662499</v>
      </c>
      <c r="S36" s="8">
        <v>155.17863637129301</v>
      </c>
      <c r="T36" s="8">
        <v>155.19565569966301</v>
      </c>
      <c r="U36" s="9">
        <v>-1.08169423852177E-4</v>
      </c>
      <c r="V36" s="9">
        <v>-8.7874384443216193E-6</v>
      </c>
      <c r="W36" s="9">
        <v>1.008822656648E-4</v>
      </c>
      <c r="X36" s="10">
        <v>5.0862012454932799</v>
      </c>
      <c r="Y36" s="10">
        <v>5.0846599588316304</v>
      </c>
      <c r="Z36" s="10">
        <v>5.0859850937527797</v>
      </c>
      <c r="AA36" s="10">
        <v>5.08654737693562</v>
      </c>
      <c r="AB36" s="8">
        <v>155.13297534395301</v>
      </c>
      <c r="AC36" s="8">
        <v>155.17863637129301</v>
      </c>
      <c r="AD36" s="8">
        <v>155.19565569966301</v>
      </c>
      <c r="AE36" s="9">
        <v>-3.0307889223617597E-4</v>
      </c>
      <c r="AF36" s="9">
        <v>-8.7874384443216193E-6</v>
      </c>
      <c r="AG36" s="9">
        <v>1.008822656648E-4</v>
      </c>
      <c r="AZ36" s="9"/>
      <c r="BB36">
        <f t="shared" si="2"/>
        <v>0</v>
      </c>
      <c r="BC36">
        <f t="shared" si="3"/>
        <v>1</v>
      </c>
      <c r="BD36">
        <f t="shared" si="4"/>
        <v>0</v>
      </c>
      <c r="BE36">
        <f t="shared" si="0"/>
        <v>1</v>
      </c>
      <c r="BF36">
        <f t="shared" si="5"/>
        <v>0</v>
      </c>
      <c r="BG36" s="9">
        <f t="shared" si="6"/>
        <v>0</v>
      </c>
      <c r="BH36" s="9">
        <f t="shared" si="7"/>
        <v>0</v>
      </c>
      <c r="BI36" s="9">
        <f t="shared" si="8"/>
        <v>0</v>
      </c>
      <c r="BJ36" s="12">
        <f t="shared" si="9"/>
        <v>0</v>
      </c>
      <c r="BL36" s="9"/>
      <c r="BN36">
        <f t="shared" si="10"/>
        <v>0</v>
      </c>
      <c r="BO36">
        <f t="shared" si="11"/>
        <v>0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0</v>
      </c>
      <c r="BY36" s="12">
        <f t="shared" si="19"/>
        <v>0</v>
      </c>
    </row>
    <row r="37" spans="1:77" x14ac:dyDescent="0.3">
      <c r="A37" s="1">
        <v>46077</v>
      </c>
      <c r="B37" s="8">
        <v>30.53</v>
      </c>
      <c r="C37" s="8">
        <v>155.22999999999999</v>
      </c>
      <c r="D37" s="9">
        <v>6.5530801820811195E-4</v>
      </c>
      <c r="E37" s="9">
        <v>3.2215457254862402E-4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30.53</v>
      </c>
      <c r="M37" s="8">
        <v>155.22999999999999</v>
      </c>
      <c r="N37" s="10">
        <v>5.0845070422535201</v>
      </c>
      <c r="O37" s="10">
        <v>5.0856511037897496</v>
      </c>
      <c r="P37" s="10">
        <v>5.0856567868782303</v>
      </c>
      <c r="Q37" s="10">
        <v>5.0864823000053896</v>
      </c>
      <c r="R37" s="8">
        <v>155.264928198701</v>
      </c>
      <c r="S37" s="8">
        <v>155.27512491227199</v>
      </c>
      <c r="T37" s="8">
        <v>155.29229141784401</v>
      </c>
      <c r="U37" s="9">
        <v>2.2498402180720701E-4</v>
      </c>
      <c r="V37" s="9">
        <v>2.9065486505574199E-4</v>
      </c>
      <c r="W37" s="9">
        <v>4.0120416731343102E-4</v>
      </c>
      <c r="X37" s="10">
        <v>5.0845070422535201</v>
      </c>
      <c r="Y37" s="10">
        <v>5.0846599588316304</v>
      </c>
      <c r="Z37" s="10">
        <v>5.0856567868782303</v>
      </c>
      <c r="AA37" s="10">
        <v>5.0864823000053896</v>
      </c>
      <c r="AB37" s="8">
        <v>155.234668543129</v>
      </c>
      <c r="AC37" s="8">
        <v>155.27512491227199</v>
      </c>
      <c r="AD37" s="8">
        <v>155.29229141784401</v>
      </c>
      <c r="AE37" s="9">
        <v>3.0074553423513699E-5</v>
      </c>
      <c r="AF37" s="9">
        <v>2.9065486505574199E-4</v>
      </c>
      <c r="AG37" s="9">
        <v>4.0120416731343102E-4</v>
      </c>
      <c r="AZ37" s="9"/>
      <c r="BB37">
        <f t="shared" si="2"/>
        <v>0</v>
      </c>
      <c r="BC37">
        <f t="shared" si="3"/>
        <v>1</v>
      </c>
      <c r="BD37">
        <f t="shared" si="4"/>
        <v>0</v>
      </c>
      <c r="BE37">
        <f t="shared" si="0"/>
        <v>1</v>
      </c>
      <c r="BF37">
        <f t="shared" si="5"/>
        <v>0</v>
      </c>
      <c r="BG37" s="9">
        <f t="shared" si="6"/>
        <v>0</v>
      </c>
      <c r="BH37" s="9">
        <f t="shared" si="7"/>
        <v>0</v>
      </c>
      <c r="BI37" s="9">
        <f t="shared" si="8"/>
        <v>0</v>
      </c>
      <c r="BJ37" s="12">
        <f t="shared" si="9"/>
        <v>0</v>
      </c>
      <c r="BL37" s="9"/>
      <c r="BN37">
        <f t="shared" si="10"/>
        <v>0</v>
      </c>
      <c r="BO37">
        <f t="shared" si="11"/>
        <v>0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0</v>
      </c>
      <c r="BY37" s="12">
        <f t="shared" si="19"/>
        <v>0</v>
      </c>
    </row>
    <row r="38" spans="1:77" x14ac:dyDescent="0.3">
      <c r="A38" s="1">
        <v>46078</v>
      </c>
      <c r="B38" s="8">
        <v>30.38</v>
      </c>
      <c r="C38" s="8">
        <v>154.61000000000001</v>
      </c>
      <c r="D38" s="9">
        <v>-4.9253095791597099E-3</v>
      </c>
      <c r="E38" s="9">
        <v>-4.0020709238485601E-3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30.38</v>
      </c>
      <c r="M38" s="8">
        <v>154.61000000000001</v>
      </c>
      <c r="N38" s="10">
        <v>5.0892034233047996</v>
      </c>
      <c r="O38" s="10">
        <v>5.0856511037897496</v>
      </c>
      <c r="P38" s="10">
        <v>5.0860808379072999</v>
      </c>
      <c r="Q38" s="10">
        <v>5.0865867542922301</v>
      </c>
      <c r="R38" s="8">
        <v>154.50208053313199</v>
      </c>
      <c r="S38" s="8">
        <v>154.50225318535999</v>
      </c>
      <c r="T38" s="8">
        <v>154.527332274164</v>
      </c>
      <c r="U38" s="9">
        <v>-6.9825463350378495E-4</v>
      </c>
      <c r="V38" s="9">
        <v>-6.9713715902584004E-4</v>
      </c>
      <c r="W38" s="9">
        <v>-5.3482849967296598E-4</v>
      </c>
      <c r="X38" s="10">
        <v>5.0892034233047996</v>
      </c>
      <c r="Y38" s="10">
        <v>5.0846599588316304</v>
      </c>
      <c r="Z38" s="10">
        <v>5.0860808379072999</v>
      </c>
      <c r="AA38" s="10">
        <v>5.0865867542922301</v>
      </c>
      <c r="AB38" s="8">
        <v>154.47196954930499</v>
      </c>
      <c r="AC38" s="8">
        <v>154.50225318535999</v>
      </c>
      <c r="AD38" s="8">
        <v>154.527332274164</v>
      </c>
      <c r="AE38" s="9">
        <v>-8.9316410188759298E-4</v>
      </c>
      <c r="AF38" s="9">
        <v>-6.9713715902584004E-4</v>
      </c>
      <c r="AG38" s="9">
        <v>-5.3482849967296598E-4</v>
      </c>
      <c r="AZ38" s="9"/>
      <c r="BB38">
        <f t="shared" si="2"/>
        <v>0</v>
      </c>
      <c r="BC38">
        <f t="shared" si="3"/>
        <v>0</v>
      </c>
      <c r="BD38">
        <f t="shared" si="4"/>
        <v>0</v>
      </c>
      <c r="BE38">
        <f t="shared" si="0"/>
        <v>1</v>
      </c>
      <c r="BF38">
        <f t="shared" si="5"/>
        <v>0</v>
      </c>
      <c r="BG38" s="9">
        <f t="shared" si="6"/>
        <v>0</v>
      </c>
      <c r="BH38" s="9">
        <f t="shared" si="7"/>
        <v>0</v>
      </c>
      <c r="BI38" s="9">
        <f t="shared" si="8"/>
        <v>0</v>
      </c>
      <c r="BJ38" s="12">
        <f t="shared" si="9"/>
        <v>0</v>
      </c>
      <c r="BL38" s="9"/>
      <c r="BN38">
        <f t="shared" si="10"/>
        <v>0</v>
      </c>
      <c r="BO38">
        <f t="shared" si="11"/>
        <v>1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0</v>
      </c>
      <c r="BY38" s="12">
        <f t="shared" si="19"/>
        <v>0</v>
      </c>
    </row>
    <row r="39" spans="1:77" x14ac:dyDescent="0.3">
      <c r="A39" s="1">
        <v>46079</v>
      </c>
      <c r="B39" s="8">
        <v>30.5</v>
      </c>
      <c r="C39" s="8">
        <v>155.19999999999999</v>
      </c>
      <c r="D39" s="9">
        <v>3.9421864457391204E-3</v>
      </c>
      <c r="E39" s="9">
        <v>3.8087906346149E-3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30.5</v>
      </c>
      <c r="M39" s="8">
        <v>155.19999999999999</v>
      </c>
      <c r="N39" s="10">
        <v>5.0885245901639298</v>
      </c>
      <c r="O39" s="10">
        <v>5.0856511037897496</v>
      </c>
      <c r="P39" s="10">
        <v>5.0862519421062</v>
      </c>
      <c r="Q39" s="10">
        <v>5.0865757543632002</v>
      </c>
      <c r="R39" s="8">
        <v>155.11235866558701</v>
      </c>
      <c r="S39" s="8">
        <v>155.125465556172</v>
      </c>
      <c r="T39" s="8">
        <v>155.14089600591299</v>
      </c>
      <c r="U39" s="9">
        <v>-5.6485882237976303E-4</v>
      </c>
      <c r="V39" s="9">
        <v>-4.8036306093600698E-4</v>
      </c>
      <c r="W39" s="9">
        <v>-3.8089723631026101E-4</v>
      </c>
      <c r="X39" s="10">
        <v>5.0885245901639298</v>
      </c>
      <c r="Y39" s="10">
        <v>5.0846599588316304</v>
      </c>
      <c r="Z39" s="10">
        <v>5.0862519421062</v>
      </c>
      <c r="AA39" s="10">
        <v>5.0865757543632002</v>
      </c>
      <c r="AB39" s="8">
        <v>155.08212874436401</v>
      </c>
      <c r="AC39" s="8">
        <v>155.125465556172</v>
      </c>
      <c r="AD39" s="8">
        <v>155.14089600591299</v>
      </c>
      <c r="AE39" s="9">
        <v>-7.5976829076346004E-4</v>
      </c>
      <c r="AF39" s="9">
        <v>-4.8036306093600698E-4</v>
      </c>
      <c r="AG39" s="9">
        <v>-3.8089723631026101E-4</v>
      </c>
      <c r="AZ39" s="9"/>
      <c r="BB39">
        <f t="shared" si="2"/>
        <v>0</v>
      </c>
      <c r="BC39">
        <f t="shared" si="3"/>
        <v>0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0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0</v>
      </c>
    </row>
    <row r="40" spans="1:77" x14ac:dyDescent="0.3">
      <c r="A40" s="1">
        <v>46080</v>
      </c>
      <c r="B40" s="8">
        <v>31</v>
      </c>
      <c r="C40" s="8">
        <v>157.59</v>
      </c>
      <c r="D40" s="9">
        <v>1.6260520871780301E-2</v>
      </c>
      <c r="E40" s="9">
        <v>1.5282115884861501E-2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31</v>
      </c>
      <c r="M40" s="8">
        <v>157.59</v>
      </c>
      <c r="N40" s="10">
        <v>5.0835483870967701</v>
      </c>
      <c r="O40" s="10">
        <v>5.0856511037897496</v>
      </c>
      <c r="P40" s="10">
        <v>5.0860861501550199</v>
      </c>
      <c r="Q40" s="10">
        <v>5.0863115040783704</v>
      </c>
      <c r="R40" s="8">
        <v>157.655184217482</v>
      </c>
      <c r="S40" s="8">
        <v>157.673810205292</v>
      </c>
      <c r="T40" s="8">
        <v>157.68384838525901</v>
      </c>
      <c r="U40" s="9">
        <v>4.1354616453905202E-4</v>
      </c>
      <c r="V40" s="9">
        <v>5.3168301944988498E-4</v>
      </c>
      <c r="W40" s="9">
        <v>5.9534521186555098E-4</v>
      </c>
      <c r="X40" s="10">
        <v>5.0835483870967701</v>
      </c>
      <c r="Y40" s="10">
        <v>5.0846599588316304</v>
      </c>
      <c r="Z40" s="10">
        <v>5.0860861501550199</v>
      </c>
      <c r="AA40" s="10">
        <v>5.0863115040783704</v>
      </c>
      <c r="AB40" s="8">
        <v>157.62445872378001</v>
      </c>
      <c r="AC40" s="8">
        <v>157.673810205292</v>
      </c>
      <c r="AD40" s="8">
        <v>157.68384838525901</v>
      </c>
      <c r="AE40" s="9">
        <v>2.1863669615520599E-4</v>
      </c>
      <c r="AF40" s="9">
        <v>5.3168301944988498E-4</v>
      </c>
      <c r="AG40" s="9">
        <v>5.9534521186555098E-4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0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0</v>
      </c>
    </row>
    <row r="41" spans="1:77" x14ac:dyDescent="0.3">
      <c r="A41" s="1">
        <v>46083</v>
      </c>
      <c r="B41" s="8">
        <v>31.63</v>
      </c>
      <c r="C41" s="8">
        <v>160.88999999999999</v>
      </c>
      <c r="D41" s="9">
        <v>2.0118832832411102E-2</v>
      </c>
      <c r="E41" s="9">
        <v>2.0724178028963501E-2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31.63</v>
      </c>
      <c r="M41" s="8">
        <v>160.88999999999999</v>
      </c>
      <c r="N41" s="10">
        <v>5.0866266202971797</v>
      </c>
      <c r="O41" s="10">
        <v>5.0856511037897496</v>
      </c>
      <c r="P41" s="10">
        <v>5.0861023206649598</v>
      </c>
      <c r="Q41" s="10">
        <v>5.0864172339616802</v>
      </c>
      <c r="R41" s="8">
        <v>160.859144412869</v>
      </c>
      <c r="S41" s="8">
        <v>160.87290492940301</v>
      </c>
      <c r="T41" s="8">
        <v>160.880032873998</v>
      </c>
      <c r="U41" s="9">
        <v>-1.9179903201333901E-4</v>
      </c>
      <c r="V41" s="9">
        <v>-1.06258803303047E-4</v>
      </c>
      <c r="W41" s="9">
        <v>-6.1951859937161807E-5</v>
      </c>
      <c r="X41" s="10">
        <v>5.0866266202971797</v>
      </c>
      <c r="Y41" s="10">
        <v>5.0846599588316304</v>
      </c>
      <c r="Z41" s="10">
        <v>5.0861023206649598</v>
      </c>
      <c r="AA41" s="10">
        <v>5.0864172339616802</v>
      </c>
      <c r="AB41" s="8">
        <v>160.827794497844</v>
      </c>
      <c r="AC41" s="8">
        <v>160.87290492940301</v>
      </c>
      <c r="AD41" s="8">
        <v>160.880032873998</v>
      </c>
      <c r="AE41" s="9">
        <v>-3.8670850039717198E-4</v>
      </c>
      <c r="AF41" s="9">
        <v>-1.06258803303047E-4</v>
      </c>
      <c r="AG41" s="9">
        <v>-6.1951859937161807E-5</v>
      </c>
      <c r="AZ41" s="9"/>
      <c r="BB41">
        <f t="shared" si="2"/>
        <v>0</v>
      </c>
      <c r="BC41">
        <f t="shared" si="3"/>
        <v>0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0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0</v>
      </c>
    </row>
    <row r="42" spans="1:77" x14ac:dyDescent="0.3">
      <c r="A42" s="1">
        <v>46084</v>
      </c>
      <c r="B42" s="8">
        <v>31.33</v>
      </c>
      <c r="C42" s="8">
        <v>159.38</v>
      </c>
      <c r="D42" s="9">
        <v>-9.5299323534571E-3</v>
      </c>
      <c r="E42" s="9">
        <v>-9.4296136933413599E-3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31.33</v>
      </c>
      <c r="M42" s="8">
        <v>159.38</v>
      </c>
      <c r="N42" s="10">
        <v>5.0871369294605797</v>
      </c>
      <c r="O42" s="10">
        <v>5.0856511037897496</v>
      </c>
      <c r="P42" s="10">
        <v>5.0864406352053599</v>
      </c>
      <c r="Q42" s="10">
        <v>5.0863941236935499</v>
      </c>
      <c r="R42" s="8">
        <v>159.333449081732</v>
      </c>
      <c r="S42" s="8">
        <v>159.34758570643299</v>
      </c>
      <c r="T42" s="8">
        <v>159.35745194001899</v>
      </c>
      <c r="U42" s="9">
        <v>-2.9211769212904E-4</v>
      </c>
      <c r="V42" s="9">
        <v>-2.03398106296355E-4</v>
      </c>
      <c r="W42" s="9">
        <v>-1.41483593350508E-4</v>
      </c>
      <c r="X42" s="10">
        <v>5.0871369294605797</v>
      </c>
      <c r="Y42" s="10">
        <v>5.0846599588316304</v>
      </c>
      <c r="Z42" s="10">
        <v>5.0864406352053599</v>
      </c>
      <c r="AA42" s="10">
        <v>5.0863941236935499</v>
      </c>
      <c r="AB42" s="8">
        <v>159.302396510195</v>
      </c>
      <c r="AC42" s="8">
        <v>159.34758570643299</v>
      </c>
      <c r="AD42" s="8">
        <v>159.35745194001899</v>
      </c>
      <c r="AE42" s="9">
        <v>-4.8702716051292702E-4</v>
      </c>
      <c r="AF42" s="9">
        <v>-2.03398106296355E-4</v>
      </c>
      <c r="AG42" s="9">
        <v>-1.41483593350508E-4</v>
      </c>
      <c r="AZ42" s="9"/>
      <c r="BB42">
        <f t="shared" si="2"/>
        <v>0</v>
      </c>
      <c r="BC42">
        <f t="shared" si="3"/>
        <v>0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0</v>
      </c>
      <c r="BL42" s="9"/>
      <c r="BN42">
        <f t="shared" si="10"/>
        <v>0</v>
      </c>
      <c r="BO42">
        <f t="shared" si="11"/>
        <v>1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0</v>
      </c>
    </row>
    <row r="43" spans="1:77" x14ac:dyDescent="0.3">
      <c r="A43" s="1">
        <v>46085</v>
      </c>
      <c r="B43" s="8">
        <v>31.22</v>
      </c>
      <c r="C43" s="8">
        <v>158.85</v>
      </c>
      <c r="D43" s="9">
        <v>-3.5171898768143399E-3</v>
      </c>
      <c r="E43" s="9">
        <v>-3.3309272540769301E-3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31.22</v>
      </c>
      <c r="M43" s="8">
        <v>158.85</v>
      </c>
      <c r="N43" s="10">
        <v>5.0880845611787304</v>
      </c>
      <c r="O43" s="10">
        <v>5.0856511037897496</v>
      </c>
      <c r="P43" s="10">
        <v>5.0866352299370998</v>
      </c>
      <c r="Q43" s="10">
        <v>5.0863562391256902</v>
      </c>
      <c r="R43" s="8">
        <v>158.77402746031601</v>
      </c>
      <c r="S43" s="8">
        <v>158.79867663111099</v>
      </c>
      <c r="T43" s="8">
        <v>158.79722454171201</v>
      </c>
      <c r="U43" s="9">
        <v>-4.78380314866455E-4</v>
      </c>
      <c r="V43" s="9">
        <v>-3.23145494446053E-4</v>
      </c>
      <c r="W43" s="9">
        <v>-3.3228975225039901E-4</v>
      </c>
      <c r="X43" s="10">
        <v>5.0880845611787304</v>
      </c>
      <c r="Y43" s="10">
        <v>5.0846599588316304</v>
      </c>
      <c r="Z43" s="10">
        <v>5.0866352299370998</v>
      </c>
      <c r="AA43" s="10">
        <v>5.0863562391256902</v>
      </c>
      <c r="AB43" s="8">
        <v>158.743083914723</v>
      </c>
      <c r="AC43" s="8">
        <v>158.79867663111099</v>
      </c>
      <c r="AD43" s="8">
        <v>158.79722454171201</v>
      </c>
      <c r="AE43" s="9">
        <v>-6.7328978325033805E-4</v>
      </c>
      <c r="AF43" s="9">
        <v>-3.23145494446053E-4</v>
      </c>
      <c r="AG43" s="9">
        <v>-3.3228975225039901E-4</v>
      </c>
      <c r="AZ43" s="9"/>
      <c r="BB43">
        <f t="shared" si="2"/>
        <v>0</v>
      </c>
      <c r="BC43">
        <f t="shared" si="3"/>
        <v>0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0</v>
      </c>
      <c r="BL43" s="9"/>
      <c r="BN43">
        <f t="shared" si="10"/>
        <v>0</v>
      </c>
      <c r="BO43">
        <f t="shared" si="11"/>
        <v>1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0</v>
      </c>
    </row>
    <row r="44" spans="1:77" x14ac:dyDescent="0.3">
      <c r="A44" s="1">
        <v>46086</v>
      </c>
      <c r="B44" s="8">
        <v>31.38</v>
      </c>
      <c r="C44" s="8">
        <v>159.56</v>
      </c>
      <c r="D44" s="9">
        <v>5.1118322176005697E-3</v>
      </c>
      <c r="E44" s="9">
        <v>4.4596663216807499E-3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31.38</v>
      </c>
      <c r="M44" s="8">
        <v>159.56</v>
      </c>
      <c r="N44" s="10">
        <v>5.0847673677501497</v>
      </c>
      <c r="O44" s="10">
        <v>5.0856511037897496</v>
      </c>
      <c r="P44" s="10">
        <v>5.0865713907958803</v>
      </c>
      <c r="Q44" s="10">
        <v>5.0863108515159396</v>
      </c>
      <c r="R44" s="8">
        <v>159.587731636922</v>
      </c>
      <c r="S44" s="8">
        <v>159.61861351542601</v>
      </c>
      <c r="T44" s="8">
        <v>159.609858783764</v>
      </c>
      <c r="U44" s="9">
        <v>1.73785581053275E-4</v>
      </c>
      <c r="V44" s="9">
        <v>3.6727721472033201E-4</v>
      </c>
      <c r="W44" s="9">
        <v>3.1242789879842397E-4</v>
      </c>
      <c r="X44" s="10">
        <v>5.0847673677501497</v>
      </c>
      <c r="Y44" s="10">
        <v>5.0846599588316304</v>
      </c>
      <c r="Z44" s="10">
        <v>5.0865713907958803</v>
      </c>
      <c r="AA44" s="10">
        <v>5.0863108515159396</v>
      </c>
      <c r="AB44" s="8">
        <v>159.55662950813601</v>
      </c>
      <c r="AC44" s="8">
        <v>159.61861351542601</v>
      </c>
      <c r="AD44" s="8">
        <v>159.609858783764</v>
      </c>
      <c r="AE44" s="9">
        <v>-2.11238873305366E-5</v>
      </c>
      <c r="AF44" s="9">
        <v>3.6727721472033201E-4</v>
      </c>
      <c r="AG44" s="9">
        <v>3.1242789879842397E-4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0</v>
      </c>
      <c r="BL44" s="9"/>
      <c r="BN44">
        <f t="shared" si="10"/>
        <v>0</v>
      </c>
      <c r="BO44">
        <f t="shared" si="11"/>
        <v>0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0</v>
      </c>
    </row>
    <row r="45" spans="1:77" x14ac:dyDescent="0.3">
      <c r="A45" s="1">
        <v>46087</v>
      </c>
      <c r="B45" s="8">
        <v>31.37</v>
      </c>
      <c r="C45" s="8">
        <v>159.62</v>
      </c>
      <c r="D45" s="9">
        <v>-3.1872510229963801E-4</v>
      </c>
      <c r="E45" s="9">
        <v>3.75963410656863E-4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31.37</v>
      </c>
      <c r="M45" s="8">
        <v>159.62</v>
      </c>
      <c r="N45" s="10">
        <v>5.0883009244501096</v>
      </c>
      <c r="O45" s="10">
        <v>5.0856511037897496</v>
      </c>
      <c r="P45" s="10">
        <v>5.0866901091449002</v>
      </c>
      <c r="Q45" s="10">
        <v>5.0864233300770998</v>
      </c>
      <c r="R45" s="8">
        <v>159.53687512588399</v>
      </c>
      <c r="S45" s="8">
        <v>159.56574452926699</v>
      </c>
      <c r="T45" s="8">
        <v>159.55757141205501</v>
      </c>
      <c r="U45" s="9">
        <v>-5.2090293190331499E-4</v>
      </c>
      <c r="V45" s="9">
        <v>-3.3996174444179999E-4</v>
      </c>
      <c r="W45" s="9">
        <v>-3.91184057606252E-4</v>
      </c>
      <c r="X45" s="10">
        <v>5.0883009244501096</v>
      </c>
      <c r="Y45" s="10">
        <v>5.0846599588316304</v>
      </c>
      <c r="Z45" s="10">
        <v>5.0866901091449002</v>
      </c>
      <c r="AA45" s="10">
        <v>5.0864233300770998</v>
      </c>
      <c r="AB45" s="8">
        <v>159.50578290854801</v>
      </c>
      <c r="AC45" s="8">
        <v>159.56574452926699</v>
      </c>
      <c r="AD45" s="8">
        <v>159.55757141205501</v>
      </c>
      <c r="AE45" s="9">
        <v>-7.1581240028729303E-4</v>
      </c>
      <c r="AF45" s="9">
        <v>-3.3996174444179999E-4</v>
      </c>
      <c r="AG45" s="9">
        <v>-3.91184057606252E-4</v>
      </c>
      <c r="AZ45" s="9"/>
      <c r="BB45">
        <f t="shared" si="2"/>
        <v>0</v>
      </c>
      <c r="BC45">
        <f t="shared" si="3"/>
        <v>0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0</v>
      </c>
      <c r="BL45" s="9"/>
      <c r="BN45">
        <f t="shared" si="10"/>
        <v>0</v>
      </c>
      <c r="BO45">
        <f t="shared" si="11"/>
        <v>1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0</v>
      </c>
    </row>
    <row r="46" spans="1:77" x14ac:dyDescent="0.3">
      <c r="A46" s="1">
        <v>46090</v>
      </c>
      <c r="B46" s="8">
        <v>31.28</v>
      </c>
      <c r="C46" s="8">
        <v>159.08000000000001</v>
      </c>
      <c r="D46" s="9">
        <v>-2.87310652547644E-3</v>
      </c>
      <c r="E46" s="9">
        <v>-3.3887701083728599E-3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31.28</v>
      </c>
      <c r="M46" s="8">
        <v>159.08000000000001</v>
      </c>
      <c r="N46" s="10">
        <v>5.0856777493606096</v>
      </c>
      <c r="O46" s="10">
        <v>5.0856511037897496</v>
      </c>
      <c r="P46" s="10">
        <v>5.0866377595316399</v>
      </c>
      <c r="Q46" s="10">
        <v>5.0863114266422098</v>
      </c>
      <c r="R46" s="8">
        <v>159.07916652654299</v>
      </c>
      <c r="S46" s="8">
        <v>159.11166661405201</v>
      </c>
      <c r="T46" s="8">
        <v>159.103321764811</v>
      </c>
      <c r="U46" s="9">
        <v>-5.2393490069910498E-6</v>
      </c>
      <c r="V46" s="9">
        <v>1.99041128224629E-4</v>
      </c>
      <c r="W46" s="9">
        <v>1.4659325777462899E-4</v>
      </c>
      <c r="X46" s="10">
        <v>5.0856777493606096</v>
      </c>
      <c r="Y46" s="10">
        <v>5.0846599588316304</v>
      </c>
      <c r="Z46" s="10">
        <v>5.0866377595316399</v>
      </c>
      <c r="AA46" s="10">
        <v>5.0863114266422098</v>
      </c>
      <c r="AB46" s="8">
        <v>159.04816351225301</v>
      </c>
      <c r="AC46" s="8">
        <v>159.11166661405201</v>
      </c>
      <c r="AD46" s="8">
        <v>159.103321764811</v>
      </c>
      <c r="AE46" s="9">
        <v>-2.0014881739067501E-4</v>
      </c>
      <c r="AF46" s="9">
        <v>1.99041128224629E-4</v>
      </c>
      <c r="AG46" s="9">
        <v>1.4659325777462899E-4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0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0</v>
      </c>
    </row>
    <row r="47" spans="1:77" x14ac:dyDescent="0.3">
      <c r="A47" s="1">
        <v>46091</v>
      </c>
      <c r="B47" s="8">
        <v>30.89</v>
      </c>
      <c r="C47" s="8">
        <v>157.15</v>
      </c>
      <c r="D47" s="9">
        <v>-1.254640874662E-2</v>
      </c>
      <c r="E47" s="9">
        <v>-1.22064570959133E-2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30.89</v>
      </c>
      <c r="M47" s="8">
        <v>157.15</v>
      </c>
      <c r="N47" s="10">
        <v>5.0874069278083498</v>
      </c>
      <c r="O47" s="10">
        <v>5.0856511037897496</v>
      </c>
      <c r="P47" s="10">
        <v>5.0869277480871196</v>
      </c>
      <c r="Q47" s="10">
        <v>5.0862922674826798</v>
      </c>
      <c r="R47" s="8">
        <v>157.09576259606499</v>
      </c>
      <c r="S47" s="8">
        <v>157.12624039193199</v>
      </c>
      <c r="T47" s="8">
        <v>157.116159968977</v>
      </c>
      <c r="U47" s="9">
        <v>-3.4519099971359901E-4</v>
      </c>
      <c r="V47" s="9">
        <v>-1.51202064039128E-4</v>
      </c>
      <c r="W47" s="9">
        <v>-2.1535905206063801E-4</v>
      </c>
      <c r="X47" s="10">
        <v>5.0874069278083498</v>
      </c>
      <c r="Y47" s="10">
        <v>5.0846599588316304</v>
      </c>
      <c r="Z47" s="10">
        <v>5.0869277480871196</v>
      </c>
      <c r="AA47" s="10">
        <v>5.0862922674826798</v>
      </c>
      <c r="AB47" s="8">
        <v>157.06514612830901</v>
      </c>
      <c r="AC47" s="8">
        <v>157.12624039193199</v>
      </c>
      <c r="AD47" s="8">
        <v>157.116159968977</v>
      </c>
      <c r="AE47" s="9">
        <v>-5.40100468097422E-4</v>
      </c>
      <c r="AF47" s="9">
        <v>-1.51202064039128E-4</v>
      </c>
      <c r="AG47" s="9">
        <v>-2.1535905206063801E-4</v>
      </c>
      <c r="AZ47" s="9"/>
      <c r="BB47">
        <f t="shared" si="2"/>
        <v>0</v>
      </c>
      <c r="BC47">
        <f t="shared" si="3"/>
        <v>0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0</v>
      </c>
      <c r="BL47" s="9"/>
      <c r="BN47">
        <f t="shared" si="10"/>
        <v>0</v>
      </c>
      <c r="BO47">
        <f t="shared" si="11"/>
        <v>1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0</v>
      </c>
    </row>
    <row r="48" spans="1:77" x14ac:dyDescent="0.3">
      <c r="A48" s="1">
        <v>46092</v>
      </c>
      <c r="B48" s="8">
        <v>31.63</v>
      </c>
      <c r="C48" s="8">
        <v>160.91</v>
      </c>
      <c r="D48" s="9">
        <v>2.3673530387067099E-2</v>
      </c>
      <c r="E48" s="9">
        <v>2.3644439227482099E-2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31.63</v>
      </c>
      <c r="M48" s="8">
        <v>160.91</v>
      </c>
      <c r="N48" s="10">
        <v>5.0872589313942402</v>
      </c>
      <c r="O48" s="10">
        <v>5.0856511037897496</v>
      </c>
      <c r="P48" s="10">
        <v>5.0867332988960596</v>
      </c>
      <c r="Q48" s="10">
        <v>5.0864070684016802</v>
      </c>
      <c r="R48" s="8">
        <v>160.859144412869</v>
      </c>
      <c r="S48" s="8">
        <v>160.89952467199501</v>
      </c>
      <c r="T48" s="8">
        <v>160.87942442047699</v>
      </c>
      <c r="U48" s="9">
        <v>-3.16099840128699E-4</v>
      </c>
      <c r="V48" s="9">
        <v>-6.5102659833473004E-5</v>
      </c>
      <c r="W48" s="9">
        <v>-1.9003470775867101E-4</v>
      </c>
      <c r="X48" s="10">
        <v>5.0872589313942402</v>
      </c>
      <c r="Y48" s="10">
        <v>5.0846599588316304</v>
      </c>
      <c r="Z48" s="10">
        <v>5.0867332988960596</v>
      </c>
      <c r="AA48" s="10">
        <v>5.0864070684016802</v>
      </c>
      <c r="AB48" s="8">
        <v>160.827794497844</v>
      </c>
      <c r="AC48" s="8">
        <v>160.89952467199501</v>
      </c>
      <c r="AD48" s="8">
        <v>160.87942442047699</v>
      </c>
      <c r="AE48" s="9">
        <v>-5.1100930851256303E-4</v>
      </c>
      <c r="AF48" s="9">
        <v>-6.5102659833473004E-5</v>
      </c>
      <c r="AG48" s="9">
        <v>-1.9003470775867101E-4</v>
      </c>
      <c r="AZ48" s="9"/>
      <c r="BB48">
        <f t="shared" si="2"/>
        <v>0</v>
      </c>
      <c r="BC48">
        <f t="shared" si="3"/>
        <v>0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0</v>
      </c>
      <c r="BL48" s="9"/>
      <c r="BN48">
        <f t="shared" si="10"/>
        <v>0</v>
      </c>
      <c r="BO48">
        <f t="shared" si="11"/>
        <v>1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0</v>
      </c>
    </row>
    <row r="49" spans="1:77" x14ac:dyDescent="0.3">
      <c r="A49" s="1">
        <v>46093</v>
      </c>
      <c r="B49" s="8">
        <v>31.88</v>
      </c>
      <c r="C49" s="8">
        <v>162.15</v>
      </c>
      <c r="D49" s="9">
        <v>7.8728166044568799E-3</v>
      </c>
      <c r="E49" s="9">
        <v>7.6766302822683097E-3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31.88</v>
      </c>
      <c r="M49" s="8">
        <v>162.15</v>
      </c>
      <c r="N49" s="10">
        <v>5.0862609786700101</v>
      </c>
      <c r="O49" s="10">
        <v>5.0856511037897496</v>
      </c>
      <c r="P49" s="10">
        <v>5.0865069377466696</v>
      </c>
      <c r="Q49" s="10">
        <v>5.0863794399264401</v>
      </c>
      <c r="R49" s="8">
        <v>162.13055718881699</v>
      </c>
      <c r="S49" s="8">
        <v>162.16505756880599</v>
      </c>
      <c r="T49" s="8">
        <v>162.154657340645</v>
      </c>
      <c r="U49" s="9">
        <v>-1.19913517940005E-4</v>
      </c>
      <c r="V49" s="9">
        <v>9.2857660882819806E-5</v>
      </c>
      <c r="W49" s="9">
        <v>2.8722009016357001E-5</v>
      </c>
      <c r="X49" s="10">
        <v>5.0862609786700101</v>
      </c>
      <c r="Y49" s="10">
        <v>5.0846599588316304</v>
      </c>
      <c r="Z49" s="10">
        <v>5.0865069377466696</v>
      </c>
      <c r="AA49" s="10">
        <v>5.0863794399264401</v>
      </c>
      <c r="AB49" s="8">
        <v>162.09895948755201</v>
      </c>
      <c r="AC49" s="8">
        <v>162.16505756880599</v>
      </c>
      <c r="AD49" s="8">
        <v>162.154657340645</v>
      </c>
      <c r="AE49" s="9">
        <v>-3.14822986323834E-4</v>
      </c>
      <c r="AF49" s="9">
        <v>9.2857660882819806E-5</v>
      </c>
      <c r="AG49" s="9">
        <v>2.8722009016357001E-5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0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0</v>
      </c>
    </row>
    <row r="50" spans="1:77" x14ac:dyDescent="0.3">
      <c r="A50" s="1">
        <v>46094</v>
      </c>
      <c r="B50" s="8">
        <v>31.99</v>
      </c>
      <c r="C50" s="8">
        <v>162.78</v>
      </c>
      <c r="D50" s="9">
        <v>3.44450003941227E-3</v>
      </c>
      <c r="E50" s="9">
        <v>3.8777631455684199E-3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31.99</v>
      </c>
      <c r="M50" s="8">
        <v>162.78</v>
      </c>
      <c r="N50" s="10">
        <v>5.0884651453579197</v>
      </c>
      <c r="O50" s="10">
        <v>5.0856511037897496</v>
      </c>
      <c r="P50" s="10">
        <v>5.0869986135727903</v>
      </c>
      <c r="Q50" s="10">
        <v>5.0865423818639099</v>
      </c>
      <c r="R50" s="8">
        <v>162.68997881023401</v>
      </c>
      <c r="S50" s="8">
        <v>162.71735693851599</v>
      </c>
      <c r="T50" s="8">
        <v>162.71327828324601</v>
      </c>
      <c r="U50" s="9">
        <v>-5.5317662409599304E-4</v>
      </c>
      <c r="V50" s="9">
        <v>-3.8490673378344798E-4</v>
      </c>
      <c r="W50" s="9">
        <v>-4.0997293731930001E-4</v>
      </c>
      <c r="X50" s="10">
        <v>5.0884651453579197</v>
      </c>
      <c r="Y50" s="10">
        <v>5.0846599588316304</v>
      </c>
      <c r="Z50" s="10">
        <v>5.0869986135727903</v>
      </c>
      <c r="AA50" s="10">
        <v>5.0865423818639099</v>
      </c>
      <c r="AB50" s="8">
        <v>162.65827208302301</v>
      </c>
      <c r="AC50" s="8">
        <v>162.71735693851599</v>
      </c>
      <c r="AD50" s="8">
        <v>162.71327828324601</v>
      </c>
      <c r="AE50" s="9">
        <v>-7.4808609247982601E-4</v>
      </c>
      <c r="AF50" s="9">
        <v>-3.8490673378344798E-4</v>
      </c>
      <c r="AG50" s="9">
        <v>-4.0997293731930001E-4</v>
      </c>
      <c r="AZ50" s="9"/>
      <c r="BB50">
        <f t="shared" si="2"/>
        <v>0</v>
      </c>
      <c r="BC50">
        <f t="shared" si="3"/>
        <v>0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0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0</v>
      </c>
    </row>
    <row r="51" spans="1:77" x14ac:dyDescent="0.3">
      <c r="A51" s="1">
        <v>46097</v>
      </c>
      <c r="B51" s="8">
        <v>32.08</v>
      </c>
      <c r="C51" s="8">
        <v>163.19999999999999</v>
      </c>
      <c r="D51" s="9">
        <v>2.80942903688716E-3</v>
      </c>
      <c r="E51" s="9">
        <v>2.5768466311110799E-3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32.08</v>
      </c>
      <c r="M51" s="8">
        <v>163.19999999999999</v>
      </c>
      <c r="N51" s="10">
        <v>5.0872817955112204</v>
      </c>
      <c r="O51" s="10">
        <v>5.0856511037897496</v>
      </c>
      <c r="P51" s="10">
        <v>5.0870641310941904</v>
      </c>
      <c r="Q51" s="10">
        <v>5.0865832258795702</v>
      </c>
      <c r="R51" s="8">
        <v>163.14768740957501</v>
      </c>
      <c r="S51" s="8">
        <v>163.19091552341499</v>
      </c>
      <c r="T51" s="8">
        <v>163.176279610194</v>
      </c>
      <c r="U51" s="9">
        <v>-3.2059421832018501E-4</v>
      </c>
      <c r="V51" s="9">
        <v>-5.5666234292173999E-5</v>
      </c>
      <c r="W51" s="9">
        <v>-1.45356089455145E-4</v>
      </c>
      <c r="X51" s="10">
        <v>5.0872817955112204</v>
      </c>
      <c r="Y51" s="10">
        <v>5.0846599588316304</v>
      </c>
      <c r="Z51" s="10">
        <v>5.0870641310941904</v>
      </c>
      <c r="AA51" s="10">
        <v>5.0865832258795702</v>
      </c>
      <c r="AB51" s="8">
        <v>163.11589147931801</v>
      </c>
      <c r="AC51" s="8">
        <v>163.19091552341499</v>
      </c>
      <c r="AD51" s="8">
        <v>163.176279610194</v>
      </c>
      <c r="AE51" s="9">
        <v>-5.1550368670407202E-4</v>
      </c>
      <c r="AF51" s="9">
        <v>-5.5666234292173999E-5</v>
      </c>
      <c r="AG51" s="9">
        <v>-1.45356089455145E-4</v>
      </c>
      <c r="AZ51" s="9"/>
      <c r="BB51">
        <f t="shared" si="2"/>
        <v>0</v>
      </c>
      <c r="BC51">
        <f t="shared" si="3"/>
        <v>0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0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0</v>
      </c>
    </row>
    <row r="52" spans="1:77" x14ac:dyDescent="0.3">
      <c r="A52" s="1">
        <v>46098</v>
      </c>
      <c r="B52" s="8">
        <v>32.47</v>
      </c>
      <c r="C52" s="8">
        <v>165.13</v>
      </c>
      <c r="D52" s="9">
        <v>1.20838031164408E-2</v>
      </c>
      <c r="E52" s="9">
        <v>1.17565999448904E-2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32.47</v>
      </c>
      <c r="M52" s="8">
        <v>165.13</v>
      </c>
      <c r="N52" s="10">
        <v>5.0856174930705196</v>
      </c>
      <c r="O52" s="10">
        <v>5.0856511037897496</v>
      </c>
      <c r="P52" s="10">
        <v>5.0869121874551899</v>
      </c>
      <c r="Q52" s="10">
        <v>5.08667641133027</v>
      </c>
      <c r="R52" s="8">
        <v>165.13109134005299</v>
      </c>
      <c r="S52" s="8">
        <v>165.17697233662801</v>
      </c>
      <c r="T52" s="8">
        <v>165.16135734430901</v>
      </c>
      <c r="U52" s="9">
        <v>6.6089532302536302E-6</v>
      </c>
      <c r="V52" s="9">
        <v>2.8441626050383298E-4</v>
      </c>
      <c r="W52" s="9">
        <v>1.8987686905406201E-4</v>
      </c>
      <c r="X52" s="10">
        <v>5.0856174930705196</v>
      </c>
      <c r="Y52" s="10">
        <v>5.0846599588316304</v>
      </c>
      <c r="Z52" s="10">
        <v>5.0869121874551899</v>
      </c>
      <c r="AA52" s="10">
        <v>5.08667641133027</v>
      </c>
      <c r="AB52" s="8">
        <v>165.09890886326301</v>
      </c>
      <c r="AC52" s="8">
        <v>165.17697233662801</v>
      </c>
      <c r="AD52" s="8">
        <v>165.16135734430901</v>
      </c>
      <c r="AE52" s="9">
        <v>-1.88300515153494E-4</v>
      </c>
      <c r="AF52" s="9">
        <v>2.8441626050383298E-4</v>
      </c>
      <c r="AG52" s="9">
        <v>1.8987686905406201E-4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0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0</v>
      </c>
    </row>
    <row r="53" spans="1:77" x14ac:dyDescent="0.3">
      <c r="A53" s="1">
        <v>46099</v>
      </c>
      <c r="B53" s="8">
        <v>32.5</v>
      </c>
      <c r="C53" s="8">
        <v>165.23</v>
      </c>
      <c r="D53" s="9">
        <v>9.2350322093719399E-4</v>
      </c>
      <c r="E53" s="9">
        <v>6.0540018800231301E-4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32.5</v>
      </c>
      <c r="M53" s="8">
        <v>165.23</v>
      </c>
      <c r="N53" s="10">
        <v>5.0839999999999996</v>
      </c>
      <c r="O53" s="10">
        <v>5.0856511037897496</v>
      </c>
      <c r="P53" s="10">
        <v>5.0865037313373103</v>
      </c>
      <c r="Q53" s="10">
        <v>5.0865694806372002</v>
      </c>
      <c r="R53" s="8">
        <v>165.28366087316601</v>
      </c>
      <c r="S53" s="8">
        <v>165.32464609229299</v>
      </c>
      <c r="T53" s="8">
        <v>165.31698336823399</v>
      </c>
      <c r="U53" s="9">
        <v>3.2471198616506702E-4</v>
      </c>
      <c r="V53" s="9">
        <v>5.7265021683391005E-4</v>
      </c>
      <c r="W53" s="9">
        <v>5.26299585950145E-4</v>
      </c>
      <c r="X53" s="10">
        <v>5.0839999999999996</v>
      </c>
      <c r="Y53" s="10">
        <v>5.0846599588316304</v>
      </c>
      <c r="Z53" s="10">
        <v>5.0865037313373103</v>
      </c>
      <c r="AA53" s="10">
        <v>5.0865694806372002</v>
      </c>
      <c r="AB53" s="8">
        <v>165.251448662028</v>
      </c>
      <c r="AC53" s="8">
        <v>165.32464609229299</v>
      </c>
      <c r="AD53" s="8">
        <v>165.31698336823399</v>
      </c>
      <c r="AE53" s="9">
        <v>1.2980251778143401E-4</v>
      </c>
      <c r="AF53" s="9">
        <v>5.7265021683391005E-4</v>
      </c>
      <c r="AG53" s="9">
        <v>5.26299585950145E-4</v>
      </c>
      <c r="AZ53" s="9"/>
      <c r="BB53">
        <f t="shared" si="2"/>
        <v>0</v>
      </c>
      <c r="BC53">
        <f t="shared" si="3"/>
        <v>1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0</v>
      </c>
      <c r="BL53" s="9"/>
      <c r="BN53">
        <f t="shared" si="10"/>
        <v>0</v>
      </c>
      <c r="BO53">
        <f t="shared" si="11"/>
        <v>0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0</v>
      </c>
    </row>
    <row r="54" spans="1:77" x14ac:dyDescent="0.3">
      <c r="A54" s="1">
        <v>46100</v>
      </c>
      <c r="B54" s="8">
        <v>33.01</v>
      </c>
      <c r="C54" s="8">
        <v>167.89</v>
      </c>
      <c r="D54" s="9">
        <v>1.5570456529409801E-2</v>
      </c>
      <c r="E54" s="9">
        <v>1.5970560385407399E-2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33.01</v>
      </c>
      <c r="M54" s="8">
        <v>167.89</v>
      </c>
      <c r="N54" s="10">
        <v>5.0860345349893903</v>
      </c>
      <c r="O54" s="10">
        <v>5.0856511037897496</v>
      </c>
      <c r="P54" s="10">
        <v>5.0866304480612401</v>
      </c>
      <c r="Q54" s="10">
        <v>5.0866009194285597</v>
      </c>
      <c r="R54" s="8">
        <v>167.87734293609901</v>
      </c>
      <c r="S54" s="8">
        <v>167.90548817144401</v>
      </c>
      <c r="T54" s="8">
        <v>167.90765855583399</v>
      </c>
      <c r="U54" s="9">
        <v>-7.5391869832289106E-5</v>
      </c>
      <c r="V54" s="9">
        <v>9.2247644780240904E-5</v>
      </c>
      <c r="W54" s="9">
        <v>1.05173787848876E-4</v>
      </c>
      <c r="X54" s="10">
        <v>5.0860345349893903</v>
      </c>
      <c r="Y54" s="10">
        <v>5.0846599588316304</v>
      </c>
      <c r="Z54" s="10">
        <v>5.0866304480612401</v>
      </c>
      <c r="AA54" s="10">
        <v>5.0866009194285597</v>
      </c>
      <c r="AB54" s="8">
        <v>167.84462524103199</v>
      </c>
      <c r="AC54" s="8">
        <v>167.90548817144401</v>
      </c>
      <c r="AD54" s="8">
        <v>167.90765855583399</v>
      </c>
      <c r="AE54" s="9">
        <v>-2.70301338216286E-4</v>
      </c>
      <c r="AF54" s="9">
        <v>9.2247644780240904E-5</v>
      </c>
      <c r="AG54" s="9">
        <v>1.05173787848876E-4</v>
      </c>
      <c r="AZ54" s="9"/>
      <c r="BB54">
        <f t="shared" si="2"/>
        <v>0</v>
      </c>
      <c r="BC54">
        <f t="shared" si="3"/>
        <v>1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0</v>
      </c>
      <c r="BL54" s="9"/>
      <c r="BN54">
        <f t="shared" si="10"/>
        <v>0</v>
      </c>
      <c r="BO54">
        <f t="shared" si="11"/>
        <v>0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0</v>
      </c>
      <c r="BY54" s="12">
        <f t="shared" si="19"/>
        <v>0</v>
      </c>
    </row>
    <row r="55" spans="1:77" x14ac:dyDescent="0.3">
      <c r="A55" s="1">
        <v>46101</v>
      </c>
      <c r="B55" s="8">
        <v>32.799999999999997</v>
      </c>
      <c r="C55" s="8">
        <v>167.77</v>
      </c>
      <c r="D55" s="9">
        <v>-6.3820304750036002E-3</v>
      </c>
      <c r="E55" s="9">
        <v>-7.1500926599750404E-4</v>
      </c>
      <c r="F55" s="8">
        <v>0.187</v>
      </c>
      <c r="G55" s="8">
        <v>0.187</v>
      </c>
      <c r="H55" s="8">
        <v>0</v>
      </c>
      <c r="I55" s="8">
        <v>0</v>
      </c>
      <c r="J55" s="8">
        <v>0.187</v>
      </c>
      <c r="K55" s="8">
        <v>0</v>
      </c>
      <c r="L55" s="8">
        <v>32.986999999999902</v>
      </c>
      <c r="M55" s="8">
        <v>167.77</v>
      </c>
      <c r="N55" s="10">
        <v>5.1149390243902397</v>
      </c>
      <c r="O55" s="10">
        <v>5.0856511037897496</v>
      </c>
      <c r="P55" s="10">
        <v>5.0892942580552498</v>
      </c>
      <c r="Q55" s="10">
        <v>5.0879921836000799</v>
      </c>
      <c r="R55" s="8">
        <v>166.80935620430299</v>
      </c>
      <c r="S55" s="8">
        <v>166.84147869640799</v>
      </c>
      <c r="T55" s="8">
        <v>166.84051015725601</v>
      </c>
      <c r="U55" s="9">
        <v>-5.7424130788384601E-3</v>
      </c>
      <c r="V55" s="9">
        <v>-5.5498615318677301E-3</v>
      </c>
      <c r="W55" s="9">
        <v>-5.5556666947723498E-3</v>
      </c>
      <c r="X55" s="10">
        <v>5.0859429472216302</v>
      </c>
      <c r="Y55" s="10">
        <v>5.0846599588316304</v>
      </c>
      <c r="Z55" s="10">
        <v>5.0863946503383897</v>
      </c>
      <c r="AA55" s="10">
        <v>5.0865423797416502</v>
      </c>
      <c r="AB55" s="8">
        <v>167.72767806197899</v>
      </c>
      <c r="AC55" s="8">
        <v>167.792678590196</v>
      </c>
      <c r="AD55" s="8">
        <v>167.79170452919001</v>
      </c>
      <c r="AE55" s="9">
        <v>-2.5229347928699801E-4</v>
      </c>
      <c r="AF55" s="9">
        <v>1.35167536067662E-4</v>
      </c>
      <c r="AG55" s="9">
        <v>1.2936237316301999E-4</v>
      </c>
      <c r="AZ55" s="9"/>
      <c r="BB55">
        <f t="shared" si="2"/>
        <v>0</v>
      </c>
      <c r="BC55">
        <f t="shared" si="3"/>
        <v>1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0</v>
      </c>
      <c r="BL55" s="9"/>
      <c r="BN55">
        <f t="shared" si="10"/>
        <v>0</v>
      </c>
      <c r="BO55">
        <f t="shared" si="11"/>
        <v>0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0</v>
      </c>
    </row>
    <row r="56" spans="1:77" x14ac:dyDescent="0.3">
      <c r="A56" s="1">
        <v>46104</v>
      </c>
      <c r="B56" s="8">
        <v>33.15</v>
      </c>
      <c r="C56" s="8">
        <v>169.43</v>
      </c>
      <c r="D56" s="9">
        <v>1.0614201241773501E-2</v>
      </c>
      <c r="E56" s="9">
        <v>9.8458683877057397E-3</v>
      </c>
      <c r="F56" s="8">
        <v>0</v>
      </c>
      <c r="G56" s="8">
        <v>0.187</v>
      </c>
      <c r="H56" s="8">
        <v>0</v>
      </c>
      <c r="I56" s="8">
        <v>0</v>
      </c>
      <c r="J56" s="8">
        <v>0.187</v>
      </c>
      <c r="K56" s="8">
        <v>0</v>
      </c>
      <c r="L56" s="8">
        <v>33.336999999999897</v>
      </c>
      <c r="M56" s="8">
        <v>169.43</v>
      </c>
      <c r="N56" s="10">
        <v>5.1110105580693803</v>
      </c>
      <c r="O56" s="10">
        <v>5.0856511037897496</v>
      </c>
      <c r="P56" s="10">
        <v>5.0918275389261298</v>
      </c>
      <c r="Q56" s="10">
        <v>5.0892326492288804</v>
      </c>
      <c r="R56" s="8">
        <v>168.58933409062999</v>
      </c>
      <c r="S56" s="8">
        <v>168.71010465453099</v>
      </c>
      <c r="T56" s="8">
        <v>168.66694088634199</v>
      </c>
      <c r="U56" s="9">
        <v>-4.9740802247707303E-3</v>
      </c>
      <c r="V56" s="9">
        <v>-4.2579772302819997E-3</v>
      </c>
      <c r="W56" s="9">
        <v>-4.51385574362496E-3</v>
      </c>
      <c r="X56" s="10">
        <v>5.0823409424963204</v>
      </c>
      <c r="Y56" s="10">
        <v>5.0846599588316304</v>
      </c>
      <c r="Z56" s="10">
        <v>5.0860609696519603</v>
      </c>
      <c r="AA56" s="10">
        <v>5.0863493645917996</v>
      </c>
      <c r="AB56" s="8">
        <v>169.50730904757</v>
      </c>
      <c r="AC56" s="8">
        <v>169.56513845833101</v>
      </c>
      <c r="AD56" s="8">
        <v>169.57006331344701</v>
      </c>
      <c r="AE56" s="9">
        <v>4.5618494539892499E-4</v>
      </c>
      <c r="AF56" s="9">
        <v>7.9728851631425204E-4</v>
      </c>
      <c r="AG56" s="9">
        <v>8.2633212541764799E-4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0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0</v>
      </c>
      <c r="BL56" s="9"/>
      <c r="BN56">
        <f t="shared" si="10"/>
        <v>0</v>
      </c>
      <c r="BO56">
        <f t="shared" si="11"/>
        <v>0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0</v>
      </c>
      <c r="BY56" s="12">
        <f t="shared" si="19"/>
        <v>0</v>
      </c>
    </row>
    <row r="57" spans="1:77" x14ac:dyDescent="0.3">
      <c r="A57" s="1">
        <v>46105</v>
      </c>
      <c r="B57" s="8">
        <v>33.85</v>
      </c>
      <c r="C57" s="8">
        <v>172.12</v>
      </c>
      <c r="D57" s="9">
        <v>2.0896282726412599E-2</v>
      </c>
      <c r="E57" s="9">
        <v>1.5752045800383901E-2</v>
      </c>
      <c r="F57" s="8">
        <v>0</v>
      </c>
      <c r="G57" s="8">
        <v>0.187</v>
      </c>
      <c r="H57" s="8">
        <v>0.96889999999999998</v>
      </c>
      <c r="I57" s="8">
        <v>0.96889999999999998</v>
      </c>
      <c r="J57" s="8">
        <v>0</v>
      </c>
      <c r="K57" s="8">
        <v>0</v>
      </c>
      <c r="L57" s="8">
        <v>33.85</v>
      </c>
      <c r="M57" s="8">
        <v>172.12</v>
      </c>
      <c r="N57" s="10">
        <v>5.0847858197931997</v>
      </c>
      <c r="O57" s="10">
        <v>5.0856511037897496</v>
      </c>
      <c r="P57" s="10">
        <v>5.0915654281246097</v>
      </c>
      <c r="Q57" s="10">
        <v>5.0892465881058699</v>
      </c>
      <c r="R57" s="8">
        <v>172.149289863283</v>
      </c>
      <c r="S57" s="8">
        <v>172.358362192649</v>
      </c>
      <c r="T57" s="8">
        <v>172.270525176397</v>
      </c>
      <c r="U57" s="9">
        <v>1.701567012579E-4</v>
      </c>
      <c r="V57" s="9">
        <v>1.3839024847578901E-3</v>
      </c>
      <c r="W57" s="9">
        <v>8.7415404884315904E-4</v>
      </c>
      <c r="X57" s="10">
        <v>5.0847858197931997</v>
      </c>
      <c r="Y57" s="10">
        <v>5.0846599588316304</v>
      </c>
      <c r="Z57" s="10">
        <v>5.0857988588504499</v>
      </c>
      <c r="AA57" s="10">
        <v>5.0863633034687803</v>
      </c>
      <c r="AB57" s="8">
        <v>172.11573960645001</v>
      </c>
      <c r="AC57" s="8">
        <v>172.16316382271901</v>
      </c>
      <c r="AD57" s="8">
        <v>172.17292599143201</v>
      </c>
      <c r="AE57" s="9">
        <v>-2.4752767126033299E-5</v>
      </c>
      <c r="AF57" s="9">
        <v>2.5074605720418203E-4</v>
      </c>
      <c r="AG57" s="9">
        <v>3.0744745450143602E-4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0</v>
      </c>
      <c r="BL57" s="9"/>
      <c r="BN57">
        <f t="shared" si="10"/>
        <v>0</v>
      </c>
      <c r="BO57">
        <f t="shared" si="11"/>
        <v>0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0</v>
      </c>
    </row>
    <row r="58" spans="1:77" x14ac:dyDescent="0.3">
      <c r="A58" s="1">
        <v>46106</v>
      </c>
      <c r="B58" s="8">
        <v>33.71</v>
      </c>
      <c r="C58" s="8">
        <v>171.44</v>
      </c>
      <c r="D58" s="9">
        <v>-4.1444701123146202E-3</v>
      </c>
      <c r="E58" s="9">
        <v>-3.9585568050773297E-3</v>
      </c>
      <c r="F58" s="8">
        <v>0</v>
      </c>
      <c r="G58" s="8">
        <v>0.187</v>
      </c>
      <c r="H58" s="8">
        <v>0</v>
      </c>
      <c r="I58" s="8">
        <v>0.96889999999999998</v>
      </c>
      <c r="J58" s="8">
        <v>0</v>
      </c>
      <c r="K58" s="8">
        <v>0</v>
      </c>
      <c r="L58" s="8">
        <v>33.71</v>
      </c>
      <c r="M58" s="8">
        <v>171.44</v>
      </c>
      <c r="N58" s="10">
        <v>5.0857312370216503</v>
      </c>
      <c r="O58" s="10">
        <v>5.0856511037897496</v>
      </c>
      <c r="P58" s="10">
        <v>5.09141265868735</v>
      </c>
      <c r="Q58" s="10">
        <v>5.0890729787917097</v>
      </c>
      <c r="R58" s="8">
        <v>171.437298708752</v>
      </c>
      <c r="S58" s="8">
        <v>171.63667058208</v>
      </c>
      <c r="T58" s="8">
        <v>171.558502485048</v>
      </c>
      <c r="U58" s="9">
        <v>-1.57566059793726E-5</v>
      </c>
      <c r="V58" s="9">
        <v>1.1465110891424599E-3</v>
      </c>
      <c r="W58" s="9">
        <v>6.90979633469591E-4</v>
      </c>
      <c r="X58" s="10">
        <v>5.0857312370216503</v>
      </c>
      <c r="Y58" s="10">
        <v>5.0846599588316304</v>
      </c>
      <c r="Z58" s="10">
        <v>5.0856460894131903</v>
      </c>
      <c r="AA58" s="10">
        <v>5.0861896941546298</v>
      </c>
      <c r="AB58" s="8">
        <v>171.40388721221399</v>
      </c>
      <c r="AC58" s="8">
        <v>171.44227953184799</v>
      </c>
      <c r="AD58" s="8">
        <v>171.46130695993199</v>
      </c>
      <c r="AE58" s="9">
        <v>-2.10666074363327E-4</v>
      </c>
      <c r="AF58" s="9">
        <v>1.32962942956503E-5</v>
      </c>
      <c r="AG58" s="9">
        <v>1.2427459171379101E-4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0</v>
      </c>
      <c r="BL58" s="9"/>
      <c r="BN58">
        <f t="shared" si="10"/>
        <v>0</v>
      </c>
      <c r="BO58">
        <f t="shared" si="11"/>
        <v>0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0</v>
      </c>
    </row>
    <row r="59" spans="1:77" x14ac:dyDescent="0.3">
      <c r="A59" s="1">
        <v>46107</v>
      </c>
      <c r="B59" s="8">
        <v>34.229999999999997</v>
      </c>
      <c r="C59" s="8">
        <v>174.14</v>
      </c>
      <c r="D59" s="9">
        <v>1.5307923296124499E-2</v>
      </c>
      <c r="E59" s="9">
        <v>1.5626222235147799E-2</v>
      </c>
      <c r="F59" s="8">
        <v>0</v>
      </c>
      <c r="G59" s="8">
        <v>0.187</v>
      </c>
      <c r="H59" s="8">
        <v>0</v>
      </c>
      <c r="I59" s="8">
        <v>0.96889999999999998</v>
      </c>
      <c r="J59" s="8">
        <v>0</v>
      </c>
      <c r="K59" s="8">
        <v>0</v>
      </c>
      <c r="L59" s="8">
        <v>34.229999999999997</v>
      </c>
      <c r="M59" s="8">
        <v>174.14</v>
      </c>
      <c r="N59" s="10">
        <v>5.0873502775343198</v>
      </c>
      <c r="O59" s="10">
        <v>5.0856511037897496</v>
      </c>
      <c r="P59" s="10">
        <v>5.0915215885737801</v>
      </c>
      <c r="Q59" s="10">
        <v>5.0890142631602302</v>
      </c>
      <c r="R59" s="8">
        <v>174.081837282723</v>
      </c>
      <c r="S59" s="8">
        <v>174.279055306868</v>
      </c>
      <c r="T59" s="8">
        <v>174.19896806404</v>
      </c>
      <c r="U59" s="9">
        <v>-3.3405554500290499E-4</v>
      </c>
      <c r="V59" s="9">
        <v>7.9820728592959098E-4</v>
      </c>
      <c r="W59" s="9">
        <v>3.3856714298355898E-4</v>
      </c>
      <c r="X59" s="10">
        <v>5.0873502775343198</v>
      </c>
      <c r="Y59" s="10">
        <v>5.0846599588316304</v>
      </c>
      <c r="Z59" s="10">
        <v>5.0857550192996204</v>
      </c>
      <c r="AA59" s="10">
        <v>5.0861309785231397</v>
      </c>
      <c r="AB59" s="8">
        <v>174.04791039080601</v>
      </c>
      <c r="AC59" s="8">
        <v>174.08166564061301</v>
      </c>
      <c r="AD59" s="8">
        <v>174.10027323091199</v>
      </c>
      <c r="AE59" s="9">
        <v>-5.2896501338676604E-4</v>
      </c>
      <c r="AF59" s="9">
        <v>-3.3504153065751002E-4</v>
      </c>
      <c r="AG59" s="9">
        <v>-2.2815723690306099E-4</v>
      </c>
      <c r="AZ59" s="9"/>
      <c r="BB59">
        <f t="shared" si="2"/>
        <v>0</v>
      </c>
      <c r="BC59">
        <f t="shared" si="3"/>
        <v>0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0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0</v>
      </c>
    </row>
    <row r="60" spans="1:77" x14ac:dyDescent="0.3">
      <c r="A60" s="1">
        <v>46108</v>
      </c>
      <c r="B60" s="8">
        <v>34.79</v>
      </c>
      <c r="C60" s="8">
        <v>176.95</v>
      </c>
      <c r="D60" s="9">
        <v>1.6227536621756699E-2</v>
      </c>
      <c r="E60" s="9">
        <v>1.60076333910029E-2</v>
      </c>
      <c r="F60" s="8">
        <v>0</v>
      </c>
      <c r="G60" s="8">
        <v>0.187</v>
      </c>
      <c r="H60" s="8">
        <v>0</v>
      </c>
      <c r="I60" s="8">
        <v>0.96889999999999998</v>
      </c>
      <c r="J60" s="8">
        <v>0</v>
      </c>
      <c r="K60" s="8">
        <v>0</v>
      </c>
      <c r="L60" s="8">
        <v>34.79</v>
      </c>
      <c r="M60" s="8">
        <v>176.95</v>
      </c>
      <c r="N60" s="10">
        <v>5.0862316757688903</v>
      </c>
      <c r="O60" s="10">
        <v>5.0856511037897496</v>
      </c>
      <c r="P60" s="10">
        <v>5.0912982416148802</v>
      </c>
      <c r="Q60" s="10">
        <v>5.0891484275938303</v>
      </c>
      <c r="R60" s="8">
        <v>176.92980190084501</v>
      </c>
      <c r="S60" s="8">
        <v>177.134036066482</v>
      </c>
      <c r="T60" s="8">
        <v>177.04680621534399</v>
      </c>
      <c r="U60" s="9">
        <v>-1.14152314249017E-4</v>
      </c>
      <c r="V60" s="9">
        <v>1.03950511352371E-3</v>
      </c>
      <c r="W60" s="9">
        <v>5.4693271836346396E-4</v>
      </c>
      <c r="X60" s="10">
        <v>5.0862316757688903</v>
      </c>
      <c r="Y60" s="10">
        <v>5.0846599588316304</v>
      </c>
      <c r="Z60" s="10">
        <v>5.0855316723407196</v>
      </c>
      <c r="AA60" s="10">
        <v>5.0862651429567496</v>
      </c>
      <c r="AB60" s="8">
        <v>176.89531996775199</v>
      </c>
      <c r="AC60" s="8">
        <v>176.933417121433</v>
      </c>
      <c r="AD60" s="8">
        <v>176.94649674281999</v>
      </c>
      <c r="AE60" s="9">
        <v>-3.0906178263292002E-4</v>
      </c>
      <c r="AF60" s="9">
        <v>-9.3719444178463299E-5</v>
      </c>
      <c r="AG60" s="9">
        <v>-1.9798202084410901E-5</v>
      </c>
      <c r="AZ60" s="9"/>
      <c r="BB60">
        <f t="shared" si="2"/>
        <v>0</v>
      </c>
      <c r="BC60">
        <f t="shared" si="3"/>
        <v>0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0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0</v>
      </c>
      <c r="BY60" s="12">
        <f t="shared" si="19"/>
        <v>0</v>
      </c>
    </row>
    <row r="61" spans="1:77" x14ac:dyDescent="0.3">
      <c r="A61" s="1">
        <v>46111</v>
      </c>
      <c r="B61" s="8">
        <v>34.409999999999997</v>
      </c>
      <c r="C61" s="8">
        <v>175</v>
      </c>
      <c r="D61" s="9">
        <v>-1.0982769354461699E-2</v>
      </c>
      <c r="E61" s="9">
        <v>-1.10812328679582E-2</v>
      </c>
      <c r="F61" s="8">
        <v>0</v>
      </c>
      <c r="G61" s="8">
        <v>0.187</v>
      </c>
      <c r="H61" s="8">
        <v>0</v>
      </c>
      <c r="I61" s="8">
        <v>0.96889999999999998</v>
      </c>
      <c r="J61" s="8">
        <v>0</v>
      </c>
      <c r="K61" s="8">
        <v>0</v>
      </c>
      <c r="L61" s="8">
        <v>34.409999999999997</v>
      </c>
      <c r="M61" s="8">
        <v>175</v>
      </c>
      <c r="N61" s="10">
        <v>5.0857308921825002</v>
      </c>
      <c r="O61" s="10">
        <v>5.0856511037897496</v>
      </c>
      <c r="P61" s="10">
        <v>5.0911431512820098</v>
      </c>
      <c r="Q61" s="10">
        <v>5.0891036411880997</v>
      </c>
      <c r="R61" s="8">
        <v>174.99725448140501</v>
      </c>
      <c r="S61" s="8">
        <v>175.19157249396801</v>
      </c>
      <c r="T61" s="8">
        <v>175.11759739350299</v>
      </c>
      <c r="U61" s="9">
        <v>-1.5688800752458E-5</v>
      </c>
      <c r="V61" s="9">
        <v>1.09410121845085E-3</v>
      </c>
      <c r="W61" s="9">
        <v>6.7175942484304504E-4</v>
      </c>
      <c r="X61" s="10">
        <v>5.0857308921825002</v>
      </c>
      <c r="Y61" s="10">
        <v>5.0846599588316304</v>
      </c>
      <c r="Z61" s="10">
        <v>5.0853765820078403</v>
      </c>
      <c r="AA61" s="10">
        <v>5.0862203565510198</v>
      </c>
      <c r="AB61" s="8">
        <v>174.96314918339601</v>
      </c>
      <c r="AC61" s="8">
        <v>174.99314484524399</v>
      </c>
      <c r="AD61" s="8">
        <v>175.01838356914101</v>
      </c>
      <c r="AE61" s="9">
        <v>-2.1059826913634599E-4</v>
      </c>
      <c r="AF61" s="9">
        <v>-3.9173080145719399E-5</v>
      </c>
      <c r="AG61" s="9">
        <v>1.0504344926900101E-4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0</v>
      </c>
      <c r="BL61" s="9"/>
      <c r="BN61">
        <f t="shared" si="10"/>
        <v>0</v>
      </c>
      <c r="BO61">
        <f t="shared" si="11"/>
        <v>0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0</v>
      </c>
      <c r="BY61" s="12">
        <f t="shared" si="19"/>
        <v>0</v>
      </c>
    </row>
    <row r="62" spans="1:77" x14ac:dyDescent="0.3">
      <c r="A62" s="1">
        <v>46112</v>
      </c>
      <c r="B62" s="8">
        <v>34.020000000000003</v>
      </c>
      <c r="C62" s="8">
        <v>173.04</v>
      </c>
      <c r="D62" s="9">
        <v>-1.1398632841672999E-2</v>
      </c>
      <c r="E62" s="9">
        <v>-1.1263192278710799E-2</v>
      </c>
      <c r="F62" s="8">
        <v>0</v>
      </c>
      <c r="G62" s="8">
        <v>0.187</v>
      </c>
      <c r="H62" s="8">
        <v>0</v>
      </c>
      <c r="I62" s="8">
        <v>0.96889999999999998</v>
      </c>
      <c r="J62" s="8">
        <v>0</v>
      </c>
      <c r="K62" s="8">
        <v>0</v>
      </c>
      <c r="L62" s="8">
        <v>34.020000000000003</v>
      </c>
      <c r="M62" s="8">
        <v>173.04</v>
      </c>
      <c r="N62" s="10">
        <v>5.0864197530864104</v>
      </c>
      <c r="O62" s="10">
        <v>5.0856511037897496</v>
      </c>
      <c r="P62" s="10">
        <v>5.0912233772836002</v>
      </c>
      <c r="Q62" s="10">
        <v>5.0890677823693897</v>
      </c>
      <c r="R62" s="8">
        <v>173.013850550927</v>
      </c>
      <c r="S62" s="8">
        <v>173.200690006614</v>
      </c>
      <c r="T62" s="8">
        <v>173.13130587321899</v>
      </c>
      <c r="U62" s="9">
        <v>-1.51129363714833E-4</v>
      </c>
      <c r="V62" s="9">
        <v>9.2819834750209902E-4</v>
      </c>
      <c r="W62" s="9">
        <v>5.2751844989819296E-4</v>
      </c>
      <c r="X62" s="10">
        <v>5.0864197530864104</v>
      </c>
      <c r="Y62" s="10">
        <v>5.0846599588316304</v>
      </c>
      <c r="Z62" s="10">
        <v>5.0854568080094298</v>
      </c>
      <c r="AA62" s="10">
        <v>5.0861844977323099</v>
      </c>
      <c r="AB62" s="8">
        <v>172.98013179945201</v>
      </c>
      <c r="AC62" s="8">
        <v>173.00451131990599</v>
      </c>
      <c r="AD62" s="8">
        <v>173.033216529865</v>
      </c>
      <c r="AE62" s="9">
        <v>-3.4603883209858303E-4</v>
      </c>
      <c r="AF62" s="9">
        <v>-2.0511049334130099E-4</v>
      </c>
      <c r="AG62" s="9">
        <v>-3.9202514445304798E-5</v>
      </c>
      <c r="AZ62" s="9"/>
      <c r="BB62">
        <f t="shared" si="2"/>
        <v>0</v>
      </c>
      <c r="BC62">
        <f t="shared" si="3"/>
        <v>0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0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0</v>
      </c>
      <c r="BY62" s="12">
        <f t="shared" si="19"/>
        <v>0</v>
      </c>
    </row>
    <row r="63" spans="1:77" x14ac:dyDescent="0.3">
      <c r="A63" s="1">
        <v>46113</v>
      </c>
      <c r="B63" s="8">
        <v>32.799999999999997</v>
      </c>
      <c r="C63" s="8">
        <v>166.8</v>
      </c>
      <c r="D63" s="9">
        <v>-3.6520071577617802E-2</v>
      </c>
      <c r="E63" s="9">
        <v>-3.6727291720156797E-2</v>
      </c>
      <c r="F63" s="8">
        <v>0</v>
      </c>
      <c r="G63" s="8">
        <v>0.187</v>
      </c>
      <c r="H63" s="8">
        <v>0</v>
      </c>
      <c r="I63" s="8">
        <v>0.96889999999999998</v>
      </c>
      <c r="J63" s="8">
        <v>0</v>
      </c>
      <c r="K63" s="8">
        <v>0</v>
      </c>
      <c r="L63" s="8">
        <v>32.799999999999997</v>
      </c>
      <c r="M63" s="8">
        <v>166.8</v>
      </c>
      <c r="N63" s="10">
        <v>5.08536585365853</v>
      </c>
      <c r="O63" s="10">
        <v>5.0856511037897496</v>
      </c>
      <c r="P63" s="10">
        <v>5.0913599626494497</v>
      </c>
      <c r="Q63" s="10">
        <v>5.08893184699338</v>
      </c>
      <c r="R63" s="8">
        <v>166.80935620430299</v>
      </c>
      <c r="S63" s="8">
        <v>166.992126774902</v>
      </c>
      <c r="T63" s="8">
        <v>166.921423261716</v>
      </c>
      <c r="U63" s="9">
        <v>5.6090778824336599E-5</v>
      </c>
      <c r="V63" s="9">
        <v>1.1511763202792999E-3</v>
      </c>
      <c r="W63" s="9">
        <v>7.2769237220434899E-4</v>
      </c>
      <c r="X63" s="10">
        <v>5.08536585365853</v>
      </c>
      <c r="Y63" s="10">
        <v>5.0846599588316304</v>
      </c>
      <c r="Z63" s="10">
        <v>5.0855933933752899</v>
      </c>
      <c r="AA63" s="10">
        <v>5.0860485623563001</v>
      </c>
      <c r="AB63" s="8">
        <v>166.776846649677</v>
      </c>
      <c r="AC63" s="8">
        <v>166.80298330270901</v>
      </c>
      <c r="AD63" s="8">
        <v>166.82685152561899</v>
      </c>
      <c r="AE63" s="9">
        <v>-1.3881868955965999E-4</v>
      </c>
      <c r="AF63" s="9">
        <v>1.7885347906968201E-5</v>
      </c>
      <c r="AG63" s="9">
        <v>1.6096741347432699E-4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0</v>
      </c>
      <c r="BL63" s="9"/>
      <c r="BN63">
        <f t="shared" si="10"/>
        <v>0</v>
      </c>
      <c r="BO63">
        <f t="shared" si="11"/>
        <v>0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0</v>
      </c>
    </row>
    <row r="64" spans="1:77" x14ac:dyDescent="0.3">
      <c r="A64" s="1">
        <v>46114</v>
      </c>
      <c r="B64" s="8">
        <v>33.04</v>
      </c>
      <c r="C64" s="8">
        <v>168.06</v>
      </c>
      <c r="D64" s="9">
        <v>7.2904332626792696E-3</v>
      </c>
      <c r="E64" s="9">
        <v>7.5255685754258101E-3</v>
      </c>
      <c r="F64" s="8">
        <v>0</v>
      </c>
      <c r="G64" s="8">
        <v>0.187</v>
      </c>
      <c r="H64" s="8">
        <v>0</v>
      </c>
      <c r="I64" s="8">
        <v>0.96889999999999998</v>
      </c>
      <c r="J64" s="8">
        <v>0</v>
      </c>
      <c r="K64" s="8">
        <v>0</v>
      </c>
      <c r="L64" s="8">
        <v>33.04</v>
      </c>
      <c r="M64" s="8">
        <v>168.06</v>
      </c>
      <c r="N64" s="10">
        <v>5.0865617433413997</v>
      </c>
      <c r="O64" s="10">
        <v>5.0856511037897496</v>
      </c>
      <c r="P64" s="10">
        <v>5.0914126834846503</v>
      </c>
      <c r="Q64" s="10">
        <v>5.0890215657729403</v>
      </c>
      <c r="R64" s="8">
        <v>168.029912469213</v>
      </c>
      <c r="S64" s="8">
        <v>168.218533165938</v>
      </c>
      <c r="T64" s="8">
        <v>168.13830822466099</v>
      </c>
      <c r="U64" s="9">
        <v>-1.79044533922278E-4</v>
      </c>
      <c r="V64" s="9">
        <v>9.4286825977390402E-4</v>
      </c>
      <c r="W64" s="9">
        <v>4.65845449914154E-4</v>
      </c>
      <c r="X64" s="10">
        <v>5.0865617433413997</v>
      </c>
      <c r="Y64" s="10">
        <v>5.0846599588316304</v>
      </c>
      <c r="Z64" s="10">
        <v>5.0856461142104896</v>
      </c>
      <c r="AA64" s="10">
        <v>5.0861382811358604</v>
      </c>
      <c r="AB64" s="8">
        <v>167.99716503979701</v>
      </c>
      <c r="AC64" s="8">
        <v>168.02800571711899</v>
      </c>
      <c r="AD64" s="8">
        <v>168.04304450025199</v>
      </c>
      <c r="AE64" s="9">
        <v>-3.73954002306001E-4</v>
      </c>
      <c r="AF64" s="9">
        <v>-1.9039229268997499E-4</v>
      </c>
      <c r="AG64" s="9">
        <v>-1.00894651444308E-4</v>
      </c>
      <c r="AZ64" s="9"/>
      <c r="BB64">
        <f t="shared" si="2"/>
        <v>0</v>
      </c>
      <c r="BC64">
        <f t="shared" si="3"/>
        <v>0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0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0</v>
      </c>
    </row>
    <row r="65" spans="1:77" x14ac:dyDescent="0.3">
      <c r="A65" s="1">
        <v>46118</v>
      </c>
      <c r="B65" s="8">
        <v>33.270000000000003</v>
      </c>
      <c r="C65" s="8">
        <v>169.13</v>
      </c>
      <c r="D65" s="9">
        <v>6.9371413776081903E-3</v>
      </c>
      <c r="E65" s="9">
        <v>6.3465914858783596E-3</v>
      </c>
      <c r="F65" s="8">
        <v>0</v>
      </c>
      <c r="G65" s="8">
        <v>0.187</v>
      </c>
      <c r="H65" s="8">
        <v>0</v>
      </c>
      <c r="I65" s="8">
        <v>0.96889999999999998</v>
      </c>
      <c r="J65" s="8">
        <v>0</v>
      </c>
      <c r="K65" s="8">
        <v>0</v>
      </c>
      <c r="L65" s="8">
        <v>33.270000000000003</v>
      </c>
      <c r="M65" s="8">
        <v>169.13</v>
      </c>
      <c r="N65" s="10">
        <v>5.0835587616471196</v>
      </c>
      <c r="O65" s="10">
        <v>5.0856511037897496</v>
      </c>
      <c r="P65" s="10">
        <v>5.0882746572103397</v>
      </c>
      <c r="Q65" s="10">
        <v>5.0887844576327996</v>
      </c>
      <c r="R65" s="8">
        <v>169.19961222308501</v>
      </c>
      <c r="S65" s="8">
        <v>169.39129997953401</v>
      </c>
      <c r="T65" s="8">
        <v>169.31174749326601</v>
      </c>
      <c r="U65" s="9">
        <v>4.1150535780760299E-4</v>
      </c>
      <c r="V65" s="9">
        <v>1.5437730591566399E-3</v>
      </c>
      <c r="W65" s="9">
        <v>1.0740253652697801E-3</v>
      </c>
      <c r="X65" s="10">
        <v>5.0835587616471196</v>
      </c>
      <c r="Y65" s="10">
        <v>5.0846599588316304</v>
      </c>
      <c r="Z65" s="10">
        <v>5.0854076956530401</v>
      </c>
      <c r="AA65" s="10">
        <v>5.08590117299571</v>
      </c>
      <c r="AB65" s="8">
        <v>169.166636830328</v>
      </c>
      <c r="AC65" s="8">
        <v>169.199446219783</v>
      </c>
      <c r="AD65" s="8">
        <v>169.21582061339001</v>
      </c>
      <c r="AE65" s="9">
        <v>2.16595889423791E-4</v>
      </c>
      <c r="AF65" s="9">
        <v>4.10524248092043E-4</v>
      </c>
      <c r="AG65" s="9">
        <v>5.0729525829612196E-4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0</v>
      </c>
      <c r="BL65" s="9"/>
      <c r="BN65">
        <f t="shared" si="10"/>
        <v>0</v>
      </c>
      <c r="BO65">
        <f t="shared" si="11"/>
        <v>0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0</v>
      </c>
    </row>
    <row r="66" spans="1:77" x14ac:dyDescent="0.3">
      <c r="A66" s="1">
        <v>46119</v>
      </c>
      <c r="B66" s="8">
        <v>33.54</v>
      </c>
      <c r="C66" s="8">
        <v>170.54</v>
      </c>
      <c r="D66" s="9">
        <v>8.0826663646772594E-3</v>
      </c>
      <c r="E66" s="9">
        <v>8.30222332795294E-3</v>
      </c>
      <c r="F66" s="8">
        <v>0</v>
      </c>
      <c r="G66" s="8">
        <v>0.187</v>
      </c>
      <c r="H66" s="8">
        <v>0</v>
      </c>
      <c r="I66" s="8">
        <v>0.96889999999999998</v>
      </c>
      <c r="J66" s="8">
        <v>0</v>
      </c>
      <c r="K66" s="8">
        <v>0</v>
      </c>
      <c r="L66" s="8">
        <v>33.54</v>
      </c>
      <c r="M66" s="8">
        <v>170.54</v>
      </c>
      <c r="N66" s="10">
        <v>5.0846750149075701</v>
      </c>
      <c r="O66" s="10">
        <v>5.0856511037897496</v>
      </c>
      <c r="P66" s="10">
        <v>5.0856411028941597</v>
      </c>
      <c r="Q66" s="10">
        <v>5.0887343209101399</v>
      </c>
      <c r="R66" s="8">
        <v>170.57273802110799</v>
      </c>
      <c r="S66" s="8">
        <v>170.660732002835</v>
      </c>
      <c r="T66" s="8">
        <v>170.67783070900401</v>
      </c>
      <c r="U66" s="9">
        <v>1.9194839453203199E-4</v>
      </c>
      <c r="V66" s="9">
        <v>7.0768903199673605E-4</v>
      </c>
      <c r="W66" s="9">
        <v>8.0787522864296795E-4</v>
      </c>
      <c r="X66" s="10">
        <v>5.0846750149075701</v>
      </c>
      <c r="Y66" s="10">
        <v>5.0846599588316304</v>
      </c>
      <c r="Z66" s="10">
        <v>5.0856411028941597</v>
      </c>
      <c r="AA66" s="10">
        <v>5.08585103627306</v>
      </c>
      <c r="AB66" s="8">
        <v>170.53949501921201</v>
      </c>
      <c r="AC66" s="8">
        <v>170.56457411220299</v>
      </c>
      <c r="AD66" s="8">
        <v>170.58112534227601</v>
      </c>
      <c r="AE66" s="9">
        <v>-2.9610738518187599E-6</v>
      </c>
      <c r="AF66" s="9">
        <v>1.4408550403917201E-4</v>
      </c>
      <c r="AG66" s="9">
        <v>2.4111870781573001E-4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0</v>
      </c>
      <c r="BL66" s="9"/>
      <c r="BN66">
        <f t="shared" si="10"/>
        <v>0</v>
      </c>
      <c r="BO66">
        <f t="shared" si="11"/>
        <v>0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0</v>
      </c>
    </row>
    <row r="67" spans="1:77" x14ac:dyDescent="0.3">
      <c r="A67" s="1">
        <v>46120</v>
      </c>
      <c r="B67" s="8">
        <v>32.4</v>
      </c>
      <c r="C67" s="8">
        <v>164.78</v>
      </c>
      <c r="D67" s="9">
        <v>-3.4580333596778999E-2</v>
      </c>
      <c r="E67" s="9">
        <v>-3.4358622426459498E-2</v>
      </c>
      <c r="F67" s="8">
        <v>0</v>
      </c>
      <c r="G67" s="8">
        <v>0.187</v>
      </c>
      <c r="H67" s="8">
        <v>0</v>
      </c>
      <c r="I67" s="8">
        <v>0.96889999999999998</v>
      </c>
      <c r="J67" s="8">
        <v>0</v>
      </c>
      <c r="K67" s="8">
        <v>0</v>
      </c>
      <c r="L67" s="8">
        <v>32.4</v>
      </c>
      <c r="M67" s="8">
        <v>164.78</v>
      </c>
      <c r="N67" s="10">
        <v>5.0858024691357997</v>
      </c>
      <c r="O67" s="10">
        <v>5.0856511037897496</v>
      </c>
      <c r="P67" s="10">
        <v>5.0857427678284202</v>
      </c>
      <c r="Q67" s="10">
        <v>5.0886540979765202</v>
      </c>
      <c r="R67" s="8">
        <v>164.775095762787</v>
      </c>
      <c r="S67" s="8">
        <v>164.77477173377</v>
      </c>
      <c r="T67" s="8">
        <v>164.874991997488</v>
      </c>
      <c r="U67" s="9">
        <v>-2.9762775787562399E-5</v>
      </c>
      <c r="V67" s="9">
        <v>-3.1729270384823201E-5</v>
      </c>
      <c r="W67" s="9">
        <v>5.7631161319523399E-4</v>
      </c>
      <c r="X67" s="10">
        <v>5.0858024691357997</v>
      </c>
      <c r="Y67" s="10">
        <v>5.0846599588316304</v>
      </c>
      <c r="Z67" s="10">
        <v>5.0857427678284202</v>
      </c>
      <c r="AA67" s="10">
        <v>5.0857708133394297</v>
      </c>
      <c r="AB67" s="8">
        <v>164.742982666144</v>
      </c>
      <c r="AC67" s="8">
        <v>164.77477173377</v>
      </c>
      <c r="AD67" s="8">
        <v>164.78157357524699</v>
      </c>
      <c r="AE67" s="9">
        <v>-2.24672244171379E-4</v>
      </c>
      <c r="AF67" s="9">
        <v>-3.17292703850453E-5</v>
      </c>
      <c r="AG67" s="9">
        <v>9.5495068203687299E-6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0</v>
      </c>
      <c r="BL67" s="9"/>
      <c r="BN67">
        <f t="shared" si="10"/>
        <v>0</v>
      </c>
      <c r="BO67">
        <f t="shared" si="11"/>
        <v>0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0</v>
      </c>
    </row>
    <row r="68" spans="1:77" x14ac:dyDescent="0.3">
      <c r="A68" s="1">
        <v>46121</v>
      </c>
      <c r="B68" s="8">
        <v>31.99</v>
      </c>
      <c r="C68" s="8">
        <v>162.72999999999999</v>
      </c>
      <c r="D68" s="9">
        <v>-1.2735068836857001E-2</v>
      </c>
      <c r="E68" s="9">
        <v>-1.2518865214921E-2</v>
      </c>
      <c r="F68" s="8">
        <v>0</v>
      </c>
      <c r="G68" s="8">
        <v>0.187</v>
      </c>
      <c r="H68" s="8">
        <v>0</v>
      </c>
      <c r="I68" s="8">
        <v>0.96889999999999998</v>
      </c>
      <c r="J68" s="8">
        <v>0</v>
      </c>
      <c r="K68" s="8">
        <v>0</v>
      </c>
      <c r="L68" s="8">
        <v>31.99</v>
      </c>
      <c r="M68" s="8">
        <v>162.72999999999999</v>
      </c>
      <c r="N68" s="10">
        <v>5.0869021569240296</v>
      </c>
      <c r="O68" s="10">
        <v>5.0856511037897496</v>
      </c>
      <c r="P68" s="10">
        <v>5.08585985981866</v>
      </c>
      <c r="Q68" s="10">
        <v>5.0886362592529997</v>
      </c>
      <c r="R68" s="8">
        <v>162.68997881023401</v>
      </c>
      <c r="S68" s="8">
        <v>162.69291114283101</v>
      </c>
      <c r="T68" s="8">
        <v>162.78604459426799</v>
      </c>
      <c r="U68" s="9">
        <v>-2.4596639772350102E-4</v>
      </c>
      <c r="V68" s="9">
        <v>-2.27942508405466E-4</v>
      </c>
      <c r="W68" s="9">
        <v>3.44343056223584E-4</v>
      </c>
      <c r="X68" s="10">
        <v>5.0869021569240296</v>
      </c>
      <c r="Y68" s="10">
        <v>5.0846599588316304</v>
      </c>
      <c r="Z68" s="10">
        <v>5.08585985981866</v>
      </c>
      <c r="AA68" s="10">
        <v>5.0857529746159198</v>
      </c>
      <c r="AB68" s="8">
        <v>162.65827208302301</v>
      </c>
      <c r="AC68" s="8">
        <v>162.69291114283101</v>
      </c>
      <c r="AD68" s="8">
        <v>162.693808318728</v>
      </c>
      <c r="AE68" s="9">
        <v>-4.4087586610738999E-4</v>
      </c>
      <c r="AF68" s="9">
        <v>-2.27942508405466E-4</v>
      </c>
      <c r="AG68" s="9">
        <v>-2.2242798772226301E-4</v>
      </c>
      <c r="AZ68" s="9"/>
      <c r="BB68">
        <f t="shared" si="2"/>
        <v>0</v>
      </c>
      <c r="BC68">
        <f t="shared" si="3"/>
        <v>0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0</v>
      </c>
      <c r="BL68" s="9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0</v>
      </c>
    </row>
    <row r="69" spans="1:77" x14ac:dyDescent="0.3">
      <c r="A69" s="1">
        <v>46122</v>
      </c>
      <c r="B69" s="8">
        <v>31.82</v>
      </c>
      <c r="C69" s="8">
        <v>161.79</v>
      </c>
      <c r="D69" s="9">
        <v>-5.3283310517857696E-3</v>
      </c>
      <c r="E69" s="9">
        <v>-5.79318765527759E-3</v>
      </c>
      <c r="F69" s="8">
        <v>0</v>
      </c>
      <c r="G69" s="8">
        <v>0.187</v>
      </c>
      <c r="H69" s="8">
        <v>0</v>
      </c>
      <c r="I69" s="8">
        <v>0.96889999999999998</v>
      </c>
      <c r="J69" s="8">
        <v>0</v>
      </c>
      <c r="K69" s="8">
        <v>0</v>
      </c>
      <c r="L69" s="8">
        <v>31.82</v>
      </c>
      <c r="M69" s="8">
        <v>161.79</v>
      </c>
      <c r="N69" s="10">
        <v>5.0845380263984898</v>
      </c>
      <c r="O69" s="10">
        <v>5.0856511037897496</v>
      </c>
      <c r="P69" s="10">
        <v>5.0855786347050804</v>
      </c>
      <c r="Q69" s="10">
        <v>5.0885501116394298</v>
      </c>
      <c r="R69" s="8">
        <v>161.82541812258901</v>
      </c>
      <c r="S69" s="8">
        <v>161.83206073942901</v>
      </c>
      <c r="T69" s="8">
        <v>161.92040576943</v>
      </c>
      <c r="U69" s="9">
        <v>2.18890205768326E-4</v>
      </c>
      <c r="V69" s="9">
        <v>2.5993740705181902E-4</v>
      </c>
      <c r="W69" s="9">
        <v>8.0569406581267099E-4</v>
      </c>
      <c r="X69" s="10">
        <v>5.0845380263984898</v>
      </c>
      <c r="Y69" s="10">
        <v>5.0846599588316304</v>
      </c>
      <c r="Z69" s="10">
        <v>5.0855786347050804</v>
      </c>
      <c r="AA69" s="10">
        <v>5.08566682700235</v>
      </c>
      <c r="AB69" s="8">
        <v>161.793879890022</v>
      </c>
      <c r="AC69" s="8">
        <v>161.83206073942901</v>
      </c>
      <c r="AD69" s="8">
        <v>161.82865965227799</v>
      </c>
      <c r="AE69" s="9">
        <v>2.39807373843319E-5</v>
      </c>
      <c r="AF69" s="9">
        <v>2.5993740705181902E-4</v>
      </c>
      <c r="AG69" s="9">
        <v>2.38921034431264E-4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0</v>
      </c>
      <c r="BL69" s="9"/>
      <c r="BN69">
        <f t="shared" si="10"/>
        <v>0</v>
      </c>
      <c r="BO69">
        <f t="shared" si="11"/>
        <v>0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0</v>
      </c>
    </row>
    <row r="70" spans="1:77" x14ac:dyDescent="0.3">
      <c r="A70" s="1">
        <v>46125</v>
      </c>
      <c r="B70" s="8">
        <v>31.91</v>
      </c>
      <c r="C70" s="8">
        <v>162.31</v>
      </c>
      <c r="D70" s="9">
        <v>2.8244173805114202E-3</v>
      </c>
      <c r="E70" s="9">
        <v>3.2088888997339601E-3</v>
      </c>
      <c r="F70" s="8">
        <v>0</v>
      </c>
      <c r="G70" s="8">
        <v>0.187</v>
      </c>
      <c r="H70" s="8">
        <v>0</v>
      </c>
      <c r="I70" s="8">
        <v>0.96889999999999998</v>
      </c>
      <c r="J70" s="8">
        <v>0</v>
      </c>
      <c r="K70" s="8">
        <v>0</v>
      </c>
      <c r="L70" s="8">
        <v>31.91</v>
      </c>
      <c r="M70" s="8">
        <v>162.31</v>
      </c>
      <c r="N70" s="10">
        <v>5.0864932623002197</v>
      </c>
      <c r="O70" s="10">
        <v>5.0856511037897496</v>
      </c>
      <c r="P70" s="10">
        <v>5.0856047933582103</v>
      </c>
      <c r="Q70" s="10">
        <v>5.0884515174865399</v>
      </c>
      <c r="R70" s="8">
        <v>162.28312672192999</v>
      </c>
      <c r="S70" s="8">
        <v>162.280814233439</v>
      </c>
      <c r="T70" s="8">
        <v>162.37563406241401</v>
      </c>
      <c r="U70" s="9">
        <v>-1.6558131345444601E-4</v>
      </c>
      <c r="V70" s="9">
        <v>-1.7983113113328601E-4</v>
      </c>
      <c r="W70" s="9">
        <v>4.0429299249946E-4</v>
      </c>
      <c r="X70" s="10">
        <v>5.0864932623002197</v>
      </c>
      <c r="Y70" s="10">
        <v>5.0846599588316304</v>
      </c>
      <c r="Z70" s="10">
        <v>5.0856047933582103</v>
      </c>
      <c r="AA70" s="10">
        <v>5.08556823284946</v>
      </c>
      <c r="AB70" s="8">
        <v>162.251499286317</v>
      </c>
      <c r="AC70" s="8">
        <v>162.280814233439</v>
      </c>
      <c r="AD70" s="8">
        <v>162.28362844964499</v>
      </c>
      <c r="AE70" s="9">
        <v>-3.6049078183831998E-4</v>
      </c>
      <c r="AF70" s="9">
        <v>-1.7983113113328601E-4</v>
      </c>
      <c r="AG70" s="9">
        <v>-1.62489636897445E-4</v>
      </c>
      <c r="AZ70" s="9"/>
      <c r="BB70">
        <f t="shared" si="2"/>
        <v>0</v>
      </c>
      <c r="BC70">
        <f t="shared" si="3"/>
        <v>0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0</v>
      </c>
      <c r="BL70" s="9"/>
      <c r="BN70">
        <f t="shared" si="10"/>
        <v>0</v>
      </c>
      <c r="BO70">
        <f t="shared" si="11"/>
        <v>1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0</v>
      </c>
    </row>
    <row r="71" spans="1:77" x14ac:dyDescent="0.3">
      <c r="A71" s="1">
        <v>46126</v>
      </c>
      <c r="B71" s="8">
        <v>31.2</v>
      </c>
      <c r="C71" s="8">
        <v>158.69</v>
      </c>
      <c r="D71" s="9">
        <v>-2.2501345474715499E-2</v>
      </c>
      <c r="E71" s="9">
        <v>-2.25554733422282E-2</v>
      </c>
      <c r="F71" s="8">
        <v>0</v>
      </c>
      <c r="G71" s="8">
        <v>0.187</v>
      </c>
      <c r="H71" s="8">
        <v>0</v>
      </c>
      <c r="I71" s="8">
        <v>0.96889999999999998</v>
      </c>
      <c r="J71" s="8">
        <v>0</v>
      </c>
      <c r="K71" s="8">
        <v>0</v>
      </c>
      <c r="L71" s="8">
        <v>31.2</v>
      </c>
      <c r="M71" s="8">
        <v>158.69</v>
      </c>
      <c r="N71" s="10">
        <v>5.0862179487179402</v>
      </c>
      <c r="O71" s="10">
        <v>5.0856511037897496</v>
      </c>
      <c r="P71" s="10">
        <v>5.0856534990117499</v>
      </c>
      <c r="Q71" s="10">
        <v>5.0883983251468798</v>
      </c>
      <c r="R71" s="8">
        <v>158.67231443823999</v>
      </c>
      <c r="S71" s="8">
        <v>158.670869552776</v>
      </c>
      <c r="T71" s="8">
        <v>158.75968734558001</v>
      </c>
      <c r="U71" s="9">
        <v>-1.11453445941496E-4</v>
      </c>
      <c r="V71" s="9">
        <v>-1.20559584260698E-4</v>
      </c>
      <c r="W71" s="9">
        <v>4.39044985568865E-4</v>
      </c>
      <c r="X71" s="10">
        <v>5.0862179487179402</v>
      </c>
      <c r="Y71" s="10">
        <v>5.0846599588316304</v>
      </c>
      <c r="Z71" s="10">
        <v>5.0856534990117499</v>
      </c>
      <c r="AA71" s="10">
        <v>5.0855150405098</v>
      </c>
      <c r="AB71" s="8">
        <v>158.64139071554601</v>
      </c>
      <c r="AC71" s="8">
        <v>158.670869552776</v>
      </c>
      <c r="AD71" s="8">
        <v>158.66972886490299</v>
      </c>
      <c r="AE71" s="9">
        <v>-3.0636291432541802E-4</v>
      </c>
      <c r="AF71" s="9">
        <v>-1.20559584260698E-4</v>
      </c>
      <c r="AG71" s="9">
        <v>-1.27748628956608E-4</v>
      </c>
      <c r="AZ71" s="9"/>
      <c r="BB71">
        <f t="shared" si="2"/>
        <v>0</v>
      </c>
      <c r="BC71">
        <f t="shared" si="3"/>
        <v>0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0</v>
      </c>
      <c r="BL71" s="9"/>
      <c r="BN71">
        <f t="shared" si="10"/>
        <v>0</v>
      </c>
      <c r="BO71">
        <f t="shared" si="11"/>
        <v>1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0</v>
      </c>
    </row>
    <row r="72" spans="1:77" x14ac:dyDescent="0.3">
      <c r="A72" s="1">
        <v>46127</v>
      </c>
      <c r="B72" s="8">
        <v>31.15</v>
      </c>
      <c r="C72" s="8">
        <v>158.44999999999999</v>
      </c>
      <c r="D72" s="9">
        <v>-1.6038495819745101E-3</v>
      </c>
      <c r="E72" s="9">
        <v>-1.5135274378212499E-3</v>
      </c>
      <c r="F72" s="8">
        <v>0</v>
      </c>
      <c r="G72" s="8">
        <v>0.187</v>
      </c>
      <c r="H72" s="8">
        <v>0</v>
      </c>
      <c r="I72" s="8">
        <v>0.96889999999999998</v>
      </c>
      <c r="J72" s="8">
        <v>0</v>
      </c>
      <c r="K72" s="8">
        <v>0</v>
      </c>
      <c r="L72" s="8">
        <v>31.15</v>
      </c>
      <c r="M72" s="8">
        <v>158.44999999999999</v>
      </c>
      <c r="N72" s="10">
        <v>5.0866773675762396</v>
      </c>
      <c r="O72" s="10">
        <v>5.0856511037897496</v>
      </c>
      <c r="P72" s="10">
        <v>5.0856792604607302</v>
      </c>
      <c r="Q72" s="10">
        <v>5.0884513188721696</v>
      </c>
      <c r="R72" s="8">
        <v>158.41803188304999</v>
      </c>
      <c r="S72" s="8">
        <v>158.418106494216</v>
      </c>
      <c r="T72" s="8">
        <v>158.50360782832499</v>
      </c>
      <c r="U72" s="9">
        <v>-2.01775590094794E-4</v>
      </c>
      <c r="V72" s="9">
        <v>-2.01304613735679E-4</v>
      </c>
      <c r="W72" s="9">
        <v>3.38269245167791E-4</v>
      </c>
      <c r="X72" s="10">
        <v>5.0866773675762396</v>
      </c>
      <c r="Y72" s="10">
        <v>5.0846599588316304</v>
      </c>
      <c r="Z72" s="10">
        <v>5.0856792604607302</v>
      </c>
      <c r="AA72" s="10">
        <v>5.08556803423508</v>
      </c>
      <c r="AB72" s="8">
        <v>158.38715771760499</v>
      </c>
      <c r="AC72" s="8">
        <v>158.418106494216</v>
      </c>
      <c r="AD72" s="8">
        <v>158.41379351187999</v>
      </c>
      <c r="AE72" s="9">
        <v>-3.9668505847874097E-4</v>
      </c>
      <c r="AF72" s="9">
        <v>-2.0130461373545701E-4</v>
      </c>
      <c r="AG72" s="9">
        <v>-2.2853029609952401E-4</v>
      </c>
      <c r="AZ72" s="9"/>
      <c r="BB72">
        <f t="shared" si="2"/>
        <v>0</v>
      </c>
      <c r="BC72">
        <f t="shared" si="3"/>
        <v>0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0</v>
      </c>
      <c r="BL72" s="9"/>
      <c r="BN72">
        <f t="shared" si="10"/>
        <v>0</v>
      </c>
      <c r="BO72">
        <f t="shared" si="11"/>
        <v>1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0</v>
      </c>
    </row>
    <row r="73" spans="1:77" x14ac:dyDescent="0.3">
      <c r="A73" s="1">
        <v>46128</v>
      </c>
      <c r="B73" s="8">
        <v>31.65</v>
      </c>
      <c r="C73" s="8">
        <v>160.93</v>
      </c>
      <c r="D73" s="9">
        <v>1.5923903356723099E-2</v>
      </c>
      <c r="E73" s="9">
        <v>1.5530401693473901E-2</v>
      </c>
      <c r="F73" s="8">
        <v>0</v>
      </c>
      <c r="G73" s="8">
        <v>0.187</v>
      </c>
      <c r="H73" s="8">
        <v>0</v>
      </c>
      <c r="I73" s="8">
        <v>0.96889999999999998</v>
      </c>
      <c r="J73" s="8">
        <v>0</v>
      </c>
      <c r="K73" s="8">
        <v>0</v>
      </c>
      <c r="L73" s="8">
        <v>31.65</v>
      </c>
      <c r="M73" s="8">
        <v>160.93</v>
      </c>
      <c r="N73" s="10">
        <v>5.0846761453396496</v>
      </c>
      <c r="O73" s="10">
        <v>5.0856511037897496</v>
      </c>
      <c r="P73" s="10">
        <v>5.0856102896288498</v>
      </c>
      <c r="Q73" s="10">
        <v>5.0884851261391502</v>
      </c>
      <c r="R73" s="8">
        <v>160.96085743494501</v>
      </c>
      <c r="S73" s="8">
        <v>160.961748593582</v>
      </c>
      <c r="T73" s="8">
        <v>161.049484242304</v>
      </c>
      <c r="U73" s="9">
        <v>1.9172607315445301E-4</v>
      </c>
      <c r="V73" s="9">
        <v>1.9726255068043701E-4</v>
      </c>
      <c r="W73" s="9">
        <v>7.4218547228325897E-4</v>
      </c>
      <c r="X73" s="10">
        <v>5.0846761453396496</v>
      </c>
      <c r="Y73" s="10">
        <v>5.0846599588316304</v>
      </c>
      <c r="Z73" s="10">
        <v>5.0856102896288498</v>
      </c>
      <c r="AA73" s="10">
        <v>5.0856018415020703</v>
      </c>
      <c r="AB73" s="8">
        <v>160.92948769702099</v>
      </c>
      <c r="AC73" s="8">
        <v>160.961748593582</v>
      </c>
      <c r="AD73" s="8">
        <v>160.95822828354</v>
      </c>
      <c r="AE73" s="9">
        <v>-3.1833952294728098E-6</v>
      </c>
      <c r="AF73" s="9">
        <v>1.97262550680659E-4</v>
      </c>
      <c r="AG73" s="9">
        <v>1.7539183562833099E-4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0</v>
      </c>
      <c r="BL73" s="9"/>
      <c r="BN73">
        <f t="shared" si="10"/>
        <v>0</v>
      </c>
      <c r="BO73">
        <f t="shared" si="11"/>
        <v>0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0</v>
      </c>
    </row>
    <row r="74" spans="1:77" x14ac:dyDescent="0.3">
      <c r="A74" s="1">
        <v>46129</v>
      </c>
      <c r="B74" s="8">
        <v>30.69</v>
      </c>
      <c r="C74" s="8">
        <v>156.07</v>
      </c>
      <c r="D74" s="9">
        <v>-3.0801279958540199E-2</v>
      </c>
      <c r="E74" s="9">
        <v>-3.0664863275941302E-2</v>
      </c>
      <c r="F74" s="8">
        <v>0</v>
      </c>
      <c r="G74" s="8">
        <v>0.187</v>
      </c>
      <c r="H74" s="8">
        <v>0</v>
      </c>
      <c r="I74" s="8">
        <v>0.96889999999999998</v>
      </c>
      <c r="J74" s="8">
        <v>0</v>
      </c>
      <c r="K74" s="8">
        <v>0</v>
      </c>
      <c r="L74" s="8">
        <v>30.69</v>
      </c>
      <c r="M74" s="8">
        <v>156.07</v>
      </c>
      <c r="N74" s="10">
        <v>5.0853698273053096</v>
      </c>
      <c r="O74" s="10">
        <v>5.0856511037897496</v>
      </c>
      <c r="P74" s="10">
        <v>5.0854910980252397</v>
      </c>
      <c r="Q74" s="10">
        <v>5.0884518907549401</v>
      </c>
      <c r="R74" s="8">
        <v>156.078632375307</v>
      </c>
      <c r="S74" s="8">
        <v>156.07737978870901</v>
      </c>
      <c r="T74" s="8">
        <v>156.16560852121</v>
      </c>
      <c r="U74" s="9">
        <v>5.5309390555446397E-5</v>
      </c>
      <c r="V74" s="9">
        <v>4.7284002292858303E-5</v>
      </c>
      <c r="W74" s="9">
        <v>6.1241268830035595E-4</v>
      </c>
      <c r="X74" s="10">
        <v>5.0853698273053096</v>
      </c>
      <c r="Y74" s="10">
        <v>5.0846599588316304</v>
      </c>
      <c r="Z74" s="10">
        <v>5.0854910980252397</v>
      </c>
      <c r="AA74" s="10">
        <v>5.0855686061178602</v>
      </c>
      <c r="AB74" s="8">
        <v>156.04821413654199</v>
      </c>
      <c r="AC74" s="8">
        <v>156.07737978870901</v>
      </c>
      <c r="AD74" s="8">
        <v>156.077120515698</v>
      </c>
      <c r="AE74" s="9">
        <v>-1.3960007782843001E-4</v>
      </c>
      <c r="AF74" s="9">
        <v>4.7284002292858303E-5</v>
      </c>
      <c r="AG74" s="9">
        <v>4.5622818419799899E-5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0</v>
      </c>
      <c r="BL74" s="9"/>
      <c r="BN74">
        <f t="shared" si="10"/>
        <v>0</v>
      </c>
      <c r="BO74">
        <f t="shared" si="11"/>
        <v>0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0</v>
      </c>
    </row>
    <row r="75" spans="1:77" x14ac:dyDescent="0.3">
      <c r="A75" s="1">
        <v>46132</v>
      </c>
      <c r="B75" s="8">
        <v>30.77</v>
      </c>
      <c r="C75" s="8">
        <v>156.44999999999999</v>
      </c>
      <c r="D75" s="9">
        <v>2.6033207023055701E-3</v>
      </c>
      <c r="E75" s="9">
        <v>2.4318455604289799E-3</v>
      </c>
      <c r="F75" s="8">
        <v>0</v>
      </c>
      <c r="G75" s="8">
        <v>0.187</v>
      </c>
      <c r="H75" s="8">
        <v>0</v>
      </c>
      <c r="I75" s="8">
        <v>0.96889999999999998</v>
      </c>
      <c r="J75" s="8">
        <v>0</v>
      </c>
      <c r="K75" s="8">
        <v>0</v>
      </c>
      <c r="L75" s="8">
        <v>30.77</v>
      </c>
      <c r="M75" s="8">
        <v>156.44999999999999</v>
      </c>
      <c r="N75" s="10">
        <v>5.0844978875528097</v>
      </c>
      <c r="O75" s="10">
        <v>5.0856511037897496</v>
      </c>
      <c r="P75" s="10">
        <v>5.0855850106158096</v>
      </c>
      <c r="Q75" s="10">
        <v>5.0869298339130697</v>
      </c>
      <c r="R75" s="8">
        <v>156.48548446360999</v>
      </c>
      <c r="S75" s="8">
        <v>156.48056108623601</v>
      </c>
      <c r="T75" s="8">
        <v>156.571664678529</v>
      </c>
      <c r="U75" s="9">
        <v>2.2678453243211999E-4</v>
      </c>
      <c r="V75" s="9">
        <v>1.95321838990456E-4</v>
      </c>
      <c r="W75" s="9">
        <v>7.7735631993014205E-4</v>
      </c>
      <c r="X75" s="10">
        <v>5.0844978875528097</v>
      </c>
      <c r="Y75" s="10">
        <v>5.0846599588316304</v>
      </c>
      <c r="Z75" s="10">
        <v>5.0855850106157998</v>
      </c>
      <c r="AA75" s="10">
        <v>5.0854963531344204</v>
      </c>
      <c r="AB75" s="8">
        <v>156.45498693324899</v>
      </c>
      <c r="AC75" s="8">
        <v>156.48056108623601</v>
      </c>
      <c r="AD75" s="8">
        <v>156.482946010246</v>
      </c>
      <c r="AE75" s="9">
        <v>3.1875064048381503E-5</v>
      </c>
      <c r="AF75" s="9">
        <v>1.9532183899067799E-4</v>
      </c>
      <c r="AG75" s="9">
        <v>2.1056274699417899E-4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0</v>
      </c>
      <c r="BL75" s="9"/>
      <c r="BN75">
        <f t="shared" si="10"/>
        <v>0</v>
      </c>
      <c r="BO75">
        <f t="shared" si="11"/>
        <v>0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0</v>
      </c>
    </row>
    <row r="76" spans="1:77" x14ac:dyDescent="0.3">
      <c r="A76" s="1">
        <v>46133</v>
      </c>
      <c r="B76" s="8">
        <v>31.22</v>
      </c>
      <c r="C76" s="8">
        <v>158.69</v>
      </c>
      <c r="D76" s="9">
        <v>1.4518725753335401E-2</v>
      </c>
      <c r="E76" s="9">
        <v>1.42161434598598E-2</v>
      </c>
      <c r="F76" s="8">
        <v>0</v>
      </c>
      <c r="G76" s="8">
        <v>0.187</v>
      </c>
      <c r="H76" s="8">
        <v>0</v>
      </c>
      <c r="I76" s="8">
        <v>0.96889999999999998</v>
      </c>
      <c r="J76" s="8">
        <v>0</v>
      </c>
      <c r="K76" s="8">
        <v>0</v>
      </c>
      <c r="L76" s="8">
        <v>31.22</v>
      </c>
      <c r="M76" s="8">
        <v>158.69</v>
      </c>
      <c r="N76" s="10">
        <v>5.0829596412556004</v>
      </c>
      <c r="O76" s="10">
        <v>5.0856511037897496</v>
      </c>
      <c r="P76" s="10">
        <v>5.0854134732506102</v>
      </c>
      <c r="Q76" s="10">
        <v>5.0855272880723801</v>
      </c>
      <c r="R76" s="8">
        <v>158.77402746031601</v>
      </c>
      <c r="S76" s="8">
        <v>158.771964031425</v>
      </c>
      <c r="T76" s="8">
        <v>158.813949414766</v>
      </c>
      <c r="U76" s="9">
        <v>5.2936682590786605E-4</v>
      </c>
      <c r="V76" s="9">
        <v>5.1637073119539399E-4</v>
      </c>
      <c r="W76" s="9">
        <v>7.8077404259989803E-4</v>
      </c>
      <c r="X76" s="10">
        <v>5.0829596412556004</v>
      </c>
      <c r="Y76" s="10">
        <v>5.0846599588316304</v>
      </c>
      <c r="Z76" s="10">
        <v>5.0854134732506102</v>
      </c>
      <c r="AA76" s="10">
        <v>5.0855272880723801</v>
      </c>
      <c r="AB76" s="8">
        <v>158.743083914723</v>
      </c>
      <c r="AC76" s="8">
        <v>158.771964031425</v>
      </c>
      <c r="AD76" s="8">
        <v>158.76919614485601</v>
      </c>
      <c r="AE76" s="9">
        <v>3.3445735752395502E-4</v>
      </c>
      <c r="AF76" s="9">
        <v>5.1637073119517195E-4</v>
      </c>
      <c r="AG76" s="9">
        <v>4.9893748526689597E-4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0</v>
      </c>
      <c r="BL76" s="9"/>
      <c r="BN76">
        <f t="shared" si="10"/>
        <v>0</v>
      </c>
      <c r="BO76">
        <f t="shared" si="11"/>
        <v>0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0</v>
      </c>
    </row>
    <row r="77" spans="1:77" x14ac:dyDescent="0.3">
      <c r="A77" s="1">
        <v>46134</v>
      </c>
      <c r="B77" s="8">
        <v>31.62</v>
      </c>
      <c r="C77" s="8">
        <v>160.75</v>
      </c>
      <c r="D77" s="9">
        <v>1.27309166940399E-2</v>
      </c>
      <c r="E77" s="9">
        <v>1.28977495429778E-2</v>
      </c>
      <c r="F77" s="8">
        <v>0</v>
      </c>
      <c r="G77" s="8">
        <v>0.187</v>
      </c>
      <c r="H77" s="8">
        <v>0</v>
      </c>
      <c r="I77" s="8">
        <v>0.96889999999999998</v>
      </c>
      <c r="J77" s="8">
        <v>0</v>
      </c>
      <c r="K77" s="8">
        <v>0</v>
      </c>
      <c r="L77" s="8">
        <v>31.62</v>
      </c>
      <c r="M77" s="8">
        <v>160.75</v>
      </c>
      <c r="N77" s="10">
        <v>5.0838077166350404</v>
      </c>
      <c r="O77" s="10">
        <v>5.0856511037897496</v>
      </c>
      <c r="P77" s="10">
        <v>5.0852139980005298</v>
      </c>
      <c r="Q77" s="10">
        <v>5.0854783829144798</v>
      </c>
      <c r="R77" s="8">
        <v>160.80828790183099</v>
      </c>
      <c r="S77" s="8">
        <v>160.80077402418399</v>
      </c>
      <c r="T77" s="8">
        <v>160.804372848848</v>
      </c>
      <c r="U77" s="9">
        <v>3.6253397696992901E-4</v>
      </c>
      <c r="V77" s="9">
        <v>3.1580719878818397E-4</v>
      </c>
      <c r="W77" s="9">
        <v>3.3818759101576101E-4</v>
      </c>
      <c r="X77" s="10">
        <v>5.0838077166350404</v>
      </c>
      <c r="Y77" s="10">
        <v>5.0846599588316304</v>
      </c>
      <c r="Z77" s="10">
        <v>5.0852139980005298</v>
      </c>
      <c r="AA77" s="10">
        <v>5.0854783829144798</v>
      </c>
      <c r="AB77" s="8">
        <v>160.776947898256</v>
      </c>
      <c r="AC77" s="8">
        <v>160.80077402418399</v>
      </c>
      <c r="AD77" s="8">
        <v>160.804372848848</v>
      </c>
      <c r="AE77" s="9">
        <v>1.67624508586149E-4</v>
      </c>
      <c r="AF77" s="9">
        <v>3.1580719878818397E-4</v>
      </c>
      <c r="AG77" s="9">
        <v>3.3818759101576101E-4</v>
      </c>
      <c r="AZ77" s="9"/>
      <c r="BB77">
        <f t="shared" si="2"/>
        <v>0</v>
      </c>
      <c r="BC77">
        <f t="shared" si="3"/>
        <v>1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0</v>
      </c>
      <c r="BL77" s="9"/>
      <c r="BN77">
        <f t="shared" si="10"/>
        <v>0</v>
      </c>
      <c r="BO77">
        <f t="shared" si="11"/>
        <v>0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0</v>
      </c>
    </row>
    <row r="78" spans="1:77" x14ac:dyDescent="0.3">
      <c r="A78" s="1">
        <v>46135</v>
      </c>
      <c r="B78" s="8">
        <v>31.86</v>
      </c>
      <c r="C78" s="8">
        <v>162.04</v>
      </c>
      <c r="D78" s="9">
        <v>7.5614727005764801E-3</v>
      </c>
      <c r="E78" s="9">
        <v>7.9928552167610901E-3</v>
      </c>
      <c r="F78" s="8">
        <v>0</v>
      </c>
      <c r="G78" s="8">
        <v>0.187</v>
      </c>
      <c r="H78" s="8">
        <v>0</v>
      </c>
      <c r="I78" s="8">
        <v>0.96889999999999998</v>
      </c>
      <c r="J78" s="8">
        <v>0</v>
      </c>
      <c r="K78" s="8">
        <v>0</v>
      </c>
      <c r="L78" s="8">
        <v>31.86</v>
      </c>
      <c r="M78" s="8">
        <v>162.04</v>
      </c>
      <c r="N78" s="10">
        <v>5.0860012554927803</v>
      </c>
      <c r="O78" s="10">
        <v>5.0856511037897496</v>
      </c>
      <c r="P78" s="10">
        <v>5.08512390785741</v>
      </c>
      <c r="Q78" s="10">
        <v>5.0854918838380296</v>
      </c>
      <c r="R78" s="8">
        <v>162.02884416674101</v>
      </c>
      <c r="S78" s="8">
        <v>162.014917976297</v>
      </c>
      <c r="T78" s="8">
        <v>162.023341279655</v>
      </c>
      <c r="U78" s="9">
        <v>-6.88485392147215E-5</v>
      </c>
      <c r="V78" s="9">
        <v>-1.5480106834753901E-4</v>
      </c>
      <c r="W78" s="9">
        <v>-1.0281150773516601E-4</v>
      </c>
      <c r="X78" s="10">
        <v>5.0860012554927803</v>
      </c>
      <c r="Y78" s="10">
        <v>5.0846599588316304</v>
      </c>
      <c r="Z78" s="10">
        <v>5.08512390785741</v>
      </c>
      <c r="AA78" s="10">
        <v>5.0854918838380296</v>
      </c>
      <c r="AB78" s="8">
        <v>161.99726628837499</v>
      </c>
      <c r="AC78" s="8">
        <v>162.014917976297</v>
      </c>
      <c r="AD78" s="8">
        <v>162.023341279655</v>
      </c>
      <c r="AE78" s="9">
        <v>-2.6375800759853498E-4</v>
      </c>
      <c r="AF78" s="9">
        <v>-1.5480106834753901E-4</v>
      </c>
      <c r="AG78" s="9">
        <v>-1.0281150773516601E-4</v>
      </c>
      <c r="AZ78" s="9"/>
      <c r="BB78">
        <f t="shared" si="2"/>
        <v>0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0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0</v>
      </c>
    </row>
    <row r="79" spans="1:77" x14ac:dyDescent="0.3">
      <c r="A79" s="1">
        <v>46136</v>
      </c>
      <c r="B79" s="8">
        <v>31.8</v>
      </c>
      <c r="C79" s="8">
        <v>161.72</v>
      </c>
      <c r="D79" s="9">
        <v>-1.8850146957712199E-3</v>
      </c>
      <c r="E79" s="9">
        <v>-1.9767735619196799E-3</v>
      </c>
      <c r="F79" s="8">
        <v>0</v>
      </c>
      <c r="G79" s="8">
        <v>0.187</v>
      </c>
      <c r="H79" s="8">
        <v>0</v>
      </c>
      <c r="I79" s="8">
        <v>0.96889999999999998</v>
      </c>
      <c r="J79" s="8">
        <v>0</v>
      </c>
      <c r="K79" s="8">
        <v>0</v>
      </c>
      <c r="L79" s="8">
        <v>31.8</v>
      </c>
      <c r="M79" s="8">
        <v>161.72</v>
      </c>
      <c r="N79" s="10">
        <v>5.0855345911949597</v>
      </c>
      <c r="O79" s="10">
        <v>5.0856511037897496</v>
      </c>
      <c r="P79" s="10">
        <v>5.08522356433705</v>
      </c>
      <c r="Q79" s="10">
        <v>5.0854010995210697</v>
      </c>
      <c r="R79" s="8">
        <v>161.723705100514</v>
      </c>
      <c r="S79" s="8">
        <v>161.70694026986499</v>
      </c>
      <c r="T79" s="8">
        <v>161.71864190604899</v>
      </c>
      <c r="U79" s="9">
        <v>2.2910326933878501E-5</v>
      </c>
      <c r="V79" s="9">
        <v>-8.0758455869824706E-5</v>
      </c>
      <c r="W79" s="9">
        <v>-8.3978459866238305E-6</v>
      </c>
      <c r="X79" s="10">
        <v>5.0855345911949597</v>
      </c>
      <c r="Y79" s="10">
        <v>5.0846599588316304</v>
      </c>
      <c r="Z79" s="10">
        <v>5.08522356433705</v>
      </c>
      <c r="AA79" s="10">
        <v>5.0854010995210697</v>
      </c>
      <c r="AB79" s="8">
        <v>161.69218669084501</v>
      </c>
      <c r="AC79" s="8">
        <v>161.70694026986499</v>
      </c>
      <c r="AD79" s="8">
        <v>161.71864190604899</v>
      </c>
      <c r="AE79" s="9">
        <v>-1.71999141450046E-4</v>
      </c>
      <c r="AF79" s="9">
        <v>-8.0758455869824706E-5</v>
      </c>
      <c r="AG79" s="9">
        <v>-8.3978459866238305E-6</v>
      </c>
      <c r="AZ79" s="9"/>
      <c r="BB79">
        <f t="shared" si="2"/>
        <v>0</v>
      </c>
      <c r="BC79">
        <f t="shared" si="3"/>
        <v>0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0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0</v>
      </c>
    </row>
    <row r="80" spans="1:77" x14ac:dyDescent="0.3">
      <c r="A80" s="1">
        <v>46139</v>
      </c>
      <c r="B80" s="8">
        <v>31.83</v>
      </c>
      <c r="C80" s="8">
        <v>161.88999999999999</v>
      </c>
      <c r="D80" s="9">
        <v>9.4295150787013996E-4</v>
      </c>
      <c r="E80" s="9">
        <v>1.0506474808442199E-3</v>
      </c>
      <c r="F80" s="8">
        <v>0</v>
      </c>
      <c r="G80" s="8">
        <v>0.187</v>
      </c>
      <c r="H80" s="8">
        <v>0</v>
      </c>
      <c r="I80" s="8">
        <v>0.96889999999999998</v>
      </c>
      <c r="J80" s="8">
        <v>0</v>
      </c>
      <c r="K80" s="8">
        <v>0</v>
      </c>
      <c r="L80" s="8">
        <v>31.83</v>
      </c>
      <c r="M80" s="8">
        <v>161.88999999999999</v>
      </c>
      <c r="N80" s="10">
        <v>5.0860823122839998</v>
      </c>
      <c r="O80" s="10">
        <v>5.0856511037897496</v>
      </c>
      <c r="P80" s="10">
        <v>5.0851824693354297</v>
      </c>
      <c r="Q80" s="10">
        <v>5.08539363134682</v>
      </c>
      <c r="R80" s="8">
        <v>161.87627463362699</v>
      </c>
      <c r="S80" s="8">
        <v>161.862666052848</v>
      </c>
      <c r="T80" s="8">
        <v>161.86831699775499</v>
      </c>
      <c r="U80" s="9">
        <v>-8.4785646040235098E-5</v>
      </c>
      <c r="V80" s="9">
        <v>-1.6885697066006101E-4</v>
      </c>
      <c r="W80" s="9">
        <v>-1.33945607809133E-4</v>
      </c>
      <c r="X80" s="10">
        <v>5.0860823122839998</v>
      </c>
      <c r="Y80" s="10">
        <v>5.0846599588316304</v>
      </c>
      <c r="Z80" s="10">
        <v>5.0851824693354297</v>
      </c>
      <c r="AA80" s="10">
        <v>5.08539363134682</v>
      </c>
      <c r="AB80" s="8">
        <v>161.84472648961</v>
      </c>
      <c r="AC80" s="8">
        <v>161.862666052848</v>
      </c>
      <c r="AD80" s="8">
        <v>161.86831699775499</v>
      </c>
      <c r="AE80" s="9">
        <v>-2.7969511442412398E-4</v>
      </c>
      <c r="AF80" s="9">
        <v>-1.6885697066006101E-4</v>
      </c>
      <c r="AG80" s="9">
        <v>-1.33945607809133E-4</v>
      </c>
      <c r="AZ80" s="9"/>
      <c r="BB80">
        <f t="shared" si="2"/>
        <v>0</v>
      </c>
      <c r="BC80">
        <f t="shared" si="3"/>
        <v>0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0</v>
      </c>
      <c r="BL80" s="9"/>
      <c r="BN80">
        <f t="shared" si="10"/>
        <v>0</v>
      </c>
      <c r="BO80">
        <f t="shared" si="11"/>
        <v>1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0</v>
      </c>
    </row>
    <row r="81" spans="1:77" x14ac:dyDescent="0.3">
      <c r="A81" s="1">
        <v>46140</v>
      </c>
      <c r="B81" s="8">
        <v>32.32</v>
      </c>
      <c r="C81" s="8">
        <v>164.43</v>
      </c>
      <c r="D81" s="9">
        <v>1.52769923588932E-2</v>
      </c>
      <c r="E81" s="9">
        <v>1.5567855472720301E-2</v>
      </c>
      <c r="F81" s="8">
        <v>0</v>
      </c>
      <c r="G81" s="8">
        <v>0.187</v>
      </c>
      <c r="H81" s="8">
        <v>0</v>
      </c>
      <c r="I81" s="8">
        <v>0.96889999999999998</v>
      </c>
      <c r="J81" s="8">
        <v>0</v>
      </c>
      <c r="K81" s="8">
        <v>0</v>
      </c>
      <c r="L81" s="8">
        <v>32.32</v>
      </c>
      <c r="M81" s="8">
        <v>164.43</v>
      </c>
      <c r="N81" s="10">
        <v>5.08756188118811</v>
      </c>
      <c r="O81" s="10">
        <v>5.0856511037897496</v>
      </c>
      <c r="P81" s="10">
        <v>5.0853168625824496</v>
      </c>
      <c r="Q81" s="10">
        <v>5.0854851807971002</v>
      </c>
      <c r="R81" s="8">
        <v>164.36824367448401</v>
      </c>
      <c r="S81" s="8">
        <v>164.353097408921</v>
      </c>
      <c r="T81" s="8">
        <v>164.35992216512901</v>
      </c>
      <c r="U81" s="9">
        <v>-3.7564875986741798E-4</v>
      </c>
      <c r="V81" s="9">
        <v>-4.6780137474918302E-4</v>
      </c>
      <c r="W81" s="9">
        <v>-4.2627727437830098E-4</v>
      </c>
      <c r="X81" s="10">
        <v>5.08756188118811</v>
      </c>
      <c r="Y81" s="10">
        <v>5.0846599588316304</v>
      </c>
      <c r="Z81" s="10">
        <v>5.0853168625824496</v>
      </c>
      <c r="AA81" s="10">
        <v>5.0854851807971002</v>
      </c>
      <c r="AB81" s="8">
        <v>164.33620986943799</v>
      </c>
      <c r="AC81" s="8">
        <v>164.353097408921</v>
      </c>
      <c r="AD81" s="8">
        <v>164.35992216512901</v>
      </c>
      <c r="AE81" s="9">
        <v>-5.7055822825118801E-4</v>
      </c>
      <c r="AF81" s="9">
        <v>-4.6780137474918302E-4</v>
      </c>
      <c r="AG81" s="9">
        <v>-4.2627727437830098E-4</v>
      </c>
      <c r="AZ81" s="9"/>
      <c r="BB81">
        <f t="shared" si="2"/>
        <v>0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0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0</v>
      </c>
    </row>
    <row r="82" spans="1:77" x14ac:dyDescent="0.3">
      <c r="A82" s="1">
        <v>46141</v>
      </c>
      <c r="B82" s="8">
        <v>33.049999999999997</v>
      </c>
      <c r="C82" s="8">
        <v>168.13</v>
      </c>
      <c r="D82" s="9">
        <v>2.2335332644800501E-2</v>
      </c>
      <c r="E82" s="9">
        <v>2.2252541964702E-2</v>
      </c>
      <c r="F82" s="8">
        <v>0</v>
      </c>
      <c r="G82" s="8">
        <v>0.187</v>
      </c>
      <c r="H82" s="8">
        <v>0</v>
      </c>
      <c r="I82" s="8">
        <v>0.96889999999999998</v>
      </c>
      <c r="J82" s="8">
        <v>0</v>
      </c>
      <c r="K82" s="8">
        <v>0</v>
      </c>
      <c r="L82" s="8">
        <v>33.049999999999997</v>
      </c>
      <c r="M82" s="8">
        <v>168.13</v>
      </c>
      <c r="N82" s="10">
        <v>5.0871406959152798</v>
      </c>
      <c r="O82" s="10">
        <v>5.0856511037897496</v>
      </c>
      <c r="P82" s="10">
        <v>5.0853631954163498</v>
      </c>
      <c r="Q82" s="10">
        <v>5.08552122793854</v>
      </c>
      <c r="R82" s="8">
        <v>168.08076898025101</v>
      </c>
      <c r="S82" s="8">
        <v>168.06972230835001</v>
      </c>
      <c r="T82" s="8">
        <v>168.075285225344</v>
      </c>
      <c r="U82" s="9">
        <v>-2.9285807976896401E-4</v>
      </c>
      <c r="V82" s="9">
        <v>-3.5858264178159101E-4</v>
      </c>
      <c r="W82" s="9">
        <v>-3.2548432486452001E-4</v>
      </c>
      <c r="X82" s="10">
        <v>5.0871406959152798</v>
      </c>
      <c r="Y82" s="10">
        <v>5.0846599588316304</v>
      </c>
      <c r="Z82" s="10">
        <v>5.0853631954163498</v>
      </c>
      <c r="AA82" s="10">
        <v>5.08552122793854</v>
      </c>
      <c r="AB82" s="8">
        <v>168.04801163938501</v>
      </c>
      <c r="AC82" s="8">
        <v>168.06972230835001</v>
      </c>
      <c r="AD82" s="8">
        <v>168.075285225344</v>
      </c>
      <c r="AE82" s="9">
        <v>-4.8776754815265202E-4</v>
      </c>
      <c r="AF82" s="9">
        <v>-3.5858264178159101E-4</v>
      </c>
      <c r="AG82" s="9">
        <v>-3.2548432486452001E-4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0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0</v>
      </c>
    </row>
    <row r="83" spans="1:77" x14ac:dyDescent="0.3">
      <c r="A83" s="1">
        <v>46142</v>
      </c>
      <c r="B83" s="8">
        <v>33.33</v>
      </c>
      <c r="C83" s="8">
        <v>169.58</v>
      </c>
      <c r="D83" s="9">
        <v>8.4363260219531E-3</v>
      </c>
      <c r="E83" s="9">
        <v>8.5873021850202697E-3</v>
      </c>
      <c r="F83" s="8">
        <v>0</v>
      </c>
      <c r="G83" s="8">
        <v>0.187</v>
      </c>
      <c r="H83" s="8">
        <v>0</v>
      </c>
      <c r="I83" s="8">
        <v>0.96889999999999998</v>
      </c>
      <c r="J83" s="8">
        <v>0</v>
      </c>
      <c r="K83" s="8">
        <v>0</v>
      </c>
      <c r="L83" s="8">
        <v>33.33</v>
      </c>
      <c r="M83" s="8">
        <v>169.58</v>
      </c>
      <c r="N83" s="10">
        <v>5.0879087908790801</v>
      </c>
      <c r="O83" s="10">
        <v>5.0856511037897496</v>
      </c>
      <c r="P83" s="10">
        <v>5.0856864599703</v>
      </c>
      <c r="Q83" s="10">
        <v>5.08564837479957</v>
      </c>
      <c r="R83" s="8">
        <v>169.504751289312</v>
      </c>
      <c r="S83" s="8">
        <v>169.49515530322699</v>
      </c>
      <c r="T83" s="8">
        <v>169.50042252719101</v>
      </c>
      <c r="U83" s="9">
        <v>-4.4383424283605898E-4</v>
      </c>
      <c r="V83" s="9">
        <v>-5.0044774567869598E-4</v>
      </c>
      <c r="W83" s="9">
        <v>-4.6937227266668498E-4</v>
      </c>
      <c r="X83" s="10">
        <v>5.0879087908790801</v>
      </c>
      <c r="Y83" s="10">
        <v>5.0846599588316304</v>
      </c>
      <c r="Z83" s="10">
        <v>5.0856864599703</v>
      </c>
      <c r="AA83" s="10">
        <v>5.08564837479957</v>
      </c>
      <c r="AB83" s="8">
        <v>169.47171642785801</v>
      </c>
      <c r="AC83" s="8">
        <v>169.49515530322699</v>
      </c>
      <c r="AD83" s="8">
        <v>169.50042252719101</v>
      </c>
      <c r="AE83" s="9">
        <v>-6.3874371121989103E-4</v>
      </c>
      <c r="AF83" s="9">
        <v>-5.0044774567869598E-4</v>
      </c>
      <c r="AG83" s="9">
        <v>-4.6937227266668498E-4</v>
      </c>
      <c r="AZ83" s="9"/>
      <c r="BB83">
        <f t="shared" si="2"/>
        <v>0</v>
      </c>
      <c r="BC83">
        <f t="shared" si="3"/>
        <v>0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0</v>
      </c>
      <c r="BL83" s="9"/>
      <c r="BN83">
        <f t="shared" si="10"/>
        <v>0</v>
      </c>
      <c r="BO83">
        <f t="shared" si="11"/>
        <v>1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0</v>
      </c>
    </row>
    <row r="84" spans="1:77" x14ac:dyDescent="0.3">
      <c r="A84" s="1">
        <v>46143</v>
      </c>
      <c r="B84" s="8">
        <v>32.92</v>
      </c>
      <c r="C84" s="8">
        <v>167.52</v>
      </c>
      <c r="D84" s="9">
        <v>-1.2377516510779099E-2</v>
      </c>
      <c r="E84" s="9">
        <v>-1.22220447536302E-2</v>
      </c>
      <c r="F84" s="8">
        <v>0</v>
      </c>
      <c r="G84" s="8">
        <v>0.187</v>
      </c>
      <c r="H84" s="8">
        <v>0</v>
      </c>
      <c r="I84" s="8">
        <v>0.96889999999999998</v>
      </c>
      <c r="J84" s="8">
        <v>0</v>
      </c>
      <c r="K84" s="8">
        <v>0</v>
      </c>
      <c r="L84" s="8">
        <v>32.92</v>
      </c>
      <c r="M84" s="8">
        <v>167.52</v>
      </c>
      <c r="N84" s="10">
        <v>5.0886998784933102</v>
      </c>
      <c r="O84" s="10">
        <v>5.0856511037897496</v>
      </c>
      <c r="P84" s="10">
        <v>5.0860194650891</v>
      </c>
      <c r="Q84" s="10">
        <v>5.0857552815571703</v>
      </c>
      <c r="R84" s="8">
        <v>167.41963433675801</v>
      </c>
      <c r="S84" s="8">
        <v>167.42079826222201</v>
      </c>
      <c r="T84" s="8">
        <v>167.41954449840199</v>
      </c>
      <c r="U84" s="9">
        <v>-5.9930599998494604E-4</v>
      </c>
      <c r="V84" s="9">
        <v>-5.9235387980826899E-4</v>
      </c>
      <c r="W84" s="9">
        <v>-5.9984260598726596E-4</v>
      </c>
      <c r="X84" s="10">
        <v>5.0886998784933102</v>
      </c>
      <c r="Y84" s="10">
        <v>5.0846599588316304</v>
      </c>
      <c r="Z84" s="10">
        <v>5.0860194650891</v>
      </c>
      <c r="AA84" s="10">
        <v>5.0857552815571703</v>
      </c>
      <c r="AB84" s="8">
        <v>167.38700584473699</v>
      </c>
      <c r="AC84" s="8">
        <v>167.42079826222201</v>
      </c>
      <c r="AD84" s="8">
        <v>167.41954449840199</v>
      </c>
      <c r="AE84" s="9">
        <v>-7.9421546836887095E-4</v>
      </c>
      <c r="AF84" s="9">
        <v>-5.9235387980838001E-4</v>
      </c>
      <c r="AG84" s="9">
        <v>-5.9984260598726596E-4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0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0</v>
      </c>
    </row>
    <row r="85" spans="1:77" x14ac:dyDescent="0.3">
      <c r="A85" s="1">
        <v>46146</v>
      </c>
      <c r="B85" s="8">
        <v>33.25</v>
      </c>
      <c r="C85" s="8">
        <v>169.25</v>
      </c>
      <c r="D85" s="9">
        <v>9.9743912929940708E-3</v>
      </c>
      <c r="E85" s="9">
        <v>1.0274164670157499E-2</v>
      </c>
      <c r="F85" s="8">
        <v>0</v>
      </c>
      <c r="G85" s="8">
        <v>0.187</v>
      </c>
      <c r="H85" s="8">
        <v>0</v>
      </c>
      <c r="I85" s="8">
        <v>0.96889999999999998</v>
      </c>
      <c r="J85" s="8">
        <v>0</v>
      </c>
      <c r="K85" s="8">
        <v>0</v>
      </c>
      <c r="L85" s="8">
        <v>33.25</v>
      </c>
      <c r="M85" s="8">
        <v>169.25</v>
      </c>
      <c r="N85" s="10">
        <v>5.0902255639097698</v>
      </c>
      <c r="O85" s="10">
        <v>5.0856511037897496</v>
      </c>
      <c r="P85" s="10">
        <v>5.0865922327247901</v>
      </c>
      <c r="Q85" s="10">
        <v>5.0860886216703003</v>
      </c>
      <c r="R85" s="8">
        <v>169.097899201009</v>
      </c>
      <c r="S85" s="8">
        <v>169.11014721421199</v>
      </c>
      <c r="T85" s="8">
        <v>169.10136311177499</v>
      </c>
      <c r="U85" s="9">
        <v>-8.9907937714855501E-4</v>
      </c>
      <c r="V85" s="9">
        <v>-8.2665050776695897E-4</v>
      </c>
      <c r="W85" s="9">
        <v>-8.7859493999653602E-4</v>
      </c>
      <c r="X85" s="10">
        <v>5.0902255639097698</v>
      </c>
      <c r="Y85" s="10">
        <v>5.0846599588316304</v>
      </c>
      <c r="Z85" s="10">
        <v>5.0865922327247901</v>
      </c>
      <c r="AA85" s="10">
        <v>5.0860886216703003</v>
      </c>
      <c r="AB85" s="8">
        <v>169.06494363115101</v>
      </c>
      <c r="AC85" s="8">
        <v>169.11014721421199</v>
      </c>
      <c r="AD85" s="8">
        <v>169.10136311177499</v>
      </c>
      <c r="AE85" s="9">
        <v>-1.09398884553236E-3</v>
      </c>
      <c r="AF85" s="9">
        <v>-8.2665050776718101E-4</v>
      </c>
      <c r="AG85" s="9">
        <v>-8.7859493999653602E-4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0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0</v>
      </c>
    </row>
    <row r="86" spans="1:77" x14ac:dyDescent="0.3">
      <c r="A86" s="1">
        <v>46147</v>
      </c>
      <c r="B86" s="8">
        <v>33.25</v>
      </c>
      <c r="C86" s="8">
        <v>169.23</v>
      </c>
      <c r="D86" s="9">
        <v>0</v>
      </c>
      <c r="E86" s="9">
        <v>-1.18175372389974E-4</v>
      </c>
      <c r="F86" s="8">
        <v>0</v>
      </c>
      <c r="G86" s="8">
        <v>0.187</v>
      </c>
      <c r="H86" s="8">
        <v>0</v>
      </c>
      <c r="I86" s="8">
        <v>0.96889999999999998</v>
      </c>
      <c r="J86" s="8">
        <v>0</v>
      </c>
      <c r="K86" s="8">
        <v>0</v>
      </c>
      <c r="L86" s="8">
        <v>33.25</v>
      </c>
      <c r="M86" s="8">
        <v>169.23</v>
      </c>
      <c r="N86" s="10">
        <v>5.0896240601503697</v>
      </c>
      <c r="O86" s="10">
        <v>5.0856511037897496</v>
      </c>
      <c r="P86" s="10">
        <v>5.0872586746142696</v>
      </c>
      <c r="Q86" s="10">
        <v>5.0863360739324399</v>
      </c>
      <c r="R86" s="8">
        <v>169.097899201009</v>
      </c>
      <c r="S86" s="8">
        <v>169.129191738099</v>
      </c>
      <c r="T86" s="8">
        <v>169.112446670537</v>
      </c>
      <c r="U86" s="9">
        <v>-7.8090400475858796E-4</v>
      </c>
      <c r="V86" s="9">
        <v>-5.9586538415171803E-4</v>
      </c>
      <c r="W86" s="9">
        <v>-6.9487783959270698E-4</v>
      </c>
      <c r="X86" s="10">
        <v>5.0896240601503697</v>
      </c>
      <c r="Y86" s="10">
        <v>5.0846599588316304</v>
      </c>
      <c r="Z86" s="10">
        <v>5.0872586746142696</v>
      </c>
      <c r="AA86" s="10">
        <v>5.0863360739324399</v>
      </c>
      <c r="AB86" s="8">
        <v>169.06494363115101</v>
      </c>
      <c r="AC86" s="8">
        <v>169.129191738099</v>
      </c>
      <c r="AD86" s="8">
        <v>169.112446670537</v>
      </c>
      <c r="AE86" s="9">
        <v>-9.7581347314226795E-4</v>
      </c>
      <c r="AF86" s="9">
        <v>-5.9586538415182895E-4</v>
      </c>
      <c r="AG86" s="9">
        <v>-6.9487783959270698E-4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0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0</v>
      </c>
    </row>
    <row r="87" spans="1:77" x14ac:dyDescent="0.3">
      <c r="A87" s="1">
        <v>46148</v>
      </c>
      <c r="B87" s="8">
        <v>31.94</v>
      </c>
      <c r="C87" s="8">
        <v>162.43</v>
      </c>
      <c r="D87" s="9">
        <v>-4.0195624314996597E-2</v>
      </c>
      <c r="E87" s="9">
        <v>-4.1011596688689901E-2</v>
      </c>
      <c r="F87" s="8">
        <v>0</v>
      </c>
      <c r="G87" s="8">
        <v>0.187</v>
      </c>
      <c r="H87" s="8">
        <v>0</v>
      </c>
      <c r="I87" s="8">
        <v>0.96889999999999998</v>
      </c>
      <c r="J87" s="8">
        <v>0</v>
      </c>
      <c r="K87" s="8">
        <v>0</v>
      </c>
      <c r="L87" s="8">
        <v>31.94</v>
      </c>
      <c r="M87" s="8">
        <v>162.43</v>
      </c>
      <c r="N87" s="10">
        <v>5.0854727614276696</v>
      </c>
      <c r="O87" s="10">
        <v>5.0856511037897496</v>
      </c>
      <c r="P87" s="10">
        <v>5.0874251790935299</v>
      </c>
      <c r="Q87" s="10">
        <v>5.0863195885470303</v>
      </c>
      <c r="R87" s="8">
        <v>162.43569625504401</v>
      </c>
      <c r="S87" s="8">
        <v>162.487042067179</v>
      </c>
      <c r="T87" s="8">
        <v>162.457574201402</v>
      </c>
      <c r="U87" s="9">
        <v>3.5068368934656598E-5</v>
      </c>
      <c r="V87" s="9">
        <v>3.5111773394864298E-4</v>
      </c>
      <c r="W87" s="9">
        <v>1.69746113167039E-4</v>
      </c>
      <c r="X87" s="10">
        <v>5.0854727614276696</v>
      </c>
      <c r="Y87" s="10">
        <v>5.0846599588316304</v>
      </c>
      <c r="Z87" s="10">
        <v>5.0874251790935299</v>
      </c>
      <c r="AA87" s="10">
        <v>5.0863195885470303</v>
      </c>
      <c r="AB87" s="8">
        <v>162.40403908508199</v>
      </c>
      <c r="AC87" s="8">
        <v>162.487042067179</v>
      </c>
      <c r="AD87" s="8">
        <v>162.457574201402</v>
      </c>
      <c r="AE87" s="9">
        <v>-1.5984109944921799E-4</v>
      </c>
      <c r="AF87" s="9">
        <v>3.5111773394864298E-4</v>
      </c>
      <c r="AG87" s="9">
        <v>1.69746113167039E-4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0</v>
      </c>
      <c r="BL87" s="9"/>
      <c r="BN87">
        <f t="shared" ref="BN87:BN150" si="30">IF($AG87&gt;BM$20,1,0)</f>
        <v>0</v>
      </c>
      <c r="BO87">
        <f t="shared" ref="BO87:BO150" si="31">IF($AG87&lt;BM$21,1,0)</f>
        <v>0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0</v>
      </c>
    </row>
    <row r="88" spans="1:77" x14ac:dyDescent="0.3">
      <c r="A88" s="1">
        <v>46149</v>
      </c>
      <c r="B88" s="8">
        <v>31.32</v>
      </c>
      <c r="C88" s="8">
        <v>159.31</v>
      </c>
      <c r="D88" s="9">
        <v>-1.9602271664263999E-2</v>
      </c>
      <c r="E88" s="9">
        <v>-1.9395150146500902E-2</v>
      </c>
      <c r="F88" s="8">
        <v>0</v>
      </c>
      <c r="G88" s="8">
        <v>0.187</v>
      </c>
      <c r="H88" s="8">
        <v>0</v>
      </c>
      <c r="I88" s="8">
        <v>0.96889999999999998</v>
      </c>
      <c r="J88" s="8">
        <v>0</v>
      </c>
      <c r="K88" s="8">
        <v>0</v>
      </c>
      <c r="L88" s="8">
        <v>31.32</v>
      </c>
      <c r="M88" s="8">
        <v>159.31</v>
      </c>
      <c r="N88" s="10">
        <v>5.0865261813537597</v>
      </c>
      <c r="O88" s="10">
        <v>5.0856511037897496</v>
      </c>
      <c r="P88" s="10">
        <v>5.0874776716796299</v>
      </c>
      <c r="Q88" s="10">
        <v>5.0863007897685204</v>
      </c>
      <c r="R88" s="8">
        <v>159.28259257069499</v>
      </c>
      <c r="S88" s="8">
        <v>159.33815660920899</v>
      </c>
      <c r="T88" s="8">
        <v>159.303529513293</v>
      </c>
      <c r="U88" s="9">
        <v>-1.7205314882837299E-4</v>
      </c>
      <c r="V88" s="9">
        <v>1.7672538628533E-4</v>
      </c>
      <c r="W88" s="9">
        <v>-4.0616521951095001E-5</v>
      </c>
      <c r="X88" s="10">
        <v>5.0865261813537597</v>
      </c>
      <c r="Y88" s="10">
        <v>5.0846599588316304</v>
      </c>
      <c r="Z88" s="10">
        <v>5.0874776716796299</v>
      </c>
      <c r="AA88" s="10">
        <v>5.0863007897685204</v>
      </c>
      <c r="AB88" s="8">
        <v>159.251549910606</v>
      </c>
      <c r="AC88" s="8">
        <v>159.33815660920899</v>
      </c>
      <c r="AD88" s="8">
        <v>159.303529513293</v>
      </c>
      <c r="AE88" s="9">
        <v>-3.6696261721228001E-4</v>
      </c>
      <c r="AF88" s="9">
        <v>1.7672538628533E-4</v>
      </c>
      <c r="AG88" s="9">
        <v>-4.0616521950872902E-5</v>
      </c>
      <c r="AZ88" s="9"/>
      <c r="BB88">
        <f t="shared" si="22"/>
        <v>0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0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0</v>
      </c>
    </row>
    <row r="89" spans="1:77" x14ac:dyDescent="0.3">
      <c r="A89" s="1">
        <v>46150</v>
      </c>
      <c r="B89" s="8">
        <v>31.15</v>
      </c>
      <c r="C89" s="8">
        <v>158.38</v>
      </c>
      <c r="D89" s="9">
        <v>-5.4426258891402098E-3</v>
      </c>
      <c r="E89" s="9">
        <v>-5.85478080253713E-3</v>
      </c>
      <c r="F89" s="8">
        <v>0</v>
      </c>
      <c r="G89" s="8">
        <v>0.187</v>
      </c>
      <c r="H89" s="8">
        <v>0</v>
      </c>
      <c r="I89" s="8">
        <v>0.96889999999999998</v>
      </c>
      <c r="J89" s="8">
        <v>0</v>
      </c>
      <c r="K89" s="8">
        <v>0</v>
      </c>
      <c r="L89" s="8">
        <v>31.15</v>
      </c>
      <c r="M89" s="8">
        <v>158.38</v>
      </c>
      <c r="N89" s="10">
        <v>5.0844301765650002</v>
      </c>
      <c r="O89" s="10">
        <v>5.0856511037897496</v>
      </c>
      <c r="P89" s="10">
        <v>5.0873672302166399</v>
      </c>
      <c r="Q89" s="10">
        <v>5.0862953972768397</v>
      </c>
      <c r="R89" s="8">
        <v>158.41803188304999</v>
      </c>
      <c r="S89" s="8">
        <v>158.47492947282001</v>
      </c>
      <c r="T89" s="8">
        <v>158.43826960128899</v>
      </c>
      <c r="U89" s="9">
        <v>2.40101764568487E-4</v>
      </c>
      <c r="V89" s="9">
        <v>5.9919835123883197E-4</v>
      </c>
      <c r="W89" s="9">
        <v>3.6784243547480097E-4</v>
      </c>
      <c r="X89" s="10">
        <v>5.0844301765650002</v>
      </c>
      <c r="Y89" s="10">
        <v>5.0846599588316304</v>
      </c>
      <c r="Z89" s="10">
        <v>5.0873672302166399</v>
      </c>
      <c r="AA89" s="10">
        <v>5.0862953972768503</v>
      </c>
      <c r="AB89" s="8">
        <v>158.38715771760499</v>
      </c>
      <c r="AC89" s="8">
        <v>158.47492947282001</v>
      </c>
      <c r="AD89" s="8">
        <v>158.43826960128899</v>
      </c>
      <c r="AE89" s="9">
        <v>4.5192296184538501E-5</v>
      </c>
      <c r="AF89" s="9">
        <v>5.9919835123883197E-4</v>
      </c>
      <c r="AG89" s="9">
        <v>3.6784243547480097E-4</v>
      </c>
      <c r="AZ89" s="9"/>
      <c r="BB89">
        <f t="shared" si="22"/>
        <v>0</v>
      </c>
      <c r="BC89">
        <f t="shared" si="23"/>
        <v>1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0</v>
      </c>
      <c r="BL89" s="9"/>
      <c r="BN89">
        <f t="shared" si="30"/>
        <v>0</v>
      </c>
      <c r="BO89">
        <f t="shared" si="31"/>
        <v>0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0</v>
      </c>
    </row>
    <row r="90" spans="1:77" x14ac:dyDescent="0.3">
      <c r="A90" s="1">
        <v>46153</v>
      </c>
      <c r="B90" s="8">
        <v>31.95</v>
      </c>
      <c r="C90" s="8">
        <v>162.46</v>
      </c>
      <c r="D90" s="9">
        <v>2.53579355900816E-2</v>
      </c>
      <c r="E90" s="9">
        <v>2.5434608840541301E-2</v>
      </c>
      <c r="F90" s="8">
        <v>0</v>
      </c>
      <c r="G90" s="8">
        <v>0.187</v>
      </c>
      <c r="H90" s="8">
        <v>0</v>
      </c>
      <c r="I90" s="8">
        <v>0.96889999999999998</v>
      </c>
      <c r="J90" s="8">
        <v>0</v>
      </c>
      <c r="K90" s="8">
        <v>0</v>
      </c>
      <c r="L90" s="8">
        <v>31.95</v>
      </c>
      <c r="M90" s="8">
        <v>162.46</v>
      </c>
      <c r="N90" s="10">
        <v>5.0848200312989</v>
      </c>
      <c r="O90" s="10">
        <v>5.0856511037897496</v>
      </c>
      <c r="P90" s="10">
        <v>5.0872410021181302</v>
      </c>
      <c r="Q90" s="10">
        <v>5.0862117357267804</v>
      </c>
      <c r="R90" s="8">
        <v>162.48655276608201</v>
      </c>
      <c r="S90" s="8">
        <v>162.54138300542101</v>
      </c>
      <c r="T90" s="8">
        <v>162.507137942995</v>
      </c>
      <c r="U90" s="9">
        <v>1.63428514108608E-4</v>
      </c>
      <c r="V90" s="9">
        <v>5.0081637419584202E-4</v>
      </c>
      <c r="W90" s="9">
        <v>2.9010898532265601E-4</v>
      </c>
      <c r="X90" s="10">
        <v>5.0848200312989</v>
      </c>
      <c r="Y90" s="10">
        <v>5.0846599588316304</v>
      </c>
      <c r="Z90" s="10">
        <v>5.0872410021181302</v>
      </c>
      <c r="AA90" s="10">
        <v>5.0862117357267804</v>
      </c>
      <c r="AB90" s="8">
        <v>162.45488568466999</v>
      </c>
      <c r="AC90" s="8">
        <v>162.54138300542101</v>
      </c>
      <c r="AD90" s="8">
        <v>162.507137942995</v>
      </c>
      <c r="AE90" s="9">
        <v>-3.1480954275158802E-5</v>
      </c>
      <c r="AF90" s="9">
        <v>5.0081637419561998E-4</v>
      </c>
      <c r="AG90" s="9">
        <v>2.90108985322878E-4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0</v>
      </c>
      <c r="BL90" s="9"/>
      <c r="BN90">
        <f t="shared" si="30"/>
        <v>0</v>
      </c>
      <c r="BO90">
        <f t="shared" si="31"/>
        <v>0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0</v>
      </c>
    </row>
    <row r="91" spans="1:77" x14ac:dyDescent="0.3">
      <c r="A91" s="1">
        <v>46154</v>
      </c>
      <c r="B91" s="8">
        <v>32.18</v>
      </c>
      <c r="C91" s="8">
        <v>163.66999999999999</v>
      </c>
      <c r="D91" s="9">
        <v>7.1729607406933503E-3</v>
      </c>
      <c r="E91" s="9">
        <v>7.4203878949845297E-3</v>
      </c>
      <c r="F91" s="8">
        <v>0</v>
      </c>
      <c r="G91" s="8">
        <v>0.187</v>
      </c>
      <c r="H91" s="8">
        <v>0</v>
      </c>
      <c r="I91" s="8">
        <v>0.96889999999999998</v>
      </c>
      <c r="J91" s="8">
        <v>0</v>
      </c>
      <c r="K91" s="8">
        <v>0</v>
      </c>
      <c r="L91" s="8">
        <v>32.18</v>
      </c>
      <c r="M91" s="8">
        <v>163.66999999999999</v>
      </c>
      <c r="N91" s="10">
        <v>5.0860783095090101</v>
      </c>
      <c r="O91" s="10">
        <v>5.0856511037897496</v>
      </c>
      <c r="P91" s="10">
        <v>5.0870926449502196</v>
      </c>
      <c r="Q91" s="10">
        <v>5.0862047537663297</v>
      </c>
      <c r="R91" s="8">
        <v>163.65625251995399</v>
      </c>
      <c r="S91" s="8">
        <v>163.70741544816099</v>
      </c>
      <c r="T91" s="8">
        <v>163.67429365568699</v>
      </c>
      <c r="U91" s="9">
        <v>-8.3998640182650805E-5</v>
      </c>
      <c r="V91" s="9">
        <v>2.2857684469890899E-4</v>
      </c>
      <c r="W91" s="9">
        <v>2.6233270421232401E-5</v>
      </c>
      <c r="X91" s="10">
        <v>5.0860783095090101</v>
      </c>
      <c r="Y91" s="10">
        <v>5.0846599588316304</v>
      </c>
      <c r="Z91" s="10">
        <v>5.0870926449502196</v>
      </c>
      <c r="AA91" s="10">
        <v>5.0862047537663297</v>
      </c>
      <c r="AB91" s="8">
        <v>163.62435747520101</v>
      </c>
      <c r="AC91" s="8">
        <v>163.70741544816099</v>
      </c>
      <c r="AD91" s="8">
        <v>163.67429365568699</v>
      </c>
      <c r="AE91" s="9">
        <v>-2.7890810856652401E-4</v>
      </c>
      <c r="AF91" s="9">
        <v>2.28576844698687E-4</v>
      </c>
      <c r="AG91" s="9">
        <v>2.6233270421232401E-5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0</v>
      </c>
      <c r="BL91" s="9"/>
      <c r="BN91">
        <f t="shared" si="30"/>
        <v>0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0</v>
      </c>
    </row>
    <row r="92" spans="1:77" x14ac:dyDescent="0.3">
      <c r="A92" s="1">
        <v>46155</v>
      </c>
      <c r="B92" s="8">
        <v>32.159999999999997</v>
      </c>
      <c r="C92" s="8">
        <v>163.61000000000001</v>
      </c>
      <c r="D92" s="9">
        <v>-6.2169725347161495E-4</v>
      </c>
      <c r="E92" s="9">
        <v>-3.6665852280715999E-4</v>
      </c>
      <c r="F92" s="8">
        <v>0</v>
      </c>
      <c r="G92" s="8">
        <v>0.187</v>
      </c>
      <c r="H92" s="8">
        <v>0</v>
      </c>
      <c r="I92" s="8">
        <v>0.96889999999999998</v>
      </c>
      <c r="J92" s="8">
        <v>0</v>
      </c>
      <c r="K92" s="8">
        <v>0</v>
      </c>
      <c r="L92" s="8">
        <v>32.159999999999997</v>
      </c>
      <c r="M92" s="8">
        <v>163.61000000000001</v>
      </c>
      <c r="N92" s="10">
        <v>5.0873756218905397</v>
      </c>
      <c r="O92" s="10">
        <v>5.0856511037897496</v>
      </c>
      <c r="P92" s="10">
        <v>5.0871161375477403</v>
      </c>
      <c r="Q92" s="10">
        <v>5.0862396664820499</v>
      </c>
      <c r="R92" s="8">
        <v>163.55453949787801</v>
      </c>
      <c r="S92" s="8">
        <v>163.600899461599</v>
      </c>
      <c r="T92" s="8">
        <v>163.57234488112499</v>
      </c>
      <c r="U92" s="9">
        <v>-3.3903737084709098E-4</v>
      </c>
      <c r="V92" s="9">
        <v>-5.5624909917402501E-5</v>
      </c>
      <c r="W92" s="9">
        <v>-2.30178184306073E-4</v>
      </c>
      <c r="X92" s="10">
        <v>5.0873756218905397</v>
      </c>
      <c r="Y92" s="10">
        <v>5.0846599588316304</v>
      </c>
      <c r="Z92" s="10">
        <v>5.0871161375477403</v>
      </c>
      <c r="AA92" s="10">
        <v>5.0862396664820499</v>
      </c>
      <c r="AB92" s="8">
        <v>163.52266427602501</v>
      </c>
      <c r="AC92" s="8">
        <v>163.600899461599</v>
      </c>
      <c r="AD92" s="8">
        <v>163.57234488112499</v>
      </c>
      <c r="AE92" s="9">
        <v>-5.3394683923092996E-4</v>
      </c>
      <c r="AF92" s="9">
        <v>-5.56249099176246E-5</v>
      </c>
      <c r="AG92" s="9">
        <v>-2.30178184305962E-4</v>
      </c>
      <c r="AZ92" s="9"/>
      <c r="BB92">
        <f t="shared" si="22"/>
        <v>0</v>
      </c>
      <c r="BC92">
        <f t="shared" si="23"/>
        <v>0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0</v>
      </c>
      <c r="BL92" s="9"/>
      <c r="BN92">
        <f t="shared" si="30"/>
        <v>0</v>
      </c>
      <c r="BO92">
        <f t="shared" si="31"/>
        <v>1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0</v>
      </c>
    </row>
    <row r="93" spans="1:77" x14ac:dyDescent="0.3">
      <c r="A93" s="1">
        <v>46156</v>
      </c>
      <c r="B93" s="8">
        <v>32.42</v>
      </c>
      <c r="C93" s="8">
        <v>164.8</v>
      </c>
      <c r="D93" s="9">
        <v>8.0520719967645607E-3</v>
      </c>
      <c r="E93" s="9">
        <v>7.2470704803860603E-3</v>
      </c>
      <c r="F93" s="8">
        <v>0</v>
      </c>
      <c r="G93" s="8">
        <v>0.187</v>
      </c>
      <c r="H93" s="8">
        <v>0</v>
      </c>
      <c r="I93" s="8">
        <v>0.96889999999999998</v>
      </c>
      <c r="J93" s="8">
        <v>0</v>
      </c>
      <c r="K93" s="8">
        <v>0</v>
      </c>
      <c r="L93" s="8">
        <v>32.42</v>
      </c>
      <c r="M93" s="8">
        <v>164.8</v>
      </c>
      <c r="N93" s="10">
        <v>5.0832819247378103</v>
      </c>
      <c r="O93" s="10">
        <v>5.0856511037897496</v>
      </c>
      <c r="P93" s="10">
        <v>5.0866534509336203</v>
      </c>
      <c r="Q93" s="10">
        <v>5.0861699554519602</v>
      </c>
      <c r="R93" s="8">
        <v>164.87680878486299</v>
      </c>
      <c r="S93" s="8">
        <v>164.92430517929799</v>
      </c>
      <c r="T93" s="8">
        <v>164.895889987348</v>
      </c>
      <c r="U93" s="9">
        <v>4.6596414553150099E-4</v>
      </c>
      <c r="V93" s="9">
        <v>7.5399467515400195E-4</v>
      </c>
      <c r="W93" s="9">
        <v>5.81687506359778E-4</v>
      </c>
      <c r="X93" s="10">
        <v>5.0832819247378103</v>
      </c>
      <c r="Y93" s="10">
        <v>5.0846599588316304</v>
      </c>
      <c r="Z93" s="10">
        <v>5.0866534509336203</v>
      </c>
      <c r="AA93" s="10">
        <v>5.0861699554519602</v>
      </c>
      <c r="AB93" s="8">
        <v>164.84467586532099</v>
      </c>
      <c r="AC93" s="8">
        <v>164.92430517929799</v>
      </c>
      <c r="AD93" s="8">
        <v>164.895889987348</v>
      </c>
      <c r="AE93" s="9">
        <v>2.7105467714764201E-4</v>
      </c>
      <c r="AF93" s="9">
        <v>7.5399467515400195E-4</v>
      </c>
      <c r="AG93" s="9">
        <v>5.81687506359778E-4</v>
      </c>
      <c r="AZ93" s="9"/>
      <c r="BB93">
        <f t="shared" si="22"/>
        <v>0</v>
      </c>
      <c r="BC93">
        <f t="shared" si="23"/>
        <v>1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0</v>
      </c>
      <c r="BL93" s="9"/>
      <c r="BN93">
        <f t="shared" si="30"/>
        <v>0</v>
      </c>
      <c r="BO93">
        <f t="shared" si="31"/>
        <v>0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0</v>
      </c>
    </row>
    <row r="94" spans="1:77" x14ac:dyDescent="0.3">
      <c r="A94" s="1">
        <v>46157</v>
      </c>
      <c r="B94" s="8">
        <v>33.130000000000003</v>
      </c>
      <c r="C94" s="8">
        <v>168.38</v>
      </c>
      <c r="D94" s="9">
        <v>2.1663700004274401E-2</v>
      </c>
      <c r="E94" s="9">
        <v>2.1490712434146499E-2</v>
      </c>
      <c r="F94" s="8">
        <v>0</v>
      </c>
      <c r="G94" s="8">
        <v>0.187</v>
      </c>
      <c r="H94" s="8">
        <v>0</v>
      </c>
      <c r="I94" s="8">
        <v>0.96889999999999998</v>
      </c>
      <c r="J94" s="8">
        <v>0</v>
      </c>
      <c r="K94" s="8">
        <v>0</v>
      </c>
      <c r="L94" s="8">
        <v>33.130000000000003</v>
      </c>
      <c r="M94" s="8">
        <v>168.38</v>
      </c>
      <c r="N94" s="10">
        <v>5.0824026562028299</v>
      </c>
      <c r="O94" s="10">
        <v>5.0856511037897496</v>
      </c>
      <c r="P94" s="10">
        <v>5.0860237287045704</v>
      </c>
      <c r="Q94" s="10">
        <v>5.0860215968968303</v>
      </c>
      <c r="R94" s="8">
        <v>168.48762106855401</v>
      </c>
      <c r="S94" s="8">
        <v>168.52082882943</v>
      </c>
      <c r="T94" s="8">
        <v>168.504810624123</v>
      </c>
      <c r="U94" s="9">
        <v>6.3895171565940697E-4</v>
      </c>
      <c r="V94" s="9">
        <v>8.3602547445622301E-4</v>
      </c>
      <c r="W94" s="9">
        <v>7.4096917342580395E-4</v>
      </c>
      <c r="X94" s="10">
        <v>5.0824026562028299</v>
      </c>
      <c r="Y94" s="10">
        <v>5.0846599588316304</v>
      </c>
      <c r="Z94" s="10">
        <v>5.0860237287045704</v>
      </c>
      <c r="AA94" s="10">
        <v>5.0860215968968303</v>
      </c>
      <c r="AB94" s="8">
        <v>168.45478443609099</v>
      </c>
      <c r="AC94" s="8">
        <v>168.52082882943</v>
      </c>
      <c r="AD94" s="8">
        <v>168.504810624123</v>
      </c>
      <c r="AE94" s="9">
        <v>4.44042247275451E-4</v>
      </c>
      <c r="AF94" s="9">
        <v>8.3602547445622301E-4</v>
      </c>
      <c r="AG94" s="9">
        <v>7.4096917342580395E-4</v>
      </c>
      <c r="AZ94" s="9"/>
      <c r="BB94">
        <f t="shared" si="22"/>
        <v>0</v>
      </c>
      <c r="BC94">
        <f t="shared" si="23"/>
        <v>1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0</v>
      </c>
      <c r="BL94" s="9"/>
      <c r="BN94">
        <f t="shared" si="30"/>
        <v>0</v>
      </c>
      <c r="BO94">
        <f t="shared" si="31"/>
        <v>0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0</v>
      </c>
    </row>
    <row r="95" spans="1:77" x14ac:dyDescent="0.3">
      <c r="A95" s="1">
        <v>46160</v>
      </c>
      <c r="B95" s="8">
        <v>33.72</v>
      </c>
      <c r="C95" s="8">
        <v>171.5</v>
      </c>
      <c r="D95" s="9">
        <v>1.7651916821850001E-2</v>
      </c>
      <c r="E95" s="9">
        <v>1.83599366964767E-2</v>
      </c>
      <c r="F95" s="8">
        <v>0</v>
      </c>
      <c r="G95" s="8">
        <v>0.187</v>
      </c>
      <c r="H95" s="8">
        <v>0</v>
      </c>
      <c r="I95" s="8">
        <v>0.96889999999999998</v>
      </c>
      <c r="J95" s="8">
        <v>0</v>
      </c>
      <c r="K95" s="8">
        <v>0</v>
      </c>
      <c r="L95" s="8">
        <v>33.72</v>
      </c>
      <c r="M95" s="8">
        <v>171.5</v>
      </c>
      <c r="N95" s="10">
        <v>5.08600237247924</v>
      </c>
      <c r="O95" s="10">
        <v>5.0856511037897496</v>
      </c>
      <c r="P95" s="10">
        <v>5.0856014095615096</v>
      </c>
      <c r="Q95" s="10">
        <v>5.0860968211431503</v>
      </c>
      <c r="R95" s="8">
        <v>171.48815521979</v>
      </c>
      <c r="S95" s="8">
        <v>171.500720131918</v>
      </c>
      <c r="T95" s="8">
        <v>171.500648247361</v>
      </c>
      <c r="U95" s="9">
        <v>-6.9068158967312794E-5</v>
      </c>
      <c r="V95" s="9">
        <v>4.1990111152353199E-6</v>
      </c>
      <c r="W95" s="9">
        <v>3.7798608522514001E-6</v>
      </c>
      <c r="X95" s="10">
        <v>5.08600237247924</v>
      </c>
      <c r="Y95" s="10">
        <v>5.0846599588316304</v>
      </c>
      <c r="Z95" s="10">
        <v>5.0856014095615096</v>
      </c>
      <c r="AA95" s="10">
        <v>5.0860968211431503</v>
      </c>
      <c r="AB95" s="8">
        <v>171.45473381180199</v>
      </c>
      <c r="AC95" s="8">
        <v>171.500720131918</v>
      </c>
      <c r="AD95" s="8">
        <v>171.500648247361</v>
      </c>
      <c r="AE95" s="9">
        <v>-2.6397762735098598E-4</v>
      </c>
      <c r="AF95" s="9">
        <v>4.1990111152353199E-6</v>
      </c>
      <c r="AG95" s="9">
        <v>3.7798608522514001E-6</v>
      </c>
      <c r="AZ95" s="9"/>
      <c r="BB95">
        <f t="shared" si="22"/>
        <v>0</v>
      </c>
      <c r="BC95">
        <f t="shared" si="23"/>
        <v>1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0</v>
      </c>
      <c r="BL95" s="9"/>
      <c r="BN95">
        <f t="shared" si="30"/>
        <v>0</v>
      </c>
      <c r="BO95">
        <f t="shared" si="31"/>
        <v>0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0</v>
      </c>
      <c r="BY95" s="12">
        <f t="shared" si="39"/>
        <v>0</v>
      </c>
    </row>
    <row r="96" spans="1:77" x14ac:dyDescent="0.3">
      <c r="A96" s="1">
        <v>46161</v>
      </c>
      <c r="B96" s="8">
        <v>34.07</v>
      </c>
      <c r="C96" s="8">
        <v>173.25</v>
      </c>
      <c r="D96" s="9">
        <v>1.03260985392205E-2</v>
      </c>
      <c r="E96" s="9">
        <v>1.0152371464017901E-2</v>
      </c>
      <c r="F96" s="8">
        <v>0</v>
      </c>
      <c r="G96" s="8">
        <v>0.187</v>
      </c>
      <c r="H96" s="8">
        <v>0</v>
      </c>
      <c r="I96" s="8">
        <v>0.96889999999999998</v>
      </c>
      <c r="J96" s="8">
        <v>0</v>
      </c>
      <c r="K96" s="8">
        <v>0</v>
      </c>
      <c r="L96" s="8">
        <v>34.07</v>
      </c>
      <c r="M96" s="8">
        <v>173.25</v>
      </c>
      <c r="N96" s="10">
        <v>5.0851188729087102</v>
      </c>
      <c r="O96" s="10">
        <v>5.0856511037897496</v>
      </c>
      <c r="P96" s="10">
        <v>5.0851508908373502</v>
      </c>
      <c r="Q96" s="10">
        <v>5.0862047827258099</v>
      </c>
      <c r="R96" s="8">
        <v>173.26813310611601</v>
      </c>
      <c r="S96" s="8">
        <v>173.26644002376</v>
      </c>
      <c r="T96" s="8">
        <v>173.28331869634701</v>
      </c>
      <c r="U96" s="9">
        <v>1.04658916235363E-4</v>
      </c>
      <c r="V96" s="9">
        <v>9.4887410087574102E-5</v>
      </c>
      <c r="W96" s="9">
        <v>1.92297217337805E-4</v>
      </c>
      <c r="X96" s="10">
        <v>5.0851188729087102</v>
      </c>
      <c r="Y96" s="10">
        <v>5.0846599588316304</v>
      </c>
      <c r="Z96" s="10">
        <v>5.0851508908373502</v>
      </c>
      <c r="AA96" s="10">
        <v>5.0862047827258099</v>
      </c>
      <c r="AB96" s="8">
        <v>173.234364797393</v>
      </c>
      <c r="AC96" s="8">
        <v>173.26644002376</v>
      </c>
      <c r="AD96" s="8">
        <v>173.28331869634701</v>
      </c>
      <c r="AE96" s="9">
        <v>-9.0250552148592701E-5</v>
      </c>
      <c r="AF96" s="9">
        <v>9.4887410087352098E-5</v>
      </c>
      <c r="AG96" s="9">
        <v>1.92297217337805E-4</v>
      </c>
      <c r="AZ96" s="9"/>
      <c r="BB96">
        <f t="shared" si="22"/>
        <v>0</v>
      </c>
      <c r="BC96">
        <f t="shared" si="23"/>
        <v>1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0</v>
      </c>
      <c r="BL96" s="9"/>
      <c r="BN96">
        <f t="shared" si="30"/>
        <v>0</v>
      </c>
      <c r="BO96">
        <f t="shared" si="31"/>
        <v>0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0</v>
      </c>
    </row>
    <row r="97" spans="1:77" x14ac:dyDescent="0.3">
      <c r="A97" s="1">
        <v>46162</v>
      </c>
      <c r="B97" s="8">
        <v>33.29</v>
      </c>
      <c r="C97" s="8">
        <v>169.17</v>
      </c>
      <c r="D97" s="9">
        <v>-2.31601800859416E-2</v>
      </c>
      <c r="E97" s="9">
        <v>-2.3831511582812201E-2</v>
      </c>
      <c r="F97" s="8">
        <v>0</v>
      </c>
      <c r="G97" s="8">
        <v>0.187</v>
      </c>
      <c r="H97" s="8">
        <v>0</v>
      </c>
      <c r="I97" s="8">
        <v>0.96889999999999998</v>
      </c>
      <c r="J97" s="8">
        <v>0</v>
      </c>
      <c r="K97" s="8">
        <v>0</v>
      </c>
      <c r="L97" s="8">
        <v>33.29</v>
      </c>
      <c r="M97" s="8">
        <v>169.17</v>
      </c>
      <c r="N97" s="10">
        <v>5.0817062180835002</v>
      </c>
      <c r="O97" s="10">
        <v>5.0856511037897496</v>
      </c>
      <c r="P97" s="10">
        <v>5.0847742365029296</v>
      </c>
      <c r="Q97" s="10">
        <v>5.0860997077982297</v>
      </c>
      <c r="R97" s="8">
        <v>169.30132524516</v>
      </c>
      <c r="S97" s="8">
        <v>169.28467315597501</v>
      </c>
      <c r="T97" s="8">
        <v>169.31975721694201</v>
      </c>
      <c r="U97" s="9">
        <v>7.75990413105847E-4</v>
      </c>
      <c r="V97" s="9">
        <v>6.7762787432753603E-4</v>
      </c>
      <c r="W97" s="9">
        <v>8.8485529337679805E-4</v>
      </c>
      <c r="X97" s="10">
        <v>5.0817062180835002</v>
      </c>
      <c r="Y97" s="10">
        <v>5.0846599588316304</v>
      </c>
      <c r="Z97" s="10">
        <v>5.0847742365029296</v>
      </c>
      <c r="AA97" s="10">
        <v>5.0860997077982297</v>
      </c>
      <c r="AB97" s="8">
        <v>169.26833002950499</v>
      </c>
      <c r="AC97" s="8">
        <v>169.28467315597501</v>
      </c>
      <c r="AD97" s="8">
        <v>169.31975721694201</v>
      </c>
      <c r="AE97" s="9">
        <v>5.8108094472203995E-4</v>
      </c>
      <c r="AF97" s="9">
        <v>6.7762787432753603E-4</v>
      </c>
      <c r="AG97" s="9">
        <v>8.8485529337679805E-4</v>
      </c>
      <c r="AZ97" s="9"/>
      <c r="BB97">
        <f t="shared" si="22"/>
        <v>0</v>
      </c>
      <c r="BC97">
        <f t="shared" si="23"/>
        <v>1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0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0</v>
      </c>
    </row>
    <row r="98" spans="1:77" x14ac:dyDescent="0.3">
      <c r="A98" s="1">
        <v>46163</v>
      </c>
      <c r="B98" s="8">
        <v>32.92</v>
      </c>
      <c r="C98" s="8">
        <v>167.28</v>
      </c>
      <c r="D98" s="9">
        <v>-1.11766757780644E-2</v>
      </c>
      <c r="E98" s="9">
        <v>-1.12350713668222E-2</v>
      </c>
      <c r="F98" s="8">
        <v>0</v>
      </c>
      <c r="G98" s="8">
        <v>0.187</v>
      </c>
      <c r="H98" s="8">
        <v>0</v>
      </c>
      <c r="I98" s="8">
        <v>0.96889999999999998</v>
      </c>
      <c r="J98" s="8">
        <v>0</v>
      </c>
      <c r="K98" s="8">
        <v>0</v>
      </c>
      <c r="L98" s="8">
        <v>32.92</v>
      </c>
      <c r="M98" s="8">
        <v>167.28</v>
      </c>
      <c r="N98" s="10">
        <v>5.0814094775212597</v>
      </c>
      <c r="O98" s="10">
        <v>5.0856511037897496</v>
      </c>
      <c r="P98" s="10">
        <v>5.0842625661196799</v>
      </c>
      <c r="Q98" s="10">
        <v>5.0858701188996598</v>
      </c>
      <c r="R98" s="8">
        <v>167.41963433675801</v>
      </c>
      <c r="S98" s="8">
        <v>167.390767865676</v>
      </c>
      <c r="T98" s="8">
        <v>167.43440238071699</v>
      </c>
      <c r="U98" s="9">
        <v>8.3438600186366298E-4</v>
      </c>
      <c r="V98" s="9">
        <v>6.6195126887083405E-4</v>
      </c>
      <c r="W98" s="9">
        <v>9.2259186083254896E-4</v>
      </c>
      <c r="X98" s="10">
        <v>5.0814094775212597</v>
      </c>
      <c r="Y98" s="10">
        <v>5.0846599588316304</v>
      </c>
      <c r="Z98" s="10">
        <v>5.0842625661196799</v>
      </c>
      <c r="AA98" s="10">
        <v>5.0858701188996598</v>
      </c>
      <c r="AB98" s="8">
        <v>167.38700584473699</v>
      </c>
      <c r="AC98" s="8">
        <v>167.390767865676</v>
      </c>
      <c r="AD98" s="8">
        <v>167.43440238071699</v>
      </c>
      <c r="AE98" s="9">
        <v>6.3947653347974697E-4</v>
      </c>
      <c r="AF98" s="9">
        <v>6.6195126887083405E-4</v>
      </c>
      <c r="AG98" s="9">
        <v>9.2259186083254896E-4</v>
      </c>
      <c r="AZ98" s="9"/>
      <c r="BB98">
        <f t="shared" si="22"/>
        <v>0</v>
      </c>
      <c r="BC98">
        <f t="shared" si="23"/>
        <v>1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0</v>
      </c>
      <c r="BL98" s="9"/>
      <c r="BN98">
        <f t="shared" si="30"/>
        <v>0</v>
      </c>
      <c r="BO98">
        <f t="shared" si="31"/>
        <v>0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0</v>
      </c>
    </row>
    <row r="99" spans="1:77" x14ac:dyDescent="0.3">
      <c r="A99" s="1">
        <v>46164</v>
      </c>
      <c r="B99" s="8">
        <v>33.06</v>
      </c>
      <c r="C99" s="8">
        <v>168.02</v>
      </c>
      <c r="D99" s="9">
        <v>4.2437165840091603E-3</v>
      </c>
      <c r="E99" s="9">
        <v>4.4139648163229201E-3</v>
      </c>
      <c r="F99" s="8">
        <v>0</v>
      </c>
      <c r="G99" s="8">
        <v>0.187</v>
      </c>
      <c r="H99" s="8">
        <v>0</v>
      </c>
      <c r="I99" s="8">
        <v>0.96889999999999998</v>
      </c>
      <c r="J99" s="8">
        <v>0</v>
      </c>
      <c r="K99" s="8">
        <v>0</v>
      </c>
      <c r="L99" s="8">
        <v>33.06</v>
      </c>
      <c r="M99" s="8">
        <v>168.02</v>
      </c>
      <c r="N99" s="10">
        <v>5.0822746521476097</v>
      </c>
      <c r="O99" s="10">
        <v>5.0856511037897496</v>
      </c>
      <c r="P99" s="10">
        <v>5.0840470136779397</v>
      </c>
      <c r="Q99" s="10">
        <v>5.0857071219472898</v>
      </c>
      <c r="R99" s="8">
        <v>168.13162549128899</v>
      </c>
      <c r="S99" s="8">
        <v>168.08572043591599</v>
      </c>
      <c r="T99" s="8">
        <v>168.13886613082201</v>
      </c>
      <c r="U99" s="9">
        <v>6.64137769549708E-4</v>
      </c>
      <c r="V99" s="9">
        <v>3.9107002802075898E-4</v>
      </c>
      <c r="W99" s="9">
        <v>7.07202146086817E-4</v>
      </c>
      <c r="X99" s="10">
        <v>5.0822746521476097</v>
      </c>
      <c r="Y99" s="10">
        <v>5.0846599588316304</v>
      </c>
      <c r="Z99" s="10">
        <v>5.0840470136779397</v>
      </c>
      <c r="AA99" s="10">
        <v>5.0857071219472898</v>
      </c>
      <c r="AB99" s="8">
        <v>168.09885823897301</v>
      </c>
      <c r="AC99" s="8">
        <v>168.08572043591599</v>
      </c>
      <c r="AD99" s="8">
        <v>168.13886613082201</v>
      </c>
      <c r="AE99" s="9">
        <v>4.6922830116588599E-4</v>
      </c>
      <c r="AF99" s="9">
        <v>3.9107002802053699E-4</v>
      </c>
      <c r="AG99" s="9">
        <v>7.07202146086817E-4</v>
      </c>
      <c r="AZ99" s="9"/>
      <c r="BB99">
        <f t="shared" si="22"/>
        <v>0</v>
      </c>
      <c r="BC99">
        <f t="shared" si="23"/>
        <v>1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0</v>
      </c>
      <c r="BL99" s="9"/>
      <c r="BN99">
        <f t="shared" si="30"/>
        <v>0</v>
      </c>
      <c r="BO99">
        <f t="shared" si="31"/>
        <v>0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0</v>
      </c>
    </row>
    <row r="100" spans="1:77" x14ac:dyDescent="0.3">
      <c r="A100" s="1">
        <v>46168</v>
      </c>
      <c r="B100" s="8">
        <v>32.200000000000003</v>
      </c>
      <c r="C100" s="8">
        <v>163.72</v>
      </c>
      <c r="D100" s="9">
        <v>-2.63576398425154E-2</v>
      </c>
      <c r="E100" s="9">
        <v>-2.5925368312498798E-2</v>
      </c>
      <c r="F100" s="8">
        <v>0</v>
      </c>
      <c r="G100" s="8">
        <v>0.187</v>
      </c>
      <c r="H100" s="8">
        <v>0</v>
      </c>
      <c r="I100" s="8">
        <v>0.96889999999999998</v>
      </c>
      <c r="J100" s="8">
        <v>0</v>
      </c>
      <c r="K100" s="8">
        <v>0</v>
      </c>
      <c r="L100" s="8">
        <v>32.200000000000003</v>
      </c>
      <c r="M100" s="8">
        <v>163.72</v>
      </c>
      <c r="N100" s="10">
        <v>5.08447204968944</v>
      </c>
      <c r="O100" s="10">
        <v>5.0856511037897496</v>
      </c>
      <c r="P100" s="10">
        <v>5.0840122155169896</v>
      </c>
      <c r="Q100" s="10">
        <v>5.0856266088175603</v>
      </c>
      <c r="R100" s="8">
        <v>163.75796554203001</v>
      </c>
      <c r="S100" s="8">
        <v>163.706313840429</v>
      </c>
      <c r="T100" s="8">
        <v>163.75976932670201</v>
      </c>
      <c r="U100" s="9">
        <v>2.31866239533077E-4</v>
      </c>
      <c r="V100" s="9">
        <v>-8.3598409776916401E-5</v>
      </c>
      <c r="W100" s="9">
        <v>2.4288112197056E-4</v>
      </c>
      <c r="X100" s="10">
        <v>5.08447204968944</v>
      </c>
      <c r="Y100" s="10">
        <v>5.0846599588316304</v>
      </c>
      <c r="Z100" s="10">
        <v>5.0840122155170002</v>
      </c>
      <c r="AA100" s="10">
        <v>5.0856266088175603</v>
      </c>
      <c r="AB100" s="8">
        <v>163.726050674378</v>
      </c>
      <c r="AC100" s="8">
        <v>163.706313840429</v>
      </c>
      <c r="AD100" s="8">
        <v>163.75976932670201</v>
      </c>
      <c r="AE100" s="9">
        <v>3.69567711494147E-5</v>
      </c>
      <c r="AF100" s="9">
        <v>-8.3598409776916401E-5</v>
      </c>
      <c r="AG100" s="9">
        <v>2.4288112197056E-4</v>
      </c>
      <c r="AZ100" s="9"/>
      <c r="BB100">
        <f t="shared" si="22"/>
        <v>0</v>
      </c>
      <c r="BC100">
        <f t="shared" si="23"/>
        <v>1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0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0</v>
      </c>
    </row>
    <row r="101" spans="1:77" x14ac:dyDescent="0.3">
      <c r="A101" s="1">
        <v>46169</v>
      </c>
      <c r="B101" s="8">
        <v>31.64</v>
      </c>
      <c r="C101" s="8">
        <v>160.84</v>
      </c>
      <c r="D101" s="9">
        <v>-1.7544309650909602E-2</v>
      </c>
      <c r="E101" s="9">
        <v>-1.7747569595128899E-2</v>
      </c>
      <c r="F101" s="8">
        <v>0</v>
      </c>
      <c r="G101" s="8">
        <v>0.187</v>
      </c>
      <c r="H101" s="8">
        <v>0</v>
      </c>
      <c r="I101" s="8">
        <v>0.96889999999999998</v>
      </c>
      <c r="J101" s="8">
        <v>0</v>
      </c>
      <c r="K101" s="8">
        <v>0</v>
      </c>
      <c r="L101" s="8">
        <v>31.64</v>
      </c>
      <c r="M101" s="8">
        <v>160.84</v>
      </c>
      <c r="N101" s="10">
        <v>5.0834386852085904</v>
      </c>
      <c r="O101" s="10">
        <v>5.0856511037897496</v>
      </c>
      <c r="P101" s="10">
        <v>5.0837482530869504</v>
      </c>
      <c r="Q101" s="10">
        <v>5.0854204490185797</v>
      </c>
      <c r="R101" s="8">
        <v>160.91000092390701</v>
      </c>
      <c r="S101" s="8">
        <v>160.85814649895701</v>
      </c>
      <c r="T101" s="8">
        <v>160.909225902987</v>
      </c>
      <c r="U101" s="9">
        <v>4.3512618375264801E-4</v>
      </c>
      <c r="V101" s="9">
        <v>1.12816932112377E-4</v>
      </c>
      <c r="W101" s="9">
        <v>4.30309685200717E-4</v>
      </c>
      <c r="X101" s="10">
        <v>5.0834386852085904</v>
      </c>
      <c r="Y101" s="10">
        <v>5.0846599588316304</v>
      </c>
      <c r="Z101" s="10">
        <v>5.0837482530869504</v>
      </c>
      <c r="AA101" s="10">
        <v>5.0854204490185797</v>
      </c>
      <c r="AB101" s="8">
        <v>160.87864109743199</v>
      </c>
      <c r="AC101" s="8">
        <v>160.85814649895701</v>
      </c>
      <c r="AD101" s="8">
        <v>160.909225902987</v>
      </c>
      <c r="AE101" s="9">
        <v>2.40216715368802E-4</v>
      </c>
      <c r="AF101" s="9">
        <v>1.12816932112377E-4</v>
      </c>
      <c r="AG101" s="9">
        <v>4.30309685200717E-4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0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0</v>
      </c>
    </row>
    <row r="102" spans="1:77" x14ac:dyDescent="0.3">
      <c r="A102" s="1">
        <v>46170</v>
      </c>
      <c r="B102" s="8">
        <v>31.61</v>
      </c>
      <c r="C102" s="8">
        <v>160.72</v>
      </c>
      <c r="D102" s="9">
        <v>-9.4861667192677399E-4</v>
      </c>
      <c r="E102" s="9">
        <v>-7.46361522394286E-4</v>
      </c>
      <c r="F102" s="8">
        <v>0</v>
      </c>
      <c r="G102" s="8">
        <v>0.187</v>
      </c>
      <c r="H102" s="8">
        <v>0</v>
      </c>
      <c r="I102" s="8">
        <v>0.96889999999999998</v>
      </c>
      <c r="J102" s="8">
        <v>0</v>
      </c>
      <c r="K102" s="8">
        <v>0</v>
      </c>
      <c r="L102" s="8">
        <v>31.61</v>
      </c>
      <c r="M102" s="8">
        <v>160.72</v>
      </c>
      <c r="N102" s="10">
        <v>5.0844669408414997</v>
      </c>
      <c r="O102" s="10">
        <v>5.0856511037897496</v>
      </c>
      <c r="P102" s="10">
        <v>5.0834573849820499</v>
      </c>
      <c r="Q102" s="10">
        <v>5.0852867612649</v>
      </c>
      <c r="R102" s="8">
        <v>160.75743139079401</v>
      </c>
      <c r="S102" s="8">
        <v>160.69728228007801</v>
      </c>
      <c r="T102" s="8">
        <v>160.75014039347701</v>
      </c>
      <c r="U102" s="9">
        <v>2.3287103422006301E-4</v>
      </c>
      <c r="V102" s="9">
        <v>-1.41359666773053E-4</v>
      </c>
      <c r="W102" s="9">
        <v>1.87515976003502E-4</v>
      </c>
      <c r="X102" s="10">
        <v>5.0844669408414997</v>
      </c>
      <c r="Y102" s="10">
        <v>5.0846599588316304</v>
      </c>
      <c r="Z102" s="10">
        <v>5.0834573849820499</v>
      </c>
      <c r="AA102" s="10">
        <v>5.0852867612649</v>
      </c>
      <c r="AB102" s="8">
        <v>160.726101298667</v>
      </c>
      <c r="AC102" s="8">
        <v>160.69728228007801</v>
      </c>
      <c r="AD102" s="8">
        <v>160.75014039347701</v>
      </c>
      <c r="AE102" s="9">
        <v>3.7961565836170797E-5</v>
      </c>
      <c r="AF102" s="9">
        <v>-1.41359666773053E-4</v>
      </c>
      <c r="AG102" s="9">
        <v>1.87515976003502E-4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0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0</v>
      </c>
    </row>
    <row r="103" spans="1:77" x14ac:dyDescent="0.3">
      <c r="A103" s="1">
        <v>46171</v>
      </c>
      <c r="B103" s="8">
        <v>31.28</v>
      </c>
      <c r="C103" s="8">
        <v>159.1</v>
      </c>
      <c r="D103" s="9">
        <v>-1.04946105504159E-2</v>
      </c>
      <c r="E103" s="9">
        <v>-1.01307851629377E-2</v>
      </c>
      <c r="F103" s="8">
        <v>0</v>
      </c>
      <c r="G103" s="8">
        <v>0.187</v>
      </c>
      <c r="H103" s="8">
        <v>0</v>
      </c>
      <c r="I103" s="8">
        <v>0.96889999999999998</v>
      </c>
      <c r="J103" s="8">
        <v>0</v>
      </c>
      <c r="K103" s="8">
        <v>0</v>
      </c>
      <c r="L103" s="8">
        <v>31.28</v>
      </c>
      <c r="M103" s="8">
        <v>159.1</v>
      </c>
      <c r="N103" s="10">
        <v>5.0863171355498702</v>
      </c>
      <c r="O103" s="10">
        <v>5.0856511037897496</v>
      </c>
      <c r="P103" s="10">
        <v>5.0837609060632598</v>
      </c>
      <c r="Q103" s="10">
        <v>5.0852071784984396</v>
      </c>
      <c r="R103" s="8">
        <v>159.07916652654299</v>
      </c>
      <c r="S103" s="8">
        <v>159.01054700223801</v>
      </c>
      <c r="T103" s="8">
        <v>159.06776989236599</v>
      </c>
      <c r="U103" s="9">
        <v>-1.30954353258142E-4</v>
      </c>
      <c r="V103" s="9">
        <v>-5.6240197605601197E-4</v>
      </c>
      <c r="W103" s="9">
        <v>-2.0259819374565899E-4</v>
      </c>
      <c r="X103" s="10">
        <v>5.0863171355498702</v>
      </c>
      <c r="Y103" s="10">
        <v>5.0846599588316304</v>
      </c>
      <c r="Z103" s="10">
        <v>5.08376090606325</v>
      </c>
      <c r="AA103" s="10">
        <v>5.0852071784984396</v>
      </c>
      <c r="AB103" s="8">
        <v>159.04816351225301</v>
      </c>
      <c r="AC103" s="8">
        <v>159.01054700223801</v>
      </c>
      <c r="AD103" s="8">
        <v>159.06776989236599</v>
      </c>
      <c r="AE103" s="9">
        <v>-3.2586382164184199E-4</v>
      </c>
      <c r="AF103" s="9">
        <v>-5.6240197605601197E-4</v>
      </c>
      <c r="AG103" s="9">
        <v>-2.0259819374565899E-4</v>
      </c>
      <c r="AZ103" s="9"/>
      <c r="BB103">
        <f t="shared" si="22"/>
        <v>0</v>
      </c>
      <c r="BC103">
        <f t="shared" si="23"/>
        <v>0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0</v>
      </c>
      <c r="BL103" s="9"/>
      <c r="BN103">
        <f t="shared" si="30"/>
        <v>0</v>
      </c>
      <c r="BO103">
        <f t="shared" si="31"/>
        <v>1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0</v>
      </c>
    </row>
    <row r="104" spans="1:77" x14ac:dyDescent="0.3">
      <c r="A104" s="1">
        <v>46174</v>
      </c>
      <c r="B104" s="8">
        <v>31.84</v>
      </c>
      <c r="C104" s="8">
        <v>161.83000000000001</v>
      </c>
      <c r="D104" s="9">
        <v>1.77444452990719E-2</v>
      </c>
      <c r="E104" s="9">
        <v>1.7013466185052901E-2</v>
      </c>
      <c r="F104" s="8">
        <v>0</v>
      </c>
      <c r="G104" s="8">
        <v>0.187</v>
      </c>
      <c r="H104" s="8">
        <v>0</v>
      </c>
      <c r="I104" s="8">
        <v>0.96889999999999998</v>
      </c>
      <c r="J104" s="8">
        <v>0</v>
      </c>
      <c r="K104" s="8">
        <v>0</v>
      </c>
      <c r="L104" s="8">
        <v>31.84</v>
      </c>
      <c r="M104" s="8">
        <v>161.83000000000001</v>
      </c>
      <c r="N104" s="10">
        <v>5.0826005025125598</v>
      </c>
      <c r="O104" s="10">
        <v>5.0856511037897496</v>
      </c>
      <c r="P104" s="10">
        <v>5.0837806906942298</v>
      </c>
      <c r="Q104" s="10">
        <v>5.0849022096993997</v>
      </c>
      <c r="R104" s="8">
        <v>161.927131144665</v>
      </c>
      <c r="S104" s="8">
        <v>161.86694724905399</v>
      </c>
      <c r="T104" s="8">
        <v>161.91299656339001</v>
      </c>
      <c r="U104" s="9">
        <v>6.0002476076074704E-4</v>
      </c>
      <c r="V104" s="9">
        <v>2.28282963609159E-4</v>
      </c>
      <c r="W104" s="9">
        <v>5.1273118547486105E-4</v>
      </c>
      <c r="X104" s="10">
        <v>5.0826005025125598</v>
      </c>
      <c r="Y104" s="10">
        <v>5.0846599588316304</v>
      </c>
      <c r="Z104" s="10">
        <v>5.0837806906942298</v>
      </c>
      <c r="AA104" s="10">
        <v>5.0849022096993997</v>
      </c>
      <c r="AB104" s="8">
        <v>161.89557308919899</v>
      </c>
      <c r="AC104" s="8">
        <v>161.86694724905399</v>
      </c>
      <c r="AD104" s="8">
        <v>161.91299656339001</v>
      </c>
      <c r="AE104" s="9">
        <v>4.0511529237698802E-4</v>
      </c>
      <c r="AF104" s="9">
        <v>2.2828296360893701E-4</v>
      </c>
      <c r="AG104" s="9">
        <v>5.1273118547486105E-4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0</v>
      </c>
      <c r="BL104" s="9"/>
      <c r="BN104">
        <f t="shared" si="30"/>
        <v>0</v>
      </c>
      <c r="BO104">
        <f t="shared" si="31"/>
        <v>0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0</v>
      </c>
    </row>
    <row r="105" spans="1:77" x14ac:dyDescent="0.3">
      <c r="A105" s="1">
        <v>46175</v>
      </c>
      <c r="B105" s="8">
        <v>32.22</v>
      </c>
      <c r="C105" s="8">
        <v>163.72</v>
      </c>
      <c r="D105" s="9">
        <v>1.1864016772646001E-2</v>
      </c>
      <c r="E105" s="9">
        <v>1.16112500954081E-2</v>
      </c>
      <c r="F105" s="8">
        <v>0</v>
      </c>
      <c r="G105" s="8">
        <v>0.187</v>
      </c>
      <c r="H105" s="8">
        <v>0</v>
      </c>
      <c r="I105" s="8">
        <v>0.96889999999999998</v>
      </c>
      <c r="J105" s="8">
        <v>0</v>
      </c>
      <c r="K105" s="8">
        <v>0</v>
      </c>
      <c r="L105" s="8">
        <v>32.22</v>
      </c>
      <c r="M105" s="8">
        <v>163.72</v>
      </c>
      <c r="N105" s="10">
        <v>5.0813159528243297</v>
      </c>
      <c r="O105" s="10">
        <v>5.0856511037897496</v>
      </c>
      <c r="P105" s="10">
        <v>5.0833120487287404</v>
      </c>
      <c r="Q105" s="10">
        <v>5.0844567291451197</v>
      </c>
      <c r="R105" s="8">
        <v>163.859678564105</v>
      </c>
      <c r="S105" s="8">
        <v>163.79941385416799</v>
      </c>
      <c r="T105" s="8">
        <v>163.83554919651399</v>
      </c>
      <c r="U105" s="9">
        <v>8.5279143799881201E-4</v>
      </c>
      <c r="V105" s="9">
        <v>4.8494136448220599E-4</v>
      </c>
      <c r="W105" s="9">
        <v>7.0552430933428802E-4</v>
      </c>
      <c r="X105" s="10">
        <v>5.0813159528243297</v>
      </c>
      <c r="Y105" s="10">
        <v>5.0846599588316304</v>
      </c>
      <c r="Z105" s="10">
        <v>5.0833120487287404</v>
      </c>
      <c r="AA105" s="10">
        <v>5.0844567291451197</v>
      </c>
      <c r="AB105" s="8">
        <v>163.82774387355499</v>
      </c>
      <c r="AC105" s="8">
        <v>163.79941385416799</v>
      </c>
      <c r="AD105" s="8">
        <v>163.83554919651399</v>
      </c>
      <c r="AE105" s="9">
        <v>6.5788196961499802E-4</v>
      </c>
      <c r="AF105" s="9">
        <v>4.8494136448220599E-4</v>
      </c>
      <c r="AG105" s="9">
        <v>7.0552430933428802E-4</v>
      </c>
      <c r="AZ105" s="9"/>
      <c r="BB105">
        <f t="shared" si="22"/>
        <v>0</v>
      </c>
      <c r="BC105">
        <f t="shared" si="23"/>
        <v>1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0</v>
      </c>
      <c r="BL105" s="9"/>
      <c r="BN105">
        <f t="shared" si="30"/>
        <v>0</v>
      </c>
      <c r="BO105">
        <f t="shared" si="31"/>
        <v>0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0</v>
      </c>
    </row>
    <row r="106" spans="1:77" x14ac:dyDescent="0.3">
      <c r="A106" s="1">
        <v>46176</v>
      </c>
      <c r="B106" s="8">
        <v>32.58</v>
      </c>
      <c r="C106" s="8">
        <v>165.57</v>
      </c>
      <c r="D106" s="9">
        <v>1.1111225425070601E-2</v>
      </c>
      <c r="E106" s="9">
        <v>1.1236414495317201E-2</v>
      </c>
      <c r="F106" s="8">
        <v>0</v>
      </c>
      <c r="G106" s="8">
        <v>0.187</v>
      </c>
      <c r="H106" s="8">
        <v>0</v>
      </c>
      <c r="I106" s="8">
        <v>0.96889999999999998</v>
      </c>
      <c r="J106" s="8">
        <v>0</v>
      </c>
      <c r="K106" s="8">
        <v>0</v>
      </c>
      <c r="L106" s="8">
        <v>32.58</v>
      </c>
      <c r="M106" s="8">
        <v>165.57</v>
      </c>
      <c r="N106" s="10">
        <v>5.0819521178637199</v>
      </c>
      <c r="O106" s="10">
        <v>5.0856511037897496</v>
      </c>
      <c r="P106" s="10">
        <v>5.0829953732242403</v>
      </c>
      <c r="Q106" s="10">
        <v>5.0840731320307899</v>
      </c>
      <c r="R106" s="8">
        <v>165.69051296147001</v>
      </c>
      <c r="S106" s="8">
        <v>165.614306547582</v>
      </c>
      <c r="T106" s="8">
        <v>165.65160023554799</v>
      </c>
      <c r="U106" s="9">
        <v>7.2760236775220102E-4</v>
      </c>
      <c r="V106" s="9">
        <v>2.6756429559466E-4</v>
      </c>
      <c r="W106" s="9">
        <v>4.9272292109663399E-4</v>
      </c>
      <c r="X106" s="10">
        <v>5.0819521178637199</v>
      </c>
      <c r="Y106" s="10">
        <v>5.0846599588316304</v>
      </c>
      <c r="Z106" s="10">
        <v>5.0829953732242403</v>
      </c>
      <c r="AA106" s="10">
        <v>5.0840731320307899</v>
      </c>
      <c r="AB106" s="8">
        <v>165.658221458734</v>
      </c>
      <c r="AC106" s="8">
        <v>165.614306547582</v>
      </c>
      <c r="AD106" s="8">
        <v>165.65160023554799</v>
      </c>
      <c r="AE106" s="9">
        <v>5.3269289936835602E-4</v>
      </c>
      <c r="AF106" s="9">
        <v>2.6756429559466E-4</v>
      </c>
      <c r="AG106" s="9">
        <v>4.9272292109663399E-4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0</v>
      </c>
      <c r="BL106" s="9"/>
      <c r="BN106">
        <f t="shared" si="30"/>
        <v>0</v>
      </c>
      <c r="BO106">
        <f t="shared" si="31"/>
        <v>0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0</v>
      </c>
    </row>
    <row r="107" spans="1:77" x14ac:dyDescent="0.3">
      <c r="A107" s="1">
        <v>46177</v>
      </c>
      <c r="B107" s="8">
        <v>32.64</v>
      </c>
      <c r="C107" s="8">
        <v>165.86</v>
      </c>
      <c r="D107" s="9">
        <v>1.8399269220072899E-3</v>
      </c>
      <c r="E107" s="9">
        <v>1.7499929035381999E-3</v>
      </c>
      <c r="F107" s="8">
        <v>0</v>
      </c>
      <c r="G107" s="8">
        <v>0.187</v>
      </c>
      <c r="H107" s="8">
        <v>0</v>
      </c>
      <c r="I107" s="8">
        <v>0.96889999999999998</v>
      </c>
      <c r="J107" s="8">
        <v>0</v>
      </c>
      <c r="K107" s="8">
        <v>0</v>
      </c>
      <c r="L107" s="8">
        <v>32.64</v>
      </c>
      <c r="M107" s="8">
        <v>165.86</v>
      </c>
      <c r="N107" s="10">
        <v>5.08149509803921</v>
      </c>
      <c r="O107" s="10">
        <v>5.0856511037897496</v>
      </c>
      <c r="P107" s="10">
        <v>5.0829742612198103</v>
      </c>
      <c r="Q107" s="10">
        <v>5.0838742488613704</v>
      </c>
      <c r="R107" s="8">
        <v>165.99565202769699</v>
      </c>
      <c r="S107" s="8">
        <v>165.908968982039</v>
      </c>
      <c r="T107" s="8">
        <v>165.94414702948501</v>
      </c>
      <c r="U107" s="9">
        <v>8.1753638622111997E-4</v>
      </c>
      <c r="V107" s="9">
        <v>2.9519929211622802E-4</v>
      </c>
      <c r="W107" s="9">
        <v>5.0720903908221099E-4</v>
      </c>
      <c r="X107" s="10">
        <v>5.08149509803921</v>
      </c>
      <c r="Y107" s="10">
        <v>5.0846599588316304</v>
      </c>
      <c r="Z107" s="10">
        <v>5.0829742612198103</v>
      </c>
      <c r="AA107" s="10">
        <v>5.0838742488613704</v>
      </c>
      <c r="AB107" s="8">
        <v>165.96330105626399</v>
      </c>
      <c r="AC107" s="8">
        <v>165.908968982039</v>
      </c>
      <c r="AD107" s="8">
        <v>165.94414702948501</v>
      </c>
      <c r="AE107" s="9">
        <v>6.2262691783721404E-4</v>
      </c>
      <c r="AF107" s="9">
        <v>2.9519929211622802E-4</v>
      </c>
      <c r="AG107" s="9">
        <v>5.0720903908221099E-4</v>
      </c>
      <c r="AZ107" s="9"/>
      <c r="BB107">
        <f t="shared" si="22"/>
        <v>0</v>
      </c>
      <c r="BC107">
        <f t="shared" si="23"/>
        <v>1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0</v>
      </c>
      <c r="BL107" s="9"/>
      <c r="BN107">
        <f t="shared" si="30"/>
        <v>0</v>
      </c>
      <c r="BO107">
        <f t="shared" si="31"/>
        <v>0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0</v>
      </c>
    </row>
    <row r="108" spans="1:77" x14ac:dyDescent="0.3">
      <c r="A108" s="1">
        <v>46178</v>
      </c>
      <c r="B108" s="8">
        <v>31.95</v>
      </c>
      <c r="C108" s="8">
        <v>162.36000000000001</v>
      </c>
      <c r="D108" s="9">
        <v>-2.13663492723625E-2</v>
      </c>
      <c r="E108" s="9">
        <v>-2.1327967052360602E-2</v>
      </c>
      <c r="F108" s="8">
        <v>0</v>
      </c>
      <c r="G108" s="8">
        <v>0.187</v>
      </c>
      <c r="H108" s="8">
        <v>0</v>
      </c>
      <c r="I108" s="8">
        <v>0.96889999999999998</v>
      </c>
      <c r="J108" s="8">
        <v>0</v>
      </c>
      <c r="K108" s="8">
        <v>0</v>
      </c>
      <c r="L108" s="8">
        <v>31.95</v>
      </c>
      <c r="M108" s="8">
        <v>162.36000000000001</v>
      </c>
      <c r="N108" s="10">
        <v>5.0816901408450699</v>
      </c>
      <c r="O108" s="10">
        <v>5.0856511037897496</v>
      </c>
      <c r="P108" s="10">
        <v>5.0830023275521903</v>
      </c>
      <c r="Q108" s="10">
        <v>5.0836324468359297</v>
      </c>
      <c r="R108" s="8">
        <v>162.48655276608201</v>
      </c>
      <c r="S108" s="8">
        <v>162.40102764597299</v>
      </c>
      <c r="T108" s="8">
        <v>162.42978225112</v>
      </c>
      <c r="U108" s="9">
        <v>7.7915416621952502E-4</v>
      </c>
      <c r="V108" s="9">
        <v>2.5266360615148098E-4</v>
      </c>
      <c r="W108" s="9">
        <v>4.2970718912996298E-4</v>
      </c>
      <c r="X108" s="10">
        <v>5.0816901408450699</v>
      </c>
      <c r="Y108" s="10">
        <v>5.0846599588316304</v>
      </c>
      <c r="Z108" s="10">
        <v>5.0830023275521903</v>
      </c>
      <c r="AA108" s="10">
        <v>5.0836324468359297</v>
      </c>
      <c r="AB108" s="8">
        <v>162.45488568466999</v>
      </c>
      <c r="AC108" s="8">
        <v>162.40102764597299</v>
      </c>
      <c r="AD108" s="8">
        <v>162.42978225112</v>
      </c>
      <c r="AE108" s="9">
        <v>5.8424469783562505E-4</v>
      </c>
      <c r="AF108" s="9">
        <v>2.5266360615148098E-4</v>
      </c>
      <c r="AG108" s="9">
        <v>4.2970718912996298E-4</v>
      </c>
      <c r="AZ108" s="9"/>
      <c r="BB108">
        <f t="shared" si="22"/>
        <v>0</v>
      </c>
      <c r="BC108">
        <f t="shared" si="23"/>
        <v>1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0</v>
      </c>
      <c r="BL108" s="9"/>
      <c r="BN108">
        <f t="shared" si="30"/>
        <v>0</v>
      </c>
      <c r="BO108">
        <f t="shared" si="31"/>
        <v>0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0</v>
      </c>
    </row>
    <row r="109" spans="1:77" x14ac:dyDescent="0.3">
      <c r="A109" s="1">
        <v>46181</v>
      </c>
      <c r="B109" s="8">
        <v>32.340000000000003</v>
      </c>
      <c r="C109" s="8">
        <v>164.43</v>
      </c>
      <c r="D109" s="9">
        <v>1.21326733254171E-2</v>
      </c>
      <c r="E109" s="9">
        <v>1.26688557554377E-2</v>
      </c>
      <c r="F109" s="8">
        <v>0</v>
      </c>
      <c r="G109" s="8">
        <v>0.187</v>
      </c>
      <c r="H109" s="8">
        <v>0</v>
      </c>
      <c r="I109" s="8">
        <v>0.96889999999999998</v>
      </c>
      <c r="J109" s="8">
        <v>0</v>
      </c>
      <c r="K109" s="8">
        <v>0</v>
      </c>
      <c r="L109" s="8">
        <v>32.340000000000003</v>
      </c>
      <c r="M109" s="8">
        <v>164.43</v>
      </c>
      <c r="N109" s="10">
        <v>5.0844155844155798</v>
      </c>
      <c r="O109" s="10">
        <v>5.0856511037897496</v>
      </c>
      <c r="P109" s="10">
        <v>5.0832164207789896</v>
      </c>
      <c r="Q109" s="10">
        <v>5.0836317172284602</v>
      </c>
      <c r="R109" s="8">
        <v>164.46995669655999</v>
      </c>
      <c r="S109" s="8">
        <v>164.384295273037</v>
      </c>
      <c r="T109" s="8">
        <v>164.404673330674</v>
      </c>
      <c r="U109" s="9">
        <v>2.4297173619891699E-4</v>
      </c>
      <c r="V109" s="9">
        <v>-2.7799720336672698E-4</v>
      </c>
      <c r="W109" s="9">
        <v>-1.5403892247273899E-4</v>
      </c>
      <c r="X109" s="10">
        <v>5.0844155844155798</v>
      </c>
      <c r="Y109" s="10">
        <v>5.0846599588316304</v>
      </c>
      <c r="Z109" s="10">
        <v>5.0832164207789896</v>
      </c>
      <c r="AA109" s="10">
        <v>5.0836317172284602</v>
      </c>
      <c r="AB109" s="8">
        <v>164.43790306861499</v>
      </c>
      <c r="AC109" s="8">
        <v>164.384295273037</v>
      </c>
      <c r="AD109" s="8">
        <v>164.404673330674</v>
      </c>
      <c r="AE109" s="9">
        <v>4.8062267815075802E-5</v>
      </c>
      <c r="AF109" s="9">
        <v>-2.7799720336650499E-4</v>
      </c>
      <c r="AG109" s="9">
        <v>-1.5403892247273899E-4</v>
      </c>
      <c r="AZ109" s="9"/>
      <c r="BB109">
        <f t="shared" si="22"/>
        <v>0</v>
      </c>
      <c r="BC109">
        <f t="shared" si="23"/>
        <v>0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0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0</v>
      </c>
    </row>
    <row r="110" spans="1:77" x14ac:dyDescent="0.3">
      <c r="A110" s="1">
        <v>46182</v>
      </c>
      <c r="B110" s="8">
        <v>31.79</v>
      </c>
      <c r="C110" s="8">
        <v>161.56</v>
      </c>
      <c r="D110" s="9">
        <v>-1.71530792262495E-2</v>
      </c>
      <c r="E110" s="9">
        <v>-1.7608357030922599E-2</v>
      </c>
      <c r="F110" s="8">
        <v>0</v>
      </c>
      <c r="G110" s="8">
        <v>0.187</v>
      </c>
      <c r="H110" s="8">
        <v>0</v>
      </c>
      <c r="I110" s="8">
        <v>0.96889999999999998</v>
      </c>
      <c r="J110" s="8">
        <v>0</v>
      </c>
      <c r="K110" s="8">
        <v>0</v>
      </c>
      <c r="L110" s="8">
        <v>31.79</v>
      </c>
      <c r="M110" s="8">
        <v>161.56</v>
      </c>
      <c r="N110" s="10">
        <v>5.0821012897137399</v>
      </c>
      <c r="O110" s="10">
        <v>5.0856511037897496</v>
      </c>
      <c r="P110" s="10">
        <v>5.0829793447814202</v>
      </c>
      <c r="Q110" s="10">
        <v>5.0834957801492102</v>
      </c>
      <c r="R110" s="8">
        <v>161.67284858947599</v>
      </c>
      <c r="S110" s="8">
        <v>161.595450016564</v>
      </c>
      <c r="T110" s="8">
        <v>161.60865229069299</v>
      </c>
      <c r="U110" s="9">
        <v>6.9824954087176498E-4</v>
      </c>
      <c r="V110" s="9">
        <v>2.19399157306434E-4</v>
      </c>
      <c r="W110" s="9">
        <v>3.0109536129626897E-4</v>
      </c>
      <c r="X110" s="10">
        <v>5.0821012897137399</v>
      </c>
      <c r="Y110" s="10">
        <v>5.0846599588316304</v>
      </c>
      <c r="Z110" s="10">
        <v>5.0829793447814202</v>
      </c>
      <c r="AA110" s="10">
        <v>5.0834957801492102</v>
      </c>
      <c r="AB110" s="8">
        <v>161.64134009125701</v>
      </c>
      <c r="AC110" s="8">
        <v>161.595450016564</v>
      </c>
      <c r="AD110" s="8">
        <v>161.60865229069299</v>
      </c>
      <c r="AE110" s="9">
        <v>5.0334007248804098E-4</v>
      </c>
      <c r="AF110" s="9">
        <v>2.19399157306434E-4</v>
      </c>
      <c r="AG110" s="9">
        <v>3.0109536129626897E-4</v>
      </c>
      <c r="AZ110" s="9"/>
      <c r="BB110">
        <f t="shared" si="22"/>
        <v>0</v>
      </c>
      <c r="BC110">
        <f t="shared" si="23"/>
        <v>1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0</v>
      </c>
      <c r="BL110" s="9"/>
      <c r="BN110">
        <f t="shared" si="30"/>
        <v>0</v>
      </c>
      <c r="BO110">
        <f t="shared" si="31"/>
        <v>0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0</v>
      </c>
    </row>
    <row r="111" spans="1:77" x14ac:dyDescent="0.3">
      <c r="A111" s="1">
        <v>46183</v>
      </c>
      <c r="B111" s="8">
        <v>32.28</v>
      </c>
      <c r="C111" s="8">
        <v>164.08</v>
      </c>
      <c r="D111" s="9">
        <v>1.52960684790367E-2</v>
      </c>
      <c r="E111" s="9">
        <v>1.5477523068913099E-2</v>
      </c>
      <c r="F111" s="8">
        <v>0</v>
      </c>
      <c r="G111" s="8">
        <v>0.187</v>
      </c>
      <c r="H111" s="8">
        <v>0</v>
      </c>
      <c r="I111" s="8">
        <v>0.96889999999999998</v>
      </c>
      <c r="J111" s="8">
        <v>0</v>
      </c>
      <c r="K111" s="8">
        <v>0</v>
      </c>
      <c r="L111" s="8">
        <v>32.28</v>
      </c>
      <c r="M111" s="8">
        <v>164.08</v>
      </c>
      <c r="N111" s="10">
        <v>5.0830235439900804</v>
      </c>
      <c r="O111" s="10">
        <v>5.0856511037897496</v>
      </c>
      <c r="P111" s="10">
        <v>5.0829378306595698</v>
      </c>
      <c r="Q111" s="10">
        <v>5.0833430418732597</v>
      </c>
      <c r="R111" s="8">
        <v>164.164817630333</v>
      </c>
      <c r="S111" s="8">
        <v>164.07857324954401</v>
      </c>
      <c r="T111" s="8">
        <v>164.09524378321601</v>
      </c>
      <c r="U111" s="9">
        <v>5.1679495099561201E-4</v>
      </c>
      <c r="V111" s="9">
        <v>-8.6954940204342093E-6</v>
      </c>
      <c r="W111" s="9">
        <v>9.2900262992026995E-5</v>
      </c>
      <c r="X111" s="10">
        <v>5.0830235439900804</v>
      </c>
      <c r="Y111" s="10">
        <v>5.0846599588316304</v>
      </c>
      <c r="Z111" s="10">
        <v>5.0829378306595698</v>
      </c>
      <c r="AA111" s="10">
        <v>5.0833430418732597</v>
      </c>
      <c r="AB111" s="8">
        <v>164.132823471085</v>
      </c>
      <c r="AC111" s="8">
        <v>164.07857324954401</v>
      </c>
      <c r="AD111" s="8">
        <v>164.09524378321601</v>
      </c>
      <c r="AE111" s="9">
        <v>3.2188548261169702E-4</v>
      </c>
      <c r="AF111" s="9">
        <v>-8.6954940204342093E-6</v>
      </c>
      <c r="AG111" s="9">
        <v>9.2900262992026995E-5</v>
      </c>
      <c r="AZ111" s="9"/>
      <c r="BB111">
        <f t="shared" si="22"/>
        <v>0</v>
      </c>
      <c r="BC111">
        <f t="shared" si="23"/>
        <v>1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0</v>
      </c>
      <c r="BL111" s="9"/>
      <c r="BN111">
        <f t="shared" si="30"/>
        <v>0</v>
      </c>
      <c r="BO111">
        <f t="shared" si="31"/>
        <v>0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0</v>
      </c>
    </row>
    <row r="112" spans="1:77" x14ac:dyDescent="0.3">
      <c r="A112" s="1">
        <v>46184</v>
      </c>
      <c r="B112" s="8">
        <v>31.68</v>
      </c>
      <c r="C112" s="8">
        <v>161.1</v>
      </c>
      <c r="D112" s="9">
        <v>-1.8762276455522999E-2</v>
      </c>
      <c r="E112" s="9">
        <v>-1.8328823581196502E-2</v>
      </c>
      <c r="F112" s="8">
        <v>0</v>
      </c>
      <c r="G112" s="8">
        <v>0.187</v>
      </c>
      <c r="H112" s="8">
        <v>0</v>
      </c>
      <c r="I112" s="8">
        <v>0.96889999999999998</v>
      </c>
      <c r="J112" s="8">
        <v>0</v>
      </c>
      <c r="K112" s="8">
        <v>0</v>
      </c>
      <c r="L112" s="8">
        <v>31.68</v>
      </c>
      <c r="M112" s="8">
        <v>161.1</v>
      </c>
      <c r="N112" s="10">
        <v>5.0852272727272698</v>
      </c>
      <c r="O112" s="10">
        <v>5.0856511037897496</v>
      </c>
      <c r="P112" s="10">
        <v>5.0830138638481399</v>
      </c>
      <c r="Q112" s="10">
        <v>5.0832356244151002</v>
      </c>
      <c r="R112" s="8">
        <v>161.113426968059</v>
      </c>
      <c r="S112" s="8">
        <v>161.02747047529499</v>
      </c>
      <c r="T112" s="8">
        <v>161.04030756654501</v>
      </c>
      <c r="U112" s="9">
        <v>8.3342076669096706E-5</v>
      </c>
      <c r="V112" s="9">
        <v>-4.5031568294045599E-4</v>
      </c>
      <c r="W112" s="9">
        <v>-3.7059897650870103E-4</v>
      </c>
      <c r="X112" s="10">
        <v>5.0852272727272698</v>
      </c>
      <c r="Y112" s="10">
        <v>5.0846599588316304</v>
      </c>
      <c r="Z112" s="10">
        <v>5.0830138638481399</v>
      </c>
      <c r="AA112" s="10">
        <v>5.0832356244151002</v>
      </c>
      <c r="AB112" s="8">
        <v>161.08202749578601</v>
      </c>
      <c r="AC112" s="8">
        <v>161.02747047529499</v>
      </c>
      <c r="AD112" s="8">
        <v>161.04030756654501</v>
      </c>
      <c r="AE112" s="9">
        <v>-1.1156739171479801E-4</v>
      </c>
      <c r="AF112" s="9">
        <v>-4.5031568294045599E-4</v>
      </c>
      <c r="AG112" s="9">
        <v>-3.7059897650870103E-4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0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0</v>
      </c>
    </row>
    <row r="113" spans="1:77" x14ac:dyDescent="0.3">
      <c r="A113" s="1">
        <v>46185</v>
      </c>
      <c r="B113" s="8">
        <v>31.93</v>
      </c>
      <c r="C113" s="8">
        <v>162.34</v>
      </c>
      <c r="D113" s="9">
        <v>7.8604397804655397E-3</v>
      </c>
      <c r="E113" s="9">
        <v>7.6676111501010396E-3</v>
      </c>
      <c r="F113" s="8">
        <v>0</v>
      </c>
      <c r="G113" s="8">
        <v>0.187</v>
      </c>
      <c r="H113" s="8">
        <v>0</v>
      </c>
      <c r="I113" s="8">
        <v>0.96889999999999998</v>
      </c>
      <c r="J113" s="8">
        <v>0</v>
      </c>
      <c r="K113" s="8">
        <v>0</v>
      </c>
      <c r="L113" s="8">
        <v>31.93</v>
      </c>
      <c r="M113" s="8">
        <v>162.34</v>
      </c>
      <c r="N113" s="10">
        <v>5.0842467898528003</v>
      </c>
      <c r="O113" s="10">
        <v>5.0856511037897496</v>
      </c>
      <c r="P113" s="10">
        <v>5.0828068292784296</v>
      </c>
      <c r="Q113" s="10">
        <v>5.0832838676708496</v>
      </c>
      <c r="R113" s="8">
        <v>162.384839744006</v>
      </c>
      <c r="S113" s="8">
        <v>162.30063267267099</v>
      </c>
      <c r="T113" s="8">
        <v>162.30771348757401</v>
      </c>
      <c r="U113" s="9">
        <v>2.7617070703369597E-4</v>
      </c>
      <c r="V113" s="9">
        <v>-2.4252865205156901E-4</v>
      </c>
      <c r="W113" s="9">
        <v>-1.98901832299756E-4</v>
      </c>
      <c r="X113" s="10">
        <v>5.0842467898528003</v>
      </c>
      <c r="Y113" s="10">
        <v>5.0846599588316304</v>
      </c>
      <c r="Z113" s="10">
        <v>5.0828068292784403</v>
      </c>
      <c r="AA113" s="10">
        <v>5.0832838676708398</v>
      </c>
      <c r="AB113" s="8">
        <v>162.35319248549399</v>
      </c>
      <c r="AC113" s="8">
        <v>162.30063267267099</v>
      </c>
      <c r="AD113" s="8">
        <v>162.30771348757401</v>
      </c>
      <c r="AE113" s="9">
        <v>8.1261238649890004E-5</v>
      </c>
      <c r="AF113" s="9">
        <v>-2.42528652051791E-4</v>
      </c>
      <c r="AG113" s="9">
        <v>-1.98901832299756E-4</v>
      </c>
      <c r="AZ113" s="9"/>
      <c r="BB113">
        <f t="shared" si="22"/>
        <v>0</v>
      </c>
      <c r="BC113">
        <f t="shared" si="23"/>
        <v>0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0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0</v>
      </c>
    </row>
    <row r="114" spans="1:77" x14ac:dyDescent="0.3">
      <c r="A114" s="1">
        <v>46188</v>
      </c>
      <c r="B114" s="8">
        <v>30.85</v>
      </c>
      <c r="C114" s="8">
        <v>156.76</v>
      </c>
      <c r="D114" s="9">
        <v>-3.4409256375293698E-2</v>
      </c>
      <c r="E114" s="9">
        <v>-3.4976928001598899E-2</v>
      </c>
      <c r="F114" s="8">
        <v>0</v>
      </c>
      <c r="G114" s="8">
        <v>0.187</v>
      </c>
      <c r="H114" s="8">
        <v>0</v>
      </c>
      <c r="I114" s="8">
        <v>0.96889999999999998</v>
      </c>
      <c r="J114" s="8">
        <v>0</v>
      </c>
      <c r="K114" s="8">
        <v>0</v>
      </c>
      <c r="L114" s="8">
        <v>30.85</v>
      </c>
      <c r="M114" s="8">
        <v>156.76</v>
      </c>
      <c r="N114" s="10">
        <v>5.0813614262560698</v>
      </c>
      <c r="O114" s="10">
        <v>5.0856511037897496</v>
      </c>
      <c r="P114" s="10">
        <v>5.0826829216527898</v>
      </c>
      <c r="Q114" s="10">
        <v>5.0832318061735098</v>
      </c>
      <c r="R114" s="8">
        <v>156.89233655191299</v>
      </c>
      <c r="S114" s="8">
        <v>156.80459068323901</v>
      </c>
      <c r="T114" s="8">
        <v>156.81930731764501</v>
      </c>
      <c r="U114" s="9">
        <v>8.4384233333905897E-4</v>
      </c>
      <c r="V114" s="9">
        <v>2.8441147288536898E-4</v>
      </c>
      <c r="W114" s="9">
        <v>3.7826040793449299E-4</v>
      </c>
      <c r="X114" s="10">
        <v>5.0813614262560698</v>
      </c>
      <c r="Y114" s="10">
        <v>5.0846599588316304</v>
      </c>
      <c r="Z114" s="10">
        <v>5.0826829216527898</v>
      </c>
      <c r="AA114" s="10">
        <v>5.0832318061735098</v>
      </c>
      <c r="AB114" s="8">
        <v>156.861759729955</v>
      </c>
      <c r="AC114" s="8">
        <v>156.80459068323901</v>
      </c>
      <c r="AD114" s="8">
        <v>156.81930731764501</v>
      </c>
      <c r="AE114" s="9">
        <v>6.4893286495505697E-4</v>
      </c>
      <c r="AF114" s="9">
        <v>2.8441147288559102E-4</v>
      </c>
      <c r="AG114" s="9">
        <v>3.78260407934271E-4</v>
      </c>
      <c r="AZ114" s="9"/>
      <c r="BB114">
        <f t="shared" si="22"/>
        <v>0</v>
      </c>
      <c r="BC114">
        <f t="shared" si="23"/>
        <v>1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0</v>
      </c>
      <c r="BL114" s="9"/>
      <c r="BN114">
        <f t="shared" si="30"/>
        <v>0</v>
      </c>
      <c r="BO114">
        <f t="shared" si="31"/>
        <v>0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0</v>
      </c>
    </row>
    <row r="115" spans="1:77" x14ac:dyDescent="0.3">
      <c r="A115" s="1">
        <v>46189</v>
      </c>
      <c r="B115" s="8">
        <v>30.7</v>
      </c>
      <c r="C115" s="8">
        <v>155.94999999999999</v>
      </c>
      <c r="D115" s="9">
        <v>-4.8740957582453998E-3</v>
      </c>
      <c r="E115" s="9">
        <v>-5.1805302776185003E-3</v>
      </c>
      <c r="F115" s="8">
        <v>0</v>
      </c>
      <c r="G115" s="8">
        <v>0.187</v>
      </c>
      <c r="H115" s="8">
        <v>0</v>
      </c>
      <c r="I115" s="8">
        <v>0.96889999999999998</v>
      </c>
      <c r="J115" s="8">
        <v>0</v>
      </c>
      <c r="K115" s="8">
        <v>0</v>
      </c>
      <c r="L115" s="8">
        <v>30.7</v>
      </c>
      <c r="M115" s="8">
        <v>155.94999999999999</v>
      </c>
      <c r="N115" s="10">
        <v>5.0798045602605804</v>
      </c>
      <c r="O115" s="10">
        <v>5.0856511037897496</v>
      </c>
      <c r="P115" s="10">
        <v>5.0825317823964102</v>
      </c>
      <c r="Q115" s="10">
        <v>5.0829219155625696</v>
      </c>
      <c r="R115" s="8">
        <v>156.129488886345</v>
      </c>
      <c r="S115" s="8">
        <v>156.03836569474001</v>
      </c>
      <c r="T115" s="8">
        <v>156.055216449526</v>
      </c>
      <c r="U115" s="9">
        <v>1.15027685271207E-3</v>
      </c>
      <c r="V115" s="9">
        <v>5.6646789957611604E-4</v>
      </c>
      <c r="W115" s="9">
        <v>6.7445316916557802E-4</v>
      </c>
      <c r="X115" s="10">
        <v>5.0798045602605804</v>
      </c>
      <c r="Y115" s="10">
        <v>5.0846599588316304</v>
      </c>
      <c r="Z115" s="10">
        <v>5.0825317823964102</v>
      </c>
      <c r="AA115" s="10">
        <v>5.0829219155625696</v>
      </c>
      <c r="AB115" s="8">
        <v>156.09906073613101</v>
      </c>
      <c r="AC115" s="8">
        <v>156.03836569474001</v>
      </c>
      <c r="AD115" s="8">
        <v>156.055216449526</v>
      </c>
      <c r="AE115" s="9">
        <v>9.5536738432795904E-4</v>
      </c>
      <c r="AF115" s="9">
        <v>5.6646789957589497E-4</v>
      </c>
      <c r="AG115" s="9">
        <v>6.7445316916557802E-4</v>
      </c>
      <c r="AZ115" s="9"/>
      <c r="BB115">
        <f t="shared" si="22"/>
        <v>0</v>
      </c>
      <c r="BC115">
        <f t="shared" si="23"/>
        <v>1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0</v>
      </c>
      <c r="BL115" s="9"/>
      <c r="BN115">
        <f t="shared" si="30"/>
        <v>0</v>
      </c>
      <c r="BO115">
        <f t="shared" si="31"/>
        <v>0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0</v>
      </c>
    </row>
    <row r="116" spans="1:77" x14ac:dyDescent="0.3">
      <c r="A116" s="1">
        <v>46190</v>
      </c>
      <c r="B116" s="8">
        <v>30.36</v>
      </c>
      <c r="C116" s="8">
        <v>154.28</v>
      </c>
      <c r="D116" s="9">
        <v>-1.11367020657222E-2</v>
      </c>
      <c r="E116" s="9">
        <v>-1.07663097137851E-2</v>
      </c>
      <c r="F116" s="8">
        <v>0</v>
      </c>
      <c r="G116" s="8">
        <v>0.187</v>
      </c>
      <c r="H116" s="8">
        <v>0</v>
      </c>
      <c r="I116" s="8">
        <v>0.96889999999999998</v>
      </c>
      <c r="J116" s="8">
        <v>0</v>
      </c>
      <c r="K116" s="8">
        <v>0</v>
      </c>
      <c r="L116" s="8">
        <v>30.36</v>
      </c>
      <c r="M116" s="8">
        <v>154.28</v>
      </c>
      <c r="N116" s="10">
        <v>5.0816864295125104</v>
      </c>
      <c r="O116" s="10">
        <v>5.0856511037897496</v>
      </c>
      <c r="P116" s="10">
        <v>5.0825052135612898</v>
      </c>
      <c r="Q116" s="10">
        <v>5.0827502933927597</v>
      </c>
      <c r="R116" s="8">
        <v>154.400367511056</v>
      </c>
      <c r="S116" s="8">
        <v>154.30566491355501</v>
      </c>
      <c r="T116" s="8">
        <v>154.31750935647901</v>
      </c>
      <c r="U116" s="9">
        <v>7.7988450077492099E-4</v>
      </c>
      <c r="V116" s="9">
        <v>1.6633898805090699E-4</v>
      </c>
      <c r="W116" s="9">
        <v>2.4309565390086399E-4</v>
      </c>
      <c r="X116" s="10">
        <v>5.0816864295125104</v>
      </c>
      <c r="Y116" s="10">
        <v>5.0846599588316304</v>
      </c>
      <c r="Z116" s="10">
        <v>5.0825052135612898</v>
      </c>
      <c r="AA116" s="10">
        <v>5.0827502933927597</v>
      </c>
      <c r="AB116" s="8">
        <v>154.37027635012799</v>
      </c>
      <c r="AC116" s="8">
        <v>154.30566491355501</v>
      </c>
      <c r="AD116" s="8">
        <v>154.31750935647901</v>
      </c>
      <c r="AE116" s="9">
        <v>5.8497503239076699E-4</v>
      </c>
      <c r="AF116" s="9">
        <v>1.6633898805090699E-4</v>
      </c>
      <c r="AG116" s="9">
        <v>2.4309565390086399E-4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0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0</v>
      </c>
    </row>
    <row r="117" spans="1:77" x14ac:dyDescent="0.3">
      <c r="A117" s="1">
        <v>46191</v>
      </c>
      <c r="B117" s="8">
        <v>29.66</v>
      </c>
      <c r="C117" s="8">
        <v>151.82</v>
      </c>
      <c r="D117" s="9">
        <v>-2.3326615817643E-2</v>
      </c>
      <c r="E117" s="9">
        <v>-1.6073524751404899E-2</v>
      </c>
      <c r="F117" s="8">
        <v>0.21</v>
      </c>
      <c r="G117" s="8">
        <v>0.39700000000000002</v>
      </c>
      <c r="H117" s="8">
        <v>0</v>
      </c>
      <c r="I117" s="8">
        <v>0.96889999999999998</v>
      </c>
      <c r="J117" s="8">
        <v>0.21</v>
      </c>
      <c r="K117" s="8">
        <v>0</v>
      </c>
      <c r="L117" s="8">
        <v>29.87</v>
      </c>
      <c r="M117" s="8">
        <v>151.82</v>
      </c>
      <c r="N117" s="10">
        <v>5.1186783546864403</v>
      </c>
      <c r="O117" s="10">
        <v>5.0856511037897496</v>
      </c>
      <c r="P117" s="10">
        <v>5.08622353922601</v>
      </c>
      <c r="Q117" s="10">
        <v>5.0845989002229102</v>
      </c>
      <c r="R117" s="8">
        <v>150.84041173840399</v>
      </c>
      <c r="S117" s="8">
        <v>150.74710463422801</v>
      </c>
      <c r="T117" s="8">
        <v>150.754373702029</v>
      </c>
      <c r="U117" s="9">
        <v>-6.4732065654634699E-3</v>
      </c>
      <c r="V117" s="9">
        <v>-7.0919795722201497E-3</v>
      </c>
      <c r="W117" s="9">
        <v>-7.0437604534085803E-3</v>
      </c>
      <c r="X117" s="10">
        <v>5.0826916638767896</v>
      </c>
      <c r="Y117" s="10">
        <v>5.0846599588316304</v>
      </c>
      <c r="Z117" s="10">
        <v>5.0826248701450503</v>
      </c>
      <c r="AA117" s="10">
        <v>5.0827995656824303</v>
      </c>
      <c r="AB117" s="8">
        <v>151.8787929703</v>
      </c>
      <c r="AC117" s="8">
        <v>151.81443072907501</v>
      </c>
      <c r="AD117" s="8">
        <v>151.821751263642</v>
      </c>
      <c r="AE117" s="9">
        <v>3.8717948438506301E-4</v>
      </c>
      <c r="AF117" s="9">
        <v>-3.6684053987729702E-5</v>
      </c>
      <c r="AG117" s="9">
        <v>1.1535064823874899E-5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0</v>
      </c>
      <c r="BL117" s="9"/>
      <c r="BN117">
        <f t="shared" si="30"/>
        <v>0</v>
      </c>
      <c r="BO117">
        <f t="shared" si="31"/>
        <v>0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0</v>
      </c>
    </row>
    <row r="118" spans="1:77" x14ac:dyDescent="0.3">
      <c r="A118" s="1">
        <v>46195</v>
      </c>
      <c r="B118" s="8">
        <v>30.03</v>
      </c>
      <c r="C118" s="8">
        <v>153.75</v>
      </c>
      <c r="D118" s="9">
        <v>1.23975452854528E-2</v>
      </c>
      <c r="E118" s="9">
        <v>1.2632298098005101E-2</v>
      </c>
      <c r="F118" s="8">
        <v>0</v>
      </c>
      <c r="G118" s="8">
        <v>0.39700000000000002</v>
      </c>
      <c r="H118" s="8">
        <v>0</v>
      </c>
      <c r="I118" s="8">
        <v>0.96889999999999998</v>
      </c>
      <c r="J118" s="8">
        <v>0.21</v>
      </c>
      <c r="K118" s="8">
        <v>0</v>
      </c>
      <c r="L118" s="8">
        <v>30.24</v>
      </c>
      <c r="M118" s="8">
        <v>153.75</v>
      </c>
      <c r="N118" s="10">
        <v>5.1198801198801096</v>
      </c>
      <c r="O118" s="10">
        <v>5.0856511037897496</v>
      </c>
      <c r="P118" s="10">
        <v>5.0900425371295199</v>
      </c>
      <c r="Q118" s="10">
        <v>5.0865224323408498</v>
      </c>
      <c r="R118" s="8">
        <v>152.72210264680601</v>
      </c>
      <c r="S118" s="8">
        <v>152.73929288295699</v>
      </c>
      <c r="T118" s="8">
        <v>152.690504973694</v>
      </c>
      <c r="U118" s="9">
        <v>-6.7079593780155801E-3</v>
      </c>
      <c r="V118" s="9">
        <v>-6.5954067843272601E-3</v>
      </c>
      <c r="W118" s="9">
        <v>-6.9148773141872802E-3</v>
      </c>
      <c r="X118" s="10">
        <v>5.0843253968253901</v>
      </c>
      <c r="Y118" s="10">
        <v>5.0846599588316304</v>
      </c>
      <c r="Z118" s="10">
        <v>5.0828883957430797</v>
      </c>
      <c r="AA118" s="10">
        <v>5.0829453616476403</v>
      </c>
      <c r="AB118" s="8">
        <v>153.760117155068</v>
      </c>
      <c r="AC118" s="8">
        <v>153.69857607318599</v>
      </c>
      <c r="AD118" s="8">
        <v>153.703858866236</v>
      </c>
      <c r="AE118" s="9">
        <v>6.5800469693937295E-5</v>
      </c>
      <c r="AF118" s="9">
        <v>-3.3452051038846298E-4</v>
      </c>
      <c r="AG118" s="9">
        <v>-3.0014997554289201E-4</v>
      </c>
      <c r="AZ118" s="9"/>
      <c r="BB118">
        <f t="shared" si="22"/>
        <v>0</v>
      </c>
      <c r="BC118">
        <f t="shared" si="23"/>
        <v>0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0</v>
      </c>
      <c r="BL118" s="9"/>
      <c r="BN118">
        <f t="shared" si="30"/>
        <v>0</v>
      </c>
      <c r="BO118">
        <f t="shared" si="31"/>
        <v>1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0</v>
      </c>
      <c r="BY118" s="12">
        <f t="shared" si="39"/>
        <v>0</v>
      </c>
    </row>
    <row r="119" spans="1:77" x14ac:dyDescent="0.3">
      <c r="A119" s="1">
        <v>46196</v>
      </c>
      <c r="B119" s="8">
        <v>30.22</v>
      </c>
      <c r="C119" s="8">
        <v>154.68</v>
      </c>
      <c r="D119" s="9">
        <v>6.3070748493544897E-3</v>
      </c>
      <c r="E119" s="9">
        <v>6.0305600524690802E-3</v>
      </c>
      <c r="F119" s="8">
        <v>0</v>
      </c>
      <c r="G119" s="8">
        <v>0.39700000000000002</v>
      </c>
      <c r="H119" s="8">
        <v>0</v>
      </c>
      <c r="I119" s="8">
        <v>0.96889999999999998</v>
      </c>
      <c r="J119" s="8">
        <v>0.21</v>
      </c>
      <c r="K119" s="8">
        <v>0</v>
      </c>
      <c r="L119" s="8">
        <v>30.43</v>
      </c>
      <c r="M119" s="8">
        <v>154.68</v>
      </c>
      <c r="N119" s="10">
        <v>5.1184645929847701</v>
      </c>
      <c r="O119" s="10">
        <v>5.0856511037897496</v>
      </c>
      <c r="P119" s="10">
        <v>5.0934474379864403</v>
      </c>
      <c r="Q119" s="10">
        <v>5.0883319293827096</v>
      </c>
      <c r="R119" s="8">
        <v>153.68837635652599</v>
      </c>
      <c r="S119" s="8">
        <v>153.82108547205399</v>
      </c>
      <c r="T119" s="8">
        <v>153.71470790533999</v>
      </c>
      <c r="U119" s="9">
        <v>-6.4314445811302599E-3</v>
      </c>
      <c r="V119" s="9">
        <v>-5.5683223670844797E-3</v>
      </c>
      <c r="W119" s="9">
        <v>-6.260128480369E-3</v>
      </c>
      <c r="X119" s="10">
        <v>5.0831416365428801</v>
      </c>
      <c r="Y119" s="10">
        <v>5.0846599588316304</v>
      </c>
      <c r="Z119" s="10">
        <v>5.0827610009558102</v>
      </c>
      <c r="AA119" s="10">
        <v>5.0829887108673999</v>
      </c>
      <c r="AB119" s="8">
        <v>154.726202547246</v>
      </c>
      <c r="AC119" s="8">
        <v>154.67229388246199</v>
      </c>
      <c r="AD119" s="8">
        <v>154.67402735493701</v>
      </c>
      <c r="AE119" s="9">
        <v>2.9865301477214099E-4</v>
      </c>
      <c r="AF119" s="9">
        <v>-4.9820982044561401E-5</v>
      </c>
      <c r="AG119" s="9">
        <v>-3.8613656425406799E-5</v>
      </c>
      <c r="AZ119" s="9"/>
      <c r="BB119">
        <f t="shared" si="22"/>
        <v>0</v>
      </c>
      <c r="BC119">
        <f t="shared" si="23"/>
        <v>0</v>
      </c>
      <c r="BD119">
        <f t="shared" si="24"/>
        <v>0</v>
      </c>
      <c r="BE119">
        <f t="shared" si="20"/>
        <v>0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0</v>
      </c>
      <c r="BL119" s="9"/>
      <c r="BN119">
        <f t="shared" si="30"/>
        <v>0</v>
      </c>
      <c r="BO119">
        <f t="shared" si="31"/>
        <v>1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0</v>
      </c>
      <c r="BY119" s="12">
        <f t="shared" si="39"/>
        <v>0</v>
      </c>
    </row>
    <row r="120" spans="1:77" x14ac:dyDescent="0.3">
      <c r="A120" s="1">
        <v>46197</v>
      </c>
      <c r="B120" s="8">
        <v>29.68</v>
      </c>
      <c r="C120" s="8">
        <v>150.88</v>
      </c>
      <c r="D120" s="9">
        <v>-1.80305385454138E-2</v>
      </c>
      <c r="E120" s="9">
        <v>-2.4873647853949001E-2</v>
      </c>
      <c r="F120" s="8">
        <v>0</v>
      </c>
      <c r="G120" s="8">
        <v>0.39700000000000002</v>
      </c>
      <c r="H120" s="8">
        <v>1.0321</v>
      </c>
      <c r="I120" s="8">
        <v>2.0009999999999999</v>
      </c>
      <c r="J120" s="8">
        <v>0</v>
      </c>
      <c r="K120" s="8">
        <v>0</v>
      </c>
      <c r="L120" s="8">
        <v>29.68</v>
      </c>
      <c r="M120" s="8">
        <v>150.88</v>
      </c>
      <c r="N120" s="10">
        <v>5.0835579514824696</v>
      </c>
      <c r="O120" s="10">
        <v>5.0856511037897496</v>
      </c>
      <c r="P120" s="10">
        <v>5.0935931041633102</v>
      </c>
      <c r="Q120" s="10">
        <v>5.0882862244723599</v>
      </c>
      <c r="R120" s="8">
        <v>150.942124760479</v>
      </c>
      <c r="S120" s="8">
        <v>151.17351995943699</v>
      </c>
      <c r="T120" s="8">
        <v>151.02169166407899</v>
      </c>
      <c r="U120" s="9">
        <v>4.1166472740522E-4</v>
      </c>
      <c r="V120" s="9">
        <v>1.94349697938861E-3</v>
      </c>
      <c r="W120" s="9">
        <v>9.3866101711161099E-4</v>
      </c>
      <c r="X120" s="10">
        <v>5.0835579514824696</v>
      </c>
      <c r="Y120" s="10">
        <v>5.0846599588316304</v>
      </c>
      <c r="Z120" s="10">
        <v>5.0829066671326899</v>
      </c>
      <c r="AA120" s="10">
        <v>5.0829430059570502</v>
      </c>
      <c r="AB120" s="8">
        <v>150.912707578122</v>
      </c>
      <c r="AC120" s="8">
        <v>150.85634650836801</v>
      </c>
      <c r="AD120" s="8">
        <v>150.86310493854401</v>
      </c>
      <c r="AE120" s="9">
        <v>2.1675525902133301E-4</v>
      </c>
      <c r="AF120" s="9">
        <v>-1.56782515288763E-4</v>
      </c>
      <c r="AG120" s="9">
        <v>-1.11983082275029E-4</v>
      </c>
      <c r="AZ120" s="9"/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0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0</v>
      </c>
    </row>
    <row r="121" spans="1:77" x14ac:dyDescent="0.3">
      <c r="A121" s="1">
        <v>46198</v>
      </c>
      <c r="B121" s="8">
        <v>30.02</v>
      </c>
      <c r="C121" s="8">
        <v>152.54</v>
      </c>
      <c r="D121" s="9">
        <v>1.1390407906136201E-2</v>
      </c>
      <c r="E121" s="9">
        <v>1.0942037850945E-2</v>
      </c>
      <c r="F121" s="8">
        <v>0</v>
      </c>
      <c r="G121" s="8">
        <v>0.39700000000000002</v>
      </c>
      <c r="H121" s="8">
        <v>0</v>
      </c>
      <c r="I121" s="8">
        <v>2.0009999999999999</v>
      </c>
      <c r="J121" s="8">
        <v>0</v>
      </c>
      <c r="K121" s="8">
        <v>0</v>
      </c>
      <c r="L121" s="8">
        <v>30.02</v>
      </c>
      <c r="M121" s="8">
        <v>152.54</v>
      </c>
      <c r="N121" s="10">
        <v>5.0812791472351702</v>
      </c>
      <c r="O121" s="10">
        <v>5.0856511037897496</v>
      </c>
      <c r="P121" s="10">
        <v>5.0934186644878201</v>
      </c>
      <c r="Q121" s="10">
        <v>5.0881782475736896</v>
      </c>
      <c r="R121" s="8">
        <v>152.671246135768</v>
      </c>
      <c r="S121" s="8">
        <v>152.90966498698199</v>
      </c>
      <c r="T121" s="8">
        <v>152.75035245865999</v>
      </c>
      <c r="U121" s="9">
        <v>8.6003478259611798E-4</v>
      </c>
      <c r="V121" s="9">
        <v>2.4204653652294401E-3</v>
      </c>
      <c r="W121" s="9">
        <v>1.37804873462274E-3</v>
      </c>
      <c r="X121" s="10">
        <v>5.0812791472351702</v>
      </c>
      <c r="Y121" s="10">
        <v>5.0846599588316304</v>
      </c>
      <c r="Z121" s="10">
        <v>5.0827322274571998</v>
      </c>
      <c r="AA121" s="10">
        <v>5.0828350290583799</v>
      </c>
      <c r="AB121" s="8">
        <v>152.64149196412501</v>
      </c>
      <c r="AC121" s="8">
        <v>152.58885814732301</v>
      </c>
      <c r="AD121" s="8">
        <v>152.58994903883001</v>
      </c>
      <c r="AE121" s="9">
        <v>6.6512531421238595E-4</v>
      </c>
      <c r="AF121" s="9">
        <v>3.2024599729839402E-4</v>
      </c>
      <c r="AG121" s="9">
        <v>3.2739519299443599E-4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0</v>
      </c>
      <c r="BL121" s="9"/>
      <c r="BN121">
        <f t="shared" si="30"/>
        <v>0</v>
      </c>
      <c r="BO121">
        <f t="shared" si="31"/>
        <v>0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0</v>
      </c>
    </row>
    <row r="122" spans="1:77" x14ac:dyDescent="0.3">
      <c r="A122" s="1">
        <v>46199</v>
      </c>
      <c r="B122" s="8">
        <v>29.91</v>
      </c>
      <c r="C122" s="8">
        <v>152.07</v>
      </c>
      <c r="D122" s="9">
        <v>-3.67095356345923E-3</v>
      </c>
      <c r="E122" s="9">
        <v>-3.08591558372484E-3</v>
      </c>
      <c r="F122" s="8">
        <v>0</v>
      </c>
      <c r="G122" s="8">
        <v>0.39700000000000002</v>
      </c>
      <c r="H122" s="8">
        <v>0</v>
      </c>
      <c r="I122" s="8">
        <v>2.0009999999999999</v>
      </c>
      <c r="J122" s="8">
        <v>0</v>
      </c>
      <c r="K122" s="8">
        <v>0</v>
      </c>
      <c r="L122" s="8">
        <v>29.91</v>
      </c>
      <c r="M122" s="8">
        <v>152.07</v>
      </c>
      <c r="N122" s="10">
        <v>5.08425275827482</v>
      </c>
      <c r="O122" s="10">
        <v>5.0856511037897496</v>
      </c>
      <c r="P122" s="10">
        <v>5.0933212130425796</v>
      </c>
      <c r="Q122" s="10">
        <v>5.0881675384453597</v>
      </c>
      <c r="R122" s="8">
        <v>152.11182451435101</v>
      </c>
      <c r="S122" s="8">
        <v>152.34415225482999</v>
      </c>
      <c r="T122" s="8">
        <v>152.18741138492899</v>
      </c>
      <c r="U122" s="9">
        <v>2.7499680286169901E-4</v>
      </c>
      <c r="V122" s="9">
        <v>1.8011799183340301E-3</v>
      </c>
      <c r="W122" s="9">
        <v>7.7178984875323701E-4</v>
      </c>
      <c r="X122" s="10">
        <v>5.08425275827482</v>
      </c>
      <c r="Y122" s="10">
        <v>5.0846599588316304</v>
      </c>
      <c r="Z122" s="10">
        <v>5.0826347760119504</v>
      </c>
      <c r="AA122" s="10">
        <v>5.08282431993005</v>
      </c>
      <c r="AB122" s="8">
        <v>152.08217936865401</v>
      </c>
      <c r="AC122" s="8">
        <v>152.02452092324401</v>
      </c>
      <c r="AD122" s="8">
        <v>152.027595719136</v>
      </c>
      <c r="AE122" s="9">
        <v>8.0087334477925196E-5</v>
      </c>
      <c r="AF122" s="9">
        <v>-2.9911145361088899E-4</v>
      </c>
      <c r="AG122" s="9">
        <v>-2.7888600064901101E-4</v>
      </c>
      <c r="AZ122" s="9"/>
      <c r="BB122">
        <f t="shared" si="22"/>
        <v>0</v>
      </c>
      <c r="BC122">
        <f t="shared" si="23"/>
        <v>0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0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0</v>
      </c>
    </row>
    <row r="123" spans="1:77" x14ac:dyDescent="0.3">
      <c r="A123" s="1">
        <v>46202</v>
      </c>
      <c r="B123" s="8">
        <v>29.76</v>
      </c>
      <c r="C123" s="8">
        <v>151.28</v>
      </c>
      <c r="D123" s="9">
        <v>-5.0276626769654997E-3</v>
      </c>
      <c r="E123" s="9">
        <v>-5.2085168021655604E-3</v>
      </c>
      <c r="F123" s="8">
        <v>0</v>
      </c>
      <c r="G123" s="8">
        <v>0.39700000000000002</v>
      </c>
      <c r="H123" s="8">
        <v>0</v>
      </c>
      <c r="I123" s="8">
        <v>2.0009999999999999</v>
      </c>
      <c r="J123" s="8">
        <v>0</v>
      </c>
      <c r="K123" s="8">
        <v>0</v>
      </c>
      <c r="L123" s="8">
        <v>29.76</v>
      </c>
      <c r="M123" s="8">
        <v>151.28</v>
      </c>
      <c r="N123" s="10">
        <v>5.0833333333333304</v>
      </c>
      <c r="O123" s="10">
        <v>5.0856511037897496</v>
      </c>
      <c r="P123" s="10">
        <v>5.0932298673906304</v>
      </c>
      <c r="Q123" s="10">
        <v>5.08801834833453</v>
      </c>
      <c r="R123" s="8">
        <v>151.348976848783</v>
      </c>
      <c r="S123" s="8">
        <v>151.577239300147</v>
      </c>
      <c r="T123" s="8">
        <v>151.42386594413401</v>
      </c>
      <c r="U123" s="9">
        <v>4.5585092806163697E-4</v>
      </c>
      <c r="V123" s="9">
        <v>1.9629010438857301E-3</v>
      </c>
      <c r="W123" s="9">
        <v>9.5053926396002802E-4</v>
      </c>
      <c r="X123" s="10">
        <v>5.0833333333333304</v>
      </c>
      <c r="Y123" s="10">
        <v>5.0846599588316304</v>
      </c>
      <c r="Z123" s="10">
        <v>5.0825434303600003</v>
      </c>
      <c r="AA123" s="10">
        <v>5.0826751298192203</v>
      </c>
      <c r="AB123" s="8">
        <v>151.319480374829</v>
      </c>
      <c r="AC123" s="8">
        <v>151.259210934115</v>
      </c>
      <c r="AD123" s="8">
        <v>151.264851761118</v>
      </c>
      <c r="AE123" s="9">
        <v>2.6094145967781799E-4</v>
      </c>
      <c r="AF123" s="9">
        <v>-1.3743055554853799E-4</v>
      </c>
      <c r="AG123" s="9">
        <v>-1.00138797974404E-4</v>
      </c>
      <c r="AZ123" s="9"/>
      <c r="BB123">
        <f t="shared" si="22"/>
        <v>0</v>
      </c>
      <c r="BC123">
        <f t="shared" si="23"/>
        <v>0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0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0</v>
      </c>
      <c r="BY123" s="12">
        <f t="shared" si="39"/>
        <v>0</v>
      </c>
    </row>
    <row r="124" spans="1:77" x14ac:dyDescent="0.3">
      <c r="A124" s="1">
        <v>46203</v>
      </c>
      <c r="B124" s="8">
        <v>29.56</v>
      </c>
      <c r="C124" s="8">
        <v>150.13</v>
      </c>
      <c r="D124" s="9">
        <v>-6.74311388489019E-3</v>
      </c>
      <c r="E124" s="9">
        <v>-7.63083892598847E-3</v>
      </c>
      <c r="F124" s="8">
        <v>0</v>
      </c>
      <c r="G124" s="8">
        <v>0.39700000000000002</v>
      </c>
      <c r="H124" s="8">
        <v>0</v>
      </c>
      <c r="I124" s="8">
        <v>2.0009999999999999</v>
      </c>
      <c r="J124" s="8">
        <v>0</v>
      </c>
      <c r="K124" s="8">
        <v>0</v>
      </c>
      <c r="L124" s="8">
        <v>29.56</v>
      </c>
      <c r="M124" s="8">
        <v>150.13</v>
      </c>
      <c r="N124" s="10">
        <v>5.0788227334235403</v>
      </c>
      <c r="O124" s="10">
        <v>5.0856511037897496</v>
      </c>
      <c r="P124" s="10">
        <v>5.0929759981073799</v>
      </c>
      <c r="Q124" s="10">
        <v>5.08782945988008</v>
      </c>
      <c r="R124" s="8">
        <v>150.331846628025</v>
      </c>
      <c r="S124" s="8">
        <v>150.55587488006699</v>
      </c>
      <c r="T124" s="8">
        <v>150.401822376768</v>
      </c>
      <c r="U124" s="9">
        <v>1.34357596916005E-3</v>
      </c>
      <c r="V124" s="9">
        <v>2.8326915257347201E-3</v>
      </c>
      <c r="W124" s="9">
        <v>1.80894288493179E-3</v>
      </c>
      <c r="X124" s="10">
        <v>5.0788227334235403</v>
      </c>
      <c r="Y124" s="10">
        <v>5.0846599588316304</v>
      </c>
      <c r="Z124" s="10">
        <v>5.0822895610767498</v>
      </c>
      <c r="AA124" s="10">
        <v>5.0824862413647702</v>
      </c>
      <c r="AB124" s="8">
        <v>150.302548383063</v>
      </c>
      <c r="AC124" s="8">
        <v>150.23998380144101</v>
      </c>
      <c r="AD124" s="8">
        <v>150.24387683745601</v>
      </c>
      <c r="AE124" s="9">
        <v>1.1486665007762499E-3</v>
      </c>
      <c r="AF124" s="9">
        <v>7.32322217854041E-4</v>
      </c>
      <c r="AG124" s="9">
        <v>7.5823399898195096E-4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0</v>
      </c>
      <c r="BL124" s="9"/>
      <c r="BN124">
        <f t="shared" si="30"/>
        <v>0</v>
      </c>
      <c r="BO124">
        <f t="shared" si="31"/>
        <v>0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0</v>
      </c>
      <c r="BY124" s="12">
        <f t="shared" si="39"/>
        <v>0</v>
      </c>
    </row>
    <row r="125" spans="1:77" x14ac:dyDescent="0.3">
      <c r="A125" s="1">
        <v>46204</v>
      </c>
      <c r="B125" s="8">
        <v>29.38</v>
      </c>
      <c r="C125" s="8">
        <v>149.33000000000001</v>
      </c>
      <c r="D125" s="9">
        <v>-6.1079253342697397E-3</v>
      </c>
      <c r="E125" s="9">
        <v>-5.3429633550362201E-3</v>
      </c>
      <c r="F125" s="8">
        <v>0</v>
      </c>
      <c r="G125" s="8">
        <v>0.39700000000000002</v>
      </c>
      <c r="H125" s="8">
        <v>0</v>
      </c>
      <c r="I125" s="8">
        <v>2.0009999999999999</v>
      </c>
      <c r="J125" s="8">
        <v>0</v>
      </c>
      <c r="K125" s="8">
        <v>0</v>
      </c>
      <c r="L125" s="8">
        <v>29.38</v>
      </c>
      <c r="M125" s="8">
        <v>149.33000000000001</v>
      </c>
      <c r="N125" s="10">
        <v>5.0827093260721501</v>
      </c>
      <c r="O125" s="10">
        <v>5.0856511037897496</v>
      </c>
      <c r="P125" s="10">
        <v>5.0932664746885301</v>
      </c>
      <c r="Q125" s="10">
        <v>5.0878991285424702</v>
      </c>
      <c r="R125" s="8">
        <v>149.416429429342</v>
      </c>
      <c r="S125" s="8">
        <v>149.63163482439401</v>
      </c>
      <c r="T125" s="8">
        <v>149.480429531276</v>
      </c>
      <c r="U125" s="9">
        <v>5.7861398992646996E-4</v>
      </c>
      <c r="V125" s="9">
        <v>2.0178838460196699E-3</v>
      </c>
      <c r="W125" s="9">
        <v>1.00685604730181E-3</v>
      </c>
      <c r="X125" s="10">
        <v>5.0827093260721501</v>
      </c>
      <c r="Y125" s="10">
        <v>5.0846599588316304</v>
      </c>
      <c r="Z125" s="10">
        <v>5.0825800376579098</v>
      </c>
      <c r="AA125" s="10">
        <v>5.0825559100271596</v>
      </c>
      <c r="AB125" s="8">
        <v>149.387309590473</v>
      </c>
      <c r="AC125" s="8">
        <v>149.31766730443499</v>
      </c>
      <c r="AD125" s="8">
        <v>149.323445771297</v>
      </c>
      <c r="AE125" s="9">
        <v>3.8370452154267001E-4</v>
      </c>
      <c r="AF125" s="9">
        <v>-8.2590268882934005E-5</v>
      </c>
      <c r="AG125" s="9">
        <v>-4.3891867291900397E-5</v>
      </c>
      <c r="AZ125" s="9"/>
      <c r="BB125">
        <f t="shared" si="22"/>
        <v>0</v>
      </c>
      <c r="BC125">
        <f t="shared" si="23"/>
        <v>0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0</v>
      </c>
      <c r="BL125" s="9"/>
      <c r="BN125">
        <f t="shared" si="30"/>
        <v>0</v>
      </c>
      <c r="BO125">
        <f t="shared" si="31"/>
        <v>1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0</v>
      </c>
      <c r="BY125" s="12">
        <f t="shared" si="39"/>
        <v>0</v>
      </c>
    </row>
    <row r="126" spans="1:77" x14ac:dyDescent="0.3">
      <c r="A126" s="1">
        <v>46205</v>
      </c>
      <c r="B126" s="8">
        <v>29.62</v>
      </c>
      <c r="C126" s="8">
        <v>150.44</v>
      </c>
      <c r="D126" s="9">
        <v>8.1356380939215499E-3</v>
      </c>
      <c r="E126" s="9">
        <v>7.4057115329582302E-3</v>
      </c>
      <c r="F126" s="8">
        <v>0</v>
      </c>
      <c r="G126" s="8">
        <v>0.39700000000000002</v>
      </c>
      <c r="H126" s="8">
        <v>0</v>
      </c>
      <c r="I126" s="8">
        <v>2.0009999999999999</v>
      </c>
      <c r="J126" s="8">
        <v>0</v>
      </c>
      <c r="K126" s="8">
        <v>0</v>
      </c>
      <c r="L126" s="8">
        <v>29.62</v>
      </c>
      <c r="M126" s="8">
        <v>150.44</v>
      </c>
      <c r="N126" s="10">
        <v>5.0790006752194401</v>
      </c>
      <c r="O126" s="10">
        <v>5.0856511037897496</v>
      </c>
      <c r="P126" s="10">
        <v>5.0929978992592302</v>
      </c>
      <c r="Q126" s="10">
        <v>5.08775155641026</v>
      </c>
      <c r="R126" s="8">
        <v>150.63698569425199</v>
      </c>
      <c r="S126" s="8">
        <v>150.86255298027399</v>
      </c>
      <c r="T126" s="8">
        <v>150.70357218742799</v>
      </c>
      <c r="U126" s="9">
        <v>1.3085405508899499E-3</v>
      </c>
      <c r="V126" s="9">
        <v>2.8048435243495299E-3</v>
      </c>
      <c r="W126" s="9">
        <v>1.75047571373369E-3</v>
      </c>
      <c r="X126" s="10">
        <v>5.0790006752194401</v>
      </c>
      <c r="Y126" s="10">
        <v>5.0846599588316304</v>
      </c>
      <c r="Z126" s="10">
        <v>5.0823114622286001</v>
      </c>
      <c r="AA126" s="10">
        <v>5.0824083378949503</v>
      </c>
      <c r="AB126" s="8">
        <v>150.60762798059201</v>
      </c>
      <c r="AC126" s="8">
        <v>150.54602071542701</v>
      </c>
      <c r="AD126" s="8">
        <v>150.545306055004</v>
      </c>
      <c r="AE126" s="9">
        <v>1.1136310825059601E-3</v>
      </c>
      <c r="AF126" s="9">
        <v>7.0448932850893597E-4</v>
      </c>
      <c r="AG126" s="9">
        <v>6.99742194605292E-4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0</v>
      </c>
      <c r="BL126" s="9"/>
      <c r="BN126">
        <f t="shared" si="30"/>
        <v>0</v>
      </c>
      <c r="BO126">
        <f t="shared" si="31"/>
        <v>0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0</v>
      </c>
      <c r="BX126" s="12">
        <f t="shared" si="38"/>
        <v>0</v>
      </c>
      <c r="BY126" s="12">
        <f t="shared" si="39"/>
        <v>0</v>
      </c>
    </row>
    <row r="127" spans="1:77" x14ac:dyDescent="0.3">
      <c r="A127" s="1">
        <v>46209</v>
      </c>
      <c r="B127" s="8">
        <v>29.54</v>
      </c>
      <c r="C127" s="8">
        <v>150.15</v>
      </c>
      <c r="D127" s="9">
        <v>-2.7045317364190399E-3</v>
      </c>
      <c r="E127" s="9">
        <v>-1.9295391727962999E-3</v>
      </c>
      <c r="F127" s="8">
        <v>0</v>
      </c>
      <c r="G127" s="8">
        <v>0.39700000000000002</v>
      </c>
      <c r="H127" s="8">
        <v>0</v>
      </c>
      <c r="I127" s="8">
        <v>2.0009999999999999</v>
      </c>
      <c r="J127" s="8">
        <v>0</v>
      </c>
      <c r="K127" s="8">
        <v>0</v>
      </c>
      <c r="L127" s="8">
        <v>29.54</v>
      </c>
      <c r="M127" s="8">
        <v>150.15</v>
      </c>
      <c r="N127" s="10">
        <v>5.0829383886255899</v>
      </c>
      <c r="O127" s="10">
        <v>5.0856511037897496</v>
      </c>
      <c r="P127" s="10">
        <v>5.0894239026531398</v>
      </c>
      <c r="Q127" s="10">
        <v>5.0878237209395802</v>
      </c>
      <c r="R127" s="8">
        <v>150.23013360594899</v>
      </c>
      <c r="S127" s="8">
        <v>150.44715794411701</v>
      </c>
      <c r="T127" s="8">
        <v>150.29218097635899</v>
      </c>
      <c r="U127" s="9">
        <v>5.3354798726705001E-4</v>
      </c>
      <c r="V127" s="9">
        <v>1.9771181001785902E-3</v>
      </c>
      <c r="W127" s="9">
        <v>9.4647819764308598E-4</v>
      </c>
      <c r="X127" s="10">
        <v>5.0829383886255899</v>
      </c>
      <c r="Y127" s="10">
        <v>5.0846599588316304</v>
      </c>
      <c r="Z127" s="10">
        <v>5.0823361347034801</v>
      </c>
      <c r="AA127" s="10">
        <v>5.0824805024242696</v>
      </c>
      <c r="AB127" s="8">
        <v>150.20085518388601</v>
      </c>
      <c r="AC127" s="8">
        <v>150.13148059423199</v>
      </c>
      <c r="AD127" s="8">
        <v>150.13434230141601</v>
      </c>
      <c r="AE127" s="9">
        <v>3.38638518883241E-4</v>
      </c>
      <c r="AF127" s="9">
        <v>-1.2334697267277599E-4</v>
      </c>
      <c r="AG127" s="9">
        <v>-1.0428581442081199E-4</v>
      </c>
      <c r="AZ127" s="9"/>
      <c r="BB127">
        <f t="shared" si="22"/>
        <v>0</v>
      </c>
      <c r="BC127">
        <f t="shared" si="23"/>
        <v>0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0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0</v>
      </c>
      <c r="BX127" s="12">
        <f t="shared" si="38"/>
        <v>0</v>
      </c>
      <c r="BY127" s="12">
        <f t="shared" si="39"/>
        <v>0</v>
      </c>
    </row>
    <row r="128" spans="1:77" x14ac:dyDescent="0.3">
      <c r="A128" s="1">
        <v>46210</v>
      </c>
      <c r="B128" s="8">
        <v>30.37</v>
      </c>
      <c r="C128" s="8">
        <v>154.33000000000001</v>
      </c>
      <c r="D128" s="9">
        <v>2.7710001954423701E-2</v>
      </c>
      <c r="E128" s="9">
        <v>2.7458372483400901E-2</v>
      </c>
      <c r="F128" s="8">
        <v>0</v>
      </c>
      <c r="G128" s="8">
        <v>0.39700000000000002</v>
      </c>
      <c r="H128" s="8">
        <v>0</v>
      </c>
      <c r="I128" s="8">
        <v>2.0009999999999999</v>
      </c>
      <c r="J128" s="8">
        <v>0</v>
      </c>
      <c r="K128" s="8">
        <v>0</v>
      </c>
      <c r="L128" s="8">
        <v>30.37</v>
      </c>
      <c r="M128" s="8">
        <v>154.33000000000001</v>
      </c>
      <c r="N128" s="10">
        <v>5.0816595324333198</v>
      </c>
      <c r="O128" s="10">
        <v>5.0856511037897496</v>
      </c>
      <c r="P128" s="10">
        <v>5.08560184390846</v>
      </c>
      <c r="Q128" s="10">
        <v>5.08782219051899</v>
      </c>
      <c r="R128" s="8">
        <v>154.45122402209401</v>
      </c>
      <c r="S128" s="8">
        <v>154.565803923576</v>
      </c>
      <c r="T128" s="8">
        <v>154.517206404935</v>
      </c>
      <c r="U128" s="9">
        <v>7.85177458289816E-4</v>
      </c>
      <c r="V128" s="9">
        <v>1.52675411180948E-3</v>
      </c>
      <c r="W128" s="9">
        <v>1.2122915408013699E-3</v>
      </c>
      <c r="X128" s="10">
        <v>5.0816595324333198</v>
      </c>
      <c r="Y128" s="10">
        <v>5.0846599588316304</v>
      </c>
      <c r="Z128" s="10">
        <v>5.0820695482642702</v>
      </c>
      <c r="AA128" s="10">
        <v>5.0824789720036803</v>
      </c>
      <c r="AB128" s="8">
        <v>154.42112294971599</v>
      </c>
      <c r="AC128" s="8">
        <v>154.35054841094399</v>
      </c>
      <c r="AD128" s="8">
        <v>154.35493285862501</v>
      </c>
      <c r="AE128" s="9">
        <v>5.9026798990599605E-4</v>
      </c>
      <c r="AF128" s="9">
        <v>1.33137064067793E-4</v>
      </c>
      <c r="AG128" s="9">
        <v>1.6154244036707501E-4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0</v>
      </c>
      <c r="BL128" s="9"/>
      <c r="BN128">
        <f t="shared" si="30"/>
        <v>0</v>
      </c>
      <c r="BO128">
        <f t="shared" si="31"/>
        <v>0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0</v>
      </c>
      <c r="BX128" s="12">
        <f t="shared" si="38"/>
        <v>0</v>
      </c>
      <c r="BY128" s="12">
        <f t="shared" si="39"/>
        <v>0</v>
      </c>
    </row>
    <row r="129" spans="1:77" x14ac:dyDescent="0.3">
      <c r="A129" s="1">
        <v>46211</v>
      </c>
      <c r="B129" s="8">
        <v>30.88</v>
      </c>
      <c r="C129" s="8">
        <v>156.94</v>
      </c>
      <c r="D129" s="9">
        <v>1.6653446098918001E-2</v>
      </c>
      <c r="E129" s="9">
        <v>1.6770399786586801E-2</v>
      </c>
      <c r="F129" s="8">
        <v>0</v>
      </c>
      <c r="G129" s="8">
        <v>0.39700000000000002</v>
      </c>
      <c r="H129" s="8">
        <v>0</v>
      </c>
      <c r="I129" s="8">
        <v>2.0009999999999999</v>
      </c>
      <c r="J129" s="8">
        <v>0</v>
      </c>
      <c r="K129" s="8">
        <v>0</v>
      </c>
      <c r="L129" s="8">
        <v>30.88</v>
      </c>
      <c r="M129" s="8">
        <v>156.94</v>
      </c>
      <c r="N129" s="10">
        <v>5.0822538860103599</v>
      </c>
      <c r="O129" s="10">
        <v>5.0856511037897496</v>
      </c>
      <c r="P129" s="10">
        <v>5.0819807732110203</v>
      </c>
      <c r="Q129" s="10">
        <v>5.0877141055987298</v>
      </c>
      <c r="R129" s="8">
        <v>157.04490608502701</v>
      </c>
      <c r="S129" s="8">
        <v>157.043384939893</v>
      </c>
      <c r="T129" s="8">
        <v>157.11194924322601</v>
      </c>
      <c r="U129" s="9">
        <v>6.6822377062086499E-4</v>
      </c>
      <c r="V129" s="9">
        <v>6.5853767166337601E-4</v>
      </c>
      <c r="W129" s="9">
        <v>1.0950370524559199E-3</v>
      </c>
      <c r="X129" s="10">
        <v>5.0822538860103599</v>
      </c>
      <c r="Y129" s="10">
        <v>5.0846599588316304</v>
      </c>
      <c r="Z129" s="10">
        <v>5.0819807732110203</v>
      </c>
      <c r="AA129" s="10">
        <v>5.0823708870834201</v>
      </c>
      <c r="AB129" s="8">
        <v>157.01429952871999</v>
      </c>
      <c r="AC129" s="8">
        <v>156.9343076504</v>
      </c>
      <c r="AD129" s="8">
        <v>156.94695065547299</v>
      </c>
      <c r="AE129" s="9">
        <v>4.7331430223693097E-4</v>
      </c>
      <c r="AF129" s="9">
        <v>-3.6271523097082501E-5</v>
      </c>
      <c r="AG129" s="9">
        <v>4.4287635789478199E-5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0</v>
      </c>
      <c r="BL129" s="9"/>
      <c r="BN129">
        <f t="shared" si="30"/>
        <v>0</v>
      </c>
      <c r="BO129">
        <f t="shared" si="31"/>
        <v>0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0</v>
      </c>
      <c r="BX129" s="12">
        <f t="shared" si="38"/>
        <v>0</v>
      </c>
      <c r="BY129" s="12">
        <f t="shared" si="39"/>
        <v>0</v>
      </c>
    </row>
    <row r="130" spans="1:77" x14ac:dyDescent="0.3">
      <c r="A130" s="1">
        <v>46212</v>
      </c>
      <c r="B130" s="8">
        <v>30.45</v>
      </c>
      <c r="C130" s="8">
        <v>154.81</v>
      </c>
      <c r="D130" s="9">
        <v>-1.40227310006693E-2</v>
      </c>
      <c r="E130" s="9">
        <v>-1.3665008146952999E-2</v>
      </c>
      <c r="F130" s="8">
        <v>0</v>
      </c>
      <c r="G130" s="8">
        <v>0.39700000000000002</v>
      </c>
      <c r="H130" s="8">
        <v>0</v>
      </c>
      <c r="I130" s="8">
        <v>2.0009999999999999</v>
      </c>
      <c r="J130" s="8">
        <v>0</v>
      </c>
      <c r="K130" s="8">
        <v>0</v>
      </c>
      <c r="L130" s="8">
        <v>30.45</v>
      </c>
      <c r="M130" s="8">
        <v>154.81</v>
      </c>
      <c r="N130" s="10">
        <v>5.0840722495894903</v>
      </c>
      <c r="O130" s="10">
        <v>5.0856511037897496</v>
      </c>
      <c r="P130" s="10">
        <v>5.0820322030217202</v>
      </c>
      <c r="Q130" s="10">
        <v>5.0878126535925201</v>
      </c>
      <c r="R130" s="8">
        <v>154.85807611039701</v>
      </c>
      <c r="S130" s="8">
        <v>154.74631454427501</v>
      </c>
      <c r="T130" s="8">
        <v>154.920894515481</v>
      </c>
      <c r="U130" s="9">
        <v>3.1050091690452102E-4</v>
      </c>
      <c r="V130" s="9">
        <v>-4.11462817139387E-4</v>
      </c>
      <c r="W130" s="9">
        <v>7.1607012528339701E-4</v>
      </c>
      <c r="X130" s="10">
        <v>5.0840722495894903</v>
      </c>
      <c r="Y130" s="10">
        <v>5.0846599588316304</v>
      </c>
      <c r="Z130" s="10">
        <v>5.0820322030217202</v>
      </c>
      <c r="AA130" s="10">
        <v>5.0824694350771997</v>
      </c>
      <c r="AB130" s="8">
        <v>154.827895746423</v>
      </c>
      <c r="AC130" s="8">
        <v>154.74631454427501</v>
      </c>
      <c r="AD130" s="8">
        <v>154.75819351169</v>
      </c>
      <c r="AE130" s="9">
        <v>1.1559144852069199E-4</v>
      </c>
      <c r="AF130" s="9">
        <v>-4.11462817139387E-4</v>
      </c>
      <c r="AG130" s="9">
        <v>-3.3470162555002201E-4</v>
      </c>
      <c r="AZ130" s="9"/>
      <c r="BB130">
        <f t="shared" si="22"/>
        <v>0</v>
      </c>
      <c r="BC130">
        <f t="shared" si="23"/>
        <v>0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0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0</v>
      </c>
      <c r="BX130" s="12">
        <f t="shared" si="38"/>
        <v>0</v>
      </c>
      <c r="BY130" s="12">
        <f t="shared" si="39"/>
        <v>0</v>
      </c>
    </row>
    <row r="131" spans="1:77" x14ac:dyDescent="0.3">
      <c r="A131" s="1">
        <v>46213</v>
      </c>
      <c r="B131" s="8">
        <v>30.6</v>
      </c>
      <c r="C131" s="8">
        <v>155.5</v>
      </c>
      <c r="D131" s="9">
        <v>4.91401480242916E-3</v>
      </c>
      <c r="E131" s="9">
        <v>4.4471730669146704E-3</v>
      </c>
      <c r="F131" s="8">
        <v>0</v>
      </c>
      <c r="G131" s="8">
        <v>0.39700000000000002</v>
      </c>
      <c r="H131" s="8">
        <v>0</v>
      </c>
      <c r="I131" s="8">
        <v>2.0009999999999999</v>
      </c>
      <c r="J131" s="8">
        <v>0</v>
      </c>
      <c r="K131" s="8">
        <v>0</v>
      </c>
      <c r="L131" s="8">
        <v>30.6</v>
      </c>
      <c r="M131" s="8">
        <v>155.5</v>
      </c>
      <c r="N131" s="10">
        <v>5.0816993464052196</v>
      </c>
      <c r="O131" s="10">
        <v>5.0856511037897496</v>
      </c>
      <c r="P131" s="10">
        <v>5.0820742229387301</v>
      </c>
      <c r="Q131" s="10">
        <v>5.0877464437132698</v>
      </c>
      <c r="R131" s="8">
        <v>155.62092377596599</v>
      </c>
      <c r="S131" s="8">
        <v>155.51018541246401</v>
      </c>
      <c r="T131" s="8">
        <v>155.68706719993099</v>
      </c>
      <c r="U131" s="9">
        <v>7.77342652418973E-4</v>
      </c>
      <c r="V131" s="9">
        <v>6.5498899690097896E-5</v>
      </c>
      <c r="W131" s="9">
        <v>1.2022814710641401E-3</v>
      </c>
      <c r="X131" s="10">
        <v>5.0816993464052196</v>
      </c>
      <c r="Y131" s="10">
        <v>5.0846599588316304</v>
      </c>
      <c r="Z131" s="10">
        <v>5.0820742229387301</v>
      </c>
      <c r="AA131" s="10">
        <v>5.0824032251979601</v>
      </c>
      <c r="AB131" s="8">
        <v>155.59059474024701</v>
      </c>
      <c r="AC131" s="8">
        <v>155.51018541246401</v>
      </c>
      <c r="AD131" s="8">
        <v>155.52356471336199</v>
      </c>
      <c r="AE131" s="9">
        <v>5.8243318403523902E-4</v>
      </c>
      <c r="AF131" s="9">
        <v>6.5498899690097896E-5</v>
      </c>
      <c r="AG131" s="9">
        <v>1.5153008376955299E-4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0</v>
      </c>
      <c r="BL131" s="9"/>
      <c r="BN131">
        <f t="shared" si="30"/>
        <v>0</v>
      </c>
      <c r="BO131">
        <f t="shared" si="31"/>
        <v>0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0</v>
      </c>
      <c r="BX131" s="12">
        <f t="shared" si="38"/>
        <v>0</v>
      </c>
      <c r="BY131" s="12">
        <f t="shared" si="39"/>
        <v>0</v>
      </c>
    </row>
    <row r="132" spans="1:77" x14ac:dyDescent="0.3">
      <c r="A132" s="1">
        <v>46216</v>
      </c>
      <c r="B132" s="8">
        <v>31.51</v>
      </c>
      <c r="C132" s="8">
        <v>160.15</v>
      </c>
      <c r="D132" s="9">
        <v>2.9304946810848002E-2</v>
      </c>
      <c r="E132" s="9">
        <v>2.9465144435878401E-2</v>
      </c>
      <c r="F132" s="8">
        <v>0</v>
      </c>
      <c r="G132" s="8">
        <v>0.39700000000000002</v>
      </c>
      <c r="H132" s="8">
        <v>0</v>
      </c>
      <c r="I132" s="8">
        <v>2.0009999999999999</v>
      </c>
      <c r="J132" s="8">
        <v>0</v>
      </c>
      <c r="K132" s="8">
        <v>0</v>
      </c>
      <c r="L132" s="8">
        <v>31.51</v>
      </c>
      <c r="M132" s="8">
        <v>160.15</v>
      </c>
      <c r="N132" s="10">
        <v>5.0825134877816502</v>
      </c>
      <c r="O132" s="10">
        <v>5.0856511037897496</v>
      </c>
      <c r="P132" s="10">
        <v>5.0819002958894099</v>
      </c>
      <c r="Q132" s="10">
        <v>5.0876107544659899</v>
      </c>
      <c r="R132" s="8">
        <v>160.248866280415</v>
      </c>
      <c r="S132" s="8">
        <v>160.13615876479901</v>
      </c>
      <c r="T132" s="8">
        <v>160.314890441405</v>
      </c>
      <c r="U132" s="9">
        <v>6.1714502738894098E-4</v>
      </c>
      <c r="V132" s="9">
        <v>-8.6430429979055098E-5</v>
      </c>
      <c r="W132" s="9">
        <v>1.0290703342239001E-3</v>
      </c>
      <c r="X132" s="10">
        <v>5.0825134877816502</v>
      </c>
      <c r="Y132" s="10">
        <v>5.0846599588316304</v>
      </c>
      <c r="Z132" s="10">
        <v>5.0819002958894099</v>
      </c>
      <c r="AA132" s="10">
        <v>5.0822675359506801</v>
      </c>
      <c r="AB132" s="8">
        <v>160.217635302784</v>
      </c>
      <c r="AC132" s="8">
        <v>160.13615876479901</v>
      </c>
      <c r="AD132" s="8">
        <v>160.14652562598701</v>
      </c>
      <c r="AE132" s="9">
        <v>4.2223555900500301E-4</v>
      </c>
      <c r="AF132" s="9">
        <v>-8.6430429979277197E-5</v>
      </c>
      <c r="AG132" s="9">
        <v>-2.1694734312195701E-5</v>
      </c>
      <c r="AZ132" s="9"/>
      <c r="BB132">
        <f t="shared" si="22"/>
        <v>0</v>
      </c>
      <c r="BC132">
        <f t="shared" si="23"/>
        <v>0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0</v>
      </c>
      <c r="BL132" s="9"/>
      <c r="BN132">
        <f t="shared" si="30"/>
        <v>0</v>
      </c>
      <c r="BO132">
        <f t="shared" si="31"/>
        <v>1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0</v>
      </c>
      <c r="BX132" s="12">
        <f t="shared" si="38"/>
        <v>0</v>
      </c>
      <c r="BY132" s="12">
        <f t="shared" si="39"/>
        <v>0</v>
      </c>
    </row>
    <row r="133" spans="1:77" x14ac:dyDescent="0.3">
      <c r="A133" s="1">
        <v>46217</v>
      </c>
      <c r="B133" s="8">
        <v>31.65</v>
      </c>
      <c r="C133" s="8">
        <v>160.91</v>
      </c>
      <c r="D133" s="9">
        <v>4.4331928210018298E-3</v>
      </c>
      <c r="E133" s="9">
        <v>4.7343264158916498E-3</v>
      </c>
      <c r="F133" s="8">
        <v>0</v>
      </c>
      <c r="G133" s="8">
        <v>0.39700000000000002</v>
      </c>
      <c r="H133" s="8">
        <v>0</v>
      </c>
      <c r="I133" s="8">
        <v>2.0009999999999999</v>
      </c>
      <c r="J133" s="8">
        <v>0</v>
      </c>
      <c r="K133" s="8">
        <v>0</v>
      </c>
      <c r="L133" s="8">
        <v>31.65</v>
      </c>
      <c r="M133" s="8">
        <v>160.91</v>
      </c>
      <c r="N133" s="10">
        <v>5.0840442338072602</v>
      </c>
      <c r="O133" s="10">
        <v>5.0856511037897496</v>
      </c>
      <c r="P133" s="10">
        <v>5.0819713859368001</v>
      </c>
      <c r="Q133" s="10">
        <v>5.0876006266637201</v>
      </c>
      <c r="R133" s="8">
        <v>160.96085743494501</v>
      </c>
      <c r="S133" s="8">
        <v>160.84214436489901</v>
      </c>
      <c r="T133" s="8">
        <v>161.02288037884799</v>
      </c>
      <c r="U133" s="9">
        <v>3.1601143249920701E-4</v>
      </c>
      <c r="V133" s="9">
        <v>-4.2178824473731302E-4</v>
      </c>
      <c r="W133" s="9">
        <v>7.0126657048492403E-4</v>
      </c>
      <c r="X133" s="10">
        <v>5.0840442338072602</v>
      </c>
      <c r="Y133" s="10">
        <v>5.0846599588316304</v>
      </c>
      <c r="Z133" s="10">
        <v>5.0819713859368001</v>
      </c>
      <c r="AA133" s="10">
        <v>5.0822574081483998</v>
      </c>
      <c r="AB133" s="8">
        <v>160.92948769702099</v>
      </c>
      <c r="AC133" s="8">
        <v>160.84214436489901</v>
      </c>
      <c r="AD133" s="8">
        <v>160.853767512839</v>
      </c>
      <c r="AE133" s="9">
        <v>1.21101964115301E-4</v>
      </c>
      <c r="AF133" s="9">
        <v>-4.2178824473731302E-4</v>
      </c>
      <c r="AG133" s="9">
        <v>-3.4952653723571199E-4</v>
      </c>
      <c r="AZ133" s="9"/>
      <c r="BB133">
        <f t="shared" si="22"/>
        <v>0</v>
      </c>
      <c r="BC133">
        <f t="shared" si="23"/>
        <v>0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0</v>
      </c>
      <c r="BL133" s="9"/>
      <c r="BN133">
        <f t="shared" si="30"/>
        <v>0</v>
      </c>
      <c r="BO133">
        <f t="shared" si="31"/>
        <v>1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0</v>
      </c>
      <c r="BX133" s="12">
        <f t="shared" si="38"/>
        <v>0</v>
      </c>
      <c r="BY133" s="12">
        <f t="shared" si="39"/>
        <v>0</v>
      </c>
    </row>
    <row r="134" spans="1:77" x14ac:dyDescent="0.3">
      <c r="A134" s="1">
        <v>46218</v>
      </c>
      <c r="B134" s="8">
        <v>31.38</v>
      </c>
      <c r="C134" s="8">
        <v>159.41999999999999</v>
      </c>
      <c r="D134" s="9">
        <v>-8.5674012852986307E-3</v>
      </c>
      <c r="E134" s="9">
        <v>-9.3029734712817107E-3</v>
      </c>
      <c r="F134" s="8">
        <v>0</v>
      </c>
      <c r="G134" s="8">
        <v>0.39700000000000002</v>
      </c>
      <c r="H134" s="8">
        <v>0</v>
      </c>
      <c r="I134" s="8">
        <v>2.0009999999999999</v>
      </c>
      <c r="J134" s="8">
        <v>0</v>
      </c>
      <c r="K134" s="8">
        <v>0</v>
      </c>
      <c r="L134" s="8">
        <v>31.38</v>
      </c>
      <c r="M134" s="8">
        <v>159.41999999999999</v>
      </c>
      <c r="N134" s="10">
        <v>5.0803059273422502</v>
      </c>
      <c r="O134" s="10">
        <v>5.0856511037897496</v>
      </c>
      <c r="P134" s="10">
        <v>5.0821197053286697</v>
      </c>
      <c r="Q134" s="10">
        <v>5.0875478517180301</v>
      </c>
      <c r="R134" s="8">
        <v>159.587731636922</v>
      </c>
      <c r="S134" s="8">
        <v>159.472262090697</v>
      </c>
      <c r="T134" s="8">
        <v>159.648907664707</v>
      </c>
      <c r="U134" s="9">
        <v>1.05158361848217E-3</v>
      </c>
      <c r="V134" s="9">
        <v>3.2777271434725501E-4</v>
      </c>
      <c r="W134" s="9">
        <v>1.4348480750170599E-3</v>
      </c>
      <c r="X134" s="10">
        <v>5.0803059273422502</v>
      </c>
      <c r="Y134" s="10">
        <v>5.0846599588316304</v>
      </c>
      <c r="Z134" s="10">
        <v>5.0821197053286697</v>
      </c>
      <c r="AA134" s="10">
        <v>5.0822046332027098</v>
      </c>
      <c r="AB134" s="8">
        <v>159.55662950813601</v>
      </c>
      <c r="AC134" s="8">
        <v>159.47226209069601</v>
      </c>
      <c r="AD134" s="8">
        <v>159.48123746769701</v>
      </c>
      <c r="AE134" s="9">
        <v>8.5667415009833597E-4</v>
      </c>
      <c r="AF134" s="9">
        <v>3.2777271434703302E-4</v>
      </c>
      <c r="AG134" s="9">
        <v>3.8405287440088299E-4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0</v>
      </c>
      <c r="BL134" s="9"/>
      <c r="BN134">
        <f t="shared" si="30"/>
        <v>0</v>
      </c>
      <c r="BO134">
        <f t="shared" si="31"/>
        <v>0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0</v>
      </c>
      <c r="BX134" s="12">
        <f t="shared" si="38"/>
        <v>0</v>
      </c>
      <c r="BY134" s="12">
        <f t="shared" si="39"/>
        <v>0</v>
      </c>
    </row>
    <row r="135" spans="1:77" x14ac:dyDescent="0.3">
      <c r="A135" s="1">
        <v>46219</v>
      </c>
      <c r="B135" s="8">
        <v>31.63</v>
      </c>
      <c r="C135" s="8">
        <v>160.76</v>
      </c>
      <c r="D135" s="9">
        <v>7.9352900126708602E-3</v>
      </c>
      <c r="E135" s="9">
        <v>8.3703405812233199E-3</v>
      </c>
      <c r="F135" s="8">
        <v>0</v>
      </c>
      <c r="G135" s="8">
        <v>0.39700000000000002</v>
      </c>
      <c r="H135" s="8">
        <v>0</v>
      </c>
      <c r="I135" s="8">
        <v>2.0009999999999999</v>
      </c>
      <c r="J135" s="8">
        <v>0</v>
      </c>
      <c r="K135" s="8">
        <v>0</v>
      </c>
      <c r="L135" s="8">
        <v>31.63</v>
      </c>
      <c r="M135" s="8">
        <v>160.76</v>
      </c>
      <c r="N135" s="10">
        <v>5.0825165981662899</v>
      </c>
      <c r="O135" s="10">
        <v>5.0856511037897496</v>
      </c>
      <c r="P135" s="10">
        <v>5.0821004325380903</v>
      </c>
      <c r="Q135" s="10">
        <v>5.0876834536133098</v>
      </c>
      <c r="R135" s="8">
        <v>160.859144412869</v>
      </c>
      <c r="S135" s="8">
        <v>160.74744627954601</v>
      </c>
      <c r="T135" s="8">
        <v>160.91913854984099</v>
      </c>
      <c r="U135" s="9">
        <v>6.1653304992988103E-4</v>
      </c>
      <c r="V135" s="9">
        <v>-7.8092875331968201E-5</v>
      </c>
      <c r="W135" s="9">
        <v>9.8942420413846094E-4</v>
      </c>
      <c r="X135" s="10">
        <v>5.0825165981662899</v>
      </c>
      <c r="Y135" s="10">
        <v>5.0846599588316304</v>
      </c>
      <c r="Z135" s="10">
        <v>5.0821004325380903</v>
      </c>
      <c r="AA135" s="10">
        <v>5.082340235098</v>
      </c>
      <c r="AB135" s="8">
        <v>160.827794497844</v>
      </c>
      <c r="AC135" s="8">
        <v>160.74744627954601</v>
      </c>
      <c r="AD135" s="8">
        <v>160.75013254820101</v>
      </c>
      <c r="AE135" s="9">
        <v>4.2162358154586402E-4</v>
      </c>
      <c r="AF135" s="9">
        <v>-7.8092875331968201E-5</v>
      </c>
      <c r="AG135" s="9">
        <v>-6.1381902479957601E-5</v>
      </c>
      <c r="AZ135" s="9"/>
      <c r="BB135">
        <f t="shared" si="22"/>
        <v>0</v>
      </c>
      <c r="BC135">
        <f t="shared" si="23"/>
        <v>0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0</v>
      </c>
      <c r="BL135" s="9"/>
      <c r="BN135">
        <f t="shared" si="30"/>
        <v>0</v>
      </c>
      <c r="BO135">
        <f t="shared" si="31"/>
        <v>1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0</v>
      </c>
      <c r="BX135" s="12">
        <f t="shared" si="38"/>
        <v>0</v>
      </c>
      <c r="BY135" s="12">
        <f t="shared" si="39"/>
        <v>0</v>
      </c>
    </row>
    <row r="136" spans="1:77" x14ac:dyDescent="0.3">
      <c r="A136" s="1">
        <v>46220</v>
      </c>
      <c r="B136" s="8">
        <v>32.020000000000003</v>
      </c>
      <c r="C136" s="8">
        <v>162.78</v>
      </c>
      <c r="D136" s="9">
        <v>1.22546702510112E-2</v>
      </c>
      <c r="E136" s="9">
        <v>1.2487026317895099E-2</v>
      </c>
      <c r="F136" s="8">
        <v>0</v>
      </c>
      <c r="G136" s="8">
        <v>0.39700000000000002</v>
      </c>
      <c r="H136" s="8">
        <v>0</v>
      </c>
      <c r="I136" s="8">
        <v>2.0009999999999999</v>
      </c>
      <c r="J136" s="8">
        <v>0</v>
      </c>
      <c r="K136" s="8">
        <v>0</v>
      </c>
      <c r="L136" s="8">
        <v>32.020000000000003</v>
      </c>
      <c r="M136" s="8">
        <v>162.78</v>
      </c>
      <c r="N136" s="10">
        <v>5.0836976889444001</v>
      </c>
      <c r="O136" s="10">
        <v>5.0856511037897496</v>
      </c>
      <c r="P136" s="10">
        <v>5.08257013391058</v>
      </c>
      <c r="Q136" s="10">
        <v>5.0877840165849104</v>
      </c>
      <c r="R136" s="8">
        <v>162.842548343347</v>
      </c>
      <c r="S136" s="8">
        <v>162.72885584986901</v>
      </c>
      <c r="T136" s="8">
        <v>162.90762418469799</v>
      </c>
      <c r="U136" s="9">
        <v>3.8417698304607398E-4</v>
      </c>
      <c r="V136" s="9">
        <v>-3.1424122343839999E-4</v>
      </c>
      <c r="W136" s="9">
        <v>7.8372146654511496E-4</v>
      </c>
      <c r="X136" s="10">
        <v>5.0836976889444001</v>
      </c>
      <c r="Y136" s="10">
        <v>5.0846599588316304</v>
      </c>
      <c r="Z136" s="10">
        <v>5.08257013391058</v>
      </c>
      <c r="AA136" s="10">
        <v>5.08244079806959</v>
      </c>
      <c r="AB136" s="8">
        <v>162.810811881788</v>
      </c>
      <c r="AC136" s="8">
        <v>162.72885584986901</v>
      </c>
      <c r="AD136" s="8">
        <v>162.736534327838</v>
      </c>
      <c r="AE136" s="9">
        <v>1.89267514662238E-4</v>
      </c>
      <c r="AF136" s="9">
        <v>-3.14241223438178E-4</v>
      </c>
      <c r="AG136" s="9">
        <v>-2.67056618245486E-4</v>
      </c>
      <c r="AZ136" s="9"/>
      <c r="BB136">
        <f t="shared" si="22"/>
        <v>0</v>
      </c>
      <c r="BC136">
        <f t="shared" si="23"/>
        <v>0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0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0</v>
      </c>
      <c r="BX136" s="12">
        <f t="shared" si="38"/>
        <v>0</v>
      </c>
      <c r="BY136" s="12">
        <f t="shared" si="39"/>
        <v>0</v>
      </c>
    </row>
    <row r="137" spans="1:77" x14ac:dyDescent="0.3">
      <c r="A137" s="1">
        <v>46223</v>
      </c>
      <c r="B137" s="8">
        <v>32.159999999999997</v>
      </c>
      <c r="C137" s="8">
        <v>163.47999999999999</v>
      </c>
      <c r="D137" s="9">
        <v>4.3627367421968004E-3</v>
      </c>
      <c r="E137" s="9">
        <v>4.2910627971811102E-3</v>
      </c>
      <c r="F137" s="8">
        <v>0</v>
      </c>
      <c r="G137" s="8">
        <v>0.39700000000000002</v>
      </c>
      <c r="H137" s="8">
        <v>0</v>
      </c>
      <c r="I137" s="8">
        <v>2.0009999999999999</v>
      </c>
      <c r="J137" s="8">
        <v>0</v>
      </c>
      <c r="K137" s="8">
        <v>0</v>
      </c>
      <c r="L137" s="8">
        <v>32.159999999999997</v>
      </c>
      <c r="M137" s="8">
        <v>163.47999999999999</v>
      </c>
      <c r="N137" s="10">
        <v>5.0833333333333304</v>
      </c>
      <c r="O137" s="10">
        <v>5.0856511037897496</v>
      </c>
      <c r="P137" s="10">
        <v>5.08260962838136</v>
      </c>
      <c r="Q137" s="10">
        <v>5.0860167655172503</v>
      </c>
      <c r="R137" s="8">
        <v>163.55453949787801</v>
      </c>
      <c r="S137" s="8">
        <v>163.45545550656399</v>
      </c>
      <c r="T137" s="8">
        <v>163.62313397336999</v>
      </c>
      <c r="U137" s="9">
        <v>4.5585092806163697E-4</v>
      </c>
      <c r="V137" s="9">
        <v>-1.5014886313612799E-4</v>
      </c>
      <c r="W137" s="9">
        <v>8.7516118092572899E-4</v>
      </c>
      <c r="X137" s="10">
        <v>5.0833333333333304</v>
      </c>
      <c r="Y137" s="10">
        <v>5.0846599588316304</v>
      </c>
      <c r="Z137" s="10">
        <v>5.08260962838136</v>
      </c>
      <c r="AA137" s="10">
        <v>5.0824728815424196</v>
      </c>
      <c r="AB137" s="8">
        <v>163.52266427602501</v>
      </c>
      <c r="AC137" s="8">
        <v>163.45545550656399</v>
      </c>
      <c r="AD137" s="8">
        <v>163.451296065918</v>
      </c>
      <c r="AE137" s="9">
        <v>2.6094145967781799E-4</v>
      </c>
      <c r="AF137" s="9">
        <v>-1.5014886313612799E-4</v>
      </c>
      <c r="AG137" s="9">
        <v>-1.7559612371745401E-4</v>
      </c>
      <c r="AZ137" s="9"/>
      <c r="BB137">
        <f t="shared" si="22"/>
        <v>0</v>
      </c>
      <c r="BC137">
        <f t="shared" si="23"/>
        <v>0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0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0</v>
      </c>
      <c r="BX137" s="12">
        <f t="shared" si="38"/>
        <v>0</v>
      </c>
      <c r="BY137" s="12">
        <f t="shared" si="39"/>
        <v>0</v>
      </c>
    </row>
    <row r="138" spans="1:77" x14ac:dyDescent="0.3">
      <c r="A138" s="1">
        <v>46224</v>
      </c>
      <c r="B138" s="8">
        <v>32.56</v>
      </c>
      <c r="C138" s="8">
        <v>165.52</v>
      </c>
      <c r="D138" s="9">
        <v>1.23610968235741E-2</v>
      </c>
      <c r="E138" s="9">
        <v>1.24013747412112E-2</v>
      </c>
      <c r="F138" s="8">
        <v>0</v>
      </c>
      <c r="G138" s="8">
        <v>0.39700000000000002</v>
      </c>
      <c r="H138" s="8">
        <v>0</v>
      </c>
      <c r="I138" s="8">
        <v>2.0009999999999999</v>
      </c>
      <c r="J138" s="8">
        <v>0</v>
      </c>
      <c r="K138" s="8">
        <v>0</v>
      </c>
      <c r="L138" s="8">
        <v>32.56</v>
      </c>
      <c r="M138" s="8">
        <v>165.52</v>
      </c>
      <c r="N138" s="10">
        <v>5.0835380835380803</v>
      </c>
      <c r="O138" s="10">
        <v>5.0856511037897496</v>
      </c>
      <c r="P138" s="10">
        <v>5.0827974834918299</v>
      </c>
      <c r="Q138" s="10">
        <v>5.0841996637001499</v>
      </c>
      <c r="R138" s="8">
        <v>165.58879993939399</v>
      </c>
      <c r="S138" s="8">
        <v>165.489769500097</v>
      </c>
      <c r="T138" s="8">
        <v>165.60070588524101</v>
      </c>
      <c r="U138" s="9">
        <v>4.1557301042466002E-4</v>
      </c>
      <c r="V138" s="9">
        <v>-1.8265624022239499E-4</v>
      </c>
      <c r="W138" s="9">
        <v>4.8747109682678499E-4</v>
      </c>
      <c r="X138" s="10">
        <v>5.0835380835380803</v>
      </c>
      <c r="Y138" s="10">
        <v>5.0846599588316304</v>
      </c>
      <c r="Z138" s="10">
        <v>5.0827974834918397</v>
      </c>
      <c r="AA138" s="10">
        <v>5.0824335158780496</v>
      </c>
      <c r="AB138" s="8">
        <v>165.55652825955701</v>
      </c>
      <c r="AC138" s="8">
        <v>165.489769500097</v>
      </c>
      <c r="AD138" s="8">
        <v>165.485317023021</v>
      </c>
      <c r="AE138" s="9">
        <v>2.20663542040781E-4</v>
      </c>
      <c r="AF138" s="9">
        <v>-1.8265624022239499E-4</v>
      </c>
      <c r="AG138" s="9">
        <v>-2.0956145005483301E-4</v>
      </c>
      <c r="AZ138" s="9"/>
      <c r="BB138">
        <f t="shared" si="22"/>
        <v>0</v>
      </c>
      <c r="BC138">
        <f t="shared" si="23"/>
        <v>0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0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0</v>
      </c>
      <c r="BX138" s="12">
        <f t="shared" si="38"/>
        <v>0</v>
      </c>
      <c r="BY138" s="12">
        <f t="shared" si="39"/>
        <v>0</v>
      </c>
    </row>
    <row r="139" spans="1:77" x14ac:dyDescent="0.3">
      <c r="A139" s="1">
        <v>46225</v>
      </c>
      <c r="B139" s="8">
        <v>32.950000000000003</v>
      </c>
      <c r="C139" s="8">
        <v>167.49</v>
      </c>
      <c r="D139" s="9">
        <v>1.19067198141767E-2</v>
      </c>
      <c r="E139" s="9">
        <v>1.18316145530912E-2</v>
      </c>
      <c r="F139" s="8">
        <v>0</v>
      </c>
      <c r="G139" s="8">
        <v>0.39700000000000002</v>
      </c>
      <c r="H139" s="8">
        <v>0</v>
      </c>
      <c r="I139" s="8">
        <v>2.0009999999999999</v>
      </c>
      <c r="J139" s="8">
        <v>0</v>
      </c>
      <c r="K139" s="8">
        <v>0</v>
      </c>
      <c r="L139" s="8">
        <v>32.950000000000003</v>
      </c>
      <c r="M139" s="8">
        <v>167.49</v>
      </c>
      <c r="N139" s="10">
        <v>5.0831562974203299</v>
      </c>
      <c r="O139" s="10">
        <v>5.0856511037897496</v>
      </c>
      <c r="P139" s="10">
        <v>5.0828877246328297</v>
      </c>
      <c r="Q139" s="10">
        <v>5.0824342489219196</v>
      </c>
      <c r="R139" s="8">
        <v>167.572203869872</v>
      </c>
      <c r="S139" s="8">
        <v>167.478177081056</v>
      </c>
      <c r="T139" s="8">
        <v>167.52437891892001</v>
      </c>
      <c r="U139" s="9">
        <v>4.9067827151002099E-4</v>
      </c>
      <c r="V139" s="9">
        <v>-7.0591296473740295E-5</v>
      </c>
      <c r="W139" s="9">
        <v>2.05238468579361E-4</v>
      </c>
      <c r="X139" s="10">
        <v>5.0831562974203299</v>
      </c>
      <c r="Y139" s="10">
        <v>5.0846599588316304</v>
      </c>
      <c r="Z139" s="10">
        <v>5.0828877246328297</v>
      </c>
      <c r="AA139" s="10">
        <v>5.0824342489219196</v>
      </c>
      <c r="AB139" s="8">
        <v>167.53954564350201</v>
      </c>
      <c r="AC139" s="8">
        <v>167.478177081056</v>
      </c>
      <c r="AD139" s="8">
        <v>167.466184348181</v>
      </c>
      <c r="AE139" s="9">
        <v>2.9576880312633097E-4</v>
      </c>
      <c r="AF139" s="9">
        <v>-7.0591296473629205E-5</v>
      </c>
      <c r="AG139" s="9">
        <v>-1.4220159514011699E-4</v>
      </c>
      <c r="AZ139" s="9"/>
      <c r="BB139">
        <f t="shared" si="22"/>
        <v>0</v>
      </c>
      <c r="BC139">
        <f t="shared" si="23"/>
        <v>0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0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0</v>
      </c>
      <c r="BX139" s="12">
        <f t="shared" si="38"/>
        <v>0</v>
      </c>
      <c r="BY139" s="12">
        <f t="shared" si="39"/>
        <v>0</v>
      </c>
    </row>
    <row r="140" spans="1:77" x14ac:dyDescent="0.3">
      <c r="A140" s="1">
        <v>46226</v>
      </c>
      <c r="B140" s="8">
        <v>33.07</v>
      </c>
      <c r="C140" s="8">
        <v>168.17</v>
      </c>
      <c r="D140" s="9">
        <v>3.63526604518505E-3</v>
      </c>
      <c r="E140" s="9">
        <v>4.0517245442795698E-3</v>
      </c>
      <c r="F140" s="8">
        <v>0</v>
      </c>
      <c r="G140" s="8">
        <v>0.39700000000000002</v>
      </c>
      <c r="H140" s="8">
        <v>0</v>
      </c>
      <c r="I140" s="8">
        <v>2.0009999999999999</v>
      </c>
      <c r="J140" s="8">
        <v>0</v>
      </c>
      <c r="K140" s="8">
        <v>0</v>
      </c>
      <c r="L140" s="8">
        <v>33.07</v>
      </c>
      <c r="M140" s="8">
        <v>168.17</v>
      </c>
      <c r="N140" s="10">
        <v>5.0852736619292402</v>
      </c>
      <c r="O140" s="10">
        <v>5.0856511037897496</v>
      </c>
      <c r="P140" s="10">
        <v>5.0830078658668096</v>
      </c>
      <c r="Q140" s="10">
        <v>5.0825200344442596</v>
      </c>
      <c r="R140" s="8">
        <v>168.18248200232699</v>
      </c>
      <c r="S140" s="8">
        <v>168.091097053607</v>
      </c>
      <c r="T140" s="8">
        <v>168.07610061184801</v>
      </c>
      <c r="U140" s="9">
        <v>7.4219772415688501E-5</v>
      </c>
      <c r="V140" s="9">
        <v>-4.6929572603918998E-4</v>
      </c>
      <c r="W140" s="9">
        <v>-5.5851586336223098E-4</v>
      </c>
      <c r="X140" s="10">
        <v>5.0852736619292402</v>
      </c>
      <c r="Y140" s="10">
        <v>5.0846599588316304</v>
      </c>
      <c r="Z140" s="10">
        <v>5.0830078658668096</v>
      </c>
      <c r="AA140" s="10">
        <v>5.0825200344442596</v>
      </c>
      <c r="AB140" s="8">
        <v>168.149704838562</v>
      </c>
      <c r="AC140" s="8">
        <v>168.091097053607</v>
      </c>
      <c r="AD140" s="8">
        <v>168.07610061184801</v>
      </c>
      <c r="AE140" s="9">
        <v>-1.20689695968169E-4</v>
      </c>
      <c r="AF140" s="9">
        <v>-4.6929572603907901E-4</v>
      </c>
      <c r="AG140" s="9">
        <v>-5.5851586336223098E-4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0</v>
      </c>
      <c r="BL140" s="9"/>
      <c r="BN140">
        <f t="shared" si="30"/>
        <v>0</v>
      </c>
      <c r="BO140">
        <f t="shared" si="31"/>
        <v>1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0</v>
      </c>
      <c r="BX140" s="12">
        <f t="shared" si="38"/>
        <v>0</v>
      </c>
      <c r="BY140" s="12">
        <f t="shared" si="39"/>
        <v>0</v>
      </c>
    </row>
    <row r="141" spans="1:77" x14ac:dyDescent="0.3">
      <c r="A141" s="1">
        <v>46227</v>
      </c>
      <c r="B141" s="8">
        <v>33.1</v>
      </c>
      <c r="C141" s="8">
        <v>168.23</v>
      </c>
      <c r="D141" s="9">
        <v>9.0675538931583096E-4</v>
      </c>
      <c r="E141" s="9">
        <v>3.5671819641043897E-4</v>
      </c>
      <c r="F141" s="8">
        <v>0</v>
      </c>
      <c r="G141" s="8">
        <v>0.39700000000000002</v>
      </c>
      <c r="H141" s="8">
        <v>0</v>
      </c>
      <c r="I141" s="8">
        <v>2.0009999999999999</v>
      </c>
      <c r="J141" s="8">
        <v>0</v>
      </c>
      <c r="K141" s="8">
        <v>0</v>
      </c>
      <c r="L141" s="8">
        <v>33.1</v>
      </c>
      <c r="M141" s="8">
        <v>168.23</v>
      </c>
      <c r="N141" s="10">
        <v>5.08247734138972</v>
      </c>
      <c r="O141" s="10">
        <v>5.0856511037897496</v>
      </c>
      <c r="P141" s="10">
        <v>5.0830856653652603</v>
      </c>
      <c r="Q141" s="10">
        <v>5.0825799441519903</v>
      </c>
      <c r="R141" s="8">
        <v>168.33505153543999</v>
      </c>
      <c r="S141" s="8">
        <v>168.24756036019099</v>
      </c>
      <c r="T141" s="8">
        <v>168.23141314010499</v>
      </c>
      <c r="U141" s="9">
        <v>6.2425696532111504E-4</v>
      </c>
      <c r="V141" s="9">
        <v>1.04377600625787E-4</v>
      </c>
      <c r="W141" s="9">
        <v>8.4000128994948192E-6</v>
      </c>
      <c r="X141" s="10">
        <v>5.08247734138972</v>
      </c>
      <c r="Y141" s="10">
        <v>5.0846599588316304</v>
      </c>
      <c r="Z141" s="10">
        <v>5.0830856653652603</v>
      </c>
      <c r="AA141" s="10">
        <v>5.0825799441519903</v>
      </c>
      <c r="AB141" s="8">
        <v>168.30224463732699</v>
      </c>
      <c r="AC141" s="8">
        <v>168.24756036019099</v>
      </c>
      <c r="AD141" s="8">
        <v>168.23141314010499</v>
      </c>
      <c r="AE141" s="9">
        <v>4.2934749693702799E-4</v>
      </c>
      <c r="AF141" s="9">
        <v>1.04377600625565E-4</v>
      </c>
      <c r="AG141" s="9">
        <v>8.4000128997168706E-6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0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0</v>
      </c>
      <c r="BX141" s="12">
        <f t="shared" si="38"/>
        <v>0</v>
      </c>
      <c r="BY141" s="12">
        <f t="shared" si="39"/>
        <v>0</v>
      </c>
    </row>
    <row r="142" spans="1:77" x14ac:dyDescent="0.3">
      <c r="A142" s="1">
        <v>46230</v>
      </c>
      <c r="B142" s="8">
        <v>32.380000000000003</v>
      </c>
      <c r="C142" s="8">
        <v>164.52</v>
      </c>
      <c r="D142" s="9">
        <v>-2.1992334133528101E-2</v>
      </c>
      <c r="E142" s="9">
        <v>-2.22999473688456E-2</v>
      </c>
      <c r="F142" s="8">
        <v>0</v>
      </c>
      <c r="G142" s="8">
        <v>0.39700000000000002</v>
      </c>
      <c r="H142" s="8">
        <v>0</v>
      </c>
      <c r="I142" s="8">
        <v>2.0009999999999999</v>
      </c>
      <c r="J142" s="8">
        <v>0</v>
      </c>
      <c r="K142" s="8">
        <v>0</v>
      </c>
      <c r="L142" s="8">
        <v>32.380000000000003</v>
      </c>
      <c r="M142" s="8">
        <v>164.52</v>
      </c>
      <c r="N142" s="10">
        <v>5.0809141445336596</v>
      </c>
      <c r="O142" s="10">
        <v>5.0856511037897496</v>
      </c>
      <c r="P142" s="10">
        <v>5.0829257310404596</v>
      </c>
      <c r="Q142" s="10">
        <v>5.0824130134649304</v>
      </c>
      <c r="R142" s="8">
        <v>164.67338274071199</v>
      </c>
      <c r="S142" s="8">
        <v>164.590313844527</v>
      </c>
      <c r="T142" s="8">
        <v>164.573938591641</v>
      </c>
      <c r="U142" s="9">
        <v>9.3187020063848099E-4</v>
      </c>
      <c r="V142" s="9">
        <v>4.2729651815281798E-4</v>
      </c>
      <c r="W142" s="9">
        <v>3.2780058092498102E-4</v>
      </c>
      <c r="X142" s="10">
        <v>5.0809141445336596</v>
      </c>
      <c r="Y142" s="10">
        <v>5.0846599588316304</v>
      </c>
      <c r="Z142" s="10">
        <v>5.0829257310404596</v>
      </c>
      <c r="AA142" s="10">
        <v>5.0824130134649304</v>
      </c>
      <c r="AB142" s="8">
        <v>164.641289466968</v>
      </c>
      <c r="AC142" s="8">
        <v>164.590313844527</v>
      </c>
      <c r="AD142" s="8">
        <v>164.573938591641</v>
      </c>
      <c r="AE142" s="9">
        <v>7.3696073225449201E-4</v>
      </c>
      <c r="AF142" s="9">
        <v>4.2729651815303997E-4</v>
      </c>
      <c r="AG142" s="9">
        <v>3.2780058092498102E-4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0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0</v>
      </c>
      <c r="BX142" s="12">
        <f t="shared" si="38"/>
        <v>0</v>
      </c>
      <c r="BY142" s="12">
        <f t="shared" si="39"/>
        <v>0</v>
      </c>
    </row>
    <row r="143" spans="1:77" x14ac:dyDescent="0.3">
      <c r="A143" s="1">
        <v>46231</v>
      </c>
      <c r="B143" s="8">
        <v>31.89</v>
      </c>
      <c r="C143" s="8">
        <v>162.02000000000001</v>
      </c>
      <c r="D143" s="9">
        <v>-1.5248467227522799E-2</v>
      </c>
      <c r="E143" s="9">
        <v>-1.53123589598781E-2</v>
      </c>
      <c r="F143" s="8">
        <v>0</v>
      </c>
      <c r="G143" s="8">
        <v>0.39700000000000002</v>
      </c>
      <c r="H143" s="8">
        <v>0</v>
      </c>
      <c r="I143" s="8">
        <v>2.0009999999999999</v>
      </c>
      <c r="J143" s="8">
        <v>0</v>
      </c>
      <c r="K143" s="8">
        <v>0</v>
      </c>
      <c r="L143" s="8">
        <v>31.89</v>
      </c>
      <c r="M143" s="8">
        <v>162.02000000000001</v>
      </c>
      <c r="N143" s="10">
        <v>5.08058952649733</v>
      </c>
      <c r="O143" s="10">
        <v>5.0856511037897496</v>
      </c>
      <c r="P143" s="10">
        <v>5.0825802603094603</v>
      </c>
      <c r="Q143" s="10">
        <v>5.0822758231231298</v>
      </c>
      <c r="R143" s="8">
        <v>162.181413699855</v>
      </c>
      <c r="S143" s="8">
        <v>162.09450156288</v>
      </c>
      <c r="T143" s="8">
        <v>162.078150999396</v>
      </c>
      <c r="U143" s="9">
        <v>9.9576193299359401E-4</v>
      </c>
      <c r="V143" s="9">
        <v>4.5972373240437298E-4</v>
      </c>
      <c r="W143" s="9">
        <v>3.5884808254254001E-4</v>
      </c>
      <c r="X143" s="10">
        <v>5.08058952649733</v>
      </c>
      <c r="Y143" s="10">
        <v>5.0846599588316304</v>
      </c>
      <c r="Z143" s="10">
        <v>5.0825802603094603</v>
      </c>
      <c r="AA143" s="10">
        <v>5.0822758231231298</v>
      </c>
      <c r="AB143" s="8">
        <v>162.14980608714001</v>
      </c>
      <c r="AC143" s="8">
        <v>162.09450156288</v>
      </c>
      <c r="AD143" s="8">
        <v>162.078150999396</v>
      </c>
      <c r="AE143" s="9">
        <v>8.0085246460975096E-4</v>
      </c>
      <c r="AF143" s="9">
        <v>4.5972373240415202E-4</v>
      </c>
      <c r="AG143" s="9">
        <v>3.5884808254254001E-4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0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0</v>
      </c>
      <c r="BX143" s="12">
        <f t="shared" si="38"/>
        <v>0</v>
      </c>
      <c r="BY143" s="12">
        <f t="shared" si="39"/>
        <v>0</v>
      </c>
    </row>
    <row r="144" spans="1:77" x14ac:dyDescent="0.3">
      <c r="A144" s="1">
        <v>46232</v>
      </c>
      <c r="B144" s="8">
        <v>32.479999999999997</v>
      </c>
      <c r="C144" s="8">
        <v>165.14</v>
      </c>
      <c r="D144" s="9">
        <v>1.83320342715107E-2</v>
      </c>
      <c r="E144" s="9">
        <v>1.9073814586937101E-2</v>
      </c>
      <c r="F144" s="8">
        <v>0</v>
      </c>
      <c r="G144" s="8">
        <v>0.39700000000000002</v>
      </c>
      <c r="H144" s="8">
        <v>0</v>
      </c>
      <c r="I144" s="8">
        <v>2.0009999999999999</v>
      </c>
      <c r="J144" s="8">
        <v>0</v>
      </c>
      <c r="K144" s="8">
        <v>0</v>
      </c>
      <c r="L144" s="8">
        <v>32.479999999999997</v>
      </c>
      <c r="M144" s="8">
        <v>165.14</v>
      </c>
      <c r="N144" s="10">
        <v>5.0843596059113301</v>
      </c>
      <c r="O144" s="10">
        <v>5.0856511037897496</v>
      </c>
      <c r="P144" s="10">
        <v>5.0829856281663703</v>
      </c>
      <c r="Q144" s="10">
        <v>5.08255266674752</v>
      </c>
      <c r="R144" s="8">
        <v>165.181947851091</v>
      </c>
      <c r="S144" s="8">
        <v>165.08220685485099</v>
      </c>
      <c r="T144" s="8">
        <v>165.072318735039</v>
      </c>
      <c r="U144" s="9">
        <v>2.5398161756732201E-4</v>
      </c>
      <c r="V144" s="9">
        <v>-3.5002579801630198E-4</v>
      </c>
      <c r="W144" s="9">
        <v>-4.0992574818237299E-4</v>
      </c>
      <c r="X144" s="10">
        <v>5.0843596059113301</v>
      </c>
      <c r="Y144" s="10">
        <v>5.0846599588316304</v>
      </c>
      <c r="Z144" s="10">
        <v>5.0829856281663703</v>
      </c>
      <c r="AA144" s="10">
        <v>5.08255266674752</v>
      </c>
      <c r="AB144" s="8">
        <v>165.149755462851</v>
      </c>
      <c r="AC144" s="8">
        <v>165.08220685485099</v>
      </c>
      <c r="AD144" s="8">
        <v>165.072318735039</v>
      </c>
      <c r="AE144" s="9">
        <v>5.9072149183651997E-5</v>
      </c>
      <c r="AF144" s="9">
        <v>-3.5002579801630198E-4</v>
      </c>
      <c r="AG144" s="9">
        <v>-4.0992574818237299E-4</v>
      </c>
      <c r="AZ144" s="9"/>
      <c r="BB144">
        <f t="shared" si="22"/>
        <v>0</v>
      </c>
      <c r="BC144">
        <f t="shared" si="23"/>
        <v>0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0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0</v>
      </c>
      <c r="BX144" s="12">
        <f t="shared" si="38"/>
        <v>0</v>
      </c>
      <c r="BY144" s="12">
        <f t="shared" si="39"/>
        <v>0</v>
      </c>
    </row>
    <row r="145" spans="1:77" x14ac:dyDescent="0.3">
      <c r="A145" s="1">
        <v>46233</v>
      </c>
      <c r="B145" s="8">
        <v>32.71</v>
      </c>
      <c r="C145" s="8">
        <v>166.28</v>
      </c>
      <c r="D145" s="9">
        <v>7.0563262568154898E-3</v>
      </c>
      <c r="E145" s="9">
        <v>6.8795153951541699E-3</v>
      </c>
      <c r="F145" s="8">
        <v>0</v>
      </c>
      <c r="G145" s="8">
        <v>0.39700000000000002</v>
      </c>
      <c r="H145" s="8">
        <v>0</v>
      </c>
      <c r="I145" s="8">
        <v>2.0009999999999999</v>
      </c>
      <c r="J145" s="8">
        <v>0</v>
      </c>
      <c r="K145" s="8">
        <v>0</v>
      </c>
      <c r="L145" s="8">
        <v>32.71</v>
      </c>
      <c r="M145" s="8">
        <v>166.28</v>
      </c>
      <c r="N145" s="10">
        <v>5.0834607153775604</v>
      </c>
      <c r="O145" s="10">
        <v>5.0856511037897496</v>
      </c>
      <c r="P145" s="10">
        <v>5.0830800398875002</v>
      </c>
      <c r="Q145" s="10">
        <v>5.0825902362127904</v>
      </c>
      <c r="R145" s="8">
        <v>166.35164760496201</v>
      </c>
      <c r="S145" s="8">
        <v>166.26445989732201</v>
      </c>
      <c r="T145" s="8">
        <v>166.250297729311</v>
      </c>
      <c r="U145" s="9">
        <v>4.3079247922869199E-4</v>
      </c>
      <c r="V145" s="9">
        <v>-9.3461804740218194E-5</v>
      </c>
      <c r="W145" s="9">
        <v>-1.78643997074647E-4</v>
      </c>
      <c r="X145" s="10">
        <v>5.0834607153775604</v>
      </c>
      <c r="Y145" s="10">
        <v>5.0846599588316304</v>
      </c>
      <c r="Z145" s="10">
        <v>5.0830800398875002</v>
      </c>
      <c r="AA145" s="10">
        <v>5.0825902362127904</v>
      </c>
      <c r="AB145" s="8">
        <v>166.319227253382</v>
      </c>
      <c r="AC145" s="8">
        <v>166.26445989732201</v>
      </c>
      <c r="AD145" s="8">
        <v>166.250297729311</v>
      </c>
      <c r="AE145" s="9">
        <v>2.3588301084456799E-4</v>
      </c>
      <c r="AF145" s="9">
        <v>-9.3461804740218194E-5</v>
      </c>
      <c r="AG145" s="9">
        <v>-1.78643997074647E-4</v>
      </c>
      <c r="AZ145" s="9"/>
      <c r="BB145">
        <f t="shared" si="22"/>
        <v>0</v>
      </c>
      <c r="BC145">
        <f t="shared" si="23"/>
        <v>0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0</v>
      </c>
      <c r="BL145" s="9"/>
      <c r="BN145">
        <f t="shared" si="30"/>
        <v>0</v>
      </c>
      <c r="BO145">
        <f t="shared" si="31"/>
        <v>1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0</v>
      </c>
      <c r="BX145" s="12">
        <f t="shared" si="38"/>
        <v>0</v>
      </c>
      <c r="BY145" s="12">
        <f t="shared" si="39"/>
        <v>0</v>
      </c>
    </row>
    <row r="146" spans="1:77" x14ac:dyDescent="0.3">
      <c r="A146" s="1">
        <v>46234</v>
      </c>
      <c r="B146" s="8">
        <v>33.049999999999997</v>
      </c>
      <c r="C146" s="8">
        <v>167.97</v>
      </c>
      <c r="D146" s="9">
        <v>1.0340724747402601E-2</v>
      </c>
      <c r="E146" s="9">
        <v>1.01122776444749E-2</v>
      </c>
      <c r="F146" s="8">
        <v>0</v>
      </c>
      <c r="G146" s="8">
        <v>0.39700000000000002</v>
      </c>
      <c r="H146" s="8">
        <v>0</v>
      </c>
      <c r="I146" s="8">
        <v>2.0009999999999999</v>
      </c>
      <c r="J146" s="8">
        <v>0</v>
      </c>
      <c r="K146" s="8">
        <v>0</v>
      </c>
      <c r="L146" s="8">
        <v>33.049999999999997</v>
      </c>
      <c r="M146" s="8">
        <v>167.97</v>
      </c>
      <c r="N146" s="10">
        <v>5.0822995461422096</v>
      </c>
      <c r="O146" s="10">
        <v>5.0856511037897496</v>
      </c>
      <c r="P146" s="10">
        <v>5.0829402256072802</v>
      </c>
      <c r="Q146" s="10">
        <v>5.0827551797589301</v>
      </c>
      <c r="R146" s="8">
        <v>168.08076898025101</v>
      </c>
      <c r="S146" s="8">
        <v>167.99579531828101</v>
      </c>
      <c r="T146" s="8">
        <v>167.97960730683201</v>
      </c>
      <c r="U146" s="9">
        <v>6.5923958215624405E-4</v>
      </c>
      <c r="V146" s="9">
        <v>1.5355919377538099E-4</v>
      </c>
      <c r="W146" s="9">
        <v>5.7194928206954903E-5</v>
      </c>
      <c r="X146" s="10">
        <v>5.0822995461422096</v>
      </c>
      <c r="Y146" s="10">
        <v>5.0846599588316304</v>
      </c>
      <c r="Z146" s="10">
        <v>5.0829402256072802</v>
      </c>
      <c r="AA146" s="10">
        <v>5.0827551797589301</v>
      </c>
      <c r="AB146" s="8">
        <v>168.04801163938501</v>
      </c>
      <c r="AC146" s="8">
        <v>167.99579531828101</v>
      </c>
      <c r="AD146" s="8">
        <v>167.97960730683201</v>
      </c>
      <c r="AE146" s="9">
        <v>4.6433011377260001E-4</v>
      </c>
      <c r="AF146" s="9">
        <v>1.5355919377538099E-4</v>
      </c>
      <c r="AG146" s="9">
        <v>5.7194928206954903E-5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0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0</v>
      </c>
      <c r="BX146" s="12">
        <f t="shared" si="38"/>
        <v>0</v>
      </c>
      <c r="BY146" s="12">
        <f t="shared" si="39"/>
        <v>0</v>
      </c>
    </row>
    <row r="147" spans="1:77" x14ac:dyDescent="0.3">
      <c r="A147" s="1">
        <v>46237</v>
      </c>
      <c r="B147" s="8">
        <v>32.630000000000003</v>
      </c>
      <c r="C147" s="8">
        <v>165.87</v>
      </c>
      <c r="D147" s="9">
        <v>-1.27894556924658E-2</v>
      </c>
      <c r="E147" s="9">
        <v>-1.25810430109603E-2</v>
      </c>
      <c r="F147" s="8">
        <v>0</v>
      </c>
      <c r="G147" s="8">
        <v>0.39700000000000002</v>
      </c>
      <c r="H147" s="8">
        <v>0</v>
      </c>
      <c r="I147" s="8">
        <v>2.0009999999999999</v>
      </c>
      <c r="J147" s="8">
        <v>0</v>
      </c>
      <c r="K147" s="8">
        <v>0</v>
      </c>
      <c r="L147" s="8">
        <v>32.630000000000003</v>
      </c>
      <c r="M147" s="8">
        <v>165.87</v>
      </c>
      <c r="N147" s="10">
        <v>5.0833588722034904</v>
      </c>
      <c r="O147" s="10">
        <v>5.0856511037897496</v>
      </c>
      <c r="P147" s="10">
        <v>5.0829427794942896</v>
      </c>
      <c r="Q147" s="10">
        <v>5.0827762039378301</v>
      </c>
      <c r="R147" s="8">
        <v>165.94479551665901</v>
      </c>
      <c r="S147" s="8">
        <v>165.85633956156499</v>
      </c>
      <c r="T147" s="8">
        <v>165.850301515534</v>
      </c>
      <c r="U147" s="9">
        <v>4.50826900650868E-4</v>
      </c>
      <c r="V147" s="9">
        <v>-8.2359685156117594E-5</v>
      </c>
      <c r="W147" s="9">
        <v>-1.18765625130986E-4</v>
      </c>
      <c r="X147" s="10">
        <v>5.0833588722034904</v>
      </c>
      <c r="Y147" s="10">
        <v>5.0846599588316304</v>
      </c>
      <c r="Z147" s="10">
        <v>5.0829427794942896</v>
      </c>
      <c r="AA147" s="10">
        <v>5.0827762039378301</v>
      </c>
      <c r="AB147" s="8">
        <v>165.91245445667599</v>
      </c>
      <c r="AC147" s="8">
        <v>165.85633956156499</v>
      </c>
      <c r="AD147" s="8">
        <v>165.850301515534</v>
      </c>
      <c r="AE147" s="9">
        <v>2.5591743226684399E-4</v>
      </c>
      <c r="AF147" s="9">
        <v>-8.2359685155895495E-5</v>
      </c>
      <c r="AG147" s="9">
        <v>-1.18765625130986E-4</v>
      </c>
      <c r="AZ147" s="9"/>
      <c r="BB147">
        <f t="shared" si="22"/>
        <v>0</v>
      </c>
      <c r="BC147">
        <f t="shared" si="23"/>
        <v>0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0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0</v>
      </c>
      <c r="BX147" s="12">
        <f t="shared" si="38"/>
        <v>0</v>
      </c>
      <c r="BY147" s="12">
        <f t="shared" si="39"/>
        <v>0</v>
      </c>
    </row>
    <row r="148" spans="1:77" x14ac:dyDescent="0.3">
      <c r="A148" s="1">
        <v>46238</v>
      </c>
      <c r="B148" s="8">
        <v>32.5</v>
      </c>
      <c r="C148" s="8">
        <v>165.25</v>
      </c>
      <c r="D148" s="9">
        <v>-3.9920212695375599E-3</v>
      </c>
      <c r="E148" s="9">
        <v>-3.74487028615564E-3</v>
      </c>
      <c r="F148" s="8">
        <v>0</v>
      </c>
      <c r="G148" s="8">
        <v>0.39700000000000002</v>
      </c>
      <c r="H148" s="8">
        <v>0</v>
      </c>
      <c r="I148" s="8">
        <v>2.0009999999999999</v>
      </c>
      <c r="J148" s="8">
        <v>0</v>
      </c>
      <c r="K148" s="8">
        <v>0</v>
      </c>
      <c r="L148" s="8">
        <v>32.5</v>
      </c>
      <c r="M148" s="8">
        <v>165.25</v>
      </c>
      <c r="N148" s="10">
        <v>5.0846153846153799</v>
      </c>
      <c r="O148" s="10">
        <v>5.0856511037897496</v>
      </c>
      <c r="P148" s="10">
        <v>5.0830505096020202</v>
      </c>
      <c r="Q148" s="10">
        <v>5.0829239965469304</v>
      </c>
      <c r="R148" s="8">
        <v>165.28366087316601</v>
      </c>
      <c r="S148" s="8">
        <v>165.195640333564</v>
      </c>
      <c r="T148" s="8">
        <v>165.190226627979</v>
      </c>
      <c r="U148" s="9">
        <v>2.0367591726878201E-4</v>
      </c>
      <c r="V148" s="9">
        <v>-3.2900822580554803E-4</v>
      </c>
      <c r="W148" s="9">
        <v>-3.6178024257170499E-4</v>
      </c>
      <c r="X148" s="10">
        <v>5.0846153846153799</v>
      </c>
      <c r="Y148" s="10">
        <v>5.0846599588316304</v>
      </c>
      <c r="Z148" s="10">
        <v>5.0830505096020202</v>
      </c>
      <c r="AA148" s="10">
        <v>5.0829239965469304</v>
      </c>
      <c r="AB148" s="8">
        <v>165.251448662028</v>
      </c>
      <c r="AC148" s="8">
        <v>165.195640333564</v>
      </c>
      <c r="AD148" s="8">
        <v>165.190226627979</v>
      </c>
      <c r="AE148" s="9">
        <v>8.7664488850933403E-6</v>
      </c>
      <c r="AF148" s="9">
        <v>-3.2900822580554803E-4</v>
      </c>
      <c r="AG148" s="9">
        <v>-3.6178024257170499E-4</v>
      </c>
      <c r="AZ148" s="9"/>
      <c r="BB148">
        <f t="shared" si="22"/>
        <v>0</v>
      </c>
      <c r="BC148">
        <f t="shared" si="23"/>
        <v>0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0</v>
      </c>
      <c r="BL148" s="9"/>
      <c r="BN148">
        <f t="shared" si="30"/>
        <v>0</v>
      </c>
      <c r="BO148">
        <f t="shared" si="31"/>
        <v>1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0</v>
      </c>
      <c r="BX148" s="12">
        <f t="shared" si="38"/>
        <v>0</v>
      </c>
      <c r="BY148" s="12">
        <f t="shared" si="39"/>
        <v>0</v>
      </c>
    </row>
    <row r="149" spans="1:77" x14ac:dyDescent="0.3">
      <c r="A149" s="1">
        <v>46239</v>
      </c>
      <c r="B149" s="8">
        <v>31.79</v>
      </c>
      <c r="C149" s="8">
        <v>161.57</v>
      </c>
      <c r="D149" s="9">
        <v>-2.2088314412980401E-2</v>
      </c>
      <c r="E149" s="9">
        <v>-2.2520993443056501E-2</v>
      </c>
      <c r="F149" s="8">
        <v>0</v>
      </c>
      <c r="G149" s="8">
        <v>0.39700000000000002</v>
      </c>
      <c r="H149" s="8">
        <v>0</v>
      </c>
      <c r="I149" s="8">
        <v>2.0009999999999999</v>
      </c>
      <c r="J149" s="8">
        <v>0</v>
      </c>
      <c r="K149" s="8">
        <v>0</v>
      </c>
      <c r="L149" s="8">
        <v>31.79</v>
      </c>
      <c r="M149" s="8">
        <v>161.57</v>
      </c>
      <c r="N149" s="10">
        <v>5.08241585404215</v>
      </c>
      <c r="O149" s="10">
        <v>5.0856511037897496</v>
      </c>
      <c r="P149" s="10">
        <v>5.0829764652642098</v>
      </c>
      <c r="Q149" s="10">
        <v>5.0829320949485197</v>
      </c>
      <c r="R149" s="8">
        <v>161.67284858947599</v>
      </c>
      <c r="S149" s="8">
        <v>161.59017570024801</v>
      </c>
      <c r="T149" s="8">
        <v>161.58615385022699</v>
      </c>
      <c r="U149" s="9">
        <v>6.3635494734487897E-4</v>
      </c>
      <c r="V149" s="9">
        <v>1.2486501612357201E-4</v>
      </c>
      <c r="W149" s="9">
        <v>9.9975507493718996E-5</v>
      </c>
      <c r="X149" s="10">
        <v>5.08241585404215</v>
      </c>
      <c r="Y149" s="10">
        <v>5.0846599588316304</v>
      </c>
      <c r="Z149" s="10">
        <v>5.0829764652642</v>
      </c>
      <c r="AA149" s="10">
        <v>5.0829320949485197</v>
      </c>
      <c r="AB149" s="8">
        <v>161.64134009125701</v>
      </c>
      <c r="AC149" s="8">
        <v>161.59017570024801</v>
      </c>
      <c r="AD149" s="8">
        <v>161.58615385022699</v>
      </c>
      <c r="AE149" s="9">
        <v>4.4144547896095201E-4</v>
      </c>
      <c r="AF149" s="9">
        <v>1.2486501612357201E-4</v>
      </c>
      <c r="AG149" s="9">
        <v>9.9975507493718996E-5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0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0</v>
      </c>
      <c r="BX149" s="12">
        <f t="shared" si="38"/>
        <v>0</v>
      </c>
      <c r="BY149" s="12">
        <f t="shared" si="39"/>
        <v>0</v>
      </c>
    </row>
    <row r="150" spans="1:77" x14ac:dyDescent="0.3">
      <c r="A150" s="1">
        <v>46240</v>
      </c>
      <c r="B150" s="8">
        <v>32.299999999999997</v>
      </c>
      <c r="C150" s="8">
        <v>164.12</v>
      </c>
      <c r="D150" s="9">
        <v>1.5915455305899301E-2</v>
      </c>
      <c r="E150" s="9">
        <v>1.5659382285246201E-2</v>
      </c>
      <c r="F150" s="8">
        <v>0</v>
      </c>
      <c r="G150" s="8">
        <v>0.39700000000000002</v>
      </c>
      <c r="H150" s="8">
        <v>0</v>
      </c>
      <c r="I150" s="8">
        <v>2.0009999999999999</v>
      </c>
      <c r="J150" s="8">
        <v>0</v>
      </c>
      <c r="K150" s="8">
        <v>0</v>
      </c>
      <c r="L150" s="8">
        <v>32.299999999999997</v>
      </c>
      <c r="M150" s="8">
        <v>164.12</v>
      </c>
      <c r="N150" s="10">
        <v>5.0811145510835898</v>
      </c>
      <c r="O150" s="10">
        <v>5.0856511037897496</v>
      </c>
      <c r="P150" s="10">
        <v>5.0825605541796399</v>
      </c>
      <c r="Q150" s="10">
        <v>5.0827842100232203</v>
      </c>
      <c r="R150" s="8">
        <v>164.26653065240799</v>
      </c>
      <c r="S150" s="8">
        <v>164.18013982803299</v>
      </c>
      <c r="T150" s="8">
        <v>164.178706666837</v>
      </c>
      <c r="U150" s="9">
        <v>8.9242796799820199E-4</v>
      </c>
      <c r="V150" s="9">
        <v>3.6637102096983399E-4</v>
      </c>
      <c r="W150" s="9">
        <v>3.5764178335684501E-4</v>
      </c>
      <c r="X150" s="10">
        <v>5.0811145510835898</v>
      </c>
      <c r="Y150" s="10">
        <v>5.0846599588316304</v>
      </c>
      <c r="Z150" s="10">
        <v>5.0825605541796399</v>
      </c>
      <c r="AA150" s="10">
        <v>5.0827842100232203</v>
      </c>
      <c r="AB150" s="8">
        <v>164.234516670261</v>
      </c>
      <c r="AC150" s="8">
        <v>164.18013982803299</v>
      </c>
      <c r="AD150" s="8">
        <v>164.178706666837</v>
      </c>
      <c r="AE150" s="9">
        <v>6.9751849961433596E-4</v>
      </c>
      <c r="AF150" s="9">
        <v>3.66371020969612E-4</v>
      </c>
      <c r="AG150" s="9">
        <v>3.5764178335662302E-4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0</v>
      </c>
      <c r="BL150" s="9"/>
      <c r="BN150">
        <f t="shared" si="30"/>
        <v>0</v>
      </c>
      <c r="BO150">
        <f t="shared" si="31"/>
        <v>0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0</v>
      </c>
      <c r="BX150" s="12">
        <f t="shared" si="38"/>
        <v>0</v>
      </c>
      <c r="BY150" s="12">
        <f t="shared" si="39"/>
        <v>0</v>
      </c>
    </row>
    <row r="151" spans="1:77" x14ac:dyDescent="0.3">
      <c r="A151" s="1">
        <v>46241</v>
      </c>
      <c r="B151" s="8">
        <v>31.95</v>
      </c>
      <c r="C151" s="8">
        <v>162.37</v>
      </c>
      <c r="D151" s="9">
        <v>-1.0895049405066901E-2</v>
      </c>
      <c r="E151" s="9">
        <v>-1.07201859749622E-2</v>
      </c>
      <c r="F151" s="8">
        <v>0</v>
      </c>
      <c r="G151" s="8">
        <v>0.39700000000000002</v>
      </c>
      <c r="H151" s="8">
        <v>0</v>
      </c>
      <c r="I151" s="8">
        <v>2.0009999999999999</v>
      </c>
      <c r="J151" s="8">
        <v>0</v>
      </c>
      <c r="K151" s="8">
        <v>0</v>
      </c>
      <c r="L151" s="8">
        <v>31.95</v>
      </c>
      <c r="M151" s="8">
        <v>162.37</v>
      </c>
      <c r="N151" s="10">
        <v>5.0820031298904498</v>
      </c>
      <c r="O151" s="10">
        <v>5.0856511037897496</v>
      </c>
      <c r="P151" s="10">
        <v>5.0825131330297104</v>
      </c>
      <c r="Q151" s="10">
        <v>5.08279939919748</v>
      </c>
      <c r="R151" s="8">
        <v>162.48655276608201</v>
      </c>
      <c r="S151" s="8">
        <v>162.38780970603901</v>
      </c>
      <c r="T151" s="8">
        <v>162.394955510242</v>
      </c>
      <c r="U151" s="9">
        <v>7.17564537893419E-4</v>
      </c>
      <c r="V151" s="9">
        <v>1.09679924702275E-4</v>
      </c>
      <c r="W151" s="9">
        <v>1.5368351706558601E-4</v>
      </c>
      <c r="X151" s="10">
        <v>5.0820031298904498</v>
      </c>
      <c r="Y151" s="10">
        <v>5.0846599588316304</v>
      </c>
      <c r="Z151" s="10">
        <v>5.0825131330297104</v>
      </c>
      <c r="AA151" s="10">
        <v>5.08279939919748</v>
      </c>
      <c r="AB151" s="8">
        <v>162.45488568466999</v>
      </c>
      <c r="AC151" s="8">
        <v>162.38780970603901</v>
      </c>
      <c r="AD151" s="8">
        <v>162.394955510242</v>
      </c>
      <c r="AE151" s="9">
        <v>5.22655069509628E-4</v>
      </c>
      <c r="AF151" s="9">
        <v>1.09679924702053E-4</v>
      </c>
      <c r="AG151" s="9">
        <v>1.5368351706558601E-4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0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0</v>
      </c>
      <c r="BX151" s="12">
        <f t="shared" ref="BX151:BX167" si="58">BI151+BU151</f>
        <v>0</v>
      </c>
      <c r="BY151" s="12">
        <f t="shared" ref="BY151:BY167" si="59">BY150+BX151</f>
        <v>0</v>
      </c>
    </row>
    <row r="152" spans="1:77" x14ac:dyDescent="0.3">
      <c r="A152" s="1">
        <v>46244</v>
      </c>
      <c r="B152" s="8">
        <v>33.450000000000003</v>
      </c>
      <c r="C152" s="8">
        <v>170.07</v>
      </c>
      <c r="D152" s="9">
        <v>4.5879605750693601E-2</v>
      </c>
      <c r="E152" s="9">
        <v>4.63324354052988E-2</v>
      </c>
      <c r="F152" s="8">
        <v>0</v>
      </c>
      <c r="G152" s="8">
        <v>0.39700000000000002</v>
      </c>
      <c r="H152" s="8">
        <v>0</v>
      </c>
      <c r="I152" s="8">
        <v>2.0009999999999999</v>
      </c>
      <c r="J152" s="8">
        <v>0</v>
      </c>
      <c r="K152" s="8">
        <v>0</v>
      </c>
      <c r="L152" s="8">
        <v>33.450000000000003</v>
      </c>
      <c r="M152" s="8">
        <v>170.07</v>
      </c>
      <c r="N152" s="10">
        <v>5.0843049327354199</v>
      </c>
      <c r="O152" s="10">
        <v>5.0856511037897496</v>
      </c>
      <c r="P152" s="10">
        <v>5.0828522118498896</v>
      </c>
      <c r="Q152" s="10">
        <v>5.0828889714451702</v>
      </c>
      <c r="R152" s="8">
        <v>170.11502942176699</v>
      </c>
      <c r="S152" s="8">
        <v>170.010064299844</v>
      </c>
      <c r="T152" s="8">
        <v>170.01963990315599</v>
      </c>
      <c r="U152" s="9">
        <v>2.6473488328825599E-4</v>
      </c>
      <c r="V152" s="9">
        <v>-3.5247994262688898E-4</v>
      </c>
      <c r="W152" s="9">
        <v>-2.9615778490868798E-4</v>
      </c>
      <c r="X152" s="10">
        <v>5.0843049327354199</v>
      </c>
      <c r="Y152" s="10">
        <v>5.0846599588316304</v>
      </c>
      <c r="Z152" s="10">
        <v>5.0828522118498896</v>
      </c>
      <c r="AA152" s="10">
        <v>5.0828889714451702</v>
      </c>
      <c r="AB152" s="8">
        <v>170.08187562291801</v>
      </c>
      <c r="AC152" s="8">
        <v>170.010064299844</v>
      </c>
      <c r="AD152" s="8">
        <v>170.01963990315599</v>
      </c>
      <c r="AE152" s="9">
        <v>6.9825414904530806E-5</v>
      </c>
      <c r="AF152" s="9">
        <v>-3.52479942627E-4</v>
      </c>
      <c r="AG152" s="9">
        <v>-2.9615778490868798E-4</v>
      </c>
      <c r="AZ152" s="9"/>
      <c r="BB152">
        <f t="shared" si="42"/>
        <v>0</v>
      </c>
      <c r="BC152">
        <f t="shared" si="43"/>
        <v>0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0</v>
      </c>
      <c r="BL152" s="9"/>
      <c r="BN152">
        <f t="shared" si="50"/>
        <v>0</v>
      </c>
      <c r="BO152">
        <f t="shared" si="51"/>
        <v>1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0</v>
      </c>
      <c r="BX152" s="12">
        <f t="shared" si="58"/>
        <v>0</v>
      </c>
      <c r="BY152" s="12">
        <f t="shared" si="59"/>
        <v>0</v>
      </c>
    </row>
    <row r="153" spans="1:77" x14ac:dyDescent="0.3">
      <c r="A153" s="1">
        <v>46245</v>
      </c>
      <c r="B153" s="8">
        <v>33.82</v>
      </c>
      <c r="C153" s="8">
        <v>171.96</v>
      </c>
      <c r="D153" s="9">
        <v>1.1000556896196599E-2</v>
      </c>
      <c r="E153" s="9">
        <v>1.1051774623758901E-2</v>
      </c>
      <c r="F153" s="8">
        <v>0</v>
      </c>
      <c r="G153" s="8">
        <v>0.39700000000000002</v>
      </c>
      <c r="H153" s="8">
        <v>0</v>
      </c>
      <c r="I153" s="8">
        <v>2.0009999999999999</v>
      </c>
      <c r="J153" s="8">
        <v>0</v>
      </c>
      <c r="K153" s="8">
        <v>0</v>
      </c>
      <c r="L153" s="8">
        <v>33.82</v>
      </c>
      <c r="M153" s="8">
        <v>171.96</v>
      </c>
      <c r="N153" s="10">
        <v>5.08456534594914</v>
      </c>
      <c r="O153" s="10">
        <v>5.0856511037897496</v>
      </c>
      <c r="P153" s="10">
        <v>5.08324979379507</v>
      </c>
      <c r="Q153" s="10">
        <v>5.0829150270522696</v>
      </c>
      <c r="R153" s="8">
        <v>171.99672033016901</v>
      </c>
      <c r="S153" s="8">
        <v>171.90206180476301</v>
      </c>
      <c r="T153" s="8">
        <v>171.90330501427499</v>
      </c>
      <c r="U153" s="9">
        <v>2.1351715572601301E-4</v>
      </c>
      <c r="V153" s="9">
        <v>-3.3698510083270502E-4</v>
      </c>
      <c r="W153" s="9">
        <v>-3.2975304669679098E-4</v>
      </c>
      <c r="X153" s="10">
        <v>5.08456534594914</v>
      </c>
      <c r="Y153" s="10">
        <v>5.0846599588316304</v>
      </c>
      <c r="Z153" s="10">
        <v>5.08324979379507</v>
      </c>
      <c r="AA153" s="10">
        <v>5.0829150270522696</v>
      </c>
      <c r="AB153" s="8">
        <v>171.96319980768499</v>
      </c>
      <c r="AC153" s="8">
        <v>171.90206180476301</v>
      </c>
      <c r="AD153" s="8">
        <v>171.90330501427499</v>
      </c>
      <c r="AE153" s="9">
        <v>1.8607687342391699E-5</v>
      </c>
      <c r="AF153" s="9">
        <v>-3.36985100832594E-4</v>
      </c>
      <c r="AG153" s="9">
        <v>-3.2975304669679098E-4</v>
      </c>
      <c r="AZ153" s="9"/>
      <c r="BB153">
        <f t="shared" si="42"/>
        <v>0</v>
      </c>
      <c r="BC153">
        <f t="shared" si="43"/>
        <v>0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0</v>
      </c>
      <c r="BL153" s="9"/>
      <c r="BN153">
        <f t="shared" si="50"/>
        <v>0</v>
      </c>
      <c r="BO153">
        <f t="shared" si="51"/>
        <v>1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0</v>
      </c>
      <c r="BX153" s="12">
        <f t="shared" si="58"/>
        <v>0</v>
      </c>
      <c r="BY153" s="12">
        <f t="shared" si="59"/>
        <v>0</v>
      </c>
    </row>
    <row r="154" spans="1:77" x14ac:dyDescent="0.3">
      <c r="A154" s="1">
        <v>46246</v>
      </c>
      <c r="B154" s="8">
        <v>33.89</v>
      </c>
      <c r="C154" s="8">
        <v>172.29</v>
      </c>
      <c r="D154" s="9">
        <v>2.0676421485256499E-3</v>
      </c>
      <c r="E154" s="9">
        <v>1.9172119162339399E-3</v>
      </c>
      <c r="F154" s="8">
        <v>0</v>
      </c>
      <c r="G154" s="8">
        <v>0.39700000000000002</v>
      </c>
      <c r="H154" s="8">
        <v>0</v>
      </c>
      <c r="I154" s="8">
        <v>2.0009999999999999</v>
      </c>
      <c r="J154" s="8">
        <v>0</v>
      </c>
      <c r="K154" s="8">
        <v>0</v>
      </c>
      <c r="L154" s="8">
        <v>33.89</v>
      </c>
      <c r="M154" s="8">
        <v>172.29</v>
      </c>
      <c r="N154" s="10">
        <v>5.0838005311301204</v>
      </c>
      <c r="O154" s="10">
        <v>5.0856511037897496</v>
      </c>
      <c r="P154" s="10">
        <v>5.0831938863169501</v>
      </c>
      <c r="Q154" s="10">
        <v>5.0830897572416598</v>
      </c>
      <c r="R154" s="8">
        <v>172.352715907434</v>
      </c>
      <c r="S154" s="8">
        <v>172.27133551171499</v>
      </c>
      <c r="T154" s="8">
        <v>172.259990266801</v>
      </c>
      <c r="U154" s="9">
        <v>3.6394738801794302E-4</v>
      </c>
      <c r="V154" s="9">
        <v>-1.08337682609963E-4</v>
      </c>
      <c r="W154" s="9">
        <v>-1.7419668624082599E-4</v>
      </c>
      <c r="X154" s="10">
        <v>5.0838005311301204</v>
      </c>
      <c r="Y154" s="10">
        <v>5.0846599588316304</v>
      </c>
      <c r="Z154" s="10">
        <v>5.0831938863169501</v>
      </c>
      <c r="AA154" s="10">
        <v>5.0830897572416598</v>
      </c>
      <c r="AB154" s="8">
        <v>172.31912600480399</v>
      </c>
      <c r="AC154" s="8">
        <v>172.27133551171499</v>
      </c>
      <c r="AD154" s="8">
        <v>172.259990266801</v>
      </c>
      <c r="AE154" s="9">
        <v>1.6903791963412699E-4</v>
      </c>
      <c r="AF154" s="9">
        <v>-1.08337682609963E-4</v>
      </c>
      <c r="AG154" s="9">
        <v>-1.7419668624082599E-4</v>
      </c>
      <c r="AZ154" s="9"/>
      <c r="BB154">
        <f t="shared" si="42"/>
        <v>0</v>
      </c>
      <c r="BC154">
        <f t="shared" si="43"/>
        <v>0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0</v>
      </c>
      <c r="BL154" s="9"/>
      <c r="BN154">
        <f t="shared" si="50"/>
        <v>0</v>
      </c>
      <c r="BO154">
        <f t="shared" si="51"/>
        <v>1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0</v>
      </c>
      <c r="BX154" s="12">
        <f t="shared" si="58"/>
        <v>0</v>
      </c>
      <c r="BY154" s="12">
        <f t="shared" si="59"/>
        <v>0</v>
      </c>
    </row>
    <row r="155" spans="1:77" x14ac:dyDescent="0.3">
      <c r="A155" s="1">
        <v>46247</v>
      </c>
      <c r="B155" s="8">
        <v>33.89</v>
      </c>
      <c r="C155" s="8">
        <v>172.3</v>
      </c>
      <c r="D155" s="9">
        <v>0</v>
      </c>
      <c r="E155" s="9">
        <v>5.80399895692014E-5</v>
      </c>
      <c r="F155" s="8">
        <v>0</v>
      </c>
      <c r="G155" s="8">
        <v>0.39700000000000002</v>
      </c>
      <c r="H155" s="8">
        <v>0</v>
      </c>
      <c r="I155" s="8">
        <v>2.0009999999999999</v>
      </c>
      <c r="J155" s="8">
        <v>0</v>
      </c>
      <c r="K155" s="8">
        <v>0</v>
      </c>
      <c r="L155" s="8">
        <v>33.89</v>
      </c>
      <c r="M155" s="8">
        <v>172.3</v>
      </c>
      <c r="N155" s="10">
        <v>5.0840956034228304</v>
      </c>
      <c r="O155" s="10">
        <v>5.0856511037897496</v>
      </c>
      <c r="P155" s="10">
        <v>5.0832573751214802</v>
      </c>
      <c r="Q155" s="10">
        <v>5.0831687075044902</v>
      </c>
      <c r="R155" s="8">
        <v>172.352715907434</v>
      </c>
      <c r="S155" s="8">
        <v>172.269440807281</v>
      </c>
      <c r="T155" s="8">
        <v>172.26591187291999</v>
      </c>
      <c r="U155" s="9">
        <v>3.0590739844880001E-4</v>
      </c>
      <c r="V155" s="9">
        <v>-1.77376105826278E-4</v>
      </c>
      <c r="W155" s="9">
        <v>-1.9786128584756E-4</v>
      </c>
      <c r="X155" s="10">
        <v>5.0840956034228304</v>
      </c>
      <c r="Y155" s="10">
        <v>5.0846599588316304</v>
      </c>
      <c r="Z155" s="10">
        <v>5.0832573751214802</v>
      </c>
      <c r="AA155" s="10">
        <v>5.0831687075044902</v>
      </c>
      <c r="AB155" s="8">
        <v>172.31912600480399</v>
      </c>
      <c r="AC155" s="8">
        <v>172.269440807281</v>
      </c>
      <c r="AD155" s="8">
        <v>172.26591187291999</v>
      </c>
      <c r="AE155" s="9">
        <v>1.109979300648E-4</v>
      </c>
      <c r="AF155" s="9">
        <v>-1.77376105826278E-4</v>
      </c>
      <c r="AG155" s="9">
        <v>-1.9786128584756E-4</v>
      </c>
      <c r="AZ155" s="9"/>
      <c r="BB155">
        <f t="shared" si="42"/>
        <v>0</v>
      </c>
      <c r="BC155">
        <f t="shared" si="43"/>
        <v>0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0</v>
      </c>
      <c r="BL155" s="9"/>
      <c r="BN155">
        <f t="shared" si="50"/>
        <v>0</v>
      </c>
      <c r="BO155">
        <f t="shared" si="51"/>
        <v>1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0</v>
      </c>
      <c r="BX155" s="12">
        <f t="shared" si="58"/>
        <v>0</v>
      </c>
      <c r="BY155" s="12">
        <f t="shared" si="59"/>
        <v>0</v>
      </c>
    </row>
    <row r="156" spans="1:77" x14ac:dyDescent="0.3">
      <c r="A156" s="1">
        <v>46248</v>
      </c>
      <c r="B156" s="8">
        <v>34.369999999999997</v>
      </c>
      <c r="C156" s="8">
        <v>174.68</v>
      </c>
      <c r="D156" s="9">
        <v>1.4064105242782499E-2</v>
      </c>
      <c r="E156" s="9">
        <v>1.3718585083476301E-2</v>
      </c>
      <c r="F156" s="8">
        <v>0</v>
      </c>
      <c r="G156" s="8">
        <v>0.39700000000000002</v>
      </c>
      <c r="H156" s="8">
        <v>0</v>
      </c>
      <c r="I156" s="8">
        <v>2.0009999999999999</v>
      </c>
      <c r="J156" s="8">
        <v>0</v>
      </c>
      <c r="K156" s="8">
        <v>0</v>
      </c>
      <c r="L156" s="8">
        <v>34.369999999999997</v>
      </c>
      <c r="M156" s="8">
        <v>174.68</v>
      </c>
      <c r="N156" s="10">
        <v>5.0823392493453596</v>
      </c>
      <c r="O156" s="10">
        <v>5.0856511037897496</v>
      </c>
      <c r="P156" s="10">
        <v>5.0832613454417901</v>
      </c>
      <c r="Q156" s="10">
        <v>5.0831007855245298</v>
      </c>
      <c r="R156" s="8">
        <v>174.79382843725301</v>
      </c>
      <c r="S156" s="8">
        <v>174.71155598292501</v>
      </c>
      <c r="T156" s="8">
        <v>174.70850847692901</v>
      </c>
      <c r="U156" s="9">
        <v>6.5142755775486995E-4</v>
      </c>
      <c r="V156" s="9">
        <v>1.8063391899867499E-4</v>
      </c>
      <c r="W156" s="9">
        <v>1.6319069632198099E-4</v>
      </c>
      <c r="X156" s="10">
        <v>5.0823392493453596</v>
      </c>
      <c r="Y156" s="10">
        <v>5.0846599588316304</v>
      </c>
      <c r="Z156" s="10">
        <v>5.0832613454417901</v>
      </c>
      <c r="AA156" s="10">
        <v>5.0831007855245396</v>
      </c>
      <c r="AB156" s="8">
        <v>174.75976278504299</v>
      </c>
      <c r="AC156" s="8">
        <v>174.71155598292501</v>
      </c>
      <c r="AD156" s="8">
        <v>174.70850847692901</v>
      </c>
      <c r="AE156" s="9">
        <v>4.5651808937113001E-4</v>
      </c>
      <c r="AF156" s="9">
        <v>1.8063391899867499E-4</v>
      </c>
      <c r="AG156" s="9">
        <v>1.6319069632198099E-4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0</v>
      </c>
      <c r="BL156" s="9"/>
      <c r="BN156">
        <f t="shared" si="50"/>
        <v>0</v>
      </c>
      <c r="BO156">
        <f t="shared" si="51"/>
        <v>0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0</v>
      </c>
      <c r="BX156" s="12">
        <f t="shared" si="58"/>
        <v>0</v>
      </c>
      <c r="BY156" s="12">
        <f t="shared" si="59"/>
        <v>0</v>
      </c>
    </row>
    <row r="157" spans="1:77" x14ac:dyDescent="0.3">
      <c r="A157" s="1">
        <v>46251</v>
      </c>
      <c r="B157" s="8">
        <v>34.74</v>
      </c>
      <c r="C157" s="8">
        <v>176.62</v>
      </c>
      <c r="D157" s="9">
        <v>1.07076699512164E-2</v>
      </c>
      <c r="E157" s="9">
        <v>1.1044803423296E-2</v>
      </c>
      <c r="F157" s="8">
        <v>0</v>
      </c>
      <c r="G157" s="8">
        <v>0.39700000000000002</v>
      </c>
      <c r="H157" s="8">
        <v>0</v>
      </c>
      <c r="I157" s="8">
        <v>2.0009999999999999</v>
      </c>
      <c r="J157" s="8">
        <v>0</v>
      </c>
      <c r="K157" s="8">
        <v>0</v>
      </c>
      <c r="L157" s="8">
        <v>34.74</v>
      </c>
      <c r="M157" s="8">
        <v>176.62</v>
      </c>
      <c r="N157" s="10">
        <v>5.0840529648819803</v>
      </c>
      <c r="O157" s="10">
        <v>5.0856511037897496</v>
      </c>
      <c r="P157" s="10">
        <v>5.0833307547096398</v>
      </c>
      <c r="Q157" s="10">
        <v>5.08313676710197</v>
      </c>
      <c r="R157" s="8">
        <v>176.675519345655</v>
      </c>
      <c r="S157" s="8">
        <v>176.59249914064799</v>
      </c>
      <c r="T157" s="8">
        <v>176.58692128912199</v>
      </c>
      <c r="U157" s="9">
        <v>3.1429408567534698E-4</v>
      </c>
      <c r="V157" s="9">
        <v>-1.55718495095349E-4</v>
      </c>
      <c r="W157" s="9">
        <v>-1.8730499874414301E-4</v>
      </c>
      <c r="X157" s="10">
        <v>5.0840529648819803</v>
      </c>
      <c r="Y157" s="10">
        <v>5.0846599588316304</v>
      </c>
      <c r="Z157" s="10">
        <v>5.0833307547096398</v>
      </c>
      <c r="AA157" s="10">
        <v>5.08313676710197</v>
      </c>
      <c r="AB157" s="8">
        <v>176.64108696981</v>
      </c>
      <c r="AC157" s="8">
        <v>176.59249914064799</v>
      </c>
      <c r="AD157" s="8">
        <v>176.58692128912199</v>
      </c>
      <c r="AE157" s="9">
        <v>1.19384617291594E-4</v>
      </c>
      <c r="AF157" s="9">
        <v>-1.5571849509557099E-4</v>
      </c>
      <c r="AG157" s="9">
        <v>-1.8730499874380899E-4</v>
      </c>
      <c r="BB157">
        <f t="shared" si="42"/>
        <v>0</v>
      </c>
      <c r="BC157">
        <f t="shared" si="43"/>
        <v>0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0</v>
      </c>
      <c r="BL157" s="9"/>
      <c r="BN157">
        <f t="shared" si="50"/>
        <v>0</v>
      </c>
      <c r="BO157">
        <f t="shared" si="51"/>
        <v>1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0</v>
      </c>
      <c r="BX157" s="12">
        <f t="shared" si="58"/>
        <v>0</v>
      </c>
      <c r="BY157" s="12">
        <f t="shared" si="59"/>
        <v>0</v>
      </c>
    </row>
    <row r="158" spans="1:77" x14ac:dyDescent="0.3">
      <c r="A158" s="1">
        <v>46252</v>
      </c>
      <c r="B158" s="8">
        <v>35.24</v>
      </c>
      <c r="C158" s="8">
        <v>179.21</v>
      </c>
      <c r="D158" s="9">
        <v>1.4290040255019801E-2</v>
      </c>
      <c r="E158" s="9">
        <v>1.4557770514640999E-2</v>
      </c>
      <c r="F158" s="8">
        <v>0</v>
      </c>
      <c r="G158" s="8">
        <v>0.39700000000000002</v>
      </c>
      <c r="H158" s="8">
        <v>0</v>
      </c>
      <c r="I158" s="8">
        <v>2.0009999999999999</v>
      </c>
      <c r="J158" s="8">
        <v>0</v>
      </c>
      <c r="K158" s="8">
        <v>0</v>
      </c>
      <c r="L158" s="8">
        <v>35.24</v>
      </c>
      <c r="M158" s="8">
        <v>179.21</v>
      </c>
      <c r="N158" s="10">
        <v>5.0854143019296201</v>
      </c>
      <c r="O158" s="10">
        <v>5.0856511037897496</v>
      </c>
      <c r="P158" s="10">
        <v>5.0834106464410604</v>
      </c>
      <c r="Q158" s="10">
        <v>5.0832305780215403</v>
      </c>
      <c r="R158" s="8">
        <v>179.21834489755</v>
      </c>
      <c r="S158" s="8">
        <v>179.13657579596699</v>
      </c>
      <c r="T158" s="8">
        <v>179.129739672673</v>
      </c>
      <c r="U158" s="9">
        <v>4.6563826054194097E-5</v>
      </c>
      <c r="V158" s="9">
        <v>-4.0979437236997101E-4</v>
      </c>
      <c r="W158" s="9">
        <v>-4.4795661648879697E-4</v>
      </c>
      <c r="X158" s="10">
        <v>5.0854143019296201</v>
      </c>
      <c r="Y158" s="10">
        <v>5.0846599588316304</v>
      </c>
      <c r="Z158" s="10">
        <v>5.0834106464410604</v>
      </c>
      <c r="AA158" s="10">
        <v>5.0832305780215403</v>
      </c>
      <c r="AB158" s="8">
        <v>179.183416949226</v>
      </c>
      <c r="AC158" s="8">
        <v>179.13657579596699</v>
      </c>
      <c r="AD158" s="8">
        <v>179.129739672673</v>
      </c>
      <c r="AE158" s="9">
        <v>-1.4834564232963499E-4</v>
      </c>
      <c r="AF158" s="9">
        <v>-4.0979437236985999E-4</v>
      </c>
      <c r="AG158" s="9">
        <v>-4.4795661648879697E-4</v>
      </c>
      <c r="BB158">
        <f t="shared" si="42"/>
        <v>0</v>
      </c>
      <c r="BC158">
        <f t="shared" si="43"/>
        <v>0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0</v>
      </c>
      <c r="BL158" s="9"/>
      <c r="BN158">
        <f t="shared" si="50"/>
        <v>0</v>
      </c>
      <c r="BO158">
        <f t="shared" si="51"/>
        <v>1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0</v>
      </c>
      <c r="BX158" s="12">
        <f t="shared" si="58"/>
        <v>0</v>
      </c>
      <c r="BY158" s="12">
        <f t="shared" si="59"/>
        <v>0</v>
      </c>
    </row>
    <row r="159" spans="1:77" x14ac:dyDescent="0.3">
      <c r="A159" s="1">
        <v>46253</v>
      </c>
      <c r="B159" s="8">
        <v>35.22</v>
      </c>
      <c r="C159" s="8">
        <v>179.06</v>
      </c>
      <c r="D159" s="9">
        <v>-5.6769799991880296E-4</v>
      </c>
      <c r="E159" s="9">
        <v>-8.3735734928741599E-4</v>
      </c>
      <c r="F159" s="8">
        <v>0</v>
      </c>
      <c r="G159" s="8">
        <v>0.39700000000000002</v>
      </c>
      <c r="H159" s="8">
        <v>0</v>
      </c>
      <c r="I159" s="8">
        <v>2.0009999999999999</v>
      </c>
      <c r="J159" s="8">
        <v>0</v>
      </c>
      <c r="K159" s="8">
        <v>0</v>
      </c>
      <c r="L159" s="8">
        <v>35.22</v>
      </c>
      <c r="M159" s="8">
        <v>179.06</v>
      </c>
      <c r="N159" s="10">
        <v>5.08404315729699</v>
      </c>
      <c r="O159" s="10">
        <v>5.0856511037897496</v>
      </c>
      <c r="P159" s="10">
        <v>5.0835733767665499</v>
      </c>
      <c r="Q159" s="10">
        <v>5.0832749210153798</v>
      </c>
      <c r="R159" s="8">
        <v>179.11663187547501</v>
      </c>
      <c r="S159" s="8">
        <v>179.03772296765399</v>
      </c>
      <c r="T159" s="8">
        <v>179.031380957918</v>
      </c>
      <c r="U159" s="9">
        <v>3.1622317542288902E-4</v>
      </c>
      <c r="V159" s="9">
        <v>-1.2441873234874E-4</v>
      </c>
      <c r="W159" s="9">
        <v>-1.5984211664336499E-4</v>
      </c>
      <c r="X159" s="10">
        <v>5.08404315729699</v>
      </c>
      <c r="Y159" s="10">
        <v>5.0846599588316304</v>
      </c>
      <c r="Z159" s="10">
        <v>5.0835733767665499</v>
      </c>
      <c r="AA159" s="10">
        <v>5.0832749210153798</v>
      </c>
      <c r="AB159" s="8">
        <v>179.08172375005</v>
      </c>
      <c r="AC159" s="8">
        <v>179.03772296765399</v>
      </c>
      <c r="AD159" s="8">
        <v>179.031380957918</v>
      </c>
      <c r="AE159" s="9">
        <v>1.2131370703906299E-4</v>
      </c>
      <c r="AF159" s="9">
        <v>-1.2441873234874E-4</v>
      </c>
      <c r="AG159" s="9">
        <v>-1.5984211664336499E-4</v>
      </c>
      <c r="BB159">
        <f t="shared" si="42"/>
        <v>0</v>
      </c>
      <c r="BC159">
        <f t="shared" si="43"/>
        <v>0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0</v>
      </c>
      <c r="BL159" s="9"/>
      <c r="BN159">
        <f t="shared" si="50"/>
        <v>0</v>
      </c>
      <c r="BO159">
        <f t="shared" si="51"/>
        <v>1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0</v>
      </c>
      <c r="BX159" s="12">
        <f t="shared" si="58"/>
        <v>0</v>
      </c>
      <c r="BY159" s="12">
        <f t="shared" si="59"/>
        <v>0</v>
      </c>
    </row>
    <row r="160" spans="1:77" x14ac:dyDescent="0.3">
      <c r="A160" s="1">
        <v>46254</v>
      </c>
      <c r="B160" s="8">
        <v>35.35</v>
      </c>
      <c r="C160" s="8">
        <v>179.72</v>
      </c>
      <c r="D160" s="9">
        <v>3.6842892745217399E-3</v>
      </c>
      <c r="E160" s="9">
        <v>3.6791389959492399E-3</v>
      </c>
      <c r="F160" s="8">
        <v>0</v>
      </c>
      <c r="G160" s="8">
        <v>0.39700000000000002</v>
      </c>
      <c r="H160" s="8">
        <v>0</v>
      </c>
      <c r="I160" s="8">
        <v>2.0009999999999999</v>
      </c>
      <c r="J160" s="8">
        <v>0</v>
      </c>
      <c r="K160" s="8">
        <v>0</v>
      </c>
      <c r="L160" s="8">
        <v>35.35</v>
      </c>
      <c r="M160" s="8">
        <v>179.72</v>
      </c>
      <c r="N160" s="10">
        <v>5.0840169731258804</v>
      </c>
      <c r="O160" s="10">
        <v>5.0856511037897496</v>
      </c>
      <c r="P160" s="10">
        <v>5.0838636189707804</v>
      </c>
      <c r="Q160" s="10">
        <v>5.0832120865752097</v>
      </c>
      <c r="R160" s="8">
        <v>179.77776651896701</v>
      </c>
      <c r="S160" s="8">
        <v>179.70431886869699</v>
      </c>
      <c r="T160" s="8">
        <v>179.69376845789299</v>
      </c>
      <c r="U160" s="9">
        <v>3.2137345399525698E-4</v>
      </c>
      <c r="V160" s="9">
        <v>-8.7256929979758396E-5</v>
      </c>
      <c r="W160" s="9">
        <v>-1.4596848788165799E-4</v>
      </c>
      <c r="X160" s="10">
        <v>5.0840169731258804</v>
      </c>
      <c r="Y160" s="10">
        <v>5.0846599588316304</v>
      </c>
      <c r="Z160" s="10">
        <v>5.0838636189707804</v>
      </c>
      <c r="AA160" s="10">
        <v>5.0832120865752097</v>
      </c>
      <c r="AB160" s="8">
        <v>179.74272954469799</v>
      </c>
      <c r="AC160" s="8">
        <v>179.70431886869699</v>
      </c>
      <c r="AD160" s="8">
        <v>179.69376845789299</v>
      </c>
      <c r="AE160" s="9">
        <v>1.2646398561131801E-4</v>
      </c>
      <c r="AF160" s="9">
        <v>-8.7256929979758396E-5</v>
      </c>
      <c r="AG160" s="9">
        <v>-1.45968487881436E-4</v>
      </c>
      <c r="BB160">
        <f t="shared" si="42"/>
        <v>0</v>
      </c>
      <c r="BC160">
        <f t="shared" si="43"/>
        <v>0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0</v>
      </c>
      <c r="BL160" s="9"/>
      <c r="BN160">
        <f t="shared" si="50"/>
        <v>0</v>
      </c>
      <c r="BO160">
        <f t="shared" si="51"/>
        <v>1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0</v>
      </c>
      <c r="BX160" s="12">
        <f t="shared" si="58"/>
        <v>0</v>
      </c>
      <c r="BY160" s="12">
        <f t="shared" si="59"/>
        <v>0</v>
      </c>
    </row>
    <row r="161" spans="1:77" x14ac:dyDescent="0.3">
      <c r="A161" s="1">
        <v>46255</v>
      </c>
      <c r="B161" s="8">
        <v>35.32</v>
      </c>
      <c r="C161" s="8">
        <v>179.58</v>
      </c>
      <c r="D161" s="9">
        <v>-8.4901660682248296E-4</v>
      </c>
      <c r="E161" s="9">
        <v>-7.7929310929654102E-4</v>
      </c>
      <c r="F161" s="8">
        <v>0</v>
      </c>
      <c r="G161" s="8">
        <v>0.39700000000000002</v>
      </c>
      <c r="H161" s="8">
        <v>0</v>
      </c>
      <c r="I161" s="8">
        <v>2.0009999999999999</v>
      </c>
      <c r="J161" s="8">
        <v>0</v>
      </c>
      <c r="K161" s="8">
        <v>0</v>
      </c>
      <c r="L161" s="8">
        <v>35.32</v>
      </c>
      <c r="M161" s="8">
        <v>179.58</v>
      </c>
      <c r="N161" s="10">
        <v>5.0843714609286499</v>
      </c>
      <c r="O161" s="10">
        <v>5.0856511037897496</v>
      </c>
      <c r="P161" s="10">
        <v>5.0841004520746003</v>
      </c>
      <c r="Q161" s="10">
        <v>5.0833067925521496</v>
      </c>
      <c r="R161" s="8">
        <v>179.62519698585399</v>
      </c>
      <c r="S161" s="8">
        <v>179.56206302204799</v>
      </c>
      <c r="T161" s="8">
        <v>179.53905089783601</v>
      </c>
      <c r="U161" s="9">
        <v>2.5164995646930898E-4</v>
      </c>
      <c r="V161" s="9">
        <v>-9.9887926331724706E-5</v>
      </c>
      <c r="W161" s="9">
        <v>-2.28053077320915E-4</v>
      </c>
      <c r="X161" s="10">
        <v>5.0843714609286499</v>
      </c>
      <c r="Y161" s="10">
        <v>5.0846599588316304</v>
      </c>
      <c r="Z161" s="10">
        <v>5.0841004520746003</v>
      </c>
      <c r="AA161" s="10">
        <v>5.0833067925521602</v>
      </c>
      <c r="AB161" s="8">
        <v>179.590189745933</v>
      </c>
      <c r="AC161" s="8">
        <v>179.56206302204799</v>
      </c>
      <c r="AD161" s="8">
        <v>179.53905089783601</v>
      </c>
      <c r="AE161" s="9">
        <v>5.6740488085502498E-5</v>
      </c>
      <c r="AF161" s="9">
        <v>-9.9887926331724706E-5</v>
      </c>
      <c r="AG161" s="9">
        <v>-2.28053077320915E-4</v>
      </c>
      <c r="BB161">
        <f t="shared" si="42"/>
        <v>0</v>
      </c>
      <c r="BC161">
        <f t="shared" si="43"/>
        <v>0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0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0</v>
      </c>
      <c r="BX161" s="12">
        <f t="shared" si="58"/>
        <v>0</v>
      </c>
      <c r="BY161" s="12">
        <f t="shared" si="59"/>
        <v>0</v>
      </c>
    </row>
    <row r="162" spans="1:77" x14ac:dyDescent="0.3">
      <c r="A162" s="1">
        <v>46258</v>
      </c>
      <c r="B162" s="8">
        <v>35.020000000000003</v>
      </c>
      <c r="C162" s="8">
        <v>177.87</v>
      </c>
      <c r="D162" s="9">
        <v>-8.5300488780533402E-3</v>
      </c>
      <c r="E162" s="9">
        <v>-9.5678447052765601E-3</v>
      </c>
      <c r="F162" s="8">
        <v>0</v>
      </c>
      <c r="G162" s="8">
        <v>0.39700000000000002</v>
      </c>
      <c r="H162" s="8">
        <v>0</v>
      </c>
      <c r="I162" s="8">
        <v>2.0009999999999999</v>
      </c>
      <c r="J162" s="8">
        <v>0</v>
      </c>
      <c r="K162" s="8">
        <v>0</v>
      </c>
      <c r="L162" s="8">
        <v>35.020000000000003</v>
      </c>
      <c r="M162" s="8">
        <v>177.87</v>
      </c>
      <c r="N162" s="10">
        <v>5.07909765848086</v>
      </c>
      <c r="O162" s="10">
        <v>5.0856511037897496</v>
      </c>
      <c r="P162" s="10">
        <v>5.0835797246491401</v>
      </c>
      <c r="Q162" s="10">
        <v>5.0832159682495197</v>
      </c>
      <c r="R162" s="8">
        <v>178.09950165471699</v>
      </c>
      <c r="S162" s="8">
        <v>178.04519783165199</v>
      </c>
      <c r="T162" s="8">
        <v>178.017403875176</v>
      </c>
      <c r="U162" s="9">
        <v>1.28944578369248E-3</v>
      </c>
      <c r="V162" s="9">
        <v>9.8449207491256596E-4</v>
      </c>
      <c r="W162" s="9">
        <v>8.2837370472047705E-4</v>
      </c>
      <c r="X162" s="10">
        <v>5.07909765848086</v>
      </c>
      <c r="Y162" s="10">
        <v>5.0846599588316304</v>
      </c>
      <c r="Z162" s="10">
        <v>5.0835797246491401</v>
      </c>
      <c r="AA162" s="10">
        <v>5.0832159682495197</v>
      </c>
      <c r="AB162" s="8">
        <v>178.06479175828301</v>
      </c>
      <c r="AC162" s="8">
        <v>178.04519783165199</v>
      </c>
      <c r="AD162" s="8">
        <v>178.017403875176</v>
      </c>
      <c r="AE162" s="9">
        <v>1.0945363153086001E-3</v>
      </c>
      <c r="AF162" s="9">
        <v>9.8449207491256596E-4</v>
      </c>
      <c r="AG162" s="9">
        <v>8.2837370472047705E-4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0</v>
      </c>
      <c r="BL162" s="9"/>
      <c r="BN162">
        <f t="shared" si="50"/>
        <v>0</v>
      </c>
      <c r="BO162">
        <f t="shared" si="51"/>
        <v>0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0</v>
      </c>
      <c r="BX162" s="12">
        <f t="shared" si="58"/>
        <v>0</v>
      </c>
      <c r="BY162" s="12">
        <f t="shared" si="59"/>
        <v>0</v>
      </c>
    </row>
    <row r="163" spans="1:77" x14ac:dyDescent="0.3">
      <c r="A163" s="1">
        <v>46259</v>
      </c>
      <c r="B163" s="8">
        <v>34.47</v>
      </c>
      <c r="C163" s="8">
        <v>175.13</v>
      </c>
      <c r="D163" s="9">
        <v>-1.5829946328931799E-2</v>
      </c>
      <c r="E163" s="9">
        <v>-1.5524391102812901E-2</v>
      </c>
      <c r="F163" s="8">
        <v>0</v>
      </c>
      <c r="G163" s="8">
        <v>0.39700000000000002</v>
      </c>
      <c r="H163" s="8">
        <v>0</v>
      </c>
      <c r="I163" s="8">
        <v>2.0009999999999999</v>
      </c>
      <c r="J163" s="8">
        <v>0</v>
      </c>
      <c r="K163" s="8">
        <v>0</v>
      </c>
      <c r="L163" s="8">
        <v>34.47</v>
      </c>
      <c r="M163" s="8">
        <v>175.13</v>
      </c>
      <c r="N163" s="10">
        <v>5.0806498404409597</v>
      </c>
      <c r="O163" s="10">
        <v>5.0856511037897496</v>
      </c>
      <c r="P163" s="10">
        <v>5.0831881740983196</v>
      </c>
      <c r="Q163" s="10">
        <v>5.0832189839466997</v>
      </c>
      <c r="R163" s="8">
        <v>175.30239354763199</v>
      </c>
      <c r="S163" s="8">
        <v>175.23099310865601</v>
      </c>
      <c r="T163" s="8">
        <v>175.21845442556</v>
      </c>
      <c r="U163" s="9">
        <v>9.8389055757375698E-4</v>
      </c>
      <c r="V163" s="9">
        <v>5.7650887764189502E-4</v>
      </c>
      <c r="W163" s="9">
        <v>5.0495114976588905E-4</v>
      </c>
      <c r="X163" s="10">
        <v>5.0806498404409597</v>
      </c>
      <c r="Y163" s="10">
        <v>5.0846599588316304</v>
      </c>
      <c r="Z163" s="10">
        <v>5.0831881740983196</v>
      </c>
      <c r="AA163" s="10">
        <v>5.0832189839466997</v>
      </c>
      <c r="AB163" s="8">
        <v>175.26822878092599</v>
      </c>
      <c r="AC163" s="8">
        <v>175.23099310865601</v>
      </c>
      <c r="AD163" s="8">
        <v>175.21845442556</v>
      </c>
      <c r="AE163" s="9">
        <v>7.8898108918995004E-4</v>
      </c>
      <c r="AF163" s="9">
        <v>5.7650887764167298E-4</v>
      </c>
      <c r="AG163" s="9">
        <v>5.0495114976588905E-4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0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0</v>
      </c>
      <c r="BX163" s="12">
        <f t="shared" si="58"/>
        <v>0</v>
      </c>
      <c r="BY163" s="12">
        <f t="shared" si="59"/>
        <v>0</v>
      </c>
    </row>
    <row r="164" spans="1:77" x14ac:dyDescent="0.3">
      <c r="A164" s="1">
        <v>46260</v>
      </c>
      <c r="B164" s="8">
        <v>34.61</v>
      </c>
      <c r="C164" s="8">
        <v>175.94</v>
      </c>
      <c r="D164" s="9">
        <v>4.0532771184789403E-3</v>
      </c>
      <c r="E164" s="9">
        <v>4.6144725399554698E-3</v>
      </c>
      <c r="F164" s="8">
        <v>0</v>
      </c>
      <c r="G164" s="8">
        <v>0.39700000000000002</v>
      </c>
      <c r="H164" s="8">
        <v>0</v>
      </c>
      <c r="I164" s="8">
        <v>2.0009999999999999</v>
      </c>
      <c r="J164" s="8">
        <v>0</v>
      </c>
      <c r="K164" s="8">
        <v>0</v>
      </c>
      <c r="L164" s="8">
        <v>34.61</v>
      </c>
      <c r="M164" s="8">
        <v>175.94</v>
      </c>
      <c r="N164" s="10">
        <v>5.0835018780699199</v>
      </c>
      <c r="O164" s="10">
        <v>5.0856511037897496</v>
      </c>
      <c r="P164" s="10">
        <v>5.0831583087923002</v>
      </c>
      <c r="Q164" s="10">
        <v>5.0831760975546301</v>
      </c>
      <c r="R164" s="8">
        <v>176.014384702163</v>
      </c>
      <c r="S164" s="8">
        <v>175.929142705543</v>
      </c>
      <c r="T164" s="8">
        <v>175.93020903439501</v>
      </c>
      <c r="U164" s="9">
        <v>4.22695136096964E-4</v>
      </c>
      <c r="V164" s="9">
        <v>-6.1712114775341895E-5</v>
      </c>
      <c r="W164" s="9">
        <v>-5.5651006284650398E-5</v>
      </c>
      <c r="X164" s="10">
        <v>5.0835018780699199</v>
      </c>
      <c r="Y164" s="10">
        <v>5.0846599588316304</v>
      </c>
      <c r="Z164" s="10">
        <v>5.0831583087923002</v>
      </c>
      <c r="AA164" s="10">
        <v>5.0831760975546301</v>
      </c>
      <c r="AB164" s="8">
        <v>175.98008117516201</v>
      </c>
      <c r="AC164" s="8">
        <v>175.929142705543</v>
      </c>
      <c r="AD164" s="8">
        <v>175.93020903439501</v>
      </c>
      <c r="AE164" s="9">
        <v>2.2778566771332201E-4</v>
      </c>
      <c r="AF164" s="9">
        <v>-6.1712114775452903E-5</v>
      </c>
      <c r="AG164" s="9">
        <v>-5.5651006284539302E-5</v>
      </c>
      <c r="BB164">
        <f t="shared" si="42"/>
        <v>0</v>
      </c>
      <c r="BC164">
        <f t="shared" si="43"/>
        <v>0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0</v>
      </c>
      <c r="BL164" s="9"/>
      <c r="BN164">
        <f t="shared" si="50"/>
        <v>0</v>
      </c>
      <c r="BO164">
        <f t="shared" si="51"/>
        <v>1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0</v>
      </c>
      <c r="BX164" s="12">
        <f t="shared" si="58"/>
        <v>0</v>
      </c>
      <c r="BY164" s="12">
        <f t="shared" si="59"/>
        <v>0</v>
      </c>
    </row>
    <row r="165" spans="1:77" x14ac:dyDescent="0.3">
      <c r="A165" s="1">
        <v>46261</v>
      </c>
      <c r="B165" s="8">
        <v>34.590000000000003</v>
      </c>
      <c r="C165" s="8">
        <v>175.74</v>
      </c>
      <c r="D165" s="9">
        <v>-5.7803469817538703E-4</v>
      </c>
      <c r="E165" s="9">
        <v>-1.13739775683128E-3</v>
      </c>
      <c r="F165" s="8">
        <v>0</v>
      </c>
      <c r="G165" s="8">
        <v>0.39700000000000002</v>
      </c>
      <c r="H165" s="8">
        <v>0</v>
      </c>
      <c r="I165" s="8">
        <v>2.0009999999999999</v>
      </c>
      <c r="J165" s="8">
        <v>0</v>
      </c>
      <c r="K165" s="8">
        <v>0</v>
      </c>
      <c r="L165" s="8">
        <v>34.590000000000003</v>
      </c>
      <c r="M165" s="8">
        <v>175.74</v>
      </c>
      <c r="N165" s="10">
        <v>5.0806591500433598</v>
      </c>
      <c r="O165" s="10">
        <v>5.0856511037897496</v>
      </c>
      <c r="P165" s="10">
        <v>5.0828146634543598</v>
      </c>
      <c r="Q165" s="10">
        <v>5.0830360192879196</v>
      </c>
      <c r="R165" s="8">
        <v>175.91267168008699</v>
      </c>
      <c r="S165" s="8">
        <v>175.826445901125</v>
      </c>
      <c r="T165" s="8">
        <v>175.82706121441399</v>
      </c>
      <c r="U165" s="9">
        <v>9.8205819475301499E-4</v>
      </c>
      <c r="V165" s="9">
        <v>4.9177561667796896E-4</v>
      </c>
      <c r="W165" s="9">
        <v>4.9527515970141398E-4</v>
      </c>
      <c r="X165" s="10">
        <v>5.0806591500433598</v>
      </c>
      <c r="Y165" s="10">
        <v>5.0846599588316304</v>
      </c>
      <c r="Z165" s="10">
        <v>5.0828146634543598</v>
      </c>
      <c r="AA165" s="10">
        <v>5.0830360192879196</v>
      </c>
      <c r="AB165" s="8">
        <v>175.87838797598599</v>
      </c>
      <c r="AC165" s="8">
        <v>175.826445901125</v>
      </c>
      <c r="AD165" s="8">
        <v>175.82706121441399</v>
      </c>
      <c r="AE165" s="9">
        <v>7.8714872636911697E-4</v>
      </c>
      <c r="AF165" s="9">
        <v>4.9177561667796896E-4</v>
      </c>
      <c r="AG165" s="9">
        <v>4.9527515970141398E-4</v>
      </c>
      <c r="BB165">
        <f t="shared" si="42"/>
        <v>0</v>
      </c>
      <c r="BC165">
        <f t="shared" si="43"/>
        <v>1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0</v>
      </c>
      <c r="BL165" s="9"/>
      <c r="BN165">
        <f t="shared" si="50"/>
        <v>0</v>
      </c>
      <c r="BO165">
        <f t="shared" si="51"/>
        <v>0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0</v>
      </c>
      <c r="BX165" s="12">
        <f t="shared" si="58"/>
        <v>0</v>
      </c>
      <c r="BY165" s="12">
        <f t="shared" si="59"/>
        <v>0</v>
      </c>
    </row>
    <row r="166" spans="1:77" x14ac:dyDescent="0.3">
      <c r="A166" s="1">
        <v>46262</v>
      </c>
      <c r="B166" s="8">
        <v>34.729999999999997</v>
      </c>
      <c r="C166" s="8">
        <v>176.56</v>
      </c>
      <c r="D166" s="9">
        <v>4.0392438069051196E-3</v>
      </c>
      <c r="E166" s="9">
        <v>4.6551318807839101E-3</v>
      </c>
      <c r="F166" s="8">
        <v>0</v>
      </c>
      <c r="G166" s="8">
        <v>0.39700000000000002</v>
      </c>
      <c r="H166" s="8">
        <v>0</v>
      </c>
      <c r="I166" s="8">
        <v>2.0009999999999999</v>
      </c>
      <c r="J166" s="8">
        <v>0</v>
      </c>
      <c r="K166" s="8">
        <v>0</v>
      </c>
      <c r="L166" s="8">
        <v>34.729999999999997</v>
      </c>
      <c r="M166" s="8">
        <v>176.56</v>
      </c>
      <c r="N166" s="10">
        <v>5.0837892312121999</v>
      </c>
      <c r="O166" s="10">
        <v>5.0856511037897496</v>
      </c>
      <c r="P166" s="10">
        <v>5.0829596616410404</v>
      </c>
      <c r="Q166" s="10">
        <v>5.0831105035414197</v>
      </c>
      <c r="R166" s="8">
        <v>176.62466283461799</v>
      </c>
      <c r="S166" s="8">
        <v>176.526153261769</v>
      </c>
      <c r="T166" s="8">
        <v>176.53384094986899</v>
      </c>
      <c r="U166" s="9">
        <v>3.66170120874305E-4</v>
      </c>
      <c r="V166" s="9">
        <v>-1.9171943176511899E-4</v>
      </c>
      <c r="W166" s="9">
        <v>-1.4817052661110199E-4</v>
      </c>
      <c r="X166" s="10">
        <v>5.0837892312121999</v>
      </c>
      <c r="Y166" s="10">
        <v>5.0846599588316304</v>
      </c>
      <c r="Z166" s="10">
        <v>5.0829596616410404</v>
      </c>
      <c r="AA166" s="10">
        <v>5.0831105035414197</v>
      </c>
      <c r="AB166" s="8">
        <v>176.59024037022201</v>
      </c>
      <c r="AC166" s="8">
        <v>176.526153261769</v>
      </c>
      <c r="AD166" s="8">
        <v>176.53384094986899</v>
      </c>
      <c r="AE166" s="9">
        <v>1.7126065249053901E-4</v>
      </c>
      <c r="AF166" s="9">
        <v>-1.91719431765008E-4</v>
      </c>
      <c r="AG166" s="9">
        <v>-1.4817052661110199E-4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0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0</v>
      </c>
      <c r="BX166" s="12">
        <f t="shared" si="58"/>
        <v>0</v>
      </c>
      <c r="BY166" s="12">
        <f t="shared" si="59"/>
        <v>0</v>
      </c>
    </row>
    <row r="167" spans="1:77" x14ac:dyDescent="0.3">
      <c r="A167" s="1">
        <v>46265</v>
      </c>
      <c r="B167" s="8">
        <v>35.450000000000003</v>
      </c>
      <c r="C167" s="8">
        <v>180.17</v>
      </c>
      <c r="D167" s="9">
        <v>2.0519386222154101E-2</v>
      </c>
      <c r="E167" s="9">
        <v>2.0240087679127699E-2</v>
      </c>
      <c r="F167" s="8">
        <v>0</v>
      </c>
      <c r="G167" s="8">
        <v>0.39700000000000002</v>
      </c>
      <c r="H167" s="8">
        <v>0</v>
      </c>
      <c r="I167" s="8">
        <v>2.0009999999999999</v>
      </c>
      <c r="J167" s="8">
        <v>0</v>
      </c>
      <c r="K167" s="8">
        <v>0</v>
      </c>
      <c r="L167" s="8">
        <v>35.450000000000003</v>
      </c>
      <c r="M167" s="8">
        <v>180.17</v>
      </c>
      <c r="N167" s="10">
        <v>5.0823695345557098</v>
      </c>
      <c r="O167" s="10">
        <v>5.0856511037897496</v>
      </c>
      <c r="P167" s="10">
        <v>5.0827913186084199</v>
      </c>
      <c r="Q167" s="10">
        <v>5.0830610366590303</v>
      </c>
      <c r="R167" s="8">
        <v>180.28633162934599</v>
      </c>
      <c r="S167" s="8">
        <v>180.190920005175</v>
      </c>
      <c r="T167" s="8">
        <v>180.196267350543</v>
      </c>
      <c r="U167" s="9">
        <v>6.4546866390053801E-4</v>
      </c>
      <c r="V167" s="9">
        <v>1.1610584853827E-4</v>
      </c>
      <c r="W167" s="9">
        <v>1.4578140614008699E-4</v>
      </c>
      <c r="X167" s="10">
        <v>5.0823695345557098</v>
      </c>
      <c r="Y167" s="10">
        <v>5.0846599588316304</v>
      </c>
      <c r="Z167" s="10">
        <v>5.0827913186084102</v>
      </c>
      <c r="AA167" s="10">
        <v>5.0830610366590303</v>
      </c>
      <c r="AB167" s="8">
        <v>180.25119554058099</v>
      </c>
      <c r="AC167" s="8">
        <v>180.190920005175</v>
      </c>
      <c r="AD167" s="8">
        <v>180.196267350543</v>
      </c>
      <c r="AE167" s="9">
        <v>4.5055919551670998E-4</v>
      </c>
      <c r="AF167" s="9">
        <v>1.1610584853827E-4</v>
      </c>
      <c r="AG167" s="9">
        <v>1.4578140614008699E-4</v>
      </c>
      <c r="BB167">
        <f t="shared" si="42"/>
        <v>0</v>
      </c>
      <c r="BC167">
        <f t="shared" si="43"/>
        <v>1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0</v>
      </c>
      <c r="BL167" s="9"/>
      <c r="BN167">
        <f t="shared" si="50"/>
        <v>0</v>
      </c>
      <c r="BO167">
        <f t="shared" si="51"/>
        <v>0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0</v>
      </c>
      <c r="BX167" s="12">
        <f t="shared" si="58"/>
        <v>0</v>
      </c>
      <c r="BY167" s="12">
        <f t="shared" si="59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2026-09-04T02:20:53Z</dcterms:modified>
</cp:coreProperties>
</file>