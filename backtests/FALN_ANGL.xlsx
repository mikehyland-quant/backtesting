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EE1C9257-76C0-41C9-943F-759A15EB01AE}" xr6:coauthVersionLast="47" xr6:coauthVersionMax="47" xr10:uidLastSave="{00000000-0000-0000-0000-000000000000}"/>
  <bookViews>
    <workbookView xWindow="-108" yWindow="-108" windowWidth="23256" windowHeight="12456" xr2:uid="{AD73A2CC-DAC6-4FEB-A9D8-7DFCD59C1EAD}"/>
  </bookViews>
  <sheets>
    <sheet name="faln_angl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T156" i="1" l="1"/>
  <c r="AS156" i="1"/>
  <c r="AI156" i="1"/>
  <c r="AH156" i="1"/>
  <c r="AD156" i="1"/>
  <c r="AC156" i="1"/>
  <c r="AW155" i="1"/>
  <c r="AU155" i="1"/>
  <c r="AT155" i="1"/>
  <c r="AS155" i="1"/>
  <c r="AV156" i="1" s="1"/>
  <c r="AI155" i="1"/>
  <c r="AH155" i="1"/>
  <c r="AD155" i="1"/>
  <c r="AC155" i="1"/>
  <c r="AW154" i="1"/>
  <c r="AY154" i="1" s="1"/>
  <c r="AT154" i="1"/>
  <c r="AS154" i="1"/>
  <c r="AV155" i="1" s="1"/>
  <c r="AI154" i="1"/>
  <c r="AK155" i="1" s="1"/>
  <c r="AH154" i="1"/>
  <c r="AD154" i="1"/>
  <c r="AC154" i="1"/>
  <c r="AX153" i="1"/>
  <c r="AT153" i="1"/>
  <c r="AS153" i="1"/>
  <c r="AV154" i="1" s="1"/>
  <c r="AX154" i="1" s="1"/>
  <c r="AI153" i="1"/>
  <c r="AH153" i="1"/>
  <c r="AD153" i="1"/>
  <c r="AC153" i="1"/>
  <c r="AT152" i="1"/>
  <c r="AV153" i="1" s="1"/>
  <c r="AS152" i="1"/>
  <c r="AI152" i="1"/>
  <c r="AH152" i="1"/>
  <c r="AD152" i="1"/>
  <c r="AC152" i="1"/>
  <c r="AV151" i="1"/>
  <c r="AT151" i="1"/>
  <c r="AS151" i="1"/>
  <c r="AV152" i="1" s="1"/>
  <c r="AU153" i="1" s="1"/>
  <c r="AI151" i="1"/>
  <c r="AH151" i="1"/>
  <c r="AK152" i="1" s="1"/>
  <c r="AD151" i="1"/>
  <c r="AC151" i="1"/>
  <c r="AT150" i="1"/>
  <c r="AS150" i="1"/>
  <c r="AI150" i="1"/>
  <c r="AH150" i="1"/>
  <c r="AD150" i="1"/>
  <c r="AC150" i="1"/>
  <c r="AV149" i="1"/>
  <c r="AT149" i="1"/>
  <c r="AS149" i="1"/>
  <c r="AI149" i="1"/>
  <c r="AH149" i="1"/>
  <c r="AK150" i="1" s="1"/>
  <c r="AD149" i="1"/>
  <c r="AC149" i="1"/>
  <c r="AT148" i="1"/>
  <c r="AS148" i="1"/>
  <c r="AI148" i="1"/>
  <c r="AH148" i="1"/>
  <c r="AD148" i="1"/>
  <c r="AC148" i="1"/>
  <c r="AV147" i="1"/>
  <c r="AT147" i="1"/>
  <c r="AS147" i="1"/>
  <c r="AI147" i="1"/>
  <c r="AH147" i="1"/>
  <c r="AK148" i="1" s="1"/>
  <c r="AD147" i="1"/>
  <c r="AC147" i="1"/>
  <c r="AT146" i="1"/>
  <c r="AS146" i="1"/>
  <c r="AN146" i="1"/>
  <c r="AJ146" i="1"/>
  <c r="AI146" i="1"/>
  <c r="AH146" i="1"/>
  <c r="AK147" i="1" s="1"/>
  <c r="AD146" i="1"/>
  <c r="AM146" i="1" s="1"/>
  <c r="AC146" i="1"/>
  <c r="AL146" i="1" s="1"/>
  <c r="AW145" i="1"/>
  <c r="AY145" i="1" s="1"/>
  <c r="AT145" i="1"/>
  <c r="AS145" i="1"/>
  <c r="AI145" i="1"/>
  <c r="AH145" i="1"/>
  <c r="AD145" i="1"/>
  <c r="AC145" i="1"/>
  <c r="AT144" i="1"/>
  <c r="AS144" i="1"/>
  <c r="AV145" i="1" s="1"/>
  <c r="AX145" i="1" s="1"/>
  <c r="AI144" i="1"/>
  <c r="AH144" i="1"/>
  <c r="AD144" i="1"/>
  <c r="AC144" i="1"/>
  <c r="AV143" i="1"/>
  <c r="AT143" i="1"/>
  <c r="AS143" i="1"/>
  <c r="AI143" i="1"/>
  <c r="AH143" i="1"/>
  <c r="AD143" i="1"/>
  <c r="AC143" i="1"/>
  <c r="AX142" i="1"/>
  <c r="AT142" i="1"/>
  <c r="AS142" i="1"/>
  <c r="AI142" i="1"/>
  <c r="AH142" i="1"/>
  <c r="AD142" i="1"/>
  <c r="AC142" i="1"/>
  <c r="AT141" i="1"/>
  <c r="AS141" i="1"/>
  <c r="AV142" i="1" s="1"/>
  <c r="AI141" i="1"/>
  <c r="AH141" i="1"/>
  <c r="AD141" i="1"/>
  <c r="AC141" i="1"/>
  <c r="AX140" i="1"/>
  <c r="AU140" i="1"/>
  <c r="AT140" i="1"/>
  <c r="AS140" i="1"/>
  <c r="AV141" i="1" s="1"/>
  <c r="AI140" i="1"/>
  <c r="AH140" i="1"/>
  <c r="AK141" i="1" s="1"/>
  <c r="AJ141" i="1" s="1"/>
  <c r="AD140" i="1"/>
  <c r="AC140" i="1"/>
  <c r="AV139" i="1"/>
  <c r="AW139" i="1" s="1"/>
  <c r="AT139" i="1"/>
  <c r="AV140" i="1" s="1"/>
  <c r="AW140" i="1" s="1"/>
  <c r="AS139" i="1"/>
  <c r="AI139" i="1"/>
  <c r="AH139" i="1"/>
  <c r="AD139" i="1"/>
  <c r="AC139" i="1"/>
  <c r="AT138" i="1"/>
  <c r="AS138" i="1"/>
  <c r="AI138" i="1"/>
  <c r="AH138" i="1"/>
  <c r="AD138" i="1"/>
  <c r="AC138" i="1"/>
  <c r="AW138" i="1" s="1"/>
  <c r="AV137" i="1"/>
  <c r="AT137" i="1"/>
  <c r="AS137" i="1"/>
  <c r="AV138" i="1" s="1"/>
  <c r="AI137" i="1"/>
  <c r="AH137" i="1"/>
  <c r="AD137" i="1"/>
  <c r="AC137" i="1"/>
  <c r="AT136" i="1"/>
  <c r="AS136" i="1"/>
  <c r="AI136" i="1"/>
  <c r="AH136" i="1"/>
  <c r="AD136" i="1"/>
  <c r="AC136" i="1"/>
  <c r="AT135" i="1"/>
  <c r="AS135" i="1"/>
  <c r="AV136" i="1" s="1"/>
  <c r="AI135" i="1"/>
  <c r="AH135" i="1"/>
  <c r="AD135" i="1"/>
  <c r="AC135" i="1"/>
  <c r="AV134" i="1"/>
  <c r="AU134" i="1"/>
  <c r="AT134" i="1"/>
  <c r="AS134" i="1"/>
  <c r="AI134" i="1"/>
  <c r="AH134" i="1"/>
  <c r="AK135" i="1" s="1"/>
  <c r="AD134" i="1"/>
  <c r="AC134" i="1"/>
  <c r="AV133" i="1"/>
  <c r="AW133" i="1" s="1"/>
  <c r="AU133" i="1"/>
  <c r="AT133" i="1"/>
  <c r="AS133" i="1"/>
  <c r="AI133" i="1"/>
  <c r="AH133" i="1"/>
  <c r="AD133" i="1"/>
  <c r="AC133" i="1"/>
  <c r="AV132" i="1"/>
  <c r="AT132" i="1"/>
  <c r="AS132" i="1"/>
  <c r="AI132" i="1"/>
  <c r="AH132" i="1"/>
  <c r="AD132" i="1"/>
  <c r="AC132" i="1"/>
  <c r="AT131" i="1"/>
  <c r="AS131" i="1"/>
  <c r="AI131" i="1"/>
  <c r="AH131" i="1"/>
  <c r="AK132" i="1" s="1"/>
  <c r="AM132" i="1" s="1"/>
  <c r="AD131" i="1"/>
  <c r="AC131" i="1"/>
  <c r="AW131" i="1" s="1"/>
  <c r="AV130" i="1"/>
  <c r="AU130" i="1"/>
  <c r="AT130" i="1"/>
  <c r="AS130" i="1"/>
  <c r="AV131" i="1" s="1"/>
  <c r="AI130" i="1"/>
  <c r="AH130" i="1"/>
  <c r="AD130" i="1"/>
  <c r="AC130" i="1"/>
  <c r="AV129" i="1"/>
  <c r="AT129" i="1"/>
  <c r="AS129" i="1"/>
  <c r="AI129" i="1"/>
  <c r="AH129" i="1"/>
  <c r="AD129" i="1"/>
  <c r="AX129" i="1" s="1"/>
  <c r="AC129" i="1"/>
  <c r="AW129" i="1" s="1"/>
  <c r="AY129" i="1" s="1"/>
  <c r="AT128" i="1"/>
  <c r="AS128" i="1"/>
  <c r="AI128" i="1"/>
  <c r="AH128" i="1"/>
  <c r="AD128" i="1"/>
  <c r="AC128" i="1"/>
  <c r="AW127" i="1"/>
  <c r="AU127" i="1"/>
  <c r="AT127" i="1"/>
  <c r="AS127" i="1"/>
  <c r="AI127" i="1"/>
  <c r="AH127" i="1"/>
  <c r="AD127" i="1"/>
  <c r="AC127" i="1"/>
  <c r="AV126" i="1"/>
  <c r="AW126" i="1" s="1"/>
  <c r="AT126" i="1"/>
  <c r="AS126" i="1"/>
  <c r="AV127" i="1" s="1"/>
  <c r="AI126" i="1"/>
  <c r="AH126" i="1"/>
  <c r="AD126" i="1"/>
  <c r="AC126" i="1"/>
  <c r="AT125" i="1"/>
  <c r="AS125" i="1"/>
  <c r="AI125" i="1"/>
  <c r="AH125" i="1"/>
  <c r="AD125" i="1"/>
  <c r="AC125" i="1"/>
  <c r="AV124" i="1"/>
  <c r="AT124" i="1"/>
  <c r="AS124" i="1"/>
  <c r="AV125" i="1" s="1"/>
  <c r="AI124" i="1"/>
  <c r="AH124" i="1"/>
  <c r="AD124" i="1"/>
  <c r="AC124" i="1"/>
  <c r="AV123" i="1"/>
  <c r="AT123" i="1"/>
  <c r="AS123" i="1"/>
  <c r="AI123" i="1"/>
  <c r="AH123" i="1"/>
  <c r="AD123" i="1"/>
  <c r="AC123" i="1"/>
  <c r="AT122" i="1"/>
  <c r="AS122" i="1"/>
  <c r="AI122" i="1"/>
  <c r="AH122" i="1"/>
  <c r="AD122" i="1"/>
  <c r="AC122" i="1"/>
  <c r="AT121" i="1"/>
  <c r="AS121" i="1"/>
  <c r="AV122" i="1" s="1"/>
  <c r="AI121" i="1"/>
  <c r="AH121" i="1"/>
  <c r="AD121" i="1"/>
  <c r="AC121" i="1"/>
  <c r="AW120" i="1"/>
  <c r="AT120" i="1"/>
  <c r="AS120" i="1"/>
  <c r="AI120" i="1"/>
  <c r="AH120" i="1"/>
  <c r="AD120" i="1"/>
  <c r="AC120" i="1"/>
  <c r="AX119" i="1"/>
  <c r="AT119" i="1"/>
  <c r="AS119" i="1"/>
  <c r="AV120" i="1" s="1"/>
  <c r="AU121" i="1" s="1"/>
  <c r="AI119" i="1"/>
  <c r="AH119" i="1"/>
  <c r="AD119" i="1"/>
  <c r="AC119" i="1"/>
  <c r="AX118" i="1"/>
  <c r="AV118" i="1"/>
  <c r="AT118" i="1"/>
  <c r="AV119" i="1" s="1"/>
  <c r="AS118" i="1"/>
  <c r="AI118" i="1"/>
  <c r="AH118" i="1"/>
  <c r="AD118" i="1"/>
  <c r="AC118" i="1"/>
  <c r="AT117" i="1"/>
  <c r="AS117" i="1"/>
  <c r="AI117" i="1"/>
  <c r="AH117" i="1"/>
  <c r="AD117" i="1"/>
  <c r="AC117" i="1"/>
  <c r="AU116" i="1"/>
  <c r="AT116" i="1"/>
  <c r="AS116" i="1"/>
  <c r="AV117" i="1" s="1"/>
  <c r="AI116" i="1"/>
  <c r="AH116" i="1"/>
  <c r="AD116" i="1"/>
  <c r="AC116" i="1"/>
  <c r="AV115" i="1"/>
  <c r="AT115" i="1"/>
  <c r="AV116" i="1" s="1"/>
  <c r="AS115" i="1"/>
  <c r="AI115" i="1"/>
  <c r="AH115" i="1"/>
  <c r="AD115" i="1"/>
  <c r="AC115" i="1"/>
  <c r="AT114" i="1"/>
  <c r="AS114" i="1"/>
  <c r="AI114" i="1"/>
  <c r="AH114" i="1"/>
  <c r="AD114" i="1"/>
  <c r="AX114" i="1" s="1"/>
  <c r="AC114" i="1"/>
  <c r="AW113" i="1"/>
  <c r="AV113" i="1"/>
  <c r="AU114" i="1" s="1"/>
  <c r="AT113" i="1"/>
  <c r="AS113" i="1"/>
  <c r="AV114" i="1" s="1"/>
  <c r="AI113" i="1"/>
  <c r="AH113" i="1"/>
  <c r="AD113" i="1"/>
  <c r="AX113" i="1" s="1"/>
  <c r="AC113" i="1"/>
  <c r="AT112" i="1"/>
  <c r="AS112" i="1"/>
  <c r="AI112" i="1"/>
  <c r="AH112" i="1"/>
  <c r="AD112" i="1"/>
  <c r="AC112" i="1"/>
  <c r="AT111" i="1"/>
  <c r="AS111" i="1"/>
  <c r="AI111" i="1"/>
  <c r="AH111" i="1"/>
  <c r="AK112" i="1" s="1"/>
  <c r="AD111" i="1"/>
  <c r="AC111" i="1"/>
  <c r="AT110" i="1"/>
  <c r="AS110" i="1"/>
  <c r="AK110" i="1"/>
  <c r="AI110" i="1"/>
  <c r="AH110" i="1"/>
  <c r="AD110" i="1"/>
  <c r="AC110" i="1"/>
  <c r="AT109" i="1"/>
  <c r="AS109" i="1"/>
  <c r="AI109" i="1"/>
  <c r="AH109" i="1"/>
  <c r="AD109" i="1"/>
  <c r="AC109" i="1"/>
  <c r="AT108" i="1"/>
  <c r="AS108" i="1"/>
  <c r="AI108" i="1"/>
  <c r="AH108" i="1"/>
  <c r="AD108" i="1"/>
  <c r="AC108" i="1"/>
  <c r="AT107" i="1"/>
  <c r="AS107" i="1"/>
  <c r="AI107" i="1"/>
  <c r="AH107" i="1"/>
  <c r="AD107" i="1"/>
  <c r="AC107" i="1"/>
  <c r="AT106" i="1"/>
  <c r="AS106" i="1"/>
  <c r="AI106" i="1"/>
  <c r="AH106" i="1"/>
  <c r="AD106" i="1"/>
  <c r="AC106" i="1"/>
  <c r="AT105" i="1"/>
  <c r="AS105" i="1"/>
  <c r="AI105" i="1"/>
  <c r="AH105" i="1"/>
  <c r="AD105" i="1"/>
  <c r="AC105" i="1"/>
  <c r="AT104" i="1"/>
  <c r="AV105" i="1" s="1"/>
  <c r="AS104" i="1"/>
  <c r="AI104" i="1"/>
  <c r="AH104" i="1"/>
  <c r="AD104" i="1"/>
  <c r="AC104" i="1"/>
  <c r="AX103" i="1"/>
  <c r="AV103" i="1"/>
  <c r="AT103" i="1"/>
  <c r="AS103" i="1"/>
  <c r="AV104" i="1" s="1"/>
  <c r="AM103" i="1"/>
  <c r="AL103" i="1"/>
  <c r="AN103" i="1" s="1"/>
  <c r="AJ103" i="1"/>
  <c r="AI103" i="1"/>
  <c r="AH103" i="1"/>
  <c r="AK104" i="1" s="1"/>
  <c r="AD103" i="1"/>
  <c r="AC103" i="1"/>
  <c r="AU102" i="1"/>
  <c r="AT102" i="1"/>
  <c r="AS102" i="1"/>
  <c r="AI102" i="1"/>
  <c r="AH102" i="1"/>
  <c r="AD102" i="1"/>
  <c r="AC102" i="1"/>
  <c r="AX101" i="1"/>
  <c r="AW101" i="1"/>
  <c r="AY101" i="1" s="1"/>
  <c r="AT101" i="1"/>
  <c r="AS101" i="1"/>
  <c r="AV102" i="1" s="1"/>
  <c r="AI101" i="1"/>
  <c r="AH101" i="1"/>
  <c r="AD101" i="1"/>
  <c r="AC101" i="1"/>
  <c r="AV100" i="1"/>
  <c r="AT100" i="1"/>
  <c r="AS100" i="1"/>
  <c r="AV101" i="1" s="1"/>
  <c r="AI100" i="1"/>
  <c r="AH100" i="1"/>
  <c r="AD100" i="1"/>
  <c r="AC100" i="1"/>
  <c r="AX99" i="1"/>
  <c r="AW99" i="1"/>
  <c r="AY99" i="1" s="1"/>
  <c r="AV99" i="1"/>
  <c r="AU100" i="1" s="1"/>
  <c r="AT99" i="1"/>
  <c r="AS99" i="1"/>
  <c r="AI99" i="1"/>
  <c r="AH99" i="1"/>
  <c r="AD99" i="1"/>
  <c r="AC99" i="1"/>
  <c r="AT98" i="1"/>
  <c r="AS98" i="1"/>
  <c r="AK98" i="1"/>
  <c r="AI98" i="1"/>
  <c r="AH98" i="1"/>
  <c r="AD98" i="1"/>
  <c r="AC98" i="1"/>
  <c r="AV97" i="1"/>
  <c r="AU97" i="1"/>
  <c r="AT97" i="1"/>
  <c r="AS97" i="1"/>
  <c r="AI97" i="1"/>
  <c r="AH97" i="1"/>
  <c r="AD97" i="1"/>
  <c r="AC97" i="1"/>
  <c r="AV96" i="1"/>
  <c r="AT96" i="1"/>
  <c r="AS96" i="1"/>
  <c r="AI96" i="1"/>
  <c r="AH96" i="1"/>
  <c r="AD96" i="1"/>
  <c r="AC96" i="1"/>
  <c r="AT95" i="1"/>
  <c r="AS95" i="1"/>
  <c r="AI95" i="1"/>
  <c r="AH95" i="1"/>
  <c r="AD95" i="1"/>
  <c r="AC95" i="1"/>
  <c r="AV94" i="1"/>
  <c r="AU95" i="1" s="1"/>
  <c r="AT94" i="1"/>
  <c r="AS94" i="1"/>
  <c r="AV95" i="1" s="1"/>
  <c r="AI94" i="1"/>
  <c r="AH94" i="1"/>
  <c r="AD94" i="1"/>
  <c r="AC94" i="1"/>
  <c r="AT93" i="1"/>
  <c r="AS93" i="1"/>
  <c r="AI93" i="1"/>
  <c r="AH93" i="1"/>
  <c r="AD93" i="1"/>
  <c r="AC93" i="1"/>
  <c r="AW92" i="1"/>
  <c r="AT92" i="1"/>
  <c r="AS92" i="1"/>
  <c r="AV93" i="1" s="1"/>
  <c r="AI92" i="1"/>
  <c r="AH92" i="1"/>
  <c r="AD92" i="1"/>
  <c r="AC92" i="1"/>
  <c r="AW91" i="1"/>
  <c r="AT91" i="1"/>
  <c r="AV92" i="1" s="1"/>
  <c r="AS91" i="1"/>
  <c r="AI91" i="1"/>
  <c r="AH91" i="1"/>
  <c r="AD91" i="1"/>
  <c r="AC91" i="1"/>
  <c r="AT90" i="1"/>
  <c r="AS90" i="1"/>
  <c r="AV91" i="1" s="1"/>
  <c r="AI90" i="1"/>
  <c r="AH90" i="1"/>
  <c r="AD90" i="1"/>
  <c r="AC90" i="1"/>
  <c r="AV89" i="1"/>
  <c r="AT89" i="1"/>
  <c r="AV90" i="1" s="1"/>
  <c r="AS89" i="1"/>
  <c r="AI89" i="1"/>
  <c r="AH89" i="1"/>
  <c r="AD89" i="1"/>
  <c r="AC89" i="1"/>
  <c r="AT88" i="1"/>
  <c r="AS88" i="1"/>
  <c r="AI88" i="1"/>
  <c r="AH88" i="1"/>
  <c r="AD88" i="1"/>
  <c r="AC88" i="1"/>
  <c r="AW87" i="1"/>
  <c r="AT87" i="1"/>
  <c r="AS87" i="1"/>
  <c r="AI87" i="1"/>
  <c r="AH87" i="1"/>
  <c r="AD87" i="1"/>
  <c r="AC87" i="1"/>
  <c r="AV86" i="1"/>
  <c r="AT86" i="1"/>
  <c r="AS86" i="1"/>
  <c r="AV87" i="1" s="1"/>
  <c r="AI86" i="1"/>
  <c r="AH86" i="1"/>
  <c r="AD86" i="1"/>
  <c r="AC86" i="1"/>
  <c r="AV85" i="1"/>
  <c r="AU85" i="1"/>
  <c r="AT85" i="1"/>
  <c r="AS85" i="1"/>
  <c r="AI85" i="1"/>
  <c r="AH85" i="1"/>
  <c r="AK86" i="1" s="1"/>
  <c r="AD85" i="1"/>
  <c r="AC85" i="1"/>
  <c r="AU84" i="1"/>
  <c r="AT84" i="1"/>
  <c r="AS84" i="1"/>
  <c r="AK84" i="1"/>
  <c r="AI84" i="1"/>
  <c r="AH84" i="1"/>
  <c r="AD84" i="1"/>
  <c r="AC84" i="1"/>
  <c r="AX83" i="1"/>
  <c r="AW83" i="1"/>
  <c r="AY83" i="1" s="1"/>
  <c r="AT83" i="1"/>
  <c r="AS83" i="1"/>
  <c r="AV84" i="1" s="1"/>
  <c r="AX84" i="1" s="1"/>
  <c r="AI83" i="1"/>
  <c r="AH83" i="1"/>
  <c r="AD83" i="1"/>
  <c r="AC83" i="1"/>
  <c r="AT82" i="1"/>
  <c r="AS82" i="1"/>
  <c r="AI82" i="1"/>
  <c r="AH82" i="1"/>
  <c r="AK83" i="1" s="1"/>
  <c r="AJ83" i="1" s="1"/>
  <c r="AD82" i="1"/>
  <c r="AC82" i="1"/>
  <c r="AX81" i="1"/>
  <c r="AT81" i="1"/>
  <c r="AS81" i="1"/>
  <c r="AV82" i="1" s="1"/>
  <c r="AI81" i="1"/>
  <c r="AH81" i="1"/>
  <c r="AD81" i="1"/>
  <c r="AC81" i="1"/>
  <c r="AU80" i="1"/>
  <c r="AT80" i="1"/>
  <c r="AS80" i="1"/>
  <c r="AV81" i="1" s="1"/>
  <c r="AI80" i="1"/>
  <c r="AH80" i="1"/>
  <c r="AD80" i="1"/>
  <c r="AC80" i="1"/>
  <c r="AW79" i="1"/>
  <c r="AT79" i="1"/>
  <c r="AS79" i="1"/>
  <c r="AI79" i="1"/>
  <c r="AH79" i="1"/>
  <c r="AD79" i="1"/>
  <c r="AC79" i="1"/>
  <c r="AT78" i="1"/>
  <c r="AS78" i="1"/>
  <c r="AV79" i="1" s="1"/>
  <c r="AX79" i="1" s="1"/>
  <c r="AY79" i="1" s="1"/>
  <c r="AK78" i="1"/>
  <c r="AM78" i="1" s="1"/>
  <c r="AJ78" i="1"/>
  <c r="AI78" i="1"/>
  <c r="AH78" i="1"/>
  <c r="AK79" i="1" s="1"/>
  <c r="AD78" i="1"/>
  <c r="AC78" i="1"/>
  <c r="AV77" i="1"/>
  <c r="AU78" i="1" s="1"/>
  <c r="AU77" i="1"/>
  <c r="AT77" i="1"/>
  <c r="AS77" i="1"/>
  <c r="AV78" i="1" s="1"/>
  <c r="AI77" i="1"/>
  <c r="AH77" i="1"/>
  <c r="AD77" i="1"/>
  <c r="AC77" i="1"/>
  <c r="AW76" i="1"/>
  <c r="AY76" i="1" s="1"/>
  <c r="AV76" i="1"/>
  <c r="AX76" i="1" s="1"/>
  <c r="AT76" i="1"/>
  <c r="AS76" i="1"/>
  <c r="AI76" i="1"/>
  <c r="AH76" i="1"/>
  <c r="AD76" i="1"/>
  <c r="AC76" i="1"/>
  <c r="AV75" i="1"/>
  <c r="AT75" i="1"/>
  <c r="AS75" i="1"/>
  <c r="AI75" i="1"/>
  <c r="AH75" i="1"/>
  <c r="AK76" i="1" s="1"/>
  <c r="AD75" i="1"/>
  <c r="AC75" i="1"/>
  <c r="AU74" i="1"/>
  <c r="AT74" i="1"/>
  <c r="AS74" i="1"/>
  <c r="AI74" i="1"/>
  <c r="AH74" i="1"/>
  <c r="AD74" i="1"/>
  <c r="AC74" i="1"/>
  <c r="AX73" i="1"/>
  <c r="AV73" i="1"/>
  <c r="AW73" i="1" s="1"/>
  <c r="AT73" i="1"/>
  <c r="AS73" i="1"/>
  <c r="AV74" i="1" s="1"/>
  <c r="AI73" i="1"/>
  <c r="AH73" i="1"/>
  <c r="AK74" i="1" s="1"/>
  <c r="AD73" i="1"/>
  <c r="AC73" i="1"/>
  <c r="AT72" i="1"/>
  <c r="AS72" i="1"/>
  <c r="AI72" i="1"/>
  <c r="AH72" i="1"/>
  <c r="AD72" i="1"/>
  <c r="AC72" i="1"/>
  <c r="AV71" i="1"/>
  <c r="AT71" i="1"/>
  <c r="AS71" i="1"/>
  <c r="AI71" i="1"/>
  <c r="AH71" i="1"/>
  <c r="AD71" i="1"/>
  <c r="AC71" i="1"/>
  <c r="AT70" i="1"/>
  <c r="AS70" i="1"/>
  <c r="AI70" i="1"/>
  <c r="AH70" i="1"/>
  <c r="AK71" i="1" s="1"/>
  <c r="AD70" i="1"/>
  <c r="AC70" i="1"/>
  <c r="AT69" i="1"/>
  <c r="AS69" i="1"/>
  <c r="AV70" i="1" s="1"/>
  <c r="AI69" i="1"/>
  <c r="AH69" i="1"/>
  <c r="AD69" i="1"/>
  <c r="AC69" i="1"/>
  <c r="AT68" i="1"/>
  <c r="AV69" i="1" s="1"/>
  <c r="AS68" i="1"/>
  <c r="AI68" i="1"/>
  <c r="AH68" i="1"/>
  <c r="AD68" i="1"/>
  <c r="AC68" i="1"/>
  <c r="AV67" i="1"/>
  <c r="AU68" i="1" s="1"/>
  <c r="AT67" i="1"/>
  <c r="AS67" i="1"/>
  <c r="AI67" i="1"/>
  <c r="AH67" i="1"/>
  <c r="AD67" i="1"/>
  <c r="AC67" i="1"/>
  <c r="AT66" i="1"/>
  <c r="AS66" i="1"/>
  <c r="AI66" i="1"/>
  <c r="AH66" i="1"/>
  <c r="AD66" i="1"/>
  <c r="AC66" i="1"/>
  <c r="AV65" i="1"/>
  <c r="AU65" i="1"/>
  <c r="AT65" i="1"/>
  <c r="AS65" i="1"/>
  <c r="AI65" i="1"/>
  <c r="AH65" i="1"/>
  <c r="AD65" i="1"/>
  <c r="AC65" i="1"/>
  <c r="AV64" i="1"/>
  <c r="AT64" i="1"/>
  <c r="AS64" i="1"/>
  <c r="AI64" i="1"/>
  <c r="AH64" i="1"/>
  <c r="AD64" i="1"/>
  <c r="AC64" i="1"/>
  <c r="AU63" i="1"/>
  <c r="AT63" i="1"/>
  <c r="AS63" i="1"/>
  <c r="AI63" i="1"/>
  <c r="AH63" i="1"/>
  <c r="AD63" i="1"/>
  <c r="AC63" i="1"/>
  <c r="AX62" i="1"/>
  <c r="AW62" i="1"/>
  <c r="AY62" i="1" s="1"/>
  <c r="AT62" i="1"/>
  <c r="AS62" i="1"/>
  <c r="AI62" i="1"/>
  <c r="AH62" i="1"/>
  <c r="AD62" i="1"/>
  <c r="AC62" i="1"/>
  <c r="AV61" i="1"/>
  <c r="AU62" i="1" s="1"/>
  <c r="AT61" i="1"/>
  <c r="AS61" i="1"/>
  <c r="AI61" i="1"/>
  <c r="AH61" i="1"/>
  <c r="AD61" i="1"/>
  <c r="AC61" i="1"/>
  <c r="AU60" i="1"/>
  <c r="AT60" i="1"/>
  <c r="AS60" i="1"/>
  <c r="AI60" i="1"/>
  <c r="AH60" i="1"/>
  <c r="AD60" i="1"/>
  <c r="AC60" i="1"/>
  <c r="AX59" i="1"/>
  <c r="AV59" i="1"/>
  <c r="AT59" i="1"/>
  <c r="AS59" i="1"/>
  <c r="AI59" i="1"/>
  <c r="AH59" i="1"/>
  <c r="AD59" i="1"/>
  <c r="AC59" i="1"/>
  <c r="AT58" i="1"/>
  <c r="AS58" i="1"/>
  <c r="AI58" i="1"/>
  <c r="AH58" i="1"/>
  <c r="AD58" i="1"/>
  <c r="AC58" i="1"/>
  <c r="AT57" i="1"/>
  <c r="AS57" i="1"/>
  <c r="AV58" i="1" s="1"/>
  <c r="AI57" i="1"/>
  <c r="AH57" i="1"/>
  <c r="AD57" i="1"/>
  <c r="AC57" i="1"/>
  <c r="AT56" i="1"/>
  <c r="AS56" i="1"/>
  <c r="AV57" i="1" s="1"/>
  <c r="AI56" i="1"/>
  <c r="AH56" i="1"/>
  <c r="AD56" i="1"/>
  <c r="AC56" i="1"/>
  <c r="AT55" i="1"/>
  <c r="AV56" i="1" s="1"/>
  <c r="AS55" i="1"/>
  <c r="AI55" i="1"/>
  <c r="AH55" i="1"/>
  <c r="AD55" i="1"/>
  <c r="AC55" i="1"/>
  <c r="AT54" i="1"/>
  <c r="AS54" i="1"/>
  <c r="AV55" i="1" s="1"/>
  <c r="AI54" i="1"/>
  <c r="AH54" i="1"/>
  <c r="AD54" i="1"/>
  <c r="AC54" i="1"/>
  <c r="AU53" i="1"/>
  <c r="AT53" i="1"/>
  <c r="AS53" i="1"/>
  <c r="AI53" i="1"/>
  <c r="AH53" i="1"/>
  <c r="AK54" i="1" s="1"/>
  <c r="AD53" i="1"/>
  <c r="AC53" i="1"/>
  <c r="AV52" i="1"/>
  <c r="AT52" i="1"/>
  <c r="AS52" i="1"/>
  <c r="AV53" i="1" s="1"/>
  <c r="AI52" i="1"/>
  <c r="AH52" i="1"/>
  <c r="AD52" i="1"/>
  <c r="AC52" i="1"/>
  <c r="AU51" i="1"/>
  <c r="AT51" i="1"/>
  <c r="AS51" i="1"/>
  <c r="AJ51" i="1"/>
  <c r="AI51" i="1"/>
  <c r="AH51" i="1"/>
  <c r="AD51" i="1"/>
  <c r="AC51" i="1"/>
  <c r="AY50" i="1"/>
  <c r="AT50" i="1"/>
  <c r="AS50" i="1"/>
  <c r="AV51" i="1" s="1"/>
  <c r="AI50" i="1"/>
  <c r="AH50" i="1"/>
  <c r="AK51" i="1" s="1"/>
  <c r="AD50" i="1"/>
  <c r="AC50" i="1"/>
  <c r="AW50" i="1" s="1"/>
  <c r="AT49" i="1"/>
  <c r="AS49" i="1"/>
  <c r="AV50" i="1" s="1"/>
  <c r="AX50" i="1" s="1"/>
  <c r="AK49" i="1"/>
  <c r="AM49" i="1" s="1"/>
  <c r="AI49" i="1"/>
  <c r="AH49" i="1"/>
  <c r="AD49" i="1"/>
  <c r="AC49" i="1"/>
  <c r="AT48" i="1"/>
  <c r="AS48" i="1"/>
  <c r="AI48" i="1"/>
  <c r="AH48" i="1"/>
  <c r="AD48" i="1"/>
  <c r="AC48" i="1"/>
  <c r="AV47" i="1"/>
  <c r="AU48" i="1" s="1"/>
  <c r="AT47" i="1"/>
  <c r="AS47" i="1"/>
  <c r="AI47" i="1"/>
  <c r="AH47" i="1"/>
  <c r="AD47" i="1"/>
  <c r="AC47" i="1"/>
  <c r="AT46" i="1"/>
  <c r="AS46" i="1"/>
  <c r="AI46" i="1"/>
  <c r="AH46" i="1"/>
  <c r="AD46" i="1"/>
  <c r="AC46" i="1"/>
  <c r="AV45" i="1"/>
  <c r="AU46" i="1" s="1"/>
  <c r="AT45" i="1"/>
  <c r="AS45" i="1"/>
  <c r="AV46" i="1" s="1"/>
  <c r="AI45" i="1"/>
  <c r="AK46" i="1" s="1"/>
  <c r="AM46" i="1" s="1"/>
  <c r="AH45" i="1"/>
  <c r="AD45" i="1"/>
  <c r="AC45" i="1"/>
  <c r="AT44" i="1"/>
  <c r="AS44" i="1"/>
  <c r="AI44" i="1"/>
  <c r="AH44" i="1"/>
  <c r="AD44" i="1"/>
  <c r="AC44" i="1"/>
  <c r="AX43" i="1"/>
  <c r="AU43" i="1"/>
  <c r="AT43" i="1"/>
  <c r="AS43" i="1"/>
  <c r="AI43" i="1"/>
  <c r="AK44" i="1" s="1"/>
  <c r="AH43" i="1"/>
  <c r="AD43" i="1"/>
  <c r="AC43" i="1"/>
  <c r="AW42" i="1"/>
  <c r="AY42" i="1" s="1"/>
  <c r="AT42" i="1"/>
  <c r="AS42" i="1"/>
  <c r="AV43" i="1" s="1"/>
  <c r="AI42" i="1"/>
  <c r="AH42" i="1"/>
  <c r="AD42" i="1"/>
  <c r="AC42" i="1"/>
  <c r="AT41" i="1"/>
  <c r="AS41" i="1"/>
  <c r="AV42" i="1" s="1"/>
  <c r="AX42" i="1" s="1"/>
  <c r="AI41" i="1"/>
  <c r="AH41" i="1"/>
  <c r="AK42" i="1" s="1"/>
  <c r="AD41" i="1"/>
  <c r="AC41" i="1"/>
  <c r="AT40" i="1"/>
  <c r="AV41" i="1" s="1"/>
  <c r="AS40" i="1"/>
  <c r="AJ40" i="1"/>
  <c r="AI40" i="1"/>
  <c r="AH40" i="1"/>
  <c r="AD40" i="1"/>
  <c r="AM40" i="1" s="1"/>
  <c r="AC40" i="1"/>
  <c r="AL40" i="1" s="1"/>
  <c r="AT39" i="1"/>
  <c r="AS39" i="1"/>
  <c r="AI39" i="1"/>
  <c r="AH39" i="1"/>
  <c r="AD39" i="1"/>
  <c r="AC39" i="1"/>
  <c r="AV38" i="1"/>
  <c r="AU38" i="1"/>
  <c r="AT38" i="1"/>
  <c r="AV39" i="1" s="1"/>
  <c r="AS38" i="1"/>
  <c r="AI38" i="1"/>
  <c r="AH38" i="1"/>
  <c r="AD38" i="1"/>
  <c r="AC38" i="1"/>
  <c r="AW37" i="1"/>
  <c r="AY37" i="1" s="1"/>
  <c r="AT37" i="1"/>
  <c r="AS37" i="1"/>
  <c r="AK37" i="1"/>
  <c r="AJ37" i="1"/>
  <c r="AI37" i="1"/>
  <c r="AH37" i="1"/>
  <c r="AK38" i="1" s="1"/>
  <c r="AD37" i="1"/>
  <c r="AX37" i="1" s="1"/>
  <c r="AC37" i="1"/>
  <c r="AW36" i="1"/>
  <c r="AY36" i="1" s="1"/>
  <c r="AV36" i="1"/>
  <c r="AU37" i="1" s="1"/>
  <c r="AT36" i="1"/>
  <c r="AS36" i="1"/>
  <c r="AV37" i="1" s="1"/>
  <c r="AK36" i="1"/>
  <c r="AI36" i="1"/>
  <c r="AH36" i="1"/>
  <c r="AD36" i="1"/>
  <c r="AX36" i="1" s="1"/>
  <c r="AC36" i="1"/>
  <c r="AV35" i="1"/>
  <c r="AT35" i="1"/>
  <c r="AS35" i="1"/>
  <c r="AI35" i="1"/>
  <c r="AH35" i="1"/>
  <c r="AD35" i="1"/>
  <c r="AC35" i="1"/>
  <c r="AU34" i="1"/>
  <c r="AT34" i="1"/>
  <c r="AS34" i="1"/>
  <c r="AI34" i="1"/>
  <c r="AH34" i="1"/>
  <c r="AD34" i="1"/>
  <c r="AC34" i="1"/>
  <c r="AV33" i="1"/>
  <c r="AX33" i="1" s="1"/>
  <c r="AT33" i="1"/>
  <c r="AS33" i="1"/>
  <c r="AI33" i="1"/>
  <c r="AH33" i="1"/>
  <c r="AK34" i="1" s="1"/>
  <c r="AD33" i="1"/>
  <c r="AC33" i="1"/>
  <c r="AT32" i="1"/>
  <c r="AS32" i="1"/>
  <c r="AI32" i="1"/>
  <c r="AH32" i="1"/>
  <c r="AD32" i="1"/>
  <c r="AC32" i="1"/>
  <c r="AV31" i="1"/>
  <c r="AU31" i="1"/>
  <c r="AT31" i="1"/>
  <c r="AS31" i="1"/>
  <c r="AV32" i="1" s="1"/>
  <c r="AI31" i="1"/>
  <c r="AH31" i="1"/>
  <c r="AK32" i="1" s="1"/>
  <c r="AL32" i="1" s="1"/>
  <c r="AD31" i="1"/>
  <c r="AC31" i="1"/>
  <c r="AX30" i="1"/>
  <c r="AV30" i="1"/>
  <c r="AT30" i="1"/>
  <c r="AS30" i="1"/>
  <c r="AI30" i="1"/>
  <c r="AH30" i="1"/>
  <c r="AK31" i="1" s="1"/>
  <c r="AD30" i="1"/>
  <c r="AC30" i="1"/>
  <c r="AW30" i="1" s="1"/>
  <c r="AT29" i="1"/>
  <c r="AS29" i="1"/>
  <c r="AI29" i="1"/>
  <c r="AH29" i="1"/>
  <c r="AK30" i="1" s="1"/>
  <c r="AL30" i="1" s="1"/>
  <c r="AD29" i="1"/>
  <c r="AC29" i="1"/>
  <c r="AT28" i="1"/>
  <c r="AS28" i="1"/>
  <c r="AI28" i="1"/>
  <c r="AH28" i="1"/>
  <c r="AK29" i="1" s="1"/>
  <c r="AJ29" i="1" s="1"/>
  <c r="AD28" i="1"/>
  <c r="AC28" i="1"/>
  <c r="AU27" i="1"/>
  <c r="AV28" i="1" s="1"/>
  <c r="AT27" i="1"/>
  <c r="AS27" i="1"/>
  <c r="AI27" i="1"/>
  <c r="AH27" i="1"/>
  <c r="AD27" i="1"/>
  <c r="AC27" i="1"/>
  <c r="AX26" i="1"/>
  <c r="AT26" i="1"/>
  <c r="AS26" i="1"/>
  <c r="AI26" i="1"/>
  <c r="AH26" i="1"/>
  <c r="AK27" i="1" s="1"/>
  <c r="AD26" i="1"/>
  <c r="AC26" i="1"/>
  <c r="AX25" i="1"/>
  <c r="AV25" i="1"/>
  <c r="AU25" i="1"/>
  <c r="AT25" i="1"/>
  <c r="AS25" i="1"/>
  <c r="AV26" i="1" s="1"/>
  <c r="AI25" i="1"/>
  <c r="AH25" i="1"/>
  <c r="AD25" i="1"/>
  <c r="AC25" i="1"/>
  <c r="AT24" i="1"/>
  <c r="AS24" i="1"/>
  <c r="AI24" i="1"/>
  <c r="AH24" i="1"/>
  <c r="AD24" i="1"/>
  <c r="AC24" i="1"/>
  <c r="AT23" i="1"/>
  <c r="AS23" i="1"/>
  <c r="AV24" i="1" s="1"/>
  <c r="AX24" i="1" s="1"/>
  <c r="AI23" i="1"/>
  <c r="AH23" i="1"/>
  <c r="AD23" i="1"/>
  <c r="AC23" i="1"/>
  <c r="AV22" i="1"/>
  <c r="AU23" i="1" s="1"/>
  <c r="AU22" i="1"/>
  <c r="AT22" i="1"/>
  <c r="AS22" i="1"/>
  <c r="AM22" i="1"/>
  <c r="AL22" i="1"/>
  <c r="AN22" i="1" s="1"/>
  <c r="AK22" i="1"/>
  <c r="AJ22" i="1"/>
  <c r="AI22" i="1"/>
  <c r="AH22" i="1"/>
  <c r="AD22" i="1"/>
  <c r="AX22" i="1" s="1"/>
  <c r="AY22" i="1" s="1"/>
  <c r="AC22" i="1"/>
  <c r="AW22" i="1" s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D5" i="1"/>
  <c r="AC5" i="1"/>
  <c r="AD4" i="1"/>
  <c r="AC4" i="1"/>
  <c r="AD3" i="1"/>
  <c r="AC3" i="1"/>
  <c r="BD1" i="1"/>
  <c r="AK142" i="1" l="1"/>
  <c r="AM142" i="1" s="1"/>
  <c r="AJ49" i="1"/>
  <c r="AK52" i="1"/>
  <c r="AM104" i="1"/>
  <c r="AL104" i="1"/>
  <c r="AN104" i="1" s="1"/>
  <c r="AJ104" i="1"/>
  <c r="AK105" i="1" s="1"/>
  <c r="AM135" i="1"/>
  <c r="AL135" i="1"/>
  <c r="AJ135" i="1"/>
  <c r="AK136" i="1" s="1"/>
  <c r="AJ136" i="1" s="1"/>
  <c r="AL152" i="1"/>
  <c r="AJ152" i="1"/>
  <c r="AK153" i="1" s="1"/>
  <c r="AM153" i="1" s="1"/>
  <c r="AN78" i="1"/>
  <c r="AK137" i="1"/>
  <c r="AM137" i="1" s="1"/>
  <c r="AK35" i="1"/>
  <c r="AM35" i="1" s="1"/>
  <c r="AK70" i="1"/>
  <c r="AL78" i="1"/>
  <c r="AK66" i="1"/>
  <c r="AL66" i="1" s="1"/>
  <c r="AK39" i="1"/>
  <c r="AL39" i="1" s="1"/>
  <c r="AK108" i="1"/>
  <c r="AL108" i="1" s="1"/>
  <c r="AK107" i="1"/>
  <c r="AJ107" i="1" s="1"/>
  <c r="AK143" i="1"/>
  <c r="AK145" i="1"/>
  <c r="AK68" i="1"/>
  <c r="AM68" i="1" s="1"/>
  <c r="AL107" i="1"/>
  <c r="AM152" i="1"/>
  <c r="AL143" i="1"/>
  <c r="AK149" i="1"/>
  <c r="AM149" i="1" s="1"/>
  <c r="AJ46" i="1"/>
  <c r="AK47" i="1" s="1"/>
  <c r="AK28" i="1"/>
  <c r="AL141" i="1"/>
  <c r="AK69" i="1"/>
  <c r="AM69" i="1" s="1"/>
  <c r="AK75" i="1"/>
  <c r="AJ75" i="1" s="1"/>
  <c r="AK23" i="1"/>
  <c r="AL23" i="1" s="1"/>
  <c r="AX28" i="1"/>
  <c r="AU29" i="1"/>
  <c r="AW28" i="1"/>
  <c r="AU42" i="1"/>
  <c r="AX41" i="1"/>
  <c r="AW41" i="1"/>
  <c r="AY41" i="1" s="1"/>
  <c r="AL38" i="1"/>
  <c r="AJ38" i="1"/>
  <c r="AM38" i="1"/>
  <c r="AU52" i="1"/>
  <c r="AW51" i="1"/>
  <c r="AY51" i="1" s="1"/>
  <c r="AX51" i="1"/>
  <c r="AU83" i="1"/>
  <c r="AX82" i="1"/>
  <c r="AU70" i="1"/>
  <c r="AX69" i="1"/>
  <c r="AW69" i="1"/>
  <c r="AL27" i="1"/>
  <c r="AM27" i="1"/>
  <c r="AJ27" i="1"/>
  <c r="AX53" i="1"/>
  <c r="AU54" i="1"/>
  <c r="AW53" i="1"/>
  <c r="AY53" i="1" s="1"/>
  <c r="AU57" i="1"/>
  <c r="AX56" i="1"/>
  <c r="AW56" i="1"/>
  <c r="AY56" i="1" s="1"/>
  <c r="AX46" i="1"/>
  <c r="AW46" i="1"/>
  <c r="AY46" i="1" s="1"/>
  <c r="AU47" i="1"/>
  <c r="AV48" i="1" s="1"/>
  <c r="AU87" i="1"/>
  <c r="AX86" i="1"/>
  <c r="AW86" i="1"/>
  <c r="AY86" i="1" s="1"/>
  <c r="AW102" i="1"/>
  <c r="AX102" i="1"/>
  <c r="AU103" i="1"/>
  <c r="AW75" i="1"/>
  <c r="AY75" i="1" s="1"/>
  <c r="AU76" i="1"/>
  <c r="AU98" i="1"/>
  <c r="AW97" i="1"/>
  <c r="AX97" i="1"/>
  <c r="AL37" i="1"/>
  <c r="AM37" i="1"/>
  <c r="AX75" i="1"/>
  <c r="AJ36" i="1"/>
  <c r="AM36" i="1"/>
  <c r="AU44" i="1"/>
  <c r="AW43" i="1"/>
  <c r="AY43" i="1" s="1"/>
  <c r="AL49" i="1"/>
  <c r="AN49" i="1" s="1"/>
  <c r="AX55" i="1"/>
  <c r="AW55" i="1"/>
  <c r="AY55" i="1" s="1"/>
  <c r="AU56" i="1"/>
  <c r="AW65" i="1"/>
  <c r="AU66" i="1"/>
  <c r="AW125" i="1"/>
  <c r="AX125" i="1"/>
  <c r="AU126" i="1"/>
  <c r="AL148" i="1"/>
  <c r="AJ148" i="1"/>
  <c r="AM148" i="1"/>
  <c r="AJ23" i="1"/>
  <c r="AK24" i="1" s="1"/>
  <c r="AM23" i="1"/>
  <c r="AL36" i="1"/>
  <c r="AN36" i="1" s="1"/>
  <c r="BB36" i="1" s="1"/>
  <c r="AX65" i="1"/>
  <c r="AW81" i="1"/>
  <c r="AY81" i="1" s="1"/>
  <c r="AU82" i="1"/>
  <c r="AJ42" i="1"/>
  <c r="AM42" i="1"/>
  <c r="AL42" i="1"/>
  <c r="AW78" i="1"/>
  <c r="AU79" i="1"/>
  <c r="AV80" i="1" s="1"/>
  <c r="AX78" i="1"/>
  <c r="AU86" i="1"/>
  <c r="AW85" i="1"/>
  <c r="AY85" i="1" s="1"/>
  <c r="AX85" i="1"/>
  <c r="AX90" i="1"/>
  <c r="AU91" i="1"/>
  <c r="AW90" i="1"/>
  <c r="AY90" i="1" s="1"/>
  <c r="AX120" i="1"/>
  <c r="AY120" i="1" s="1"/>
  <c r="AX31" i="1"/>
  <c r="AU32" i="1"/>
  <c r="AW31" i="1"/>
  <c r="AY31" i="1" s="1"/>
  <c r="AW57" i="1"/>
  <c r="AX57" i="1"/>
  <c r="AU58" i="1"/>
  <c r="AW70" i="1"/>
  <c r="AX70" i="1"/>
  <c r="AU71" i="1"/>
  <c r="AV72" i="1" s="1"/>
  <c r="AL74" i="1"/>
  <c r="AJ74" i="1"/>
  <c r="AM74" i="1"/>
  <c r="AX89" i="1"/>
  <c r="AU90" i="1"/>
  <c r="AW89" i="1"/>
  <c r="AY89" i="1" s="1"/>
  <c r="AW134" i="1"/>
  <c r="AX134" i="1"/>
  <c r="AU135" i="1"/>
  <c r="AW39" i="1"/>
  <c r="AU40" i="1"/>
  <c r="AX39" i="1"/>
  <c r="AM79" i="1"/>
  <c r="AJ79" i="1"/>
  <c r="AL79" i="1"/>
  <c r="AX93" i="1"/>
  <c r="AW93" i="1"/>
  <c r="AY93" i="1" s="1"/>
  <c r="AU94" i="1"/>
  <c r="AZ22" i="1"/>
  <c r="BB22" i="1"/>
  <c r="AO22" i="1"/>
  <c r="AL31" i="1"/>
  <c r="AM31" i="1"/>
  <c r="AJ31" i="1"/>
  <c r="AU101" i="1"/>
  <c r="AX100" i="1"/>
  <c r="AW100" i="1"/>
  <c r="AY100" i="1" s="1"/>
  <c r="AW104" i="1"/>
  <c r="AX104" i="1"/>
  <c r="AU105" i="1"/>
  <c r="AV106" i="1" s="1"/>
  <c r="AM54" i="1"/>
  <c r="AL54" i="1"/>
  <c r="AN54" i="1" s="1"/>
  <c r="AJ54" i="1"/>
  <c r="AK55" i="1" s="1"/>
  <c r="AW82" i="1"/>
  <c r="AY82" i="1" s="1"/>
  <c r="AM84" i="1"/>
  <c r="AJ84" i="1"/>
  <c r="AL84" i="1"/>
  <c r="AW25" i="1"/>
  <c r="AY25" i="1" s="1"/>
  <c r="AU26" i="1"/>
  <c r="AV27" i="1" s="1"/>
  <c r="AL44" i="1"/>
  <c r="AM44" i="1"/>
  <c r="AJ44" i="1"/>
  <c r="AK45" i="1" s="1"/>
  <c r="AW64" i="1"/>
  <c r="AX64" i="1"/>
  <c r="AJ69" i="1"/>
  <c r="AM112" i="1"/>
  <c r="AL112" i="1"/>
  <c r="AJ112" i="1"/>
  <c r="AW141" i="1"/>
  <c r="AU142" i="1"/>
  <c r="AX141" i="1"/>
  <c r="AJ28" i="1"/>
  <c r="AM28" i="1"/>
  <c r="AL28" i="1"/>
  <c r="AN28" i="1" s="1"/>
  <c r="AU131" i="1"/>
  <c r="AX130" i="1"/>
  <c r="AW130" i="1"/>
  <c r="AU59" i="1"/>
  <c r="AW58" i="1"/>
  <c r="AX74" i="1"/>
  <c r="AW74" i="1"/>
  <c r="AY74" i="1" s="1"/>
  <c r="AL34" i="1"/>
  <c r="AJ34" i="1"/>
  <c r="AX58" i="1"/>
  <c r="AY127" i="1"/>
  <c r="AM34" i="1"/>
  <c r="AU39" i="1"/>
  <c r="AX38" i="1"/>
  <c r="AW38" i="1"/>
  <c r="AL46" i="1"/>
  <c r="AN46" i="1" s="1"/>
  <c r="AL83" i="1"/>
  <c r="AY91" i="1"/>
  <c r="AX96" i="1"/>
  <c r="AW96" i="1"/>
  <c r="AY96" i="1" s="1"/>
  <c r="BB103" i="1"/>
  <c r="AW119" i="1"/>
  <c r="AY119" i="1" s="1"/>
  <c r="AU120" i="1"/>
  <c r="AV23" i="1"/>
  <c r="AY30" i="1"/>
  <c r="AK33" i="1"/>
  <c r="AV49" i="1"/>
  <c r="AY73" i="1"/>
  <c r="AM83" i="1"/>
  <c r="AW95" i="1"/>
  <c r="AX95" i="1"/>
  <c r="AU96" i="1"/>
  <c r="AM110" i="1"/>
  <c r="AL110" i="1"/>
  <c r="AJ110" i="1"/>
  <c r="AK111" i="1" s="1"/>
  <c r="AW118" i="1"/>
  <c r="AY118" i="1" s="1"/>
  <c r="AU119" i="1"/>
  <c r="AX126" i="1"/>
  <c r="AY126" i="1" s="1"/>
  <c r="AY140" i="1"/>
  <c r="AL71" i="1"/>
  <c r="AM71" i="1"/>
  <c r="AJ71" i="1"/>
  <c r="AW84" i="1"/>
  <c r="AY84" i="1" s="1"/>
  <c r="AL132" i="1"/>
  <c r="AN132" i="1" s="1"/>
  <c r="AJ132" i="1"/>
  <c r="AK133" i="1" s="1"/>
  <c r="AN40" i="1"/>
  <c r="AM76" i="1"/>
  <c r="AL76" i="1"/>
  <c r="AJ76" i="1"/>
  <c r="AL155" i="1"/>
  <c r="AJ155" i="1"/>
  <c r="AM155" i="1"/>
  <c r="AU36" i="1"/>
  <c r="AX35" i="1"/>
  <c r="AW35" i="1"/>
  <c r="AY35" i="1" s="1"/>
  <c r="AX47" i="1"/>
  <c r="AX52" i="1"/>
  <c r="AW52" i="1"/>
  <c r="AY52" i="1" s="1"/>
  <c r="AW77" i="1"/>
  <c r="AY77" i="1" s="1"/>
  <c r="AM86" i="1"/>
  <c r="AL86" i="1"/>
  <c r="AJ86" i="1"/>
  <c r="AK87" i="1" s="1"/>
  <c r="AY87" i="1"/>
  <c r="AK113" i="1"/>
  <c r="AW132" i="1"/>
  <c r="AX132" i="1"/>
  <c r="AW142" i="1"/>
  <c r="AY142" i="1" s="1"/>
  <c r="AU143" i="1"/>
  <c r="AV144" i="1" s="1"/>
  <c r="AW24" i="1"/>
  <c r="AY24" i="1" s="1"/>
  <c r="AL29" i="1"/>
  <c r="AN29" i="1" s="1"/>
  <c r="AJ30" i="1"/>
  <c r="AW33" i="1"/>
  <c r="AY33" i="1" s="1"/>
  <c r="AW45" i="1"/>
  <c r="AY45" i="1" s="1"/>
  <c r="AM51" i="1"/>
  <c r="AL51" i="1"/>
  <c r="AW67" i="1"/>
  <c r="AX77" i="1"/>
  <c r="AW94" i="1"/>
  <c r="AU104" i="1"/>
  <c r="AW103" i="1"/>
  <c r="AY103" i="1" s="1"/>
  <c r="AM107" i="1"/>
  <c r="AN107" i="1" s="1"/>
  <c r="AU125" i="1"/>
  <c r="AX124" i="1"/>
  <c r="AW124" i="1"/>
  <c r="AY124" i="1" s="1"/>
  <c r="AX136" i="1"/>
  <c r="AW136" i="1"/>
  <c r="AU137" i="1"/>
  <c r="AJ142" i="1"/>
  <c r="AL142" i="1"/>
  <c r="AW149" i="1"/>
  <c r="AX149" i="1"/>
  <c r="AU150" i="1"/>
  <c r="AU156" i="1"/>
  <c r="AX155" i="1"/>
  <c r="AY155" i="1" s="1"/>
  <c r="AV34" i="1"/>
  <c r="AX61" i="1"/>
  <c r="AW61" i="1"/>
  <c r="AL147" i="1"/>
  <c r="AN147" i="1" s="1"/>
  <c r="AJ147" i="1"/>
  <c r="AM147" i="1"/>
  <c r="AJ32" i="1"/>
  <c r="AW47" i="1"/>
  <c r="AY47" i="1" s="1"/>
  <c r="AM52" i="1"/>
  <c r="AL52" i="1"/>
  <c r="AN52" i="1" s="1"/>
  <c r="BB52" i="1" s="1"/>
  <c r="AJ52" i="1"/>
  <c r="AK53" i="1" s="1"/>
  <c r="AM32" i="1"/>
  <c r="AN32" i="1" s="1"/>
  <c r="AW26" i="1"/>
  <c r="AY26" i="1" s="1"/>
  <c r="AM29" i="1"/>
  <c r="AM30" i="1"/>
  <c r="AN30" i="1" s="1"/>
  <c r="BB30" i="1" s="1"/>
  <c r="AX45" i="1"/>
  <c r="AX67" i="1"/>
  <c r="AU72" i="1"/>
  <c r="AW71" i="1"/>
  <c r="AY71" i="1" s="1"/>
  <c r="AU88" i="1"/>
  <c r="AX87" i="1"/>
  <c r="AX94" i="1"/>
  <c r="AU141" i="1"/>
  <c r="AW32" i="1"/>
  <c r="AX32" i="1"/>
  <c r="AU33" i="1"/>
  <c r="AK50" i="1"/>
  <c r="AV66" i="1"/>
  <c r="AX71" i="1"/>
  <c r="AU75" i="1"/>
  <c r="AU118" i="1"/>
  <c r="AX117" i="1"/>
  <c r="AW117" i="1"/>
  <c r="AY117" i="1" s="1"/>
  <c r="AK41" i="1"/>
  <c r="AV44" i="1"/>
  <c r="AK88" i="1"/>
  <c r="AK106" i="1"/>
  <c r="AU117" i="1"/>
  <c r="AX116" i="1"/>
  <c r="AW116" i="1"/>
  <c r="AU124" i="1"/>
  <c r="AX123" i="1"/>
  <c r="AX133" i="1"/>
  <c r="AY133" i="1" s="1"/>
  <c r="AJ137" i="1"/>
  <c r="AK138" i="1" s="1"/>
  <c r="AX139" i="1"/>
  <c r="AY139" i="1" s="1"/>
  <c r="AV60" i="1"/>
  <c r="AW114" i="1"/>
  <c r="AY114" i="1" s="1"/>
  <c r="AU115" i="1"/>
  <c r="AX115" i="1"/>
  <c r="AW115" i="1"/>
  <c r="AY115" i="1" s="1"/>
  <c r="AW123" i="1"/>
  <c r="AU132" i="1"/>
  <c r="AX131" i="1"/>
  <c r="AY131" i="1" s="1"/>
  <c r="AK48" i="1"/>
  <c r="AW59" i="1"/>
  <c r="AY59" i="1" s="1"/>
  <c r="AK67" i="1"/>
  <c r="AK72" i="1"/>
  <c r="AK77" i="1"/>
  <c r="AX122" i="1"/>
  <c r="AW122" i="1"/>
  <c r="AY122" i="1" s="1"/>
  <c r="AU123" i="1"/>
  <c r="AL150" i="1"/>
  <c r="AM150" i="1"/>
  <c r="AJ150" i="1"/>
  <c r="AN141" i="1"/>
  <c r="AU144" i="1"/>
  <c r="AW143" i="1"/>
  <c r="AX143" i="1"/>
  <c r="AX147" i="1"/>
  <c r="AU148" i="1"/>
  <c r="AW147" i="1"/>
  <c r="AY147" i="1" s="1"/>
  <c r="AX152" i="1"/>
  <c r="AW152" i="1"/>
  <c r="AY113" i="1"/>
  <c r="AU138" i="1"/>
  <c r="AX137" i="1"/>
  <c r="AM141" i="1"/>
  <c r="AK156" i="1"/>
  <c r="AV40" i="1"/>
  <c r="AV54" i="1"/>
  <c r="AV63" i="1"/>
  <c r="AV88" i="1"/>
  <c r="AU128" i="1"/>
  <c r="AX127" i="1"/>
  <c r="AW137" i="1"/>
  <c r="AU154" i="1"/>
  <c r="AW153" i="1"/>
  <c r="AY153" i="1" s="1"/>
  <c r="AU152" i="1"/>
  <c r="AX151" i="1"/>
  <c r="AW151" i="1"/>
  <c r="AY151" i="1" s="1"/>
  <c r="AW105" i="1"/>
  <c r="AX105" i="1"/>
  <c r="AU106" i="1"/>
  <c r="AV107" i="1" s="1"/>
  <c r="AV111" i="1"/>
  <c r="AK80" i="1"/>
  <c r="AU92" i="1"/>
  <c r="AX91" i="1"/>
  <c r="AM98" i="1"/>
  <c r="AL98" i="1"/>
  <c r="AJ98" i="1"/>
  <c r="AK99" i="1" s="1"/>
  <c r="AV121" i="1"/>
  <c r="AK85" i="1"/>
  <c r="AU93" i="1"/>
  <c r="AX92" i="1"/>
  <c r="AY92" i="1" s="1"/>
  <c r="AV128" i="1"/>
  <c r="AV135" i="1"/>
  <c r="AW156" i="1"/>
  <c r="AX156" i="1"/>
  <c r="AK151" i="1"/>
  <c r="AK43" i="1"/>
  <c r="AK109" i="1"/>
  <c r="AU146" i="1"/>
  <c r="AU139" i="1"/>
  <c r="AX138" i="1"/>
  <c r="AY138" i="1" s="1"/>
  <c r="AV98" i="1"/>
  <c r="AK144" i="1"/>
  <c r="AK73" i="1"/>
  <c r="AL137" i="1" l="1"/>
  <c r="AN152" i="1"/>
  <c r="AJ68" i="1"/>
  <c r="AL68" i="1"/>
  <c r="AN68" i="1" s="1"/>
  <c r="AM136" i="1"/>
  <c r="AN155" i="1"/>
  <c r="AL136" i="1"/>
  <c r="AN136" i="1" s="1"/>
  <c r="AN23" i="1"/>
  <c r="BB23" i="1" s="1"/>
  <c r="AJ66" i="1"/>
  <c r="AN76" i="1"/>
  <c r="BB76" i="1" s="1"/>
  <c r="AN110" i="1"/>
  <c r="AN42" i="1"/>
  <c r="BB42" i="1" s="1"/>
  <c r="AN74" i="1"/>
  <c r="BB74" i="1" s="1"/>
  <c r="AN51" i="1"/>
  <c r="BB51" i="1" s="1"/>
  <c r="AJ149" i="1"/>
  <c r="AJ108" i="1"/>
  <c r="AJ99" i="1"/>
  <c r="AK100" i="1" s="1"/>
  <c r="AL99" i="1"/>
  <c r="AM99" i="1"/>
  <c r="AL24" i="1"/>
  <c r="AM24" i="1"/>
  <c r="AJ24" i="1"/>
  <c r="AK25" i="1" s="1"/>
  <c r="AJ25" i="1" s="1"/>
  <c r="AK26" i="1" s="1"/>
  <c r="AL149" i="1"/>
  <c r="AN149" i="1" s="1"/>
  <c r="BB149" i="1" s="1"/>
  <c r="AM108" i="1"/>
  <c r="AN108" i="1" s="1"/>
  <c r="AL153" i="1"/>
  <c r="AN153" i="1" s="1"/>
  <c r="BB153" i="1" s="1"/>
  <c r="AJ153" i="1"/>
  <c r="AK154" i="1" s="1"/>
  <c r="AL154" i="1" s="1"/>
  <c r="AM75" i="1"/>
  <c r="AJ70" i="1"/>
  <c r="AM70" i="1"/>
  <c r="AL70" i="1"/>
  <c r="AN70" i="1" s="1"/>
  <c r="AJ35" i="1"/>
  <c r="AL35" i="1"/>
  <c r="AN35" i="1" s="1"/>
  <c r="BB35" i="1" s="1"/>
  <c r="AL75" i="1"/>
  <c r="AM66" i="1"/>
  <c r="AJ39" i="1"/>
  <c r="AN79" i="1"/>
  <c r="BB79" i="1" s="1"/>
  <c r="AM145" i="1"/>
  <c r="AL145" i="1"/>
  <c r="AN145" i="1" s="1"/>
  <c r="BB145" i="1" s="1"/>
  <c r="AJ145" i="1"/>
  <c r="AN135" i="1"/>
  <c r="AM39" i="1"/>
  <c r="AN39" i="1" s="1"/>
  <c r="AM143" i="1"/>
  <c r="AN143" i="1" s="1"/>
  <c r="AJ143" i="1"/>
  <c r="AN86" i="1"/>
  <c r="BB86" i="1" s="1"/>
  <c r="AL69" i="1"/>
  <c r="AN69" i="1" s="1"/>
  <c r="AM45" i="1"/>
  <c r="AJ45" i="1"/>
  <c r="AL45" i="1"/>
  <c r="AU145" i="1"/>
  <c r="AV146" i="1" s="1"/>
  <c r="AX144" i="1"/>
  <c r="AW144" i="1"/>
  <c r="AY144" i="1" s="1"/>
  <c r="AM154" i="1"/>
  <c r="AM25" i="1"/>
  <c r="AL25" i="1"/>
  <c r="AN25" i="1" s="1"/>
  <c r="BB25" i="1" s="1"/>
  <c r="AU49" i="1"/>
  <c r="AW48" i="1"/>
  <c r="AY48" i="1" s="1"/>
  <c r="AX48" i="1"/>
  <c r="AM55" i="1"/>
  <c r="AL55" i="1"/>
  <c r="AN55" i="1" s="1"/>
  <c r="BB55" i="1" s="1"/>
  <c r="AJ55" i="1"/>
  <c r="AK56" i="1" s="1"/>
  <c r="AW107" i="1"/>
  <c r="AX107" i="1"/>
  <c r="AU108" i="1"/>
  <c r="AV109" i="1" s="1"/>
  <c r="AY57" i="1"/>
  <c r="AW128" i="1"/>
  <c r="AY128" i="1" s="1"/>
  <c r="AU129" i="1"/>
  <c r="AX128" i="1"/>
  <c r="AX23" i="1"/>
  <c r="AU24" i="1"/>
  <c r="AW23" i="1"/>
  <c r="AY23" i="1" s="1"/>
  <c r="AZ23" i="1" s="1"/>
  <c r="AZ24" i="1" s="1"/>
  <c r="AZ25" i="1" s="1"/>
  <c r="AZ26" i="1" s="1"/>
  <c r="AZ27" i="1" s="1"/>
  <c r="AZ28" i="1" s="1"/>
  <c r="AW106" i="1"/>
  <c r="AY106" i="1" s="1"/>
  <c r="AU107" i="1"/>
  <c r="AV108" i="1" s="1"/>
  <c r="AX106" i="1"/>
  <c r="AN31" i="1"/>
  <c r="BB31" i="1" s="1"/>
  <c r="AN27" i="1"/>
  <c r="BB27" i="1" s="1"/>
  <c r="AL111" i="1"/>
  <c r="AM111" i="1"/>
  <c r="AJ111" i="1"/>
  <c r="AL53" i="1"/>
  <c r="AM53" i="1"/>
  <c r="AJ53" i="1"/>
  <c r="AM77" i="1"/>
  <c r="AJ77" i="1"/>
  <c r="AL77" i="1"/>
  <c r="AY134" i="1"/>
  <c r="AU55" i="1"/>
  <c r="AW54" i="1"/>
  <c r="AX54" i="1"/>
  <c r="AY78" i="1"/>
  <c r="BB78" i="1" s="1"/>
  <c r="AN38" i="1"/>
  <c r="AW121" i="1"/>
  <c r="AY121" i="1" s="1"/>
  <c r="AU122" i="1"/>
  <c r="AX121" i="1"/>
  <c r="AY143" i="1"/>
  <c r="AX60" i="1"/>
  <c r="AW60" i="1"/>
  <c r="AY60" i="1" s="1"/>
  <c r="AU61" i="1"/>
  <c r="AY95" i="1"/>
  <c r="AY64" i="1"/>
  <c r="AM156" i="1"/>
  <c r="AL156" i="1"/>
  <c r="AN156" i="1" s="1"/>
  <c r="AJ156" i="1"/>
  <c r="AM48" i="1"/>
  <c r="AL48" i="1"/>
  <c r="AN48" i="1" s="1"/>
  <c r="BB48" i="1" s="1"/>
  <c r="AJ48" i="1"/>
  <c r="AU45" i="1"/>
  <c r="AX44" i="1"/>
  <c r="AW44" i="1"/>
  <c r="AM133" i="1"/>
  <c r="AL133" i="1"/>
  <c r="AN133" i="1" s="1"/>
  <c r="BB133" i="1" s="1"/>
  <c r="AJ133" i="1"/>
  <c r="AK134" i="1" s="1"/>
  <c r="BB141" i="1"/>
  <c r="AM41" i="1"/>
  <c r="AL41" i="1"/>
  <c r="AJ41" i="1"/>
  <c r="AY149" i="1"/>
  <c r="AY58" i="1"/>
  <c r="AO23" i="1"/>
  <c r="AN148" i="1"/>
  <c r="AU99" i="1"/>
  <c r="AW98" i="1"/>
  <c r="AY98" i="1" s="1"/>
  <c r="AX98" i="1"/>
  <c r="AL87" i="1"/>
  <c r="AM87" i="1"/>
  <c r="AJ87" i="1"/>
  <c r="AJ85" i="1"/>
  <c r="AL85" i="1"/>
  <c r="AM85" i="1"/>
  <c r="AM106" i="1"/>
  <c r="AL106" i="1"/>
  <c r="AN106" i="1" s="1"/>
  <c r="AJ106" i="1"/>
  <c r="AN71" i="1"/>
  <c r="BB71" i="1" s="1"/>
  <c r="AY105" i="1"/>
  <c r="BB49" i="1"/>
  <c r="BB28" i="1"/>
  <c r="AJ109" i="1"/>
  <c r="AL109" i="1"/>
  <c r="AM109" i="1"/>
  <c r="AN98" i="1"/>
  <c r="AN137" i="1"/>
  <c r="BB137" i="1" s="1"/>
  <c r="AL138" i="1"/>
  <c r="AM138" i="1"/>
  <c r="AJ138" i="1"/>
  <c r="AK139" i="1" s="1"/>
  <c r="AX66" i="1"/>
  <c r="AW66" i="1"/>
  <c r="AU67" i="1"/>
  <c r="AV68" i="1" s="1"/>
  <c r="AN142" i="1"/>
  <c r="BB142" i="1" s="1"/>
  <c r="AY94" i="1"/>
  <c r="BB132" i="1"/>
  <c r="AN83" i="1"/>
  <c r="BB83" i="1" s="1"/>
  <c r="AN34" i="1"/>
  <c r="AN44" i="1"/>
  <c r="AY104" i="1"/>
  <c r="BB104" i="1" s="1"/>
  <c r="AY69" i="1"/>
  <c r="AJ67" i="1"/>
  <c r="AM67" i="1"/>
  <c r="AL67" i="1"/>
  <c r="AM50" i="1"/>
  <c r="AJ50" i="1"/>
  <c r="AL50" i="1"/>
  <c r="AN50" i="1" s="1"/>
  <c r="BB50" i="1" s="1"/>
  <c r="BB147" i="1"/>
  <c r="BB46" i="1"/>
  <c r="AW27" i="1"/>
  <c r="AY27" i="1" s="1"/>
  <c r="AU28" i="1"/>
  <c r="AV29" i="1" s="1"/>
  <c r="AX27" i="1"/>
  <c r="BB155" i="1"/>
  <c r="AW111" i="1"/>
  <c r="AU112" i="1"/>
  <c r="AX111" i="1"/>
  <c r="AW34" i="1"/>
  <c r="AX34" i="1"/>
  <c r="AU35" i="1"/>
  <c r="AY97" i="1"/>
  <c r="AW88" i="1"/>
  <c r="AY88" i="1" s="1"/>
  <c r="AU89" i="1"/>
  <c r="AX88" i="1"/>
  <c r="AW63" i="1"/>
  <c r="AY63" i="1" s="1"/>
  <c r="AX63" i="1"/>
  <c r="AU64" i="1"/>
  <c r="AJ72" i="1"/>
  <c r="AL72" i="1"/>
  <c r="AM72" i="1"/>
  <c r="AL47" i="1"/>
  <c r="AJ47" i="1"/>
  <c r="AM47" i="1"/>
  <c r="AL43" i="1"/>
  <c r="AM43" i="1"/>
  <c r="AJ43" i="1"/>
  <c r="AL151" i="1"/>
  <c r="AJ151" i="1"/>
  <c r="AM151" i="1"/>
  <c r="AN150" i="1"/>
  <c r="AY67" i="1"/>
  <c r="AX49" i="1"/>
  <c r="AW49" i="1"/>
  <c r="AY49" i="1" s="1"/>
  <c r="AU50" i="1"/>
  <c r="AY38" i="1"/>
  <c r="BC22" i="1"/>
  <c r="AW72" i="1"/>
  <c r="AX72" i="1"/>
  <c r="AU73" i="1"/>
  <c r="AY125" i="1"/>
  <c r="AY102" i="1"/>
  <c r="AX80" i="1"/>
  <c r="AW80" i="1"/>
  <c r="AU81" i="1"/>
  <c r="AJ73" i="1"/>
  <c r="AM73" i="1"/>
  <c r="AL73" i="1"/>
  <c r="AY137" i="1"/>
  <c r="AY141" i="1"/>
  <c r="AY28" i="1"/>
  <c r="AM105" i="1"/>
  <c r="AL105" i="1"/>
  <c r="AN105" i="1" s="1"/>
  <c r="AJ105" i="1"/>
  <c r="AY65" i="1"/>
  <c r="BB69" i="1"/>
  <c r="AM88" i="1"/>
  <c r="AJ88" i="1"/>
  <c r="AK89" i="1" s="1"/>
  <c r="AL88" i="1"/>
  <c r="AU41" i="1"/>
  <c r="AX40" i="1"/>
  <c r="AW40" i="1"/>
  <c r="AY40" i="1" s="1"/>
  <c r="BB40" i="1" s="1"/>
  <c r="AY156" i="1"/>
  <c r="AY123" i="1"/>
  <c r="AY32" i="1"/>
  <c r="BB32" i="1" s="1"/>
  <c r="AY136" i="1"/>
  <c r="BB136" i="1" s="1"/>
  <c r="AY132" i="1"/>
  <c r="AJ33" i="1"/>
  <c r="AM33" i="1"/>
  <c r="AL33" i="1"/>
  <c r="AY70" i="1"/>
  <c r="AN37" i="1"/>
  <c r="BB37" i="1" s="1"/>
  <c r="AJ144" i="1"/>
  <c r="AL144" i="1"/>
  <c r="AN144" i="1" s="1"/>
  <c r="BB144" i="1" s="1"/>
  <c r="AM144" i="1"/>
  <c r="AW135" i="1"/>
  <c r="AY135" i="1" s="1"/>
  <c r="AU136" i="1"/>
  <c r="AX135" i="1"/>
  <c r="AM80" i="1"/>
  <c r="AJ80" i="1"/>
  <c r="AK81" i="1" s="1"/>
  <c r="AL80" i="1"/>
  <c r="AY152" i="1"/>
  <c r="BB152" i="1" s="1"/>
  <c r="AY116" i="1"/>
  <c r="AY61" i="1"/>
  <c r="AN66" i="1"/>
  <c r="AM113" i="1"/>
  <c r="AL113" i="1"/>
  <c r="AJ113" i="1"/>
  <c r="AK114" i="1" s="1"/>
  <c r="AY130" i="1"/>
  <c r="AN112" i="1"/>
  <c r="AN84" i="1"/>
  <c r="BB84" i="1" s="1"/>
  <c r="AY39" i="1"/>
  <c r="AJ154" i="1" l="1"/>
  <c r="AN24" i="1"/>
  <c r="BB24" i="1" s="1"/>
  <c r="AN88" i="1"/>
  <c r="BB88" i="1" s="1"/>
  <c r="AN111" i="1"/>
  <c r="BB111" i="1" s="1"/>
  <c r="AN99" i="1"/>
  <c r="BB99" i="1" s="1"/>
  <c r="AM100" i="1"/>
  <c r="AL100" i="1"/>
  <c r="AN100" i="1" s="1"/>
  <c r="BB100" i="1" s="1"/>
  <c r="AJ100" i="1"/>
  <c r="AK101" i="1" s="1"/>
  <c r="BB70" i="1"/>
  <c r="AN151" i="1"/>
  <c r="BB151" i="1" s="1"/>
  <c r="AM89" i="1"/>
  <c r="AL89" i="1"/>
  <c r="AN89" i="1" s="1"/>
  <c r="BB89" i="1" s="1"/>
  <c r="AJ89" i="1"/>
  <c r="AK90" i="1" s="1"/>
  <c r="BB39" i="1"/>
  <c r="BC23" i="1"/>
  <c r="BC24" i="1" s="1"/>
  <c r="BC25" i="1" s="1"/>
  <c r="AN47" i="1"/>
  <c r="BB47" i="1" s="1"/>
  <c r="BB143" i="1"/>
  <c r="AN75" i="1"/>
  <c r="BB75" i="1" s="1"/>
  <c r="BB135" i="1"/>
  <c r="AN72" i="1"/>
  <c r="AN138" i="1"/>
  <c r="BB138" i="1" s="1"/>
  <c r="AN53" i="1"/>
  <c r="BB53" i="1" s="1"/>
  <c r="AY34" i="1"/>
  <c r="AN87" i="1"/>
  <c r="BB87" i="1" s="1"/>
  <c r="AY80" i="1"/>
  <c r="AX68" i="1"/>
  <c r="AW68" i="1"/>
  <c r="AU69" i="1"/>
  <c r="AY107" i="1"/>
  <c r="BB107" i="1" s="1"/>
  <c r="AY54" i="1"/>
  <c r="BB54" i="1" s="1"/>
  <c r="BB72" i="1"/>
  <c r="AY111" i="1"/>
  <c r="AN67" i="1"/>
  <c r="BB67" i="1" s="1"/>
  <c r="AY66" i="1"/>
  <c r="AY44" i="1"/>
  <c r="AU109" i="1"/>
  <c r="AV110" i="1" s="1"/>
  <c r="AX108" i="1"/>
  <c r="AW108" i="1"/>
  <c r="AY108" i="1" s="1"/>
  <c r="BB108" i="1" s="1"/>
  <c r="AL56" i="1"/>
  <c r="AM56" i="1"/>
  <c r="AJ56" i="1"/>
  <c r="AK57" i="1" s="1"/>
  <c r="AM134" i="1"/>
  <c r="AJ134" i="1"/>
  <c r="AL134" i="1"/>
  <c r="BB105" i="1"/>
  <c r="BB106" i="1"/>
  <c r="AL139" i="1"/>
  <c r="AM139" i="1"/>
  <c r="AJ139" i="1"/>
  <c r="AK140" i="1" s="1"/>
  <c r="AN77" i="1"/>
  <c r="BB77" i="1" s="1"/>
  <c r="AN80" i="1"/>
  <c r="AN33" i="1"/>
  <c r="BB33" i="1" s="1"/>
  <c r="AN154" i="1"/>
  <c r="BB154" i="1" s="1"/>
  <c r="AO24" i="1"/>
  <c r="AO25" i="1" s="1"/>
  <c r="AN85" i="1"/>
  <c r="BB85" i="1" s="1"/>
  <c r="AY72" i="1"/>
  <c r="AU30" i="1"/>
  <c r="AX29" i="1"/>
  <c r="AW29" i="1"/>
  <c r="AY29" i="1" s="1"/>
  <c r="BB29" i="1" s="1"/>
  <c r="BB98" i="1"/>
  <c r="AU147" i="1"/>
  <c r="AV148" i="1" s="1"/>
  <c r="AX146" i="1"/>
  <c r="AW146" i="1"/>
  <c r="BB66" i="1"/>
  <c r="AU110" i="1"/>
  <c r="AX109" i="1"/>
  <c r="AW109" i="1"/>
  <c r="AY109" i="1" s="1"/>
  <c r="AJ81" i="1"/>
  <c r="AK82" i="1" s="1"/>
  <c r="AM81" i="1"/>
  <c r="AL81" i="1"/>
  <c r="AJ114" i="1"/>
  <c r="AK115" i="1" s="1"/>
  <c r="AM114" i="1"/>
  <c r="AL114" i="1"/>
  <c r="AN114" i="1" s="1"/>
  <c r="BB114" i="1" s="1"/>
  <c r="BB44" i="1"/>
  <c r="BB156" i="1"/>
  <c r="AN45" i="1"/>
  <c r="BB45" i="1" s="1"/>
  <c r="AN113" i="1"/>
  <c r="BB113" i="1" s="1"/>
  <c r="AN43" i="1"/>
  <c r="BB43" i="1" s="1"/>
  <c r="BB34" i="1"/>
  <c r="AN109" i="1"/>
  <c r="AN41" i="1"/>
  <c r="BB41" i="1" s="1"/>
  <c r="BB38" i="1"/>
  <c r="AN73" i="1"/>
  <c r="BB73" i="1" s="1"/>
  <c r="AL26" i="1"/>
  <c r="AM26" i="1"/>
  <c r="AJ26" i="1"/>
  <c r="AN56" i="1" l="1"/>
  <c r="BB56" i="1" s="1"/>
  <c r="AN134" i="1"/>
  <c r="BB134" i="1" s="1"/>
  <c r="AJ90" i="1"/>
  <c r="AK91" i="1" s="1"/>
  <c r="AM90" i="1"/>
  <c r="AL90" i="1"/>
  <c r="AL101" i="1"/>
  <c r="AM101" i="1"/>
  <c r="AJ101" i="1"/>
  <c r="AK102" i="1" s="1"/>
  <c r="AJ57" i="1"/>
  <c r="AK58" i="1" s="1"/>
  <c r="AM57" i="1"/>
  <c r="AL57" i="1"/>
  <c r="AN57" i="1" s="1"/>
  <c r="BB57" i="1" s="1"/>
  <c r="AY146" i="1"/>
  <c r="BB146" i="1" s="1"/>
  <c r="AY68" i="1"/>
  <c r="BB68" i="1" s="1"/>
  <c r="BB109" i="1"/>
  <c r="AM115" i="1"/>
  <c r="AJ115" i="1"/>
  <c r="AK116" i="1" s="1"/>
  <c r="AL115" i="1"/>
  <c r="AN115" i="1" s="1"/>
  <c r="BB115" i="1" s="1"/>
  <c r="AU111" i="1"/>
  <c r="AV112" i="1" s="1"/>
  <c r="AX110" i="1"/>
  <c r="AW110" i="1"/>
  <c r="AY110" i="1" s="1"/>
  <c r="BB110" i="1" s="1"/>
  <c r="BB80" i="1"/>
  <c r="AM140" i="1"/>
  <c r="AL140" i="1"/>
  <c r="AJ140" i="1"/>
  <c r="AN81" i="1"/>
  <c r="BB81" i="1" s="1"/>
  <c r="AN139" i="1"/>
  <c r="BB139" i="1" s="1"/>
  <c r="AU149" i="1"/>
  <c r="AV150" i="1" s="1"/>
  <c r="AX148" i="1"/>
  <c r="AW148" i="1"/>
  <c r="AY148" i="1" s="1"/>
  <c r="BB148" i="1" s="1"/>
  <c r="AN26" i="1"/>
  <c r="AM82" i="1"/>
  <c r="AL82" i="1"/>
  <c r="AJ82" i="1"/>
  <c r="AZ29" i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N101" i="1" l="1"/>
  <c r="BB101" i="1" s="1"/>
  <c r="AN82" i="1"/>
  <c r="BB82" i="1" s="1"/>
  <c r="AN90" i="1"/>
  <c r="BB90" i="1" s="1"/>
  <c r="AL91" i="1"/>
  <c r="AM91" i="1"/>
  <c r="AJ91" i="1"/>
  <c r="AK92" i="1" s="1"/>
  <c r="AJ116" i="1"/>
  <c r="AK117" i="1" s="1"/>
  <c r="AM116" i="1"/>
  <c r="AL116" i="1"/>
  <c r="AN116" i="1" s="1"/>
  <c r="BB116" i="1" s="1"/>
  <c r="AL58" i="1"/>
  <c r="AM58" i="1"/>
  <c r="AN58" i="1" s="1"/>
  <c r="BB58" i="1" s="1"/>
  <c r="AJ58" i="1"/>
  <c r="AK59" i="1" s="1"/>
  <c r="AM102" i="1"/>
  <c r="AJ102" i="1"/>
  <c r="AL102" i="1"/>
  <c r="BB26" i="1"/>
  <c r="AU151" i="1"/>
  <c r="AX150" i="1"/>
  <c r="AW150" i="1"/>
  <c r="AY150" i="1" s="1"/>
  <c r="BB150" i="1" s="1"/>
  <c r="AZ110" i="1"/>
  <c r="AZ111" i="1" s="1"/>
  <c r="AN140" i="1"/>
  <c r="BB140" i="1" s="1"/>
  <c r="AW112" i="1"/>
  <c r="AX112" i="1"/>
  <c r="AU113" i="1"/>
  <c r="AO26" i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N102" i="1" l="1"/>
  <c r="BB102" i="1" s="1"/>
  <c r="AJ92" i="1"/>
  <c r="AK93" i="1" s="1"/>
  <c r="AL92" i="1"/>
  <c r="AM92" i="1"/>
  <c r="AN91" i="1"/>
  <c r="BB91" i="1" s="1"/>
  <c r="AJ59" i="1"/>
  <c r="AK60" i="1" s="1"/>
  <c r="AL59" i="1"/>
  <c r="AM59" i="1"/>
  <c r="AM117" i="1"/>
  <c r="AL117" i="1"/>
  <c r="AN117" i="1" s="1"/>
  <c r="BB117" i="1" s="1"/>
  <c r="AJ117" i="1"/>
  <c r="AK118" i="1" s="1"/>
  <c r="AY112" i="1"/>
  <c r="BC26" i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AN92" i="1" l="1"/>
  <c r="BB92" i="1" s="1"/>
  <c r="AL93" i="1"/>
  <c r="AJ93" i="1"/>
  <c r="AK94" i="1" s="1"/>
  <c r="AM93" i="1"/>
  <c r="AM118" i="1"/>
  <c r="AJ118" i="1"/>
  <c r="AK119" i="1" s="1"/>
  <c r="AL118" i="1"/>
  <c r="AN118" i="1" s="1"/>
  <c r="BB118" i="1" s="1"/>
  <c r="AN59" i="1"/>
  <c r="AJ60" i="1"/>
  <c r="AK61" i="1" s="1"/>
  <c r="AM60" i="1"/>
  <c r="AL60" i="1"/>
  <c r="AN60" i="1" s="1"/>
  <c r="BB60" i="1" s="1"/>
  <c r="BB112" i="1"/>
  <c r="AY10" i="1"/>
  <c r="AY9" i="1"/>
  <c r="AZ112" i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Z154" i="1" s="1"/>
  <c r="AZ155" i="1" s="1"/>
  <c r="AZ156" i="1" s="1"/>
  <c r="AZ1" i="1" s="1"/>
  <c r="AM61" i="1" l="1"/>
  <c r="AJ61" i="1"/>
  <c r="AK62" i="1" s="1"/>
  <c r="AL61" i="1"/>
  <c r="AN61" i="1" s="1"/>
  <c r="BB61" i="1" s="1"/>
  <c r="BB59" i="1"/>
  <c r="BC59" i="1" s="1"/>
  <c r="BC60" i="1" s="1"/>
  <c r="BC61" i="1" s="1"/>
  <c r="AO59" i="1"/>
  <c r="AO60" i="1" s="1"/>
  <c r="AO61" i="1" s="1"/>
  <c r="AJ119" i="1"/>
  <c r="AK120" i="1" s="1"/>
  <c r="AM119" i="1"/>
  <c r="AL119" i="1"/>
  <c r="AN119" i="1" s="1"/>
  <c r="BB119" i="1" s="1"/>
  <c r="AL94" i="1"/>
  <c r="AM94" i="1"/>
  <c r="AJ94" i="1"/>
  <c r="AK95" i="1" s="1"/>
  <c r="AN93" i="1"/>
  <c r="BB93" i="1" s="1"/>
  <c r="AY11" i="1"/>
  <c r="AN94" i="1" l="1"/>
  <c r="BB94" i="1" s="1"/>
  <c r="AL95" i="1"/>
  <c r="AJ95" i="1"/>
  <c r="AK96" i="1" s="1"/>
  <c r="AM95" i="1"/>
  <c r="AL120" i="1"/>
  <c r="AM120" i="1"/>
  <c r="AJ120" i="1"/>
  <c r="AK121" i="1" s="1"/>
  <c r="AL62" i="1"/>
  <c r="AJ62" i="1"/>
  <c r="AK63" i="1" s="1"/>
  <c r="AM62" i="1"/>
  <c r="AN62" i="1" s="1"/>
  <c r="AO62" i="1" s="1"/>
  <c r="AN95" i="1" l="1"/>
  <c r="BB95" i="1" s="1"/>
  <c r="AL96" i="1"/>
  <c r="AJ96" i="1"/>
  <c r="AK97" i="1" s="1"/>
  <c r="AM96" i="1"/>
  <c r="BB62" i="1"/>
  <c r="AM63" i="1"/>
  <c r="AJ63" i="1"/>
  <c r="AK64" i="1" s="1"/>
  <c r="AL63" i="1"/>
  <c r="AN63" i="1" s="1"/>
  <c r="BB63" i="1" s="1"/>
  <c r="AL121" i="1"/>
  <c r="AM121" i="1"/>
  <c r="AJ121" i="1"/>
  <c r="AK122" i="1" s="1"/>
  <c r="AN120" i="1"/>
  <c r="BB120" i="1" s="1"/>
  <c r="AO63" i="1" l="1"/>
  <c r="AN96" i="1"/>
  <c r="BB96" i="1" s="1"/>
  <c r="AJ97" i="1"/>
  <c r="AM97" i="1"/>
  <c r="AL97" i="1"/>
  <c r="AN97" i="1" s="1"/>
  <c r="BB97" i="1" s="1"/>
  <c r="AJ122" i="1"/>
  <c r="AK123" i="1" s="1"/>
  <c r="AM122" i="1"/>
  <c r="AL122" i="1"/>
  <c r="AN121" i="1"/>
  <c r="BB121" i="1" s="1"/>
  <c r="AL64" i="1"/>
  <c r="AM64" i="1"/>
  <c r="AJ64" i="1"/>
  <c r="AK65" i="1" s="1"/>
  <c r="BC62" i="1"/>
  <c r="BC63" i="1" s="1"/>
  <c r="AN64" i="1" l="1"/>
  <c r="AN122" i="1"/>
  <c r="BB122" i="1" s="1"/>
  <c r="AJ123" i="1"/>
  <c r="AK124" i="1" s="1"/>
  <c r="AM123" i="1"/>
  <c r="AL123" i="1"/>
  <c r="AN123" i="1" s="1"/>
  <c r="BB123" i="1" s="1"/>
  <c r="AM65" i="1"/>
  <c r="AL65" i="1"/>
  <c r="AN65" i="1" s="1"/>
  <c r="AJ65" i="1"/>
  <c r="BB64" i="1" l="1"/>
  <c r="BC64" i="1" s="1"/>
  <c r="AO64" i="1"/>
  <c r="BB65" i="1"/>
  <c r="AL124" i="1"/>
  <c r="AJ124" i="1"/>
  <c r="AK125" i="1" s="1"/>
  <c r="AM124" i="1"/>
  <c r="AO65" i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N124" i="1" l="1"/>
  <c r="BB124" i="1" s="1"/>
  <c r="BC65" i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AO124" i="1"/>
  <c r="AJ125" i="1"/>
  <c r="AK126" i="1" s="1"/>
  <c r="AL125" i="1"/>
  <c r="AM125" i="1"/>
  <c r="AN125" i="1" l="1"/>
  <c r="BB125" i="1" s="1"/>
  <c r="AJ126" i="1"/>
  <c r="AK127" i="1" s="1"/>
  <c r="AM126" i="1"/>
  <c r="AL126" i="1"/>
  <c r="AN126" i="1" s="1"/>
  <c r="BB126" i="1" s="1"/>
  <c r="AO125" i="1"/>
  <c r="AO126" i="1" s="1"/>
  <c r="BC125" i="1"/>
  <c r="BC126" i="1" s="1"/>
  <c r="AL127" i="1" l="1"/>
  <c r="AJ127" i="1"/>
  <c r="AK128" i="1" s="1"/>
  <c r="AM127" i="1"/>
  <c r="AJ128" i="1" l="1"/>
  <c r="AK129" i="1" s="1"/>
  <c r="AM128" i="1"/>
  <c r="AL128" i="1"/>
  <c r="AN128" i="1" s="1"/>
  <c r="BB128" i="1" s="1"/>
  <c r="AN127" i="1"/>
  <c r="AM129" i="1" l="1"/>
  <c r="AL129" i="1"/>
  <c r="AN129" i="1" s="1"/>
  <c r="BB129" i="1" s="1"/>
  <c r="AJ129" i="1"/>
  <c r="AK130" i="1" s="1"/>
  <c r="BB127" i="1"/>
  <c r="BC127" i="1" s="1"/>
  <c r="BC128" i="1" s="1"/>
  <c r="BC129" i="1" s="1"/>
  <c r="AO127" i="1"/>
  <c r="AO128" i="1" s="1"/>
  <c r="AO129" i="1" s="1"/>
  <c r="AJ130" i="1" l="1"/>
  <c r="AK131" i="1" s="1"/>
  <c r="AM130" i="1"/>
  <c r="AL130" i="1"/>
  <c r="AN130" i="1" s="1"/>
  <c r="BB130" i="1" s="1"/>
  <c r="BC130" i="1" s="1"/>
  <c r="AM131" i="1" l="1"/>
  <c r="AJ131" i="1"/>
  <c r="AL131" i="1"/>
  <c r="AN131" i="1" s="1"/>
  <c r="AO130" i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" i="1" s="1"/>
  <c r="BB131" i="1" l="1"/>
  <c r="AN10" i="1"/>
  <c r="AN9" i="1"/>
  <c r="AN11" i="1" s="1"/>
  <c r="BB9" i="1" l="1"/>
  <c r="BB10" i="1"/>
  <c r="BC131" i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" i="1" s="1"/>
  <c r="BB11" i="1" l="1"/>
</calcChain>
</file>

<file path=xl/sharedStrings.xml><?xml version="1.0" encoding="utf-8"?>
<sst xmlns="http://schemas.openxmlformats.org/spreadsheetml/2006/main" count="37" uniqueCount="32">
  <si>
    <t>date</t>
  </si>
  <si>
    <t>FALN</t>
  </si>
  <si>
    <t>ANGL</t>
  </si>
  <si>
    <t>ANGL/FALN</t>
  </si>
  <si>
    <t>ANGL/FALN avg</t>
  </si>
  <si>
    <t>ANGL/FALN 10 dma</t>
  </si>
  <si>
    <t>ANGL/FALN 20 dma</t>
  </si>
  <si>
    <t>FALN avg</t>
  </si>
  <si>
    <t>FALN 10 dma</t>
  </si>
  <si>
    <t>FALN 20 dma</t>
  </si>
  <si>
    <t>avg diff</t>
  </si>
  <si>
    <t>10 dma diff</t>
  </si>
  <si>
    <t>20 dma diff</t>
  </si>
  <si>
    <t>FALN div</t>
  </si>
  <si>
    <t>ANGL div</t>
  </si>
  <si>
    <t>FALN*</t>
  </si>
  <si>
    <t>ANGL*</t>
  </si>
  <si>
    <t>ANGL*/FALN*</t>
  </si>
  <si>
    <t>ANGL*/FALN* avg</t>
  </si>
  <si>
    <t>ANGL*/FALN* 10 dma</t>
  </si>
  <si>
    <t>ANGL*/FALN* 20 dma</t>
  </si>
  <si>
    <t>FALN* avg</t>
  </si>
  <si>
    <t>FALN* 10 dma</t>
  </si>
  <si>
    <t>FALN* 20 dma</t>
  </si>
  <si>
    <t>avg diff*</t>
  </si>
  <si>
    <t>10 dma diff*</t>
  </si>
  <si>
    <t>20 dma diff*</t>
  </si>
  <si>
    <t>signal</t>
  </si>
  <si>
    <t>under</t>
  </si>
  <si>
    <t>over</t>
  </si>
  <si>
    <t>yday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</si>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</sst>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  <numFmt numFmtId="166" formatCode="0.0000%"/>
    <numFmt numFmtId="167" formatCode="_(&quot;$&quot;* #,##0.000_);_(&quot;$&quot;* \(#,##0.000\);_(&quot;$&quot;* &quot;-&quot;??_);_(@_)"/>
    <numFmt numFmtId="168" formatCode="0.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164" fontId="18" fillId="0" borderId="0" xfId="2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18" fillId="0" borderId="0" xfId="3" applyNumberFormat="1" applyFont="1" applyAlignment="1">
      <alignment horizontal="right"/>
    </xf>
    <xf numFmtId="167" fontId="18" fillId="0" borderId="0" xfId="2" applyNumberFormat="1" applyFont="1" applyAlignment="1">
      <alignment horizontal="right"/>
    </xf>
    <xf numFmtId="44" fontId="18" fillId="0" borderId="0" xfId="2" applyFont="1" applyAlignment="1">
      <alignment horizontal="right"/>
    </xf>
    <xf numFmtId="168" fontId="18" fillId="0" borderId="0" xfId="3" applyNumberFormat="1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65" fontId="0" fillId="0" borderId="0" xfId="1" applyNumberFormat="1" applyFont="1"/>
    <xf numFmtId="166" fontId="0" fillId="0" borderId="0" xfId="3" applyNumberFormat="1" applyFont="1"/>
    <xf numFmtId="167" fontId="0" fillId="0" borderId="0" xfId="2" applyNumberFormat="1" applyFont="1"/>
    <xf numFmtId="44" fontId="0" fillId="0" borderId="0" xfId="2" applyFont="1"/>
    <xf numFmtId="44" fontId="14" fillId="0" borderId="0" xfId="2" applyFont="1"/>
    <xf numFmtId="165" fontId="14" fillId="0" borderId="0" xfId="1" applyNumberFormat="1" applyFont="1"/>
    <xf numFmtId="168" fontId="0" fillId="0" borderId="0" xfId="3" applyNumberFormat="1" applyFont="1"/>
    <xf numFmtId="164" fontId="14" fillId="0" borderId="0" xfId="2" applyNumberFormat="1" applyFont="1"/>
    <xf numFmtId="168" fontId="14" fillId="0" borderId="0" xfId="3" applyNumberFormat="1" applyFont="1"/>
    <xf numFmtId="10" fontId="0" fillId="0" borderId="0" xfId="3" applyNumberFormat="1" applyFont="1"/>
    <xf numFmtId="10" fontId="0" fillId="0" borderId="0" xfId="0" applyNumberFormat="1"/>
    <xf numFmtId="44" fontId="19" fillId="0" borderId="0" xfId="2" applyFont="1"/>
    <xf numFmtId="0" fontId="20" fillId="0" borderId="0" xfId="0" applyFont="1"/>
    <xf numFmtId="167" fontId="14" fillId="0" borderId="0" xfId="2" applyNumberFormat="1" applyFont="1"/>
    <xf numFmtId="0" fontId="0" fillId="34" borderId="0" xfId="0" applyFill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faln_angl!$E$1</c:f>
              <c:strCache>
                <c:ptCount val="1"/>
                <c:pt idx="0">
                  <c:v> ANGL/FALN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faln_angl!$E$2:$E$156</c:f>
              <c:numCache>
                <c:formatCode>_(* #,##0.0000_);_(* \(#,##0.0000\);_(* "-"??_);_(@_)</c:formatCode>
                <c:ptCount val="155"/>
                <c:pt idx="0">
                  <c:v>1.07488560571617</c:v>
                </c:pt>
                <c:pt idx="1">
                  <c:v>1.07488560571617</c:v>
                </c:pt>
                <c:pt idx="2">
                  <c:v>1.07488560571617</c:v>
                </c:pt>
                <c:pt idx="3">
                  <c:v>1.07488560571617</c:v>
                </c:pt>
                <c:pt idx="4">
                  <c:v>1.07488560571617</c:v>
                </c:pt>
                <c:pt idx="5">
                  <c:v>1.07488560571617</c:v>
                </c:pt>
                <c:pt idx="6">
                  <c:v>1.07488560571617</c:v>
                </c:pt>
                <c:pt idx="7">
                  <c:v>1.07488560571617</c:v>
                </c:pt>
                <c:pt idx="8">
                  <c:v>1.07488560571617</c:v>
                </c:pt>
                <c:pt idx="9">
                  <c:v>1.07488560571617</c:v>
                </c:pt>
                <c:pt idx="10">
                  <c:v>1.07488560571617</c:v>
                </c:pt>
                <c:pt idx="11">
                  <c:v>1.07488560571617</c:v>
                </c:pt>
                <c:pt idx="12">
                  <c:v>1.07488560571617</c:v>
                </c:pt>
                <c:pt idx="13">
                  <c:v>1.07488560571617</c:v>
                </c:pt>
                <c:pt idx="14">
                  <c:v>1.07488560571617</c:v>
                </c:pt>
                <c:pt idx="15">
                  <c:v>1.07488560571617</c:v>
                </c:pt>
                <c:pt idx="16">
                  <c:v>1.07488560571617</c:v>
                </c:pt>
                <c:pt idx="17">
                  <c:v>1.07488560571617</c:v>
                </c:pt>
                <c:pt idx="18">
                  <c:v>1.07488560571617</c:v>
                </c:pt>
                <c:pt idx="19">
                  <c:v>1.07488560571617</c:v>
                </c:pt>
                <c:pt idx="20">
                  <c:v>1.07488560571617</c:v>
                </c:pt>
                <c:pt idx="21">
                  <c:v>1.07488560571617</c:v>
                </c:pt>
                <c:pt idx="22">
                  <c:v>1.07488560571617</c:v>
                </c:pt>
                <c:pt idx="23">
                  <c:v>1.07488560571617</c:v>
                </c:pt>
                <c:pt idx="24">
                  <c:v>1.07488560571617</c:v>
                </c:pt>
                <c:pt idx="25">
                  <c:v>1.07488560571617</c:v>
                </c:pt>
                <c:pt idx="26">
                  <c:v>1.07488560571617</c:v>
                </c:pt>
                <c:pt idx="27">
                  <c:v>1.07488560571617</c:v>
                </c:pt>
                <c:pt idx="28">
                  <c:v>1.07488560571617</c:v>
                </c:pt>
                <c:pt idx="29">
                  <c:v>1.07488560571617</c:v>
                </c:pt>
                <c:pt idx="30">
                  <c:v>1.07488560571617</c:v>
                </c:pt>
                <c:pt idx="31">
                  <c:v>1.07488560571617</c:v>
                </c:pt>
                <c:pt idx="32">
                  <c:v>1.07488560571617</c:v>
                </c:pt>
                <c:pt idx="33">
                  <c:v>1.07488560571617</c:v>
                </c:pt>
                <c:pt idx="34">
                  <c:v>1.07488560571617</c:v>
                </c:pt>
                <c:pt idx="35">
                  <c:v>1.07488560571617</c:v>
                </c:pt>
                <c:pt idx="36">
                  <c:v>1.07488560571617</c:v>
                </c:pt>
                <c:pt idx="37">
                  <c:v>1.07488560571617</c:v>
                </c:pt>
                <c:pt idx="38">
                  <c:v>1.07488560571617</c:v>
                </c:pt>
                <c:pt idx="39">
                  <c:v>1.07488560571617</c:v>
                </c:pt>
                <c:pt idx="40">
                  <c:v>1.07488560571617</c:v>
                </c:pt>
                <c:pt idx="41">
                  <c:v>1.07488560571617</c:v>
                </c:pt>
                <c:pt idx="42">
                  <c:v>1.07488560571617</c:v>
                </c:pt>
                <c:pt idx="43">
                  <c:v>1.07488560571617</c:v>
                </c:pt>
                <c:pt idx="44">
                  <c:v>1.07488560571617</c:v>
                </c:pt>
                <c:pt idx="45">
                  <c:v>1.07488560571617</c:v>
                </c:pt>
                <c:pt idx="46">
                  <c:v>1.07488560571617</c:v>
                </c:pt>
                <c:pt idx="47">
                  <c:v>1.07488560571617</c:v>
                </c:pt>
                <c:pt idx="48">
                  <c:v>1.07488560571617</c:v>
                </c:pt>
                <c:pt idx="49">
                  <c:v>1.07488560571617</c:v>
                </c:pt>
                <c:pt idx="50">
                  <c:v>1.07488560571617</c:v>
                </c:pt>
                <c:pt idx="51">
                  <c:v>1.07488560571617</c:v>
                </c:pt>
                <c:pt idx="52">
                  <c:v>1.07488560571617</c:v>
                </c:pt>
                <c:pt idx="53">
                  <c:v>1.07488560571617</c:v>
                </c:pt>
                <c:pt idx="54">
                  <c:v>1.07488560571617</c:v>
                </c:pt>
                <c:pt idx="55">
                  <c:v>1.07488560571617</c:v>
                </c:pt>
                <c:pt idx="56">
                  <c:v>1.07488560571617</c:v>
                </c:pt>
                <c:pt idx="57">
                  <c:v>1.07488560571617</c:v>
                </c:pt>
                <c:pt idx="58">
                  <c:v>1.07488560571617</c:v>
                </c:pt>
                <c:pt idx="59">
                  <c:v>1.07488560571617</c:v>
                </c:pt>
                <c:pt idx="60">
                  <c:v>1.07488560571617</c:v>
                </c:pt>
                <c:pt idx="61">
                  <c:v>1.07488560571617</c:v>
                </c:pt>
                <c:pt idx="62">
                  <c:v>1.07488560571617</c:v>
                </c:pt>
                <c:pt idx="63">
                  <c:v>1.07488560571617</c:v>
                </c:pt>
                <c:pt idx="64">
                  <c:v>1.07488560571617</c:v>
                </c:pt>
                <c:pt idx="65">
                  <c:v>1.07488560571617</c:v>
                </c:pt>
                <c:pt idx="66">
                  <c:v>1.07488560571617</c:v>
                </c:pt>
                <c:pt idx="67">
                  <c:v>1.07488560571617</c:v>
                </c:pt>
                <c:pt idx="68">
                  <c:v>1.07488560571617</c:v>
                </c:pt>
                <c:pt idx="69">
                  <c:v>1.07488560571617</c:v>
                </c:pt>
                <c:pt idx="70">
                  <c:v>1.07488560571617</c:v>
                </c:pt>
                <c:pt idx="71">
                  <c:v>1.07488560571617</c:v>
                </c:pt>
                <c:pt idx="72">
                  <c:v>1.07488560571617</c:v>
                </c:pt>
                <c:pt idx="73">
                  <c:v>1.07488560571617</c:v>
                </c:pt>
                <c:pt idx="74">
                  <c:v>1.07488560571617</c:v>
                </c:pt>
                <c:pt idx="75">
                  <c:v>1.07488560571617</c:v>
                </c:pt>
                <c:pt idx="76">
                  <c:v>1.07488560571617</c:v>
                </c:pt>
                <c:pt idx="77">
                  <c:v>1.07488560571617</c:v>
                </c:pt>
                <c:pt idx="78">
                  <c:v>1.07488560571617</c:v>
                </c:pt>
                <c:pt idx="79">
                  <c:v>1.07488560571617</c:v>
                </c:pt>
                <c:pt idx="80">
                  <c:v>1.07488560571617</c:v>
                </c:pt>
                <c:pt idx="81">
                  <c:v>1.07488560571617</c:v>
                </c:pt>
                <c:pt idx="82">
                  <c:v>1.07488560571617</c:v>
                </c:pt>
                <c:pt idx="83">
                  <c:v>1.07488560571617</c:v>
                </c:pt>
                <c:pt idx="84">
                  <c:v>1.07488560571617</c:v>
                </c:pt>
                <c:pt idx="85">
                  <c:v>1.07488560571617</c:v>
                </c:pt>
                <c:pt idx="86">
                  <c:v>1.07488560571617</c:v>
                </c:pt>
                <c:pt idx="87">
                  <c:v>1.07488560571617</c:v>
                </c:pt>
                <c:pt idx="88">
                  <c:v>1.07488560571617</c:v>
                </c:pt>
                <c:pt idx="89">
                  <c:v>1.07488560571617</c:v>
                </c:pt>
                <c:pt idx="90">
                  <c:v>1.07488560571617</c:v>
                </c:pt>
                <c:pt idx="91">
                  <c:v>1.07488560571617</c:v>
                </c:pt>
                <c:pt idx="92">
                  <c:v>1.07488560571617</c:v>
                </c:pt>
                <c:pt idx="93">
                  <c:v>1.07488560571617</c:v>
                </c:pt>
                <c:pt idx="94">
                  <c:v>1.07488560571617</c:v>
                </c:pt>
                <c:pt idx="95">
                  <c:v>1.07488560571617</c:v>
                </c:pt>
                <c:pt idx="96">
                  <c:v>1.07488560571617</c:v>
                </c:pt>
                <c:pt idx="97">
                  <c:v>1.07488560571617</c:v>
                </c:pt>
                <c:pt idx="98">
                  <c:v>1.07488560571617</c:v>
                </c:pt>
                <c:pt idx="99">
                  <c:v>1.07488560571617</c:v>
                </c:pt>
                <c:pt idx="100">
                  <c:v>1.07488560571617</c:v>
                </c:pt>
                <c:pt idx="101">
                  <c:v>1.07488560571617</c:v>
                </c:pt>
                <c:pt idx="102">
                  <c:v>1.07488560571617</c:v>
                </c:pt>
                <c:pt idx="103">
                  <c:v>1.07488560571617</c:v>
                </c:pt>
                <c:pt idx="104">
                  <c:v>1.07488560571617</c:v>
                </c:pt>
                <c:pt idx="105">
                  <c:v>1.07488560571617</c:v>
                </c:pt>
                <c:pt idx="106">
                  <c:v>1.07488560571617</c:v>
                </c:pt>
                <c:pt idx="107">
                  <c:v>1.07488560571617</c:v>
                </c:pt>
                <c:pt idx="108">
                  <c:v>1.07488560571617</c:v>
                </c:pt>
                <c:pt idx="109">
                  <c:v>1.07488560571617</c:v>
                </c:pt>
                <c:pt idx="110">
                  <c:v>1.07488560571617</c:v>
                </c:pt>
                <c:pt idx="111">
                  <c:v>1.07488560571617</c:v>
                </c:pt>
                <c:pt idx="112">
                  <c:v>1.07488560571617</c:v>
                </c:pt>
                <c:pt idx="113">
                  <c:v>1.07488560571617</c:v>
                </c:pt>
                <c:pt idx="114">
                  <c:v>1.07488560571617</c:v>
                </c:pt>
                <c:pt idx="115">
                  <c:v>1.07488560571617</c:v>
                </c:pt>
                <c:pt idx="116">
                  <c:v>1.07488560571617</c:v>
                </c:pt>
                <c:pt idx="117">
                  <c:v>1.07488560571617</c:v>
                </c:pt>
                <c:pt idx="118">
                  <c:v>1.07488560571617</c:v>
                </c:pt>
                <c:pt idx="119">
                  <c:v>1.07488560571617</c:v>
                </c:pt>
                <c:pt idx="120">
                  <c:v>1.07488560571617</c:v>
                </c:pt>
                <c:pt idx="121">
                  <c:v>1.07488560571617</c:v>
                </c:pt>
                <c:pt idx="122">
                  <c:v>1.07488560571617</c:v>
                </c:pt>
                <c:pt idx="123">
                  <c:v>1.07488560571617</c:v>
                </c:pt>
                <c:pt idx="124">
                  <c:v>1.07488560571617</c:v>
                </c:pt>
                <c:pt idx="125">
                  <c:v>1.07488560571617</c:v>
                </c:pt>
                <c:pt idx="126">
                  <c:v>1.07488560571617</c:v>
                </c:pt>
                <c:pt idx="127">
                  <c:v>1.07488560571617</c:v>
                </c:pt>
                <c:pt idx="128">
                  <c:v>1.07488560571617</c:v>
                </c:pt>
                <c:pt idx="129">
                  <c:v>1.07488560571617</c:v>
                </c:pt>
                <c:pt idx="130">
                  <c:v>1.07488560571617</c:v>
                </c:pt>
                <c:pt idx="131">
                  <c:v>1.07488560571617</c:v>
                </c:pt>
                <c:pt idx="132">
                  <c:v>1.07488560571617</c:v>
                </c:pt>
                <c:pt idx="133">
                  <c:v>1.07488560571617</c:v>
                </c:pt>
                <c:pt idx="134">
                  <c:v>1.07488560571617</c:v>
                </c:pt>
                <c:pt idx="135">
                  <c:v>1.07488560571617</c:v>
                </c:pt>
                <c:pt idx="136">
                  <c:v>1.07488560571617</c:v>
                </c:pt>
                <c:pt idx="137">
                  <c:v>1.07488560571617</c:v>
                </c:pt>
                <c:pt idx="138">
                  <c:v>1.07488560571617</c:v>
                </c:pt>
                <c:pt idx="139">
                  <c:v>1.07488560571617</c:v>
                </c:pt>
                <c:pt idx="140">
                  <c:v>1.07488560571617</c:v>
                </c:pt>
                <c:pt idx="141">
                  <c:v>1.07488560571617</c:v>
                </c:pt>
                <c:pt idx="142">
                  <c:v>1.07488560571617</c:v>
                </c:pt>
                <c:pt idx="143">
                  <c:v>1.07488560571617</c:v>
                </c:pt>
                <c:pt idx="144">
                  <c:v>1.07488560571617</c:v>
                </c:pt>
                <c:pt idx="145">
                  <c:v>1.07488560571617</c:v>
                </c:pt>
                <c:pt idx="146">
                  <c:v>1.07488560571617</c:v>
                </c:pt>
                <c:pt idx="147">
                  <c:v>1.07488560571617</c:v>
                </c:pt>
                <c:pt idx="148">
                  <c:v>1.07488560571617</c:v>
                </c:pt>
                <c:pt idx="149">
                  <c:v>1.07488560571617</c:v>
                </c:pt>
                <c:pt idx="150">
                  <c:v>1.07488560571617</c:v>
                </c:pt>
                <c:pt idx="151">
                  <c:v>1.07488560571617</c:v>
                </c:pt>
                <c:pt idx="152">
                  <c:v>1.07488560571617</c:v>
                </c:pt>
                <c:pt idx="153">
                  <c:v>1.07488560571617</c:v>
                </c:pt>
                <c:pt idx="154">
                  <c:v>1.07488560571617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B-4E25-A8A4-5B0F50D001D0}"/>
            </c:ext>
          </c:extLst>
        </c:ser>
        <c:ser>
          <c:idx val="1"/>
          <c:order val="1"/>
          <c:tx>
            <c:strRef>
              <c:f>faln_angl!$F$1</c:f>
              <c:strCache>
                <c:ptCount val="1"/>
                <c:pt idx="0">
                  <c:v> ANGL/FALN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faln_angl!$F$2:$F$156</c:f>
              <c:numCache>
                <c:formatCode>_(* #,##0.0000_);_(* \(#,##0.0000\);_(* "-"??_);_(@_)</c:formatCode>
                <c:ptCount val="155"/>
                <c:pt idx="9">
                  <c:v>1.07471589511613</c:v>
                </c:pt>
                <c:pt idx="10">
                  <c:v>1.0745882227993699</c:v>
                </c:pt>
                <c:pt idx="11">
                  <c:v>1.0744679284630201</c:v>
                </c:pt>
                <c:pt idx="12">
                  <c:v>1.07428986210039</c:v>
                </c:pt>
                <c:pt idx="13">
                  <c:v>1.07422365969592</c:v>
                </c:pt>
                <c:pt idx="14">
                  <c:v>1.0741737438752099</c:v>
                </c:pt>
                <c:pt idx="15">
                  <c:v>1.07416563230217</c:v>
                </c:pt>
                <c:pt idx="16">
                  <c:v>1.0741886506513101</c:v>
                </c:pt>
                <c:pt idx="17">
                  <c:v>1.0740636194528399</c:v>
                </c:pt>
                <c:pt idx="18">
                  <c:v>1.07390784366255</c:v>
                </c:pt>
                <c:pt idx="19">
                  <c:v>1.07382455008536</c:v>
                </c:pt>
                <c:pt idx="20">
                  <c:v>1.07370053237195</c:v>
                </c:pt>
                <c:pt idx="21">
                  <c:v>1.0735548128819701</c:v>
                </c:pt>
                <c:pt idx="22">
                  <c:v>1.0734832091122399</c:v>
                </c:pt>
                <c:pt idx="23">
                  <c:v>1.07338335710977</c:v>
                </c:pt>
                <c:pt idx="24">
                  <c:v>1.0734077627433001</c:v>
                </c:pt>
                <c:pt idx="25">
                  <c:v>1.07338223168745</c:v>
                </c:pt>
                <c:pt idx="26">
                  <c:v>1.07350716047777</c:v>
                </c:pt>
                <c:pt idx="27">
                  <c:v>1.0737720741058101</c:v>
                </c:pt>
                <c:pt idx="28">
                  <c:v>1.07414018124051</c:v>
                </c:pt>
                <c:pt idx="29">
                  <c:v>1.07446107518433</c:v>
                </c:pt>
                <c:pt idx="30">
                  <c:v>1.0747556457855401</c:v>
                </c:pt>
                <c:pt idx="31">
                  <c:v>1.0749977205083201</c:v>
                </c:pt>
                <c:pt idx="32">
                  <c:v>1.07526491387048</c:v>
                </c:pt>
                <c:pt idx="33">
                  <c:v>1.07556301141239</c:v>
                </c:pt>
                <c:pt idx="34">
                  <c:v>1.07570358320299</c:v>
                </c:pt>
                <c:pt idx="35">
                  <c:v>1.07593579636638</c:v>
                </c:pt>
                <c:pt idx="36">
                  <c:v>1.0760563547303299</c:v>
                </c:pt>
                <c:pt idx="37">
                  <c:v>1.0759537827696299</c:v>
                </c:pt>
                <c:pt idx="38">
                  <c:v>1.0758059337530299</c:v>
                </c:pt>
                <c:pt idx="39">
                  <c:v>1.0759404786436799</c:v>
                </c:pt>
                <c:pt idx="40">
                  <c:v>1.0759988617318501</c:v>
                </c:pt>
                <c:pt idx="41">
                  <c:v>1.07608149673977</c:v>
                </c:pt>
                <c:pt idx="42">
                  <c:v>1.0759893183979601</c:v>
                </c:pt>
                <c:pt idx="43">
                  <c:v>1.0760278043214999</c:v>
                </c:pt>
                <c:pt idx="44">
                  <c:v>1.0759781057194699</c:v>
                </c:pt>
                <c:pt idx="45">
                  <c:v>1.0759431197687701</c:v>
                </c:pt>
                <c:pt idx="46">
                  <c:v>1.07601708887471</c:v>
                </c:pt>
                <c:pt idx="47">
                  <c:v>1.0762662604667399</c:v>
                </c:pt>
                <c:pt idx="48">
                  <c:v>1.07652130246446</c:v>
                </c:pt>
                <c:pt idx="49">
                  <c:v>1.07632500831022</c:v>
                </c:pt>
                <c:pt idx="50">
                  <c:v>1.0761645312016399</c:v>
                </c:pt>
                <c:pt idx="51">
                  <c:v>1.07623174959358</c:v>
                </c:pt>
                <c:pt idx="52">
                  <c:v>1.0762719337209301</c:v>
                </c:pt>
                <c:pt idx="53">
                  <c:v>1.07615816281927</c:v>
                </c:pt>
                <c:pt idx="54">
                  <c:v>1.0760579363838201</c:v>
                </c:pt>
                <c:pt idx="55">
                  <c:v>1.07584567468194</c:v>
                </c:pt>
                <c:pt idx="56">
                  <c:v>1.0756467595324299</c:v>
                </c:pt>
                <c:pt idx="57">
                  <c:v>1.0753311998763999</c:v>
                </c:pt>
                <c:pt idx="58">
                  <c:v>1.0751771572006401</c:v>
                </c:pt>
                <c:pt idx="59">
                  <c:v>1.0750392231456301</c:v>
                </c:pt>
                <c:pt idx="60">
                  <c:v>1.07500937213337</c:v>
                </c:pt>
                <c:pt idx="61">
                  <c:v>1.0748136992160999</c:v>
                </c:pt>
                <c:pt idx="62">
                  <c:v>1.0748108836347301</c:v>
                </c:pt>
                <c:pt idx="63">
                  <c:v>1.07489015859691</c:v>
                </c:pt>
                <c:pt idx="64">
                  <c:v>1.0750950784584099</c:v>
                </c:pt>
                <c:pt idx="65">
                  <c:v>1.0753017177729201</c:v>
                </c:pt>
                <c:pt idx="66">
                  <c:v>1.0754527537693099</c:v>
                </c:pt>
                <c:pt idx="67">
                  <c:v>1.07575928560916</c:v>
                </c:pt>
                <c:pt idx="68">
                  <c:v>1.0758872071636301</c:v>
                </c:pt>
                <c:pt idx="69">
                  <c:v>1.0760694194802201</c:v>
                </c:pt>
                <c:pt idx="70">
                  <c:v>1.07625974760107</c:v>
                </c:pt>
                <c:pt idx="71">
                  <c:v>1.07654343618885</c:v>
                </c:pt>
                <c:pt idx="72">
                  <c:v>1.0767350791549</c:v>
                </c:pt>
                <c:pt idx="73">
                  <c:v>1.07680082021657</c:v>
                </c:pt>
                <c:pt idx="74">
                  <c:v>1.0768633990560601</c:v>
                </c:pt>
                <c:pt idx="75">
                  <c:v>1.07696839121487</c:v>
                </c:pt>
                <c:pt idx="76">
                  <c:v>1.0771383818874201</c:v>
                </c:pt>
                <c:pt idx="77">
                  <c:v>1.0770929154760001</c:v>
                </c:pt>
                <c:pt idx="78">
                  <c:v>1.0770335449819199</c:v>
                </c:pt>
                <c:pt idx="79">
                  <c:v>1.0770136116600999</c:v>
                </c:pt>
                <c:pt idx="80">
                  <c:v>1.0770959189112901</c:v>
                </c:pt>
                <c:pt idx="81">
                  <c:v>1.0771413491820601</c:v>
                </c:pt>
                <c:pt idx="82">
                  <c:v>1.07717585149233</c:v>
                </c:pt>
                <c:pt idx="83">
                  <c:v>1.0772273585221399</c:v>
                </c:pt>
                <c:pt idx="84">
                  <c:v>1.07719624273958</c:v>
                </c:pt>
                <c:pt idx="85">
                  <c:v>1.0771906501528901</c:v>
                </c:pt>
                <c:pt idx="86">
                  <c:v>1.0769719677767899</c:v>
                </c:pt>
                <c:pt idx="87">
                  <c:v>1.0768074955190401</c:v>
                </c:pt>
                <c:pt idx="88">
                  <c:v>1.07674741634822</c:v>
                </c:pt>
                <c:pt idx="89">
                  <c:v>1.0766982786427299</c:v>
                </c:pt>
                <c:pt idx="90">
                  <c:v>1.07654447089734</c:v>
                </c:pt>
                <c:pt idx="91">
                  <c:v>1.0763369799011</c:v>
                </c:pt>
                <c:pt idx="92">
                  <c:v>1.0761080211445899</c:v>
                </c:pt>
                <c:pt idx="93">
                  <c:v>1.07588461187036</c:v>
                </c:pt>
                <c:pt idx="94">
                  <c:v>1.07574651033875</c:v>
                </c:pt>
                <c:pt idx="95">
                  <c:v>1.0754295490702099</c:v>
                </c:pt>
                <c:pt idx="96">
                  <c:v>1.0753721977997099</c:v>
                </c:pt>
                <c:pt idx="97">
                  <c:v>1.0752917806509299</c:v>
                </c:pt>
                <c:pt idx="98">
                  <c:v>1.07528617727994</c:v>
                </c:pt>
                <c:pt idx="99">
                  <c:v>1.0752582557274599</c:v>
                </c:pt>
                <c:pt idx="100">
                  <c:v>1.07514240996446</c:v>
                </c:pt>
                <c:pt idx="101">
                  <c:v>1.0750017876918101</c:v>
                </c:pt>
                <c:pt idx="102">
                  <c:v>1.0749348884601599</c:v>
                </c:pt>
                <c:pt idx="103">
                  <c:v>1.07498455664031</c:v>
                </c:pt>
                <c:pt idx="104">
                  <c:v>1.0750257255431901</c:v>
                </c:pt>
                <c:pt idx="105">
                  <c:v>1.07525735880842</c:v>
                </c:pt>
                <c:pt idx="106">
                  <c:v>1.0753939832959101</c:v>
                </c:pt>
                <c:pt idx="107">
                  <c:v>1.0755358741451699</c:v>
                </c:pt>
                <c:pt idx="108">
                  <c:v>1.0754869982898401</c:v>
                </c:pt>
                <c:pt idx="109">
                  <c:v>1.07550303825352</c:v>
                </c:pt>
                <c:pt idx="110">
                  <c:v>1.0755113336875699</c:v>
                </c:pt>
                <c:pt idx="111">
                  <c:v>1.07554163844513</c:v>
                </c:pt>
                <c:pt idx="112">
                  <c:v>1.0755482039861199</c:v>
                </c:pt>
                <c:pt idx="113">
                  <c:v>1.0753647083319799</c:v>
                </c:pt>
                <c:pt idx="114">
                  <c:v>1.07510966085934</c:v>
                </c:pt>
                <c:pt idx="115">
                  <c:v>1.07480736641772</c:v>
                </c:pt>
                <c:pt idx="116">
                  <c:v>1.07458430360413</c:v>
                </c:pt>
                <c:pt idx="117">
                  <c:v>1.0743304300311201</c:v>
                </c:pt>
                <c:pt idx="118">
                  <c:v>1.07419869179855</c:v>
                </c:pt>
                <c:pt idx="119">
                  <c:v>1.07407043093552</c:v>
                </c:pt>
                <c:pt idx="120">
                  <c:v>1.0740401038374601</c:v>
                </c:pt>
                <c:pt idx="121">
                  <c:v>1.0739648524380001</c:v>
                </c:pt>
                <c:pt idx="122">
                  <c:v>1.07383001660185</c:v>
                </c:pt>
                <c:pt idx="123">
                  <c:v>1.07376990942134</c:v>
                </c:pt>
                <c:pt idx="124">
                  <c:v>1.07375099068228</c:v>
                </c:pt>
                <c:pt idx="125">
                  <c:v>1.07367210875121</c:v>
                </c:pt>
                <c:pt idx="126">
                  <c:v>1.0736011697416701</c:v>
                </c:pt>
                <c:pt idx="127">
                  <c:v>1.0734697902982699</c:v>
                </c:pt>
                <c:pt idx="128">
                  <c:v>1.0733386586098199</c:v>
                </c:pt>
                <c:pt idx="129">
                  <c:v>1.07307895878756</c:v>
                </c:pt>
                <c:pt idx="130">
                  <c:v>1.0728722379070601</c:v>
                </c:pt>
                <c:pt idx="131">
                  <c:v>1.0726944368795099</c:v>
                </c:pt>
                <c:pt idx="132">
                  <c:v>1.07246356784453</c:v>
                </c:pt>
                <c:pt idx="133">
                  <c:v>1.07227920206282</c:v>
                </c:pt>
                <c:pt idx="134">
                  <c:v>1.0720714665441899</c:v>
                </c:pt>
                <c:pt idx="135">
                  <c:v>1.0720719688693401</c:v>
                </c:pt>
                <c:pt idx="136">
                  <c:v>1.0719538572388001</c:v>
                </c:pt>
                <c:pt idx="137">
                  <c:v>1.0720229257575</c:v>
                </c:pt>
                <c:pt idx="138">
                  <c:v>1.07205601001171</c:v>
                </c:pt>
                <c:pt idx="139">
                  <c:v>1.0721518599972</c:v>
                </c:pt>
                <c:pt idx="140">
                  <c:v>1.07233030992352</c:v>
                </c:pt>
                <c:pt idx="141">
                  <c:v>1.07239965532296</c:v>
                </c:pt>
                <c:pt idx="142">
                  <c:v>1.0726599366693399</c:v>
                </c:pt>
                <c:pt idx="143">
                  <c:v>1.07285348311447</c:v>
                </c:pt>
                <c:pt idx="144">
                  <c:v>1.0731663844456301</c:v>
                </c:pt>
                <c:pt idx="145">
                  <c:v>1.0732947096233301</c:v>
                </c:pt>
                <c:pt idx="146">
                  <c:v>1.0734590051128701</c:v>
                </c:pt>
                <c:pt idx="147">
                  <c:v>1.0735701985895201</c:v>
                </c:pt>
                <c:pt idx="148">
                  <c:v>1.0737740308686201</c:v>
                </c:pt>
                <c:pt idx="149">
                  <c:v>1.0740381709318001</c:v>
                </c:pt>
                <c:pt idx="150">
                  <c:v>1.07389946137572</c:v>
                </c:pt>
                <c:pt idx="151">
                  <c:v>1.0738488876108601</c:v>
                </c:pt>
                <c:pt idx="152">
                  <c:v>1.0739162655163099</c:v>
                </c:pt>
                <c:pt idx="153">
                  <c:v>1.0738333385402099</c:v>
                </c:pt>
                <c:pt idx="154">
                  <c:v>1.0736813469230799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B-4E25-A8A4-5B0F50D001D0}"/>
            </c:ext>
          </c:extLst>
        </c:ser>
        <c:ser>
          <c:idx val="2"/>
          <c:order val="2"/>
          <c:tx>
            <c:strRef>
              <c:f>faln_angl!$G$1</c:f>
              <c:strCache>
                <c:ptCount val="1"/>
                <c:pt idx="0">
                  <c:v> ANGL/FALN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faln_angl!$G$2:$G$156</c:f>
              <c:numCache>
                <c:formatCode>_(* #,##0.0000_);_(* \(#,##0.0000\);_(* "-"??_);_(@_)</c:formatCode>
                <c:ptCount val="155"/>
                <c:pt idx="19">
                  <c:v>1.0742702226007499</c:v>
                </c:pt>
                <c:pt idx="20">
                  <c:v>1.0741443775856601</c:v>
                </c:pt>
                <c:pt idx="21">
                  <c:v>1.0740113706724901</c:v>
                </c:pt>
                <c:pt idx="22">
                  <c:v>1.0738865356063201</c:v>
                </c:pt>
                <c:pt idx="23">
                  <c:v>1.0738035084028399</c:v>
                </c:pt>
                <c:pt idx="24">
                  <c:v>1.0737907533092601</c:v>
                </c:pt>
                <c:pt idx="25">
                  <c:v>1.0737739319948101</c:v>
                </c:pt>
                <c:pt idx="26">
                  <c:v>1.07384790556454</c:v>
                </c:pt>
                <c:pt idx="27">
                  <c:v>1.07391784677932</c:v>
                </c:pt>
                <c:pt idx="28">
                  <c:v>1.0740240124515299</c:v>
                </c:pt>
                <c:pt idx="29">
                  <c:v>1.07414281263485</c:v>
                </c:pt>
                <c:pt idx="30">
                  <c:v>1.0742280890787499</c:v>
                </c:pt>
                <c:pt idx="31">
                  <c:v>1.07427626669514</c:v>
                </c:pt>
                <c:pt idx="32">
                  <c:v>1.0743740614913599</c:v>
                </c:pt>
                <c:pt idx="33">
                  <c:v>1.07447318426108</c:v>
                </c:pt>
                <c:pt idx="34">
                  <c:v>1.07455567297315</c:v>
                </c:pt>
                <c:pt idx="35">
                  <c:v>1.0746590140269101</c:v>
                </c:pt>
                <c:pt idx="36">
                  <c:v>1.0747817576040499</c:v>
                </c:pt>
                <c:pt idx="37">
                  <c:v>1.07486292843772</c:v>
                </c:pt>
                <c:pt idx="38">
                  <c:v>1.07497305749677</c:v>
                </c:pt>
                <c:pt idx="39">
                  <c:v>1.0752007769140099</c:v>
                </c:pt>
                <c:pt idx="40">
                  <c:v>1.0753772537587001</c:v>
                </c:pt>
                <c:pt idx="41">
                  <c:v>1.0755396086240401</c:v>
                </c:pt>
                <c:pt idx="42">
                  <c:v>1.0756271161342199</c:v>
                </c:pt>
                <c:pt idx="43">
                  <c:v>1.0757954078669401</c:v>
                </c:pt>
                <c:pt idx="44">
                  <c:v>1.07584084446123</c:v>
                </c:pt>
                <c:pt idx="45">
                  <c:v>1.0759394580675701</c:v>
                </c:pt>
                <c:pt idx="46">
                  <c:v>1.07603672180252</c:v>
                </c:pt>
                <c:pt idx="47">
                  <c:v>1.07611002161818</c:v>
                </c:pt>
                <c:pt idx="48">
                  <c:v>1.0761636181087399</c:v>
                </c:pt>
                <c:pt idx="49">
                  <c:v>1.0761327434769501</c:v>
                </c:pt>
                <c:pt idx="50">
                  <c:v>1.0760816964667399</c:v>
                </c:pt>
                <c:pt idx="51">
                  <c:v>1.0761566231666699</c:v>
                </c:pt>
                <c:pt idx="52">
                  <c:v>1.0761306260594401</c:v>
                </c:pt>
                <c:pt idx="53">
                  <c:v>1.0760929835703801</c:v>
                </c:pt>
                <c:pt idx="54">
                  <c:v>1.0760180210516399</c:v>
                </c:pt>
                <c:pt idx="55">
                  <c:v>1.0758943972253501</c:v>
                </c:pt>
                <c:pt idx="56">
                  <c:v>1.0758319242035701</c:v>
                </c:pt>
                <c:pt idx="57">
                  <c:v>1.0757987301715699</c:v>
                </c:pt>
                <c:pt idx="58">
                  <c:v>1.0758492298325499</c:v>
                </c:pt>
                <c:pt idx="59">
                  <c:v>1.0756821157279299</c:v>
                </c:pt>
                <c:pt idx="60">
                  <c:v>1.0755869516675101</c:v>
                </c:pt>
                <c:pt idx="61">
                  <c:v>1.07552272440484</c:v>
                </c:pt>
                <c:pt idx="62">
                  <c:v>1.0755414086778301</c:v>
                </c:pt>
                <c:pt idx="63">
                  <c:v>1.0755241607080901</c:v>
                </c:pt>
                <c:pt idx="64">
                  <c:v>1.0755765074211101</c:v>
                </c:pt>
                <c:pt idx="65">
                  <c:v>1.07557369622743</c:v>
                </c:pt>
                <c:pt idx="66">
                  <c:v>1.07554975665087</c:v>
                </c:pt>
                <c:pt idx="67">
                  <c:v>1.0755452427427801</c:v>
                </c:pt>
                <c:pt idx="68">
                  <c:v>1.07553218218213</c:v>
                </c:pt>
                <c:pt idx="69">
                  <c:v>1.0755543213129299</c:v>
                </c:pt>
                <c:pt idx="70">
                  <c:v>1.0756345598672199</c:v>
                </c:pt>
                <c:pt idx="71">
                  <c:v>1.07567856770248</c:v>
                </c:pt>
                <c:pt idx="72">
                  <c:v>1.07577298139481</c:v>
                </c:pt>
                <c:pt idx="73">
                  <c:v>1.07584548940674</c:v>
                </c:pt>
                <c:pt idx="74">
                  <c:v>1.07597923875723</c:v>
                </c:pt>
                <c:pt idx="75">
                  <c:v>1.0761350544938999</c:v>
                </c:pt>
                <c:pt idx="76">
                  <c:v>1.0762955678283599</c:v>
                </c:pt>
                <c:pt idx="77">
                  <c:v>1.0764261005425799</c:v>
                </c:pt>
                <c:pt idx="78">
                  <c:v>1.07646037607277</c:v>
                </c:pt>
                <c:pt idx="79">
                  <c:v>1.0765415155701601</c:v>
                </c:pt>
                <c:pt idx="80">
                  <c:v>1.0766778332561799</c:v>
                </c:pt>
                <c:pt idx="81">
                  <c:v>1.07684239268545</c:v>
                </c:pt>
                <c:pt idx="82">
                  <c:v>1.07695546532362</c:v>
                </c:pt>
                <c:pt idx="83">
                  <c:v>1.0770140893693601</c:v>
                </c:pt>
                <c:pt idx="84">
                  <c:v>1.07702982089782</c:v>
                </c:pt>
                <c:pt idx="85">
                  <c:v>1.0770795206838799</c:v>
                </c:pt>
                <c:pt idx="86">
                  <c:v>1.07705517483211</c:v>
                </c:pt>
                <c:pt idx="87">
                  <c:v>1.07695020549752</c:v>
                </c:pt>
                <c:pt idx="88">
                  <c:v>1.0768904806650701</c:v>
                </c:pt>
                <c:pt idx="89">
                  <c:v>1.0768559451514099</c:v>
                </c:pt>
                <c:pt idx="90">
                  <c:v>1.0768201949043199</c:v>
                </c:pt>
                <c:pt idx="91">
                  <c:v>1.07673916454158</c:v>
                </c:pt>
                <c:pt idx="92">
                  <c:v>1.0766419363184601</c:v>
                </c:pt>
                <c:pt idx="93">
                  <c:v>1.0765559851962501</c:v>
                </c:pt>
                <c:pt idx="94">
                  <c:v>1.07647137653917</c:v>
                </c:pt>
                <c:pt idx="95">
                  <c:v>1.07631009961155</c:v>
                </c:pt>
                <c:pt idx="96">
                  <c:v>1.0761720827882499</c:v>
                </c:pt>
                <c:pt idx="97">
                  <c:v>1.07604963808498</c:v>
                </c:pt>
                <c:pt idx="98">
                  <c:v>1.0760167968140799</c:v>
                </c:pt>
                <c:pt idx="99">
                  <c:v>1.0759782671850999</c:v>
                </c:pt>
                <c:pt idx="100">
                  <c:v>1.0758434404309001</c:v>
                </c:pt>
                <c:pt idx="101">
                  <c:v>1.0756693837964599</c:v>
                </c:pt>
                <c:pt idx="102">
                  <c:v>1.0755214548023699</c:v>
                </c:pt>
                <c:pt idx="103">
                  <c:v>1.0754345842553401</c:v>
                </c:pt>
                <c:pt idx="104">
                  <c:v>1.0753861179409701</c:v>
                </c:pt>
                <c:pt idx="105">
                  <c:v>1.0753434539393201</c:v>
                </c:pt>
                <c:pt idx="106">
                  <c:v>1.0753830905478099</c:v>
                </c:pt>
                <c:pt idx="107">
                  <c:v>1.07541382739805</c:v>
                </c:pt>
                <c:pt idx="108">
                  <c:v>1.07538658778489</c:v>
                </c:pt>
                <c:pt idx="109">
                  <c:v>1.0753806469904901</c:v>
                </c:pt>
                <c:pt idx="110">
                  <c:v>1.0753268718260101</c:v>
                </c:pt>
                <c:pt idx="111">
                  <c:v>1.0752717130684699</c:v>
                </c:pt>
                <c:pt idx="112">
                  <c:v>1.0752415462231399</c:v>
                </c:pt>
                <c:pt idx="113">
                  <c:v>1.07517463248614</c:v>
                </c:pt>
                <c:pt idx="114">
                  <c:v>1.0750676932012599</c:v>
                </c:pt>
                <c:pt idx="115">
                  <c:v>1.07503236261307</c:v>
                </c:pt>
                <c:pt idx="116">
                  <c:v>1.0749891434500201</c:v>
                </c:pt>
                <c:pt idx="117">
                  <c:v>1.07493315208814</c:v>
                </c:pt>
                <c:pt idx="118">
                  <c:v>1.07484284504419</c:v>
                </c:pt>
                <c:pt idx="119">
                  <c:v>1.0747867345945199</c:v>
                </c:pt>
                <c:pt idx="120">
                  <c:v>1.07477571876251</c:v>
                </c:pt>
                <c:pt idx="121">
                  <c:v>1.07475324544157</c:v>
                </c:pt>
                <c:pt idx="122">
                  <c:v>1.07468911029398</c:v>
                </c:pt>
                <c:pt idx="123">
                  <c:v>1.0745673088766601</c:v>
                </c:pt>
                <c:pt idx="124">
                  <c:v>1.0744303257708101</c:v>
                </c:pt>
                <c:pt idx="125">
                  <c:v>1.0742397375844599</c:v>
                </c:pt>
                <c:pt idx="126">
                  <c:v>1.0740927366729001</c:v>
                </c:pt>
                <c:pt idx="127">
                  <c:v>1.0739001101646899</c:v>
                </c:pt>
                <c:pt idx="128">
                  <c:v>1.07376867520418</c:v>
                </c:pt>
                <c:pt idx="129">
                  <c:v>1.0735746948615399</c:v>
                </c:pt>
                <c:pt idx="130">
                  <c:v>1.0734561708722601</c:v>
                </c:pt>
                <c:pt idx="131">
                  <c:v>1.0733296446587599</c:v>
                </c:pt>
                <c:pt idx="132">
                  <c:v>1.0731467922231901</c:v>
                </c:pt>
                <c:pt idx="133">
                  <c:v>1.0730245557420801</c:v>
                </c:pt>
                <c:pt idx="134">
                  <c:v>1.0729112286132301</c:v>
                </c:pt>
                <c:pt idx="135">
                  <c:v>1.0728720388102699</c:v>
                </c:pt>
                <c:pt idx="136">
                  <c:v>1.07277751349023</c:v>
                </c:pt>
                <c:pt idx="137">
                  <c:v>1.07274635802789</c:v>
                </c:pt>
                <c:pt idx="138">
                  <c:v>1.07269733431076</c:v>
                </c:pt>
                <c:pt idx="139">
                  <c:v>1.0726154093923801</c:v>
                </c:pt>
                <c:pt idx="140">
                  <c:v>1.0726012739152899</c:v>
                </c:pt>
                <c:pt idx="141">
                  <c:v>1.0725470461012401</c:v>
                </c:pt>
                <c:pt idx="142">
                  <c:v>1.0725617522569399</c:v>
                </c:pt>
                <c:pt idx="143">
                  <c:v>1.07256634258865</c:v>
                </c:pt>
                <c:pt idx="144">
                  <c:v>1.0726189254949099</c:v>
                </c:pt>
                <c:pt idx="145">
                  <c:v>1.07268333924634</c:v>
                </c:pt>
                <c:pt idx="146">
                  <c:v>1.0727064311758301</c:v>
                </c:pt>
                <c:pt idx="147">
                  <c:v>1.07279656217351</c:v>
                </c:pt>
                <c:pt idx="148">
                  <c:v>1.0729150204401601</c:v>
                </c:pt>
                <c:pt idx="149">
                  <c:v>1.0730950154645</c:v>
                </c:pt>
                <c:pt idx="150">
                  <c:v>1.07311488564962</c:v>
                </c:pt>
                <c:pt idx="151">
                  <c:v>1.07312427146691</c:v>
                </c:pt>
                <c:pt idx="152">
                  <c:v>1.0732881010928299</c:v>
                </c:pt>
                <c:pt idx="153">
                  <c:v>1.0733434108273401</c:v>
                </c:pt>
                <c:pt idx="154">
                  <c:v>1.07342386568435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FB-4E25-A8A4-5B0F50D00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625295"/>
        <c:axId val="1395098895"/>
      </c:lineChart>
      <c:catAx>
        <c:axId val="105862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98895"/>
        <c:crosses val="autoZero"/>
        <c:auto val="1"/>
        <c:lblAlgn val="ctr"/>
        <c:lblOffset val="100"/>
        <c:noMultiLvlLbl val="0"/>
      </c:catAx>
      <c:valAx>
        <c:axId val="13950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2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faln_angl!$AO$22:$AO$156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3.8924676910762957E-4</c:v>
                </c:pt>
                <c:pt idx="3">
                  <c:v>4.6399702982312385E-4</c:v>
                </c:pt>
                <c:pt idx="4">
                  <c:v>1.6963532481784423E-3</c:v>
                </c:pt>
                <c:pt idx="5">
                  <c:v>1.6963532481784423E-3</c:v>
                </c:pt>
                <c:pt idx="6">
                  <c:v>1.6963532481784423E-3</c:v>
                </c:pt>
                <c:pt idx="7">
                  <c:v>1.6963532481784423E-3</c:v>
                </c:pt>
                <c:pt idx="8">
                  <c:v>1.6963532481784423E-3</c:v>
                </c:pt>
                <c:pt idx="9">
                  <c:v>1.6963532481784423E-3</c:v>
                </c:pt>
                <c:pt idx="10">
                  <c:v>1.6963532481784423E-3</c:v>
                </c:pt>
                <c:pt idx="11">
                  <c:v>1.6963532481784423E-3</c:v>
                </c:pt>
                <c:pt idx="12">
                  <c:v>1.6963532481784423E-3</c:v>
                </c:pt>
                <c:pt idx="13">
                  <c:v>1.6963532481784423E-3</c:v>
                </c:pt>
                <c:pt idx="14">
                  <c:v>1.6963532481784423E-3</c:v>
                </c:pt>
                <c:pt idx="15">
                  <c:v>1.6963532481784423E-3</c:v>
                </c:pt>
                <c:pt idx="16">
                  <c:v>1.6963532481784423E-3</c:v>
                </c:pt>
                <c:pt idx="17">
                  <c:v>1.6963532481784423E-3</c:v>
                </c:pt>
                <c:pt idx="18">
                  <c:v>1.6963532481784423E-3</c:v>
                </c:pt>
                <c:pt idx="19">
                  <c:v>1.6963532481784423E-3</c:v>
                </c:pt>
                <c:pt idx="20">
                  <c:v>1.6963532481784423E-3</c:v>
                </c:pt>
                <c:pt idx="21">
                  <c:v>1.6963532481784423E-3</c:v>
                </c:pt>
                <c:pt idx="22">
                  <c:v>1.6963532481784423E-3</c:v>
                </c:pt>
                <c:pt idx="23">
                  <c:v>1.6963532481784423E-3</c:v>
                </c:pt>
                <c:pt idx="24">
                  <c:v>1.6963532481784423E-3</c:v>
                </c:pt>
                <c:pt idx="25">
                  <c:v>1.6963532481784423E-3</c:v>
                </c:pt>
                <c:pt idx="26">
                  <c:v>1.6963532481784423E-3</c:v>
                </c:pt>
                <c:pt idx="27">
                  <c:v>1.6963532481784423E-3</c:v>
                </c:pt>
                <c:pt idx="28">
                  <c:v>1.6963532481784423E-3</c:v>
                </c:pt>
                <c:pt idx="29">
                  <c:v>1.6963532481784423E-3</c:v>
                </c:pt>
                <c:pt idx="30">
                  <c:v>1.6963532481784423E-3</c:v>
                </c:pt>
                <c:pt idx="31">
                  <c:v>1.6963532481784423E-3</c:v>
                </c:pt>
                <c:pt idx="32">
                  <c:v>1.6963532481784423E-3</c:v>
                </c:pt>
                <c:pt idx="33">
                  <c:v>1.6963532481784423E-3</c:v>
                </c:pt>
                <c:pt idx="34">
                  <c:v>1.6963532481784423E-3</c:v>
                </c:pt>
                <c:pt idx="35">
                  <c:v>1.1534877675776786E-3</c:v>
                </c:pt>
                <c:pt idx="36">
                  <c:v>1.540595717724038E-3</c:v>
                </c:pt>
                <c:pt idx="37">
                  <c:v>1.3611684208422175E-3</c:v>
                </c:pt>
                <c:pt idx="38">
                  <c:v>2.7577639573786762E-3</c:v>
                </c:pt>
                <c:pt idx="39">
                  <c:v>1.5962587649693916E-3</c:v>
                </c:pt>
                <c:pt idx="40">
                  <c:v>1.9406899119014649E-3</c:v>
                </c:pt>
                <c:pt idx="41">
                  <c:v>1.9146372406936697E-3</c:v>
                </c:pt>
                <c:pt idx="42">
                  <c:v>2.4531599402427447E-3</c:v>
                </c:pt>
                <c:pt idx="43">
                  <c:v>3.3614967749859394E-3</c:v>
                </c:pt>
                <c:pt idx="44">
                  <c:v>3.3614967749859394E-3</c:v>
                </c:pt>
                <c:pt idx="45">
                  <c:v>3.3614967749859394E-3</c:v>
                </c:pt>
                <c:pt idx="46">
                  <c:v>3.3614967749859394E-3</c:v>
                </c:pt>
                <c:pt idx="47">
                  <c:v>3.3614967749859394E-3</c:v>
                </c:pt>
                <c:pt idx="48">
                  <c:v>3.3614967749859394E-3</c:v>
                </c:pt>
                <c:pt idx="49">
                  <c:v>3.3614967749859394E-3</c:v>
                </c:pt>
                <c:pt idx="50">
                  <c:v>3.3614967749859394E-3</c:v>
                </c:pt>
                <c:pt idx="51">
                  <c:v>3.3614967749859394E-3</c:v>
                </c:pt>
                <c:pt idx="52">
                  <c:v>3.3614967749859394E-3</c:v>
                </c:pt>
                <c:pt idx="53">
                  <c:v>3.3614967749859394E-3</c:v>
                </c:pt>
                <c:pt idx="54">
                  <c:v>3.3614967749859394E-3</c:v>
                </c:pt>
                <c:pt idx="55">
                  <c:v>3.3614967749859394E-3</c:v>
                </c:pt>
                <c:pt idx="56">
                  <c:v>3.3614967749859394E-3</c:v>
                </c:pt>
                <c:pt idx="57">
                  <c:v>3.3614967749859394E-3</c:v>
                </c:pt>
                <c:pt idx="58">
                  <c:v>3.3614967749859394E-3</c:v>
                </c:pt>
                <c:pt idx="59">
                  <c:v>3.3614967749859394E-3</c:v>
                </c:pt>
                <c:pt idx="60">
                  <c:v>3.3614967749859394E-3</c:v>
                </c:pt>
                <c:pt idx="61">
                  <c:v>3.3614967749859394E-3</c:v>
                </c:pt>
                <c:pt idx="62">
                  <c:v>3.3614967749859394E-3</c:v>
                </c:pt>
                <c:pt idx="63">
                  <c:v>3.3614967749859394E-3</c:v>
                </c:pt>
                <c:pt idx="64">
                  <c:v>3.3614967749859394E-3</c:v>
                </c:pt>
                <c:pt idx="65">
                  <c:v>3.3614967749859394E-3</c:v>
                </c:pt>
                <c:pt idx="66">
                  <c:v>3.3614967749859394E-3</c:v>
                </c:pt>
                <c:pt idx="67">
                  <c:v>3.1287524932205497E-3</c:v>
                </c:pt>
                <c:pt idx="68">
                  <c:v>3.7053166167777579E-3</c:v>
                </c:pt>
                <c:pt idx="69">
                  <c:v>3.5174919608627264E-3</c:v>
                </c:pt>
                <c:pt idx="70">
                  <c:v>3.9144073736371836E-3</c:v>
                </c:pt>
                <c:pt idx="71">
                  <c:v>3.9144073736371836E-3</c:v>
                </c:pt>
                <c:pt idx="72">
                  <c:v>3.2957983389957906E-3</c:v>
                </c:pt>
                <c:pt idx="73">
                  <c:v>3.2435298476467039E-3</c:v>
                </c:pt>
                <c:pt idx="74">
                  <c:v>3.4793323769625969E-3</c:v>
                </c:pt>
                <c:pt idx="75">
                  <c:v>1.9205857514871714E-3</c:v>
                </c:pt>
                <c:pt idx="76">
                  <c:v>2.8280744912948354E-3</c:v>
                </c:pt>
                <c:pt idx="77">
                  <c:v>2.3805407889165983E-3</c:v>
                </c:pt>
                <c:pt idx="78">
                  <c:v>3.6532302993208011E-3</c:v>
                </c:pt>
                <c:pt idx="79">
                  <c:v>3.2578705688419821E-3</c:v>
                </c:pt>
                <c:pt idx="80">
                  <c:v>2.8372325409155982E-3</c:v>
                </c:pt>
                <c:pt idx="81">
                  <c:v>2.8372325409155982E-3</c:v>
                </c:pt>
                <c:pt idx="82">
                  <c:v>2.9040336870860975E-3</c:v>
                </c:pt>
                <c:pt idx="83">
                  <c:v>3.9358480520594909E-3</c:v>
                </c:pt>
                <c:pt idx="84">
                  <c:v>3.9358480520594909E-3</c:v>
                </c:pt>
                <c:pt idx="85">
                  <c:v>3.9358480520594909E-3</c:v>
                </c:pt>
                <c:pt idx="86">
                  <c:v>3.9358480520594909E-3</c:v>
                </c:pt>
                <c:pt idx="87">
                  <c:v>3.9358480520594909E-3</c:v>
                </c:pt>
                <c:pt idx="88">
                  <c:v>3.9358480520594909E-3</c:v>
                </c:pt>
                <c:pt idx="89">
                  <c:v>3.9358480520594909E-3</c:v>
                </c:pt>
                <c:pt idx="90">
                  <c:v>3.9358480520594909E-3</c:v>
                </c:pt>
                <c:pt idx="91">
                  <c:v>3.9358480520594909E-3</c:v>
                </c:pt>
                <c:pt idx="92">
                  <c:v>3.9358480520594909E-3</c:v>
                </c:pt>
                <c:pt idx="93">
                  <c:v>3.9358480520594909E-3</c:v>
                </c:pt>
                <c:pt idx="94">
                  <c:v>3.426473017131346E-3</c:v>
                </c:pt>
                <c:pt idx="95">
                  <c:v>3.2000128459364844E-3</c:v>
                </c:pt>
                <c:pt idx="96">
                  <c:v>3.9612095848110731E-3</c:v>
                </c:pt>
                <c:pt idx="97">
                  <c:v>3.2753385016822626E-3</c:v>
                </c:pt>
                <c:pt idx="98">
                  <c:v>3.9105045387021926E-3</c:v>
                </c:pt>
                <c:pt idx="99">
                  <c:v>4.1513660539341411E-3</c:v>
                </c:pt>
                <c:pt idx="100">
                  <c:v>4.5698760738503135E-3</c:v>
                </c:pt>
                <c:pt idx="101">
                  <c:v>4.1259953878737396E-3</c:v>
                </c:pt>
                <c:pt idx="102">
                  <c:v>3.4168819959426899E-3</c:v>
                </c:pt>
                <c:pt idx="103">
                  <c:v>3.3760230810135441E-3</c:v>
                </c:pt>
                <c:pt idx="104">
                  <c:v>3.250212097877344E-3</c:v>
                </c:pt>
                <c:pt idx="105">
                  <c:v>2.4647186951609829E-3</c:v>
                </c:pt>
                <c:pt idx="106">
                  <c:v>3.3004827827907818E-3</c:v>
                </c:pt>
                <c:pt idx="107">
                  <c:v>2.0504838079413064E-3</c:v>
                </c:pt>
                <c:pt idx="108">
                  <c:v>2.6887378305917205E-3</c:v>
                </c:pt>
                <c:pt idx="109">
                  <c:v>1.7308503352111166E-3</c:v>
                </c:pt>
                <c:pt idx="110">
                  <c:v>2.6444299088628775E-3</c:v>
                </c:pt>
                <c:pt idx="111">
                  <c:v>2.4694028060049085E-3</c:v>
                </c:pt>
                <c:pt idx="112">
                  <c:v>1.2637885597375073E-3</c:v>
                </c:pt>
                <c:pt idx="113">
                  <c:v>1.6569234656179886E-3</c:v>
                </c:pt>
                <c:pt idx="114">
                  <c:v>1.3127486214014612E-3</c:v>
                </c:pt>
                <c:pt idx="115">
                  <c:v>2.469402806004778E-3</c:v>
                </c:pt>
                <c:pt idx="116">
                  <c:v>2.1994201544768151E-3</c:v>
                </c:pt>
                <c:pt idx="117">
                  <c:v>2.6945988194041169E-3</c:v>
                </c:pt>
                <c:pt idx="118">
                  <c:v>2.997127871960617E-3</c:v>
                </c:pt>
                <c:pt idx="119">
                  <c:v>2.997127871960617E-3</c:v>
                </c:pt>
                <c:pt idx="120">
                  <c:v>2.997127871960617E-3</c:v>
                </c:pt>
                <c:pt idx="121">
                  <c:v>2.997127871960617E-3</c:v>
                </c:pt>
                <c:pt idx="122">
                  <c:v>2.997127871960617E-3</c:v>
                </c:pt>
                <c:pt idx="123">
                  <c:v>2.997127871960617E-3</c:v>
                </c:pt>
                <c:pt idx="124">
                  <c:v>2.997127871960617E-3</c:v>
                </c:pt>
                <c:pt idx="125">
                  <c:v>2.997127871960617E-3</c:v>
                </c:pt>
                <c:pt idx="126">
                  <c:v>2.997127871960617E-3</c:v>
                </c:pt>
                <c:pt idx="127">
                  <c:v>2.997127871960617E-3</c:v>
                </c:pt>
                <c:pt idx="128">
                  <c:v>2.997127871960617E-3</c:v>
                </c:pt>
                <c:pt idx="129">
                  <c:v>2.997127871960617E-3</c:v>
                </c:pt>
                <c:pt idx="130">
                  <c:v>2.997127871960617E-3</c:v>
                </c:pt>
                <c:pt idx="131">
                  <c:v>2.997127871960617E-3</c:v>
                </c:pt>
                <c:pt idx="132">
                  <c:v>2.997127871960617E-3</c:v>
                </c:pt>
                <c:pt idx="133">
                  <c:v>2.997127871960617E-3</c:v>
                </c:pt>
                <c:pt idx="134">
                  <c:v>2.997127871960617E-3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4-4CBA-8134-A4CEBA92E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faln_angl!$AZ$22:$AZ$156</c:f>
              <c:numCache>
                <c:formatCode>0.00%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-2.6040087919132005E-4</c:v>
                </c:pt>
                <c:pt idx="9">
                  <c:v>-5.2016789432217294E-4</c:v>
                </c:pt>
                <c:pt idx="10">
                  <c:v>-2.3471958188806864E-4</c:v>
                </c:pt>
                <c:pt idx="11">
                  <c:v>5.9193914594596363E-4</c:v>
                </c:pt>
                <c:pt idx="12">
                  <c:v>-2.9914338157780449E-5</c:v>
                </c:pt>
                <c:pt idx="13">
                  <c:v>-3.9164340703231389E-4</c:v>
                </c:pt>
                <c:pt idx="14">
                  <c:v>-1.5778340041225131E-4</c:v>
                </c:pt>
                <c:pt idx="15">
                  <c:v>-5.2016789432194255E-4</c:v>
                </c:pt>
                <c:pt idx="16">
                  <c:v>2.299481917672348E-4</c:v>
                </c:pt>
                <c:pt idx="17">
                  <c:v>9.537991100903127E-4</c:v>
                </c:pt>
                <c:pt idx="18">
                  <c:v>1.1143531353690838E-3</c:v>
                </c:pt>
                <c:pt idx="19">
                  <c:v>1.1143531353690838E-3</c:v>
                </c:pt>
                <c:pt idx="20">
                  <c:v>2.1065230957730417E-3</c:v>
                </c:pt>
                <c:pt idx="21">
                  <c:v>2.7073408026283595E-3</c:v>
                </c:pt>
                <c:pt idx="22">
                  <c:v>3.7107729497802451E-3</c:v>
                </c:pt>
                <c:pt idx="23">
                  <c:v>3.7107729497802451E-3</c:v>
                </c:pt>
                <c:pt idx="24">
                  <c:v>4.7640846606555988E-3</c:v>
                </c:pt>
                <c:pt idx="25">
                  <c:v>4.7640846606555988E-3</c:v>
                </c:pt>
                <c:pt idx="26">
                  <c:v>4.5017238345634644E-3</c:v>
                </c:pt>
                <c:pt idx="27">
                  <c:v>4.5017238345634644E-3</c:v>
                </c:pt>
                <c:pt idx="28">
                  <c:v>4.6074116344631336E-3</c:v>
                </c:pt>
                <c:pt idx="29">
                  <c:v>5.9169716998670498E-3</c:v>
                </c:pt>
                <c:pt idx="30">
                  <c:v>5.9169716998670498E-3</c:v>
                </c:pt>
                <c:pt idx="31">
                  <c:v>5.9169716998670498E-3</c:v>
                </c:pt>
                <c:pt idx="32">
                  <c:v>5.9169716998670498E-3</c:v>
                </c:pt>
                <c:pt idx="33">
                  <c:v>5.9169716998670498E-3</c:v>
                </c:pt>
                <c:pt idx="34">
                  <c:v>5.9169716998670498E-3</c:v>
                </c:pt>
                <c:pt idx="35">
                  <c:v>5.9169716998670498E-3</c:v>
                </c:pt>
                <c:pt idx="36">
                  <c:v>5.9169716998670498E-3</c:v>
                </c:pt>
                <c:pt idx="37">
                  <c:v>5.9169716998670498E-3</c:v>
                </c:pt>
                <c:pt idx="38">
                  <c:v>5.9169716998670498E-3</c:v>
                </c:pt>
                <c:pt idx="39">
                  <c:v>5.9169716998670498E-3</c:v>
                </c:pt>
                <c:pt idx="40">
                  <c:v>5.9169716998670498E-3</c:v>
                </c:pt>
                <c:pt idx="41">
                  <c:v>5.9169716998670498E-3</c:v>
                </c:pt>
                <c:pt idx="42">
                  <c:v>5.9169716998670498E-3</c:v>
                </c:pt>
                <c:pt idx="43">
                  <c:v>5.9169716998670498E-3</c:v>
                </c:pt>
                <c:pt idx="44">
                  <c:v>5.9169716998670498E-3</c:v>
                </c:pt>
                <c:pt idx="45">
                  <c:v>6.4428245252715899E-3</c:v>
                </c:pt>
                <c:pt idx="46">
                  <c:v>6.4428245252715899E-3</c:v>
                </c:pt>
                <c:pt idx="47">
                  <c:v>5.177562923874837E-3</c:v>
                </c:pt>
                <c:pt idx="48">
                  <c:v>5.4419580040233808E-3</c:v>
                </c:pt>
                <c:pt idx="49">
                  <c:v>6.097536274005895E-3</c:v>
                </c:pt>
                <c:pt idx="50">
                  <c:v>5.6783123876724562E-3</c:v>
                </c:pt>
                <c:pt idx="51">
                  <c:v>4.8376170656004832E-3</c:v>
                </c:pt>
                <c:pt idx="52">
                  <c:v>5.1545430960660693E-3</c:v>
                </c:pt>
                <c:pt idx="53">
                  <c:v>5.4161052425266368E-3</c:v>
                </c:pt>
                <c:pt idx="54">
                  <c:v>5.2056023503416274E-3</c:v>
                </c:pt>
                <c:pt idx="55">
                  <c:v>5.3373064167635985E-3</c:v>
                </c:pt>
                <c:pt idx="56">
                  <c:v>4.8641306038104785E-3</c:v>
                </c:pt>
                <c:pt idx="57">
                  <c:v>5.5996951827643896E-3</c:v>
                </c:pt>
                <c:pt idx="58">
                  <c:v>5.993363920753109E-3</c:v>
                </c:pt>
                <c:pt idx="59">
                  <c:v>5.993363920753109E-3</c:v>
                </c:pt>
                <c:pt idx="60">
                  <c:v>5.993363920753109E-3</c:v>
                </c:pt>
                <c:pt idx="61">
                  <c:v>5.993363920753109E-3</c:v>
                </c:pt>
                <c:pt idx="62">
                  <c:v>6.4115555137127765E-3</c:v>
                </c:pt>
                <c:pt idx="63">
                  <c:v>6.4115555137127765E-3</c:v>
                </c:pt>
                <c:pt idx="64">
                  <c:v>6.9680506461265047E-3</c:v>
                </c:pt>
                <c:pt idx="65">
                  <c:v>6.9680506461265047E-3</c:v>
                </c:pt>
                <c:pt idx="66">
                  <c:v>8.4743024830261013E-3</c:v>
                </c:pt>
                <c:pt idx="67">
                  <c:v>8.4743024830261013E-3</c:v>
                </c:pt>
                <c:pt idx="68">
                  <c:v>8.4743024830261013E-3</c:v>
                </c:pt>
                <c:pt idx="69">
                  <c:v>8.4743024830261013E-3</c:v>
                </c:pt>
                <c:pt idx="70">
                  <c:v>8.4743024830261013E-3</c:v>
                </c:pt>
                <c:pt idx="71">
                  <c:v>8.4743024830261013E-3</c:v>
                </c:pt>
                <c:pt idx="72">
                  <c:v>8.4743024830261013E-3</c:v>
                </c:pt>
                <c:pt idx="73">
                  <c:v>8.4743024830261013E-3</c:v>
                </c:pt>
                <c:pt idx="74">
                  <c:v>8.4743024830261013E-3</c:v>
                </c:pt>
                <c:pt idx="75">
                  <c:v>8.4743024830261013E-3</c:v>
                </c:pt>
                <c:pt idx="76">
                  <c:v>8.4743024830261013E-3</c:v>
                </c:pt>
                <c:pt idx="77">
                  <c:v>8.4743024830261013E-3</c:v>
                </c:pt>
                <c:pt idx="78">
                  <c:v>8.4743024830261013E-3</c:v>
                </c:pt>
                <c:pt idx="79">
                  <c:v>8.4743024830261013E-3</c:v>
                </c:pt>
                <c:pt idx="80">
                  <c:v>8.4743024830261013E-3</c:v>
                </c:pt>
                <c:pt idx="81">
                  <c:v>8.4743024830261013E-3</c:v>
                </c:pt>
                <c:pt idx="82">
                  <c:v>8.4743024830261013E-3</c:v>
                </c:pt>
                <c:pt idx="83">
                  <c:v>8.4743024830261013E-3</c:v>
                </c:pt>
                <c:pt idx="84">
                  <c:v>8.4743024830261013E-3</c:v>
                </c:pt>
                <c:pt idx="85">
                  <c:v>8.4743024830261013E-3</c:v>
                </c:pt>
                <c:pt idx="86">
                  <c:v>8.4743024830261013E-3</c:v>
                </c:pt>
                <c:pt idx="87">
                  <c:v>8.4743024830261013E-3</c:v>
                </c:pt>
                <c:pt idx="88">
                  <c:v>8.4743024830261013E-3</c:v>
                </c:pt>
                <c:pt idx="89">
                  <c:v>8.4743024830261013E-3</c:v>
                </c:pt>
                <c:pt idx="90">
                  <c:v>8.4743024830261013E-3</c:v>
                </c:pt>
                <c:pt idx="91">
                  <c:v>8.4743024830261013E-3</c:v>
                </c:pt>
                <c:pt idx="92">
                  <c:v>8.4743024830261013E-3</c:v>
                </c:pt>
                <c:pt idx="93">
                  <c:v>8.4743024830261013E-3</c:v>
                </c:pt>
                <c:pt idx="94">
                  <c:v>8.4743024830261013E-3</c:v>
                </c:pt>
                <c:pt idx="95">
                  <c:v>8.4743024830261013E-3</c:v>
                </c:pt>
                <c:pt idx="96">
                  <c:v>8.4743024830261013E-3</c:v>
                </c:pt>
                <c:pt idx="97">
                  <c:v>8.4743024830261013E-3</c:v>
                </c:pt>
                <c:pt idx="98">
                  <c:v>8.4743024830261013E-3</c:v>
                </c:pt>
                <c:pt idx="99">
                  <c:v>8.4743024830261013E-3</c:v>
                </c:pt>
                <c:pt idx="100">
                  <c:v>8.4743024830261013E-3</c:v>
                </c:pt>
                <c:pt idx="101">
                  <c:v>8.4743024830261013E-3</c:v>
                </c:pt>
                <c:pt idx="102">
                  <c:v>8.4743024830261013E-3</c:v>
                </c:pt>
                <c:pt idx="103">
                  <c:v>8.4743024830261013E-3</c:v>
                </c:pt>
                <c:pt idx="104">
                  <c:v>8.4743024830261013E-3</c:v>
                </c:pt>
                <c:pt idx="105">
                  <c:v>8.4743024830261013E-3</c:v>
                </c:pt>
                <c:pt idx="106">
                  <c:v>8.4743024830261013E-3</c:v>
                </c:pt>
                <c:pt idx="107">
                  <c:v>8.4743024830261013E-3</c:v>
                </c:pt>
                <c:pt idx="108">
                  <c:v>8.4743024830261013E-3</c:v>
                </c:pt>
                <c:pt idx="109">
                  <c:v>8.4743024830261013E-3</c:v>
                </c:pt>
                <c:pt idx="110">
                  <c:v>8.4743024830261013E-3</c:v>
                </c:pt>
                <c:pt idx="111">
                  <c:v>8.4743024830261013E-3</c:v>
                </c:pt>
                <c:pt idx="112">
                  <c:v>8.4743024830261013E-3</c:v>
                </c:pt>
                <c:pt idx="113">
                  <c:v>8.4743024830261013E-3</c:v>
                </c:pt>
                <c:pt idx="114">
                  <c:v>8.4743024830261013E-3</c:v>
                </c:pt>
                <c:pt idx="115">
                  <c:v>8.4743024830261013E-3</c:v>
                </c:pt>
                <c:pt idx="116">
                  <c:v>8.4743024830261013E-3</c:v>
                </c:pt>
                <c:pt idx="117">
                  <c:v>8.4743024830261013E-3</c:v>
                </c:pt>
                <c:pt idx="118">
                  <c:v>8.4743024830261013E-3</c:v>
                </c:pt>
                <c:pt idx="119">
                  <c:v>8.4743024830261013E-3</c:v>
                </c:pt>
                <c:pt idx="120">
                  <c:v>8.4743024830261013E-3</c:v>
                </c:pt>
                <c:pt idx="121">
                  <c:v>9.6652467448389186E-3</c:v>
                </c:pt>
                <c:pt idx="122">
                  <c:v>9.6652467448389186E-3</c:v>
                </c:pt>
                <c:pt idx="123">
                  <c:v>9.8945464334582404E-3</c:v>
                </c:pt>
                <c:pt idx="124">
                  <c:v>9.8945464334582404E-3</c:v>
                </c:pt>
                <c:pt idx="125">
                  <c:v>1.045886862078641E-2</c:v>
                </c:pt>
                <c:pt idx="126">
                  <c:v>1.045886862078641E-2</c:v>
                </c:pt>
                <c:pt idx="127">
                  <c:v>1.045886862078641E-2</c:v>
                </c:pt>
                <c:pt idx="128">
                  <c:v>1.045886862078641E-2</c:v>
                </c:pt>
                <c:pt idx="129">
                  <c:v>1.0269345390154444E-2</c:v>
                </c:pt>
                <c:pt idx="130">
                  <c:v>1.2339025328680534E-2</c:v>
                </c:pt>
                <c:pt idx="131">
                  <c:v>1.2339025328680534E-2</c:v>
                </c:pt>
                <c:pt idx="132">
                  <c:v>1.2339025328680534E-2</c:v>
                </c:pt>
                <c:pt idx="133">
                  <c:v>1.396846139825084E-2</c:v>
                </c:pt>
                <c:pt idx="134">
                  <c:v>1.396846139825084E-2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2-4F2A-8D5A-CC5FD8A46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7776"/>
        <c:axId val="1284439856"/>
      </c:lineChart>
      <c:catAx>
        <c:axId val="128592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39856"/>
        <c:crosses val="autoZero"/>
        <c:auto val="1"/>
        <c:lblAlgn val="ctr"/>
        <c:lblOffset val="100"/>
        <c:noMultiLvlLbl val="0"/>
      </c:catAx>
      <c:valAx>
        <c:axId val="12844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faln_angl!$K$1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faln_angl!$K$2:$K$156</c:f>
              <c:numCache>
                <c:formatCode>0.0000%</c:formatCode>
                <c:ptCount val="155"/>
                <c:pt idx="1">
                  <c:v>5.8991437639405804E-4</c:v>
                </c:pt>
                <c:pt idx="2">
                  <c:v>8.2628517024422601E-4</c:v>
                </c:pt>
                <c:pt idx="3">
                  <c:v>1.2335676239928799E-4</c:v>
                </c:pt>
                <c:pt idx="4">
                  <c:v>4.7199044905665903E-5</c:v>
                </c:pt>
                <c:pt idx="5">
                  <c:v>-3.66921830804439E-4</c:v>
                </c:pt>
                <c:pt idx="6">
                  <c:v>-1.76999207844902E-3</c:v>
                </c:pt>
                <c:pt idx="7">
                  <c:v>-3.4172148652968098E-4</c:v>
                </c:pt>
                <c:pt idx="8">
                  <c:v>-7.5527864790260696E-4</c:v>
                </c:pt>
                <c:pt idx="9">
                  <c:v>-7.3022792017751899E-4</c:v>
                </c:pt>
                <c:pt idx="10">
                  <c:v>-3.9210450190971702E-4</c:v>
                </c:pt>
                <c:pt idx="11">
                  <c:v>-5.2918775840228897E-4</c:v>
                </c:pt>
                <c:pt idx="12">
                  <c:v>-8.3032555225288505E-4</c:v>
                </c:pt>
                <c:pt idx="13">
                  <c:v>-4.9265882609998203E-4</c:v>
                </c:pt>
                <c:pt idx="14">
                  <c:v>-4.1726951843791901E-4</c:v>
                </c:pt>
                <c:pt idx="15">
                  <c:v>-4.4241689895621898E-4</c:v>
                </c:pt>
                <c:pt idx="16">
                  <c:v>-1.5554887457423299E-3</c:v>
                </c:pt>
                <c:pt idx="17">
                  <c:v>-1.5060012536344499E-3</c:v>
                </c:pt>
                <c:pt idx="18">
                  <c:v>-2.2066577125495301E-3</c:v>
                </c:pt>
                <c:pt idx="19">
                  <c:v>-1.5060012536344499E-3</c:v>
                </c:pt>
                <c:pt idx="20">
                  <c:v>-1.54699955110288E-3</c:v>
                </c:pt>
                <c:pt idx="21">
                  <c:v>-1.88650048799143E-3</c:v>
                </c:pt>
                <c:pt idx="22">
                  <c:v>-1.4972537188837E-3</c:v>
                </c:pt>
                <c:pt idx="23">
                  <c:v>-1.4225034581682599E-3</c:v>
                </c:pt>
                <c:pt idx="24">
                  <c:v>-1.9014723981297299E-4</c:v>
                </c:pt>
                <c:pt idx="25">
                  <c:v>-6.8007371442344196E-4</c:v>
                </c:pt>
                <c:pt idx="26">
                  <c:v>-3.9210450190971702E-4</c:v>
                </c:pt>
                <c:pt idx="27">
                  <c:v>9.5924705508935299E-4</c:v>
                </c:pt>
                <c:pt idx="28">
                  <c:v>1.2196479342807499E-3</c:v>
                </c:pt>
                <c:pt idx="29">
                  <c:v>1.4794149494116299E-3</c:v>
                </c:pt>
                <c:pt idx="30">
                  <c:v>1.19396663697771E-3</c:v>
                </c:pt>
                <c:pt idx="31">
                  <c:v>3.67307909143744E-4</c:v>
                </c:pt>
                <c:pt idx="32">
                  <c:v>9.8916139324750608E-4</c:v>
                </c:pt>
                <c:pt idx="33">
                  <c:v>1.35089046212205E-3</c:v>
                </c:pt>
                <c:pt idx="34">
                  <c:v>1.1170304555021E-3</c:v>
                </c:pt>
                <c:pt idx="35">
                  <c:v>1.4794149494116299E-3</c:v>
                </c:pt>
                <c:pt idx="36">
                  <c:v>7.29298863322739E-4</c:v>
                </c:pt>
                <c:pt idx="37">
                  <c:v>5.4479449996201698E-6</c:v>
                </c:pt>
                <c:pt idx="38">
                  <c:v>-1.5510608027897001E-4</c:v>
                </c:pt>
                <c:pt idx="39">
                  <c:v>2.7284976631389299E-3</c:v>
                </c:pt>
                <c:pt idx="40">
                  <c:v>1.7363277027350999E-3</c:v>
                </c:pt>
                <c:pt idx="41">
                  <c:v>1.1355099958796099E-3</c:v>
                </c:pt>
                <c:pt idx="42">
                  <c:v>1.3207784872766199E-4</c:v>
                </c:pt>
                <c:pt idx="43">
                  <c:v>1.7083898882629301E-3</c:v>
                </c:pt>
                <c:pt idx="44">
                  <c:v>6.5507817738792002E-4</c:v>
                </c:pt>
                <c:pt idx="45">
                  <c:v>1.1543579557958101E-3</c:v>
                </c:pt>
                <c:pt idx="46">
                  <c:v>1.41671878188801E-3</c:v>
                </c:pt>
                <c:pt idx="47">
                  <c:v>2.3208745993130498E-3</c:v>
                </c:pt>
                <c:pt idx="48">
                  <c:v>2.21518679941327E-3</c:v>
                </c:pt>
                <c:pt idx="49">
                  <c:v>9.0562673400936401E-4</c:v>
                </c:pt>
                <c:pt idx="50">
                  <c:v>2.44836833390109E-4</c:v>
                </c:pt>
                <c:pt idx="51">
                  <c:v>1.7599592071080999E-3</c:v>
                </c:pt>
                <c:pt idx="52">
                  <c:v>5.0580424882634202E-4</c:v>
                </c:pt>
                <c:pt idx="53">
                  <c:v>6.5119134484921697E-4</c:v>
                </c:pt>
                <c:pt idx="54">
                  <c:v>-2.7718378219184598E-4</c:v>
                </c:pt>
                <c:pt idx="55">
                  <c:v>-8.2004926279261405E-4</c:v>
                </c:pt>
                <c:pt idx="56">
                  <c:v>-4.3294131264634002E-4</c:v>
                </c:pt>
                <c:pt idx="57">
                  <c:v>-6.1236860952821302E-4</c:v>
                </c:pt>
                <c:pt idx="58">
                  <c:v>7.8422692700838299E-4</c:v>
                </c:pt>
                <c:pt idx="59">
                  <c:v>-3.7727826540112901E-4</c:v>
                </c:pt>
                <c:pt idx="60">
                  <c:v>-3.28471184689503E-5</c:v>
                </c:pt>
                <c:pt idx="61">
                  <c:v>-5.8899789676829501E-5</c:v>
                </c:pt>
                <c:pt idx="62">
                  <c:v>4.7962290987227997E-4</c:v>
                </c:pt>
                <c:pt idx="63">
                  <c:v>1.3879597446153199E-3</c:v>
                </c:pt>
                <c:pt idx="64">
                  <c:v>1.6279629183416299E-3</c:v>
                </c:pt>
                <c:pt idx="65">
                  <c:v>1.1021100929372301E-3</c:v>
                </c:pt>
                <c:pt idx="66">
                  <c:v>9.7181556513571503E-4</c:v>
                </c:pt>
                <c:pt idx="67">
                  <c:v>2.2370771665324498E-3</c:v>
                </c:pt>
                <c:pt idx="68">
                  <c:v>1.9726820863839802E-3</c:v>
                </c:pt>
                <c:pt idx="69">
                  <c:v>1.3171038164015499E-3</c:v>
                </c:pt>
                <c:pt idx="70">
                  <c:v>1.7363277027350999E-3</c:v>
                </c:pt>
                <c:pt idx="71">
                  <c:v>2.5770230248069702E-3</c:v>
                </c:pt>
                <c:pt idx="72">
                  <c:v>2.2600969943413099E-3</c:v>
                </c:pt>
                <c:pt idx="73">
                  <c:v>1.9985348478809002E-3</c:v>
                </c:pt>
                <c:pt idx="74">
                  <c:v>2.2090377400657301E-3</c:v>
                </c:pt>
                <c:pt idx="75">
                  <c:v>2.0773336736437898E-3</c:v>
                </c:pt>
                <c:pt idx="76">
                  <c:v>2.5505094865970399E-3</c:v>
                </c:pt>
                <c:pt idx="77">
                  <c:v>1.81494490764292E-3</c:v>
                </c:pt>
                <c:pt idx="78">
                  <c:v>1.4212761696543201E-3</c:v>
                </c:pt>
                <c:pt idx="79">
                  <c:v>1.13188477179533E-3</c:v>
                </c:pt>
                <c:pt idx="80">
                  <c:v>2.5004376233728298E-3</c:v>
                </c:pt>
                <c:pt idx="81">
                  <c:v>2.9984985552077999E-3</c:v>
                </c:pt>
                <c:pt idx="82">
                  <c:v>2.5803069622481602E-3</c:v>
                </c:pt>
                <c:pt idx="83">
                  <c:v>2.47664997154168E-3</c:v>
                </c:pt>
                <c:pt idx="84">
                  <c:v>1.92015483912811E-3</c:v>
                </c:pt>
                <c:pt idx="85">
                  <c:v>2.0254106974073901E-3</c:v>
                </c:pt>
                <c:pt idx="86">
                  <c:v>5.1915886050788395E-4</c:v>
                </c:pt>
                <c:pt idx="87">
                  <c:v>2.864145787424E-4</c:v>
                </c:pt>
                <c:pt idx="88">
                  <c:v>8.6297870229947804E-4</c:v>
                </c:pt>
                <c:pt idx="89">
                  <c:v>6.7515404638441201E-4</c:v>
                </c:pt>
                <c:pt idx="90">
                  <c:v>1.0720694591589001E-3</c:v>
                </c:pt>
                <c:pt idx="91">
                  <c:v>1.0720694591589001E-3</c:v>
                </c:pt>
                <c:pt idx="92">
                  <c:v>4.5346042451767599E-4</c:v>
                </c:pt>
                <c:pt idx="93">
                  <c:v>4.01191933168516E-4</c:v>
                </c:pt>
                <c:pt idx="94">
                  <c:v>6.3699446248450099E-4</c:v>
                </c:pt>
                <c:pt idx="95">
                  <c:v>-9.21752162991009E-4</c:v>
                </c:pt>
                <c:pt idx="96">
                  <c:v>-1.4263423183286601E-5</c:v>
                </c:pt>
                <c:pt idx="97">
                  <c:v>-4.6179712556165998E-4</c:v>
                </c:pt>
                <c:pt idx="98">
                  <c:v>8.1089238484238703E-4</c:v>
                </c:pt>
                <c:pt idx="99">
                  <c:v>4.1553265436358901E-4</c:v>
                </c:pt>
                <c:pt idx="100">
                  <c:v>-5.1053735628415102E-6</c:v>
                </c:pt>
                <c:pt idx="101">
                  <c:v>-2.35636808844506E-4</c:v>
                </c:pt>
                <c:pt idx="102">
                  <c:v>-1.6883566267389199E-4</c:v>
                </c:pt>
                <c:pt idx="103">
                  <c:v>8.6297870229947804E-4</c:v>
                </c:pt>
                <c:pt idx="104">
                  <c:v>1.01968462688139E-3</c:v>
                </c:pt>
                <c:pt idx="105">
                  <c:v>1.2328695887066101E-3</c:v>
                </c:pt>
                <c:pt idx="106">
                  <c:v>1.25600829251703E-3</c:v>
                </c:pt>
                <c:pt idx="107">
                  <c:v>8.5799665014239996E-4</c:v>
                </c:pt>
                <c:pt idx="108">
                  <c:v>3.5645020478795202E-4</c:v>
                </c:pt>
                <c:pt idx="109">
                  <c:v>5.6468437974320496E-4</c:v>
                </c:pt>
                <c:pt idx="110">
                  <c:v>7.2067083410292602E-5</c:v>
                </c:pt>
                <c:pt idx="111">
                  <c:v>4.6324601434048301E-5</c:v>
                </c:pt>
                <c:pt idx="112">
                  <c:v>-1.07745915352259E-4</c:v>
                </c:pt>
                <c:pt idx="113">
                  <c:v>-8.4412297366427604E-4</c:v>
                </c:pt>
                <c:pt idx="114">
                  <c:v>-1.3534980085925E-3</c:v>
                </c:pt>
                <c:pt idx="115">
                  <c:v>-1.5799581797872699E-3</c:v>
                </c:pt>
                <c:pt idx="116">
                  <c:v>-8.1876144091268005E-4</c:v>
                </c:pt>
                <c:pt idx="117">
                  <c:v>-1.5046325240414399E-3</c:v>
                </c:pt>
                <c:pt idx="118">
                  <c:v>-8.6946648702168302E-4</c:v>
                </c:pt>
                <c:pt idx="119">
                  <c:v>-6.2860497178968795E-4</c:v>
                </c:pt>
                <c:pt idx="120">
                  <c:v>-2.1009495187352E-4</c:v>
                </c:pt>
                <c:pt idx="121">
                  <c:v>-6.5397563785020202E-4</c:v>
                </c:pt>
                <c:pt idx="122">
                  <c:v>-1.36308902978134E-3</c:v>
                </c:pt>
                <c:pt idx="123">
                  <c:v>-1.40394794471039E-3</c:v>
                </c:pt>
                <c:pt idx="124">
                  <c:v>-1.52975892784638E-3</c:v>
                </c:pt>
                <c:pt idx="125">
                  <c:v>-2.3152523305627502E-3</c:v>
                </c:pt>
                <c:pt idx="126">
                  <c:v>-1.4794882429330701E-3</c:v>
                </c:pt>
                <c:pt idx="127">
                  <c:v>-2.72948721778249E-3</c:v>
                </c:pt>
                <c:pt idx="128">
                  <c:v>-2.0912331951320599E-3</c:v>
                </c:pt>
                <c:pt idx="129">
                  <c:v>-3.0491206905126902E-3</c:v>
                </c:pt>
                <c:pt idx="130">
                  <c:v>-2.1355411168609301E-3</c:v>
                </c:pt>
                <c:pt idx="131">
                  <c:v>-2.31056821971874E-3</c:v>
                </c:pt>
                <c:pt idx="132">
                  <c:v>-3.5161824659859999E-3</c:v>
                </c:pt>
                <c:pt idx="133">
                  <c:v>-3.1230475601054298E-3</c:v>
                </c:pt>
                <c:pt idx="134">
                  <c:v>-3.4672224043220201E-3</c:v>
                </c:pt>
                <c:pt idx="135">
                  <c:v>-2.31056821971874E-3</c:v>
                </c:pt>
                <c:pt idx="136">
                  <c:v>-2.5805508712466799E-3</c:v>
                </c:pt>
                <c:pt idx="137">
                  <c:v>-2.0853722063194301E-3</c:v>
                </c:pt>
                <c:pt idx="138">
                  <c:v>-1.7828431537628201E-3</c:v>
                </c:pt>
                <c:pt idx="139">
                  <c:v>-2.1550746860713702E-3</c:v>
                </c:pt>
                <c:pt idx="140">
                  <c:v>-4.7319843267691001E-4</c:v>
                </c:pt>
                <c:pt idx="141">
                  <c:v>-1.6641426944895099E-3</c:v>
                </c:pt>
                <c:pt idx="142">
                  <c:v>-1.08912130839055E-3</c:v>
                </c:pt>
                <c:pt idx="143">
                  <c:v>-1.31842099700976E-3</c:v>
                </c:pt>
                <c:pt idx="144">
                  <c:v>-5.5035011601055805E-4</c:v>
                </c:pt>
                <c:pt idx="145">
                  <c:v>-1.1146723033387501E-3</c:v>
                </c:pt>
                <c:pt idx="146">
                  <c:v>-1.0492816283982399E-3</c:v>
                </c:pt>
                <c:pt idx="147">
                  <c:v>-1.0492816283982399E-3</c:v>
                </c:pt>
                <c:pt idx="148">
                  <c:v>1.15054565449207E-4</c:v>
                </c:pt>
                <c:pt idx="149">
                  <c:v>3.0457779608118599E-4</c:v>
                </c:pt>
                <c:pt idx="150">
                  <c:v>-1.7651021424449399E-3</c:v>
                </c:pt>
                <c:pt idx="151">
                  <c:v>-2.1355411168609301E-3</c:v>
                </c:pt>
                <c:pt idx="152">
                  <c:v>-4.6179712556165998E-4</c:v>
                </c:pt>
                <c:pt idx="153">
                  <c:v>-2.0912331951320599E-3</c:v>
                </c:pt>
                <c:pt idx="154">
                  <c:v>-1.9661562996619499E-3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A-4A06-A0FC-106C40B02E63}"/>
            </c:ext>
          </c:extLst>
        </c:ser>
        <c:ser>
          <c:idx val="1"/>
          <c:order val="1"/>
          <c:tx>
            <c:strRef>
              <c:f>faln_angl!$L$1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faln_angl!$L$2:$L$156</c:f>
              <c:numCache>
                <c:formatCode>0.0000%</c:formatCode>
                <c:ptCount val="155"/>
                <c:pt idx="10">
                  <c:v>-2.3420490952461199E-4</c:v>
                </c:pt>
                <c:pt idx="11">
                  <c:v>-2.5248476742500601E-4</c:v>
                </c:pt>
                <c:pt idx="12">
                  <c:v>-4.4167170655961998E-4</c:v>
                </c:pt>
                <c:pt idx="13">
                  <c:v>6.1733907253223096E-5</c:v>
                </c:pt>
                <c:pt idx="14">
                  <c:v>1.9874945447419199E-4</c:v>
                </c:pt>
                <c:pt idx="15">
                  <c:v>2.2007003248034499E-4</c:v>
                </c:pt>
                <c:pt idx="16">
                  <c:v>-8.8545033232969401E-4</c:v>
                </c:pt>
                <c:pt idx="17">
                  <c:v>-8.57391660712012E-4</c:v>
                </c:pt>
                <c:pt idx="18">
                  <c:v>-1.4416454044064301E-3</c:v>
                </c:pt>
                <c:pt idx="19">
                  <c:v>-5.9594438298982697E-4</c:v>
                </c:pt>
                <c:pt idx="20">
                  <c:v>-5.5937847602639996E-4</c:v>
                </c:pt>
                <c:pt idx="21">
                  <c:v>-7.8338114510475101E-4</c:v>
                </c:pt>
                <c:pt idx="22">
                  <c:v>-2.5840809590866898E-4</c:v>
                </c:pt>
                <c:pt idx="23">
                  <c:v>-1.16957787012242E-4</c:v>
                </c:pt>
                <c:pt idx="24">
                  <c:v>1.2084195851590699E-3</c:v>
                </c:pt>
                <c:pt idx="25">
                  <c:v>6.9575626082913602E-4</c:v>
                </c:pt>
                <c:pt idx="26">
                  <c:v>1.0075108048610199E-3</c:v>
                </c:pt>
                <c:pt idx="27">
                  <c:v>2.24248115384544E-3</c:v>
                </c:pt>
                <c:pt idx="28">
                  <c:v>2.2561385027906498E-3</c:v>
                </c:pt>
                <c:pt idx="29">
                  <c:v>2.1731474398036499E-3</c:v>
                </c:pt>
                <c:pt idx="30">
                  <c:v>1.5889988029157899E-3</c:v>
                </c:pt>
                <c:pt idx="31">
                  <c:v>4.8822104354607798E-4</c:v>
                </c:pt>
                <c:pt idx="32">
                  <c:v>8.8486290329364403E-4</c:v>
                </c:pt>
                <c:pt idx="33">
                  <c:v>9.9807036437673906E-4</c:v>
                </c:pt>
                <c:pt idx="34">
                  <c:v>4.8701705901314199E-4</c:v>
                </c:pt>
                <c:pt idx="35">
                  <c:v>7.1871408614490205E-4</c:v>
                </c:pt>
                <c:pt idx="36">
                  <c:v>-2.4724966149021601E-4</c:v>
                </c:pt>
                <c:pt idx="37">
                  <c:v>-1.0831440777566701E-3</c:v>
                </c:pt>
                <c:pt idx="38">
                  <c:v>-1.1483714509969299E-3</c:v>
                </c:pt>
                <c:pt idx="39">
                  <c:v>1.8726537858084001E-3</c:v>
                </c:pt>
                <c:pt idx="40">
                  <c:v>7.5542736888940701E-4</c:v>
                </c:pt>
                <c:pt idx="41">
                  <c:v>1.00348756919626E-4</c:v>
                </c:pt>
                <c:pt idx="42">
                  <c:v>-9.7987885712946007E-4</c:v>
                </c:pt>
                <c:pt idx="43">
                  <c:v>6.8209796743241705E-4</c:v>
                </c:pt>
                <c:pt idx="44">
                  <c:v>-4.0698104579054502E-4</c:v>
                </c:pt>
                <c:pt idx="45">
                  <c:v>1.3848689762520499E-4</c:v>
                </c:pt>
                <c:pt idx="46">
                  <c:v>4.3336373805074203E-4</c:v>
                </c:pt>
                <c:pt idx="47">
                  <c:v>1.26877376205646E-3</c:v>
                </c:pt>
                <c:pt idx="48">
                  <c:v>9.3154433617093405E-4</c:v>
                </c:pt>
                <c:pt idx="49">
                  <c:v>-6.1495689639562998E-4</c:v>
                </c:pt>
                <c:pt idx="50">
                  <c:v>-1.0933890004553E-3</c:v>
                </c:pt>
                <c:pt idx="51">
                  <c:v>5.7084174840932496E-4</c:v>
                </c:pt>
                <c:pt idx="52">
                  <c:v>-7.4577233281396705E-4</c:v>
                </c:pt>
                <c:pt idx="53">
                  <c:v>-6.3772234117640198E-4</c:v>
                </c:pt>
                <c:pt idx="54">
                  <c:v>-1.4603835572802599E-3</c:v>
                </c:pt>
                <c:pt idx="55">
                  <c:v>-1.91011114567345E-3</c:v>
                </c:pt>
                <c:pt idx="56">
                  <c:v>-1.3257251190580601E-3</c:v>
                </c:pt>
                <c:pt idx="57">
                  <c:v>-1.3202434226155201E-3</c:v>
                </c:pt>
                <c:pt idx="58">
                  <c:v>3.6976252002307098E-4</c:v>
                </c:pt>
                <c:pt idx="59">
                  <c:v>-6.4848103332852095E-4</c:v>
                </c:pt>
                <c:pt idx="60">
                  <c:v>-1.7575204953289701E-4</c:v>
                </c:pt>
                <c:pt idx="61">
                  <c:v>-1.7403696485959101E-4</c:v>
                </c:pt>
                <c:pt idx="62">
                  <c:v>5.4652203378710898E-4</c:v>
                </c:pt>
                <c:pt idx="63">
                  <c:v>1.4574784714075999E-3</c:v>
                </c:pt>
                <c:pt idx="64">
                  <c:v>1.62372723867689E-3</c:v>
                </c:pt>
                <c:pt idx="65">
                  <c:v>9.0724997680056898E-4</c:v>
                </c:pt>
                <c:pt idx="66">
                  <c:v>5.8476829961767696E-4</c:v>
                </c:pt>
                <c:pt idx="67">
                  <c:v>1.7095805855482601E-3</c:v>
                </c:pt>
                <c:pt idx="68">
                  <c:v>1.16020026330161E-3</c:v>
                </c:pt>
                <c:pt idx="69">
                  <c:v>3.8571625759677901E-4</c:v>
                </c:pt>
                <c:pt idx="70">
                  <c:v>6.3559442870738097E-4</c:v>
                </c:pt>
                <c:pt idx="71">
                  <c:v>1.29943193158563E-3</c:v>
                </c:pt>
                <c:pt idx="72">
                  <c:v>7.1895316061815998E-4</c:v>
                </c:pt>
                <c:pt idx="73">
                  <c:v>2.7938991937162799E-4</c:v>
                </c:pt>
                <c:pt idx="74">
                  <c:v>4.2883874534348698E-4</c:v>
                </c:pt>
                <c:pt idx="75">
                  <c:v>2.3902084767498199E-4</c:v>
                </c:pt>
                <c:pt idx="76">
                  <c:v>6.1470329148890102E-4</c:v>
                </c:pt>
                <c:pt idx="77">
                  <c:v>-2.7869067180743298E-4</c:v>
                </c:pt>
                <c:pt idx="78">
                  <c:v>-6.3014814726454504E-4</c:v>
                </c:pt>
                <c:pt idx="79">
                  <c:v>-8.6441697438535301E-4</c:v>
                </c:pt>
                <c:pt idx="80">
                  <c:v>5.2264366311855599E-4</c:v>
                </c:pt>
                <c:pt idx="81">
                  <c:v>9.4428577774520104E-4</c:v>
                </c:pt>
                <c:pt idx="82">
                  <c:v>4.8391659232430899E-4</c:v>
                </c:pt>
                <c:pt idx="83">
                  <c:v>3.4822874723455002E-4</c:v>
                </c:pt>
                <c:pt idx="84">
                  <c:v>-2.5608197474167102E-4</c:v>
                </c:pt>
                <c:pt idx="85">
                  <c:v>-1.2194063401059E-4</c:v>
                </c:pt>
                <c:pt idx="86">
                  <c:v>-1.62300065813676E-3</c:v>
                </c:pt>
                <c:pt idx="87">
                  <c:v>-1.65271256432822E-3</c:v>
                </c:pt>
                <c:pt idx="88">
                  <c:v>-9.2341947210961505E-4</c:v>
                </c:pt>
                <c:pt idx="89">
                  <c:v>-1.0554487819208001E-3</c:v>
                </c:pt>
                <c:pt idx="90">
                  <c:v>-6.1289701470946005E-4</c:v>
                </c:pt>
                <c:pt idx="91">
                  <c:v>-4.7003551367111502E-4</c:v>
                </c:pt>
                <c:pt idx="92">
                  <c:v>-8.9588800167926096E-4</c:v>
                </c:pt>
                <c:pt idx="93">
                  <c:v>-7.35413535818751E-4</c:v>
                </c:pt>
                <c:pt idx="94">
                  <c:v>-2.91980857961152E-4</c:v>
                </c:pt>
                <c:pt idx="95">
                  <c:v>-1.7223583309554601E-3</c:v>
                </c:pt>
                <c:pt idx="96">
                  <c:v>-5.2018309215825002E-4</c:v>
                </c:pt>
                <c:pt idx="97">
                  <c:v>-9.1438666255405198E-4</c:v>
                </c:pt>
                <c:pt idx="98">
                  <c:v>4.3308640272081699E-4</c:v>
                </c:pt>
                <c:pt idx="99">
                  <c:v>4.29377095514007E-5</c:v>
                </c:pt>
                <c:pt idx="100">
                  <c:v>-3.5173335665565701E-4</c:v>
                </c:pt>
                <c:pt idx="101">
                  <c:v>-4.7452137001304499E-4</c:v>
                </c:pt>
                <c:pt idx="102">
                  <c:v>-2.7691757999939699E-4</c:v>
                </c:pt>
                <c:pt idx="103">
                  <c:v>8.1713046135714802E-4</c:v>
                </c:pt>
                <c:pt idx="104">
                  <c:v>9.2763169647903498E-4</c:v>
                </c:pt>
                <c:pt idx="105">
                  <c:v>1.10252018760994E-3</c:v>
                </c:pt>
                <c:pt idx="106">
                  <c:v>9.1021445267034501E-4</c:v>
                </c:pt>
                <c:pt idx="107">
                  <c:v>3.85148754628747E-4</c:v>
                </c:pt>
                <c:pt idx="108">
                  <c:v>-2.4833211803589701E-4</c:v>
                </c:pt>
                <c:pt idx="109">
                  <c:v>5.34634852804463E-6</c:v>
                </c:pt>
                <c:pt idx="110">
                  <c:v>-5.0218497660786297E-4</c:v>
                </c:pt>
                <c:pt idx="111">
                  <c:v>-5.3564050240150201E-4</c:v>
                </c:pt>
                <c:pt idx="112">
                  <c:v>-7.1788769168869705E-4</c:v>
                </c:pt>
                <c:pt idx="113">
                  <c:v>-1.46036913565679E-3</c:v>
                </c:pt>
                <c:pt idx="114">
                  <c:v>-1.7991229859358399E-3</c:v>
                </c:pt>
                <c:pt idx="115">
                  <c:v>-1.78838202840389E-3</c:v>
                </c:pt>
                <c:pt idx="116">
                  <c:v>-7.4597030330105201E-4</c:v>
                </c:pt>
                <c:pt idx="117">
                  <c:v>-1.22428236635744E-3</c:v>
                </c:pt>
                <c:pt idx="118">
                  <c:v>-3.5283559635127302E-4</c:v>
                </c:pt>
                <c:pt idx="119">
                  <c:v>1.0657007654814199E-5</c:v>
                </c:pt>
                <c:pt idx="120">
                  <c:v>5.4857558939981296E-4</c:v>
                </c:pt>
                <c:pt idx="121">
                  <c:v>1.3293097188217E-4</c:v>
                </c:pt>
                <c:pt idx="122">
                  <c:v>-5.0611610174834795E-4</c:v>
                </c:pt>
                <c:pt idx="123">
                  <c:v>-4.21417554674948E-4</c:v>
                </c:pt>
                <c:pt idx="124">
                  <c:v>-4.9125239458680504E-4</c:v>
                </c:pt>
                <c:pt idx="125">
                  <c:v>-1.2591266541709899E-3</c:v>
                </c:pt>
                <c:pt idx="126">
                  <c:v>-3.4989597196707499E-4</c:v>
                </c:pt>
                <c:pt idx="127">
                  <c:v>-1.5338213731588E-3</c:v>
                </c:pt>
                <c:pt idx="128">
                  <c:v>-7.7318719074108899E-4</c:v>
                </c:pt>
                <c:pt idx="129">
                  <c:v>-1.60891037409056E-3</c:v>
                </c:pt>
                <c:pt idx="130">
                  <c:v>-4.5334636886564097E-4</c:v>
                </c:pt>
                <c:pt idx="131">
                  <c:v>-4.3571216474140801E-4</c:v>
                </c:pt>
                <c:pt idx="132">
                  <c:v>-1.47558835211604E-3</c:v>
                </c:pt>
                <c:pt idx="133">
                  <c:v>-8.6720679739696002E-4</c:v>
                </c:pt>
                <c:pt idx="134">
                  <c:v>-1.03945819722512E-3</c:v>
                </c:pt>
                <c:pt idx="135">
                  <c:v>3.1094743141736299E-4</c:v>
                </c:pt>
                <c:pt idx="136">
                  <c:v>4.0496224338135498E-5</c:v>
                </c:pt>
                <c:pt idx="137">
                  <c:v>6.4585232204069103E-4</c:v>
                </c:pt>
                <c:pt idx="138">
                  <c:v>8.8395108852536998E-4</c:v>
                </c:pt>
                <c:pt idx="139">
                  <c:v>4.80858515000657E-4</c:v>
                </c:pt>
                <c:pt idx="140">
                  <c:v>2.07333113649538E-3</c:v>
                </c:pt>
                <c:pt idx="141">
                  <c:v>7.1595981902657199E-4</c:v>
                </c:pt>
                <c:pt idx="142">
                  <c:v>1.2263153491998201E-3</c:v>
                </c:pt>
                <c:pt idx="143">
                  <c:v>7.5433583141988505E-4</c:v>
                </c:pt>
                <c:pt idx="144">
                  <c:v>1.34198701066677E-3</c:v>
                </c:pt>
                <c:pt idx="145">
                  <c:v>4.8605397843767801E-4</c:v>
                </c:pt>
                <c:pt idx="146">
                  <c:v>4.3187558388731E-4</c:v>
                </c:pt>
                <c:pt idx="147">
                  <c:v>2.7881145852492101E-4</c:v>
                </c:pt>
                <c:pt idx="148">
                  <c:v>1.3395687382552501E-3</c:v>
                </c:pt>
                <c:pt idx="149">
                  <c:v>1.3392460402100099E-3</c:v>
                </c:pt>
                <c:pt idx="150">
                  <c:v>-9.7639587235476397E-4</c:v>
                </c:pt>
                <c:pt idx="151">
                  <c:v>-1.2176788096631801E-3</c:v>
                </c:pt>
                <c:pt idx="152">
                  <c:v>5.0315986560378796E-4</c:v>
                </c:pt>
                <c:pt idx="153">
                  <c:v>-1.18901854371677E-3</c:v>
                </c:pt>
                <c:pt idx="154">
                  <c:v>-9.8671944693915696E-4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1A-4A06-A0FC-106C40B02E63}"/>
            </c:ext>
          </c:extLst>
        </c:ser>
        <c:ser>
          <c:idx val="2"/>
          <c:order val="2"/>
          <c:tx>
            <c:strRef>
              <c:f>faln_angl!$M$1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faln_angl!$M$2:$M$156</c:f>
              <c:numCache>
                <c:formatCode>0.0000%</c:formatCode>
                <c:ptCount val="155"/>
                <c:pt idx="20">
                  <c:v>-9.7432527208687002E-4</c:v>
                </c:pt>
                <c:pt idx="21">
                  <c:v>-1.1966746915552E-3</c:v>
                </c:pt>
                <c:pt idx="22">
                  <c:v>-6.8359433780409995E-4</c:v>
                </c:pt>
                <c:pt idx="23">
                  <c:v>-4.9260478475380903E-4</c:v>
                </c:pt>
                <c:pt idx="24">
                  <c:v>8.1706911148841802E-4</c:v>
                </c:pt>
                <c:pt idx="25">
                  <c:v>3.3902113163531398E-4</c:v>
                </c:pt>
                <c:pt idx="26">
                  <c:v>6.4265582287785397E-4</c:v>
                </c:pt>
                <c:pt idx="27">
                  <c:v>1.92511855739661E-3</c:v>
                </c:pt>
                <c:pt idx="28">
                  <c:v>2.12039016005168E-3</c:v>
                </c:pt>
                <c:pt idx="29">
                  <c:v>2.2813037804002702E-3</c:v>
                </c:pt>
                <c:pt idx="30">
                  <c:v>1.88524936228374E-3</c:v>
                </c:pt>
                <c:pt idx="31">
                  <c:v>9.7920355666359792E-4</c:v>
                </c:pt>
                <c:pt idx="32">
                  <c:v>1.55620945526141E-3</c:v>
                </c:pt>
                <c:pt idx="33">
                  <c:v>1.82690947673868E-3</c:v>
                </c:pt>
                <c:pt idx="34">
                  <c:v>1.50079277761753E-3</c:v>
                </c:pt>
                <c:pt idx="35">
                  <c:v>1.7864089100102E-3</c:v>
                </c:pt>
                <c:pt idx="36">
                  <c:v>9.4012648514847999E-4</c:v>
                </c:pt>
                <c:pt idx="37">
                  <c:v>1.02065788270636E-4</c:v>
                </c:pt>
                <c:pt idx="38">
                  <c:v>-1.34008469940998E-4</c:v>
                </c:pt>
                <c:pt idx="39">
                  <c:v>2.6471418213344601E-3</c:v>
                </c:pt>
                <c:pt idx="40">
                  <c:v>1.4431569700195501E-3</c:v>
                </c:pt>
                <c:pt idx="41">
                  <c:v>6.7821888011543395E-4</c:v>
                </c:pt>
                <c:pt idx="42">
                  <c:v>-4.7617667105750999E-4</c:v>
                </c:pt>
                <c:pt idx="43">
                  <c:v>1.0187771834388999E-3</c:v>
                </c:pt>
                <c:pt idx="44">
                  <c:v>-1.9098146539503E-4</c:v>
                </c:pt>
                <c:pt idx="45">
                  <c:v>2.6606385609874699E-4</c:v>
                </c:pt>
                <c:pt idx="46">
                  <c:v>4.3676699177186298E-4</c:v>
                </c:pt>
                <c:pt idx="47">
                  <c:v>1.2505280028557301E-3</c:v>
                </c:pt>
                <c:pt idx="48">
                  <c:v>1.07672234257629E-3</c:v>
                </c:pt>
                <c:pt idx="49">
                  <c:v>-2.8264225472486701E-4</c:v>
                </c:pt>
                <c:pt idx="50">
                  <c:v>-9.1474221064433495E-4</c:v>
                </c:pt>
                <c:pt idx="51">
                  <c:v>6.4781689546398395E-4</c:v>
                </c:pt>
                <c:pt idx="52">
                  <c:v>-6.7596483163598895E-4</c:v>
                </c:pt>
                <c:pt idx="53">
                  <c:v>-5.06420079852795E-4</c:v>
                </c:pt>
                <c:pt idx="54">
                  <c:v>-1.3998151157042899E-3</c:v>
                </c:pt>
                <c:pt idx="55">
                  <c:v>-1.87301642135316E-3</c:v>
                </c:pt>
                <c:pt idx="56">
                  <c:v>-1.37101176316444E-3</c:v>
                </c:pt>
                <c:pt idx="57">
                  <c:v>-1.4923712461445799E-3</c:v>
                </c:pt>
                <c:pt idx="58">
                  <c:v>-6.49209419142194E-5</c:v>
                </c:pt>
                <c:pt idx="59">
                  <c:v>-1.27336658362218E-3</c:v>
                </c:pt>
                <c:pt idx="60">
                  <c:v>-7.7359109992062799E-4</c:v>
                </c:pt>
                <c:pt idx="61">
                  <c:v>-7.1117128581694403E-4</c:v>
                </c:pt>
                <c:pt idx="62">
                  <c:v>-1.1293311624820699E-4</c:v>
                </c:pt>
                <c:pt idx="63">
                  <c:v>7.78031597688801E-4</c:v>
                </c:pt>
                <c:pt idx="64">
                  <c:v>1.0340714464328301E-3</c:v>
                </c:pt>
                <c:pt idx="65">
                  <c:v>4.5954892015606901E-4</c:v>
                </c:pt>
                <c:pt idx="66">
                  <c:v>3.3186805799021601E-4</c:v>
                </c:pt>
                <c:pt idx="67">
                  <c:v>1.6193874024582799E-3</c:v>
                </c:pt>
                <c:pt idx="68">
                  <c:v>1.35918916911757E-3</c:v>
                </c:pt>
                <c:pt idx="69">
                  <c:v>7.15754172542044E-4</c:v>
                </c:pt>
                <c:pt idx="70">
                  <c:v>1.1143939208018499E-3</c:v>
                </c:pt>
                <c:pt idx="71">
                  <c:v>1.88048997822538E-3</c:v>
                </c:pt>
                <c:pt idx="72">
                  <c:v>1.52265141420261E-3</c:v>
                </c:pt>
                <c:pt idx="73">
                  <c:v>1.17332183236638E-3</c:v>
                </c:pt>
                <c:pt idx="74">
                  <c:v>1.3164261472120801E-3</c:v>
                </c:pt>
                <c:pt idx="75">
                  <c:v>1.06040958552783E-3</c:v>
                </c:pt>
                <c:pt idx="76">
                  <c:v>1.38878292453623E-3</c:v>
                </c:pt>
                <c:pt idx="77">
                  <c:v>5.0407222853657296E-4</c:v>
                </c:pt>
                <c:pt idx="78">
                  <c:v>-1.0868772646919399E-5</c:v>
                </c:pt>
                <c:pt idx="79">
                  <c:v>-3.32101635968938E-4</c:v>
                </c:pt>
                <c:pt idx="80">
                  <c:v>9.6107785180408903E-4</c:v>
                </c:pt>
                <c:pt idx="81">
                  <c:v>1.3325212272128201E-3</c:v>
                </c:pt>
                <c:pt idx="82">
                  <c:v>7.6150132308571501E-4</c:v>
                </c:pt>
                <c:pt idx="83">
                  <c:v>5.5284595674795804E-4</c:v>
                </c:pt>
                <c:pt idx="84">
                  <c:v>-5.8082670912064E-5</c:v>
                </c:pt>
                <c:pt idx="85">
                  <c:v>3.2566680614391601E-5</c:v>
                </c:pt>
                <c:pt idx="86">
                  <c:v>-1.51982931908039E-3</c:v>
                </c:pt>
                <c:pt idx="87">
                  <c:v>-1.72996976662502E-3</c:v>
                </c:pt>
                <c:pt idx="88">
                  <c:v>-1.05594132322152E-3</c:v>
                </c:pt>
                <c:pt idx="89">
                  <c:v>-1.18830706534791E-3</c:v>
                </c:pt>
                <c:pt idx="90">
                  <c:v>-7.5932147639453903E-4</c:v>
                </c:pt>
                <c:pt idx="91">
                  <c:v>-7.2612219778753402E-4</c:v>
                </c:pt>
                <c:pt idx="92">
                  <c:v>-1.2694787324992901E-3</c:v>
                </c:pt>
                <c:pt idx="93">
                  <c:v>-1.2314443757853099E-3</c:v>
                </c:pt>
                <c:pt idx="94">
                  <c:v>-9.1580606231474095E-4</c:v>
                </c:pt>
                <c:pt idx="95">
                  <c:v>-2.3959576279819301E-3</c:v>
                </c:pt>
                <c:pt idx="96">
                  <c:v>-1.3386376770612701E-3</c:v>
                </c:pt>
                <c:pt idx="97">
                  <c:v>-1.65793168982456E-3</c:v>
                </c:pt>
                <c:pt idx="98">
                  <c:v>-2.7145770989799403E-4</c:v>
                </c:pt>
                <c:pt idx="99">
                  <c:v>-6.3629675535378002E-4</c:v>
                </c:pt>
                <c:pt idx="100">
                  <c:v>-1.0211264957662601E-3</c:v>
                </c:pt>
                <c:pt idx="101">
                  <c:v>-1.12634387375889E-3</c:v>
                </c:pt>
                <c:pt idx="102">
                  <c:v>-8.9774342724089295E-4</c:v>
                </c:pt>
                <c:pt idx="103">
                  <c:v>2.7160312842566402E-4</c:v>
                </c:pt>
                <c:pt idx="104">
                  <c:v>5.0908294657427502E-4</c:v>
                </c:pt>
                <c:pt idx="105">
                  <c:v>7.6733564866034404E-4</c:v>
                </c:pt>
                <c:pt idx="106">
                  <c:v>8.3014833307105604E-4</c:v>
                </c:pt>
                <c:pt idx="107">
                  <c:v>3.9527788258911001E-4</c:v>
                </c:pt>
                <c:pt idx="108">
                  <c:v>-1.34850387467217E-4</c:v>
                </c:pt>
                <c:pt idx="109">
                  <c:v>9.8713532607047605E-5</c:v>
                </c:pt>
                <c:pt idx="110">
                  <c:v>-3.8837941473524599E-4</c:v>
                </c:pt>
                <c:pt idx="111">
                  <c:v>-3.64114944100171E-4</c:v>
                </c:pt>
                <c:pt idx="112">
                  <c:v>-4.6688927019574898E-4</c:v>
                </c:pt>
                <c:pt idx="113">
                  <c:v>-1.1752108443546501E-3</c:v>
                </c:pt>
                <c:pt idx="114">
                  <c:v>-1.6223525891142E-3</c:v>
                </c:pt>
                <c:pt idx="115">
                  <c:v>-1.7493455665964E-3</c:v>
                </c:pt>
                <c:pt idx="116">
                  <c:v>-9.55284693703073E-4</c:v>
                </c:pt>
                <c:pt idx="117">
                  <c:v>-1.6009523063679699E-3</c:v>
                </c:pt>
                <c:pt idx="118">
                  <c:v>-9.1369939903982204E-4</c:v>
                </c:pt>
                <c:pt idx="119">
                  <c:v>-5.8882257791255301E-4</c:v>
                </c:pt>
                <c:pt idx="120">
                  <c:v>-1.18107796561945E-4</c:v>
                </c:pt>
                <c:pt idx="121">
                  <c:v>-5.5173911110434001E-4</c:v>
                </c:pt>
                <c:pt idx="122">
                  <c:v>-1.2399425071036E-3</c:v>
                </c:pt>
                <c:pt idx="123">
                  <c:v>-1.2211253414626899E-3</c:v>
                </c:pt>
                <c:pt idx="124">
                  <c:v>-1.2335934806556501E-3</c:v>
                </c:pt>
                <c:pt idx="125">
                  <c:v>-1.8916013023496301E-3</c:v>
                </c:pt>
                <c:pt idx="126">
                  <c:v>-8.7843614221712102E-4</c:v>
                </c:pt>
                <c:pt idx="127">
                  <c:v>-1.9915839419758002E-3</c:v>
                </c:pt>
                <c:pt idx="128">
                  <c:v>-1.1739750308722499E-3</c:v>
                </c:pt>
                <c:pt idx="129">
                  <c:v>-2.0094647323569402E-3</c:v>
                </c:pt>
                <c:pt idx="130">
                  <c:v>-9.1521508434293101E-4</c:v>
                </c:pt>
                <c:pt idx="131">
                  <c:v>-9.7983484160607298E-4</c:v>
                </c:pt>
                <c:pt idx="132">
                  <c:v>-2.06757406491328E-3</c:v>
                </c:pt>
                <c:pt idx="133">
                  <c:v>-1.5040646486330299E-3</c:v>
                </c:pt>
                <c:pt idx="134">
                  <c:v>-1.7343282887349401E-3</c:v>
                </c:pt>
                <c:pt idx="135">
                  <c:v>-4.7205386164529201E-4</c:v>
                </c:pt>
                <c:pt idx="136">
                  <c:v>-7.0550924263221E-4</c:v>
                </c:pt>
                <c:pt idx="137">
                  <c:v>-1.2222176235747901E-4</c:v>
                </c:pt>
                <c:pt idx="138">
                  <c:v>2.09349579367687E-4</c:v>
                </c:pt>
                <c:pt idx="139">
                  <c:v>-1.17181646465696E-4</c:v>
                </c:pt>
                <c:pt idx="140">
                  <c:v>1.64107034157423E-3</c:v>
                </c:pt>
                <c:pt idx="141">
                  <c:v>4.63304680509385E-4</c:v>
                </c:pt>
                <c:pt idx="142">
                  <c:v>1.08888463503649E-3</c:v>
                </c:pt>
                <c:pt idx="143">
                  <c:v>8.4587360859324603E-4</c:v>
                </c:pt>
                <c:pt idx="144">
                  <c:v>1.6096647156072601E-3</c:v>
                </c:pt>
                <c:pt idx="145">
                  <c:v>9.9631841175595696E-4</c:v>
                </c:pt>
                <c:pt idx="146">
                  <c:v>1.0016581069276101E-3</c:v>
                </c:pt>
                <c:pt idx="147">
                  <c:v>9.8013108203335989E-4</c:v>
                </c:pt>
                <c:pt idx="148">
                  <c:v>2.0604487515440001E-3</c:v>
                </c:pt>
                <c:pt idx="149">
                  <c:v>2.1395580125329102E-3</c:v>
                </c:pt>
                <c:pt idx="150">
                  <c:v>-9.7870465607871699E-5</c:v>
                </c:pt>
                <c:pt idx="151">
                  <c:v>-4.8682597478278902E-4</c:v>
                </c:pt>
                <c:pt idx="152">
                  <c:v>1.1781717244172E-3</c:v>
                </c:pt>
                <c:pt idx="153">
                  <c:v>-6.0391872632326396E-4</c:v>
                </c:pt>
                <c:pt idx="154">
                  <c:v>-5.3037348332216495E-4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1A-4A06-A0FC-106C40B02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564495"/>
        <c:axId val="1395107055"/>
      </c:lineChart>
      <c:catAx>
        <c:axId val="1081564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07055"/>
        <c:crosses val="autoZero"/>
        <c:auto val="1"/>
        <c:lblAlgn val="ctr"/>
        <c:lblOffset val="100"/>
        <c:noMultiLvlLbl val="0"/>
      </c:catAx>
      <c:valAx>
        <c:axId val="139510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6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163830</xdr:rowOff>
    </xdr:from>
    <xdr:to>
      <xdr:col>6</xdr:col>
      <xdr:colOff>182880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48021-55B1-4DA3-1FDC-D92F9B8EF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471487</xdr:colOff>
      <xdr:row>4</xdr:row>
      <xdr:rowOff>14287</xdr:rowOff>
    </xdr:from>
    <xdr:to>
      <xdr:col>38</xdr:col>
      <xdr:colOff>309562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4CC06-BF10-4D41-B526-51E4F83F7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452437</xdr:colOff>
      <xdr:row>4</xdr:row>
      <xdr:rowOff>42862</xdr:rowOff>
    </xdr:from>
    <xdr:to>
      <xdr:col>49</xdr:col>
      <xdr:colOff>252412</xdr:colOff>
      <xdr:row>18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548832-EB92-4962-B7AD-4FD25B597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137160</xdr:colOff>
      <xdr:row>10</xdr:row>
      <xdr:rowOff>133350</xdr:rowOff>
    </xdr:from>
    <xdr:to>
      <xdr:col>9</xdr:col>
      <xdr:colOff>716280</xdr:colOff>
      <xdr:row>25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C7D7A4-AF65-DBC2-7CA6-2133C439A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CMF_VTEC.xlsx" TargetMode="External"/><Relationship Id="rId1" Type="http://schemas.openxmlformats.org/officeDocument/2006/relationships/externalLinkPath" Target="CMF_VT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MF_VTEC"/>
    </sheetNames>
    <sheetDataSet>
      <sheetData sheetId="0">
        <row r="22">
          <cell r="AO22">
            <v>0</v>
          </cell>
          <cell r="AZ22">
            <v>0</v>
          </cell>
        </row>
        <row r="23">
          <cell r="AO23">
            <v>0</v>
          </cell>
          <cell r="AZ23">
            <v>0</v>
          </cell>
        </row>
        <row r="24">
          <cell r="AO24">
            <v>0</v>
          </cell>
          <cell r="AZ24">
            <v>0</v>
          </cell>
        </row>
        <row r="25">
          <cell r="AO25">
            <v>0</v>
          </cell>
          <cell r="AZ25">
            <v>0</v>
          </cell>
        </row>
        <row r="26">
          <cell r="AO26">
            <v>0</v>
          </cell>
          <cell r="AZ26">
            <v>0</v>
          </cell>
        </row>
        <row r="27">
          <cell r="AO27">
            <v>0</v>
          </cell>
          <cell r="AZ27">
            <v>0</v>
          </cell>
        </row>
        <row r="28">
          <cell r="AO28">
            <v>0</v>
          </cell>
          <cell r="AZ28">
            <v>0</v>
          </cell>
        </row>
        <row r="29">
          <cell r="AO29">
            <v>0</v>
          </cell>
          <cell r="AZ29">
            <v>0</v>
          </cell>
        </row>
        <row r="30">
          <cell r="AO30">
            <v>0</v>
          </cell>
          <cell r="AZ30">
            <v>0</v>
          </cell>
        </row>
        <row r="31">
          <cell r="AO31">
            <v>0</v>
          </cell>
          <cell r="AZ31">
            <v>0</v>
          </cell>
        </row>
        <row r="32">
          <cell r="AO32">
            <v>0</v>
          </cell>
          <cell r="AZ32">
            <v>0</v>
          </cell>
        </row>
        <row r="33">
          <cell r="AO33">
            <v>0</v>
          </cell>
          <cell r="AZ33">
            <v>0</v>
          </cell>
        </row>
        <row r="34">
          <cell r="AO34">
            <v>0</v>
          </cell>
          <cell r="AZ34">
            <v>0</v>
          </cell>
        </row>
        <row r="35">
          <cell r="AO35">
            <v>0</v>
          </cell>
          <cell r="AZ35">
            <v>0</v>
          </cell>
        </row>
        <row r="36">
          <cell r="AO36">
            <v>0</v>
          </cell>
          <cell r="AZ36">
            <v>0</v>
          </cell>
        </row>
        <row r="37">
          <cell r="AO37">
            <v>0</v>
          </cell>
          <cell r="AZ37">
            <v>0</v>
          </cell>
        </row>
        <row r="38">
          <cell r="AO38">
            <v>0</v>
          </cell>
          <cell r="AZ38">
            <v>0</v>
          </cell>
        </row>
        <row r="39">
          <cell r="AO39">
            <v>0</v>
          </cell>
          <cell r="AZ39">
            <v>0</v>
          </cell>
        </row>
        <row r="40">
          <cell r="AO40">
            <v>0</v>
          </cell>
          <cell r="AZ40">
            <v>0</v>
          </cell>
        </row>
        <row r="41">
          <cell r="AO41">
            <v>0</v>
          </cell>
          <cell r="AZ41">
            <v>0</v>
          </cell>
        </row>
        <row r="42">
          <cell r="AO42">
            <v>0</v>
          </cell>
          <cell r="AZ42">
            <v>0</v>
          </cell>
        </row>
        <row r="43">
          <cell r="AO43">
            <v>0</v>
          </cell>
          <cell r="AZ43">
            <v>0</v>
          </cell>
        </row>
        <row r="44">
          <cell r="AO44">
            <v>0</v>
          </cell>
          <cell r="AZ44">
            <v>0</v>
          </cell>
        </row>
        <row r="45">
          <cell r="AO45">
            <v>0</v>
          </cell>
          <cell r="AZ45">
            <v>0</v>
          </cell>
        </row>
        <row r="46">
          <cell r="AO46">
            <v>0</v>
          </cell>
          <cell r="AZ46">
            <v>0</v>
          </cell>
        </row>
        <row r="47">
          <cell r="AO47">
            <v>0</v>
          </cell>
          <cell r="AZ47">
            <v>0</v>
          </cell>
        </row>
        <row r="48">
          <cell r="AO48">
            <v>0</v>
          </cell>
          <cell r="AZ48">
            <v>0</v>
          </cell>
        </row>
        <row r="49">
          <cell r="AO49">
            <v>0</v>
          </cell>
          <cell r="AZ49">
            <v>0</v>
          </cell>
        </row>
        <row r="50">
          <cell r="AO50">
            <v>0</v>
          </cell>
          <cell r="AZ50">
            <v>0</v>
          </cell>
        </row>
        <row r="51">
          <cell r="AO51">
            <v>0</v>
          </cell>
          <cell r="AZ51">
            <v>0</v>
          </cell>
        </row>
        <row r="52">
          <cell r="AO52">
            <v>0</v>
          </cell>
          <cell r="AZ52">
            <v>0</v>
          </cell>
        </row>
        <row r="53">
          <cell r="AO53">
            <v>0</v>
          </cell>
          <cell r="AZ53">
            <v>0</v>
          </cell>
        </row>
        <row r="54">
          <cell r="AO54">
            <v>0</v>
          </cell>
          <cell r="AZ54">
            <v>0</v>
          </cell>
        </row>
        <row r="55">
          <cell r="AO55">
            <v>0</v>
          </cell>
          <cell r="AZ55">
            <v>0</v>
          </cell>
        </row>
        <row r="56">
          <cell r="AO56">
            <v>0</v>
          </cell>
          <cell r="AZ56">
            <v>0</v>
          </cell>
        </row>
        <row r="57">
          <cell r="AO57">
            <v>0</v>
          </cell>
          <cell r="AZ57">
            <v>0</v>
          </cell>
        </row>
        <row r="58">
          <cell r="AO58">
            <v>0</v>
          </cell>
          <cell r="AZ58">
            <v>8.2786809888977402E-4</v>
          </cell>
        </row>
        <row r="59">
          <cell r="AO59">
            <v>0</v>
          </cell>
          <cell r="AZ59">
            <v>8.2786809888977402E-4</v>
          </cell>
        </row>
        <row r="60">
          <cell r="AO60">
            <v>0</v>
          </cell>
          <cell r="AZ60">
            <v>8.2786809888977402E-4</v>
          </cell>
        </row>
        <row r="61">
          <cell r="AO61">
            <v>0</v>
          </cell>
          <cell r="AZ61">
            <v>8.2786809888977402E-4</v>
          </cell>
        </row>
        <row r="62">
          <cell r="AO62">
            <v>6.1178234084519837E-5</v>
          </cell>
          <cell r="AZ62">
            <v>8.2786809888977402E-4</v>
          </cell>
        </row>
        <row r="63">
          <cell r="AO63">
            <v>1.2238759411084337E-5</v>
          </cell>
          <cell r="AZ63">
            <v>8.2786809888977402E-4</v>
          </cell>
        </row>
        <row r="64">
          <cell r="AO64">
            <v>7.4917602267971645E-4</v>
          </cell>
          <cell r="AZ64">
            <v>8.2786809888977402E-4</v>
          </cell>
        </row>
        <row r="65">
          <cell r="AO65">
            <v>3.6951755318775134E-4</v>
          </cell>
          <cell r="AZ65">
            <v>8.2786809888977402E-4</v>
          </cell>
        </row>
        <row r="66">
          <cell r="AO66">
            <v>1.1774644285457163E-3</v>
          </cell>
          <cell r="AZ66">
            <v>8.2786809888977402E-4</v>
          </cell>
        </row>
        <row r="67">
          <cell r="AO67">
            <v>1.1774644285457163E-3</v>
          </cell>
          <cell r="AZ67">
            <v>8.2786809888977402E-4</v>
          </cell>
        </row>
        <row r="68">
          <cell r="AO68">
            <v>1.1774644285457163E-3</v>
          </cell>
          <cell r="AZ68">
            <v>8.2786809888977402E-4</v>
          </cell>
        </row>
        <row r="69">
          <cell r="AO69">
            <v>1.1774644285457163E-3</v>
          </cell>
          <cell r="AZ69">
            <v>8.2786809888977402E-4</v>
          </cell>
        </row>
        <row r="70">
          <cell r="AO70">
            <v>1.1774644285457163E-3</v>
          </cell>
          <cell r="AZ70">
            <v>8.2786809888977402E-4</v>
          </cell>
        </row>
        <row r="71">
          <cell r="AO71">
            <v>1.1774644285457163E-3</v>
          </cell>
          <cell r="AZ71">
            <v>8.2786809888977402E-4</v>
          </cell>
        </row>
        <row r="72">
          <cell r="AO72">
            <v>1.1774644285457163E-3</v>
          </cell>
          <cell r="AZ72">
            <v>8.2786809888977402E-4</v>
          </cell>
        </row>
        <row r="73">
          <cell r="AO73">
            <v>1.1774644285457163E-3</v>
          </cell>
          <cell r="AZ73">
            <v>8.2786809888977402E-4</v>
          </cell>
        </row>
        <row r="74">
          <cell r="AO74">
            <v>1.1774644285457163E-3</v>
          </cell>
          <cell r="AZ74">
            <v>8.2786809888977402E-4</v>
          </cell>
        </row>
        <row r="75">
          <cell r="AO75">
            <v>1.1774644285457163E-3</v>
          </cell>
          <cell r="AZ75">
            <v>8.2786809888977402E-4</v>
          </cell>
        </row>
        <row r="76">
          <cell r="AO76">
            <v>1.1774644285457163E-3</v>
          </cell>
          <cell r="AZ76">
            <v>8.2786809888977402E-4</v>
          </cell>
        </row>
        <row r="77">
          <cell r="AO77">
            <v>1.1774644285457163E-3</v>
          </cell>
          <cell r="AZ77">
            <v>8.2786809888977402E-4</v>
          </cell>
        </row>
        <row r="78">
          <cell r="AO78">
            <v>1.1774644285457163E-3</v>
          </cell>
          <cell r="AZ78">
            <v>8.2786809888977402E-4</v>
          </cell>
        </row>
        <row r="79">
          <cell r="AO79">
            <v>1.1774644285457163E-3</v>
          </cell>
          <cell r="AZ79">
            <v>8.2786809888977402E-4</v>
          </cell>
        </row>
        <row r="80">
          <cell r="AO80">
            <v>1.1774644285457163E-3</v>
          </cell>
          <cell r="AZ80">
            <v>8.2786809888977402E-4</v>
          </cell>
        </row>
        <row r="81">
          <cell r="AO81">
            <v>1.1774644285457163E-3</v>
          </cell>
          <cell r="AZ81">
            <v>8.2786809888977402E-4</v>
          </cell>
        </row>
        <row r="82">
          <cell r="AO82">
            <v>1.1774644285457163E-3</v>
          </cell>
          <cell r="AZ82">
            <v>8.2786809888977402E-4</v>
          </cell>
        </row>
        <row r="83">
          <cell r="AO83">
            <v>1.1774644285457163E-3</v>
          </cell>
          <cell r="AZ83">
            <v>8.2786809888977402E-4</v>
          </cell>
        </row>
        <row r="84">
          <cell r="AO84">
            <v>1.1774644285457163E-3</v>
          </cell>
          <cell r="AZ84">
            <v>8.2786809888977402E-4</v>
          </cell>
        </row>
        <row r="85">
          <cell r="AO85">
            <v>1.1774644285457163E-3</v>
          </cell>
          <cell r="AZ85">
            <v>8.2786809888977402E-4</v>
          </cell>
        </row>
        <row r="86">
          <cell r="AO86">
            <v>1.1774644285457163E-3</v>
          </cell>
          <cell r="AZ86">
            <v>8.2786809888977402E-4</v>
          </cell>
        </row>
        <row r="87">
          <cell r="AO87">
            <v>1.1774644285457163E-3</v>
          </cell>
          <cell r="AZ87">
            <v>8.2786809888977402E-4</v>
          </cell>
        </row>
        <row r="88">
          <cell r="AO88">
            <v>1.1774644285457163E-3</v>
          </cell>
          <cell r="AZ88">
            <v>8.2786809888977402E-4</v>
          </cell>
        </row>
        <row r="89">
          <cell r="AO89">
            <v>1.1774644285457163E-3</v>
          </cell>
          <cell r="AZ89">
            <v>8.2786809888977402E-4</v>
          </cell>
        </row>
        <row r="90">
          <cell r="AO90">
            <v>1.2000573438814264E-3</v>
          </cell>
          <cell r="AZ90">
            <v>8.2786809888977402E-4</v>
          </cell>
        </row>
        <row r="91">
          <cell r="AO91">
            <v>2.0943582470466524E-3</v>
          </cell>
          <cell r="AZ91">
            <v>8.2786809888977402E-4</v>
          </cell>
        </row>
        <row r="92">
          <cell r="AO92">
            <v>2.4396987822685543E-3</v>
          </cell>
          <cell r="AZ92">
            <v>8.2786809888977402E-4</v>
          </cell>
        </row>
        <row r="93">
          <cell r="AO93">
            <v>2.4396987822685543E-3</v>
          </cell>
          <cell r="AZ93">
            <v>8.2786809888977402E-4</v>
          </cell>
        </row>
        <row r="94">
          <cell r="AO94">
            <v>2.4396987822685543E-3</v>
          </cell>
          <cell r="AZ94">
            <v>8.2786809888977402E-4</v>
          </cell>
        </row>
        <row r="95">
          <cell r="AO95">
            <v>2.4396987822685543E-3</v>
          </cell>
          <cell r="AZ95">
            <v>8.2786809888977402E-4</v>
          </cell>
        </row>
        <row r="96">
          <cell r="AO96">
            <v>2.2759496409478475E-3</v>
          </cell>
          <cell r="AZ96">
            <v>8.2786809888977402E-4</v>
          </cell>
        </row>
        <row r="97">
          <cell r="AO97">
            <v>3.6235668969633447E-3</v>
          </cell>
          <cell r="AZ97">
            <v>8.2786809888977402E-4</v>
          </cell>
        </row>
        <row r="98">
          <cell r="AO98">
            <v>3.6235668969633447E-3</v>
          </cell>
          <cell r="AZ98">
            <v>8.2786809888977402E-4</v>
          </cell>
        </row>
        <row r="99">
          <cell r="AO99">
            <v>3.6235668969633447E-3</v>
          </cell>
          <cell r="AZ99">
            <v>8.2786809888977402E-4</v>
          </cell>
        </row>
        <row r="100">
          <cell r="AO100">
            <v>3.6235668969633447E-3</v>
          </cell>
          <cell r="AZ100">
            <v>8.2786809888977402E-4</v>
          </cell>
        </row>
        <row r="101">
          <cell r="AO101">
            <v>3.6235668969633447E-3</v>
          </cell>
          <cell r="AZ101">
            <v>8.2786809888977402E-4</v>
          </cell>
        </row>
        <row r="102">
          <cell r="AO102">
            <v>3.6235668969633447E-3</v>
          </cell>
          <cell r="AZ102">
            <v>8.2786809888977402E-4</v>
          </cell>
        </row>
        <row r="103">
          <cell r="AO103">
            <v>3.6235668969633447E-3</v>
          </cell>
          <cell r="AZ103">
            <v>8.2786809888977402E-4</v>
          </cell>
        </row>
        <row r="104">
          <cell r="AO104">
            <v>3.6235668969633447E-3</v>
          </cell>
          <cell r="AZ104">
            <v>8.2786809888977402E-4</v>
          </cell>
        </row>
        <row r="105">
          <cell r="AO105">
            <v>3.6235668969633447E-3</v>
          </cell>
          <cell r="AZ105">
            <v>8.2786809888977402E-4</v>
          </cell>
        </row>
        <row r="106">
          <cell r="AO106">
            <v>3.6235668969633447E-3</v>
          </cell>
          <cell r="AZ106">
            <v>8.2786809888977402E-4</v>
          </cell>
        </row>
        <row r="107">
          <cell r="AO107">
            <v>3.6235668969633447E-3</v>
          </cell>
          <cell r="AZ107">
            <v>8.2786809888977402E-4</v>
          </cell>
        </row>
        <row r="108">
          <cell r="AO108">
            <v>3.6235668969633447E-3</v>
          </cell>
          <cell r="AZ108">
            <v>8.2786809888977402E-4</v>
          </cell>
        </row>
        <row r="109">
          <cell r="AO109">
            <v>3.6235668969633447E-3</v>
          </cell>
          <cell r="AZ109">
            <v>8.2786809888977402E-4</v>
          </cell>
        </row>
        <row r="110">
          <cell r="AO110">
            <v>3.6235668969633447E-3</v>
          </cell>
          <cell r="AZ110">
            <v>8.2786809888977402E-4</v>
          </cell>
        </row>
        <row r="111">
          <cell r="AO111">
            <v>3.6235668969633447E-3</v>
          </cell>
          <cell r="AZ111">
            <v>8.2786809888977402E-4</v>
          </cell>
        </row>
        <row r="112">
          <cell r="AO112">
            <v>3.6235668969633447E-3</v>
          </cell>
          <cell r="AZ112">
            <v>8.2786809888977402E-4</v>
          </cell>
        </row>
        <row r="113">
          <cell r="AO113">
            <v>3.6235668969633447E-3</v>
          </cell>
          <cell r="AZ113">
            <v>8.2786809888977402E-4</v>
          </cell>
        </row>
        <row r="114">
          <cell r="AO114">
            <v>3.6235668969633447E-3</v>
          </cell>
          <cell r="AZ114">
            <v>8.2786809888977402E-4</v>
          </cell>
        </row>
        <row r="115">
          <cell r="AO115">
            <v>3.6235668969633447E-3</v>
          </cell>
          <cell r="AZ115">
            <v>8.2786809888977402E-4</v>
          </cell>
        </row>
        <row r="116">
          <cell r="AO116">
            <v>3.6235668969633447E-3</v>
          </cell>
          <cell r="AZ116">
            <v>8.2786809888977402E-4</v>
          </cell>
        </row>
        <row r="117">
          <cell r="AO117">
            <v>3.6235668969633447E-3</v>
          </cell>
          <cell r="AZ117">
            <v>8.2786809888977402E-4</v>
          </cell>
        </row>
        <row r="118">
          <cell r="AO118">
            <v>3.6235668969633447E-3</v>
          </cell>
          <cell r="AZ118">
            <v>8.2786809888977402E-4</v>
          </cell>
        </row>
        <row r="119">
          <cell r="AO119">
            <v>3.6235668969633447E-3</v>
          </cell>
          <cell r="AZ119">
            <v>8.2786809888977402E-4</v>
          </cell>
        </row>
        <row r="120">
          <cell r="AO120">
            <v>3.6235668969633447E-3</v>
          </cell>
          <cell r="AZ120">
            <v>8.2786809888977402E-4</v>
          </cell>
        </row>
        <row r="121">
          <cell r="AO121">
            <v>3.6235668969633447E-3</v>
          </cell>
          <cell r="AZ121">
            <v>8.2786809888977402E-4</v>
          </cell>
        </row>
        <row r="122">
          <cell r="AO122">
            <v>3.6235668969633447E-3</v>
          </cell>
          <cell r="AZ122">
            <v>8.2786809888977402E-4</v>
          </cell>
        </row>
        <row r="123">
          <cell r="AO123">
            <v>3.6235668969633447E-3</v>
          </cell>
          <cell r="AZ123">
            <v>8.2786809888977402E-4</v>
          </cell>
        </row>
        <row r="124">
          <cell r="AO124">
            <v>3.6235668969633447E-3</v>
          </cell>
          <cell r="AZ124">
            <v>8.2786809888977402E-4</v>
          </cell>
        </row>
        <row r="125">
          <cell r="AO125">
            <v>3.6235668969633447E-3</v>
          </cell>
          <cell r="AZ125">
            <v>8.2786809888977402E-4</v>
          </cell>
        </row>
        <row r="126">
          <cell r="AO126">
            <v>3.6235668969633447E-3</v>
          </cell>
          <cell r="AZ126">
            <v>8.2786809888977402E-4</v>
          </cell>
        </row>
        <row r="127">
          <cell r="AO127">
            <v>3.6235668969633447E-3</v>
          </cell>
          <cell r="AZ127">
            <v>8.2786809888977402E-4</v>
          </cell>
        </row>
        <row r="128">
          <cell r="AO128">
            <v>3.6235668969633447E-3</v>
          </cell>
          <cell r="AZ128">
            <v>8.2786809888977402E-4</v>
          </cell>
        </row>
        <row r="129">
          <cell r="AO129">
            <v>3.6235668969633447E-3</v>
          </cell>
          <cell r="AZ129">
            <v>8.2786809888977402E-4</v>
          </cell>
        </row>
        <row r="130">
          <cell r="AO130">
            <v>3.6235668969633447E-3</v>
          </cell>
          <cell r="AZ130">
            <v>8.2786809888977402E-4</v>
          </cell>
        </row>
        <row r="131">
          <cell r="AO131">
            <v>3.6235668969633447E-3</v>
          </cell>
          <cell r="AZ131">
            <v>8.2786809888977402E-4</v>
          </cell>
        </row>
        <row r="132">
          <cell r="AO132">
            <v>3.6235668969633447E-3</v>
          </cell>
          <cell r="AZ132">
            <v>8.2786809888977402E-4</v>
          </cell>
        </row>
        <row r="133">
          <cell r="AO133">
            <v>3.6235668969633447E-3</v>
          </cell>
          <cell r="AZ133">
            <v>8.2786809888977402E-4</v>
          </cell>
        </row>
        <row r="134">
          <cell r="AO134">
            <v>3.6235668969633447E-3</v>
          </cell>
          <cell r="AZ134">
            <v>8.2786809888977402E-4</v>
          </cell>
        </row>
        <row r="135">
          <cell r="AO135">
            <v>3.6235668969633447E-3</v>
          </cell>
          <cell r="AZ135">
            <v>8.2786809888977402E-4</v>
          </cell>
        </row>
        <row r="136">
          <cell r="AO136">
            <v>3.6235668969633447E-3</v>
          </cell>
          <cell r="AZ136">
            <v>8.2786809888977402E-4</v>
          </cell>
        </row>
        <row r="137">
          <cell r="AO137">
            <v>3.6235668969633447E-3</v>
          </cell>
          <cell r="AZ137">
            <v>8.2786809888977402E-4</v>
          </cell>
        </row>
        <row r="138">
          <cell r="AO138">
            <v>3.6235668969633447E-3</v>
          </cell>
          <cell r="AZ138">
            <v>8.2786809888977402E-4</v>
          </cell>
        </row>
        <row r="139">
          <cell r="AO139">
            <v>3.6235668969633447E-3</v>
          </cell>
          <cell r="AZ139">
            <v>8.2786809888977402E-4</v>
          </cell>
        </row>
        <row r="140">
          <cell r="AO140">
            <v>3.6235668969633447E-3</v>
          </cell>
          <cell r="AZ140">
            <v>8.2786809888977402E-4</v>
          </cell>
        </row>
        <row r="141">
          <cell r="AO141">
            <v>3.6235668969633447E-3</v>
          </cell>
          <cell r="AZ141">
            <v>8.2786809888977402E-4</v>
          </cell>
        </row>
        <row r="142">
          <cell r="AO142">
            <v>3.6235668969633447E-3</v>
          </cell>
          <cell r="AZ142">
            <v>8.2786809888977402E-4</v>
          </cell>
        </row>
        <row r="143">
          <cell r="AO143">
            <v>3.6235668969633447E-3</v>
          </cell>
          <cell r="AZ143">
            <v>8.2786809888977402E-4</v>
          </cell>
        </row>
        <row r="144">
          <cell r="AO144">
            <v>3.6235668969633447E-3</v>
          </cell>
          <cell r="AZ144">
            <v>8.2786809888977402E-4</v>
          </cell>
        </row>
        <row r="145">
          <cell r="AO145">
            <v>3.6235668969633447E-3</v>
          </cell>
          <cell r="AZ145">
            <v>1.7147462545100774E-3</v>
          </cell>
        </row>
        <row r="146">
          <cell r="AO146">
            <v>3.6235668969633447E-3</v>
          </cell>
          <cell r="AZ146">
            <v>1.7147462545100774E-3</v>
          </cell>
        </row>
        <row r="147">
          <cell r="AO147">
            <v>3.6235668969633447E-3</v>
          </cell>
          <cell r="AZ147">
            <v>1.0111683812518469E-3</v>
          </cell>
        </row>
        <row r="148">
          <cell r="AO148">
            <v>3.6235668969633447E-3</v>
          </cell>
          <cell r="AZ148">
            <v>1.4587774709527159E-3</v>
          </cell>
        </row>
        <row r="149">
          <cell r="AO149">
            <v>3.6235668969633447E-3</v>
          </cell>
          <cell r="AZ149">
            <v>2.0361649134831312E-3</v>
          </cell>
        </row>
        <row r="150">
          <cell r="AO150">
            <v>3.6235668969633447E-3</v>
          </cell>
          <cell r="AZ150">
            <v>1.9866578964600388E-3</v>
          </cell>
        </row>
        <row r="151">
          <cell r="AO151">
            <v>3.6235668969633447E-3</v>
          </cell>
          <cell r="AZ151">
            <v>2.1542340895051282E-3</v>
          </cell>
        </row>
        <row r="152">
          <cell r="AO152">
            <v>3.6235668969633447E-3</v>
          </cell>
          <cell r="AZ152">
            <v>2.1542340895051282E-3</v>
          </cell>
        </row>
        <row r="153">
          <cell r="AO153">
            <v>3.6235668969633447E-3</v>
          </cell>
          <cell r="AZ153">
            <v>2.1522276471026172E-3</v>
          </cell>
        </row>
        <row r="154">
          <cell r="AO154">
            <v>3.6235668969633447E-3</v>
          </cell>
          <cell r="AZ154">
            <v>2.1522276471026172E-3</v>
          </cell>
        </row>
        <row r="155">
          <cell r="AO155">
            <v>3.6235668969633447E-3</v>
          </cell>
          <cell r="AZ155">
            <v>2.1482970775333005E-3</v>
          </cell>
        </row>
        <row r="156">
          <cell r="AO156">
            <v>3.6235668969633447E-3</v>
          </cell>
          <cell r="AZ156">
            <v>2.1482970775333005E-3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6CF-4164-4DB0-9D3B-9625CE9E175D}">
  <dimension ref="A1:BD156"/>
  <sheetViews>
    <sheetView tabSelected="1" workbookViewId="0"/>
  </sheetViews>
  <sheetFormatPr defaultRowHeight="14.4" x14ac:dyDescent="0.3"/>
  <cols>
    <col min="1" max="1" width="9.33203125" bestFit="1" customWidth="1"/>
    <col min="2" max="2" width="9.6640625" style="11" bestFit="1" customWidth="1"/>
    <col min="3" max="3" width="10.6640625" style="11" bestFit="1" customWidth="1"/>
    <col min="4" max="4" width="10.88671875" style="12" bestFit="1" customWidth="1"/>
    <col min="5" max="5" width="14.109375" style="12" bestFit="1" customWidth="1"/>
    <col min="6" max="7" width="17.5546875" style="12" bestFit="1" customWidth="1"/>
    <col min="8" max="8" width="10.6640625" style="11" bestFit="1" customWidth="1"/>
    <col min="9" max="10" width="12.44140625" style="11" bestFit="1" customWidth="1"/>
    <col min="11" max="11" width="8.77734375" style="13" bestFit="1" customWidth="1"/>
    <col min="12" max="13" width="10.21875" style="13" bestFit="1" customWidth="1"/>
    <col min="14" max="14" width="8.88671875" style="14" bestFit="1"/>
    <col min="15" max="15" width="9.44140625" style="15" bestFit="1" customWidth="1"/>
    <col min="16" max="16" width="7.6640625" style="15" bestFit="1" customWidth="1"/>
    <col min="17" max="17" width="8.6640625" style="15" bestFit="1" customWidth="1"/>
    <col min="18" max="18" width="12.88671875" style="12" bestFit="1" customWidth="1"/>
    <col min="19" max="19" width="16.109375" style="12" bestFit="1" customWidth="1"/>
    <col min="20" max="21" width="19.5546875" style="12" bestFit="1" customWidth="1"/>
    <col min="22" max="22" width="10.6640625" style="11" bestFit="1" customWidth="1"/>
    <col min="23" max="24" width="13.5546875" style="11" bestFit="1" customWidth="1"/>
    <col min="25" max="25" width="7.88671875" style="18" bestFit="1" customWidth="1"/>
    <col min="26" max="27" width="11.21875" style="18" bestFit="1" customWidth="1"/>
    <col min="29" max="33" width="8.88671875" style="15"/>
    <col min="37" max="37" width="13.5546875" bestFit="1" customWidth="1"/>
    <col min="38" max="38" width="12.33203125" bestFit="1" customWidth="1"/>
    <col min="43" max="44" width="8.88671875" style="15"/>
    <col min="48" max="48" width="13.5546875" bestFit="1" customWidth="1"/>
    <col min="49" max="49" width="12.33203125" bestFit="1" customWidth="1"/>
  </cols>
  <sheetData>
    <row r="1" spans="1:56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8" t="s">
        <v>24</v>
      </c>
      <c r="Z1" s="8" t="s">
        <v>25</v>
      </c>
      <c r="AA1" s="8" t="s">
        <v>26</v>
      </c>
      <c r="AC1" s="7"/>
      <c r="AD1" s="7"/>
      <c r="AE1" s="7"/>
      <c r="AF1" s="7" t="s">
        <v>27</v>
      </c>
      <c r="AG1" s="9">
        <v>-1E-3</v>
      </c>
      <c r="AH1" s="2" t="s">
        <v>28</v>
      </c>
      <c r="AI1" s="2" t="s">
        <v>29</v>
      </c>
      <c r="AJ1" s="2" t="s">
        <v>30</v>
      </c>
      <c r="AK1" s="2" t="s">
        <v>31</v>
      </c>
      <c r="AO1" s="10">
        <f>AO156</f>
        <v>2.997127871960617E-3</v>
      </c>
      <c r="AQ1" s="7" t="s">
        <v>27</v>
      </c>
      <c r="AR1" s="9">
        <v>1E-3</v>
      </c>
      <c r="AS1" s="2" t="s">
        <v>29</v>
      </c>
      <c r="AT1" s="2" t="s">
        <v>28</v>
      </c>
      <c r="AU1" s="2" t="s">
        <v>30</v>
      </c>
      <c r="AV1" s="2" t="s">
        <v>31</v>
      </c>
      <c r="AZ1" s="10">
        <f>AZ156</f>
        <v>1.396846139825084E-2</v>
      </c>
      <c r="BB1" s="10"/>
      <c r="BC1" s="10">
        <f>BC156</f>
        <v>1.6965589270211457E-2</v>
      </c>
      <c r="BD1" s="10">
        <f>BD156</f>
        <v>0</v>
      </c>
    </row>
    <row r="2" spans="1:56" customFormat="1" x14ac:dyDescent="0.3">
      <c r="A2" s="1">
        <v>46024</v>
      </c>
      <c r="B2" s="11">
        <v>27.33</v>
      </c>
      <c r="C2" s="11">
        <v>29.4</v>
      </c>
      <c r="D2" s="12">
        <v>1.07574094401756</v>
      </c>
      <c r="E2" s="12">
        <v>1.07488560571617</v>
      </c>
      <c r="F2" s="12"/>
      <c r="G2" s="12"/>
      <c r="H2" s="11"/>
      <c r="I2" s="11"/>
      <c r="J2" s="11"/>
      <c r="K2" s="13"/>
      <c r="L2" s="13"/>
      <c r="M2" s="13"/>
      <c r="N2" s="14">
        <v>0</v>
      </c>
      <c r="O2" s="15">
        <v>0</v>
      </c>
      <c r="P2" s="16">
        <v>27.33</v>
      </c>
      <c r="Q2" s="16">
        <v>29.4</v>
      </c>
      <c r="R2" s="17">
        <v>1.07574094401756</v>
      </c>
      <c r="S2" s="17">
        <v>1.07488560571617</v>
      </c>
      <c r="T2" s="12"/>
      <c r="U2" s="12"/>
      <c r="V2" s="11"/>
      <c r="W2" s="11"/>
      <c r="X2" s="11"/>
      <c r="Y2" s="18"/>
      <c r="Z2" s="18"/>
      <c r="AA2" s="18"/>
      <c r="AC2" s="15"/>
      <c r="AD2" s="15"/>
      <c r="AE2" s="15"/>
      <c r="AF2" s="15"/>
      <c r="AG2" s="9">
        <v>0</v>
      </c>
      <c r="AQ2" s="15"/>
      <c r="AR2" s="9">
        <v>0</v>
      </c>
    </row>
    <row r="3" spans="1:56" customFormat="1" x14ac:dyDescent="0.3">
      <c r="A3" s="1">
        <v>46027</v>
      </c>
      <c r="B3" s="11">
        <v>27.41</v>
      </c>
      <c r="C3" s="11">
        <v>29.48</v>
      </c>
      <c r="D3" s="12">
        <v>1.0755198832542801</v>
      </c>
      <c r="E3" s="12">
        <v>1.07488560571617</v>
      </c>
      <c r="F3" s="12"/>
      <c r="G3" s="12"/>
      <c r="H3" s="11">
        <v>29.462614452680199</v>
      </c>
      <c r="I3" s="11"/>
      <c r="J3" s="11"/>
      <c r="K3" s="13">
        <v>5.8991437639405804E-4</v>
      </c>
      <c r="L3" s="13"/>
      <c r="M3" s="13"/>
      <c r="N3" s="14">
        <v>0</v>
      </c>
      <c r="O3" s="15">
        <v>0</v>
      </c>
      <c r="P3" s="16">
        <v>27.41</v>
      </c>
      <c r="Q3" s="16">
        <v>29.48</v>
      </c>
      <c r="R3" s="17">
        <v>1.0755198832542801</v>
      </c>
      <c r="S3" s="17">
        <v>1.07488560571617</v>
      </c>
      <c r="T3" s="12"/>
      <c r="U3" s="12"/>
      <c r="V3" s="19">
        <v>29.462614452680199</v>
      </c>
      <c r="W3" s="11"/>
      <c r="X3" s="11"/>
      <c r="Y3" s="20">
        <v>5.8991437639405804E-4</v>
      </c>
      <c r="Z3" s="18"/>
      <c r="AA3" s="18"/>
      <c r="AC3" s="21">
        <f>LN(B3/B2)</f>
        <v>2.9229103747177728E-3</v>
      </c>
      <c r="AD3" s="21">
        <f>LN(C3/C2)</f>
        <v>2.7173929764998861E-3</v>
      </c>
      <c r="AE3" s="21"/>
      <c r="AF3" s="15"/>
      <c r="AG3" s="15"/>
      <c r="AQ3" s="15"/>
      <c r="AR3" s="15"/>
    </row>
    <row r="4" spans="1:56" customFormat="1" x14ac:dyDescent="0.3">
      <c r="A4" s="1">
        <v>46028</v>
      </c>
      <c r="B4" s="11">
        <v>27.45</v>
      </c>
      <c r="C4" s="11">
        <v>29.53</v>
      </c>
      <c r="D4" s="12">
        <v>1.0757741347905201</v>
      </c>
      <c r="E4" s="12">
        <v>1.07488560571617</v>
      </c>
      <c r="F4" s="12"/>
      <c r="G4" s="12"/>
      <c r="H4" s="11">
        <v>29.5056098769088</v>
      </c>
      <c r="I4" s="11"/>
      <c r="J4" s="11"/>
      <c r="K4" s="13">
        <v>8.2628517024422601E-4</v>
      </c>
      <c r="L4" s="13"/>
      <c r="M4" s="13"/>
      <c r="N4" s="14">
        <v>0</v>
      </c>
      <c r="O4" s="15">
        <v>0</v>
      </c>
      <c r="P4" s="16">
        <v>27.45</v>
      </c>
      <c r="Q4" s="16">
        <v>29.53</v>
      </c>
      <c r="R4" s="17">
        <v>1.0757741347905201</v>
      </c>
      <c r="S4" s="17">
        <v>1.07488560571617</v>
      </c>
      <c r="T4" s="12"/>
      <c r="U4" s="12"/>
      <c r="V4" s="19">
        <v>29.5056098769088</v>
      </c>
      <c r="W4" s="11"/>
      <c r="X4" s="11"/>
      <c r="Y4" s="20">
        <v>8.2628517024422601E-4</v>
      </c>
      <c r="Z4" s="18"/>
      <c r="AA4" s="18"/>
      <c r="AC4" s="21">
        <f t="shared" ref="AC4:AD67" si="0">LN(B4/B3)</f>
        <v>1.458257640845278E-3</v>
      </c>
      <c r="AD4" s="21">
        <f t="shared" si="0"/>
        <v>1.6946284346955772E-3</v>
      </c>
      <c r="AE4" s="21"/>
      <c r="AF4" s="15"/>
      <c r="AG4" s="15"/>
      <c r="AQ4" s="15"/>
      <c r="AR4" s="15"/>
    </row>
    <row r="5" spans="1:56" customFormat="1" x14ac:dyDescent="0.3">
      <c r="A5" s="1">
        <v>46029</v>
      </c>
      <c r="B5" s="11">
        <v>27.46</v>
      </c>
      <c r="C5" s="11">
        <v>29.52</v>
      </c>
      <c r="D5" s="12">
        <v>1.07501820830298</v>
      </c>
      <c r="E5" s="12">
        <v>1.07488560571617</v>
      </c>
      <c r="F5" s="12"/>
      <c r="G5" s="12"/>
      <c r="H5" s="11">
        <v>29.516358732966001</v>
      </c>
      <c r="I5" s="11"/>
      <c r="J5" s="11"/>
      <c r="K5" s="13">
        <v>1.2335676239928799E-4</v>
      </c>
      <c r="L5" s="13"/>
      <c r="M5" s="13"/>
      <c r="N5" s="14">
        <v>0</v>
      </c>
      <c r="O5" s="15">
        <v>0</v>
      </c>
      <c r="P5" s="16">
        <v>27.46</v>
      </c>
      <c r="Q5" s="16">
        <v>29.52</v>
      </c>
      <c r="R5" s="17">
        <v>1.07501820830298</v>
      </c>
      <c r="S5" s="17">
        <v>1.07488560571617</v>
      </c>
      <c r="T5" s="12"/>
      <c r="U5" s="12"/>
      <c r="V5" s="19">
        <v>29.516358732966001</v>
      </c>
      <c r="W5" s="11"/>
      <c r="X5" s="11"/>
      <c r="Y5" s="20">
        <v>1.2335676239928799E-4</v>
      </c>
      <c r="Z5" s="18"/>
      <c r="AA5" s="18"/>
      <c r="AC5" s="21">
        <f t="shared" si="0"/>
        <v>3.6423238428547148E-4</v>
      </c>
      <c r="AD5" s="21">
        <f t="shared" si="0"/>
        <v>-3.3869602355962347E-4</v>
      </c>
      <c r="AE5" s="21"/>
      <c r="AF5" s="15"/>
      <c r="AG5" s="15"/>
      <c r="AQ5" s="15"/>
      <c r="AR5" s="15"/>
    </row>
    <row r="6" spans="1:56" customFormat="1" x14ac:dyDescent="0.3">
      <c r="A6" s="1">
        <v>46030</v>
      </c>
      <c r="B6" s="11">
        <v>27.49</v>
      </c>
      <c r="C6" s="11">
        <v>29.55</v>
      </c>
      <c r="D6" s="12">
        <v>1.0749363404874499</v>
      </c>
      <c r="E6" s="12">
        <v>1.07488560571617</v>
      </c>
      <c r="F6" s="12"/>
      <c r="G6" s="12"/>
      <c r="H6" s="11">
        <v>29.548605301137499</v>
      </c>
      <c r="I6" s="11"/>
      <c r="J6" s="11"/>
      <c r="K6" s="13">
        <v>4.7199044905665903E-5</v>
      </c>
      <c r="L6" s="13"/>
      <c r="M6" s="13"/>
      <c r="N6" s="14">
        <v>0</v>
      </c>
      <c r="O6" s="15">
        <v>0</v>
      </c>
      <c r="P6" s="16">
        <v>27.49</v>
      </c>
      <c r="Q6" s="16">
        <v>29.55</v>
      </c>
      <c r="R6" s="17">
        <v>1.0749363404874499</v>
      </c>
      <c r="S6" s="17">
        <v>1.07488560571617</v>
      </c>
      <c r="T6" s="12"/>
      <c r="U6" s="12"/>
      <c r="V6" s="19">
        <v>29.548605301137499</v>
      </c>
      <c r="W6" s="11"/>
      <c r="X6" s="11"/>
      <c r="Y6" s="20">
        <v>4.7199044905665903E-5</v>
      </c>
      <c r="Z6" s="18"/>
      <c r="AA6" s="18"/>
      <c r="AC6" s="21">
        <f t="shared" si="0"/>
        <v>1.0919018373292181E-3</v>
      </c>
      <c r="AD6" s="21">
        <f t="shared" si="0"/>
        <v>1.0157441198354218E-3</v>
      </c>
      <c r="AE6" s="21"/>
      <c r="AF6" s="15"/>
      <c r="AG6" s="15"/>
      <c r="AQ6" s="15"/>
      <c r="AR6" s="15"/>
    </row>
    <row r="7" spans="1:56" customFormat="1" x14ac:dyDescent="0.3">
      <c r="A7" s="1">
        <v>46031</v>
      </c>
      <c r="B7" s="11">
        <v>27.52</v>
      </c>
      <c r="C7" s="11">
        <v>29.57</v>
      </c>
      <c r="D7" s="12">
        <v>1.0744912790697601</v>
      </c>
      <c r="E7" s="12">
        <v>1.07488560571617</v>
      </c>
      <c r="F7" s="12"/>
      <c r="G7" s="12"/>
      <c r="H7" s="11">
        <v>29.580851869309001</v>
      </c>
      <c r="I7" s="11"/>
      <c r="J7" s="11"/>
      <c r="K7" s="13">
        <v>-3.66921830804439E-4</v>
      </c>
      <c r="L7" s="13"/>
      <c r="M7" s="13"/>
      <c r="N7" s="14">
        <v>0</v>
      </c>
      <c r="O7" s="15">
        <v>0</v>
      </c>
      <c r="P7" s="16">
        <v>27.52</v>
      </c>
      <c r="Q7" s="16">
        <v>29.57</v>
      </c>
      <c r="R7" s="17">
        <v>1.0744912790697601</v>
      </c>
      <c r="S7" s="17">
        <v>1.07488560571617</v>
      </c>
      <c r="T7" s="12"/>
      <c r="U7" s="12"/>
      <c r="V7" s="19">
        <v>29.580851869309001</v>
      </c>
      <c r="W7" s="11"/>
      <c r="X7" s="11"/>
      <c r="Y7" s="20">
        <v>-3.66921830804439E-4</v>
      </c>
      <c r="Z7" s="18"/>
      <c r="AA7" s="18"/>
      <c r="AC7" s="21">
        <f t="shared" si="0"/>
        <v>1.0907108879885381E-3</v>
      </c>
      <c r="AD7" s="21">
        <f t="shared" si="0"/>
        <v>6.7659001227854312E-4</v>
      </c>
      <c r="AE7" s="21"/>
      <c r="AF7" s="15"/>
      <c r="AG7" s="15"/>
      <c r="AQ7" s="15"/>
      <c r="AR7" s="15"/>
    </row>
    <row r="8" spans="1:56" customFormat="1" x14ac:dyDescent="0.3">
      <c r="A8" s="1">
        <v>46034</v>
      </c>
      <c r="B8" s="11">
        <v>27.54</v>
      </c>
      <c r="C8" s="11">
        <v>29.55</v>
      </c>
      <c r="D8" s="12">
        <v>1.07298474945533</v>
      </c>
      <c r="E8" s="12">
        <v>1.07488560571617</v>
      </c>
      <c r="F8" s="12"/>
      <c r="G8" s="12"/>
      <c r="H8" s="11">
        <v>29.602349581423301</v>
      </c>
      <c r="I8" s="11"/>
      <c r="J8" s="11"/>
      <c r="K8" s="13">
        <v>-1.76999207844902E-3</v>
      </c>
      <c r="L8" s="13"/>
      <c r="M8" s="13"/>
      <c r="N8" s="14">
        <v>0</v>
      </c>
      <c r="O8" s="15">
        <v>0</v>
      </c>
      <c r="P8" s="16">
        <v>27.54</v>
      </c>
      <c r="Q8" s="16">
        <v>29.55</v>
      </c>
      <c r="R8" s="17">
        <v>1.07298474945533</v>
      </c>
      <c r="S8" s="17">
        <v>1.07488560571617</v>
      </c>
      <c r="T8" s="12"/>
      <c r="U8" s="12"/>
      <c r="V8" s="19">
        <v>29.602349581423301</v>
      </c>
      <c r="W8" s="11"/>
      <c r="X8" s="11"/>
      <c r="Y8" s="20">
        <v>-1.76999207844902E-3</v>
      </c>
      <c r="Z8" s="18"/>
      <c r="AA8" s="18"/>
      <c r="AC8" s="21">
        <f t="shared" si="0"/>
        <v>7.2648023536593198E-4</v>
      </c>
      <c r="AD8" s="21">
        <f t="shared" si="0"/>
        <v>-6.7659001227861988E-4</v>
      </c>
      <c r="AE8" s="21"/>
      <c r="AF8" s="15"/>
      <c r="AG8" s="15"/>
      <c r="AQ8" s="15"/>
      <c r="AR8" s="15"/>
    </row>
    <row r="9" spans="1:56" customFormat="1" x14ac:dyDescent="0.3">
      <c r="A9" s="1">
        <v>46035</v>
      </c>
      <c r="B9" s="11">
        <v>27.51</v>
      </c>
      <c r="C9" s="11">
        <v>29.56</v>
      </c>
      <c r="D9" s="12">
        <v>1.0745183569611001</v>
      </c>
      <c r="E9" s="12">
        <v>1.07488560571617</v>
      </c>
      <c r="F9" s="12"/>
      <c r="G9" s="12"/>
      <c r="H9" s="11">
        <v>29.570103013251799</v>
      </c>
      <c r="I9" s="11"/>
      <c r="J9" s="11"/>
      <c r="K9" s="13">
        <v>-3.4172148652968098E-4</v>
      </c>
      <c r="L9" s="13"/>
      <c r="M9" s="13"/>
      <c r="N9" s="14">
        <v>0</v>
      </c>
      <c r="O9" s="15">
        <v>0</v>
      </c>
      <c r="P9" s="16">
        <v>27.51</v>
      </c>
      <c r="Q9" s="16">
        <v>29.56</v>
      </c>
      <c r="R9" s="17">
        <v>1.0745183569611001</v>
      </c>
      <c r="S9" s="17">
        <v>1.07488560571617</v>
      </c>
      <c r="T9" s="12"/>
      <c r="U9" s="12"/>
      <c r="V9" s="19">
        <v>29.570103013251799</v>
      </c>
      <c r="W9" s="11"/>
      <c r="X9" s="11"/>
      <c r="Y9" s="20">
        <v>-3.4172148652968098E-4</v>
      </c>
      <c r="Z9" s="18"/>
      <c r="AA9" s="18"/>
      <c r="AC9" s="21">
        <f t="shared" si="0"/>
        <v>-1.0899183640255736E-3</v>
      </c>
      <c r="AD9" s="21">
        <f t="shared" si="0"/>
        <v>3.3835222789376949E-4</v>
      </c>
      <c r="AE9" s="21"/>
      <c r="AF9" s="15"/>
      <c r="AG9" s="15"/>
      <c r="AN9" s="22">
        <f>AVERAGE(AN22:AN200)</f>
        <v>2.2200947199708273E-5</v>
      </c>
      <c r="AQ9" s="15"/>
      <c r="AR9" s="15"/>
      <c r="AY9" s="22">
        <f>AVERAGE(AY22:AY200)</f>
        <v>1.034700844314877E-4</v>
      </c>
      <c r="BB9" s="22">
        <f>AVERAGE(BB22:BB200)</f>
        <v>1.2567103163119598E-4</v>
      </c>
    </row>
    <row r="10" spans="1:56" customFormat="1" x14ac:dyDescent="0.3">
      <c r="A10" s="1">
        <v>46036</v>
      </c>
      <c r="B10" s="11">
        <v>27.54</v>
      </c>
      <c r="C10" s="11">
        <v>29.58</v>
      </c>
      <c r="D10" s="12">
        <v>1.07407407407407</v>
      </c>
      <c r="E10" s="12">
        <v>1.07488560571617</v>
      </c>
      <c r="F10" s="12"/>
      <c r="G10" s="12"/>
      <c r="H10" s="11">
        <v>29.602349581423301</v>
      </c>
      <c r="I10" s="11"/>
      <c r="J10" s="11"/>
      <c r="K10" s="13">
        <v>-7.5527864790260696E-4</v>
      </c>
      <c r="L10" s="13"/>
      <c r="M10" s="13"/>
      <c r="N10" s="14">
        <v>0</v>
      </c>
      <c r="O10" s="15">
        <v>0</v>
      </c>
      <c r="P10" s="16">
        <v>27.54</v>
      </c>
      <c r="Q10" s="16">
        <v>29.58</v>
      </c>
      <c r="R10" s="17">
        <v>1.07407407407407</v>
      </c>
      <c r="S10" s="17">
        <v>1.07488560571617</v>
      </c>
      <c r="T10" s="12"/>
      <c r="U10" s="12"/>
      <c r="V10" s="19">
        <v>29.602349581423301</v>
      </c>
      <c r="W10" s="11"/>
      <c r="X10" s="11"/>
      <c r="Y10" s="20">
        <v>-7.5527864790260696E-4</v>
      </c>
      <c r="Z10" s="18"/>
      <c r="AA10" s="18"/>
      <c r="AC10" s="21">
        <f t="shared" si="0"/>
        <v>1.0899183640256005E-3</v>
      </c>
      <c r="AD10" s="21">
        <f t="shared" si="0"/>
        <v>6.7636120265276056E-4</v>
      </c>
      <c r="AE10" s="21"/>
      <c r="AF10" s="23"/>
      <c r="AG10" s="15"/>
      <c r="AN10" s="22">
        <f>STDEV(AN22:AN200)</f>
        <v>4.3514216825753786E-4</v>
      </c>
      <c r="AQ10" s="23"/>
      <c r="AR10" s="15"/>
      <c r="AY10" s="22">
        <f>STDEV(AY22:AY200)</f>
        <v>4.0935721217034743E-4</v>
      </c>
      <c r="BB10" s="22">
        <f>STDEV(BB22:BB200)</f>
        <v>5.9354315800033263E-4</v>
      </c>
    </row>
    <row r="11" spans="1:56" customFormat="1" x14ac:dyDescent="0.3">
      <c r="A11" s="1">
        <v>46037</v>
      </c>
      <c r="B11" s="11">
        <v>27.53</v>
      </c>
      <c r="C11" s="11">
        <v>29.57</v>
      </c>
      <c r="D11" s="12">
        <v>1.07410098074827</v>
      </c>
      <c r="E11" s="12">
        <v>1.07488560571617</v>
      </c>
      <c r="F11" s="12">
        <v>1.07471589511613</v>
      </c>
      <c r="G11" s="12"/>
      <c r="H11" s="11">
        <v>29.591600725366099</v>
      </c>
      <c r="I11" s="11"/>
      <c r="J11" s="11"/>
      <c r="K11" s="13">
        <v>-7.3022792017751899E-4</v>
      </c>
      <c r="L11" s="13"/>
      <c r="M11" s="13"/>
      <c r="N11" s="14">
        <v>0</v>
      </c>
      <c r="O11" s="15">
        <v>0</v>
      </c>
      <c r="P11" s="16">
        <v>27.53</v>
      </c>
      <c r="Q11" s="16">
        <v>29.57</v>
      </c>
      <c r="R11" s="17">
        <v>1.07410098074827</v>
      </c>
      <c r="S11" s="17">
        <v>1.07488560571617</v>
      </c>
      <c r="T11" s="17">
        <v>1.07471589511613</v>
      </c>
      <c r="U11" s="12"/>
      <c r="V11" s="19">
        <v>29.591600725366099</v>
      </c>
      <c r="W11" s="11"/>
      <c r="X11" s="11"/>
      <c r="Y11" s="20">
        <v>-7.3022792017751899E-4</v>
      </c>
      <c r="Z11" s="18"/>
      <c r="AA11" s="18"/>
      <c r="AC11" s="21">
        <f t="shared" si="0"/>
        <v>-3.6317414599279057E-4</v>
      </c>
      <c r="AD11" s="21">
        <f t="shared" si="0"/>
        <v>-3.3812341826782837E-4</v>
      </c>
      <c r="AE11" s="21"/>
      <c r="AF11" s="15"/>
      <c r="AG11" s="15"/>
      <c r="AN11">
        <f>SQRT(252)*AN9/AN10</f>
        <v>0.80991716425524451</v>
      </c>
      <c r="AQ11" s="15"/>
      <c r="AR11" s="15"/>
      <c r="AY11">
        <f>SQRT(252)*AY9/AY10</f>
        <v>4.0124776610993722</v>
      </c>
      <c r="BB11">
        <f>SQRT(252)*BB9/BB10</f>
        <v>3.3611132624754148</v>
      </c>
    </row>
    <row r="12" spans="1:56" customFormat="1" x14ac:dyDescent="0.3">
      <c r="A12" s="1">
        <v>46038</v>
      </c>
      <c r="B12" s="11">
        <v>27.53</v>
      </c>
      <c r="C12" s="11">
        <v>29.58</v>
      </c>
      <c r="D12" s="12">
        <v>1.0744642208499799</v>
      </c>
      <c r="E12" s="12">
        <v>1.07488560571617</v>
      </c>
      <c r="F12" s="12">
        <v>1.0745882227993699</v>
      </c>
      <c r="G12" s="12"/>
      <c r="H12" s="11">
        <v>29.591600725366099</v>
      </c>
      <c r="I12" s="11">
        <v>29.586928592547199</v>
      </c>
      <c r="J12" s="11"/>
      <c r="K12" s="13">
        <v>-3.9210450190971702E-4</v>
      </c>
      <c r="L12" s="13">
        <v>-2.3420490952461199E-4</v>
      </c>
      <c r="M12" s="13"/>
      <c r="N12" s="14">
        <v>0</v>
      </c>
      <c r="O12" s="15">
        <v>0</v>
      </c>
      <c r="P12" s="16">
        <v>27.53</v>
      </c>
      <c r="Q12" s="16">
        <v>29.58</v>
      </c>
      <c r="R12" s="17">
        <v>1.0744642208499799</v>
      </c>
      <c r="S12" s="17">
        <v>1.07488560571617</v>
      </c>
      <c r="T12" s="17">
        <v>1.0745882227993699</v>
      </c>
      <c r="U12" s="12"/>
      <c r="V12" s="19">
        <v>29.591600725366099</v>
      </c>
      <c r="W12" s="19">
        <v>29.586928592547199</v>
      </c>
      <c r="X12" s="11"/>
      <c r="Y12" s="20">
        <v>-3.9210450190971702E-4</v>
      </c>
      <c r="Z12" s="20">
        <v>-2.3420490952461199E-4</v>
      </c>
      <c r="AA12" s="20"/>
      <c r="AC12" s="21">
        <f t="shared" si="0"/>
        <v>0</v>
      </c>
      <c r="AD12" s="21">
        <f t="shared" si="0"/>
        <v>3.3812341826782295E-4</v>
      </c>
      <c r="AE12" s="21"/>
      <c r="AF12" s="15"/>
      <c r="AG12" s="15"/>
      <c r="AQ12" s="15"/>
      <c r="AR12" s="15"/>
    </row>
    <row r="13" spans="1:56" customFormat="1" x14ac:dyDescent="0.3">
      <c r="A13" s="1">
        <v>46042</v>
      </c>
      <c r="B13" s="11">
        <v>27.45</v>
      </c>
      <c r="C13" s="11">
        <v>29.49</v>
      </c>
      <c r="D13" s="12">
        <v>1.07431693989071</v>
      </c>
      <c r="E13" s="12">
        <v>1.07488560571617</v>
      </c>
      <c r="F13" s="12">
        <v>1.0744679284630201</v>
      </c>
      <c r="G13" s="12"/>
      <c r="H13" s="11">
        <v>29.5056098769088</v>
      </c>
      <c r="I13" s="11">
        <v>29.497446715842901</v>
      </c>
      <c r="J13" s="11"/>
      <c r="K13" s="13">
        <v>-5.2918775840228897E-4</v>
      </c>
      <c r="L13" s="13">
        <v>-2.5248476742500601E-4</v>
      </c>
      <c r="M13" s="13"/>
      <c r="N13" s="14">
        <v>0</v>
      </c>
      <c r="O13" s="15">
        <v>0</v>
      </c>
      <c r="P13" s="16">
        <v>27.45</v>
      </c>
      <c r="Q13" s="16">
        <v>29.49</v>
      </c>
      <c r="R13" s="17">
        <v>1.07431693989071</v>
      </c>
      <c r="S13" s="17">
        <v>1.07488560571617</v>
      </c>
      <c r="T13" s="17">
        <v>1.0744679284630201</v>
      </c>
      <c r="U13" s="12"/>
      <c r="V13" s="19">
        <v>29.5056098769088</v>
      </c>
      <c r="W13" s="19">
        <v>29.497446715842901</v>
      </c>
      <c r="X13" s="11"/>
      <c r="Y13" s="20">
        <v>-5.2918775840228897E-4</v>
      </c>
      <c r="Z13" s="20">
        <v>-2.5248476742500601E-4</v>
      </c>
      <c r="AA13" s="18"/>
      <c r="AC13" s="21">
        <f t="shared" si="0"/>
        <v>-2.9101511989764054E-3</v>
      </c>
      <c r="AD13" s="21">
        <f t="shared" si="0"/>
        <v>-3.0472344554688577E-3</v>
      </c>
      <c r="AE13" s="21"/>
      <c r="AF13" s="15"/>
      <c r="AG13" s="15"/>
      <c r="AQ13" s="15"/>
      <c r="AR13" s="15"/>
    </row>
    <row r="14" spans="1:56" customFormat="1" x14ac:dyDescent="0.3">
      <c r="A14" s="1">
        <v>46043</v>
      </c>
      <c r="B14" s="11">
        <v>27.57</v>
      </c>
      <c r="C14" s="11">
        <v>29.61</v>
      </c>
      <c r="D14" s="12">
        <v>1.0739934711643</v>
      </c>
      <c r="E14" s="12">
        <v>1.07488560571617</v>
      </c>
      <c r="F14" s="12">
        <v>1.07428986210039</v>
      </c>
      <c r="G14" s="12"/>
      <c r="H14" s="11">
        <v>29.634596149594799</v>
      </c>
      <c r="I14" s="11">
        <v>29.623080787725499</v>
      </c>
      <c r="J14" s="11"/>
      <c r="K14" s="13">
        <v>-8.3032555225288505E-4</v>
      </c>
      <c r="L14" s="13">
        <v>-4.4167170655961998E-4</v>
      </c>
      <c r="M14" s="13"/>
      <c r="N14" s="14">
        <v>0</v>
      </c>
      <c r="O14" s="15">
        <v>0</v>
      </c>
      <c r="P14" s="16">
        <v>27.57</v>
      </c>
      <c r="Q14" s="16">
        <v>29.61</v>
      </c>
      <c r="R14" s="17">
        <v>1.0739934711643</v>
      </c>
      <c r="S14" s="17">
        <v>1.07488560571617</v>
      </c>
      <c r="T14" s="17">
        <v>1.07428986210039</v>
      </c>
      <c r="U14" s="12"/>
      <c r="V14" s="19">
        <v>29.634596149594799</v>
      </c>
      <c r="W14" s="19">
        <v>29.623080787725499</v>
      </c>
      <c r="X14" s="11"/>
      <c r="Y14" s="20">
        <v>-8.3032555225288505E-4</v>
      </c>
      <c r="Z14" s="20">
        <v>-4.4167170655961998E-4</v>
      </c>
      <c r="AA14" s="18"/>
      <c r="AC14" s="21">
        <f t="shared" si="0"/>
        <v>4.3620570801658279E-3</v>
      </c>
      <c r="AD14" s="21">
        <f t="shared" si="0"/>
        <v>4.0609192863150121E-3</v>
      </c>
      <c r="AE14" s="21"/>
      <c r="AF14" s="15"/>
      <c r="AG14" s="15"/>
      <c r="AQ14" s="15"/>
      <c r="AR14" s="15"/>
    </row>
    <row r="15" spans="1:56" customFormat="1" x14ac:dyDescent="0.3">
      <c r="A15" s="1">
        <v>46044</v>
      </c>
      <c r="B15" s="11">
        <v>27.57</v>
      </c>
      <c r="C15" s="11">
        <v>29.62</v>
      </c>
      <c r="D15" s="12">
        <v>1.0743561842582501</v>
      </c>
      <c r="E15" s="12">
        <v>1.07488560571617</v>
      </c>
      <c r="F15" s="12">
        <v>1.07422365969592</v>
      </c>
      <c r="G15" s="12"/>
      <c r="H15" s="11">
        <v>29.634596149594799</v>
      </c>
      <c r="I15" s="11">
        <v>29.618171498108001</v>
      </c>
      <c r="J15" s="11"/>
      <c r="K15" s="13">
        <v>-4.9265882609998203E-4</v>
      </c>
      <c r="L15" s="13">
        <v>6.1733907253223096E-5</v>
      </c>
      <c r="M15" s="13"/>
      <c r="N15" s="14">
        <v>0</v>
      </c>
      <c r="O15" s="15">
        <v>0</v>
      </c>
      <c r="P15" s="16">
        <v>27.57</v>
      </c>
      <c r="Q15" s="16">
        <v>29.62</v>
      </c>
      <c r="R15" s="17">
        <v>1.0743561842582501</v>
      </c>
      <c r="S15" s="17">
        <v>1.07488560571617</v>
      </c>
      <c r="T15" s="17">
        <v>1.07422365969592</v>
      </c>
      <c r="U15" s="12"/>
      <c r="V15" s="19">
        <v>29.634596149594799</v>
      </c>
      <c r="W15" s="19">
        <v>29.618171498108001</v>
      </c>
      <c r="X15" s="11"/>
      <c r="Y15" s="20">
        <v>-4.9265882609998203E-4</v>
      </c>
      <c r="Z15" s="20">
        <v>6.1733907253223096E-5</v>
      </c>
      <c r="AA15" s="18"/>
      <c r="AC15" s="21">
        <f t="shared" si="0"/>
        <v>0</v>
      </c>
      <c r="AD15" s="21">
        <f t="shared" si="0"/>
        <v>3.3766672615280182E-4</v>
      </c>
      <c r="AE15" s="21"/>
      <c r="AF15" s="15"/>
      <c r="AG15" s="15"/>
      <c r="AQ15" s="15"/>
      <c r="AR15" s="15"/>
    </row>
    <row r="16" spans="1:56" customFormat="1" x14ac:dyDescent="0.3">
      <c r="A16" s="1">
        <v>46045</v>
      </c>
      <c r="B16" s="11">
        <v>27.54</v>
      </c>
      <c r="C16" s="11">
        <v>29.59</v>
      </c>
      <c r="D16" s="12">
        <v>1.07443718228031</v>
      </c>
      <c r="E16" s="12">
        <v>1.07488560571617</v>
      </c>
      <c r="F16" s="12">
        <v>1.0741737438752099</v>
      </c>
      <c r="G16" s="12"/>
      <c r="H16" s="11">
        <v>29.602349581423301</v>
      </c>
      <c r="I16" s="11">
        <v>29.5841195880258</v>
      </c>
      <c r="J16" s="11"/>
      <c r="K16" s="13">
        <v>-4.1726951843791901E-4</v>
      </c>
      <c r="L16" s="13">
        <v>1.9874945447419199E-4</v>
      </c>
      <c r="M16" s="13"/>
      <c r="N16" s="14">
        <v>0</v>
      </c>
      <c r="O16" s="15">
        <v>0</v>
      </c>
      <c r="P16" s="16">
        <v>27.54</v>
      </c>
      <c r="Q16" s="16">
        <v>29.59</v>
      </c>
      <c r="R16" s="17">
        <v>1.07443718228031</v>
      </c>
      <c r="S16" s="17">
        <v>1.07488560571617</v>
      </c>
      <c r="T16" s="17">
        <v>1.0741737438752099</v>
      </c>
      <c r="U16" s="12"/>
      <c r="V16" s="19">
        <v>29.602349581423301</v>
      </c>
      <c r="W16" s="19">
        <v>29.5841195880258</v>
      </c>
      <c r="X16" s="11"/>
      <c r="Y16" s="20">
        <v>-4.1726951843791901E-4</v>
      </c>
      <c r="Z16" s="20">
        <v>1.9874945447419199E-4</v>
      </c>
      <c r="AA16" s="18"/>
      <c r="AC16" s="21">
        <f t="shared" si="0"/>
        <v>-1.0887317351966717E-3</v>
      </c>
      <c r="AD16" s="21">
        <f t="shared" si="0"/>
        <v>-1.0133424275344501E-3</v>
      </c>
      <c r="AE16" s="21"/>
      <c r="AF16" s="15"/>
      <c r="AG16" s="15"/>
      <c r="AQ16" s="15"/>
      <c r="AR16" s="15"/>
    </row>
    <row r="17" spans="1:55" customFormat="1" x14ac:dyDescent="0.3">
      <c r="A17" s="1">
        <v>46048</v>
      </c>
      <c r="B17" s="11">
        <v>27.55</v>
      </c>
      <c r="C17" s="11">
        <v>29.6</v>
      </c>
      <c r="D17" s="12">
        <v>1.0744101633393801</v>
      </c>
      <c r="E17" s="12">
        <v>1.07488560571617</v>
      </c>
      <c r="F17" s="12">
        <v>1.07416563230217</v>
      </c>
      <c r="G17" s="12"/>
      <c r="H17" s="11">
        <v>29.613098437480499</v>
      </c>
      <c r="I17" s="11">
        <v>29.593486643762098</v>
      </c>
      <c r="J17" s="11"/>
      <c r="K17" s="13">
        <v>-4.4241689895621898E-4</v>
      </c>
      <c r="L17" s="13">
        <v>2.2007003248034499E-4</v>
      </c>
      <c r="M17" s="13"/>
      <c r="N17" s="14">
        <v>0</v>
      </c>
      <c r="O17" s="15">
        <v>0</v>
      </c>
      <c r="P17" s="16">
        <v>27.55</v>
      </c>
      <c r="Q17" s="16">
        <v>29.6</v>
      </c>
      <c r="R17" s="17">
        <v>1.0744101633393801</v>
      </c>
      <c r="S17" s="17">
        <v>1.07488560571617</v>
      </c>
      <c r="T17" s="17">
        <v>1.07416563230217</v>
      </c>
      <c r="U17" s="12"/>
      <c r="V17" s="19">
        <v>29.613098437480499</v>
      </c>
      <c r="W17" s="19">
        <v>29.593486643762098</v>
      </c>
      <c r="X17" s="11"/>
      <c r="Y17" s="20">
        <v>-4.4241689895621898E-4</v>
      </c>
      <c r="Z17" s="20">
        <v>2.2007003248034499E-4</v>
      </c>
      <c r="AA17" s="18"/>
      <c r="AC17" s="21">
        <f t="shared" si="0"/>
        <v>3.6304229841465594E-4</v>
      </c>
      <c r="AD17" s="21">
        <f t="shared" si="0"/>
        <v>3.3789491789637717E-4</v>
      </c>
      <c r="AE17" s="21"/>
      <c r="AF17" s="15"/>
      <c r="AG17" s="15"/>
      <c r="AQ17" s="15"/>
      <c r="AR17" s="15"/>
    </row>
    <row r="18" spans="1:55" customFormat="1" x14ac:dyDescent="0.3">
      <c r="A18" s="1">
        <v>46049</v>
      </c>
      <c r="B18" s="11">
        <v>27.59</v>
      </c>
      <c r="C18" s="11">
        <v>29.61</v>
      </c>
      <c r="D18" s="12">
        <v>1.07321493294671</v>
      </c>
      <c r="E18" s="12">
        <v>1.07488560571617</v>
      </c>
      <c r="F18" s="12">
        <v>1.0741886506513101</v>
      </c>
      <c r="G18" s="12"/>
      <c r="H18" s="11">
        <v>29.656093861709099</v>
      </c>
      <c r="I18" s="11">
        <v>29.636229795216899</v>
      </c>
      <c r="J18" s="11"/>
      <c r="K18" s="13">
        <v>-1.5554887457423299E-3</v>
      </c>
      <c r="L18" s="13">
        <v>-8.8545033232969401E-4</v>
      </c>
      <c r="M18" s="13"/>
      <c r="N18" s="14">
        <v>0</v>
      </c>
      <c r="O18" s="15">
        <v>0</v>
      </c>
      <c r="P18" s="16">
        <v>27.59</v>
      </c>
      <c r="Q18" s="16">
        <v>29.61</v>
      </c>
      <c r="R18" s="17">
        <v>1.07321493294671</v>
      </c>
      <c r="S18" s="17">
        <v>1.07488560571617</v>
      </c>
      <c r="T18" s="17">
        <v>1.0741886506513101</v>
      </c>
      <c r="U18" s="12"/>
      <c r="V18" s="19">
        <v>29.656093861709099</v>
      </c>
      <c r="W18" s="19">
        <v>29.636229795216899</v>
      </c>
      <c r="X18" s="11"/>
      <c r="Y18" s="20">
        <v>-1.5554887457423299E-3</v>
      </c>
      <c r="Z18" s="20">
        <v>-8.8545033232969401E-4</v>
      </c>
      <c r="AA18" s="18"/>
      <c r="AC18" s="21">
        <f t="shared" si="0"/>
        <v>1.4508526302710969E-3</v>
      </c>
      <c r="AD18" s="21">
        <f t="shared" si="0"/>
        <v>3.3778078348518687E-4</v>
      </c>
      <c r="AE18" s="21"/>
      <c r="AF18" s="15"/>
      <c r="AG18" s="15"/>
      <c r="AQ18" s="15"/>
      <c r="AR18" s="15"/>
    </row>
    <row r="19" spans="1:55" customFormat="1" x14ac:dyDescent="0.3">
      <c r="A19" s="1">
        <v>46050</v>
      </c>
      <c r="B19" s="11">
        <v>27.57</v>
      </c>
      <c r="C19" s="11">
        <v>29.59</v>
      </c>
      <c r="D19" s="12">
        <v>1.07326804497642</v>
      </c>
      <c r="E19" s="12">
        <v>1.07488560571617</v>
      </c>
      <c r="F19" s="12">
        <v>1.0740636194528399</v>
      </c>
      <c r="G19" s="12"/>
      <c r="H19" s="11">
        <v>29.634596149594799</v>
      </c>
      <c r="I19" s="11">
        <v>29.615381098456599</v>
      </c>
      <c r="J19" s="11"/>
      <c r="K19" s="13">
        <v>-1.5060012536344499E-3</v>
      </c>
      <c r="L19" s="13">
        <v>-8.57391660712012E-4</v>
      </c>
      <c r="M19" s="13"/>
      <c r="N19" s="14">
        <v>0</v>
      </c>
      <c r="O19" s="15">
        <v>0</v>
      </c>
      <c r="P19" s="16">
        <v>27.57</v>
      </c>
      <c r="Q19" s="16">
        <v>29.59</v>
      </c>
      <c r="R19" s="17">
        <v>1.07326804497642</v>
      </c>
      <c r="S19" s="17">
        <v>1.07488560571617</v>
      </c>
      <c r="T19" s="17">
        <v>1.0740636194528399</v>
      </c>
      <c r="U19" s="12"/>
      <c r="V19" s="19">
        <v>29.634596149594799</v>
      </c>
      <c r="W19" s="19">
        <v>29.615381098456599</v>
      </c>
      <c r="X19" s="11"/>
      <c r="Y19" s="20">
        <v>-1.5060012536344499E-3</v>
      </c>
      <c r="Z19" s="20">
        <v>-8.57391660712012E-4</v>
      </c>
      <c r="AA19" s="18"/>
      <c r="AC19" s="21">
        <f t="shared" si="0"/>
        <v>-7.2516319348928766E-4</v>
      </c>
      <c r="AD19" s="21">
        <f t="shared" si="0"/>
        <v>-6.7567570138159368E-4</v>
      </c>
      <c r="AE19" s="21"/>
      <c r="AF19" s="15"/>
      <c r="AG19" s="15"/>
      <c r="AQ19" s="15"/>
      <c r="AR19" s="15"/>
    </row>
    <row r="20" spans="1:55" customFormat="1" x14ac:dyDescent="0.3">
      <c r="A20" s="1">
        <v>46051</v>
      </c>
      <c r="B20" s="11">
        <v>27.58</v>
      </c>
      <c r="C20" s="11">
        <v>29.58</v>
      </c>
      <c r="D20" s="12">
        <v>1.07251631617113</v>
      </c>
      <c r="E20" s="12">
        <v>1.07488560571617</v>
      </c>
      <c r="F20" s="12">
        <v>1.07390784366255</v>
      </c>
      <c r="G20" s="12"/>
      <c r="H20" s="11">
        <v>29.645345005651901</v>
      </c>
      <c r="I20" s="11">
        <v>29.622674624509401</v>
      </c>
      <c r="J20" s="11"/>
      <c r="K20" s="13">
        <v>-2.2066577125495301E-3</v>
      </c>
      <c r="L20" s="13">
        <v>-1.4416454044064301E-3</v>
      </c>
      <c r="M20" s="13"/>
      <c r="N20" s="14">
        <v>0</v>
      </c>
      <c r="O20" s="15">
        <v>0</v>
      </c>
      <c r="P20" s="16">
        <v>27.58</v>
      </c>
      <c r="Q20" s="16">
        <v>29.58</v>
      </c>
      <c r="R20" s="17">
        <v>1.07251631617113</v>
      </c>
      <c r="S20" s="17">
        <v>1.07488560571617</v>
      </c>
      <c r="T20" s="17">
        <v>1.07390784366255</v>
      </c>
      <c r="U20" s="12"/>
      <c r="V20" s="19">
        <v>29.645345005651901</v>
      </c>
      <c r="W20" s="19">
        <v>29.622674624509401</v>
      </c>
      <c r="X20" s="11"/>
      <c r="Y20" s="20">
        <v>-2.2066577125495301E-3</v>
      </c>
      <c r="Z20" s="20">
        <v>-1.4416454044064301E-3</v>
      </c>
      <c r="AA20" s="18"/>
      <c r="AC20" s="21">
        <f t="shared" si="0"/>
        <v>3.62647329450224E-4</v>
      </c>
      <c r="AD20" s="21">
        <f t="shared" si="0"/>
        <v>-3.3800912946462387E-4</v>
      </c>
      <c r="AE20" s="21"/>
      <c r="AF20" s="15"/>
      <c r="AG20" s="15"/>
      <c r="AQ20" s="15"/>
      <c r="AR20" s="15"/>
    </row>
    <row r="21" spans="1:55" customFormat="1" x14ac:dyDescent="0.3">
      <c r="A21" s="1">
        <v>46052</v>
      </c>
      <c r="B21" s="11">
        <v>27.57</v>
      </c>
      <c r="C21" s="11">
        <v>29.59</v>
      </c>
      <c r="D21" s="12">
        <v>1.07326804497642</v>
      </c>
      <c r="E21" s="12">
        <v>1.07488560571617</v>
      </c>
      <c r="F21" s="12">
        <v>1.07382455008536</v>
      </c>
      <c r="G21" s="12">
        <v>1.0742702226007499</v>
      </c>
      <c r="H21" s="11">
        <v>29.634596149594799</v>
      </c>
      <c r="I21" s="11">
        <v>29.607639249776501</v>
      </c>
      <c r="J21" s="11"/>
      <c r="K21" s="13">
        <v>-1.5060012536344499E-3</v>
      </c>
      <c r="L21" s="13">
        <v>-5.9594438298982697E-4</v>
      </c>
      <c r="M21" s="13"/>
      <c r="N21" s="14">
        <v>0</v>
      </c>
      <c r="O21" s="15">
        <v>0</v>
      </c>
      <c r="P21" s="16">
        <v>27.57</v>
      </c>
      <c r="Q21" s="16">
        <v>29.59</v>
      </c>
      <c r="R21" s="17">
        <v>1.07326804497642</v>
      </c>
      <c r="S21" s="17">
        <v>1.07488560571617</v>
      </c>
      <c r="T21" s="17">
        <v>1.07382455008536</v>
      </c>
      <c r="U21" s="17">
        <v>1.0742702226007499</v>
      </c>
      <c r="V21" s="19">
        <v>29.634596149594799</v>
      </c>
      <c r="W21" s="19">
        <v>29.607639249776501</v>
      </c>
      <c r="X21" s="11"/>
      <c r="Y21" s="20">
        <v>-1.5060012536344499E-3</v>
      </c>
      <c r="Z21" s="20">
        <v>-5.9594438298982697E-4</v>
      </c>
      <c r="AA21" s="18"/>
      <c r="AC21" s="21">
        <f t="shared" si="0"/>
        <v>-3.6264732945035763E-4</v>
      </c>
      <c r="AD21" s="21">
        <f t="shared" si="0"/>
        <v>3.3800912946470156E-4</v>
      </c>
      <c r="AE21" s="21"/>
      <c r="AF21" s="15"/>
      <c r="AG21" s="15"/>
      <c r="AK21" s="24">
        <v>0</v>
      </c>
      <c r="AQ21" s="15"/>
      <c r="AR21" s="15"/>
      <c r="AV21" s="24">
        <v>0</v>
      </c>
    </row>
    <row r="22" spans="1:55" customFormat="1" x14ac:dyDescent="0.3">
      <c r="A22" s="1">
        <v>46055</v>
      </c>
      <c r="B22" s="11">
        <v>27.45</v>
      </c>
      <c r="C22" s="11">
        <v>29.46</v>
      </c>
      <c r="D22" s="12">
        <v>1.07322404371584</v>
      </c>
      <c r="E22" s="12">
        <v>1.07488560571617</v>
      </c>
      <c r="F22" s="12">
        <v>1.07370053237195</v>
      </c>
      <c r="G22" s="12">
        <v>1.0741443775856601</v>
      </c>
      <c r="H22" s="11">
        <v>29.5056098769088</v>
      </c>
      <c r="I22" s="11">
        <v>29.476483899843299</v>
      </c>
      <c r="J22" s="11">
        <v>29.488717610390601</v>
      </c>
      <c r="K22" s="13">
        <v>-1.54699955110288E-3</v>
      </c>
      <c r="L22" s="13">
        <v>-5.5937847602639996E-4</v>
      </c>
      <c r="M22" s="13">
        <v>-9.7432527208687002E-4</v>
      </c>
      <c r="N22" s="25">
        <v>0</v>
      </c>
      <c r="O22" s="15">
        <v>0</v>
      </c>
      <c r="P22" s="16">
        <v>27.45</v>
      </c>
      <c r="Q22" s="16">
        <v>29.46</v>
      </c>
      <c r="R22" s="17">
        <v>1.07322404371584</v>
      </c>
      <c r="S22" s="17">
        <v>1.07488560571617</v>
      </c>
      <c r="T22" s="17">
        <v>1.07370053237195</v>
      </c>
      <c r="U22" s="17">
        <v>1.0741443775856601</v>
      </c>
      <c r="V22" s="19">
        <v>29.5056098769088</v>
      </c>
      <c r="W22" s="19">
        <v>29.476483899843299</v>
      </c>
      <c r="X22" s="19">
        <v>29.488717610390601</v>
      </c>
      <c r="Y22" s="20">
        <v>-1.54699955110288E-3</v>
      </c>
      <c r="Z22" s="20">
        <v>-5.5937847602639996E-4</v>
      </c>
      <c r="AA22" s="20">
        <v>-9.7432527208687002E-4</v>
      </c>
      <c r="AC22" s="21">
        <f t="shared" si="0"/>
        <v>-4.3620570801657455E-3</v>
      </c>
      <c r="AD22" s="21">
        <f t="shared" si="0"/>
        <v>-4.4030553776340242E-3</v>
      </c>
      <c r="AE22" s="21"/>
      <c r="AF22" s="21"/>
      <c r="AG22" s="15"/>
      <c r="AH22">
        <f>IF($AA22&lt;AG$1,1,0)</f>
        <v>0</v>
      </c>
      <c r="AI22">
        <f>IF($AA22&gt;AG$2,1,0)</f>
        <v>0</v>
      </c>
      <c r="AJ22">
        <f>AK21</f>
        <v>0</v>
      </c>
      <c r="AK22">
        <f t="shared" ref="AK22:AK85" si="1">IF(AH21,1,IF(AI21,0,AJ21))</f>
        <v>0</v>
      </c>
      <c r="AL22" s="21">
        <f>-AK22*$AC22</f>
        <v>0</v>
      </c>
      <c r="AM22" s="21">
        <f>AK22*$AD22</f>
        <v>0</v>
      </c>
      <c r="AN22" s="21">
        <f>AL22+AM22</f>
        <v>0</v>
      </c>
      <c r="AO22" s="22">
        <f>AO21+AN22</f>
        <v>0</v>
      </c>
      <c r="AQ22" s="21"/>
      <c r="AR22" s="15"/>
      <c r="AS22">
        <f>IF($AA22&gt;AR$1,1,0)</f>
        <v>0</v>
      </c>
      <c r="AT22">
        <f>IF($AA22&lt;AR$2,1,0)</f>
        <v>1</v>
      </c>
      <c r="AU22">
        <f>AV21</f>
        <v>0</v>
      </c>
      <c r="AV22">
        <f>IF(AS21,1,IF(AT21,0,AU21))</f>
        <v>0</v>
      </c>
      <c r="AW22" s="21">
        <f>AV22*$AC22</f>
        <v>0</v>
      </c>
      <c r="AX22" s="21">
        <f>-AV22*$AD22</f>
        <v>0</v>
      </c>
      <c r="AY22" s="21">
        <f>AW22+AX22</f>
        <v>0</v>
      </c>
      <c r="AZ22" s="22">
        <f>AZ21+AY22</f>
        <v>0</v>
      </c>
      <c r="BB22" s="22">
        <f>AN22+AY22</f>
        <v>0</v>
      </c>
      <c r="BC22" s="22">
        <f>BC21+BB22</f>
        <v>0</v>
      </c>
    </row>
    <row r="23" spans="1:55" customFormat="1" x14ac:dyDescent="0.3">
      <c r="A23" s="1">
        <v>46056</v>
      </c>
      <c r="B23" s="11">
        <v>27.45</v>
      </c>
      <c r="C23" s="11">
        <v>29.45</v>
      </c>
      <c r="D23" s="12">
        <v>1.0728597449908901</v>
      </c>
      <c r="E23" s="12">
        <v>1.07488560571617</v>
      </c>
      <c r="F23" s="12">
        <v>1.0735548128819701</v>
      </c>
      <c r="G23" s="12">
        <v>1.0740113706724901</v>
      </c>
      <c r="H23" s="11">
        <v>29.5056098769088</v>
      </c>
      <c r="I23" s="11">
        <v>29.4730796136101</v>
      </c>
      <c r="J23" s="11">
        <v>29.485263164726501</v>
      </c>
      <c r="K23" s="13">
        <v>-1.88650048799143E-3</v>
      </c>
      <c r="L23" s="13">
        <v>-7.8338114510475101E-4</v>
      </c>
      <c r="M23" s="13">
        <v>-1.1966746915552E-3</v>
      </c>
      <c r="N23" s="25">
        <v>0</v>
      </c>
      <c r="O23" s="15">
        <v>0</v>
      </c>
      <c r="P23" s="16">
        <v>27.45</v>
      </c>
      <c r="Q23" s="16">
        <v>29.45</v>
      </c>
      <c r="R23" s="17">
        <v>1.0728597449908901</v>
      </c>
      <c r="S23" s="17">
        <v>1.07488560571617</v>
      </c>
      <c r="T23" s="17">
        <v>1.0735548128819701</v>
      </c>
      <c r="U23" s="17">
        <v>1.0740113706724901</v>
      </c>
      <c r="V23" s="19">
        <v>29.5056098769088</v>
      </c>
      <c r="W23" s="19">
        <v>29.4730796136101</v>
      </c>
      <c r="X23" s="19">
        <v>29.485263164726501</v>
      </c>
      <c r="Y23" s="20">
        <v>-1.88650048799143E-3</v>
      </c>
      <c r="Z23" s="20">
        <v>-7.8338114510475101E-4</v>
      </c>
      <c r="AA23" s="20">
        <v>-1.1966746915552E-3</v>
      </c>
      <c r="AC23" s="21">
        <f t="shared" si="0"/>
        <v>0</v>
      </c>
      <c r="AD23" s="21">
        <f t="shared" si="0"/>
        <v>-3.3950093688852288E-4</v>
      </c>
      <c r="AE23" s="21"/>
      <c r="AF23" s="21"/>
      <c r="AG23" s="15"/>
      <c r="AH23">
        <f t="shared" ref="AH23:AH86" si="2">IF(AA23&lt;AG$1,1,0)</f>
        <v>1</v>
      </c>
      <c r="AI23">
        <f t="shared" ref="AI23:AI86" si="3">IF($AA23&gt;AG$2,1,0)</f>
        <v>0</v>
      </c>
      <c r="AJ23">
        <f t="shared" ref="AJ23:AJ86" si="4">AK23</f>
        <v>0</v>
      </c>
      <c r="AK23">
        <f t="shared" si="1"/>
        <v>0</v>
      </c>
      <c r="AL23" s="21">
        <f t="shared" ref="AL23:AL86" si="5">-AK23*$AC23</f>
        <v>0</v>
      </c>
      <c r="AM23" s="21">
        <f t="shared" ref="AM23:AM86" si="6">AK23*$AD23</f>
        <v>0</v>
      </c>
      <c r="AN23" s="21">
        <f t="shared" ref="AN23:AN86" si="7">AL23+AM23</f>
        <v>0</v>
      </c>
      <c r="AO23" s="22">
        <f t="shared" ref="AO23:AO86" si="8">AO22+AN23</f>
        <v>0</v>
      </c>
      <c r="AQ23" s="21"/>
      <c r="AR23" s="15"/>
      <c r="AS23">
        <f t="shared" ref="AS23:AS86" si="9">IF($AA23&gt;AR$1,1,0)</f>
        <v>0</v>
      </c>
      <c r="AT23">
        <f t="shared" ref="AT23:AT86" si="10">IF($AA23&lt;AR$2,1,0)</f>
        <v>1</v>
      </c>
      <c r="AU23">
        <f t="shared" ref="AU23:AU86" si="11">AV22</f>
        <v>0</v>
      </c>
      <c r="AV23">
        <f t="shared" ref="AV23:AV86" si="12">IF(AS22,1,IF(AT22,0,AU22))</f>
        <v>0</v>
      </c>
      <c r="AW23" s="21">
        <f t="shared" ref="AW23:AW86" si="13">AV23*$AC23</f>
        <v>0</v>
      </c>
      <c r="AX23" s="21">
        <f t="shared" ref="AX23:AX86" si="14">-AV23*$AD23</f>
        <v>0</v>
      </c>
      <c r="AY23" s="21">
        <f t="shared" ref="AY23:AY86" si="15">AW23+AX23</f>
        <v>0</v>
      </c>
      <c r="AZ23" s="22">
        <f t="shared" ref="AZ23:AZ86" si="16">AZ22+AY23</f>
        <v>0</v>
      </c>
      <c r="BB23" s="22">
        <f t="shared" ref="BB23:BB86" si="17">AN23+AY23</f>
        <v>0</v>
      </c>
      <c r="BC23" s="22">
        <f t="shared" ref="BC23:BC86" si="18">BC22+BB23</f>
        <v>0</v>
      </c>
    </row>
    <row r="24" spans="1:55" customFormat="1" x14ac:dyDescent="0.3">
      <c r="A24" s="1">
        <v>46057</v>
      </c>
      <c r="B24" s="11">
        <v>27.43</v>
      </c>
      <c r="C24" s="11">
        <v>29.44</v>
      </c>
      <c r="D24" s="12">
        <v>1.0732774334670001</v>
      </c>
      <c r="E24" s="12">
        <v>1.07488560571617</v>
      </c>
      <c r="F24" s="12">
        <v>1.0734832091122399</v>
      </c>
      <c r="G24" s="12">
        <v>1.0738865356063201</v>
      </c>
      <c r="H24" s="11">
        <v>29.484112164794499</v>
      </c>
      <c r="I24" s="11">
        <v>29.4476085173524</v>
      </c>
      <c r="J24" s="11">
        <v>29.4601318975465</v>
      </c>
      <c r="K24" s="13">
        <v>-1.4972537188837E-3</v>
      </c>
      <c r="L24" s="13">
        <v>-2.5840809590866898E-4</v>
      </c>
      <c r="M24" s="13">
        <v>-6.8359433780409995E-4</v>
      </c>
      <c r="N24" s="25">
        <v>0</v>
      </c>
      <c r="O24" s="15">
        <v>0</v>
      </c>
      <c r="P24" s="16">
        <v>27.43</v>
      </c>
      <c r="Q24" s="16">
        <v>29.44</v>
      </c>
      <c r="R24" s="17">
        <v>1.0732774334670001</v>
      </c>
      <c r="S24" s="17">
        <v>1.07488560571617</v>
      </c>
      <c r="T24" s="17">
        <v>1.0734832091122399</v>
      </c>
      <c r="U24" s="17">
        <v>1.0738865356063201</v>
      </c>
      <c r="V24" s="19">
        <v>29.484112164794499</v>
      </c>
      <c r="W24" s="19">
        <v>29.4476085173524</v>
      </c>
      <c r="X24" s="19">
        <v>29.4601318975465</v>
      </c>
      <c r="Y24" s="20">
        <v>-1.4972537188837E-3</v>
      </c>
      <c r="Z24" s="20">
        <v>-2.5840809590866898E-4</v>
      </c>
      <c r="AA24" s="20">
        <v>-6.8359433780409995E-4</v>
      </c>
      <c r="AC24" s="21">
        <f t="shared" si="0"/>
        <v>-7.2886300602778998E-4</v>
      </c>
      <c r="AD24" s="21">
        <f t="shared" si="0"/>
        <v>-3.3961623692016041E-4</v>
      </c>
      <c r="AE24" s="21"/>
      <c r="AF24" s="21"/>
      <c r="AG24" s="15"/>
      <c r="AH24">
        <f t="shared" si="2"/>
        <v>0</v>
      </c>
      <c r="AI24">
        <f t="shared" si="3"/>
        <v>0</v>
      </c>
      <c r="AJ24">
        <f t="shared" si="4"/>
        <v>1</v>
      </c>
      <c r="AK24">
        <f t="shared" si="1"/>
        <v>1</v>
      </c>
      <c r="AL24" s="21">
        <f t="shared" si="5"/>
        <v>7.2886300602778998E-4</v>
      </c>
      <c r="AM24" s="21">
        <f t="shared" si="6"/>
        <v>-3.3961623692016041E-4</v>
      </c>
      <c r="AN24" s="21">
        <f t="shared" si="7"/>
        <v>3.8924676910762957E-4</v>
      </c>
      <c r="AO24" s="22">
        <f t="shared" si="8"/>
        <v>3.8924676910762957E-4</v>
      </c>
      <c r="AQ24" s="21"/>
      <c r="AR24" s="15"/>
      <c r="AS24">
        <f t="shared" si="9"/>
        <v>0</v>
      </c>
      <c r="AT24">
        <f t="shared" si="10"/>
        <v>1</v>
      </c>
      <c r="AU24">
        <f t="shared" si="11"/>
        <v>0</v>
      </c>
      <c r="AV24">
        <f t="shared" si="12"/>
        <v>0</v>
      </c>
      <c r="AW24" s="21">
        <f t="shared" si="13"/>
        <v>0</v>
      </c>
      <c r="AX24" s="21">
        <f t="shared" si="14"/>
        <v>0</v>
      </c>
      <c r="AY24" s="21">
        <f t="shared" si="15"/>
        <v>0</v>
      </c>
      <c r="AZ24" s="22">
        <f t="shared" si="16"/>
        <v>0</v>
      </c>
      <c r="BB24" s="22">
        <f t="shared" si="17"/>
        <v>3.8924676910762957E-4</v>
      </c>
      <c r="BC24" s="22">
        <f t="shared" si="18"/>
        <v>3.8924676910762957E-4</v>
      </c>
    </row>
    <row r="25" spans="1:55" customFormat="1" x14ac:dyDescent="0.3">
      <c r="A25" s="1">
        <v>46058</v>
      </c>
      <c r="B25" s="11">
        <v>27.4</v>
      </c>
      <c r="C25" s="11">
        <v>29.41</v>
      </c>
      <c r="D25" s="12">
        <v>1.07335766423357</v>
      </c>
      <c r="E25" s="12">
        <v>1.07488560571617</v>
      </c>
      <c r="F25" s="12">
        <v>1.07338335710977</v>
      </c>
      <c r="G25" s="12">
        <v>1.0738035084028399</v>
      </c>
      <c r="H25" s="11">
        <v>29.451865596623001</v>
      </c>
      <c r="I25" s="11">
        <v>29.413439929675299</v>
      </c>
      <c r="J25" s="11">
        <v>29.424491075613101</v>
      </c>
      <c r="K25" s="13">
        <v>-1.4225034581682599E-3</v>
      </c>
      <c r="L25" s="13">
        <v>-1.16957787012242E-4</v>
      </c>
      <c r="M25" s="13">
        <v>-4.9260478475380903E-4</v>
      </c>
      <c r="N25" s="25">
        <v>0</v>
      </c>
      <c r="O25" s="15">
        <v>0</v>
      </c>
      <c r="P25" s="16">
        <v>27.4</v>
      </c>
      <c r="Q25" s="16">
        <v>29.41</v>
      </c>
      <c r="R25" s="17">
        <v>1.07335766423357</v>
      </c>
      <c r="S25" s="17">
        <v>1.07488560571617</v>
      </c>
      <c r="T25" s="17">
        <v>1.07338335710977</v>
      </c>
      <c r="U25" s="17">
        <v>1.0738035084028399</v>
      </c>
      <c r="V25" s="19">
        <v>29.451865596623001</v>
      </c>
      <c r="W25" s="19">
        <v>29.413439929675299</v>
      </c>
      <c r="X25" s="19">
        <v>29.424491075613101</v>
      </c>
      <c r="Y25" s="20">
        <v>-1.4225034581682599E-3</v>
      </c>
      <c r="Z25" s="20">
        <v>-1.16957787012242E-4</v>
      </c>
      <c r="AA25" s="20">
        <v>-4.9260478475380903E-4</v>
      </c>
      <c r="AC25" s="21">
        <f t="shared" si="0"/>
        <v>-1.0942915554873771E-3</v>
      </c>
      <c r="AD25" s="21">
        <f t="shared" si="0"/>
        <v>-1.0195412947718828E-3</v>
      </c>
      <c r="AE25" s="21"/>
      <c r="AF25" s="21"/>
      <c r="AG25" s="15"/>
      <c r="AH25">
        <f t="shared" si="2"/>
        <v>0</v>
      </c>
      <c r="AI25">
        <f t="shared" si="3"/>
        <v>0</v>
      </c>
      <c r="AJ25">
        <f t="shared" si="4"/>
        <v>1</v>
      </c>
      <c r="AK25">
        <f t="shared" si="1"/>
        <v>1</v>
      </c>
      <c r="AL25" s="21">
        <f t="shared" si="5"/>
        <v>1.0942915554873771E-3</v>
      </c>
      <c r="AM25" s="21">
        <f t="shared" si="6"/>
        <v>-1.0195412947718828E-3</v>
      </c>
      <c r="AN25" s="21">
        <f t="shared" si="7"/>
        <v>7.4750260715494279E-5</v>
      </c>
      <c r="AO25" s="22">
        <f t="shared" si="8"/>
        <v>4.6399702982312385E-4</v>
      </c>
      <c r="AQ25" s="21"/>
      <c r="AR25" s="15"/>
      <c r="AS25">
        <f t="shared" si="9"/>
        <v>0</v>
      </c>
      <c r="AT25">
        <f t="shared" si="10"/>
        <v>1</v>
      </c>
      <c r="AU25">
        <f t="shared" si="11"/>
        <v>0</v>
      </c>
      <c r="AV25">
        <f t="shared" si="12"/>
        <v>0</v>
      </c>
      <c r="AW25" s="21">
        <f t="shared" si="13"/>
        <v>0</v>
      </c>
      <c r="AX25" s="21">
        <f t="shared" si="14"/>
        <v>0</v>
      </c>
      <c r="AY25" s="21">
        <f t="shared" si="15"/>
        <v>0</v>
      </c>
      <c r="AZ25" s="22">
        <f t="shared" si="16"/>
        <v>0</v>
      </c>
      <c r="BB25" s="22">
        <f t="shared" si="17"/>
        <v>7.4750260715494279E-5</v>
      </c>
      <c r="BC25" s="22">
        <f t="shared" si="18"/>
        <v>4.6399702982312385E-4</v>
      </c>
    </row>
    <row r="26" spans="1:55" customFormat="1" x14ac:dyDescent="0.3">
      <c r="A26" s="1">
        <v>46059</v>
      </c>
      <c r="B26" s="11">
        <v>27.45</v>
      </c>
      <c r="C26" s="11">
        <v>29.5</v>
      </c>
      <c r="D26" s="12">
        <v>1.0746812386156599</v>
      </c>
      <c r="E26" s="12">
        <v>1.07488560571617</v>
      </c>
      <c r="F26" s="12">
        <v>1.0734077627433001</v>
      </c>
      <c r="G26" s="12">
        <v>1.0737907533092601</v>
      </c>
      <c r="H26" s="11">
        <v>29.5056098769088</v>
      </c>
      <c r="I26" s="11">
        <v>29.4643731526632</v>
      </c>
      <c r="J26" s="11">
        <v>29.475906305658199</v>
      </c>
      <c r="K26" s="13">
        <v>-1.9014723981297299E-4</v>
      </c>
      <c r="L26" s="13">
        <v>1.2084195851590699E-3</v>
      </c>
      <c r="M26" s="13">
        <v>8.1706911148841802E-4</v>
      </c>
      <c r="N26" s="25">
        <v>0</v>
      </c>
      <c r="O26" s="15">
        <v>0</v>
      </c>
      <c r="P26" s="16">
        <v>27.45</v>
      </c>
      <c r="Q26" s="16">
        <v>29.5</v>
      </c>
      <c r="R26" s="17">
        <v>1.0746812386156599</v>
      </c>
      <c r="S26" s="17">
        <v>1.07488560571617</v>
      </c>
      <c r="T26" s="17">
        <v>1.0734077627433001</v>
      </c>
      <c r="U26" s="17">
        <v>1.0737907533092601</v>
      </c>
      <c r="V26" s="19">
        <v>29.5056098769088</v>
      </c>
      <c r="W26" s="19">
        <v>29.4643731526632</v>
      </c>
      <c r="X26" s="19">
        <v>29.475906305658199</v>
      </c>
      <c r="Y26" s="20">
        <v>-1.9014723981297299E-4</v>
      </c>
      <c r="Z26" s="20">
        <v>1.2084195851590699E-3</v>
      </c>
      <c r="AA26" s="20">
        <v>8.1706911148841802E-4</v>
      </c>
      <c r="AC26" s="21">
        <f t="shared" si="0"/>
        <v>1.8231545615151783E-3</v>
      </c>
      <c r="AD26" s="21">
        <f t="shared" si="0"/>
        <v>3.0555107798704967E-3</v>
      </c>
      <c r="AE26" s="21"/>
      <c r="AF26" s="21"/>
      <c r="AG26" s="15"/>
      <c r="AH26">
        <f t="shared" si="2"/>
        <v>0</v>
      </c>
      <c r="AI26">
        <f t="shared" si="3"/>
        <v>1</v>
      </c>
      <c r="AJ26">
        <f t="shared" si="4"/>
        <v>1</v>
      </c>
      <c r="AK26">
        <f t="shared" si="1"/>
        <v>1</v>
      </c>
      <c r="AL26" s="21">
        <f t="shared" si="5"/>
        <v>-1.8231545615151783E-3</v>
      </c>
      <c r="AM26" s="21">
        <f t="shared" si="6"/>
        <v>3.0555107798704967E-3</v>
      </c>
      <c r="AN26" s="21">
        <f t="shared" si="7"/>
        <v>1.2323562183553184E-3</v>
      </c>
      <c r="AO26" s="22">
        <f t="shared" si="8"/>
        <v>1.6963532481784423E-3</v>
      </c>
      <c r="AQ26" s="21"/>
      <c r="AR26" s="15"/>
      <c r="AS26">
        <f t="shared" si="9"/>
        <v>0</v>
      </c>
      <c r="AT26">
        <f t="shared" si="10"/>
        <v>0</v>
      </c>
      <c r="AU26">
        <f t="shared" si="11"/>
        <v>0</v>
      </c>
      <c r="AV26">
        <f t="shared" si="12"/>
        <v>0</v>
      </c>
      <c r="AW26" s="21">
        <f t="shared" si="13"/>
        <v>0</v>
      </c>
      <c r="AX26" s="21">
        <f t="shared" si="14"/>
        <v>0</v>
      </c>
      <c r="AY26" s="21">
        <f t="shared" si="15"/>
        <v>0</v>
      </c>
      <c r="AZ26" s="22">
        <f t="shared" si="16"/>
        <v>0</v>
      </c>
      <c r="BB26" s="22">
        <f t="shared" si="17"/>
        <v>1.2323562183553184E-3</v>
      </c>
      <c r="BC26" s="22">
        <f t="shared" si="18"/>
        <v>1.6963532481784423E-3</v>
      </c>
    </row>
    <row r="27" spans="1:55" customFormat="1" x14ac:dyDescent="0.3">
      <c r="A27" s="1">
        <v>46062</v>
      </c>
      <c r="B27" s="11">
        <v>27.51</v>
      </c>
      <c r="C27" s="11">
        <v>29.55</v>
      </c>
      <c r="D27" s="12">
        <v>1.0741548527808</v>
      </c>
      <c r="E27" s="12">
        <v>1.07488560571617</v>
      </c>
      <c r="F27" s="12">
        <v>1.07338223168745</v>
      </c>
      <c r="G27" s="12">
        <v>1.0737739319948101</v>
      </c>
      <c r="H27" s="11">
        <v>29.570103013251799</v>
      </c>
      <c r="I27" s="11">
        <v>29.529447553068302</v>
      </c>
      <c r="J27" s="11">
        <v>29.539983623537701</v>
      </c>
      <c r="K27" s="13">
        <v>-6.8007371442344196E-4</v>
      </c>
      <c r="L27" s="13">
        <v>6.9575626082913602E-4</v>
      </c>
      <c r="M27" s="13">
        <v>3.3902113163531398E-4</v>
      </c>
      <c r="N27" s="25">
        <v>0</v>
      </c>
      <c r="O27" s="15">
        <v>0</v>
      </c>
      <c r="P27" s="16">
        <v>27.51</v>
      </c>
      <c r="Q27" s="16">
        <v>29.55</v>
      </c>
      <c r="R27" s="17">
        <v>1.0741548527808</v>
      </c>
      <c r="S27" s="17">
        <v>1.07488560571617</v>
      </c>
      <c r="T27" s="17">
        <v>1.07338223168745</v>
      </c>
      <c r="U27" s="17">
        <v>1.0737739319948101</v>
      </c>
      <c r="V27" s="19">
        <v>29.570103013251799</v>
      </c>
      <c r="W27" s="19">
        <v>29.529447553068302</v>
      </c>
      <c r="X27" s="19">
        <v>29.539983623537701</v>
      </c>
      <c r="Y27" s="20">
        <v>-6.8007371442344196E-4</v>
      </c>
      <c r="Z27" s="20">
        <v>6.9575626082913602E-4</v>
      </c>
      <c r="AA27" s="20">
        <v>3.3902113163531398E-4</v>
      </c>
      <c r="AC27" s="21">
        <f t="shared" si="0"/>
        <v>2.1834069809435813E-3</v>
      </c>
      <c r="AD27" s="21">
        <f t="shared" si="0"/>
        <v>1.6934805063331477E-3</v>
      </c>
      <c r="AE27" s="21"/>
      <c r="AF27" s="21"/>
      <c r="AG27" s="15"/>
      <c r="AH27">
        <f t="shared" si="2"/>
        <v>0</v>
      </c>
      <c r="AI27">
        <f t="shared" si="3"/>
        <v>1</v>
      </c>
      <c r="AJ27">
        <f t="shared" si="4"/>
        <v>0</v>
      </c>
      <c r="AK27">
        <f t="shared" si="1"/>
        <v>0</v>
      </c>
      <c r="AL27" s="21">
        <f t="shared" si="5"/>
        <v>0</v>
      </c>
      <c r="AM27" s="21">
        <f t="shared" si="6"/>
        <v>0</v>
      </c>
      <c r="AN27" s="21">
        <f t="shared" si="7"/>
        <v>0</v>
      </c>
      <c r="AO27" s="22">
        <f t="shared" si="8"/>
        <v>1.6963532481784423E-3</v>
      </c>
      <c r="AQ27" s="21"/>
      <c r="AR27" s="15"/>
      <c r="AS27">
        <f t="shared" si="9"/>
        <v>0</v>
      </c>
      <c r="AT27">
        <f t="shared" si="10"/>
        <v>0</v>
      </c>
      <c r="AU27">
        <f t="shared" si="11"/>
        <v>0</v>
      </c>
      <c r="AV27">
        <f t="shared" si="12"/>
        <v>0</v>
      </c>
      <c r="AW27" s="21">
        <f t="shared" si="13"/>
        <v>0</v>
      </c>
      <c r="AX27" s="21">
        <f t="shared" si="14"/>
        <v>0</v>
      </c>
      <c r="AY27" s="21">
        <f t="shared" si="15"/>
        <v>0</v>
      </c>
      <c r="AZ27" s="22">
        <f t="shared" si="16"/>
        <v>0</v>
      </c>
      <c r="BB27" s="22">
        <f t="shared" si="17"/>
        <v>0</v>
      </c>
      <c r="BC27" s="22">
        <f t="shared" si="18"/>
        <v>1.6963532481784423E-3</v>
      </c>
    </row>
    <row r="28" spans="1:55" customFormat="1" x14ac:dyDescent="0.3">
      <c r="A28" s="1">
        <v>46063</v>
      </c>
      <c r="B28" s="11">
        <v>27.53</v>
      </c>
      <c r="C28" s="11">
        <v>29.58</v>
      </c>
      <c r="D28" s="12">
        <v>1.0744642208499799</v>
      </c>
      <c r="E28" s="12">
        <v>1.07488560571617</v>
      </c>
      <c r="F28" s="12">
        <v>1.07350716047777</v>
      </c>
      <c r="G28" s="12">
        <v>1.07384790556454</v>
      </c>
      <c r="H28" s="11">
        <v>29.591600725366099</v>
      </c>
      <c r="I28" s="11">
        <v>29.550212838355499</v>
      </c>
      <c r="J28" s="11">
        <v>29.560996347817099</v>
      </c>
      <c r="K28" s="13">
        <v>-3.9210450190971702E-4</v>
      </c>
      <c r="L28" s="13">
        <v>1.0075108048610199E-3</v>
      </c>
      <c r="M28" s="13">
        <v>6.4265582287785397E-4</v>
      </c>
      <c r="N28" s="25">
        <v>0</v>
      </c>
      <c r="O28" s="15">
        <v>0</v>
      </c>
      <c r="P28" s="16">
        <v>27.53</v>
      </c>
      <c r="Q28" s="16">
        <v>29.58</v>
      </c>
      <c r="R28" s="17">
        <v>1.0744642208499799</v>
      </c>
      <c r="S28" s="17">
        <v>1.07488560571617</v>
      </c>
      <c r="T28" s="17">
        <v>1.07350716047777</v>
      </c>
      <c r="U28" s="17">
        <v>1.07384790556454</v>
      </c>
      <c r="V28" s="19">
        <v>29.591600725366099</v>
      </c>
      <c r="W28" s="19">
        <v>29.550212838355499</v>
      </c>
      <c r="X28" s="19">
        <v>29.560996347817099</v>
      </c>
      <c r="Y28" s="20">
        <v>-3.9210450190971702E-4</v>
      </c>
      <c r="Z28" s="20">
        <v>1.0075108048610199E-3</v>
      </c>
      <c r="AA28" s="20">
        <v>6.4265582287785397E-4</v>
      </c>
      <c r="AC28" s="21">
        <f t="shared" si="0"/>
        <v>7.2674421803276402E-4</v>
      </c>
      <c r="AD28" s="21">
        <f t="shared" si="0"/>
        <v>1.0147134305463833E-3</v>
      </c>
      <c r="AE28" s="21"/>
      <c r="AF28" s="21"/>
      <c r="AG28" s="15"/>
      <c r="AH28">
        <f t="shared" si="2"/>
        <v>0</v>
      </c>
      <c r="AI28">
        <f t="shared" si="3"/>
        <v>1</v>
      </c>
      <c r="AJ28">
        <f t="shared" si="4"/>
        <v>0</v>
      </c>
      <c r="AK28">
        <f t="shared" si="1"/>
        <v>0</v>
      </c>
      <c r="AL28" s="21">
        <f t="shared" si="5"/>
        <v>0</v>
      </c>
      <c r="AM28" s="21">
        <f t="shared" si="6"/>
        <v>0</v>
      </c>
      <c r="AN28" s="21">
        <f t="shared" si="7"/>
        <v>0</v>
      </c>
      <c r="AO28" s="22">
        <f t="shared" si="8"/>
        <v>1.6963532481784423E-3</v>
      </c>
      <c r="AQ28" s="21"/>
      <c r="AR28" s="15"/>
      <c r="AS28">
        <f t="shared" si="9"/>
        <v>0</v>
      </c>
      <c r="AT28">
        <f t="shared" si="10"/>
        <v>0</v>
      </c>
      <c r="AU28">
        <f t="shared" si="11"/>
        <v>0</v>
      </c>
      <c r="AV28">
        <f t="shared" si="12"/>
        <v>0</v>
      </c>
      <c r="AW28" s="21">
        <f t="shared" si="13"/>
        <v>0</v>
      </c>
      <c r="AX28" s="21">
        <f t="shared" si="14"/>
        <v>0</v>
      </c>
      <c r="AY28" s="21">
        <f t="shared" si="15"/>
        <v>0</v>
      </c>
      <c r="AZ28" s="22">
        <f t="shared" si="16"/>
        <v>0</v>
      </c>
      <c r="BB28" s="22">
        <f t="shared" si="17"/>
        <v>0</v>
      </c>
      <c r="BC28" s="22">
        <f t="shared" si="18"/>
        <v>1.6963532481784423E-3</v>
      </c>
    </row>
    <row r="29" spans="1:55" customFormat="1" x14ac:dyDescent="0.3">
      <c r="A29" s="1">
        <v>46064</v>
      </c>
      <c r="B29" s="11">
        <v>27.53</v>
      </c>
      <c r="C29" s="11">
        <v>29.62</v>
      </c>
      <c r="D29" s="12">
        <v>1.07591718125681</v>
      </c>
      <c r="E29" s="12">
        <v>1.07488560571617</v>
      </c>
      <c r="F29" s="12">
        <v>1.0737720741058101</v>
      </c>
      <c r="G29" s="12">
        <v>1.07391784677932</v>
      </c>
      <c r="H29" s="11">
        <v>29.591600725366099</v>
      </c>
      <c r="I29" s="11">
        <v>29.5536521279531</v>
      </c>
      <c r="J29" s="11">
        <v>29.563032840191902</v>
      </c>
      <c r="K29" s="13">
        <v>9.5924705508935299E-4</v>
      </c>
      <c r="L29" s="13">
        <v>2.24248115384544E-3</v>
      </c>
      <c r="M29" s="13">
        <v>1.92511855739661E-3</v>
      </c>
      <c r="N29" s="25">
        <v>0</v>
      </c>
      <c r="O29" s="15">
        <v>0</v>
      </c>
      <c r="P29" s="16">
        <v>27.53</v>
      </c>
      <c r="Q29" s="16">
        <v>29.62</v>
      </c>
      <c r="R29" s="17">
        <v>1.07591718125681</v>
      </c>
      <c r="S29" s="17">
        <v>1.07488560571617</v>
      </c>
      <c r="T29" s="17">
        <v>1.0737720741058101</v>
      </c>
      <c r="U29" s="17">
        <v>1.07391784677932</v>
      </c>
      <c r="V29" s="19">
        <v>29.591600725366099</v>
      </c>
      <c r="W29" s="19">
        <v>29.5536521279531</v>
      </c>
      <c r="X29" s="19">
        <v>29.563032840191902</v>
      </c>
      <c r="Y29" s="20">
        <v>9.5924705508935299E-4</v>
      </c>
      <c r="Z29" s="20">
        <v>2.24248115384544E-3</v>
      </c>
      <c r="AA29" s="20">
        <v>1.92511855739661E-3</v>
      </c>
      <c r="AC29" s="21">
        <f t="shared" si="0"/>
        <v>0</v>
      </c>
      <c r="AD29" s="21">
        <f t="shared" si="0"/>
        <v>1.3513515569991777E-3</v>
      </c>
      <c r="AE29" s="21"/>
      <c r="AF29" s="21"/>
      <c r="AG29" s="15"/>
      <c r="AH29">
        <f t="shared" si="2"/>
        <v>0</v>
      </c>
      <c r="AI29">
        <f t="shared" si="3"/>
        <v>1</v>
      </c>
      <c r="AJ29">
        <f t="shared" si="4"/>
        <v>0</v>
      </c>
      <c r="AK29">
        <f t="shared" si="1"/>
        <v>0</v>
      </c>
      <c r="AL29" s="21">
        <f t="shared" si="5"/>
        <v>0</v>
      </c>
      <c r="AM29" s="21">
        <f t="shared" si="6"/>
        <v>0</v>
      </c>
      <c r="AN29" s="21">
        <f t="shared" si="7"/>
        <v>0</v>
      </c>
      <c r="AO29" s="22">
        <f t="shared" si="8"/>
        <v>1.6963532481784423E-3</v>
      </c>
      <c r="AQ29" s="21"/>
      <c r="AR29" s="15"/>
      <c r="AS29">
        <f t="shared" si="9"/>
        <v>1</v>
      </c>
      <c r="AT29">
        <f t="shared" si="10"/>
        <v>0</v>
      </c>
      <c r="AU29">
        <f t="shared" si="11"/>
        <v>0</v>
      </c>
      <c r="AV29">
        <f t="shared" si="12"/>
        <v>0</v>
      </c>
      <c r="AW29" s="21">
        <f t="shared" si="13"/>
        <v>0</v>
      </c>
      <c r="AX29" s="21">
        <f t="shared" si="14"/>
        <v>0</v>
      </c>
      <c r="AY29" s="21">
        <f t="shared" si="15"/>
        <v>0</v>
      </c>
      <c r="AZ29" s="22">
        <f t="shared" si="16"/>
        <v>0</v>
      </c>
      <c r="BB29" s="22">
        <f t="shared" si="17"/>
        <v>0</v>
      </c>
      <c r="BC29" s="22">
        <f t="shared" si="18"/>
        <v>1.6963532481784423E-3</v>
      </c>
    </row>
    <row r="30" spans="1:55" customFormat="1" x14ac:dyDescent="0.3">
      <c r="A30" s="1">
        <v>46065</v>
      </c>
      <c r="B30" s="11">
        <v>27.56</v>
      </c>
      <c r="C30" s="11">
        <v>29.66</v>
      </c>
      <c r="D30" s="12">
        <v>1.0761973875181401</v>
      </c>
      <c r="E30" s="12">
        <v>1.07488560571617</v>
      </c>
      <c r="F30" s="12">
        <v>1.07414018124051</v>
      </c>
      <c r="G30" s="12">
        <v>1.0740240124515299</v>
      </c>
      <c r="H30" s="11">
        <v>29.623847293537601</v>
      </c>
      <c r="I30" s="11">
        <v>29.593158362356199</v>
      </c>
      <c r="J30" s="11">
        <v>29.597175857238302</v>
      </c>
      <c r="K30" s="13">
        <v>1.2196479342807499E-3</v>
      </c>
      <c r="L30" s="13">
        <v>2.2561385027906498E-3</v>
      </c>
      <c r="M30" s="13">
        <v>2.12039016005168E-3</v>
      </c>
      <c r="N30" s="25">
        <v>0</v>
      </c>
      <c r="O30" s="15">
        <v>0</v>
      </c>
      <c r="P30" s="16">
        <v>27.56</v>
      </c>
      <c r="Q30" s="16">
        <v>29.66</v>
      </c>
      <c r="R30" s="17">
        <v>1.0761973875181401</v>
      </c>
      <c r="S30" s="17">
        <v>1.07488560571617</v>
      </c>
      <c r="T30" s="17">
        <v>1.07414018124051</v>
      </c>
      <c r="U30" s="17">
        <v>1.0740240124515299</v>
      </c>
      <c r="V30" s="19">
        <v>29.623847293537601</v>
      </c>
      <c r="W30" s="19">
        <v>29.593158362356199</v>
      </c>
      <c r="X30" s="19">
        <v>29.597175857238302</v>
      </c>
      <c r="Y30" s="20">
        <v>1.2196479342807499E-3</v>
      </c>
      <c r="Z30" s="20">
        <v>2.2561385027906498E-3</v>
      </c>
      <c r="AA30" s="20">
        <v>2.12039016005168E-3</v>
      </c>
      <c r="AC30" s="21">
        <f t="shared" si="0"/>
        <v>1.0891269909418561E-3</v>
      </c>
      <c r="AD30" s="21">
        <f t="shared" si="0"/>
        <v>1.3495278701331761E-3</v>
      </c>
      <c r="AE30" s="21"/>
      <c r="AF30" s="21"/>
      <c r="AG30" s="15"/>
      <c r="AH30">
        <f t="shared" si="2"/>
        <v>0</v>
      </c>
      <c r="AI30">
        <f t="shared" si="3"/>
        <v>1</v>
      </c>
      <c r="AJ30">
        <f t="shared" si="4"/>
        <v>0</v>
      </c>
      <c r="AK30">
        <f t="shared" si="1"/>
        <v>0</v>
      </c>
      <c r="AL30" s="21">
        <f t="shared" si="5"/>
        <v>0</v>
      </c>
      <c r="AM30" s="21">
        <f t="shared" si="6"/>
        <v>0</v>
      </c>
      <c r="AN30" s="21">
        <f t="shared" si="7"/>
        <v>0</v>
      </c>
      <c r="AO30" s="22">
        <f t="shared" si="8"/>
        <v>1.6963532481784423E-3</v>
      </c>
      <c r="AQ30" s="21"/>
      <c r="AR30" s="15"/>
      <c r="AS30">
        <f t="shared" si="9"/>
        <v>1</v>
      </c>
      <c r="AT30">
        <f t="shared" si="10"/>
        <v>0</v>
      </c>
      <c r="AU30">
        <f t="shared" si="11"/>
        <v>0</v>
      </c>
      <c r="AV30">
        <f t="shared" si="12"/>
        <v>1</v>
      </c>
      <c r="AW30" s="21">
        <f t="shared" si="13"/>
        <v>1.0891269909418561E-3</v>
      </c>
      <c r="AX30" s="21">
        <f t="shared" si="14"/>
        <v>-1.3495278701331761E-3</v>
      </c>
      <c r="AY30" s="21">
        <f t="shared" si="15"/>
        <v>-2.6040087919132005E-4</v>
      </c>
      <c r="AZ30" s="22">
        <f t="shared" si="16"/>
        <v>-2.6040087919132005E-4</v>
      </c>
      <c r="BB30" s="22">
        <f t="shared" si="17"/>
        <v>-2.6040087919132005E-4</v>
      </c>
      <c r="BC30" s="22">
        <f t="shared" si="18"/>
        <v>1.4359523689871222E-3</v>
      </c>
    </row>
    <row r="31" spans="1:55" customFormat="1" x14ac:dyDescent="0.3">
      <c r="A31" s="1">
        <v>46066</v>
      </c>
      <c r="B31" s="11">
        <v>27.59</v>
      </c>
      <c r="C31" s="11">
        <v>29.7</v>
      </c>
      <c r="D31" s="12">
        <v>1.07647698441464</v>
      </c>
      <c r="E31" s="12">
        <v>1.07488560571617</v>
      </c>
      <c r="F31" s="12">
        <v>1.07446107518433</v>
      </c>
      <c r="G31" s="12">
        <v>1.07414281263485</v>
      </c>
      <c r="H31" s="11">
        <v>29.656093861709099</v>
      </c>
      <c r="I31" s="11">
        <v>29.635527600425799</v>
      </c>
      <c r="J31" s="11">
        <v>29.6323225035378</v>
      </c>
      <c r="K31" s="13">
        <v>1.4794149494116299E-3</v>
      </c>
      <c r="L31" s="13">
        <v>2.1731474398036499E-3</v>
      </c>
      <c r="M31" s="13">
        <v>2.2813037804002702E-3</v>
      </c>
      <c r="N31" s="25">
        <v>0</v>
      </c>
      <c r="O31" s="15">
        <v>0</v>
      </c>
      <c r="P31" s="16">
        <v>27.59</v>
      </c>
      <c r="Q31" s="16">
        <v>29.7</v>
      </c>
      <c r="R31" s="17">
        <v>1.07647698441464</v>
      </c>
      <c r="S31" s="17">
        <v>1.07488560571617</v>
      </c>
      <c r="T31" s="17">
        <v>1.07446107518433</v>
      </c>
      <c r="U31" s="17">
        <v>1.07414281263485</v>
      </c>
      <c r="V31" s="19">
        <v>29.656093861709099</v>
      </c>
      <c r="W31" s="19">
        <v>29.635527600425799</v>
      </c>
      <c r="X31" s="19">
        <v>29.6323225035378</v>
      </c>
      <c r="Y31" s="20">
        <v>1.4794149494116299E-3</v>
      </c>
      <c r="Z31" s="20">
        <v>2.1731474398036499E-3</v>
      </c>
      <c r="AA31" s="20">
        <v>2.2813037804002702E-3</v>
      </c>
      <c r="AC31" s="21">
        <f t="shared" si="0"/>
        <v>1.0879420837369249E-3</v>
      </c>
      <c r="AD31" s="21">
        <f t="shared" si="0"/>
        <v>1.3477090988677778E-3</v>
      </c>
      <c r="AE31" s="21"/>
      <c r="AF31" s="21"/>
      <c r="AG31" s="15"/>
      <c r="AH31">
        <f t="shared" si="2"/>
        <v>0</v>
      </c>
      <c r="AI31">
        <f t="shared" si="3"/>
        <v>1</v>
      </c>
      <c r="AJ31">
        <f t="shared" si="4"/>
        <v>0</v>
      </c>
      <c r="AK31">
        <f t="shared" si="1"/>
        <v>0</v>
      </c>
      <c r="AL31" s="21">
        <f t="shared" si="5"/>
        <v>0</v>
      </c>
      <c r="AM31" s="21">
        <f t="shared" si="6"/>
        <v>0</v>
      </c>
      <c r="AN31" s="21">
        <f t="shared" si="7"/>
        <v>0</v>
      </c>
      <c r="AO31" s="22">
        <f t="shared" si="8"/>
        <v>1.6963532481784423E-3</v>
      </c>
      <c r="AQ31" s="21"/>
      <c r="AR31" s="15"/>
      <c r="AS31">
        <f t="shared" si="9"/>
        <v>1</v>
      </c>
      <c r="AT31">
        <f t="shared" si="10"/>
        <v>0</v>
      </c>
      <c r="AU31">
        <f t="shared" si="11"/>
        <v>1</v>
      </c>
      <c r="AV31">
        <f t="shared" si="12"/>
        <v>1</v>
      </c>
      <c r="AW31" s="21">
        <f t="shared" si="13"/>
        <v>1.0879420837369249E-3</v>
      </c>
      <c r="AX31" s="21">
        <f t="shared" si="14"/>
        <v>-1.3477090988677778E-3</v>
      </c>
      <c r="AY31" s="21">
        <f t="shared" si="15"/>
        <v>-2.5976701513085289E-4</v>
      </c>
      <c r="AZ31" s="22">
        <f t="shared" si="16"/>
        <v>-5.2016789432217294E-4</v>
      </c>
      <c r="BB31" s="22">
        <f t="shared" si="17"/>
        <v>-2.5976701513085289E-4</v>
      </c>
      <c r="BC31" s="22">
        <f t="shared" si="18"/>
        <v>1.1761853538562693E-3</v>
      </c>
    </row>
    <row r="32" spans="1:55" customFormat="1" x14ac:dyDescent="0.3">
      <c r="A32" s="1">
        <v>46070</v>
      </c>
      <c r="B32" s="11">
        <v>27.57</v>
      </c>
      <c r="C32" s="11">
        <v>29.67</v>
      </c>
      <c r="D32" s="12">
        <v>1.0761697497279601</v>
      </c>
      <c r="E32" s="12">
        <v>1.07488560571617</v>
      </c>
      <c r="F32" s="12">
        <v>1.0747556457855401</v>
      </c>
      <c r="G32" s="12">
        <v>1.0742280890787499</v>
      </c>
      <c r="H32" s="11">
        <v>29.634596149594799</v>
      </c>
      <c r="I32" s="11">
        <v>29.6228918428321</v>
      </c>
      <c r="J32" s="11">
        <v>29.614117344342802</v>
      </c>
      <c r="K32" s="13">
        <v>1.19396663697771E-3</v>
      </c>
      <c r="L32" s="13">
        <v>1.5889988029157899E-3</v>
      </c>
      <c r="M32" s="13">
        <v>1.88524936228374E-3</v>
      </c>
      <c r="N32" s="25">
        <v>0</v>
      </c>
      <c r="O32" s="15">
        <v>0</v>
      </c>
      <c r="P32" s="16">
        <v>27.57</v>
      </c>
      <c r="Q32" s="16">
        <v>29.67</v>
      </c>
      <c r="R32" s="17">
        <v>1.0761697497279601</v>
      </c>
      <c r="S32" s="17">
        <v>1.07488560571617</v>
      </c>
      <c r="T32" s="17">
        <v>1.0747556457855401</v>
      </c>
      <c r="U32" s="17">
        <v>1.0742280890787499</v>
      </c>
      <c r="V32" s="19">
        <v>29.634596149594799</v>
      </c>
      <c r="W32" s="19">
        <v>29.6228918428321</v>
      </c>
      <c r="X32" s="19">
        <v>29.614117344342802</v>
      </c>
      <c r="Y32" s="20">
        <v>1.19396663697771E-3</v>
      </c>
      <c r="Z32" s="20">
        <v>1.5889988029157899E-3</v>
      </c>
      <c r="AA32" s="20">
        <v>1.88524936228374E-3</v>
      </c>
      <c r="AC32" s="21">
        <f t="shared" si="0"/>
        <v>-7.2516319348928766E-4</v>
      </c>
      <c r="AD32" s="21">
        <f t="shared" si="0"/>
        <v>-1.010611505923392E-3</v>
      </c>
      <c r="AE32" s="21"/>
      <c r="AF32" s="21"/>
      <c r="AG32" s="15"/>
      <c r="AH32">
        <f t="shared" si="2"/>
        <v>0</v>
      </c>
      <c r="AI32">
        <f t="shared" si="3"/>
        <v>1</v>
      </c>
      <c r="AJ32">
        <f t="shared" si="4"/>
        <v>0</v>
      </c>
      <c r="AK32">
        <f t="shared" si="1"/>
        <v>0</v>
      </c>
      <c r="AL32" s="21">
        <f t="shared" si="5"/>
        <v>0</v>
      </c>
      <c r="AM32" s="21">
        <f t="shared" si="6"/>
        <v>0</v>
      </c>
      <c r="AN32" s="21">
        <f t="shared" si="7"/>
        <v>0</v>
      </c>
      <c r="AO32" s="22">
        <f t="shared" si="8"/>
        <v>1.6963532481784423E-3</v>
      </c>
      <c r="AQ32" s="21"/>
      <c r="AR32" s="15"/>
      <c r="AS32">
        <f t="shared" si="9"/>
        <v>1</v>
      </c>
      <c r="AT32">
        <f t="shared" si="10"/>
        <v>0</v>
      </c>
      <c r="AU32">
        <f t="shared" si="11"/>
        <v>1</v>
      </c>
      <c r="AV32">
        <f t="shared" si="12"/>
        <v>1</v>
      </c>
      <c r="AW32" s="21">
        <f t="shared" si="13"/>
        <v>-7.2516319348928766E-4</v>
      </c>
      <c r="AX32" s="21">
        <f t="shared" si="14"/>
        <v>1.010611505923392E-3</v>
      </c>
      <c r="AY32" s="21">
        <f t="shared" si="15"/>
        <v>2.854483124341043E-4</v>
      </c>
      <c r="AZ32" s="22">
        <f t="shared" si="16"/>
        <v>-2.3471958188806864E-4</v>
      </c>
      <c r="BB32" s="22">
        <f t="shared" si="17"/>
        <v>2.854483124341043E-4</v>
      </c>
      <c r="BC32" s="22">
        <f t="shared" si="18"/>
        <v>1.4616336662903735E-3</v>
      </c>
    </row>
    <row r="33" spans="1:55" customFormat="1" x14ac:dyDescent="0.3">
      <c r="A33" s="1">
        <v>46071</v>
      </c>
      <c r="B33" s="11">
        <v>27.63</v>
      </c>
      <c r="C33" s="11">
        <v>29.71</v>
      </c>
      <c r="D33" s="12">
        <v>1.0752804922185999</v>
      </c>
      <c r="E33" s="12">
        <v>1.07488560571617</v>
      </c>
      <c r="F33" s="12">
        <v>1.0749977205083201</v>
      </c>
      <c r="G33" s="12">
        <v>1.07427626669514</v>
      </c>
      <c r="H33" s="11">
        <v>29.699089285937699</v>
      </c>
      <c r="I33" s="11">
        <v>29.6954984930547</v>
      </c>
      <c r="J33" s="11">
        <v>29.680922101245802</v>
      </c>
      <c r="K33" s="13">
        <v>3.67307909143744E-4</v>
      </c>
      <c r="L33" s="13">
        <v>4.8822104354607798E-4</v>
      </c>
      <c r="M33" s="13">
        <v>9.7920355666359792E-4</v>
      </c>
      <c r="N33" s="25">
        <v>0</v>
      </c>
      <c r="O33" s="15">
        <v>0</v>
      </c>
      <c r="P33" s="16">
        <v>27.63</v>
      </c>
      <c r="Q33" s="16">
        <v>29.71</v>
      </c>
      <c r="R33" s="17">
        <v>1.0752804922185999</v>
      </c>
      <c r="S33" s="17">
        <v>1.07488560571617</v>
      </c>
      <c r="T33" s="17">
        <v>1.0749977205083201</v>
      </c>
      <c r="U33" s="17">
        <v>1.07427626669514</v>
      </c>
      <c r="V33" s="19">
        <v>29.699089285937699</v>
      </c>
      <c r="W33" s="19">
        <v>29.6954984930547</v>
      </c>
      <c r="X33" s="19">
        <v>29.680922101245802</v>
      </c>
      <c r="Y33" s="20">
        <v>3.67307909143744E-4</v>
      </c>
      <c r="Z33" s="20">
        <v>4.8822104354607798E-4</v>
      </c>
      <c r="AA33" s="20">
        <v>9.7920355666359792E-4</v>
      </c>
      <c r="AC33" s="21">
        <f t="shared" si="0"/>
        <v>2.1739138996197454E-3</v>
      </c>
      <c r="AD33" s="21">
        <f t="shared" si="0"/>
        <v>1.3472551717857132E-3</v>
      </c>
      <c r="AE33" s="21"/>
      <c r="AF33" s="21"/>
      <c r="AG33" s="15"/>
      <c r="AH33">
        <f t="shared" si="2"/>
        <v>0</v>
      </c>
      <c r="AI33">
        <f t="shared" si="3"/>
        <v>1</v>
      </c>
      <c r="AJ33">
        <f t="shared" si="4"/>
        <v>0</v>
      </c>
      <c r="AK33">
        <f t="shared" si="1"/>
        <v>0</v>
      </c>
      <c r="AL33" s="21">
        <f t="shared" si="5"/>
        <v>0</v>
      </c>
      <c r="AM33" s="21">
        <f t="shared" si="6"/>
        <v>0</v>
      </c>
      <c r="AN33" s="21">
        <f t="shared" si="7"/>
        <v>0</v>
      </c>
      <c r="AO33" s="22">
        <f t="shared" si="8"/>
        <v>1.6963532481784423E-3</v>
      </c>
      <c r="AQ33" s="21"/>
      <c r="AR33" s="15"/>
      <c r="AS33">
        <f t="shared" si="9"/>
        <v>0</v>
      </c>
      <c r="AT33">
        <f t="shared" si="10"/>
        <v>0</v>
      </c>
      <c r="AU33">
        <f t="shared" si="11"/>
        <v>1</v>
      </c>
      <c r="AV33">
        <f t="shared" si="12"/>
        <v>1</v>
      </c>
      <c r="AW33" s="21">
        <f t="shared" si="13"/>
        <v>2.1739138996197454E-3</v>
      </c>
      <c r="AX33" s="21">
        <f t="shared" si="14"/>
        <v>-1.3472551717857132E-3</v>
      </c>
      <c r="AY33" s="21">
        <f t="shared" si="15"/>
        <v>8.2665872783403227E-4</v>
      </c>
      <c r="AZ33" s="22">
        <f t="shared" si="16"/>
        <v>5.9193914594596363E-4</v>
      </c>
      <c r="BB33" s="22">
        <f t="shared" si="17"/>
        <v>8.2665872783403227E-4</v>
      </c>
      <c r="BC33" s="22">
        <f t="shared" si="18"/>
        <v>2.2882923941244058E-3</v>
      </c>
    </row>
    <row r="34" spans="1:55" customFormat="1" x14ac:dyDescent="0.3">
      <c r="A34" s="1">
        <v>46072</v>
      </c>
      <c r="B34" s="11">
        <v>27.65</v>
      </c>
      <c r="C34" s="11">
        <v>29.75</v>
      </c>
      <c r="D34" s="12">
        <v>1.0759493670886</v>
      </c>
      <c r="E34" s="12">
        <v>1.07488560571617</v>
      </c>
      <c r="F34" s="12">
        <v>1.07526491387048</v>
      </c>
      <c r="G34" s="12">
        <v>1.0743740614913599</v>
      </c>
      <c r="H34" s="11">
        <v>29.720586998052099</v>
      </c>
      <c r="I34" s="11">
        <v>29.723686972054999</v>
      </c>
      <c r="J34" s="11">
        <v>29.703738774120701</v>
      </c>
      <c r="K34" s="13">
        <v>9.8916139324750608E-4</v>
      </c>
      <c r="L34" s="13">
        <v>8.8486290329364403E-4</v>
      </c>
      <c r="M34" s="13">
        <v>1.55620945526141E-3</v>
      </c>
      <c r="N34" s="25">
        <v>0</v>
      </c>
      <c r="O34" s="15">
        <v>0</v>
      </c>
      <c r="P34" s="16">
        <v>27.65</v>
      </c>
      <c r="Q34" s="16">
        <v>29.75</v>
      </c>
      <c r="R34" s="17">
        <v>1.0759493670886</v>
      </c>
      <c r="S34" s="17">
        <v>1.07488560571617</v>
      </c>
      <c r="T34" s="17">
        <v>1.07526491387048</v>
      </c>
      <c r="U34" s="17">
        <v>1.0743740614913599</v>
      </c>
      <c r="V34" s="19">
        <v>29.720586998052099</v>
      </c>
      <c r="W34" s="19">
        <v>29.723686972054999</v>
      </c>
      <c r="X34" s="19">
        <v>29.703738774120701</v>
      </c>
      <c r="Y34" s="20">
        <v>9.8916139324750608E-4</v>
      </c>
      <c r="Z34" s="20">
        <v>8.8486290329364403E-4</v>
      </c>
      <c r="AA34" s="20">
        <v>1.55620945526141E-3</v>
      </c>
      <c r="AC34" s="21">
        <f t="shared" si="0"/>
        <v>7.2358903301863781E-4</v>
      </c>
      <c r="AD34" s="21">
        <f t="shared" si="0"/>
        <v>1.3454425171223819E-3</v>
      </c>
      <c r="AE34" s="21"/>
      <c r="AF34" s="21"/>
      <c r="AG34" s="15"/>
      <c r="AH34">
        <f t="shared" si="2"/>
        <v>0</v>
      </c>
      <c r="AI34">
        <f t="shared" si="3"/>
        <v>1</v>
      </c>
      <c r="AJ34">
        <f t="shared" si="4"/>
        <v>0</v>
      </c>
      <c r="AK34">
        <f t="shared" si="1"/>
        <v>0</v>
      </c>
      <c r="AL34" s="21">
        <f t="shared" si="5"/>
        <v>0</v>
      </c>
      <c r="AM34" s="21">
        <f t="shared" si="6"/>
        <v>0</v>
      </c>
      <c r="AN34" s="21">
        <f t="shared" si="7"/>
        <v>0</v>
      </c>
      <c r="AO34" s="22">
        <f t="shared" si="8"/>
        <v>1.6963532481784423E-3</v>
      </c>
      <c r="AQ34" s="21"/>
      <c r="AR34" s="15"/>
      <c r="AS34">
        <f t="shared" si="9"/>
        <v>1</v>
      </c>
      <c r="AT34">
        <f t="shared" si="10"/>
        <v>0</v>
      </c>
      <c r="AU34">
        <f t="shared" si="11"/>
        <v>1</v>
      </c>
      <c r="AV34">
        <f t="shared" si="12"/>
        <v>1</v>
      </c>
      <c r="AW34" s="21">
        <f t="shared" si="13"/>
        <v>7.2358903301863781E-4</v>
      </c>
      <c r="AX34" s="21">
        <f t="shared" si="14"/>
        <v>-1.3454425171223819E-3</v>
      </c>
      <c r="AY34" s="21">
        <f t="shared" si="15"/>
        <v>-6.2185348410374408E-4</v>
      </c>
      <c r="AZ34" s="22">
        <f t="shared" si="16"/>
        <v>-2.9914338157780449E-5</v>
      </c>
      <c r="BB34" s="22">
        <f t="shared" si="17"/>
        <v>-6.2185348410374408E-4</v>
      </c>
      <c r="BC34" s="22">
        <f t="shared" si="18"/>
        <v>1.6664389100206618E-3</v>
      </c>
    </row>
    <row r="35" spans="1:55" customFormat="1" x14ac:dyDescent="0.3">
      <c r="A35" s="1">
        <v>46073</v>
      </c>
      <c r="B35" s="11">
        <v>27.64</v>
      </c>
      <c r="C35" s="11">
        <v>29.75</v>
      </c>
      <c r="D35" s="12">
        <v>1.07633863965267</v>
      </c>
      <c r="E35" s="12">
        <v>1.07488560571617</v>
      </c>
      <c r="F35" s="12">
        <v>1.07556301141239</v>
      </c>
      <c r="G35" s="12">
        <v>1.07447318426108</v>
      </c>
      <c r="H35" s="11">
        <v>29.709838141994901</v>
      </c>
      <c r="I35" s="11">
        <v>29.720322219380002</v>
      </c>
      <c r="J35" s="11">
        <v>29.695699059621202</v>
      </c>
      <c r="K35" s="13">
        <v>1.35089046212205E-3</v>
      </c>
      <c r="L35" s="13">
        <v>9.9807036437673906E-4</v>
      </c>
      <c r="M35" s="13">
        <v>1.82690947673868E-3</v>
      </c>
      <c r="N35" s="25">
        <v>0</v>
      </c>
      <c r="O35" s="15">
        <v>0</v>
      </c>
      <c r="P35" s="16">
        <v>27.64</v>
      </c>
      <c r="Q35" s="16">
        <v>29.75</v>
      </c>
      <c r="R35" s="17">
        <v>1.07633863965267</v>
      </c>
      <c r="S35" s="17">
        <v>1.07488560571617</v>
      </c>
      <c r="T35" s="17">
        <v>1.07556301141239</v>
      </c>
      <c r="U35" s="17">
        <v>1.07447318426108</v>
      </c>
      <c r="V35" s="19">
        <v>29.709838141994901</v>
      </c>
      <c r="W35" s="19">
        <v>29.720322219380002</v>
      </c>
      <c r="X35" s="19">
        <v>29.695699059621202</v>
      </c>
      <c r="Y35" s="20">
        <v>1.35089046212205E-3</v>
      </c>
      <c r="Z35" s="20">
        <v>9.9807036437673906E-4</v>
      </c>
      <c r="AA35" s="20">
        <v>1.82690947673868E-3</v>
      </c>
      <c r="AC35" s="21">
        <f t="shared" si="0"/>
        <v>-3.6172906887453344E-4</v>
      </c>
      <c r="AD35" s="21">
        <f t="shared" si="0"/>
        <v>0</v>
      </c>
      <c r="AE35" s="21"/>
      <c r="AF35" s="21"/>
      <c r="AG35" s="15"/>
      <c r="AH35">
        <f t="shared" si="2"/>
        <v>0</v>
      </c>
      <c r="AI35">
        <f t="shared" si="3"/>
        <v>1</v>
      </c>
      <c r="AJ35">
        <f t="shared" si="4"/>
        <v>0</v>
      </c>
      <c r="AK35">
        <f t="shared" si="1"/>
        <v>0</v>
      </c>
      <c r="AL35" s="21">
        <f t="shared" si="5"/>
        <v>0</v>
      </c>
      <c r="AM35" s="21">
        <f t="shared" si="6"/>
        <v>0</v>
      </c>
      <c r="AN35" s="21">
        <f t="shared" si="7"/>
        <v>0</v>
      </c>
      <c r="AO35" s="22">
        <f t="shared" si="8"/>
        <v>1.6963532481784423E-3</v>
      </c>
      <c r="AQ35" s="21"/>
      <c r="AR35" s="15"/>
      <c r="AS35">
        <f t="shared" si="9"/>
        <v>1</v>
      </c>
      <c r="AT35">
        <f t="shared" si="10"/>
        <v>0</v>
      </c>
      <c r="AU35">
        <f t="shared" si="11"/>
        <v>1</v>
      </c>
      <c r="AV35">
        <f t="shared" si="12"/>
        <v>1</v>
      </c>
      <c r="AW35" s="21">
        <f t="shared" si="13"/>
        <v>-3.6172906887453344E-4</v>
      </c>
      <c r="AX35" s="21">
        <f t="shared" si="14"/>
        <v>0</v>
      </c>
      <c r="AY35" s="21">
        <f t="shared" si="15"/>
        <v>-3.6172906887453344E-4</v>
      </c>
      <c r="AZ35" s="22">
        <f t="shared" si="16"/>
        <v>-3.9164340703231389E-4</v>
      </c>
      <c r="BB35" s="22">
        <f t="shared" si="17"/>
        <v>-3.6172906887453344E-4</v>
      </c>
      <c r="BC35" s="22">
        <f t="shared" si="18"/>
        <v>1.3047098411461283E-3</v>
      </c>
    </row>
    <row r="36" spans="1:55" customFormat="1" x14ac:dyDescent="0.3">
      <c r="A36" s="1">
        <v>46076</v>
      </c>
      <c r="B36" s="11">
        <v>27.6</v>
      </c>
      <c r="C36" s="11">
        <v>29.7</v>
      </c>
      <c r="D36" s="12">
        <v>1.0760869565217299</v>
      </c>
      <c r="E36" s="12">
        <v>1.07488560571617</v>
      </c>
      <c r="F36" s="12">
        <v>1.07570358320299</v>
      </c>
      <c r="G36" s="12">
        <v>1.07455567297315</v>
      </c>
      <c r="H36" s="11">
        <v>29.666842717766301</v>
      </c>
      <c r="I36" s="11">
        <v>29.6855391149819</v>
      </c>
      <c r="J36" s="11">
        <v>29.655459885605801</v>
      </c>
      <c r="K36" s="13">
        <v>1.1170304555021E-3</v>
      </c>
      <c r="L36" s="13">
        <v>4.8701705901314199E-4</v>
      </c>
      <c r="M36" s="13">
        <v>1.50079277761753E-3</v>
      </c>
      <c r="N36" s="25">
        <v>0</v>
      </c>
      <c r="O36" s="15">
        <v>0</v>
      </c>
      <c r="P36" s="16">
        <v>27.6</v>
      </c>
      <c r="Q36" s="16">
        <v>29.7</v>
      </c>
      <c r="R36" s="17">
        <v>1.0760869565217299</v>
      </c>
      <c r="S36" s="17">
        <v>1.07488560571617</v>
      </c>
      <c r="T36" s="17">
        <v>1.07570358320299</v>
      </c>
      <c r="U36" s="17">
        <v>1.07455567297315</v>
      </c>
      <c r="V36" s="19">
        <v>29.666842717766301</v>
      </c>
      <c r="W36" s="19">
        <v>29.6855391149819</v>
      </c>
      <c r="X36" s="19">
        <v>29.655459885605801</v>
      </c>
      <c r="Y36" s="20">
        <v>1.1170304555021E-3</v>
      </c>
      <c r="Z36" s="20">
        <v>4.8701705901314199E-4</v>
      </c>
      <c r="AA36" s="20">
        <v>1.50079277761753E-3</v>
      </c>
      <c r="AC36" s="21">
        <f t="shared" si="0"/>
        <v>-1.4482261763647637E-3</v>
      </c>
      <c r="AD36" s="21">
        <f t="shared" si="0"/>
        <v>-1.6820861829848262E-3</v>
      </c>
      <c r="AE36" s="21"/>
      <c r="AF36" s="21"/>
      <c r="AG36" s="15"/>
      <c r="AH36">
        <f t="shared" si="2"/>
        <v>0</v>
      </c>
      <c r="AI36">
        <f t="shared" si="3"/>
        <v>1</v>
      </c>
      <c r="AJ36">
        <f t="shared" si="4"/>
        <v>0</v>
      </c>
      <c r="AK36">
        <f t="shared" si="1"/>
        <v>0</v>
      </c>
      <c r="AL36" s="21">
        <f t="shared" si="5"/>
        <v>0</v>
      </c>
      <c r="AM36" s="21">
        <f t="shared" si="6"/>
        <v>0</v>
      </c>
      <c r="AN36" s="21">
        <f t="shared" si="7"/>
        <v>0</v>
      </c>
      <c r="AO36" s="22">
        <f t="shared" si="8"/>
        <v>1.6963532481784423E-3</v>
      </c>
      <c r="AQ36" s="21"/>
      <c r="AR36" s="15"/>
      <c r="AS36">
        <f t="shared" si="9"/>
        <v>1</v>
      </c>
      <c r="AT36">
        <f t="shared" si="10"/>
        <v>0</v>
      </c>
      <c r="AU36">
        <f t="shared" si="11"/>
        <v>1</v>
      </c>
      <c r="AV36">
        <f t="shared" si="12"/>
        <v>1</v>
      </c>
      <c r="AW36" s="21">
        <f t="shared" si="13"/>
        <v>-1.4482261763647637E-3</v>
      </c>
      <c r="AX36" s="21">
        <f t="shared" si="14"/>
        <v>1.6820861829848262E-3</v>
      </c>
      <c r="AY36" s="21">
        <f t="shared" si="15"/>
        <v>2.3386000662006259E-4</v>
      </c>
      <c r="AZ36" s="22">
        <f t="shared" si="16"/>
        <v>-1.5778340041225131E-4</v>
      </c>
      <c r="BB36" s="22">
        <f t="shared" si="17"/>
        <v>2.3386000662006259E-4</v>
      </c>
      <c r="BC36" s="22">
        <f t="shared" si="18"/>
        <v>1.5385698477661908E-3</v>
      </c>
    </row>
    <row r="37" spans="1:55" customFormat="1" x14ac:dyDescent="0.3">
      <c r="A37" s="1">
        <v>46077</v>
      </c>
      <c r="B37" s="11">
        <v>27.59</v>
      </c>
      <c r="C37" s="11">
        <v>29.7</v>
      </c>
      <c r="D37" s="12">
        <v>1.07647698441464</v>
      </c>
      <c r="E37" s="12">
        <v>1.07488560571617</v>
      </c>
      <c r="F37" s="12">
        <v>1.07593579636638</v>
      </c>
      <c r="G37" s="12">
        <v>1.0746590140269101</v>
      </c>
      <c r="H37" s="11">
        <v>29.656093861709099</v>
      </c>
      <c r="I37" s="11">
        <v>29.678661860570699</v>
      </c>
      <c r="J37" s="11">
        <v>29.646991017329199</v>
      </c>
      <c r="K37" s="13">
        <v>1.4794149494116299E-3</v>
      </c>
      <c r="L37" s="13">
        <v>7.1871408614490205E-4</v>
      </c>
      <c r="M37" s="13">
        <v>1.7864089100102E-3</v>
      </c>
      <c r="N37" s="25">
        <v>0</v>
      </c>
      <c r="O37" s="15">
        <v>0</v>
      </c>
      <c r="P37" s="16">
        <v>27.59</v>
      </c>
      <c r="Q37" s="16">
        <v>29.7</v>
      </c>
      <c r="R37" s="17">
        <v>1.07647698441464</v>
      </c>
      <c r="S37" s="17">
        <v>1.07488560571617</v>
      </c>
      <c r="T37" s="17">
        <v>1.07593579636638</v>
      </c>
      <c r="U37" s="17">
        <v>1.0746590140269101</v>
      </c>
      <c r="V37" s="19">
        <v>29.656093861709099</v>
      </c>
      <c r="W37" s="19">
        <v>29.678661860570699</v>
      </c>
      <c r="X37" s="19">
        <v>29.646991017329199</v>
      </c>
      <c r="Y37" s="20">
        <v>1.4794149494116299E-3</v>
      </c>
      <c r="Z37" s="20">
        <v>7.1871408614490205E-4</v>
      </c>
      <c r="AA37" s="20">
        <v>1.7864089100102E-3</v>
      </c>
      <c r="AC37" s="21">
        <f t="shared" si="0"/>
        <v>-3.6238449390969124E-4</v>
      </c>
      <c r="AD37" s="21">
        <f t="shared" si="0"/>
        <v>0</v>
      </c>
      <c r="AE37" s="21"/>
      <c r="AF37" s="21"/>
      <c r="AG37" s="15"/>
      <c r="AH37">
        <f t="shared" si="2"/>
        <v>0</v>
      </c>
      <c r="AI37">
        <f t="shared" si="3"/>
        <v>1</v>
      </c>
      <c r="AJ37">
        <f t="shared" si="4"/>
        <v>0</v>
      </c>
      <c r="AK37">
        <f t="shared" si="1"/>
        <v>0</v>
      </c>
      <c r="AL37" s="21">
        <f t="shared" si="5"/>
        <v>0</v>
      </c>
      <c r="AM37" s="21">
        <f t="shared" si="6"/>
        <v>0</v>
      </c>
      <c r="AN37" s="21">
        <f t="shared" si="7"/>
        <v>0</v>
      </c>
      <c r="AO37" s="22">
        <f t="shared" si="8"/>
        <v>1.6963532481784423E-3</v>
      </c>
      <c r="AQ37" s="21"/>
      <c r="AR37" s="15"/>
      <c r="AS37">
        <f t="shared" si="9"/>
        <v>1</v>
      </c>
      <c r="AT37">
        <f t="shared" si="10"/>
        <v>0</v>
      </c>
      <c r="AU37">
        <f t="shared" si="11"/>
        <v>1</v>
      </c>
      <c r="AV37">
        <f t="shared" si="12"/>
        <v>1</v>
      </c>
      <c r="AW37" s="21">
        <f t="shared" si="13"/>
        <v>-3.6238449390969124E-4</v>
      </c>
      <c r="AX37" s="21">
        <f t="shared" si="14"/>
        <v>0</v>
      </c>
      <c r="AY37" s="21">
        <f t="shared" si="15"/>
        <v>-3.6238449390969124E-4</v>
      </c>
      <c r="AZ37" s="22">
        <f t="shared" si="16"/>
        <v>-5.2016789432194255E-4</v>
      </c>
      <c r="BB37" s="22">
        <f t="shared" si="17"/>
        <v>-3.6238449390969124E-4</v>
      </c>
      <c r="BC37" s="22">
        <f t="shared" si="18"/>
        <v>1.1761853538564996E-3</v>
      </c>
    </row>
    <row r="38" spans="1:55" customFormat="1" x14ac:dyDescent="0.3">
      <c r="A38" s="1">
        <v>46078</v>
      </c>
      <c r="B38" s="11">
        <v>27.62</v>
      </c>
      <c r="C38" s="11">
        <v>29.71</v>
      </c>
      <c r="D38" s="12">
        <v>1.0756698044894999</v>
      </c>
      <c r="E38" s="12">
        <v>1.07488560571617</v>
      </c>
      <c r="F38" s="12">
        <v>1.0760563547303299</v>
      </c>
      <c r="G38" s="12">
        <v>1.0747817576040499</v>
      </c>
      <c r="H38" s="11">
        <v>29.688340429880601</v>
      </c>
      <c r="I38" s="11">
        <v>29.717346695639399</v>
      </c>
      <c r="J38" s="11">
        <v>29.6820819674234</v>
      </c>
      <c r="K38" s="13">
        <v>7.29298863322739E-4</v>
      </c>
      <c r="L38" s="13">
        <v>-2.4724966149021601E-4</v>
      </c>
      <c r="M38" s="13">
        <v>9.4012648514847999E-4</v>
      </c>
      <c r="N38" s="25">
        <v>0</v>
      </c>
      <c r="O38" s="15">
        <v>0</v>
      </c>
      <c r="P38" s="16">
        <v>27.62</v>
      </c>
      <c r="Q38" s="16">
        <v>29.71</v>
      </c>
      <c r="R38" s="17">
        <v>1.0756698044894999</v>
      </c>
      <c r="S38" s="17">
        <v>1.07488560571617</v>
      </c>
      <c r="T38" s="17">
        <v>1.0760563547303299</v>
      </c>
      <c r="U38" s="17">
        <v>1.0747817576040499</v>
      </c>
      <c r="V38" s="19">
        <v>29.688340429880601</v>
      </c>
      <c r="W38" s="19">
        <v>29.717346695639399</v>
      </c>
      <c r="X38" s="19">
        <v>29.6820819674234</v>
      </c>
      <c r="Y38" s="20">
        <v>7.29298863322739E-4</v>
      </c>
      <c r="Z38" s="20">
        <v>-2.4724966149021601E-4</v>
      </c>
      <c r="AA38" s="20">
        <v>9.4012648514847999E-4</v>
      </c>
      <c r="AC38" s="21">
        <f t="shared" si="0"/>
        <v>1.0867597519514821E-3</v>
      </c>
      <c r="AD38" s="21">
        <f t="shared" si="0"/>
        <v>3.3664366586230477E-4</v>
      </c>
      <c r="AE38" s="21"/>
      <c r="AF38" s="21"/>
      <c r="AG38" s="15"/>
      <c r="AH38">
        <f t="shared" si="2"/>
        <v>0</v>
      </c>
      <c r="AI38">
        <f t="shared" si="3"/>
        <v>1</v>
      </c>
      <c r="AJ38">
        <f t="shared" si="4"/>
        <v>0</v>
      </c>
      <c r="AK38">
        <f t="shared" si="1"/>
        <v>0</v>
      </c>
      <c r="AL38" s="21">
        <f t="shared" si="5"/>
        <v>0</v>
      </c>
      <c r="AM38" s="21">
        <f t="shared" si="6"/>
        <v>0</v>
      </c>
      <c r="AN38" s="21">
        <f t="shared" si="7"/>
        <v>0</v>
      </c>
      <c r="AO38" s="22">
        <f t="shared" si="8"/>
        <v>1.6963532481784423E-3</v>
      </c>
      <c r="AQ38" s="21"/>
      <c r="AR38" s="15"/>
      <c r="AS38">
        <f t="shared" si="9"/>
        <v>0</v>
      </c>
      <c r="AT38">
        <f t="shared" si="10"/>
        <v>0</v>
      </c>
      <c r="AU38">
        <f t="shared" si="11"/>
        <v>1</v>
      </c>
      <c r="AV38">
        <f t="shared" si="12"/>
        <v>1</v>
      </c>
      <c r="AW38" s="21">
        <f t="shared" si="13"/>
        <v>1.0867597519514821E-3</v>
      </c>
      <c r="AX38" s="21">
        <f t="shared" si="14"/>
        <v>-3.3664366586230477E-4</v>
      </c>
      <c r="AY38" s="21">
        <f t="shared" si="15"/>
        <v>7.5011608608917734E-4</v>
      </c>
      <c r="AZ38" s="22">
        <f t="shared" si="16"/>
        <v>2.299481917672348E-4</v>
      </c>
      <c r="BB38" s="22">
        <f t="shared" si="17"/>
        <v>7.5011608608917734E-4</v>
      </c>
      <c r="BC38" s="22">
        <f t="shared" si="18"/>
        <v>1.9263014399456769E-3</v>
      </c>
    </row>
    <row r="39" spans="1:55" customFormat="1" x14ac:dyDescent="0.3">
      <c r="A39" s="1">
        <v>46079</v>
      </c>
      <c r="B39" s="11">
        <v>27.64</v>
      </c>
      <c r="C39" s="11">
        <v>29.71</v>
      </c>
      <c r="D39" s="12">
        <v>1.07489146164978</v>
      </c>
      <c r="E39" s="12">
        <v>1.07488560571617</v>
      </c>
      <c r="F39" s="12">
        <v>1.0759537827696299</v>
      </c>
      <c r="G39" s="12">
        <v>1.07486292843772</v>
      </c>
      <c r="H39" s="11">
        <v>29.709838141994901</v>
      </c>
      <c r="I39" s="11">
        <v>29.742197644746401</v>
      </c>
      <c r="J39" s="11">
        <v>29.706967780176001</v>
      </c>
      <c r="K39" s="13">
        <v>5.4479449996201698E-6</v>
      </c>
      <c r="L39" s="13">
        <v>-1.0831440777566701E-3</v>
      </c>
      <c r="M39" s="13">
        <v>1.02065788270636E-4</v>
      </c>
      <c r="N39" s="25">
        <v>0</v>
      </c>
      <c r="O39" s="15">
        <v>0</v>
      </c>
      <c r="P39" s="16">
        <v>27.64</v>
      </c>
      <c r="Q39" s="16">
        <v>29.71</v>
      </c>
      <c r="R39" s="17">
        <v>1.07489146164978</v>
      </c>
      <c r="S39" s="17">
        <v>1.07488560571617</v>
      </c>
      <c r="T39" s="17">
        <v>1.0759537827696299</v>
      </c>
      <c r="U39" s="17">
        <v>1.07486292843772</v>
      </c>
      <c r="V39" s="19">
        <v>29.709838141994901</v>
      </c>
      <c r="W39" s="19">
        <v>29.742197644746401</v>
      </c>
      <c r="X39" s="19">
        <v>29.706967780176001</v>
      </c>
      <c r="Y39" s="20">
        <v>5.4479449996201698E-6</v>
      </c>
      <c r="Z39" s="20">
        <v>-1.0831440777566701E-3</v>
      </c>
      <c r="AA39" s="20">
        <v>1.02065788270636E-4</v>
      </c>
      <c r="AC39" s="21">
        <f t="shared" si="0"/>
        <v>7.238509183230779E-4</v>
      </c>
      <c r="AD39" s="21">
        <f t="shared" si="0"/>
        <v>0</v>
      </c>
      <c r="AE39" s="21"/>
      <c r="AF39" s="21"/>
      <c r="AG39" s="15"/>
      <c r="AH39">
        <f t="shared" si="2"/>
        <v>0</v>
      </c>
      <c r="AI39">
        <f t="shared" si="3"/>
        <v>1</v>
      </c>
      <c r="AJ39">
        <f t="shared" si="4"/>
        <v>0</v>
      </c>
      <c r="AK39">
        <f t="shared" si="1"/>
        <v>0</v>
      </c>
      <c r="AL39" s="21">
        <f t="shared" si="5"/>
        <v>0</v>
      </c>
      <c r="AM39" s="21">
        <f t="shared" si="6"/>
        <v>0</v>
      </c>
      <c r="AN39" s="21">
        <f t="shared" si="7"/>
        <v>0</v>
      </c>
      <c r="AO39" s="22">
        <f t="shared" si="8"/>
        <v>1.6963532481784423E-3</v>
      </c>
      <c r="AQ39" s="21"/>
      <c r="AR39" s="15"/>
      <c r="AS39">
        <f t="shared" si="9"/>
        <v>0</v>
      </c>
      <c r="AT39">
        <f t="shared" si="10"/>
        <v>0</v>
      </c>
      <c r="AU39">
        <f t="shared" si="11"/>
        <v>1</v>
      </c>
      <c r="AV39">
        <f t="shared" si="12"/>
        <v>1</v>
      </c>
      <c r="AW39" s="21">
        <f t="shared" si="13"/>
        <v>7.238509183230779E-4</v>
      </c>
      <c r="AX39" s="21">
        <f t="shared" si="14"/>
        <v>0</v>
      </c>
      <c r="AY39" s="21">
        <f t="shared" si="15"/>
        <v>7.238509183230779E-4</v>
      </c>
      <c r="AZ39" s="22">
        <f t="shared" si="16"/>
        <v>9.537991100903127E-4</v>
      </c>
      <c r="BB39" s="22">
        <f t="shared" si="17"/>
        <v>7.238509183230779E-4</v>
      </c>
      <c r="BC39" s="22">
        <f t="shared" si="18"/>
        <v>2.6501523582687547E-3</v>
      </c>
    </row>
    <row r="40" spans="1:55" customFormat="1" x14ac:dyDescent="0.3">
      <c r="A40" s="1">
        <v>46080</v>
      </c>
      <c r="B40" s="11">
        <v>27.57</v>
      </c>
      <c r="C40" s="11">
        <v>29.63</v>
      </c>
      <c r="D40" s="12">
        <v>1.07471889735219</v>
      </c>
      <c r="E40" s="12">
        <v>1.07488560571617</v>
      </c>
      <c r="F40" s="12">
        <v>1.0758059337530299</v>
      </c>
      <c r="G40" s="12">
        <v>1.07497305749677</v>
      </c>
      <c r="H40" s="11">
        <v>29.634596149594799</v>
      </c>
      <c r="I40" s="11">
        <v>29.664045790958699</v>
      </c>
      <c r="J40" s="11">
        <v>29.633970937028</v>
      </c>
      <c r="K40" s="13">
        <v>-1.5510608027897001E-4</v>
      </c>
      <c r="L40" s="13">
        <v>-1.1483714509969299E-3</v>
      </c>
      <c r="M40" s="13">
        <v>-1.34008469940998E-4</v>
      </c>
      <c r="N40" s="25">
        <v>0</v>
      </c>
      <c r="O40" s="15">
        <v>0</v>
      </c>
      <c r="P40" s="16">
        <v>27.57</v>
      </c>
      <c r="Q40" s="16">
        <v>29.63</v>
      </c>
      <c r="R40" s="17">
        <v>1.07471889735219</v>
      </c>
      <c r="S40" s="17">
        <v>1.07488560571617</v>
      </c>
      <c r="T40" s="17">
        <v>1.0758059337530299</v>
      </c>
      <c r="U40" s="17">
        <v>1.07497305749677</v>
      </c>
      <c r="V40" s="19">
        <v>29.634596149594799</v>
      </c>
      <c r="W40" s="19">
        <v>29.664045790958699</v>
      </c>
      <c r="X40" s="19">
        <v>29.633970937028</v>
      </c>
      <c r="Y40" s="20">
        <v>-1.5510608027897001E-4</v>
      </c>
      <c r="Z40" s="20">
        <v>-1.1483714509969299E-3</v>
      </c>
      <c r="AA40" s="20">
        <v>-1.34008469940998E-4</v>
      </c>
      <c r="AC40" s="21">
        <f t="shared" si="0"/>
        <v>-2.5357738637637409E-3</v>
      </c>
      <c r="AD40" s="21">
        <f t="shared" si="0"/>
        <v>-2.696327889042512E-3</v>
      </c>
      <c r="AE40" s="21"/>
      <c r="AF40" s="21"/>
      <c r="AG40" s="15"/>
      <c r="AH40">
        <f t="shared" si="2"/>
        <v>0</v>
      </c>
      <c r="AI40">
        <f t="shared" si="3"/>
        <v>0</v>
      </c>
      <c r="AJ40">
        <f t="shared" si="4"/>
        <v>0</v>
      </c>
      <c r="AK40" s="26">
        <v>0</v>
      </c>
      <c r="AL40" s="21">
        <f t="shared" si="5"/>
        <v>0</v>
      </c>
      <c r="AM40" s="21">
        <f t="shared" si="6"/>
        <v>0</v>
      </c>
      <c r="AN40" s="21">
        <f t="shared" si="7"/>
        <v>0</v>
      </c>
      <c r="AO40" s="22">
        <f t="shared" si="8"/>
        <v>1.6963532481784423E-3</v>
      </c>
      <c r="AQ40" s="21"/>
      <c r="AR40" s="15"/>
      <c r="AS40">
        <f t="shared" si="9"/>
        <v>0</v>
      </c>
      <c r="AT40">
        <f t="shared" si="10"/>
        <v>1</v>
      </c>
      <c r="AU40">
        <f t="shared" si="11"/>
        <v>1</v>
      </c>
      <c r="AV40">
        <f t="shared" si="12"/>
        <v>1</v>
      </c>
      <c r="AW40" s="21">
        <f t="shared" si="13"/>
        <v>-2.5357738637637409E-3</v>
      </c>
      <c r="AX40" s="21">
        <f t="shared" si="14"/>
        <v>2.696327889042512E-3</v>
      </c>
      <c r="AY40" s="21">
        <f t="shared" si="15"/>
        <v>1.6055402527877108E-4</v>
      </c>
      <c r="AZ40" s="22">
        <f t="shared" si="16"/>
        <v>1.1143531353690838E-3</v>
      </c>
      <c r="BB40" s="22">
        <f t="shared" si="17"/>
        <v>1.6055402527877108E-4</v>
      </c>
      <c r="BC40" s="22">
        <f t="shared" si="18"/>
        <v>2.8107063835475258E-3</v>
      </c>
    </row>
    <row r="41" spans="1:55" customFormat="1" x14ac:dyDescent="0.3">
      <c r="A41" s="1">
        <v>46083</v>
      </c>
      <c r="B41" s="11">
        <v>27.37</v>
      </c>
      <c r="C41" s="11">
        <v>29.5</v>
      </c>
      <c r="D41" s="12">
        <v>1.0778224333211499</v>
      </c>
      <c r="E41" s="12">
        <v>1.07488560571617</v>
      </c>
      <c r="F41" s="12">
        <v>1.0759404786436799</v>
      </c>
      <c r="G41" s="12">
        <v>1.0752007769140099</v>
      </c>
      <c r="H41" s="11">
        <v>29.4196190284515</v>
      </c>
      <c r="I41" s="11">
        <v>29.444808406820499</v>
      </c>
      <c r="J41" s="11">
        <v>29.422012583686701</v>
      </c>
      <c r="K41" s="13">
        <v>2.7284976631389299E-3</v>
      </c>
      <c r="L41" s="13">
        <v>1.8726537858084001E-3</v>
      </c>
      <c r="M41" s="13">
        <v>2.6471418213344601E-3</v>
      </c>
      <c r="N41" s="25">
        <v>0</v>
      </c>
      <c r="O41" s="15">
        <v>0</v>
      </c>
      <c r="P41" s="16">
        <v>27.37</v>
      </c>
      <c r="Q41" s="16">
        <v>29.5</v>
      </c>
      <c r="R41" s="17">
        <v>1.0778224333211499</v>
      </c>
      <c r="S41" s="17">
        <v>1.07488560571617</v>
      </c>
      <c r="T41" s="17">
        <v>1.0759404786436799</v>
      </c>
      <c r="U41" s="17">
        <v>1.0752007769140099</v>
      </c>
      <c r="V41" s="19">
        <v>29.4196190284515</v>
      </c>
      <c r="W41" s="19">
        <v>29.444808406820499</v>
      </c>
      <c r="X41" s="19">
        <v>29.422012583686701</v>
      </c>
      <c r="Y41" s="20">
        <v>2.7284976631389299E-3</v>
      </c>
      <c r="Z41" s="20">
        <v>1.8726537858084001E-3</v>
      </c>
      <c r="AA41" s="20">
        <v>2.6471418213344601E-3</v>
      </c>
      <c r="AC41" s="21">
        <f t="shared" si="0"/>
        <v>-7.2807019831176451E-3</v>
      </c>
      <c r="AD41" s="21">
        <f t="shared" si="0"/>
        <v>-4.3970982396996476E-3</v>
      </c>
      <c r="AE41" s="21"/>
      <c r="AF41" s="21"/>
      <c r="AG41" s="15"/>
      <c r="AH41">
        <f t="shared" si="2"/>
        <v>0</v>
      </c>
      <c r="AI41">
        <f t="shared" si="3"/>
        <v>1</v>
      </c>
      <c r="AJ41">
        <f t="shared" si="4"/>
        <v>0</v>
      </c>
      <c r="AK41">
        <f t="shared" si="1"/>
        <v>0</v>
      </c>
      <c r="AL41" s="21">
        <f t="shared" si="5"/>
        <v>0</v>
      </c>
      <c r="AM41" s="21">
        <f t="shared" si="6"/>
        <v>0</v>
      </c>
      <c r="AN41" s="21">
        <f t="shared" si="7"/>
        <v>0</v>
      </c>
      <c r="AO41" s="22">
        <f t="shared" si="8"/>
        <v>1.6963532481784423E-3</v>
      </c>
      <c r="AQ41" s="21"/>
      <c r="AR41" s="15"/>
      <c r="AS41">
        <f t="shared" si="9"/>
        <v>1</v>
      </c>
      <c r="AT41">
        <f t="shared" si="10"/>
        <v>0</v>
      </c>
      <c r="AU41">
        <f t="shared" si="11"/>
        <v>1</v>
      </c>
      <c r="AV41">
        <f t="shared" si="12"/>
        <v>0</v>
      </c>
      <c r="AW41" s="21">
        <f t="shared" si="13"/>
        <v>0</v>
      </c>
      <c r="AX41" s="21">
        <f t="shared" si="14"/>
        <v>0</v>
      </c>
      <c r="AY41" s="21">
        <f t="shared" si="15"/>
        <v>0</v>
      </c>
      <c r="AZ41" s="22">
        <f t="shared" si="16"/>
        <v>1.1143531353690838E-3</v>
      </c>
      <c r="BB41" s="22">
        <f t="shared" si="17"/>
        <v>0</v>
      </c>
      <c r="BC41" s="22">
        <f t="shared" si="18"/>
        <v>2.8107063835475258E-3</v>
      </c>
    </row>
    <row r="42" spans="1:55" customFormat="1" x14ac:dyDescent="0.3">
      <c r="A42" s="1">
        <v>46084</v>
      </c>
      <c r="B42" s="11">
        <v>27.23</v>
      </c>
      <c r="C42" s="11">
        <v>29.32</v>
      </c>
      <c r="D42" s="12">
        <v>1.07675358060962</v>
      </c>
      <c r="E42" s="12">
        <v>1.07488560571617</v>
      </c>
      <c r="F42" s="12">
        <v>1.0759988617318501</v>
      </c>
      <c r="G42" s="12">
        <v>1.0753772537587001</v>
      </c>
      <c r="H42" s="11">
        <v>29.2691350436513</v>
      </c>
      <c r="I42" s="11">
        <v>29.297859233467499</v>
      </c>
      <c r="J42" s="11">
        <v>29.277717155368499</v>
      </c>
      <c r="K42" s="13">
        <v>1.7363277027350999E-3</v>
      </c>
      <c r="L42" s="13">
        <v>7.5542736888940701E-4</v>
      </c>
      <c r="M42" s="13">
        <v>1.4431569700195501E-3</v>
      </c>
      <c r="N42" s="25">
        <v>0</v>
      </c>
      <c r="O42" s="15">
        <v>0</v>
      </c>
      <c r="P42" s="16">
        <v>27.23</v>
      </c>
      <c r="Q42" s="16">
        <v>29.32</v>
      </c>
      <c r="R42" s="17">
        <v>1.07675358060962</v>
      </c>
      <c r="S42" s="17">
        <v>1.07488560571617</v>
      </c>
      <c r="T42" s="17">
        <v>1.0759988617318501</v>
      </c>
      <c r="U42" s="17">
        <v>1.0753772537587001</v>
      </c>
      <c r="V42" s="19">
        <v>29.2691350436513</v>
      </c>
      <c r="W42" s="19">
        <v>29.297859233467499</v>
      </c>
      <c r="X42" s="19">
        <v>29.277717155368499</v>
      </c>
      <c r="Y42" s="20">
        <v>1.7363277027350999E-3</v>
      </c>
      <c r="Z42" s="20">
        <v>7.5542736888940701E-4</v>
      </c>
      <c r="AA42" s="20">
        <v>1.4431569700195501E-3</v>
      </c>
      <c r="AC42" s="21">
        <f t="shared" si="0"/>
        <v>-5.1282163669194554E-3</v>
      </c>
      <c r="AD42" s="21">
        <f t="shared" si="0"/>
        <v>-6.1203863273234134E-3</v>
      </c>
      <c r="AE42" s="21"/>
      <c r="AF42" s="21"/>
      <c r="AG42" s="15"/>
      <c r="AH42">
        <f t="shared" si="2"/>
        <v>0</v>
      </c>
      <c r="AI42">
        <f t="shared" si="3"/>
        <v>1</v>
      </c>
      <c r="AJ42">
        <f t="shared" si="4"/>
        <v>0</v>
      </c>
      <c r="AK42">
        <f t="shared" si="1"/>
        <v>0</v>
      </c>
      <c r="AL42" s="21">
        <f t="shared" si="5"/>
        <v>0</v>
      </c>
      <c r="AM42" s="21">
        <f t="shared" si="6"/>
        <v>0</v>
      </c>
      <c r="AN42" s="21">
        <f t="shared" si="7"/>
        <v>0</v>
      </c>
      <c r="AO42" s="22">
        <f t="shared" si="8"/>
        <v>1.6963532481784423E-3</v>
      </c>
      <c r="AQ42" s="21"/>
      <c r="AR42" s="15"/>
      <c r="AS42">
        <f t="shared" si="9"/>
        <v>1</v>
      </c>
      <c r="AT42">
        <f t="shared" si="10"/>
        <v>0</v>
      </c>
      <c r="AU42">
        <f t="shared" si="11"/>
        <v>0</v>
      </c>
      <c r="AV42">
        <f t="shared" si="12"/>
        <v>1</v>
      </c>
      <c r="AW42" s="21">
        <f t="shared" si="13"/>
        <v>-5.1282163669194554E-3</v>
      </c>
      <c r="AX42" s="21">
        <f t="shared" si="14"/>
        <v>6.1203863273234134E-3</v>
      </c>
      <c r="AY42" s="21">
        <f t="shared" si="15"/>
        <v>9.9216996040395796E-4</v>
      </c>
      <c r="AZ42" s="22">
        <f t="shared" si="16"/>
        <v>2.1065230957730417E-3</v>
      </c>
      <c r="BB42" s="22">
        <f t="shared" si="17"/>
        <v>9.9216996040395796E-4</v>
      </c>
      <c r="BC42" s="22">
        <f t="shared" si="18"/>
        <v>3.8028763439514838E-3</v>
      </c>
    </row>
    <row r="43" spans="1:55" customFormat="1" x14ac:dyDescent="0.3">
      <c r="A43" s="1">
        <v>46085</v>
      </c>
      <c r="B43" s="11">
        <v>27.33</v>
      </c>
      <c r="C43" s="11">
        <v>29.41</v>
      </c>
      <c r="D43" s="12">
        <v>1.0761068422978399</v>
      </c>
      <c r="E43" s="12">
        <v>1.07488560571617</v>
      </c>
      <c r="F43" s="12">
        <v>1.07608149673977</v>
      </c>
      <c r="G43" s="12">
        <v>1.0755396086240401</v>
      </c>
      <c r="H43" s="11">
        <v>29.3766236042229</v>
      </c>
      <c r="I43" s="11">
        <v>29.407048891131499</v>
      </c>
      <c r="J43" s="11">
        <v>29.390060345225201</v>
      </c>
      <c r="K43" s="13">
        <v>1.1355099958796099E-3</v>
      </c>
      <c r="L43" s="13">
        <v>1.00348756919626E-4</v>
      </c>
      <c r="M43" s="13">
        <v>6.7821888011543395E-4</v>
      </c>
      <c r="N43" s="25">
        <v>0</v>
      </c>
      <c r="O43" s="15">
        <v>0</v>
      </c>
      <c r="P43" s="16">
        <v>27.33</v>
      </c>
      <c r="Q43" s="16">
        <v>29.41</v>
      </c>
      <c r="R43" s="17">
        <v>1.0761068422978399</v>
      </c>
      <c r="S43" s="17">
        <v>1.07488560571617</v>
      </c>
      <c r="T43" s="17">
        <v>1.07608149673977</v>
      </c>
      <c r="U43" s="17">
        <v>1.0755396086240401</v>
      </c>
      <c r="V43" s="19">
        <v>29.3766236042229</v>
      </c>
      <c r="W43" s="19">
        <v>29.407048891131499</v>
      </c>
      <c r="X43" s="19">
        <v>29.390060345225201</v>
      </c>
      <c r="Y43" s="20">
        <v>1.1355099958796099E-3</v>
      </c>
      <c r="Z43" s="20">
        <v>1.00348756919626E-4</v>
      </c>
      <c r="AA43" s="20">
        <v>6.7821888011543395E-4</v>
      </c>
      <c r="AC43" s="21">
        <f t="shared" si="0"/>
        <v>3.6656932543082609E-3</v>
      </c>
      <c r="AD43" s="21">
        <f t="shared" si="0"/>
        <v>3.0648755474529431E-3</v>
      </c>
      <c r="AE43" s="21"/>
      <c r="AF43" s="21"/>
      <c r="AG43" s="15"/>
      <c r="AH43">
        <f t="shared" si="2"/>
        <v>0</v>
      </c>
      <c r="AI43">
        <f t="shared" si="3"/>
        <v>1</v>
      </c>
      <c r="AJ43">
        <f t="shared" si="4"/>
        <v>0</v>
      </c>
      <c r="AK43">
        <f t="shared" si="1"/>
        <v>0</v>
      </c>
      <c r="AL43" s="21">
        <f t="shared" si="5"/>
        <v>0</v>
      </c>
      <c r="AM43" s="21">
        <f t="shared" si="6"/>
        <v>0</v>
      </c>
      <c r="AN43" s="21">
        <f t="shared" si="7"/>
        <v>0</v>
      </c>
      <c r="AO43" s="22">
        <f t="shared" si="8"/>
        <v>1.6963532481784423E-3</v>
      </c>
      <c r="AQ43" s="21"/>
      <c r="AR43" s="15"/>
      <c r="AS43">
        <f t="shared" si="9"/>
        <v>0</v>
      </c>
      <c r="AT43">
        <f t="shared" si="10"/>
        <v>0</v>
      </c>
      <c r="AU43">
        <f t="shared" si="11"/>
        <v>1</v>
      </c>
      <c r="AV43">
        <f t="shared" si="12"/>
        <v>1</v>
      </c>
      <c r="AW43" s="21">
        <f t="shared" si="13"/>
        <v>3.6656932543082609E-3</v>
      </c>
      <c r="AX43" s="21">
        <f t="shared" si="14"/>
        <v>-3.0648755474529431E-3</v>
      </c>
      <c r="AY43" s="21">
        <f t="shared" si="15"/>
        <v>6.0081770685531779E-4</v>
      </c>
      <c r="AZ43" s="22">
        <f t="shared" si="16"/>
        <v>2.7073408026283595E-3</v>
      </c>
      <c r="BB43" s="22">
        <f t="shared" si="17"/>
        <v>6.0081770685531779E-4</v>
      </c>
      <c r="BC43" s="22">
        <f t="shared" si="18"/>
        <v>4.4036940508068011E-3</v>
      </c>
    </row>
    <row r="44" spans="1:55" customFormat="1" x14ac:dyDescent="0.3">
      <c r="A44" s="1">
        <v>46086</v>
      </c>
      <c r="B44" s="11">
        <v>27.19</v>
      </c>
      <c r="C44" s="11">
        <v>29.23</v>
      </c>
      <c r="D44" s="12">
        <v>1.0750275836704599</v>
      </c>
      <c r="E44" s="12">
        <v>1.07488560571617</v>
      </c>
      <c r="F44" s="12">
        <v>1.0759893183979601</v>
      </c>
      <c r="G44" s="12">
        <v>1.0756271161342199</v>
      </c>
      <c r="H44" s="11">
        <v>29.2261396194226</v>
      </c>
      <c r="I44" s="11">
        <v>29.258655896354501</v>
      </c>
      <c r="J44" s="11">
        <v>29.2439219584878</v>
      </c>
      <c r="K44" s="13">
        <v>1.3207784872766199E-4</v>
      </c>
      <c r="L44" s="13">
        <v>-9.7987885712946007E-4</v>
      </c>
      <c r="M44" s="13">
        <v>-4.7617667105750999E-4</v>
      </c>
      <c r="N44" s="25">
        <v>0</v>
      </c>
      <c r="O44" s="15">
        <v>0</v>
      </c>
      <c r="P44" s="16">
        <v>27.19</v>
      </c>
      <c r="Q44" s="16">
        <v>29.23</v>
      </c>
      <c r="R44" s="17">
        <v>1.0750275836704599</v>
      </c>
      <c r="S44" s="17">
        <v>1.07488560571617</v>
      </c>
      <c r="T44" s="17">
        <v>1.0759893183979601</v>
      </c>
      <c r="U44" s="17">
        <v>1.0756271161342199</v>
      </c>
      <c r="V44" s="19">
        <v>29.2261396194226</v>
      </c>
      <c r="W44" s="19">
        <v>29.258655896354501</v>
      </c>
      <c r="X44" s="19">
        <v>29.2439219584878</v>
      </c>
      <c r="Y44" s="20">
        <v>1.3207784872766199E-4</v>
      </c>
      <c r="Z44" s="20">
        <v>-9.7987885712946007E-4</v>
      </c>
      <c r="AA44" s="20">
        <v>-4.7617667105750999E-4</v>
      </c>
      <c r="AC44" s="21">
        <f t="shared" si="0"/>
        <v>-5.1357412955972325E-3</v>
      </c>
      <c r="AD44" s="21">
        <f t="shared" si="0"/>
        <v>-6.1391734427491181E-3</v>
      </c>
      <c r="AE44" s="21"/>
      <c r="AF44" s="21"/>
      <c r="AG44" s="15"/>
      <c r="AH44">
        <f t="shared" si="2"/>
        <v>0</v>
      </c>
      <c r="AI44">
        <f t="shared" si="3"/>
        <v>0</v>
      </c>
      <c r="AJ44">
        <f t="shared" si="4"/>
        <v>0</v>
      </c>
      <c r="AK44">
        <f t="shared" si="1"/>
        <v>0</v>
      </c>
      <c r="AL44" s="21">
        <f t="shared" si="5"/>
        <v>0</v>
      </c>
      <c r="AM44" s="21">
        <f t="shared" si="6"/>
        <v>0</v>
      </c>
      <c r="AN44" s="21">
        <f t="shared" si="7"/>
        <v>0</v>
      </c>
      <c r="AO44" s="22">
        <f t="shared" si="8"/>
        <v>1.6963532481784423E-3</v>
      </c>
      <c r="AQ44" s="21"/>
      <c r="AR44" s="15"/>
      <c r="AS44">
        <f t="shared" si="9"/>
        <v>0</v>
      </c>
      <c r="AT44">
        <f t="shared" si="10"/>
        <v>1</v>
      </c>
      <c r="AU44">
        <f t="shared" si="11"/>
        <v>1</v>
      </c>
      <c r="AV44">
        <f t="shared" si="12"/>
        <v>1</v>
      </c>
      <c r="AW44" s="21">
        <f t="shared" si="13"/>
        <v>-5.1357412955972325E-3</v>
      </c>
      <c r="AX44" s="21">
        <f t="shared" si="14"/>
        <v>6.1391734427491181E-3</v>
      </c>
      <c r="AY44" s="21">
        <f t="shared" si="15"/>
        <v>1.0034321471518856E-3</v>
      </c>
      <c r="AZ44" s="22">
        <f t="shared" si="16"/>
        <v>3.7107729497802451E-3</v>
      </c>
      <c r="BB44" s="22">
        <f t="shared" si="17"/>
        <v>1.0034321471518856E-3</v>
      </c>
      <c r="BC44" s="22">
        <f t="shared" si="18"/>
        <v>5.4071261979586867E-3</v>
      </c>
    </row>
    <row r="45" spans="1:55" customFormat="1" x14ac:dyDescent="0.3">
      <c r="A45" s="1">
        <v>46087</v>
      </c>
      <c r="B45" s="11">
        <v>26.98</v>
      </c>
      <c r="C45" s="11">
        <v>29.05</v>
      </c>
      <c r="D45" s="12">
        <v>1.0767234988880601</v>
      </c>
      <c r="E45" s="12">
        <v>1.07488560571617</v>
      </c>
      <c r="F45" s="12">
        <v>1.0760278043214999</v>
      </c>
      <c r="G45" s="12">
        <v>1.0757954078669401</v>
      </c>
      <c r="H45" s="11">
        <v>29.000413642222199</v>
      </c>
      <c r="I45" s="11">
        <v>29.030191810377001</v>
      </c>
      <c r="J45" s="11">
        <v>29.020419593301199</v>
      </c>
      <c r="K45" s="13">
        <v>1.7083898882629301E-3</v>
      </c>
      <c r="L45" s="13">
        <v>6.8209796743241705E-4</v>
      </c>
      <c r="M45" s="13">
        <v>1.0187771834388999E-3</v>
      </c>
      <c r="N45" s="25">
        <v>0</v>
      </c>
      <c r="O45" s="15">
        <v>0</v>
      </c>
      <c r="P45" s="16">
        <v>26.98</v>
      </c>
      <c r="Q45" s="16">
        <v>29.05</v>
      </c>
      <c r="R45" s="17">
        <v>1.0767234988880601</v>
      </c>
      <c r="S45" s="17">
        <v>1.07488560571617</v>
      </c>
      <c r="T45" s="17">
        <v>1.0760278043214999</v>
      </c>
      <c r="U45" s="17">
        <v>1.0757954078669401</v>
      </c>
      <c r="V45" s="19">
        <v>29.000413642222199</v>
      </c>
      <c r="W45" s="19">
        <v>29.030191810377001</v>
      </c>
      <c r="X45" s="19">
        <v>29.020419593301199</v>
      </c>
      <c r="Y45" s="20">
        <v>1.7083898882629301E-3</v>
      </c>
      <c r="Z45" s="20">
        <v>6.8209796743241705E-4</v>
      </c>
      <c r="AA45" s="20">
        <v>1.0187771834388999E-3</v>
      </c>
      <c r="AC45" s="21">
        <f t="shared" si="0"/>
        <v>-7.7534078647695298E-3</v>
      </c>
      <c r="AD45" s="21">
        <f t="shared" si="0"/>
        <v>-6.1770958252342989E-3</v>
      </c>
      <c r="AE45" s="21"/>
      <c r="AF45" s="21"/>
      <c r="AG45" s="15"/>
      <c r="AH45">
        <f t="shared" si="2"/>
        <v>0</v>
      </c>
      <c r="AI45">
        <f t="shared" si="3"/>
        <v>1</v>
      </c>
      <c r="AJ45">
        <f t="shared" si="4"/>
        <v>0</v>
      </c>
      <c r="AK45">
        <f t="shared" si="1"/>
        <v>0</v>
      </c>
      <c r="AL45" s="21">
        <f t="shared" si="5"/>
        <v>0</v>
      </c>
      <c r="AM45" s="21">
        <f t="shared" si="6"/>
        <v>0</v>
      </c>
      <c r="AN45" s="21">
        <f t="shared" si="7"/>
        <v>0</v>
      </c>
      <c r="AO45" s="22">
        <f t="shared" si="8"/>
        <v>1.6963532481784423E-3</v>
      </c>
      <c r="AQ45" s="21"/>
      <c r="AR45" s="15"/>
      <c r="AS45">
        <f t="shared" si="9"/>
        <v>1</v>
      </c>
      <c r="AT45">
        <f t="shared" si="10"/>
        <v>0</v>
      </c>
      <c r="AU45">
        <f t="shared" si="11"/>
        <v>1</v>
      </c>
      <c r="AV45">
        <f t="shared" si="12"/>
        <v>0</v>
      </c>
      <c r="AW45" s="21">
        <f t="shared" si="13"/>
        <v>0</v>
      </c>
      <c r="AX45" s="21">
        <f t="shared" si="14"/>
        <v>0</v>
      </c>
      <c r="AY45" s="21">
        <f t="shared" si="15"/>
        <v>0</v>
      </c>
      <c r="AZ45" s="22">
        <f t="shared" si="16"/>
        <v>3.7107729497802451E-3</v>
      </c>
      <c r="BB45" s="22">
        <f t="shared" si="17"/>
        <v>0</v>
      </c>
      <c r="BC45" s="22">
        <f t="shared" si="18"/>
        <v>5.4071261979586867E-3</v>
      </c>
    </row>
    <row r="46" spans="1:55" customFormat="1" x14ac:dyDescent="0.3">
      <c r="A46" s="1">
        <v>46090</v>
      </c>
      <c r="B46" s="11">
        <v>27.12</v>
      </c>
      <c r="C46" s="11">
        <v>29.17</v>
      </c>
      <c r="D46" s="12">
        <v>1.07558997050147</v>
      </c>
      <c r="E46" s="12">
        <v>1.07488560571617</v>
      </c>
      <c r="F46" s="12">
        <v>1.0759781057194699</v>
      </c>
      <c r="G46" s="12">
        <v>1.07584084446123</v>
      </c>
      <c r="H46" s="11">
        <v>29.150897627022498</v>
      </c>
      <c r="I46" s="11">
        <v>29.181874053199099</v>
      </c>
      <c r="J46" s="11">
        <v>29.175571461351499</v>
      </c>
      <c r="K46" s="13">
        <v>6.5507817738792002E-4</v>
      </c>
      <c r="L46" s="13">
        <v>-4.0698104579054502E-4</v>
      </c>
      <c r="M46" s="13">
        <v>-1.9098146539503E-4</v>
      </c>
      <c r="N46" s="25">
        <v>0</v>
      </c>
      <c r="O46" s="15">
        <v>0</v>
      </c>
      <c r="P46" s="16">
        <v>27.12</v>
      </c>
      <c r="Q46" s="16">
        <v>29.17</v>
      </c>
      <c r="R46" s="17">
        <v>1.07558997050147</v>
      </c>
      <c r="S46" s="17">
        <v>1.07488560571617</v>
      </c>
      <c r="T46" s="17">
        <v>1.0759781057194699</v>
      </c>
      <c r="U46" s="17">
        <v>1.07584084446123</v>
      </c>
      <c r="V46" s="19">
        <v>29.150897627022498</v>
      </c>
      <c r="W46" s="19">
        <v>29.181874053199099</v>
      </c>
      <c r="X46" s="19">
        <v>29.175571461351499</v>
      </c>
      <c r="Y46" s="20">
        <v>6.5507817738792002E-4</v>
      </c>
      <c r="Z46" s="20">
        <v>-4.0698104579054502E-4</v>
      </c>
      <c r="AA46" s="20">
        <v>-1.9098146539503E-4</v>
      </c>
      <c r="AC46" s="21">
        <f t="shared" si="0"/>
        <v>5.1756122925851068E-3</v>
      </c>
      <c r="AD46" s="21">
        <f t="shared" si="0"/>
        <v>4.122300581709753E-3</v>
      </c>
      <c r="AE46" s="21"/>
      <c r="AF46" s="21"/>
      <c r="AG46" s="15"/>
      <c r="AH46">
        <f t="shared" si="2"/>
        <v>0</v>
      </c>
      <c r="AI46">
        <f t="shared" si="3"/>
        <v>0</v>
      </c>
      <c r="AJ46">
        <f t="shared" si="4"/>
        <v>0</v>
      </c>
      <c r="AK46">
        <f t="shared" si="1"/>
        <v>0</v>
      </c>
      <c r="AL46" s="21">
        <f t="shared" si="5"/>
        <v>0</v>
      </c>
      <c r="AM46" s="21">
        <f t="shared" si="6"/>
        <v>0</v>
      </c>
      <c r="AN46" s="21">
        <f t="shared" si="7"/>
        <v>0</v>
      </c>
      <c r="AO46" s="22">
        <f t="shared" si="8"/>
        <v>1.6963532481784423E-3</v>
      </c>
      <c r="AQ46" s="21"/>
      <c r="AR46" s="15"/>
      <c r="AS46">
        <f t="shared" si="9"/>
        <v>0</v>
      </c>
      <c r="AT46">
        <f t="shared" si="10"/>
        <v>1</v>
      </c>
      <c r="AU46">
        <f t="shared" si="11"/>
        <v>0</v>
      </c>
      <c r="AV46">
        <f t="shared" si="12"/>
        <v>1</v>
      </c>
      <c r="AW46" s="21">
        <f t="shared" si="13"/>
        <v>5.1756122925851068E-3</v>
      </c>
      <c r="AX46" s="21">
        <f t="shared" si="14"/>
        <v>-4.122300581709753E-3</v>
      </c>
      <c r="AY46" s="21">
        <f t="shared" si="15"/>
        <v>1.0533117108753537E-3</v>
      </c>
      <c r="AZ46" s="22">
        <f t="shared" si="16"/>
        <v>4.7640846606555988E-3</v>
      </c>
      <c r="BB46" s="22">
        <f t="shared" si="17"/>
        <v>1.0533117108753537E-3</v>
      </c>
      <c r="BC46" s="22">
        <f t="shared" si="18"/>
        <v>6.4604379088340404E-3</v>
      </c>
    </row>
    <row r="47" spans="1:55" customFormat="1" x14ac:dyDescent="0.3">
      <c r="A47" s="1">
        <v>46091</v>
      </c>
      <c r="B47" s="11">
        <v>27.06</v>
      </c>
      <c r="C47" s="11">
        <v>29.12</v>
      </c>
      <c r="D47" s="12">
        <v>1.0761271249076101</v>
      </c>
      <c r="E47" s="12">
        <v>1.07488560571617</v>
      </c>
      <c r="F47" s="12">
        <v>1.0759431197687701</v>
      </c>
      <c r="G47" s="12">
        <v>1.0759394580675701</v>
      </c>
      <c r="H47" s="11">
        <v>29.086404490679499</v>
      </c>
      <c r="I47" s="11">
        <v>29.115967540768899</v>
      </c>
      <c r="J47" s="11">
        <v>29.112253251121</v>
      </c>
      <c r="K47" s="13">
        <v>1.1543579557958101E-3</v>
      </c>
      <c r="L47" s="13">
        <v>1.3848689762520499E-4</v>
      </c>
      <c r="M47" s="13">
        <v>2.6606385609874699E-4</v>
      </c>
      <c r="N47" s="25">
        <v>0</v>
      </c>
      <c r="O47" s="15">
        <v>0</v>
      </c>
      <c r="P47" s="16">
        <v>27.06</v>
      </c>
      <c r="Q47" s="16">
        <v>29.12</v>
      </c>
      <c r="R47" s="17">
        <v>1.0761271249076101</v>
      </c>
      <c r="S47" s="17">
        <v>1.07488560571617</v>
      </c>
      <c r="T47" s="17">
        <v>1.0759431197687701</v>
      </c>
      <c r="U47" s="17">
        <v>1.0759394580675701</v>
      </c>
      <c r="V47" s="19">
        <v>29.086404490679499</v>
      </c>
      <c r="W47" s="19">
        <v>29.115967540768899</v>
      </c>
      <c r="X47" s="19">
        <v>29.112253251121</v>
      </c>
      <c r="Y47" s="20">
        <v>1.1543579557958101E-3</v>
      </c>
      <c r="Z47" s="20">
        <v>1.3848689762520499E-4</v>
      </c>
      <c r="AA47" s="20">
        <v>2.6606385609874699E-4</v>
      </c>
      <c r="AC47" s="21">
        <f t="shared" si="0"/>
        <v>-2.2148403295528985E-3</v>
      </c>
      <c r="AD47" s="21">
        <f t="shared" si="0"/>
        <v>-1.7155605511448035E-3</v>
      </c>
      <c r="AE47" s="21"/>
      <c r="AF47" s="21"/>
      <c r="AG47" s="15"/>
      <c r="AH47">
        <f t="shared" si="2"/>
        <v>0</v>
      </c>
      <c r="AI47">
        <f t="shared" si="3"/>
        <v>1</v>
      </c>
      <c r="AJ47">
        <f t="shared" si="4"/>
        <v>0</v>
      </c>
      <c r="AK47">
        <f t="shared" si="1"/>
        <v>0</v>
      </c>
      <c r="AL47" s="21">
        <f t="shared" si="5"/>
        <v>0</v>
      </c>
      <c r="AM47" s="21">
        <f t="shared" si="6"/>
        <v>0</v>
      </c>
      <c r="AN47" s="21">
        <f t="shared" si="7"/>
        <v>0</v>
      </c>
      <c r="AO47" s="22">
        <f t="shared" si="8"/>
        <v>1.6963532481784423E-3</v>
      </c>
      <c r="AQ47" s="21"/>
      <c r="AR47" s="15"/>
      <c r="AS47">
        <f t="shared" si="9"/>
        <v>0</v>
      </c>
      <c r="AT47">
        <f t="shared" si="10"/>
        <v>0</v>
      </c>
      <c r="AU47">
        <f t="shared" si="11"/>
        <v>1</v>
      </c>
      <c r="AV47">
        <f t="shared" si="12"/>
        <v>0</v>
      </c>
      <c r="AW47" s="21">
        <f t="shared" si="13"/>
        <v>0</v>
      </c>
      <c r="AX47" s="21">
        <f t="shared" si="14"/>
        <v>0</v>
      </c>
      <c r="AY47" s="21">
        <f t="shared" si="15"/>
        <v>0</v>
      </c>
      <c r="AZ47" s="22">
        <f t="shared" si="16"/>
        <v>4.7640846606555988E-3</v>
      </c>
      <c r="BB47" s="22">
        <f t="shared" si="17"/>
        <v>0</v>
      </c>
      <c r="BC47" s="22">
        <f t="shared" si="18"/>
        <v>6.4604379088340404E-3</v>
      </c>
    </row>
    <row r="48" spans="1:55" customFormat="1" x14ac:dyDescent="0.3">
      <c r="A48" s="1">
        <v>46092</v>
      </c>
      <c r="B48" s="11">
        <v>26.96</v>
      </c>
      <c r="C48" s="11">
        <v>29.02</v>
      </c>
      <c r="D48" s="12">
        <v>1.07640949554896</v>
      </c>
      <c r="E48" s="12">
        <v>1.07488560571617</v>
      </c>
      <c r="F48" s="12">
        <v>1.07601708887471</v>
      </c>
      <c r="G48" s="12">
        <v>1.07603672180252</v>
      </c>
      <c r="H48" s="11">
        <v>28.978915930107899</v>
      </c>
      <c r="I48" s="11">
        <v>29.007426508965999</v>
      </c>
      <c r="J48" s="11">
        <v>29.007327789501801</v>
      </c>
      <c r="K48" s="13">
        <v>1.41671878188801E-3</v>
      </c>
      <c r="L48" s="13">
        <v>4.3336373805074203E-4</v>
      </c>
      <c r="M48" s="13">
        <v>4.3676699177186298E-4</v>
      </c>
      <c r="N48" s="25">
        <v>0</v>
      </c>
      <c r="O48" s="15">
        <v>0</v>
      </c>
      <c r="P48" s="16">
        <v>26.96</v>
      </c>
      <c r="Q48" s="16">
        <v>29.02</v>
      </c>
      <c r="R48" s="17">
        <v>1.07640949554896</v>
      </c>
      <c r="S48" s="17">
        <v>1.07488560571617</v>
      </c>
      <c r="T48" s="17">
        <v>1.07601708887471</v>
      </c>
      <c r="U48" s="17">
        <v>1.07603672180252</v>
      </c>
      <c r="V48" s="19">
        <v>28.978915930107899</v>
      </c>
      <c r="W48" s="19">
        <v>29.007426508965999</v>
      </c>
      <c r="X48" s="19">
        <v>29.007327789501801</v>
      </c>
      <c r="Y48" s="20">
        <v>1.41671878188801E-3</v>
      </c>
      <c r="Z48" s="20">
        <v>4.3336373805074203E-4</v>
      </c>
      <c r="AA48" s="20">
        <v>4.3676699177186298E-4</v>
      </c>
      <c r="AC48" s="21">
        <f t="shared" si="0"/>
        <v>-3.7023366985356656E-3</v>
      </c>
      <c r="AD48" s="21">
        <f t="shared" si="0"/>
        <v>-3.4399758724435315E-3</v>
      </c>
      <c r="AE48" s="21"/>
      <c r="AF48" s="21"/>
      <c r="AG48" s="15"/>
      <c r="AH48">
        <f t="shared" si="2"/>
        <v>0</v>
      </c>
      <c r="AI48">
        <f t="shared" si="3"/>
        <v>1</v>
      </c>
      <c r="AJ48">
        <f t="shared" si="4"/>
        <v>0</v>
      </c>
      <c r="AK48">
        <f t="shared" si="1"/>
        <v>0</v>
      </c>
      <c r="AL48" s="21">
        <f t="shared" si="5"/>
        <v>0</v>
      </c>
      <c r="AM48" s="21">
        <f t="shared" si="6"/>
        <v>0</v>
      </c>
      <c r="AN48" s="21">
        <f t="shared" si="7"/>
        <v>0</v>
      </c>
      <c r="AO48" s="22">
        <f t="shared" si="8"/>
        <v>1.6963532481784423E-3</v>
      </c>
      <c r="AQ48" s="21"/>
      <c r="AR48" s="15"/>
      <c r="AS48">
        <f t="shared" si="9"/>
        <v>0</v>
      </c>
      <c r="AT48">
        <f t="shared" si="10"/>
        <v>0</v>
      </c>
      <c r="AU48">
        <f t="shared" si="11"/>
        <v>0</v>
      </c>
      <c r="AV48">
        <f t="shared" si="12"/>
        <v>1</v>
      </c>
      <c r="AW48" s="21">
        <f t="shared" si="13"/>
        <v>-3.7023366985356656E-3</v>
      </c>
      <c r="AX48" s="21">
        <f t="shared" si="14"/>
        <v>3.4399758724435315E-3</v>
      </c>
      <c r="AY48" s="21">
        <f t="shared" si="15"/>
        <v>-2.6236082609213405E-4</v>
      </c>
      <c r="AZ48" s="22">
        <f t="shared" si="16"/>
        <v>4.5017238345634644E-3</v>
      </c>
      <c r="BB48" s="22">
        <f t="shared" si="17"/>
        <v>-2.6236082609213405E-4</v>
      </c>
      <c r="BC48" s="22">
        <f t="shared" si="18"/>
        <v>6.1980770827419068E-3</v>
      </c>
    </row>
    <row r="49" spans="1:55" customFormat="1" x14ac:dyDescent="0.3">
      <c r="A49" s="1">
        <v>46093</v>
      </c>
      <c r="B49" s="11">
        <v>26.75</v>
      </c>
      <c r="C49" s="11">
        <v>28.82</v>
      </c>
      <c r="D49" s="12">
        <v>1.0773831775700899</v>
      </c>
      <c r="E49" s="12">
        <v>1.07488560571617</v>
      </c>
      <c r="F49" s="12">
        <v>1.0762662604667399</v>
      </c>
      <c r="G49" s="12">
        <v>1.07611002161818</v>
      </c>
      <c r="H49" s="11">
        <v>28.753189952907501</v>
      </c>
      <c r="I49" s="11">
        <v>28.783457127398599</v>
      </c>
      <c r="J49" s="11">
        <v>28.783982308217499</v>
      </c>
      <c r="K49" s="13">
        <v>2.3208745993130498E-3</v>
      </c>
      <c r="L49" s="13">
        <v>1.26877376205646E-3</v>
      </c>
      <c r="M49" s="13">
        <v>1.2505280028557301E-3</v>
      </c>
      <c r="N49" s="25">
        <v>0</v>
      </c>
      <c r="O49" s="15">
        <v>0</v>
      </c>
      <c r="P49" s="16">
        <v>26.75</v>
      </c>
      <c r="Q49" s="16">
        <v>28.82</v>
      </c>
      <c r="R49" s="17">
        <v>1.0773831775700899</v>
      </c>
      <c r="S49" s="17">
        <v>1.07488560571617</v>
      </c>
      <c r="T49" s="17">
        <v>1.0762662604667399</v>
      </c>
      <c r="U49" s="17">
        <v>1.07611002161818</v>
      </c>
      <c r="V49" s="19">
        <v>28.753189952907501</v>
      </c>
      <c r="W49" s="19">
        <v>28.783457127398599</v>
      </c>
      <c r="X49" s="19">
        <v>28.783982308217499</v>
      </c>
      <c r="Y49" s="20">
        <v>2.3208745993130498E-3</v>
      </c>
      <c r="Z49" s="20">
        <v>1.26877376205646E-3</v>
      </c>
      <c r="AA49" s="20">
        <v>1.2505280028557301E-3</v>
      </c>
      <c r="AC49" s="21">
        <f t="shared" si="0"/>
        <v>-7.8198127020907351E-3</v>
      </c>
      <c r="AD49" s="21">
        <f t="shared" si="0"/>
        <v>-6.9156568846657435E-3</v>
      </c>
      <c r="AE49" s="21"/>
      <c r="AF49" s="21"/>
      <c r="AG49" s="15"/>
      <c r="AH49">
        <f t="shared" si="2"/>
        <v>0</v>
      </c>
      <c r="AI49">
        <f t="shared" si="3"/>
        <v>1</v>
      </c>
      <c r="AJ49">
        <f t="shared" si="4"/>
        <v>0</v>
      </c>
      <c r="AK49">
        <f t="shared" si="1"/>
        <v>0</v>
      </c>
      <c r="AL49" s="21">
        <f t="shared" si="5"/>
        <v>0</v>
      </c>
      <c r="AM49" s="21">
        <f t="shared" si="6"/>
        <v>0</v>
      </c>
      <c r="AN49" s="21">
        <f t="shared" si="7"/>
        <v>0</v>
      </c>
      <c r="AO49" s="22">
        <f t="shared" si="8"/>
        <v>1.6963532481784423E-3</v>
      </c>
      <c r="AQ49" s="21"/>
      <c r="AR49" s="15"/>
      <c r="AS49">
        <f t="shared" si="9"/>
        <v>1</v>
      </c>
      <c r="AT49">
        <f t="shared" si="10"/>
        <v>0</v>
      </c>
      <c r="AU49">
        <f t="shared" si="11"/>
        <v>1</v>
      </c>
      <c r="AV49">
        <f t="shared" si="12"/>
        <v>0</v>
      </c>
      <c r="AW49" s="21">
        <f t="shared" si="13"/>
        <v>0</v>
      </c>
      <c r="AX49" s="21">
        <f t="shared" si="14"/>
        <v>0</v>
      </c>
      <c r="AY49" s="21">
        <f t="shared" si="15"/>
        <v>0</v>
      </c>
      <c r="AZ49" s="22">
        <f t="shared" si="16"/>
        <v>4.5017238345634644E-3</v>
      </c>
      <c r="BB49" s="22">
        <f t="shared" si="17"/>
        <v>0</v>
      </c>
      <c r="BC49" s="22">
        <f t="shared" si="18"/>
        <v>6.1980770827419068E-3</v>
      </c>
    </row>
    <row r="50" spans="1:55" customFormat="1" x14ac:dyDescent="0.3">
      <c r="A50" s="1">
        <v>46094</v>
      </c>
      <c r="B50" s="11">
        <v>26.66</v>
      </c>
      <c r="C50" s="11">
        <v>28.72</v>
      </c>
      <c r="D50" s="12">
        <v>1.07726931732933</v>
      </c>
      <c r="E50" s="12">
        <v>1.07488560571617</v>
      </c>
      <c r="F50" s="12">
        <v>1.07652130246446</v>
      </c>
      <c r="G50" s="12">
        <v>1.0761636181087399</v>
      </c>
      <c r="H50" s="11">
        <v>28.656450248393099</v>
      </c>
      <c r="I50" s="11">
        <v>28.693258504043499</v>
      </c>
      <c r="J50" s="11">
        <v>28.689093176340901</v>
      </c>
      <c r="K50" s="13">
        <v>2.21518679941327E-3</v>
      </c>
      <c r="L50" s="13">
        <v>9.3154433617093405E-4</v>
      </c>
      <c r="M50" s="13">
        <v>1.07672234257629E-3</v>
      </c>
      <c r="N50" s="25">
        <v>0</v>
      </c>
      <c r="O50" s="15">
        <v>0</v>
      </c>
      <c r="P50" s="16">
        <v>26.66</v>
      </c>
      <c r="Q50" s="16">
        <v>28.72</v>
      </c>
      <c r="R50" s="17">
        <v>1.07726931732933</v>
      </c>
      <c r="S50" s="17">
        <v>1.07488560571617</v>
      </c>
      <c r="T50" s="17">
        <v>1.07652130246446</v>
      </c>
      <c r="U50" s="17">
        <v>1.0761636181087399</v>
      </c>
      <c r="V50" s="19">
        <v>28.656450248393099</v>
      </c>
      <c r="W50" s="19">
        <v>28.693258504043499</v>
      </c>
      <c r="X50" s="19">
        <v>28.689093176340901</v>
      </c>
      <c r="Y50" s="20">
        <v>2.21518679941327E-3</v>
      </c>
      <c r="Z50" s="20">
        <v>9.3154433617093405E-4</v>
      </c>
      <c r="AA50" s="20">
        <v>1.07672234257629E-3</v>
      </c>
      <c r="AC50" s="21">
        <f t="shared" si="0"/>
        <v>-3.3701585914529841E-3</v>
      </c>
      <c r="AD50" s="21">
        <f t="shared" si="0"/>
        <v>-3.4758463913526529E-3</v>
      </c>
      <c r="AE50" s="21"/>
      <c r="AF50" s="21"/>
      <c r="AG50" s="15"/>
      <c r="AH50">
        <f t="shared" si="2"/>
        <v>0</v>
      </c>
      <c r="AI50">
        <f t="shared" si="3"/>
        <v>1</v>
      </c>
      <c r="AJ50">
        <f t="shared" si="4"/>
        <v>0</v>
      </c>
      <c r="AK50">
        <f t="shared" si="1"/>
        <v>0</v>
      </c>
      <c r="AL50" s="21">
        <f t="shared" si="5"/>
        <v>0</v>
      </c>
      <c r="AM50" s="21">
        <f t="shared" si="6"/>
        <v>0</v>
      </c>
      <c r="AN50" s="21">
        <f t="shared" si="7"/>
        <v>0</v>
      </c>
      <c r="AO50" s="22">
        <f t="shared" si="8"/>
        <v>1.6963532481784423E-3</v>
      </c>
      <c r="AQ50" s="21"/>
      <c r="AR50" s="15"/>
      <c r="AS50">
        <f t="shared" si="9"/>
        <v>1</v>
      </c>
      <c r="AT50">
        <f t="shared" si="10"/>
        <v>0</v>
      </c>
      <c r="AU50">
        <f t="shared" si="11"/>
        <v>0</v>
      </c>
      <c r="AV50">
        <f t="shared" si="12"/>
        <v>1</v>
      </c>
      <c r="AW50" s="21">
        <f t="shared" si="13"/>
        <v>-3.3701585914529841E-3</v>
      </c>
      <c r="AX50" s="21">
        <f t="shared" si="14"/>
        <v>3.4758463913526529E-3</v>
      </c>
      <c r="AY50" s="21">
        <f t="shared" si="15"/>
        <v>1.0568779989966878E-4</v>
      </c>
      <c r="AZ50" s="22">
        <f t="shared" si="16"/>
        <v>4.6074116344631336E-3</v>
      </c>
      <c r="BB50" s="22">
        <f t="shared" si="17"/>
        <v>1.0568779989966878E-4</v>
      </c>
      <c r="BC50" s="22">
        <f t="shared" si="18"/>
        <v>6.303764882641576E-3</v>
      </c>
    </row>
    <row r="51" spans="1:55" customFormat="1" x14ac:dyDescent="0.3">
      <c r="A51" s="1">
        <v>46097</v>
      </c>
      <c r="B51" s="11">
        <v>26.76</v>
      </c>
      <c r="C51" s="11">
        <v>28.79</v>
      </c>
      <c r="D51" s="12">
        <v>1.07585949177877</v>
      </c>
      <c r="E51" s="12">
        <v>1.07488560571617</v>
      </c>
      <c r="F51" s="12">
        <v>1.07632500831022</v>
      </c>
      <c r="G51" s="12">
        <v>1.0761327434769501</v>
      </c>
      <c r="H51" s="11">
        <v>28.763938808964699</v>
      </c>
      <c r="I51" s="11">
        <v>28.807710053948998</v>
      </c>
      <c r="J51" s="11">
        <v>28.798138420590099</v>
      </c>
      <c r="K51" s="13">
        <v>9.0562673400936401E-4</v>
      </c>
      <c r="L51" s="13">
        <v>-6.1495689639562998E-4</v>
      </c>
      <c r="M51" s="13">
        <v>-2.8264225472486701E-4</v>
      </c>
      <c r="N51" s="25">
        <v>0</v>
      </c>
      <c r="O51" s="15">
        <v>0</v>
      </c>
      <c r="P51" s="16">
        <v>26.76</v>
      </c>
      <c r="Q51" s="16">
        <v>28.79</v>
      </c>
      <c r="R51" s="17">
        <v>1.07585949177877</v>
      </c>
      <c r="S51" s="17">
        <v>1.07488560571617</v>
      </c>
      <c r="T51" s="17">
        <v>1.07632500831022</v>
      </c>
      <c r="U51" s="17">
        <v>1.0761327434769501</v>
      </c>
      <c r="V51" s="19">
        <v>28.763938808964699</v>
      </c>
      <c r="W51" s="19">
        <v>28.807710053948998</v>
      </c>
      <c r="X51" s="19">
        <v>28.798138420590099</v>
      </c>
      <c r="Y51" s="20">
        <v>9.0562673400936401E-4</v>
      </c>
      <c r="Z51" s="20">
        <v>-6.1495689639562998E-4</v>
      </c>
      <c r="AA51" s="20">
        <v>-2.8264225472486701E-4</v>
      </c>
      <c r="AC51" s="21">
        <f t="shared" si="0"/>
        <v>3.7439205094650608E-3</v>
      </c>
      <c r="AD51" s="21">
        <f t="shared" si="0"/>
        <v>2.4343604440611446E-3</v>
      </c>
      <c r="AE51" s="21"/>
      <c r="AF51" s="21"/>
      <c r="AG51" s="15"/>
      <c r="AH51">
        <f t="shared" si="2"/>
        <v>0</v>
      </c>
      <c r="AI51">
        <f t="shared" si="3"/>
        <v>0</v>
      </c>
      <c r="AJ51">
        <f t="shared" si="4"/>
        <v>0</v>
      </c>
      <c r="AK51">
        <f t="shared" si="1"/>
        <v>0</v>
      </c>
      <c r="AL51" s="21">
        <f t="shared" si="5"/>
        <v>0</v>
      </c>
      <c r="AM51" s="21">
        <f t="shared" si="6"/>
        <v>0</v>
      </c>
      <c r="AN51" s="21">
        <f t="shared" si="7"/>
        <v>0</v>
      </c>
      <c r="AO51" s="22">
        <f t="shared" si="8"/>
        <v>1.6963532481784423E-3</v>
      </c>
      <c r="AQ51" s="21"/>
      <c r="AR51" s="15"/>
      <c r="AS51">
        <f t="shared" si="9"/>
        <v>0</v>
      </c>
      <c r="AT51">
        <f t="shared" si="10"/>
        <v>1</v>
      </c>
      <c r="AU51">
        <f t="shared" si="11"/>
        <v>1</v>
      </c>
      <c r="AV51">
        <f t="shared" si="12"/>
        <v>1</v>
      </c>
      <c r="AW51" s="21">
        <f t="shared" si="13"/>
        <v>3.7439205094650608E-3</v>
      </c>
      <c r="AX51" s="21">
        <f t="shared" si="14"/>
        <v>-2.4343604440611446E-3</v>
      </c>
      <c r="AY51" s="21">
        <f t="shared" si="15"/>
        <v>1.3095600654039162E-3</v>
      </c>
      <c r="AZ51" s="22">
        <f t="shared" si="16"/>
        <v>5.9169716998670498E-3</v>
      </c>
      <c r="BB51" s="22">
        <f t="shared" si="17"/>
        <v>1.3095600654039162E-3</v>
      </c>
      <c r="BC51" s="22">
        <f t="shared" si="18"/>
        <v>7.6133249480454922E-3</v>
      </c>
    </row>
    <row r="52" spans="1:55" customFormat="1" x14ac:dyDescent="0.3">
      <c r="A52" s="1">
        <v>46098</v>
      </c>
      <c r="B52" s="11">
        <v>26.88</v>
      </c>
      <c r="C52" s="11">
        <v>28.9</v>
      </c>
      <c r="D52" s="12">
        <v>1.0751488095238</v>
      </c>
      <c r="E52" s="12">
        <v>1.07488560571617</v>
      </c>
      <c r="F52" s="12">
        <v>1.0761645312016399</v>
      </c>
      <c r="G52" s="12">
        <v>1.0760816964667399</v>
      </c>
      <c r="H52" s="11">
        <v>28.892925081650599</v>
      </c>
      <c r="I52" s="11">
        <v>28.9316162233788</v>
      </c>
      <c r="J52" s="11">
        <v>28.926448144660501</v>
      </c>
      <c r="K52" s="13">
        <v>2.44836833390109E-4</v>
      </c>
      <c r="L52" s="13">
        <v>-1.0933890004553E-3</v>
      </c>
      <c r="M52" s="13">
        <v>-9.1474221064433495E-4</v>
      </c>
      <c r="N52" s="25">
        <v>0</v>
      </c>
      <c r="O52" s="15">
        <v>0</v>
      </c>
      <c r="P52" s="16">
        <v>26.88</v>
      </c>
      <c r="Q52" s="16">
        <v>28.9</v>
      </c>
      <c r="R52" s="17">
        <v>1.0751488095238</v>
      </c>
      <c r="S52" s="17">
        <v>1.07488560571617</v>
      </c>
      <c r="T52" s="17">
        <v>1.0761645312016399</v>
      </c>
      <c r="U52" s="17">
        <v>1.0760816964667399</v>
      </c>
      <c r="V52" s="19">
        <v>28.892925081650599</v>
      </c>
      <c r="W52" s="19">
        <v>28.9316162233788</v>
      </c>
      <c r="X52" s="19">
        <v>28.926448144660501</v>
      </c>
      <c r="Y52" s="20">
        <v>2.44836833390109E-4</v>
      </c>
      <c r="Z52" s="20">
        <v>-1.0933890004553E-3</v>
      </c>
      <c r="AA52" s="20">
        <v>-9.1474221064433495E-4</v>
      </c>
      <c r="AC52" s="21">
        <f t="shared" si="0"/>
        <v>4.4742803949211069E-3</v>
      </c>
      <c r="AD52" s="21">
        <f t="shared" si="0"/>
        <v>3.8134904943019133E-3</v>
      </c>
      <c r="AE52" s="21"/>
      <c r="AF52" s="21"/>
      <c r="AG52" s="15"/>
      <c r="AH52">
        <f t="shared" si="2"/>
        <v>0</v>
      </c>
      <c r="AI52">
        <f t="shared" si="3"/>
        <v>0</v>
      </c>
      <c r="AJ52">
        <f t="shared" si="4"/>
        <v>0</v>
      </c>
      <c r="AK52">
        <f t="shared" si="1"/>
        <v>0</v>
      </c>
      <c r="AL52" s="21">
        <f t="shared" si="5"/>
        <v>0</v>
      </c>
      <c r="AM52" s="21">
        <f t="shared" si="6"/>
        <v>0</v>
      </c>
      <c r="AN52" s="21">
        <f t="shared" si="7"/>
        <v>0</v>
      </c>
      <c r="AO52" s="22">
        <f t="shared" si="8"/>
        <v>1.6963532481784423E-3</v>
      </c>
      <c r="AQ52" s="21"/>
      <c r="AR52" s="15"/>
      <c r="AS52">
        <f t="shared" si="9"/>
        <v>0</v>
      </c>
      <c r="AT52">
        <f t="shared" si="10"/>
        <v>1</v>
      </c>
      <c r="AU52">
        <f t="shared" si="11"/>
        <v>1</v>
      </c>
      <c r="AV52">
        <f t="shared" si="12"/>
        <v>0</v>
      </c>
      <c r="AW52" s="21">
        <f t="shared" si="13"/>
        <v>0</v>
      </c>
      <c r="AX52" s="21">
        <f t="shared" si="14"/>
        <v>0</v>
      </c>
      <c r="AY52" s="21">
        <f t="shared" si="15"/>
        <v>0</v>
      </c>
      <c r="AZ52" s="22">
        <f t="shared" si="16"/>
        <v>5.9169716998670498E-3</v>
      </c>
      <c r="BB52" s="22">
        <f t="shared" si="17"/>
        <v>0</v>
      </c>
      <c r="BC52" s="22">
        <f t="shared" si="18"/>
        <v>7.6133249480454922E-3</v>
      </c>
    </row>
    <row r="53" spans="1:55" customFormat="1" x14ac:dyDescent="0.3">
      <c r="A53" s="1">
        <v>46099</v>
      </c>
      <c r="B53" s="11">
        <v>26.7</v>
      </c>
      <c r="C53" s="11">
        <v>28.75</v>
      </c>
      <c r="D53" s="12">
        <v>1.0767790262172201</v>
      </c>
      <c r="E53" s="12">
        <v>1.07488560571617</v>
      </c>
      <c r="F53" s="12">
        <v>1.07623174959358</v>
      </c>
      <c r="G53" s="12">
        <v>1.0761566231666699</v>
      </c>
      <c r="H53" s="11">
        <v>28.6994456726217</v>
      </c>
      <c r="I53" s="11">
        <v>28.733592983083799</v>
      </c>
      <c r="J53" s="11">
        <v>28.7313812956621</v>
      </c>
      <c r="K53" s="13">
        <v>1.7599592071080999E-3</v>
      </c>
      <c r="L53" s="13">
        <v>5.7084174840932496E-4</v>
      </c>
      <c r="M53" s="13">
        <v>6.4781689546398395E-4</v>
      </c>
      <c r="N53" s="25">
        <v>0</v>
      </c>
      <c r="O53" s="15">
        <v>0</v>
      </c>
      <c r="P53" s="16">
        <v>26.7</v>
      </c>
      <c r="Q53" s="16">
        <v>28.75</v>
      </c>
      <c r="R53" s="17">
        <v>1.0767790262172201</v>
      </c>
      <c r="S53" s="17">
        <v>1.07488560571617</v>
      </c>
      <c r="T53" s="17">
        <v>1.07623174959358</v>
      </c>
      <c r="U53" s="17">
        <v>1.0761566231666699</v>
      </c>
      <c r="V53" s="19">
        <v>28.6994456726217</v>
      </c>
      <c r="W53" s="19">
        <v>28.733592983083799</v>
      </c>
      <c r="X53" s="19">
        <v>28.7313812956621</v>
      </c>
      <c r="Y53" s="20">
        <v>1.7599592071080999E-3</v>
      </c>
      <c r="Z53" s="20">
        <v>5.7084174840932496E-4</v>
      </c>
      <c r="AA53" s="20">
        <v>6.4781689546398395E-4</v>
      </c>
      <c r="AC53" s="21">
        <f t="shared" si="0"/>
        <v>-6.7189502487449808E-3</v>
      </c>
      <c r="AD53" s="21">
        <f t="shared" si="0"/>
        <v>-5.2038278750269982E-3</v>
      </c>
      <c r="AE53" s="21"/>
      <c r="AF53" s="21"/>
      <c r="AG53" s="15"/>
      <c r="AH53">
        <f t="shared" si="2"/>
        <v>0</v>
      </c>
      <c r="AI53">
        <f t="shared" si="3"/>
        <v>1</v>
      </c>
      <c r="AJ53">
        <f t="shared" si="4"/>
        <v>0</v>
      </c>
      <c r="AK53">
        <f t="shared" si="1"/>
        <v>0</v>
      </c>
      <c r="AL53" s="21">
        <f t="shared" si="5"/>
        <v>0</v>
      </c>
      <c r="AM53" s="21">
        <f t="shared" si="6"/>
        <v>0</v>
      </c>
      <c r="AN53" s="21">
        <f t="shared" si="7"/>
        <v>0</v>
      </c>
      <c r="AO53" s="22">
        <f t="shared" si="8"/>
        <v>1.6963532481784423E-3</v>
      </c>
      <c r="AQ53" s="21"/>
      <c r="AR53" s="15"/>
      <c r="AS53">
        <f t="shared" si="9"/>
        <v>0</v>
      </c>
      <c r="AT53">
        <f t="shared" si="10"/>
        <v>0</v>
      </c>
      <c r="AU53">
        <f t="shared" si="11"/>
        <v>0</v>
      </c>
      <c r="AV53">
        <f t="shared" si="12"/>
        <v>0</v>
      </c>
      <c r="AW53" s="21">
        <f t="shared" si="13"/>
        <v>0</v>
      </c>
      <c r="AX53" s="21">
        <f t="shared" si="14"/>
        <v>0</v>
      </c>
      <c r="AY53" s="21">
        <f t="shared" si="15"/>
        <v>0</v>
      </c>
      <c r="AZ53" s="22">
        <f t="shared" si="16"/>
        <v>5.9169716998670498E-3</v>
      </c>
      <c r="BB53" s="22">
        <f t="shared" si="17"/>
        <v>0</v>
      </c>
      <c r="BC53" s="22">
        <f t="shared" si="18"/>
        <v>7.6133249480454922E-3</v>
      </c>
    </row>
    <row r="54" spans="1:55" customFormat="1" x14ac:dyDescent="0.3">
      <c r="A54" s="1">
        <v>46100</v>
      </c>
      <c r="B54" s="11">
        <v>26.78</v>
      </c>
      <c r="C54" s="11">
        <v>28.8</v>
      </c>
      <c r="D54" s="12">
        <v>1.07542942494398</v>
      </c>
      <c r="E54" s="12">
        <v>1.07488560571617</v>
      </c>
      <c r="F54" s="12">
        <v>1.0762719337209301</v>
      </c>
      <c r="G54" s="12">
        <v>1.0761306260594401</v>
      </c>
      <c r="H54" s="11">
        <v>28.785436521078999</v>
      </c>
      <c r="I54" s="11">
        <v>28.821486254116099</v>
      </c>
      <c r="J54" s="11">
        <v>28.819474368403601</v>
      </c>
      <c r="K54" s="13">
        <v>5.0580424882634202E-4</v>
      </c>
      <c r="L54" s="13">
        <v>-7.4577233281396705E-4</v>
      </c>
      <c r="M54" s="13">
        <v>-6.7596483163598895E-4</v>
      </c>
      <c r="N54" s="25">
        <v>0</v>
      </c>
      <c r="O54" s="15">
        <v>0</v>
      </c>
      <c r="P54" s="16">
        <v>26.78</v>
      </c>
      <c r="Q54" s="16">
        <v>28.8</v>
      </c>
      <c r="R54" s="17">
        <v>1.07542942494398</v>
      </c>
      <c r="S54" s="17">
        <v>1.07488560571617</v>
      </c>
      <c r="T54" s="17">
        <v>1.0762719337209301</v>
      </c>
      <c r="U54" s="17">
        <v>1.0761306260594401</v>
      </c>
      <c r="V54" s="19">
        <v>28.785436521078999</v>
      </c>
      <c r="W54" s="19">
        <v>28.821486254116099</v>
      </c>
      <c r="X54" s="19">
        <v>28.819474368403601</v>
      </c>
      <c r="Y54" s="20">
        <v>5.0580424882634202E-4</v>
      </c>
      <c r="Z54" s="20">
        <v>-7.4577233281396705E-4</v>
      </c>
      <c r="AA54" s="20">
        <v>-6.7596483163598895E-4</v>
      </c>
      <c r="AC54" s="21">
        <f t="shared" si="0"/>
        <v>2.9917748568226541E-3</v>
      </c>
      <c r="AD54" s="21">
        <f t="shared" si="0"/>
        <v>1.7376198985408779E-3</v>
      </c>
      <c r="AE54" s="21"/>
      <c r="AF54" s="21"/>
      <c r="AG54" s="15"/>
      <c r="AH54">
        <f t="shared" si="2"/>
        <v>0</v>
      </c>
      <c r="AI54">
        <f t="shared" si="3"/>
        <v>0</v>
      </c>
      <c r="AJ54">
        <f t="shared" si="4"/>
        <v>0</v>
      </c>
      <c r="AK54">
        <f t="shared" si="1"/>
        <v>0</v>
      </c>
      <c r="AL54" s="21">
        <f t="shared" si="5"/>
        <v>0</v>
      </c>
      <c r="AM54" s="21">
        <f t="shared" si="6"/>
        <v>0</v>
      </c>
      <c r="AN54" s="21">
        <f t="shared" si="7"/>
        <v>0</v>
      </c>
      <c r="AO54" s="22">
        <f t="shared" si="8"/>
        <v>1.6963532481784423E-3</v>
      </c>
      <c r="AQ54" s="21"/>
      <c r="AR54" s="15"/>
      <c r="AS54">
        <f t="shared" si="9"/>
        <v>0</v>
      </c>
      <c r="AT54">
        <f t="shared" si="10"/>
        <v>1</v>
      </c>
      <c r="AU54">
        <f t="shared" si="11"/>
        <v>0</v>
      </c>
      <c r="AV54">
        <f t="shared" si="12"/>
        <v>0</v>
      </c>
      <c r="AW54" s="21">
        <f t="shared" si="13"/>
        <v>0</v>
      </c>
      <c r="AX54" s="21">
        <f t="shared" si="14"/>
        <v>0</v>
      </c>
      <c r="AY54" s="21">
        <f t="shared" si="15"/>
        <v>0</v>
      </c>
      <c r="AZ54" s="22">
        <f t="shared" si="16"/>
        <v>5.9169716998670498E-3</v>
      </c>
      <c r="BB54" s="22">
        <f t="shared" si="17"/>
        <v>0</v>
      </c>
      <c r="BC54" s="22">
        <f t="shared" si="18"/>
        <v>7.6133249480454922E-3</v>
      </c>
    </row>
    <row r="55" spans="1:55" customFormat="1" x14ac:dyDescent="0.3">
      <c r="A55" s="1">
        <v>46101</v>
      </c>
      <c r="B55" s="11">
        <v>26.46</v>
      </c>
      <c r="C55" s="11">
        <v>28.46</v>
      </c>
      <c r="D55" s="12">
        <v>1.0755857898715</v>
      </c>
      <c r="E55" s="12">
        <v>1.07488560571617</v>
      </c>
      <c r="F55" s="12">
        <v>1.07615816281927</v>
      </c>
      <c r="G55" s="12">
        <v>1.0760929835703801</v>
      </c>
      <c r="H55" s="11">
        <v>28.4414731272498</v>
      </c>
      <c r="I55" s="11">
        <v>28.478155366255901</v>
      </c>
      <c r="J55" s="11">
        <v>28.474416365532999</v>
      </c>
      <c r="K55" s="13">
        <v>6.5119134484921697E-4</v>
      </c>
      <c r="L55" s="13">
        <v>-6.3772234117640198E-4</v>
      </c>
      <c r="M55" s="13">
        <v>-5.06420079852795E-4</v>
      </c>
      <c r="N55" s="25">
        <v>0</v>
      </c>
      <c r="O55" s="15">
        <v>0</v>
      </c>
      <c r="P55" s="16">
        <v>26.46</v>
      </c>
      <c r="Q55" s="16">
        <v>28.46</v>
      </c>
      <c r="R55" s="17">
        <v>1.0755857898715</v>
      </c>
      <c r="S55" s="17">
        <v>1.07488560571617</v>
      </c>
      <c r="T55" s="17">
        <v>1.07615816281927</v>
      </c>
      <c r="U55" s="17">
        <v>1.0760929835703801</v>
      </c>
      <c r="V55" s="19">
        <v>28.4414731272498</v>
      </c>
      <c r="W55" s="19">
        <v>28.478155366255901</v>
      </c>
      <c r="X55" s="19">
        <v>28.474416365532999</v>
      </c>
      <c r="Y55" s="20">
        <v>6.5119134484921697E-4</v>
      </c>
      <c r="Z55" s="20">
        <v>-6.3772234117640198E-4</v>
      </c>
      <c r="AA55" s="20">
        <v>-5.06420079852795E-4</v>
      </c>
      <c r="AC55" s="21">
        <f t="shared" si="0"/>
        <v>-1.2021181576216868E-2</v>
      </c>
      <c r="AD55" s="21">
        <f t="shared" si="0"/>
        <v>-1.1875794480193894E-2</v>
      </c>
      <c r="AE55" s="21"/>
      <c r="AF55" s="21"/>
      <c r="AG55" s="15"/>
      <c r="AH55">
        <f t="shared" si="2"/>
        <v>0</v>
      </c>
      <c r="AI55">
        <f t="shared" si="3"/>
        <v>0</v>
      </c>
      <c r="AJ55">
        <f t="shared" si="4"/>
        <v>0</v>
      </c>
      <c r="AK55">
        <f t="shared" si="1"/>
        <v>0</v>
      </c>
      <c r="AL55" s="21">
        <f t="shared" si="5"/>
        <v>0</v>
      </c>
      <c r="AM55" s="21">
        <f t="shared" si="6"/>
        <v>0</v>
      </c>
      <c r="AN55" s="21">
        <f t="shared" si="7"/>
        <v>0</v>
      </c>
      <c r="AO55" s="22">
        <f t="shared" si="8"/>
        <v>1.6963532481784423E-3</v>
      </c>
      <c r="AQ55" s="21"/>
      <c r="AR55" s="15"/>
      <c r="AS55">
        <f t="shared" si="9"/>
        <v>0</v>
      </c>
      <c r="AT55">
        <f t="shared" si="10"/>
        <v>1</v>
      </c>
      <c r="AU55">
        <f t="shared" si="11"/>
        <v>0</v>
      </c>
      <c r="AV55">
        <f t="shared" si="12"/>
        <v>0</v>
      </c>
      <c r="AW55" s="21">
        <f t="shared" si="13"/>
        <v>0</v>
      </c>
      <c r="AX55" s="21">
        <f t="shared" si="14"/>
        <v>0</v>
      </c>
      <c r="AY55" s="21">
        <f t="shared" si="15"/>
        <v>0</v>
      </c>
      <c r="AZ55" s="22">
        <f t="shared" si="16"/>
        <v>5.9169716998670498E-3</v>
      </c>
      <c r="BB55" s="22">
        <f t="shared" si="17"/>
        <v>0</v>
      </c>
      <c r="BC55" s="22">
        <f t="shared" si="18"/>
        <v>7.6133249480454922E-3</v>
      </c>
    </row>
    <row r="56" spans="1:55" customFormat="1" x14ac:dyDescent="0.3">
      <c r="A56" s="1">
        <v>46104</v>
      </c>
      <c r="B56" s="11">
        <v>26.68</v>
      </c>
      <c r="C56" s="11">
        <v>28.67</v>
      </c>
      <c r="D56" s="12">
        <v>1.07458770614692</v>
      </c>
      <c r="E56" s="12">
        <v>1.07488560571617</v>
      </c>
      <c r="F56" s="12">
        <v>1.0760579363838201</v>
      </c>
      <c r="G56" s="12">
        <v>1.0760180210516399</v>
      </c>
      <c r="H56" s="11">
        <v>28.677947960507399</v>
      </c>
      <c r="I56" s="11">
        <v>28.7118997840183</v>
      </c>
      <c r="J56" s="11">
        <v>28.710160801657899</v>
      </c>
      <c r="K56" s="13">
        <v>-2.7718378219184598E-4</v>
      </c>
      <c r="L56" s="13">
        <v>-1.4603835572802599E-3</v>
      </c>
      <c r="M56" s="13">
        <v>-1.3998151157042899E-3</v>
      </c>
      <c r="N56" s="25">
        <v>0</v>
      </c>
      <c r="O56" s="15">
        <v>0</v>
      </c>
      <c r="P56" s="16">
        <v>26.68</v>
      </c>
      <c r="Q56" s="16">
        <v>28.67</v>
      </c>
      <c r="R56" s="17">
        <v>1.07458770614692</v>
      </c>
      <c r="S56" s="17">
        <v>1.07488560571617</v>
      </c>
      <c r="T56" s="17">
        <v>1.0760579363838201</v>
      </c>
      <c r="U56" s="17">
        <v>1.0760180210516399</v>
      </c>
      <c r="V56" s="19">
        <v>28.677947960507399</v>
      </c>
      <c r="W56" s="19">
        <v>28.7118997840183</v>
      </c>
      <c r="X56" s="19">
        <v>28.710160801657899</v>
      </c>
      <c r="Y56" s="20">
        <v>-2.7718378219184598E-4</v>
      </c>
      <c r="Z56" s="20">
        <v>-1.4603835572802599E-3</v>
      </c>
      <c r="AA56" s="20">
        <v>-1.3998151157042899E-3</v>
      </c>
      <c r="AC56" s="21">
        <f t="shared" si="0"/>
        <v>8.2800623606133026E-3</v>
      </c>
      <c r="AD56" s="21">
        <f t="shared" si="0"/>
        <v>7.351687233572198E-3</v>
      </c>
      <c r="AE56" s="21"/>
      <c r="AF56" s="21"/>
      <c r="AG56" s="15"/>
      <c r="AH56">
        <f t="shared" si="2"/>
        <v>1</v>
      </c>
      <c r="AI56">
        <f t="shared" si="3"/>
        <v>0</v>
      </c>
      <c r="AJ56">
        <f t="shared" si="4"/>
        <v>0</v>
      </c>
      <c r="AK56">
        <f t="shared" si="1"/>
        <v>0</v>
      </c>
      <c r="AL56" s="21">
        <f t="shared" si="5"/>
        <v>0</v>
      </c>
      <c r="AM56" s="21">
        <f t="shared" si="6"/>
        <v>0</v>
      </c>
      <c r="AN56" s="21">
        <f t="shared" si="7"/>
        <v>0</v>
      </c>
      <c r="AO56" s="22">
        <f t="shared" si="8"/>
        <v>1.6963532481784423E-3</v>
      </c>
      <c r="AQ56" s="21"/>
      <c r="AR56" s="15"/>
      <c r="AS56">
        <f t="shared" si="9"/>
        <v>0</v>
      </c>
      <c r="AT56">
        <f t="shared" si="10"/>
        <v>1</v>
      </c>
      <c r="AU56">
        <f t="shared" si="11"/>
        <v>0</v>
      </c>
      <c r="AV56">
        <f t="shared" si="12"/>
        <v>0</v>
      </c>
      <c r="AW56" s="21">
        <f t="shared" si="13"/>
        <v>0</v>
      </c>
      <c r="AX56" s="21">
        <f t="shared" si="14"/>
        <v>0</v>
      </c>
      <c r="AY56" s="21">
        <f t="shared" si="15"/>
        <v>0</v>
      </c>
      <c r="AZ56" s="22">
        <f t="shared" si="16"/>
        <v>5.9169716998670498E-3</v>
      </c>
      <c r="BB56" s="22">
        <f t="shared" si="17"/>
        <v>0</v>
      </c>
      <c r="BC56" s="22">
        <f t="shared" si="18"/>
        <v>7.6133249480454922E-3</v>
      </c>
    </row>
    <row r="57" spans="1:55" customFormat="1" x14ac:dyDescent="0.3">
      <c r="A57" s="1">
        <v>46105</v>
      </c>
      <c r="B57" s="11">
        <v>26.62</v>
      </c>
      <c r="C57" s="11">
        <v>28.59</v>
      </c>
      <c r="D57" s="12">
        <v>1.0740045078888001</v>
      </c>
      <c r="E57" s="12">
        <v>1.07488560571617</v>
      </c>
      <c r="F57" s="12">
        <v>1.07584567468194</v>
      </c>
      <c r="G57" s="12">
        <v>1.0758943972253501</v>
      </c>
      <c r="H57" s="11">
        <v>28.6134548241644</v>
      </c>
      <c r="I57" s="11">
        <v>28.644662266537299</v>
      </c>
      <c r="J57" s="11">
        <v>28.6435997203948</v>
      </c>
      <c r="K57" s="13">
        <v>-8.2004926279261405E-4</v>
      </c>
      <c r="L57" s="13">
        <v>-1.91011114567345E-3</v>
      </c>
      <c r="M57" s="13">
        <v>-1.87301642135316E-3</v>
      </c>
      <c r="N57" s="25">
        <v>0</v>
      </c>
      <c r="O57" s="15">
        <v>0</v>
      </c>
      <c r="P57" s="16">
        <v>26.62</v>
      </c>
      <c r="Q57" s="16">
        <v>28.59</v>
      </c>
      <c r="R57" s="17">
        <v>1.0740045078888001</v>
      </c>
      <c r="S57" s="17">
        <v>1.07488560571617</v>
      </c>
      <c r="T57" s="17">
        <v>1.07584567468194</v>
      </c>
      <c r="U57" s="17">
        <v>1.0758943972253501</v>
      </c>
      <c r="V57" s="19">
        <v>28.6134548241644</v>
      </c>
      <c r="W57" s="19">
        <v>28.644662266537299</v>
      </c>
      <c r="X57" s="19">
        <v>28.6435997203948</v>
      </c>
      <c r="Y57" s="20">
        <v>-8.2004926279261405E-4</v>
      </c>
      <c r="Z57" s="20">
        <v>-1.91011114567345E-3</v>
      </c>
      <c r="AA57" s="20">
        <v>-1.87301642135316E-3</v>
      </c>
      <c r="AC57" s="21">
        <f t="shared" si="0"/>
        <v>-2.2514080804573707E-3</v>
      </c>
      <c r="AD57" s="21">
        <f t="shared" si="0"/>
        <v>-2.7942735610581343E-3</v>
      </c>
      <c r="AE57" s="21"/>
      <c r="AF57" s="21"/>
      <c r="AG57" s="15"/>
      <c r="AH57">
        <f t="shared" si="2"/>
        <v>1</v>
      </c>
      <c r="AI57">
        <f t="shared" si="3"/>
        <v>0</v>
      </c>
      <c r="AJ57">
        <f t="shared" si="4"/>
        <v>1</v>
      </c>
      <c r="AK57">
        <f t="shared" si="1"/>
        <v>1</v>
      </c>
      <c r="AL57" s="21">
        <f t="shared" si="5"/>
        <v>2.2514080804573707E-3</v>
      </c>
      <c r="AM57" s="21">
        <f t="shared" si="6"/>
        <v>-2.7942735610581343E-3</v>
      </c>
      <c r="AN57" s="21">
        <f t="shared" si="7"/>
        <v>-5.4286548060076363E-4</v>
      </c>
      <c r="AO57" s="22">
        <f t="shared" si="8"/>
        <v>1.1534877675776786E-3</v>
      </c>
      <c r="AQ57" s="21"/>
      <c r="AR57" s="15"/>
      <c r="AS57">
        <f t="shared" si="9"/>
        <v>0</v>
      </c>
      <c r="AT57">
        <f t="shared" si="10"/>
        <v>1</v>
      </c>
      <c r="AU57">
        <f t="shared" si="11"/>
        <v>0</v>
      </c>
      <c r="AV57">
        <f t="shared" si="12"/>
        <v>0</v>
      </c>
      <c r="AW57" s="21">
        <f t="shared" si="13"/>
        <v>0</v>
      </c>
      <c r="AX57" s="21">
        <f t="shared" si="14"/>
        <v>0</v>
      </c>
      <c r="AY57" s="21">
        <f t="shared" si="15"/>
        <v>0</v>
      </c>
      <c r="AZ57" s="22">
        <f t="shared" si="16"/>
        <v>5.9169716998670498E-3</v>
      </c>
      <c r="BB57" s="22">
        <f t="shared" si="17"/>
        <v>-5.4286548060076363E-4</v>
      </c>
      <c r="BC57" s="22">
        <f t="shared" si="18"/>
        <v>7.0704594674447282E-3</v>
      </c>
    </row>
    <row r="58" spans="1:55" customFormat="1" x14ac:dyDescent="0.3">
      <c r="A58" s="1">
        <v>46106</v>
      </c>
      <c r="B58" s="11">
        <v>26.74</v>
      </c>
      <c r="C58" s="11">
        <v>28.73</v>
      </c>
      <c r="D58" s="12">
        <v>1.07442034405385</v>
      </c>
      <c r="E58" s="12">
        <v>1.07488560571617</v>
      </c>
      <c r="F58" s="12">
        <v>1.0756467595324299</v>
      </c>
      <c r="G58" s="12">
        <v>1.0758319242035701</v>
      </c>
      <c r="H58" s="11">
        <v>28.742441096850399</v>
      </c>
      <c r="I58" s="11">
        <v>28.7681133409951</v>
      </c>
      <c r="J58" s="11">
        <v>28.769416181806001</v>
      </c>
      <c r="K58" s="13">
        <v>-4.3294131264634002E-4</v>
      </c>
      <c r="L58" s="13">
        <v>-1.3257251190580601E-3</v>
      </c>
      <c r="M58" s="13">
        <v>-1.37101176316444E-3</v>
      </c>
      <c r="N58" s="25">
        <v>0</v>
      </c>
      <c r="O58" s="15">
        <v>0</v>
      </c>
      <c r="P58" s="16">
        <v>26.74</v>
      </c>
      <c r="Q58" s="16">
        <v>28.73</v>
      </c>
      <c r="R58" s="17">
        <v>1.07442034405385</v>
      </c>
      <c r="S58" s="17">
        <v>1.07488560571617</v>
      </c>
      <c r="T58" s="17">
        <v>1.0756467595324299</v>
      </c>
      <c r="U58" s="17">
        <v>1.0758319242035701</v>
      </c>
      <c r="V58" s="19">
        <v>28.742441096850399</v>
      </c>
      <c r="W58" s="19">
        <v>28.7681133409951</v>
      </c>
      <c r="X58" s="19">
        <v>28.769416181806001</v>
      </c>
      <c r="Y58" s="20">
        <v>-4.3294131264634002E-4</v>
      </c>
      <c r="Z58" s="20">
        <v>-1.3257251190580601E-3</v>
      </c>
      <c r="AA58" s="20">
        <v>-1.37101176316444E-3</v>
      </c>
      <c r="AC58" s="21">
        <f t="shared" si="0"/>
        <v>4.4977587068313904E-3</v>
      </c>
      <c r="AD58" s="21">
        <f t="shared" si="0"/>
        <v>4.8848666569777498E-3</v>
      </c>
      <c r="AE58" s="21"/>
      <c r="AF58" s="21"/>
      <c r="AG58" s="15"/>
      <c r="AH58">
        <f t="shared" si="2"/>
        <v>1</v>
      </c>
      <c r="AI58">
        <f t="shared" si="3"/>
        <v>0</v>
      </c>
      <c r="AJ58">
        <f t="shared" si="4"/>
        <v>1</v>
      </c>
      <c r="AK58">
        <f t="shared" si="1"/>
        <v>1</v>
      </c>
      <c r="AL58" s="21">
        <f t="shared" si="5"/>
        <v>-4.4977587068313904E-3</v>
      </c>
      <c r="AM58" s="21">
        <f t="shared" si="6"/>
        <v>4.8848666569777498E-3</v>
      </c>
      <c r="AN58" s="21">
        <f t="shared" si="7"/>
        <v>3.8710795014635941E-4</v>
      </c>
      <c r="AO58" s="22">
        <f t="shared" si="8"/>
        <v>1.540595717724038E-3</v>
      </c>
      <c r="AQ58" s="21"/>
      <c r="AR58" s="15"/>
      <c r="AS58">
        <f t="shared" si="9"/>
        <v>0</v>
      </c>
      <c r="AT58">
        <f t="shared" si="10"/>
        <v>1</v>
      </c>
      <c r="AU58">
        <f t="shared" si="11"/>
        <v>0</v>
      </c>
      <c r="AV58">
        <f t="shared" si="12"/>
        <v>0</v>
      </c>
      <c r="AW58" s="21">
        <f t="shared" si="13"/>
        <v>0</v>
      </c>
      <c r="AX58" s="21">
        <f t="shared" si="14"/>
        <v>0</v>
      </c>
      <c r="AY58" s="21">
        <f t="shared" si="15"/>
        <v>0</v>
      </c>
      <c r="AZ58" s="22">
        <f t="shared" si="16"/>
        <v>5.9169716998670498E-3</v>
      </c>
      <c r="BB58" s="22">
        <f t="shared" si="17"/>
        <v>3.8710795014635941E-4</v>
      </c>
      <c r="BC58" s="22">
        <f t="shared" si="18"/>
        <v>7.4575674175910876E-3</v>
      </c>
    </row>
    <row r="59" spans="1:55" customFormat="1" x14ac:dyDescent="0.3">
      <c r="A59" s="1">
        <v>46107</v>
      </c>
      <c r="B59" s="11">
        <v>26.54</v>
      </c>
      <c r="C59" s="11">
        <v>28.51</v>
      </c>
      <c r="D59" s="12">
        <v>1.0742275810097901</v>
      </c>
      <c r="E59" s="12">
        <v>1.07488560571617</v>
      </c>
      <c r="F59" s="12">
        <v>1.0753311998763999</v>
      </c>
      <c r="G59" s="12">
        <v>1.0757987301715699</v>
      </c>
      <c r="H59" s="11">
        <v>28.5274639757071</v>
      </c>
      <c r="I59" s="11">
        <v>28.547664997990701</v>
      </c>
      <c r="J59" s="11">
        <v>28.552579268362798</v>
      </c>
      <c r="K59" s="13">
        <v>-6.1236860952821302E-4</v>
      </c>
      <c r="L59" s="13">
        <v>-1.3202434226155201E-3</v>
      </c>
      <c r="M59" s="13">
        <v>-1.4923712461445799E-3</v>
      </c>
      <c r="N59" s="25">
        <v>0</v>
      </c>
      <c r="O59" s="15">
        <v>0</v>
      </c>
      <c r="P59" s="16">
        <v>26.54</v>
      </c>
      <c r="Q59" s="16">
        <v>28.51</v>
      </c>
      <c r="R59" s="17">
        <v>1.0742275810097901</v>
      </c>
      <c r="S59" s="17">
        <v>1.07488560571617</v>
      </c>
      <c r="T59" s="17">
        <v>1.0753311998763999</v>
      </c>
      <c r="U59" s="17">
        <v>1.0757987301715699</v>
      </c>
      <c r="V59" s="19">
        <v>28.5274639757071</v>
      </c>
      <c r="W59" s="19">
        <v>28.547664997990701</v>
      </c>
      <c r="X59" s="19">
        <v>28.552579268362798</v>
      </c>
      <c r="Y59" s="20">
        <v>-6.1236860952821302E-4</v>
      </c>
      <c r="Z59" s="20">
        <v>-1.3202434226155201E-3</v>
      </c>
      <c r="AA59" s="20">
        <v>-1.4923712461445799E-3</v>
      </c>
      <c r="AC59" s="21">
        <f t="shared" si="0"/>
        <v>-7.5075427697356605E-3</v>
      </c>
      <c r="AD59" s="21">
        <f t="shared" si="0"/>
        <v>-7.6869700666174811E-3</v>
      </c>
      <c r="AE59" s="21"/>
      <c r="AF59" s="21"/>
      <c r="AG59" s="15"/>
      <c r="AH59">
        <f t="shared" si="2"/>
        <v>1</v>
      </c>
      <c r="AI59">
        <f t="shared" si="3"/>
        <v>0</v>
      </c>
      <c r="AJ59">
        <f t="shared" si="4"/>
        <v>1</v>
      </c>
      <c r="AK59">
        <f t="shared" si="1"/>
        <v>1</v>
      </c>
      <c r="AL59" s="21">
        <f t="shared" si="5"/>
        <v>7.5075427697356605E-3</v>
      </c>
      <c r="AM59" s="21">
        <f t="shared" si="6"/>
        <v>-7.6869700666174811E-3</v>
      </c>
      <c r="AN59" s="21">
        <f t="shared" si="7"/>
        <v>-1.7942729688182057E-4</v>
      </c>
      <c r="AO59" s="22">
        <f t="shared" si="8"/>
        <v>1.3611684208422175E-3</v>
      </c>
      <c r="AQ59" s="21"/>
      <c r="AR59" s="15"/>
      <c r="AS59">
        <f t="shared" si="9"/>
        <v>0</v>
      </c>
      <c r="AT59">
        <f t="shared" si="10"/>
        <v>1</v>
      </c>
      <c r="AU59">
        <f t="shared" si="11"/>
        <v>0</v>
      </c>
      <c r="AV59">
        <f t="shared" si="12"/>
        <v>0</v>
      </c>
      <c r="AW59" s="21">
        <f t="shared" si="13"/>
        <v>0</v>
      </c>
      <c r="AX59" s="21">
        <f t="shared" si="14"/>
        <v>0</v>
      </c>
      <c r="AY59" s="21">
        <f t="shared" si="15"/>
        <v>0</v>
      </c>
      <c r="AZ59" s="22">
        <f t="shared" si="16"/>
        <v>5.9169716998670498E-3</v>
      </c>
      <c r="BB59" s="22">
        <f t="shared" si="17"/>
        <v>-1.7942729688182057E-4</v>
      </c>
      <c r="BC59" s="22">
        <f t="shared" si="18"/>
        <v>7.278140120709267E-3</v>
      </c>
    </row>
    <row r="60" spans="1:55" customFormat="1" x14ac:dyDescent="0.3">
      <c r="A60" s="1">
        <v>46108</v>
      </c>
      <c r="B60" s="11">
        <v>26.41</v>
      </c>
      <c r="C60" s="11">
        <v>28.41</v>
      </c>
      <c r="D60" s="12">
        <v>1.0757288905717499</v>
      </c>
      <c r="E60" s="12">
        <v>1.07488560571617</v>
      </c>
      <c r="F60" s="12">
        <v>1.0751771572006401</v>
      </c>
      <c r="G60" s="12">
        <v>1.0758492298325499</v>
      </c>
      <c r="H60" s="11">
        <v>28.387728846963999</v>
      </c>
      <c r="I60" s="11">
        <v>28.399496988735699</v>
      </c>
      <c r="J60" s="11">
        <v>28.411844463831301</v>
      </c>
      <c r="K60" s="13">
        <v>7.8422692700838299E-4</v>
      </c>
      <c r="L60" s="13">
        <v>3.6976252002307098E-4</v>
      </c>
      <c r="M60" s="13">
        <v>-6.49209419142194E-5</v>
      </c>
      <c r="N60" s="25">
        <v>0</v>
      </c>
      <c r="O60" s="15">
        <v>0</v>
      </c>
      <c r="P60" s="16">
        <v>26.41</v>
      </c>
      <c r="Q60" s="16">
        <v>28.41</v>
      </c>
      <c r="R60" s="17">
        <v>1.0757288905717499</v>
      </c>
      <c r="S60" s="17">
        <v>1.07488560571617</v>
      </c>
      <c r="T60" s="17">
        <v>1.0751771572006401</v>
      </c>
      <c r="U60" s="17">
        <v>1.0758492298325499</v>
      </c>
      <c r="V60" s="19">
        <v>28.387728846963999</v>
      </c>
      <c r="W60" s="19">
        <v>28.399496988735699</v>
      </c>
      <c r="X60" s="19">
        <v>28.411844463831301</v>
      </c>
      <c r="Y60" s="20">
        <v>7.8422692700838299E-4</v>
      </c>
      <c r="Z60" s="20">
        <v>3.6976252002307098E-4</v>
      </c>
      <c r="AA60" s="20">
        <v>-6.49209419142194E-5</v>
      </c>
      <c r="AC60" s="21">
        <f t="shared" si="0"/>
        <v>-4.9103025950205563E-3</v>
      </c>
      <c r="AD60" s="21">
        <f t="shared" si="0"/>
        <v>-3.5137070584840974E-3</v>
      </c>
      <c r="AE60" s="21"/>
      <c r="AF60" s="21"/>
      <c r="AG60" s="15"/>
      <c r="AH60">
        <f t="shared" si="2"/>
        <v>0</v>
      </c>
      <c r="AI60">
        <f t="shared" si="3"/>
        <v>0</v>
      </c>
      <c r="AJ60">
        <f t="shared" si="4"/>
        <v>1</v>
      </c>
      <c r="AK60">
        <f t="shared" si="1"/>
        <v>1</v>
      </c>
      <c r="AL60" s="21">
        <f t="shared" si="5"/>
        <v>4.9103025950205563E-3</v>
      </c>
      <c r="AM60" s="21">
        <f t="shared" si="6"/>
        <v>-3.5137070584840974E-3</v>
      </c>
      <c r="AN60" s="21">
        <f t="shared" si="7"/>
        <v>1.396595536536459E-3</v>
      </c>
      <c r="AO60" s="22">
        <f t="shared" si="8"/>
        <v>2.7577639573786762E-3</v>
      </c>
      <c r="AQ60" s="21"/>
      <c r="AR60" s="15"/>
      <c r="AS60">
        <f t="shared" si="9"/>
        <v>0</v>
      </c>
      <c r="AT60">
        <f t="shared" si="10"/>
        <v>1</v>
      </c>
      <c r="AU60">
        <f t="shared" si="11"/>
        <v>0</v>
      </c>
      <c r="AV60">
        <f t="shared" si="12"/>
        <v>0</v>
      </c>
      <c r="AW60" s="21">
        <f t="shared" si="13"/>
        <v>0</v>
      </c>
      <c r="AX60" s="21">
        <f t="shared" si="14"/>
        <v>0</v>
      </c>
      <c r="AY60" s="21">
        <f t="shared" si="15"/>
        <v>0</v>
      </c>
      <c r="AZ60" s="22">
        <f t="shared" si="16"/>
        <v>5.9169716998670498E-3</v>
      </c>
      <c r="BB60" s="22">
        <f t="shared" si="17"/>
        <v>1.396595536536459E-3</v>
      </c>
      <c r="BC60" s="22">
        <f t="shared" si="18"/>
        <v>8.674735657245726E-3</v>
      </c>
    </row>
    <row r="61" spans="1:55" customFormat="1" x14ac:dyDescent="0.3">
      <c r="A61" s="1">
        <v>46111</v>
      </c>
      <c r="B61" s="11">
        <v>26.45</v>
      </c>
      <c r="C61" s="11">
        <v>28.42</v>
      </c>
      <c r="D61" s="12">
        <v>1.0744801512287301</v>
      </c>
      <c r="E61" s="12">
        <v>1.07488560571617</v>
      </c>
      <c r="F61" s="12">
        <v>1.0750392231456301</v>
      </c>
      <c r="G61" s="12">
        <v>1.0756821157279299</v>
      </c>
      <c r="H61" s="11">
        <v>28.430724271192702</v>
      </c>
      <c r="I61" s="11">
        <v>28.438435807956999</v>
      </c>
      <c r="J61" s="11">
        <v>28.456212129071002</v>
      </c>
      <c r="K61" s="13">
        <v>-3.7727826540112901E-4</v>
      </c>
      <c r="L61" s="13">
        <v>-6.4848103332852095E-4</v>
      </c>
      <c r="M61" s="13">
        <v>-1.27336658362218E-3</v>
      </c>
      <c r="N61" s="25">
        <v>0</v>
      </c>
      <c r="O61" s="15">
        <v>0</v>
      </c>
      <c r="P61" s="16">
        <v>26.45</v>
      </c>
      <c r="Q61" s="16">
        <v>28.42</v>
      </c>
      <c r="R61" s="17">
        <v>1.0744801512287301</v>
      </c>
      <c r="S61" s="17">
        <v>1.07488560571617</v>
      </c>
      <c r="T61" s="17">
        <v>1.0750392231456301</v>
      </c>
      <c r="U61" s="17">
        <v>1.0756821157279299</v>
      </c>
      <c r="V61" s="19">
        <v>28.430724271192702</v>
      </c>
      <c r="W61" s="19">
        <v>28.438435807956999</v>
      </c>
      <c r="X61" s="19">
        <v>28.456212129071002</v>
      </c>
      <c r="Y61" s="20">
        <v>-3.7727826540112901E-4</v>
      </c>
      <c r="Z61" s="20">
        <v>-6.4848103332852095E-4</v>
      </c>
      <c r="AA61" s="20">
        <v>-1.27336658362218E-3</v>
      </c>
      <c r="AC61" s="21">
        <f t="shared" si="0"/>
        <v>1.5134319952674129E-3</v>
      </c>
      <c r="AD61" s="21">
        <f t="shared" si="0"/>
        <v>3.519268028581283E-4</v>
      </c>
      <c r="AE61" s="21"/>
      <c r="AF61" s="21"/>
      <c r="AG61" s="15"/>
      <c r="AH61">
        <f t="shared" si="2"/>
        <v>1</v>
      </c>
      <c r="AI61">
        <f t="shared" si="3"/>
        <v>0</v>
      </c>
      <c r="AJ61">
        <f t="shared" si="4"/>
        <v>1</v>
      </c>
      <c r="AK61">
        <f t="shared" si="1"/>
        <v>1</v>
      </c>
      <c r="AL61" s="21">
        <f t="shared" si="5"/>
        <v>-1.5134319952674129E-3</v>
      </c>
      <c r="AM61" s="21">
        <f t="shared" si="6"/>
        <v>3.519268028581283E-4</v>
      </c>
      <c r="AN61" s="21">
        <f t="shared" si="7"/>
        <v>-1.1615051924092846E-3</v>
      </c>
      <c r="AO61" s="22">
        <f t="shared" si="8"/>
        <v>1.5962587649693916E-3</v>
      </c>
      <c r="AQ61" s="21"/>
      <c r="AR61" s="15"/>
      <c r="AS61">
        <f t="shared" si="9"/>
        <v>0</v>
      </c>
      <c r="AT61">
        <f t="shared" si="10"/>
        <v>1</v>
      </c>
      <c r="AU61">
        <f t="shared" si="11"/>
        <v>0</v>
      </c>
      <c r="AV61">
        <f t="shared" si="12"/>
        <v>0</v>
      </c>
      <c r="AW61" s="21">
        <f t="shared" si="13"/>
        <v>0</v>
      </c>
      <c r="AX61" s="21">
        <f t="shared" si="14"/>
        <v>0</v>
      </c>
      <c r="AY61" s="21">
        <f t="shared" si="15"/>
        <v>0</v>
      </c>
      <c r="AZ61" s="22">
        <f t="shared" si="16"/>
        <v>5.9169716998670498E-3</v>
      </c>
      <c r="BB61" s="22">
        <f t="shared" si="17"/>
        <v>-1.1615051924092846E-3</v>
      </c>
      <c r="BC61" s="22">
        <f t="shared" si="18"/>
        <v>7.5132304648364411E-3</v>
      </c>
    </row>
    <row r="62" spans="1:55" customFormat="1" x14ac:dyDescent="0.3">
      <c r="A62" s="1">
        <v>46112</v>
      </c>
      <c r="B62" s="11">
        <v>26.72</v>
      </c>
      <c r="C62" s="11">
        <v>28.72</v>
      </c>
      <c r="D62" s="12">
        <v>1.0748502994011899</v>
      </c>
      <c r="E62" s="12">
        <v>1.07488560571617</v>
      </c>
      <c r="F62" s="12">
        <v>1.07500937213337</v>
      </c>
      <c r="G62" s="12">
        <v>1.0755869516675101</v>
      </c>
      <c r="H62" s="11">
        <v>28.720943384736</v>
      </c>
      <c r="I62" s="11">
        <v>28.725048042451402</v>
      </c>
      <c r="J62" s="11">
        <v>28.742226132250298</v>
      </c>
      <c r="K62" s="13">
        <v>-3.28471184689503E-5</v>
      </c>
      <c r="L62" s="13">
        <v>-1.7575204953289701E-4</v>
      </c>
      <c r="M62" s="13">
        <v>-7.7359109992062799E-4</v>
      </c>
      <c r="N62" s="25">
        <v>0</v>
      </c>
      <c r="O62" s="15">
        <v>0</v>
      </c>
      <c r="P62" s="16">
        <v>26.72</v>
      </c>
      <c r="Q62" s="16">
        <v>28.72</v>
      </c>
      <c r="R62" s="17">
        <v>1.0748502994011899</v>
      </c>
      <c r="S62" s="17">
        <v>1.07488560571617</v>
      </c>
      <c r="T62" s="17">
        <v>1.07500937213337</v>
      </c>
      <c r="U62" s="17">
        <v>1.0755869516675101</v>
      </c>
      <c r="V62" s="19">
        <v>28.720943384736</v>
      </c>
      <c r="W62" s="19">
        <v>28.725048042451402</v>
      </c>
      <c r="X62" s="19">
        <v>28.742226132250298</v>
      </c>
      <c r="Y62" s="20">
        <v>-3.28471184689503E-5</v>
      </c>
      <c r="Z62" s="20">
        <v>-1.7575204953289701E-4</v>
      </c>
      <c r="AA62" s="20">
        <v>-7.7359109992062799E-4</v>
      </c>
      <c r="AC62" s="21">
        <f t="shared" si="0"/>
        <v>1.0156190364136597E-2</v>
      </c>
      <c r="AD62" s="21">
        <f t="shared" si="0"/>
        <v>1.050062151106867E-2</v>
      </c>
      <c r="AE62" s="21"/>
      <c r="AF62" s="21"/>
      <c r="AG62" s="15"/>
      <c r="AH62">
        <f t="shared" si="2"/>
        <v>0</v>
      </c>
      <c r="AI62">
        <f t="shared" si="3"/>
        <v>0</v>
      </c>
      <c r="AJ62">
        <f t="shared" si="4"/>
        <v>1</v>
      </c>
      <c r="AK62">
        <f t="shared" si="1"/>
        <v>1</v>
      </c>
      <c r="AL62" s="21">
        <f t="shared" si="5"/>
        <v>-1.0156190364136597E-2</v>
      </c>
      <c r="AM62" s="21">
        <f t="shared" si="6"/>
        <v>1.050062151106867E-2</v>
      </c>
      <c r="AN62" s="21">
        <f t="shared" si="7"/>
        <v>3.4443114693207336E-4</v>
      </c>
      <c r="AO62" s="22">
        <f t="shared" si="8"/>
        <v>1.9406899119014649E-3</v>
      </c>
      <c r="AQ62" s="21"/>
      <c r="AR62" s="15"/>
      <c r="AS62">
        <f t="shared" si="9"/>
        <v>0</v>
      </c>
      <c r="AT62">
        <f t="shared" si="10"/>
        <v>1</v>
      </c>
      <c r="AU62">
        <f t="shared" si="11"/>
        <v>0</v>
      </c>
      <c r="AV62" s="26">
        <v>0</v>
      </c>
      <c r="AW62" s="21">
        <f t="shared" si="13"/>
        <v>0</v>
      </c>
      <c r="AX62" s="21">
        <f t="shared" si="14"/>
        <v>0</v>
      </c>
      <c r="AY62" s="21">
        <f t="shared" si="15"/>
        <v>0</v>
      </c>
      <c r="AZ62" s="22">
        <f t="shared" si="16"/>
        <v>5.9169716998670498E-3</v>
      </c>
      <c r="BB62" s="22">
        <f t="shared" si="17"/>
        <v>3.4443114693207336E-4</v>
      </c>
      <c r="BC62" s="22">
        <f t="shared" si="18"/>
        <v>7.8576616117685145E-3</v>
      </c>
    </row>
    <row r="63" spans="1:55" customFormat="1" x14ac:dyDescent="0.3">
      <c r="A63" s="1">
        <v>46113</v>
      </c>
      <c r="B63" s="11">
        <v>26.73</v>
      </c>
      <c r="C63" s="11">
        <v>28.73</v>
      </c>
      <c r="D63" s="12">
        <v>1.07482229704451</v>
      </c>
      <c r="E63" s="12">
        <v>1.07488560571617</v>
      </c>
      <c r="F63" s="12">
        <v>1.0748136992160999</v>
      </c>
      <c r="G63" s="12">
        <v>1.07552272440484</v>
      </c>
      <c r="H63" s="11">
        <v>28.731692240793201</v>
      </c>
      <c r="I63" s="11">
        <v>28.735000517125201</v>
      </c>
      <c r="J63" s="11">
        <v>28.750439218072501</v>
      </c>
      <c r="K63" s="13">
        <v>-5.8899789676829501E-5</v>
      </c>
      <c r="L63" s="13">
        <v>-1.7403696485959101E-4</v>
      </c>
      <c r="M63" s="13">
        <v>-7.1117128581694403E-4</v>
      </c>
      <c r="N63" s="25">
        <v>0</v>
      </c>
      <c r="O63" s="15">
        <v>0</v>
      </c>
      <c r="P63" s="16">
        <v>26.73</v>
      </c>
      <c r="Q63" s="16">
        <v>28.73</v>
      </c>
      <c r="R63" s="17">
        <v>1.07482229704451</v>
      </c>
      <c r="S63" s="17">
        <v>1.07488560571617</v>
      </c>
      <c r="T63" s="17">
        <v>1.0748136992160999</v>
      </c>
      <c r="U63" s="17">
        <v>1.07552272440484</v>
      </c>
      <c r="V63" s="19">
        <v>28.731692240793201</v>
      </c>
      <c r="W63" s="19">
        <v>28.735000517125201</v>
      </c>
      <c r="X63" s="19">
        <v>28.750439218072501</v>
      </c>
      <c r="Y63" s="20">
        <v>-5.8899789676829501E-5</v>
      </c>
      <c r="Z63" s="20">
        <v>-1.7403696485959101E-4</v>
      </c>
      <c r="AA63" s="20">
        <v>-7.1117128581694403E-4</v>
      </c>
      <c r="AC63" s="21">
        <f t="shared" si="0"/>
        <v>3.7418148238265212E-4</v>
      </c>
      <c r="AD63" s="21">
        <f t="shared" si="0"/>
        <v>3.4812881117485679E-4</v>
      </c>
      <c r="AE63" s="21"/>
      <c r="AF63" s="21"/>
      <c r="AG63" s="15"/>
      <c r="AH63">
        <f t="shared" si="2"/>
        <v>0</v>
      </c>
      <c r="AI63">
        <f t="shared" si="3"/>
        <v>0</v>
      </c>
      <c r="AJ63">
        <f t="shared" si="4"/>
        <v>1</v>
      </c>
      <c r="AK63">
        <f t="shared" si="1"/>
        <v>1</v>
      </c>
      <c r="AL63" s="21">
        <f t="shared" si="5"/>
        <v>-3.7418148238265212E-4</v>
      </c>
      <c r="AM63" s="21">
        <f t="shared" si="6"/>
        <v>3.4812881117485679E-4</v>
      </c>
      <c r="AN63" s="21">
        <f t="shared" si="7"/>
        <v>-2.6052671207795332E-5</v>
      </c>
      <c r="AO63" s="22">
        <f t="shared" si="8"/>
        <v>1.9146372406936697E-3</v>
      </c>
      <c r="AQ63" s="21"/>
      <c r="AR63" s="15"/>
      <c r="AS63">
        <f t="shared" si="9"/>
        <v>0</v>
      </c>
      <c r="AT63">
        <f t="shared" si="10"/>
        <v>1</v>
      </c>
      <c r="AU63">
        <f t="shared" si="11"/>
        <v>0</v>
      </c>
      <c r="AV63">
        <f t="shared" si="12"/>
        <v>0</v>
      </c>
      <c r="AW63" s="21">
        <f t="shared" si="13"/>
        <v>0</v>
      </c>
      <c r="AX63" s="21">
        <f t="shared" si="14"/>
        <v>0</v>
      </c>
      <c r="AY63" s="21">
        <f t="shared" si="15"/>
        <v>0</v>
      </c>
      <c r="AZ63" s="22">
        <f t="shared" si="16"/>
        <v>5.9169716998670498E-3</v>
      </c>
      <c r="BB63" s="22">
        <f t="shared" si="17"/>
        <v>-2.6052671207795332E-5</v>
      </c>
      <c r="BC63" s="22">
        <f t="shared" si="18"/>
        <v>7.8316089405607199E-3</v>
      </c>
    </row>
    <row r="64" spans="1:55" customFormat="1" x14ac:dyDescent="0.3">
      <c r="A64" s="1">
        <v>46114</v>
      </c>
      <c r="B64" s="11">
        <v>26.79</v>
      </c>
      <c r="C64" s="11">
        <v>28.81</v>
      </c>
      <c r="D64" s="12">
        <v>1.0754012691302699</v>
      </c>
      <c r="E64" s="12">
        <v>1.07488560571617</v>
      </c>
      <c r="F64" s="12">
        <v>1.0748108836347301</v>
      </c>
      <c r="G64" s="12">
        <v>1.0755414086778301</v>
      </c>
      <c r="H64" s="11">
        <v>28.796185377136201</v>
      </c>
      <c r="I64" s="11">
        <v>28.7942590019995</v>
      </c>
      <c r="J64" s="11">
        <v>28.813253786805699</v>
      </c>
      <c r="K64" s="13">
        <v>4.7962290987227997E-4</v>
      </c>
      <c r="L64" s="13">
        <v>5.4652203378710898E-4</v>
      </c>
      <c r="M64" s="13">
        <v>-1.1293311624820699E-4</v>
      </c>
      <c r="N64" s="25">
        <v>0</v>
      </c>
      <c r="O64" s="15">
        <v>0</v>
      </c>
      <c r="P64" s="16">
        <v>26.79</v>
      </c>
      <c r="Q64" s="16">
        <v>28.81</v>
      </c>
      <c r="R64" s="17">
        <v>1.0754012691302699</v>
      </c>
      <c r="S64" s="17">
        <v>1.07488560571617</v>
      </c>
      <c r="T64" s="17">
        <v>1.0748108836347301</v>
      </c>
      <c r="U64" s="17">
        <v>1.0755414086778301</v>
      </c>
      <c r="V64" s="19">
        <v>28.796185377136201</v>
      </c>
      <c r="W64" s="19">
        <v>28.7942590019995</v>
      </c>
      <c r="X64" s="19">
        <v>28.813253786805699</v>
      </c>
      <c r="Y64" s="20">
        <v>4.7962290987227997E-4</v>
      </c>
      <c r="Z64" s="20">
        <v>5.4652203378710898E-4</v>
      </c>
      <c r="AA64" s="20">
        <v>-1.1293311624820699E-4</v>
      </c>
      <c r="AC64" s="21">
        <f t="shared" si="0"/>
        <v>2.2421534056897268E-3</v>
      </c>
      <c r="AD64" s="21">
        <f t="shared" si="0"/>
        <v>2.7806761052388018E-3</v>
      </c>
      <c r="AE64" s="21"/>
      <c r="AF64" s="21"/>
      <c r="AG64" s="15"/>
      <c r="AH64">
        <f t="shared" si="2"/>
        <v>0</v>
      </c>
      <c r="AI64">
        <f t="shared" si="3"/>
        <v>0</v>
      </c>
      <c r="AJ64">
        <f t="shared" si="4"/>
        <v>1</v>
      </c>
      <c r="AK64">
        <f t="shared" si="1"/>
        <v>1</v>
      </c>
      <c r="AL64" s="21">
        <f t="shared" si="5"/>
        <v>-2.2421534056897268E-3</v>
      </c>
      <c r="AM64" s="21">
        <f t="shared" si="6"/>
        <v>2.7806761052388018E-3</v>
      </c>
      <c r="AN64" s="21">
        <f t="shared" si="7"/>
        <v>5.3852269954907496E-4</v>
      </c>
      <c r="AO64" s="22">
        <f t="shared" si="8"/>
        <v>2.4531599402427447E-3</v>
      </c>
      <c r="AQ64" s="21"/>
      <c r="AR64" s="15"/>
      <c r="AS64">
        <f t="shared" si="9"/>
        <v>0</v>
      </c>
      <c r="AT64">
        <f t="shared" si="10"/>
        <v>1</v>
      </c>
      <c r="AU64">
        <f t="shared" si="11"/>
        <v>0</v>
      </c>
      <c r="AV64">
        <f t="shared" si="12"/>
        <v>0</v>
      </c>
      <c r="AW64" s="21">
        <f t="shared" si="13"/>
        <v>0</v>
      </c>
      <c r="AX64" s="21">
        <f t="shared" si="14"/>
        <v>0</v>
      </c>
      <c r="AY64" s="21">
        <f t="shared" si="15"/>
        <v>0</v>
      </c>
      <c r="AZ64" s="22">
        <f t="shared" si="16"/>
        <v>5.9169716998670498E-3</v>
      </c>
      <c r="BB64" s="22">
        <f t="shared" si="17"/>
        <v>5.3852269954907496E-4</v>
      </c>
      <c r="BC64" s="22">
        <f t="shared" si="18"/>
        <v>8.3701316401097944E-3</v>
      </c>
    </row>
    <row r="65" spans="1:55" customFormat="1" x14ac:dyDescent="0.3">
      <c r="A65" s="1">
        <v>46118</v>
      </c>
      <c r="B65" s="11">
        <v>26.84</v>
      </c>
      <c r="C65" s="11">
        <v>28.89</v>
      </c>
      <c r="D65" s="12">
        <v>1.0763785394932901</v>
      </c>
      <c r="E65" s="12">
        <v>1.07488560571617</v>
      </c>
      <c r="F65" s="12">
        <v>1.07489015859691</v>
      </c>
      <c r="G65" s="12">
        <v>1.0755241607080901</v>
      </c>
      <c r="H65" s="11">
        <v>28.849929657421999</v>
      </c>
      <c r="I65" s="11">
        <v>28.8479241167563</v>
      </c>
      <c r="J65" s="11">
        <v>28.867531408913099</v>
      </c>
      <c r="K65" s="13">
        <v>1.3879597446153199E-3</v>
      </c>
      <c r="L65" s="13">
        <v>1.4574784714075999E-3</v>
      </c>
      <c r="M65" s="13">
        <v>7.78031597688801E-4</v>
      </c>
      <c r="N65" s="25">
        <v>0</v>
      </c>
      <c r="O65" s="15">
        <v>0</v>
      </c>
      <c r="P65" s="16">
        <v>26.84</v>
      </c>
      <c r="Q65" s="16">
        <v>28.89</v>
      </c>
      <c r="R65" s="17">
        <v>1.0763785394932901</v>
      </c>
      <c r="S65" s="17">
        <v>1.07488560571617</v>
      </c>
      <c r="T65" s="17">
        <v>1.07489015859691</v>
      </c>
      <c r="U65" s="17">
        <v>1.0755241607080901</v>
      </c>
      <c r="V65" s="19">
        <v>28.849929657421999</v>
      </c>
      <c r="W65" s="19">
        <v>28.8479241167563</v>
      </c>
      <c r="X65" s="19">
        <v>28.867531408913099</v>
      </c>
      <c r="Y65" s="20">
        <v>1.3879597446153199E-3</v>
      </c>
      <c r="Z65" s="20">
        <v>1.4574784714075999E-3</v>
      </c>
      <c r="AA65" s="20">
        <v>7.78031597688801E-4</v>
      </c>
      <c r="AC65" s="21">
        <f t="shared" si="0"/>
        <v>1.8646285469637168E-3</v>
      </c>
      <c r="AD65" s="21">
        <f t="shared" si="0"/>
        <v>2.7729653817069114E-3</v>
      </c>
      <c r="AE65" s="21"/>
      <c r="AF65" s="21"/>
      <c r="AG65" s="15"/>
      <c r="AH65">
        <f t="shared" si="2"/>
        <v>0</v>
      </c>
      <c r="AI65">
        <f t="shared" si="3"/>
        <v>1</v>
      </c>
      <c r="AJ65">
        <f t="shared" si="4"/>
        <v>1</v>
      </c>
      <c r="AK65">
        <f t="shared" si="1"/>
        <v>1</v>
      </c>
      <c r="AL65" s="21">
        <f t="shared" si="5"/>
        <v>-1.8646285469637168E-3</v>
      </c>
      <c r="AM65" s="21">
        <f t="shared" si="6"/>
        <v>2.7729653817069114E-3</v>
      </c>
      <c r="AN65" s="21">
        <f t="shared" si="7"/>
        <v>9.0833683474319453E-4</v>
      </c>
      <c r="AO65" s="22">
        <f t="shared" si="8"/>
        <v>3.3614967749859394E-3</v>
      </c>
      <c r="AQ65" s="21"/>
      <c r="AR65" s="15"/>
      <c r="AS65">
        <f t="shared" si="9"/>
        <v>0</v>
      </c>
      <c r="AT65">
        <f t="shared" si="10"/>
        <v>0</v>
      </c>
      <c r="AU65">
        <f t="shared" si="11"/>
        <v>0</v>
      </c>
      <c r="AV65">
        <f t="shared" si="12"/>
        <v>0</v>
      </c>
      <c r="AW65" s="21">
        <f t="shared" si="13"/>
        <v>0</v>
      </c>
      <c r="AX65" s="21">
        <f t="shared" si="14"/>
        <v>0</v>
      </c>
      <c r="AY65" s="21">
        <f t="shared" si="15"/>
        <v>0</v>
      </c>
      <c r="AZ65" s="22">
        <f t="shared" si="16"/>
        <v>5.9169716998670498E-3</v>
      </c>
      <c r="BB65" s="22">
        <f t="shared" si="17"/>
        <v>9.0833683474319453E-4</v>
      </c>
      <c r="BC65" s="22">
        <f t="shared" si="18"/>
        <v>9.2784684748529883E-3</v>
      </c>
    </row>
    <row r="66" spans="1:55" customFormat="1" x14ac:dyDescent="0.3">
      <c r="A66" s="1">
        <v>46119</v>
      </c>
      <c r="B66" s="11">
        <v>26.88</v>
      </c>
      <c r="C66" s="11">
        <v>28.94</v>
      </c>
      <c r="D66" s="12">
        <v>1.0766369047619</v>
      </c>
      <c r="E66" s="12">
        <v>1.07488560571617</v>
      </c>
      <c r="F66" s="12">
        <v>1.0750950784584099</v>
      </c>
      <c r="G66" s="12">
        <v>1.0755765074211101</v>
      </c>
      <c r="H66" s="11">
        <v>28.892925081650599</v>
      </c>
      <c r="I66" s="11">
        <v>28.893047463085001</v>
      </c>
      <c r="J66" s="11">
        <v>28.910089439833602</v>
      </c>
      <c r="K66" s="13">
        <v>1.6279629183416299E-3</v>
      </c>
      <c r="L66" s="13">
        <v>1.62372723867689E-3</v>
      </c>
      <c r="M66" s="13">
        <v>1.0340714464328301E-3</v>
      </c>
      <c r="N66" s="25">
        <v>0</v>
      </c>
      <c r="O66" s="15">
        <v>0</v>
      </c>
      <c r="P66" s="16">
        <v>26.88</v>
      </c>
      <c r="Q66" s="16">
        <v>28.94</v>
      </c>
      <c r="R66" s="17">
        <v>1.0766369047619</v>
      </c>
      <c r="S66" s="17">
        <v>1.07488560571617</v>
      </c>
      <c r="T66" s="17">
        <v>1.0750950784584099</v>
      </c>
      <c r="U66" s="17">
        <v>1.0755765074211101</v>
      </c>
      <c r="V66" s="19">
        <v>28.892925081650599</v>
      </c>
      <c r="W66" s="19">
        <v>28.893047463085001</v>
      </c>
      <c r="X66" s="19">
        <v>28.910089439833602</v>
      </c>
      <c r="Y66" s="20">
        <v>1.6279629183416299E-3</v>
      </c>
      <c r="Z66" s="20">
        <v>1.62372723867689E-3</v>
      </c>
      <c r="AA66" s="20">
        <v>1.0340714464328301E-3</v>
      </c>
      <c r="AC66" s="21">
        <f t="shared" si="0"/>
        <v>1.4892035514676113E-3</v>
      </c>
      <c r="AD66" s="21">
        <f t="shared" si="0"/>
        <v>1.7292067251940095E-3</v>
      </c>
      <c r="AE66" s="21"/>
      <c r="AF66" s="21"/>
      <c r="AG66" s="15"/>
      <c r="AH66">
        <f t="shared" si="2"/>
        <v>0</v>
      </c>
      <c r="AI66">
        <f t="shared" si="3"/>
        <v>1</v>
      </c>
      <c r="AJ66">
        <f t="shared" si="4"/>
        <v>0</v>
      </c>
      <c r="AK66">
        <f t="shared" si="1"/>
        <v>0</v>
      </c>
      <c r="AL66" s="21">
        <f t="shared" si="5"/>
        <v>0</v>
      </c>
      <c r="AM66" s="21">
        <f t="shared" si="6"/>
        <v>0</v>
      </c>
      <c r="AN66" s="21">
        <f t="shared" si="7"/>
        <v>0</v>
      </c>
      <c r="AO66" s="22">
        <f t="shared" si="8"/>
        <v>3.3614967749859394E-3</v>
      </c>
      <c r="AQ66" s="21"/>
      <c r="AR66" s="15"/>
      <c r="AS66">
        <f t="shared" si="9"/>
        <v>1</v>
      </c>
      <c r="AT66">
        <f t="shared" si="10"/>
        <v>0</v>
      </c>
      <c r="AU66">
        <f t="shared" si="11"/>
        <v>0</v>
      </c>
      <c r="AV66">
        <f t="shared" si="12"/>
        <v>0</v>
      </c>
      <c r="AW66" s="21">
        <f t="shared" si="13"/>
        <v>0</v>
      </c>
      <c r="AX66" s="21">
        <f t="shared" si="14"/>
        <v>0</v>
      </c>
      <c r="AY66" s="21">
        <f t="shared" si="15"/>
        <v>0</v>
      </c>
      <c r="AZ66" s="22">
        <f t="shared" si="16"/>
        <v>5.9169716998670498E-3</v>
      </c>
      <c r="BB66" s="22">
        <f t="shared" si="17"/>
        <v>0</v>
      </c>
      <c r="BC66" s="22">
        <f t="shared" si="18"/>
        <v>9.2784684748529883E-3</v>
      </c>
    </row>
    <row r="67" spans="1:55" customFormat="1" x14ac:dyDescent="0.3">
      <c r="A67" s="1">
        <v>46120</v>
      </c>
      <c r="B67" s="11">
        <v>27.08</v>
      </c>
      <c r="C67" s="11">
        <v>29.14</v>
      </c>
      <c r="D67" s="12">
        <v>1.07607090103397</v>
      </c>
      <c r="E67" s="12">
        <v>1.07488560571617</v>
      </c>
      <c r="F67" s="12">
        <v>1.0753017177729201</v>
      </c>
      <c r="G67" s="12">
        <v>1.07557369622743</v>
      </c>
      <c r="H67" s="11">
        <v>29.107902202793898</v>
      </c>
      <c r="I67" s="11">
        <v>29.113574724653802</v>
      </c>
      <c r="J67" s="11">
        <v>29.126611820963799</v>
      </c>
      <c r="K67" s="13">
        <v>1.1021100929372301E-3</v>
      </c>
      <c r="L67" s="13">
        <v>9.0724997680056898E-4</v>
      </c>
      <c r="M67" s="13">
        <v>4.5954892015606901E-4</v>
      </c>
      <c r="N67" s="25">
        <v>0</v>
      </c>
      <c r="O67" s="15">
        <v>0</v>
      </c>
      <c r="P67" s="16">
        <v>27.08</v>
      </c>
      <c r="Q67" s="16">
        <v>29.14</v>
      </c>
      <c r="R67" s="17">
        <v>1.07607090103397</v>
      </c>
      <c r="S67" s="17">
        <v>1.07488560571617</v>
      </c>
      <c r="T67" s="17">
        <v>1.0753017177729201</v>
      </c>
      <c r="U67" s="17">
        <v>1.07557369622743</v>
      </c>
      <c r="V67" s="19">
        <v>29.107902202793898</v>
      </c>
      <c r="W67" s="19">
        <v>29.113574724653802</v>
      </c>
      <c r="X67" s="19">
        <v>29.126611820963799</v>
      </c>
      <c r="Y67" s="20">
        <v>1.1021100929372301E-3</v>
      </c>
      <c r="Z67" s="20">
        <v>9.0724997680056898E-4</v>
      </c>
      <c r="AA67" s="20">
        <v>4.5954892015606901E-4</v>
      </c>
      <c r="AC67" s="21">
        <f t="shared" si="0"/>
        <v>7.4129323891255336E-3</v>
      </c>
      <c r="AD67" s="21">
        <f t="shared" si="0"/>
        <v>6.8870795637209934E-3</v>
      </c>
      <c r="AE67" s="21"/>
      <c r="AF67" s="21"/>
      <c r="AG67" s="15"/>
      <c r="AH67">
        <f t="shared" si="2"/>
        <v>0</v>
      </c>
      <c r="AI67">
        <f t="shared" si="3"/>
        <v>1</v>
      </c>
      <c r="AJ67">
        <f t="shared" si="4"/>
        <v>0</v>
      </c>
      <c r="AK67">
        <f t="shared" si="1"/>
        <v>0</v>
      </c>
      <c r="AL67" s="21">
        <f t="shared" si="5"/>
        <v>0</v>
      </c>
      <c r="AM67" s="21">
        <f t="shared" si="6"/>
        <v>0</v>
      </c>
      <c r="AN67" s="21">
        <f t="shared" si="7"/>
        <v>0</v>
      </c>
      <c r="AO67" s="22">
        <f t="shared" si="8"/>
        <v>3.3614967749859394E-3</v>
      </c>
      <c r="AQ67" s="21"/>
      <c r="AR67" s="15"/>
      <c r="AS67">
        <f t="shared" si="9"/>
        <v>0</v>
      </c>
      <c r="AT67">
        <f t="shared" si="10"/>
        <v>0</v>
      </c>
      <c r="AU67">
        <f t="shared" si="11"/>
        <v>0</v>
      </c>
      <c r="AV67">
        <f t="shared" si="12"/>
        <v>1</v>
      </c>
      <c r="AW67" s="21">
        <f t="shared" si="13"/>
        <v>7.4129323891255336E-3</v>
      </c>
      <c r="AX67" s="21">
        <f t="shared" si="14"/>
        <v>-6.8870795637209934E-3</v>
      </c>
      <c r="AY67" s="21">
        <f t="shared" si="15"/>
        <v>5.2585282540454012E-4</v>
      </c>
      <c r="AZ67" s="22">
        <f t="shared" si="16"/>
        <v>6.4428245252715899E-3</v>
      </c>
      <c r="BB67" s="22">
        <f t="shared" si="17"/>
        <v>5.2585282540454012E-4</v>
      </c>
      <c r="BC67" s="22">
        <f t="shared" si="18"/>
        <v>9.8043213002575284E-3</v>
      </c>
    </row>
    <row r="68" spans="1:55" customFormat="1" x14ac:dyDescent="0.3">
      <c r="A68" s="1">
        <v>46121</v>
      </c>
      <c r="B68" s="11">
        <v>27.13</v>
      </c>
      <c r="C68" s="11">
        <v>29.19</v>
      </c>
      <c r="D68" s="12">
        <v>1.07593070401769</v>
      </c>
      <c r="E68" s="12">
        <v>1.07488560571617</v>
      </c>
      <c r="F68" s="12">
        <v>1.0754527537693099</v>
      </c>
      <c r="G68" s="12">
        <v>1.07554975665087</v>
      </c>
      <c r="H68" s="11">
        <v>29.1616464830797</v>
      </c>
      <c r="I68" s="11">
        <v>29.1729356031795</v>
      </c>
      <c r="J68" s="11">
        <v>29.180314378650301</v>
      </c>
      <c r="K68" s="13">
        <v>9.7181556513571503E-4</v>
      </c>
      <c r="L68" s="13">
        <v>5.8476829961767696E-4</v>
      </c>
      <c r="M68" s="13">
        <v>3.3186805799021601E-4</v>
      </c>
      <c r="N68" s="25">
        <v>0</v>
      </c>
      <c r="O68" s="15">
        <v>0</v>
      </c>
      <c r="P68" s="16">
        <v>27.13</v>
      </c>
      <c r="Q68" s="16">
        <v>29.19</v>
      </c>
      <c r="R68" s="17">
        <v>1.07593070401769</v>
      </c>
      <c r="S68" s="17">
        <v>1.07488560571617</v>
      </c>
      <c r="T68" s="17">
        <v>1.0754527537693099</v>
      </c>
      <c r="U68" s="17">
        <v>1.07554975665087</v>
      </c>
      <c r="V68" s="19">
        <v>29.1616464830797</v>
      </c>
      <c r="W68" s="19">
        <v>29.1729356031795</v>
      </c>
      <c r="X68" s="19">
        <v>29.180314378650301</v>
      </c>
      <c r="Y68" s="20">
        <v>9.7181556513571503E-4</v>
      </c>
      <c r="Z68" s="20">
        <v>5.8476829961767696E-4</v>
      </c>
      <c r="AA68" s="20">
        <v>3.3186805799021601E-4</v>
      </c>
      <c r="AC68" s="21">
        <f t="shared" ref="AC68:AD131" si="19">LN(B68/B67)</f>
        <v>1.844678626766095E-3</v>
      </c>
      <c r="AD68" s="21">
        <f t="shared" si="19"/>
        <v>1.7143840989647372E-3</v>
      </c>
      <c r="AE68" s="21"/>
      <c r="AF68" s="21"/>
      <c r="AG68" s="15"/>
      <c r="AH68">
        <f t="shared" si="2"/>
        <v>0</v>
      </c>
      <c r="AI68">
        <f t="shared" si="3"/>
        <v>1</v>
      </c>
      <c r="AJ68">
        <f t="shared" si="4"/>
        <v>0</v>
      </c>
      <c r="AK68">
        <f t="shared" si="1"/>
        <v>0</v>
      </c>
      <c r="AL68" s="21">
        <f t="shared" si="5"/>
        <v>0</v>
      </c>
      <c r="AM68" s="21">
        <f t="shared" si="6"/>
        <v>0</v>
      </c>
      <c r="AN68" s="21">
        <f t="shared" si="7"/>
        <v>0</v>
      </c>
      <c r="AO68" s="22">
        <f t="shared" si="8"/>
        <v>3.3614967749859394E-3</v>
      </c>
      <c r="AQ68" s="21"/>
      <c r="AR68" s="15"/>
      <c r="AS68">
        <f t="shared" si="9"/>
        <v>0</v>
      </c>
      <c r="AT68">
        <f t="shared" si="10"/>
        <v>0</v>
      </c>
      <c r="AU68">
        <f t="shared" si="11"/>
        <v>1</v>
      </c>
      <c r="AV68">
        <f t="shared" si="12"/>
        <v>0</v>
      </c>
      <c r="AW68" s="21">
        <f t="shared" si="13"/>
        <v>0</v>
      </c>
      <c r="AX68" s="21">
        <f t="shared" si="14"/>
        <v>0</v>
      </c>
      <c r="AY68" s="21">
        <f t="shared" si="15"/>
        <v>0</v>
      </c>
      <c r="AZ68" s="22">
        <f t="shared" si="16"/>
        <v>6.4428245252715899E-3</v>
      </c>
      <c r="BB68" s="22">
        <f t="shared" si="17"/>
        <v>0</v>
      </c>
      <c r="BC68" s="22">
        <f t="shared" si="18"/>
        <v>9.8043213002575284E-3</v>
      </c>
    </row>
    <row r="69" spans="1:55" customFormat="1" x14ac:dyDescent="0.3">
      <c r="A69" s="1">
        <v>46122</v>
      </c>
      <c r="B69" s="11">
        <v>27.04</v>
      </c>
      <c r="C69" s="11">
        <v>29.13</v>
      </c>
      <c r="D69" s="12">
        <v>1.07729289940828</v>
      </c>
      <c r="E69" s="12">
        <v>1.07488560571617</v>
      </c>
      <c r="F69" s="12">
        <v>1.07575928560916</v>
      </c>
      <c r="G69" s="12">
        <v>1.0755452427427801</v>
      </c>
      <c r="H69" s="11">
        <v>29.064906778565199</v>
      </c>
      <c r="I69" s="11">
        <v>29.0802424619222</v>
      </c>
      <c r="J69" s="11">
        <v>29.0828654198395</v>
      </c>
      <c r="K69" s="13">
        <v>2.2370771665324498E-3</v>
      </c>
      <c r="L69" s="13">
        <v>1.7095805855482601E-3</v>
      </c>
      <c r="M69" s="13">
        <v>1.6193874024582799E-3</v>
      </c>
      <c r="N69" s="25">
        <v>0</v>
      </c>
      <c r="O69" s="15">
        <v>0</v>
      </c>
      <c r="P69" s="16">
        <v>27.04</v>
      </c>
      <c r="Q69" s="16">
        <v>29.13</v>
      </c>
      <c r="R69" s="17">
        <v>1.07729289940828</v>
      </c>
      <c r="S69" s="17">
        <v>1.07488560571617</v>
      </c>
      <c r="T69" s="17">
        <v>1.07575928560916</v>
      </c>
      <c r="U69" s="17">
        <v>1.0755452427427801</v>
      </c>
      <c r="V69" s="19">
        <v>29.064906778565199</v>
      </c>
      <c r="W69" s="19">
        <v>29.0802424619222</v>
      </c>
      <c r="X69" s="19">
        <v>29.0828654198395</v>
      </c>
      <c r="Y69" s="20">
        <v>2.2370771665324498E-3</v>
      </c>
      <c r="Z69" s="20">
        <v>1.7095805855482601E-3</v>
      </c>
      <c r="AA69" s="20">
        <v>1.6193874024582799E-3</v>
      </c>
      <c r="AC69" s="21">
        <f t="shared" si="19"/>
        <v>-3.3228754960770183E-3</v>
      </c>
      <c r="AD69" s="21">
        <f t="shared" si="19"/>
        <v>-2.0576138946802654E-3</v>
      </c>
      <c r="AE69" s="21"/>
      <c r="AF69" s="21"/>
      <c r="AG69" s="15"/>
      <c r="AH69">
        <f t="shared" si="2"/>
        <v>0</v>
      </c>
      <c r="AI69">
        <f t="shared" si="3"/>
        <v>1</v>
      </c>
      <c r="AJ69">
        <f t="shared" si="4"/>
        <v>0</v>
      </c>
      <c r="AK69">
        <f t="shared" si="1"/>
        <v>0</v>
      </c>
      <c r="AL69" s="21">
        <f t="shared" si="5"/>
        <v>0</v>
      </c>
      <c r="AM69" s="21">
        <f t="shared" si="6"/>
        <v>0</v>
      </c>
      <c r="AN69" s="21">
        <f t="shared" si="7"/>
        <v>0</v>
      </c>
      <c r="AO69" s="22">
        <f t="shared" si="8"/>
        <v>3.3614967749859394E-3</v>
      </c>
      <c r="AQ69" s="21"/>
      <c r="AR69" s="15"/>
      <c r="AS69">
        <f t="shared" si="9"/>
        <v>1</v>
      </c>
      <c r="AT69">
        <f t="shared" si="10"/>
        <v>0</v>
      </c>
      <c r="AU69">
        <f t="shared" si="11"/>
        <v>0</v>
      </c>
      <c r="AV69">
        <f t="shared" si="12"/>
        <v>1</v>
      </c>
      <c r="AW69" s="21">
        <f t="shared" si="13"/>
        <v>-3.3228754960770183E-3</v>
      </c>
      <c r="AX69" s="21">
        <f t="shared" si="14"/>
        <v>2.0576138946802654E-3</v>
      </c>
      <c r="AY69" s="21">
        <f t="shared" si="15"/>
        <v>-1.2652616013967529E-3</v>
      </c>
      <c r="AZ69" s="22">
        <f t="shared" si="16"/>
        <v>5.177562923874837E-3</v>
      </c>
      <c r="BB69" s="22">
        <f t="shared" si="17"/>
        <v>-1.2652616013967529E-3</v>
      </c>
      <c r="BC69" s="22">
        <f t="shared" si="18"/>
        <v>8.5390596988607764E-3</v>
      </c>
    </row>
    <row r="70" spans="1:55" customFormat="1" x14ac:dyDescent="0.3">
      <c r="A70" s="1">
        <v>46125</v>
      </c>
      <c r="B70" s="11">
        <v>27.14</v>
      </c>
      <c r="C70" s="11">
        <v>29.23</v>
      </c>
      <c r="D70" s="12">
        <v>1.0770081061164301</v>
      </c>
      <c r="E70" s="12">
        <v>1.07488560571617</v>
      </c>
      <c r="F70" s="12">
        <v>1.0758872071636301</v>
      </c>
      <c r="G70" s="12">
        <v>1.07553218218213</v>
      </c>
      <c r="H70" s="11">
        <v>29.172395339136798</v>
      </c>
      <c r="I70" s="11">
        <v>29.196107011432598</v>
      </c>
      <c r="J70" s="11">
        <v>29.190297888039101</v>
      </c>
      <c r="K70" s="13">
        <v>1.9726820863839802E-3</v>
      </c>
      <c r="L70" s="13">
        <v>1.16020026330161E-3</v>
      </c>
      <c r="M70" s="13">
        <v>1.35918916911757E-3</v>
      </c>
      <c r="N70" s="25">
        <v>0</v>
      </c>
      <c r="O70" s="15">
        <v>0</v>
      </c>
      <c r="P70" s="16">
        <v>27.14</v>
      </c>
      <c r="Q70" s="16">
        <v>29.23</v>
      </c>
      <c r="R70" s="17">
        <v>1.0770081061164301</v>
      </c>
      <c r="S70" s="17">
        <v>1.07488560571617</v>
      </c>
      <c r="T70" s="17">
        <v>1.0758872071636301</v>
      </c>
      <c r="U70" s="17">
        <v>1.07553218218213</v>
      </c>
      <c r="V70" s="19">
        <v>29.172395339136798</v>
      </c>
      <c r="W70" s="19">
        <v>29.196107011432598</v>
      </c>
      <c r="X70" s="19">
        <v>29.190297888039101</v>
      </c>
      <c r="Y70" s="20">
        <v>1.9726820863839802E-3</v>
      </c>
      <c r="Z70" s="20">
        <v>1.16020026330161E-3</v>
      </c>
      <c r="AA70" s="20">
        <v>1.35918916911757E-3</v>
      </c>
      <c r="AC70" s="21">
        <f t="shared" si="19"/>
        <v>3.6914032319598981E-3</v>
      </c>
      <c r="AD70" s="21">
        <f t="shared" si="19"/>
        <v>3.4270081518113543E-3</v>
      </c>
      <c r="AE70" s="21"/>
      <c r="AF70" s="21"/>
      <c r="AG70" s="15"/>
      <c r="AH70">
        <f t="shared" si="2"/>
        <v>0</v>
      </c>
      <c r="AI70">
        <f t="shared" si="3"/>
        <v>1</v>
      </c>
      <c r="AJ70">
        <f t="shared" si="4"/>
        <v>0</v>
      </c>
      <c r="AK70">
        <f t="shared" si="1"/>
        <v>0</v>
      </c>
      <c r="AL70" s="21">
        <f t="shared" si="5"/>
        <v>0</v>
      </c>
      <c r="AM70" s="21">
        <f t="shared" si="6"/>
        <v>0</v>
      </c>
      <c r="AN70" s="21">
        <f t="shared" si="7"/>
        <v>0</v>
      </c>
      <c r="AO70" s="22">
        <f t="shared" si="8"/>
        <v>3.3614967749859394E-3</v>
      </c>
      <c r="AQ70" s="21"/>
      <c r="AR70" s="15"/>
      <c r="AS70">
        <f t="shared" si="9"/>
        <v>1</v>
      </c>
      <c r="AT70">
        <f t="shared" si="10"/>
        <v>0</v>
      </c>
      <c r="AU70">
        <f t="shared" si="11"/>
        <v>1</v>
      </c>
      <c r="AV70">
        <f t="shared" si="12"/>
        <v>1</v>
      </c>
      <c r="AW70" s="21">
        <f t="shared" si="13"/>
        <v>3.6914032319598981E-3</v>
      </c>
      <c r="AX70" s="21">
        <f t="shared" si="14"/>
        <v>-3.4270081518113543E-3</v>
      </c>
      <c r="AY70" s="21">
        <f t="shared" si="15"/>
        <v>2.6439508014854379E-4</v>
      </c>
      <c r="AZ70" s="22">
        <f t="shared" si="16"/>
        <v>5.4419580040233808E-3</v>
      </c>
      <c r="BB70" s="22">
        <f t="shared" si="17"/>
        <v>2.6439508014854379E-4</v>
      </c>
      <c r="BC70" s="22">
        <f t="shared" si="18"/>
        <v>8.8034547790093211E-3</v>
      </c>
    </row>
    <row r="71" spans="1:55" customFormat="1" x14ac:dyDescent="0.3">
      <c r="A71" s="1">
        <v>46126</v>
      </c>
      <c r="B71" s="11">
        <v>27.26</v>
      </c>
      <c r="C71" s="11">
        <v>29.34</v>
      </c>
      <c r="D71" s="12">
        <v>1.0763022743947099</v>
      </c>
      <c r="E71" s="12">
        <v>1.07488560571617</v>
      </c>
      <c r="F71" s="12">
        <v>1.0760694194802201</v>
      </c>
      <c r="G71" s="12">
        <v>1.0755543213129299</v>
      </c>
      <c r="H71" s="11">
        <v>29.301381611822801</v>
      </c>
      <c r="I71" s="11">
        <v>29.328685267280498</v>
      </c>
      <c r="J71" s="11">
        <v>29.319007286285</v>
      </c>
      <c r="K71" s="13">
        <v>1.3171038164015499E-3</v>
      </c>
      <c r="L71" s="13">
        <v>3.8571625759677901E-4</v>
      </c>
      <c r="M71" s="13">
        <v>7.15754172542044E-4</v>
      </c>
      <c r="N71" s="25">
        <v>0</v>
      </c>
      <c r="O71" s="15">
        <v>0</v>
      </c>
      <c r="P71" s="16">
        <v>27.26</v>
      </c>
      <c r="Q71" s="16">
        <v>29.34</v>
      </c>
      <c r="R71" s="17">
        <v>1.0763022743947099</v>
      </c>
      <c r="S71" s="17">
        <v>1.07488560571617</v>
      </c>
      <c r="T71" s="17">
        <v>1.0760694194802201</v>
      </c>
      <c r="U71" s="17">
        <v>1.0755543213129299</v>
      </c>
      <c r="V71" s="19">
        <v>29.301381611822801</v>
      </c>
      <c r="W71" s="19">
        <v>29.328685267280498</v>
      </c>
      <c r="X71" s="19">
        <v>29.319007286285</v>
      </c>
      <c r="Y71" s="20">
        <v>1.3171038164015499E-3</v>
      </c>
      <c r="Z71" s="20">
        <v>3.8571625759677901E-4</v>
      </c>
      <c r="AA71" s="20">
        <v>7.15754172542044E-4</v>
      </c>
      <c r="AC71" s="21">
        <f t="shared" si="19"/>
        <v>4.4117718616635861E-3</v>
      </c>
      <c r="AD71" s="21">
        <f t="shared" si="19"/>
        <v>3.7561935916810719E-3</v>
      </c>
      <c r="AE71" s="21"/>
      <c r="AF71" s="21"/>
      <c r="AG71" s="15"/>
      <c r="AH71">
        <f t="shared" si="2"/>
        <v>0</v>
      </c>
      <c r="AI71">
        <f t="shared" si="3"/>
        <v>1</v>
      </c>
      <c r="AJ71">
        <f t="shared" si="4"/>
        <v>0</v>
      </c>
      <c r="AK71">
        <f t="shared" si="1"/>
        <v>0</v>
      </c>
      <c r="AL71" s="21">
        <f t="shared" si="5"/>
        <v>0</v>
      </c>
      <c r="AM71" s="21">
        <f t="shared" si="6"/>
        <v>0</v>
      </c>
      <c r="AN71" s="21">
        <f t="shared" si="7"/>
        <v>0</v>
      </c>
      <c r="AO71" s="22">
        <f t="shared" si="8"/>
        <v>3.3614967749859394E-3</v>
      </c>
      <c r="AQ71" s="21"/>
      <c r="AR71" s="15"/>
      <c r="AS71">
        <f t="shared" si="9"/>
        <v>0</v>
      </c>
      <c r="AT71">
        <f t="shared" si="10"/>
        <v>0</v>
      </c>
      <c r="AU71">
        <f t="shared" si="11"/>
        <v>1</v>
      </c>
      <c r="AV71">
        <f t="shared" si="12"/>
        <v>1</v>
      </c>
      <c r="AW71" s="21">
        <f t="shared" si="13"/>
        <v>4.4117718616635861E-3</v>
      </c>
      <c r="AX71" s="21">
        <f t="shared" si="14"/>
        <v>-3.7561935916810719E-3</v>
      </c>
      <c r="AY71" s="21">
        <f t="shared" si="15"/>
        <v>6.5557826998251419E-4</v>
      </c>
      <c r="AZ71" s="22">
        <f t="shared" si="16"/>
        <v>6.097536274005895E-3</v>
      </c>
      <c r="BB71" s="22">
        <f t="shared" si="17"/>
        <v>6.5557826998251419E-4</v>
      </c>
      <c r="BC71" s="22">
        <f t="shared" si="18"/>
        <v>9.4590330489918353E-3</v>
      </c>
    </row>
    <row r="72" spans="1:55" customFormat="1" x14ac:dyDescent="0.3">
      <c r="A72" s="1">
        <v>46127</v>
      </c>
      <c r="B72" s="11">
        <v>27.23</v>
      </c>
      <c r="C72" s="11">
        <v>29.32</v>
      </c>
      <c r="D72" s="12">
        <v>1.07675358060962</v>
      </c>
      <c r="E72" s="12">
        <v>1.07488560571617</v>
      </c>
      <c r="F72" s="12">
        <v>1.07625974760107</v>
      </c>
      <c r="G72" s="12">
        <v>1.0756345598672199</v>
      </c>
      <c r="H72" s="11">
        <v>29.2691350436513</v>
      </c>
      <c r="I72" s="11">
        <v>29.301370292446599</v>
      </c>
      <c r="J72" s="11">
        <v>29.287344169351201</v>
      </c>
      <c r="K72" s="13">
        <v>1.7363277027350999E-3</v>
      </c>
      <c r="L72" s="13">
        <v>6.3559442870738097E-4</v>
      </c>
      <c r="M72" s="13">
        <v>1.1143939208018499E-3</v>
      </c>
      <c r="N72" s="25">
        <v>0</v>
      </c>
      <c r="O72" s="15">
        <v>0</v>
      </c>
      <c r="P72" s="16">
        <v>27.23</v>
      </c>
      <c r="Q72" s="16">
        <v>29.32</v>
      </c>
      <c r="R72" s="17">
        <v>1.07675358060962</v>
      </c>
      <c r="S72" s="17">
        <v>1.07488560571617</v>
      </c>
      <c r="T72" s="17">
        <v>1.07625974760107</v>
      </c>
      <c r="U72" s="17">
        <v>1.0756345598672199</v>
      </c>
      <c r="V72" s="19">
        <v>29.2691350436513</v>
      </c>
      <c r="W72" s="19">
        <v>29.301370292446599</v>
      </c>
      <c r="X72" s="19">
        <v>29.287344169351201</v>
      </c>
      <c r="Y72" s="20">
        <v>1.7363277027350999E-3</v>
      </c>
      <c r="Z72" s="20">
        <v>6.3559442870738097E-4</v>
      </c>
      <c r="AA72" s="20">
        <v>1.1143939208018499E-3</v>
      </c>
      <c r="AC72" s="21">
        <f t="shared" si="19"/>
        <v>-1.1011195827183749E-3</v>
      </c>
      <c r="AD72" s="21">
        <f t="shared" si="19"/>
        <v>-6.818956963849359E-4</v>
      </c>
      <c r="AE72" s="21"/>
      <c r="AF72" s="21"/>
      <c r="AG72" s="15"/>
      <c r="AH72">
        <f t="shared" si="2"/>
        <v>0</v>
      </c>
      <c r="AI72">
        <f t="shared" si="3"/>
        <v>1</v>
      </c>
      <c r="AJ72">
        <f t="shared" si="4"/>
        <v>0</v>
      </c>
      <c r="AK72">
        <f t="shared" si="1"/>
        <v>0</v>
      </c>
      <c r="AL72" s="21">
        <f t="shared" si="5"/>
        <v>0</v>
      </c>
      <c r="AM72" s="21">
        <f t="shared" si="6"/>
        <v>0</v>
      </c>
      <c r="AN72" s="21">
        <f t="shared" si="7"/>
        <v>0</v>
      </c>
      <c r="AO72" s="22">
        <f t="shared" si="8"/>
        <v>3.3614967749859394E-3</v>
      </c>
      <c r="AQ72" s="21"/>
      <c r="AR72" s="15"/>
      <c r="AS72">
        <f t="shared" si="9"/>
        <v>1</v>
      </c>
      <c r="AT72">
        <f t="shared" si="10"/>
        <v>0</v>
      </c>
      <c r="AU72">
        <f t="shared" si="11"/>
        <v>1</v>
      </c>
      <c r="AV72">
        <f t="shared" si="12"/>
        <v>1</v>
      </c>
      <c r="AW72" s="21">
        <f t="shared" si="13"/>
        <v>-1.1011195827183749E-3</v>
      </c>
      <c r="AX72" s="21">
        <f t="shared" si="14"/>
        <v>6.818956963849359E-4</v>
      </c>
      <c r="AY72" s="21">
        <f t="shared" si="15"/>
        <v>-4.1922388633343897E-4</v>
      </c>
      <c r="AZ72" s="22">
        <f t="shared" si="16"/>
        <v>5.6783123876724562E-3</v>
      </c>
      <c r="BB72" s="22">
        <f t="shared" si="17"/>
        <v>-4.1922388633343897E-4</v>
      </c>
      <c r="BC72" s="22">
        <f t="shared" si="18"/>
        <v>9.0398091626583965E-3</v>
      </c>
    </row>
    <row r="73" spans="1:55" customFormat="1" x14ac:dyDescent="0.3">
      <c r="A73" s="1">
        <v>46128</v>
      </c>
      <c r="B73" s="11">
        <v>27.17</v>
      </c>
      <c r="C73" s="11">
        <v>29.28</v>
      </c>
      <c r="D73" s="12">
        <v>1.0776591829223401</v>
      </c>
      <c r="E73" s="12">
        <v>1.07488560571617</v>
      </c>
      <c r="F73" s="12">
        <v>1.07654343618885</v>
      </c>
      <c r="G73" s="12">
        <v>1.07567856770248</v>
      </c>
      <c r="H73" s="11">
        <v>29.2046419073083</v>
      </c>
      <c r="I73" s="11">
        <v>29.2419773423211</v>
      </c>
      <c r="J73" s="11">
        <v>29.224990991592499</v>
      </c>
      <c r="K73" s="13">
        <v>2.5770230248069702E-3</v>
      </c>
      <c r="L73" s="13">
        <v>1.29943193158563E-3</v>
      </c>
      <c r="M73" s="13">
        <v>1.88048997822538E-3</v>
      </c>
      <c r="N73" s="25">
        <v>0</v>
      </c>
      <c r="O73" s="15">
        <v>0</v>
      </c>
      <c r="P73" s="16">
        <v>27.17</v>
      </c>
      <c r="Q73" s="16">
        <v>29.28</v>
      </c>
      <c r="R73" s="17">
        <v>1.0776591829223401</v>
      </c>
      <c r="S73" s="17">
        <v>1.07488560571617</v>
      </c>
      <c r="T73" s="17">
        <v>1.07654343618885</v>
      </c>
      <c r="U73" s="17">
        <v>1.07567856770248</v>
      </c>
      <c r="V73" s="19">
        <v>29.2046419073083</v>
      </c>
      <c r="W73" s="19">
        <v>29.2419773423211</v>
      </c>
      <c r="X73" s="19">
        <v>29.224990991592499</v>
      </c>
      <c r="Y73" s="20">
        <v>2.5770230248069702E-3</v>
      </c>
      <c r="Z73" s="20">
        <v>1.29943193158563E-3</v>
      </c>
      <c r="AA73" s="20">
        <v>1.88048997822538E-3</v>
      </c>
      <c r="AC73" s="21">
        <f t="shared" si="19"/>
        <v>-2.205883247411832E-3</v>
      </c>
      <c r="AD73" s="21">
        <f t="shared" si="19"/>
        <v>-1.3651879253398589E-3</v>
      </c>
      <c r="AE73" s="21"/>
      <c r="AF73" s="21"/>
      <c r="AG73" s="15"/>
      <c r="AH73">
        <f t="shared" si="2"/>
        <v>0</v>
      </c>
      <c r="AI73">
        <f t="shared" si="3"/>
        <v>1</v>
      </c>
      <c r="AJ73">
        <f t="shared" si="4"/>
        <v>0</v>
      </c>
      <c r="AK73">
        <f t="shared" si="1"/>
        <v>0</v>
      </c>
      <c r="AL73" s="21">
        <f t="shared" si="5"/>
        <v>0</v>
      </c>
      <c r="AM73" s="21">
        <f t="shared" si="6"/>
        <v>0</v>
      </c>
      <c r="AN73" s="21">
        <f t="shared" si="7"/>
        <v>0</v>
      </c>
      <c r="AO73" s="22">
        <f t="shared" si="8"/>
        <v>3.3614967749859394E-3</v>
      </c>
      <c r="AQ73" s="21"/>
      <c r="AR73" s="15"/>
      <c r="AS73">
        <f t="shared" si="9"/>
        <v>1</v>
      </c>
      <c r="AT73">
        <f t="shared" si="10"/>
        <v>0</v>
      </c>
      <c r="AU73">
        <f t="shared" si="11"/>
        <v>1</v>
      </c>
      <c r="AV73">
        <f t="shared" si="12"/>
        <v>1</v>
      </c>
      <c r="AW73" s="21">
        <f t="shared" si="13"/>
        <v>-2.205883247411832E-3</v>
      </c>
      <c r="AX73" s="21">
        <f t="shared" si="14"/>
        <v>1.3651879253398589E-3</v>
      </c>
      <c r="AY73" s="21">
        <f t="shared" si="15"/>
        <v>-8.4069532207197307E-4</v>
      </c>
      <c r="AZ73" s="22">
        <f t="shared" si="16"/>
        <v>4.8376170656004832E-3</v>
      </c>
      <c r="BB73" s="22">
        <f t="shared" si="17"/>
        <v>-8.4069532207197307E-4</v>
      </c>
      <c r="BC73" s="22">
        <f t="shared" si="18"/>
        <v>8.1991138405864243E-3</v>
      </c>
    </row>
    <row r="74" spans="1:55" customFormat="1" x14ac:dyDescent="0.3">
      <c r="A74" s="1">
        <v>46129</v>
      </c>
      <c r="B74" s="11">
        <v>27.29</v>
      </c>
      <c r="C74" s="11">
        <v>29.4</v>
      </c>
      <c r="D74" s="12">
        <v>1.07731769879076</v>
      </c>
      <c r="E74" s="12">
        <v>1.07488560571617</v>
      </c>
      <c r="F74" s="12">
        <v>1.0767350791549</v>
      </c>
      <c r="G74" s="12">
        <v>1.07577298139481</v>
      </c>
      <c r="H74" s="11">
        <v>29.3336281799942</v>
      </c>
      <c r="I74" s="11">
        <v>29.378870373593799</v>
      </c>
      <c r="J74" s="11">
        <v>29.355268112600601</v>
      </c>
      <c r="K74" s="13">
        <v>2.2600969943413099E-3</v>
      </c>
      <c r="L74" s="13">
        <v>7.1895316061815998E-4</v>
      </c>
      <c r="M74" s="13">
        <v>1.52265141420261E-3</v>
      </c>
      <c r="N74" s="25">
        <v>0</v>
      </c>
      <c r="O74" s="15">
        <v>0</v>
      </c>
      <c r="P74" s="16">
        <v>27.29</v>
      </c>
      <c r="Q74" s="16">
        <v>29.4</v>
      </c>
      <c r="R74" s="17">
        <v>1.07731769879076</v>
      </c>
      <c r="S74" s="17">
        <v>1.07488560571617</v>
      </c>
      <c r="T74" s="17">
        <v>1.0767350791549</v>
      </c>
      <c r="U74" s="17">
        <v>1.07577298139481</v>
      </c>
      <c r="V74" s="19">
        <v>29.3336281799942</v>
      </c>
      <c r="W74" s="19">
        <v>29.378870373593799</v>
      </c>
      <c r="X74" s="19">
        <v>29.355268112600601</v>
      </c>
      <c r="Y74" s="20">
        <v>2.2600969943413099E-3</v>
      </c>
      <c r="Z74" s="20">
        <v>7.1895316061815998E-4</v>
      </c>
      <c r="AA74" s="20">
        <v>1.52265141420261E-3</v>
      </c>
      <c r="AC74" s="21">
        <f t="shared" si="19"/>
        <v>4.4069112819906525E-3</v>
      </c>
      <c r="AD74" s="21">
        <f t="shared" si="19"/>
        <v>4.0899852515250664E-3</v>
      </c>
      <c r="AE74" s="21"/>
      <c r="AF74" s="21"/>
      <c r="AG74" s="15"/>
      <c r="AH74">
        <f t="shared" si="2"/>
        <v>0</v>
      </c>
      <c r="AI74">
        <f t="shared" si="3"/>
        <v>1</v>
      </c>
      <c r="AJ74">
        <f t="shared" si="4"/>
        <v>0</v>
      </c>
      <c r="AK74">
        <f t="shared" si="1"/>
        <v>0</v>
      </c>
      <c r="AL74" s="21">
        <f t="shared" si="5"/>
        <v>0</v>
      </c>
      <c r="AM74" s="21">
        <f t="shared" si="6"/>
        <v>0</v>
      </c>
      <c r="AN74" s="21">
        <f t="shared" si="7"/>
        <v>0</v>
      </c>
      <c r="AO74" s="22">
        <f t="shared" si="8"/>
        <v>3.3614967749859394E-3</v>
      </c>
      <c r="AQ74" s="21"/>
      <c r="AR74" s="15"/>
      <c r="AS74">
        <f t="shared" si="9"/>
        <v>1</v>
      </c>
      <c r="AT74">
        <f t="shared" si="10"/>
        <v>0</v>
      </c>
      <c r="AU74">
        <f t="shared" si="11"/>
        <v>1</v>
      </c>
      <c r="AV74">
        <f t="shared" si="12"/>
        <v>1</v>
      </c>
      <c r="AW74" s="21">
        <f t="shared" si="13"/>
        <v>4.4069112819906525E-3</v>
      </c>
      <c r="AX74" s="21">
        <f t="shared" si="14"/>
        <v>-4.0899852515250664E-3</v>
      </c>
      <c r="AY74" s="21">
        <f t="shared" si="15"/>
        <v>3.1692603046558614E-4</v>
      </c>
      <c r="AZ74" s="22">
        <f t="shared" si="16"/>
        <v>5.1545430960660693E-3</v>
      </c>
      <c r="BB74" s="22">
        <f t="shared" si="17"/>
        <v>3.1692603046558614E-4</v>
      </c>
      <c r="BC74" s="22">
        <f t="shared" si="18"/>
        <v>8.5160398710520113E-3</v>
      </c>
    </row>
    <row r="75" spans="1:55" customFormat="1" x14ac:dyDescent="0.3">
      <c r="A75" s="1">
        <v>46132</v>
      </c>
      <c r="B75" s="11">
        <v>27.26</v>
      </c>
      <c r="C75" s="11">
        <v>29.36</v>
      </c>
      <c r="D75" s="12">
        <v>1.0770359501100499</v>
      </c>
      <c r="E75" s="12">
        <v>1.07488560571617</v>
      </c>
      <c r="F75" s="12">
        <v>1.07680082021657</v>
      </c>
      <c r="G75" s="12">
        <v>1.07584548940674</v>
      </c>
      <c r="H75" s="11">
        <v>29.301381611822801</v>
      </c>
      <c r="I75" s="11">
        <v>29.351798257762599</v>
      </c>
      <c r="J75" s="11">
        <v>29.325571472822698</v>
      </c>
      <c r="K75" s="13">
        <v>1.9985348478809002E-3</v>
      </c>
      <c r="L75" s="13">
        <v>2.7938991937162799E-4</v>
      </c>
      <c r="M75" s="13">
        <v>1.17332183236638E-3</v>
      </c>
      <c r="N75" s="25">
        <v>0</v>
      </c>
      <c r="O75" s="15">
        <v>0</v>
      </c>
      <c r="P75" s="16">
        <v>27.26</v>
      </c>
      <c r="Q75" s="16">
        <v>29.36</v>
      </c>
      <c r="R75" s="17">
        <v>1.0770359501100499</v>
      </c>
      <c r="S75" s="17">
        <v>1.07488560571617</v>
      </c>
      <c r="T75" s="17">
        <v>1.07680082021657</v>
      </c>
      <c r="U75" s="17">
        <v>1.07584548940674</v>
      </c>
      <c r="V75" s="19">
        <v>29.301381611822801</v>
      </c>
      <c r="W75" s="19">
        <v>29.351798257762599</v>
      </c>
      <c r="X75" s="19">
        <v>29.325571472822698</v>
      </c>
      <c r="Y75" s="20">
        <v>1.9985348478809002E-3</v>
      </c>
      <c r="Z75" s="20">
        <v>2.7938991937162799E-4</v>
      </c>
      <c r="AA75" s="20">
        <v>1.17332183236638E-3</v>
      </c>
      <c r="AC75" s="21">
        <f t="shared" si="19"/>
        <v>-1.0999084518605064E-3</v>
      </c>
      <c r="AD75" s="21">
        <f t="shared" si="19"/>
        <v>-1.3614705983210744E-3</v>
      </c>
      <c r="AE75" s="21"/>
      <c r="AF75" s="21"/>
      <c r="AG75" s="15"/>
      <c r="AH75">
        <f t="shared" si="2"/>
        <v>0</v>
      </c>
      <c r="AI75">
        <f t="shared" si="3"/>
        <v>1</v>
      </c>
      <c r="AJ75">
        <f t="shared" si="4"/>
        <v>0</v>
      </c>
      <c r="AK75">
        <f t="shared" si="1"/>
        <v>0</v>
      </c>
      <c r="AL75" s="21">
        <f t="shared" si="5"/>
        <v>0</v>
      </c>
      <c r="AM75" s="21">
        <f t="shared" si="6"/>
        <v>0</v>
      </c>
      <c r="AN75" s="21">
        <f t="shared" si="7"/>
        <v>0</v>
      </c>
      <c r="AO75" s="22">
        <f t="shared" si="8"/>
        <v>3.3614967749859394E-3</v>
      </c>
      <c r="AQ75" s="21"/>
      <c r="AR75" s="15"/>
      <c r="AS75">
        <f t="shared" si="9"/>
        <v>1</v>
      </c>
      <c r="AT75">
        <f t="shared" si="10"/>
        <v>0</v>
      </c>
      <c r="AU75">
        <f t="shared" si="11"/>
        <v>1</v>
      </c>
      <c r="AV75">
        <f t="shared" si="12"/>
        <v>1</v>
      </c>
      <c r="AW75" s="21">
        <f t="shared" si="13"/>
        <v>-1.0999084518605064E-3</v>
      </c>
      <c r="AX75" s="21">
        <f t="shared" si="14"/>
        <v>1.3614705983210744E-3</v>
      </c>
      <c r="AY75" s="21">
        <f t="shared" si="15"/>
        <v>2.6156214646056797E-4</v>
      </c>
      <c r="AZ75" s="22">
        <f t="shared" si="16"/>
        <v>5.4161052425266368E-3</v>
      </c>
      <c r="BB75" s="22">
        <f t="shared" si="17"/>
        <v>2.6156214646056797E-4</v>
      </c>
      <c r="BC75" s="22">
        <f t="shared" si="18"/>
        <v>8.7776020175125789E-3</v>
      </c>
    </row>
    <row r="76" spans="1:55" customFormat="1" x14ac:dyDescent="0.3">
      <c r="A76" s="1">
        <v>46133</v>
      </c>
      <c r="B76" s="11">
        <v>27.18</v>
      </c>
      <c r="C76" s="11">
        <v>29.28</v>
      </c>
      <c r="D76" s="12">
        <v>1.07726269315673</v>
      </c>
      <c r="E76" s="12">
        <v>1.07488560571617</v>
      </c>
      <c r="F76" s="12">
        <v>1.0768633990560601</v>
      </c>
      <c r="G76" s="12">
        <v>1.07597923875723</v>
      </c>
      <c r="H76" s="11">
        <v>29.215390763365502</v>
      </c>
      <c r="I76" s="11">
        <v>29.2674462934866</v>
      </c>
      <c r="J76" s="11">
        <v>29.2414804020753</v>
      </c>
      <c r="K76" s="13">
        <v>2.2090377400657301E-3</v>
      </c>
      <c r="L76" s="13">
        <v>4.2883874534348698E-4</v>
      </c>
      <c r="M76" s="13">
        <v>1.3164261472120801E-3</v>
      </c>
      <c r="N76" s="25">
        <v>0</v>
      </c>
      <c r="O76" s="15">
        <v>0</v>
      </c>
      <c r="P76" s="16">
        <v>27.18</v>
      </c>
      <c r="Q76" s="16">
        <v>29.28</v>
      </c>
      <c r="R76" s="17">
        <v>1.07726269315673</v>
      </c>
      <c r="S76" s="17">
        <v>1.07488560571617</v>
      </c>
      <c r="T76" s="17">
        <v>1.0768633990560601</v>
      </c>
      <c r="U76" s="17">
        <v>1.07597923875723</v>
      </c>
      <c r="V76" s="19">
        <v>29.215390763365502</v>
      </c>
      <c r="W76" s="19">
        <v>29.2674462934866</v>
      </c>
      <c r="X76" s="19">
        <v>29.2414804020753</v>
      </c>
      <c r="Y76" s="20">
        <v>2.2090377400657301E-3</v>
      </c>
      <c r="Z76" s="20">
        <v>4.2883874534348698E-4</v>
      </c>
      <c r="AA76" s="20">
        <v>1.3164261472120801E-3</v>
      </c>
      <c r="AC76" s="21">
        <f t="shared" si="19"/>
        <v>-2.9390175453889605E-3</v>
      </c>
      <c r="AD76" s="21">
        <f t="shared" si="19"/>
        <v>-2.728514653203951E-3</v>
      </c>
      <c r="AE76" s="21"/>
      <c r="AF76" s="21"/>
      <c r="AG76" s="15"/>
      <c r="AH76">
        <f t="shared" si="2"/>
        <v>0</v>
      </c>
      <c r="AI76">
        <f t="shared" si="3"/>
        <v>1</v>
      </c>
      <c r="AJ76">
        <f t="shared" si="4"/>
        <v>0</v>
      </c>
      <c r="AK76">
        <f t="shared" si="1"/>
        <v>0</v>
      </c>
      <c r="AL76" s="21">
        <f t="shared" si="5"/>
        <v>0</v>
      </c>
      <c r="AM76" s="21">
        <f t="shared" si="6"/>
        <v>0</v>
      </c>
      <c r="AN76" s="21">
        <f t="shared" si="7"/>
        <v>0</v>
      </c>
      <c r="AO76" s="22">
        <f t="shared" si="8"/>
        <v>3.3614967749859394E-3</v>
      </c>
      <c r="AQ76" s="21"/>
      <c r="AR76" s="15"/>
      <c r="AS76">
        <f t="shared" si="9"/>
        <v>1</v>
      </c>
      <c r="AT76">
        <f t="shared" si="10"/>
        <v>0</v>
      </c>
      <c r="AU76">
        <f t="shared" si="11"/>
        <v>1</v>
      </c>
      <c r="AV76">
        <f t="shared" si="12"/>
        <v>1</v>
      </c>
      <c r="AW76" s="21">
        <f t="shared" si="13"/>
        <v>-2.9390175453889605E-3</v>
      </c>
      <c r="AX76" s="21">
        <f t="shared" si="14"/>
        <v>2.728514653203951E-3</v>
      </c>
      <c r="AY76" s="21">
        <f t="shared" si="15"/>
        <v>-2.1050289218500946E-4</v>
      </c>
      <c r="AZ76" s="22">
        <f t="shared" si="16"/>
        <v>5.2056023503416274E-3</v>
      </c>
      <c r="BB76" s="22">
        <f t="shared" si="17"/>
        <v>-2.1050289218500946E-4</v>
      </c>
      <c r="BC76" s="22">
        <f t="shared" si="18"/>
        <v>8.5670991253275694E-3</v>
      </c>
    </row>
    <row r="77" spans="1:55" customFormat="1" x14ac:dyDescent="0.3">
      <c r="A77" s="1">
        <v>46134</v>
      </c>
      <c r="B77" s="11">
        <v>27.23</v>
      </c>
      <c r="C77" s="11">
        <v>29.33</v>
      </c>
      <c r="D77" s="12">
        <v>1.0771208226221001</v>
      </c>
      <c r="E77" s="12">
        <v>1.07488560571617</v>
      </c>
      <c r="F77" s="12">
        <v>1.07696839121487</v>
      </c>
      <c r="G77" s="12">
        <v>1.0761350544938999</v>
      </c>
      <c r="H77" s="11">
        <v>29.2691350436513</v>
      </c>
      <c r="I77" s="11">
        <v>29.322990356296501</v>
      </c>
      <c r="J77" s="11">
        <v>29.298914671359501</v>
      </c>
      <c r="K77" s="13">
        <v>2.0773336736437898E-3</v>
      </c>
      <c r="L77" s="13">
        <v>2.3902084767498199E-4</v>
      </c>
      <c r="M77" s="13">
        <v>1.06040958552783E-3</v>
      </c>
      <c r="N77" s="25">
        <v>0</v>
      </c>
      <c r="O77" s="15">
        <v>0</v>
      </c>
      <c r="P77" s="16">
        <v>27.23</v>
      </c>
      <c r="Q77" s="16">
        <v>29.33</v>
      </c>
      <c r="R77" s="17">
        <v>1.0771208226221001</v>
      </c>
      <c r="S77" s="17">
        <v>1.07488560571617</v>
      </c>
      <c r="T77" s="17">
        <v>1.07696839121487</v>
      </c>
      <c r="U77" s="17">
        <v>1.0761350544938999</v>
      </c>
      <c r="V77" s="19">
        <v>29.2691350436513</v>
      </c>
      <c r="W77" s="19">
        <v>29.322990356296501</v>
      </c>
      <c r="X77" s="19">
        <v>29.298914671359501</v>
      </c>
      <c r="Y77" s="20">
        <v>2.0773336736437898E-3</v>
      </c>
      <c r="Z77" s="20">
        <v>2.3902084767498199E-4</v>
      </c>
      <c r="AA77" s="20">
        <v>1.06040958552783E-3</v>
      </c>
      <c r="AC77" s="21">
        <f t="shared" si="19"/>
        <v>1.8378979626706233E-3</v>
      </c>
      <c r="AD77" s="21">
        <f t="shared" si="19"/>
        <v>1.7061938962486525E-3</v>
      </c>
      <c r="AE77" s="21"/>
      <c r="AF77" s="21"/>
      <c r="AG77" s="15"/>
      <c r="AH77">
        <f t="shared" si="2"/>
        <v>0</v>
      </c>
      <c r="AI77">
        <f t="shared" si="3"/>
        <v>1</v>
      </c>
      <c r="AJ77">
        <f t="shared" si="4"/>
        <v>0</v>
      </c>
      <c r="AK77">
        <f t="shared" si="1"/>
        <v>0</v>
      </c>
      <c r="AL77" s="21">
        <f t="shared" si="5"/>
        <v>0</v>
      </c>
      <c r="AM77" s="21">
        <f t="shared" si="6"/>
        <v>0</v>
      </c>
      <c r="AN77" s="21">
        <f t="shared" si="7"/>
        <v>0</v>
      </c>
      <c r="AO77" s="22">
        <f t="shared" si="8"/>
        <v>3.3614967749859394E-3</v>
      </c>
      <c r="AQ77" s="21"/>
      <c r="AR77" s="15"/>
      <c r="AS77">
        <f t="shared" si="9"/>
        <v>1</v>
      </c>
      <c r="AT77">
        <f t="shared" si="10"/>
        <v>0</v>
      </c>
      <c r="AU77">
        <f t="shared" si="11"/>
        <v>1</v>
      </c>
      <c r="AV77">
        <f t="shared" si="12"/>
        <v>1</v>
      </c>
      <c r="AW77" s="21">
        <f t="shared" si="13"/>
        <v>1.8378979626706233E-3</v>
      </c>
      <c r="AX77" s="21">
        <f t="shared" si="14"/>
        <v>-1.7061938962486525E-3</v>
      </c>
      <c r="AY77" s="21">
        <f t="shared" si="15"/>
        <v>1.3170406642197085E-4</v>
      </c>
      <c r="AZ77" s="22">
        <f t="shared" si="16"/>
        <v>5.3373064167635985E-3</v>
      </c>
      <c r="BB77" s="22">
        <f t="shared" si="17"/>
        <v>1.3170406642197085E-4</v>
      </c>
      <c r="BC77" s="22">
        <f t="shared" si="18"/>
        <v>8.6988031917495396E-3</v>
      </c>
    </row>
    <row r="78" spans="1:55" customFormat="1" x14ac:dyDescent="0.3">
      <c r="A78" s="1">
        <v>46135</v>
      </c>
      <c r="B78" s="11">
        <v>27.18</v>
      </c>
      <c r="C78" s="11">
        <v>29.29</v>
      </c>
      <c r="D78" s="12">
        <v>1.0776306107431901</v>
      </c>
      <c r="E78" s="12">
        <v>1.07488560571617</v>
      </c>
      <c r="F78" s="12">
        <v>1.0771383818874201</v>
      </c>
      <c r="G78" s="12">
        <v>1.0762955678283599</v>
      </c>
      <c r="H78" s="11">
        <v>29.215390763365502</v>
      </c>
      <c r="I78" s="11">
        <v>29.2720008732202</v>
      </c>
      <c r="J78" s="11">
        <v>29.249350781144202</v>
      </c>
      <c r="K78" s="13">
        <v>2.5505094865970399E-3</v>
      </c>
      <c r="L78" s="13">
        <v>6.1470329148890102E-4</v>
      </c>
      <c r="M78" s="13">
        <v>1.38878292453623E-3</v>
      </c>
      <c r="N78" s="25">
        <v>0</v>
      </c>
      <c r="O78" s="15">
        <v>0</v>
      </c>
      <c r="P78" s="16">
        <v>27.18</v>
      </c>
      <c r="Q78" s="16">
        <v>29.29</v>
      </c>
      <c r="R78" s="17">
        <v>1.0776306107431901</v>
      </c>
      <c r="S78" s="17">
        <v>1.07488560571617</v>
      </c>
      <c r="T78" s="17">
        <v>1.0771383818874201</v>
      </c>
      <c r="U78" s="17">
        <v>1.0762955678283599</v>
      </c>
      <c r="V78" s="19">
        <v>29.215390763365502</v>
      </c>
      <c r="W78" s="19">
        <v>29.2720008732202</v>
      </c>
      <c r="X78" s="19">
        <v>29.249350781144202</v>
      </c>
      <c r="Y78" s="20">
        <v>2.5505094865970399E-3</v>
      </c>
      <c r="Z78" s="20">
        <v>6.1470329148890102E-4</v>
      </c>
      <c r="AA78" s="20">
        <v>1.38878292453623E-3</v>
      </c>
      <c r="AC78" s="21">
        <f t="shared" si="19"/>
        <v>-1.837897962670611E-3</v>
      </c>
      <c r="AD78" s="21">
        <f t="shared" si="19"/>
        <v>-1.3647221497174911E-3</v>
      </c>
      <c r="AE78" s="21"/>
      <c r="AF78" s="21"/>
      <c r="AG78" s="15"/>
      <c r="AH78">
        <f t="shared" si="2"/>
        <v>0</v>
      </c>
      <c r="AI78">
        <f t="shared" si="3"/>
        <v>1</v>
      </c>
      <c r="AJ78">
        <f t="shared" si="4"/>
        <v>0</v>
      </c>
      <c r="AK78">
        <f t="shared" si="1"/>
        <v>0</v>
      </c>
      <c r="AL78" s="21">
        <f t="shared" si="5"/>
        <v>0</v>
      </c>
      <c r="AM78" s="21">
        <f t="shared" si="6"/>
        <v>0</v>
      </c>
      <c r="AN78" s="21">
        <f t="shared" si="7"/>
        <v>0</v>
      </c>
      <c r="AO78" s="22">
        <f t="shared" si="8"/>
        <v>3.3614967749859394E-3</v>
      </c>
      <c r="AQ78" s="21"/>
      <c r="AR78" s="15"/>
      <c r="AS78">
        <f t="shared" si="9"/>
        <v>1</v>
      </c>
      <c r="AT78">
        <f t="shared" si="10"/>
        <v>0</v>
      </c>
      <c r="AU78">
        <f t="shared" si="11"/>
        <v>1</v>
      </c>
      <c r="AV78">
        <f t="shared" si="12"/>
        <v>1</v>
      </c>
      <c r="AW78" s="21">
        <f t="shared" si="13"/>
        <v>-1.837897962670611E-3</v>
      </c>
      <c r="AX78" s="21">
        <f t="shared" si="14"/>
        <v>1.3647221497174911E-3</v>
      </c>
      <c r="AY78" s="21">
        <f t="shared" si="15"/>
        <v>-4.7317581295311991E-4</v>
      </c>
      <c r="AZ78" s="22">
        <f t="shared" si="16"/>
        <v>4.8641306038104785E-3</v>
      </c>
      <c r="BB78" s="22">
        <f t="shared" si="17"/>
        <v>-4.7317581295311991E-4</v>
      </c>
      <c r="BC78" s="22">
        <f t="shared" si="18"/>
        <v>8.2256273787964206E-3</v>
      </c>
    </row>
    <row r="79" spans="1:55" customFormat="1" x14ac:dyDescent="0.3">
      <c r="A79" s="1">
        <v>46136</v>
      </c>
      <c r="B79" s="11">
        <v>27.2</v>
      </c>
      <c r="C79" s="11">
        <v>29.29</v>
      </c>
      <c r="D79" s="12">
        <v>1.0768382352941099</v>
      </c>
      <c r="E79" s="12">
        <v>1.07488560571617</v>
      </c>
      <c r="F79" s="12">
        <v>1.0770929154760001</v>
      </c>
      <c r="G79" s="12">
        <v>1.0764261005425799</v>
      </c>
      <c r="H79" s="11">
        <v>29.236888475479802</v>
      </c>
      <c r="I79" s="11">
        <v>29.298163987337901</v>
      </c>
      <c r="J79" s="11">
        <v>29.2752394449316</v>
      </c>
      <c r="K79" s="13">
        <v>1.81494490764292E-3</v>
      </c>
      <c r="L79" s="13">
        <v>-2.7869067180743298E-4</v>
      </c>
      <c r="M79" s="13">
        <v>5.0407222853657296E-4</v>
      </c>
      <c r="N79" s="25">
        <v>0</v>
      </c>
      <c r="O79" s="15">
        <v>0</v>
      </c>
      <c r="P79" s="16">
        <v>27.2</v>
      </c>
      <c r="Q79" s="16">
        <v>29.29</v>
      </c>
      <c r="R79" s="17">
        <v>1.0768382352941099</v>
      </c>
      <c r="S79" s="17">
        <v>1.07488560571617</v>
      </c>
      <c r="T79" s="17">
        <v>1.0770929154760001</v>
      </c>
      <c r="U79" s="17">
        <v>1.0764261005425799</v>
      </c>
      <c r="V79" s="19">
        <v>29.236888475479802</v>
      </c>
      <c r="W79" s="19">
        <v>29.298163987337901</v>
      </c>
      <c r="X79" s="19">
        <v>29.2752394449316</v>
      </c>
      <c r="Y79" s="20">
        <v>1.81494490764292E-3</v>
      </c>
      <c r="Z79" s="20">
        <v>-2.7869067180743298E-4</v>
      </c>
      <c r="AA79" s="20">
        <v>5.0407222853657296E-4</v>
      </c>
      <c r="AC79" s="21">
        <f t="shared" si="19"/>
        <v>7.3556457895391071E-4</v>
      </c>
      <c r="AD79" s="21">
        <f t="shared" si="19"/>
        <v>0</v>
      </c>
      <c r="AE79" s="21"/>
      <c r="AF79" s="21"/>
      <c r="AG79" s="15"/>
      <c r="AH79">
        <f t="shared" si="2"/>
        <v>0</v>
      </c>
      <c r="AI79">
        <f t="shared" si="3"/>
        <v>1</v>
      </c>
      <c r="AJ79">
        <f t="shared" si="4"/>
        <v>0</v>
      </c>
      <c r="AK79">
        <f t="shared" si="1"/>
        <v>0</v>
      </c>
      <c r="AL79" s="21">
        <f t="shared" si="5"/>
        <v>0</v>
      </c>
      <c r="AM79" s="21">
        <f t="shared" si="6"/>
        <v>0</v>
      </c>
      <c r="AN79" s="21">
        <f t="shared" si="7"/>
        <v>0</v>
      </c>
      <c r="AO79" s="22">
        <f t="shared" si="8"/>
        <v>3.3614967749859394E-3</v>
      </c>
      <c r="AQ79" s="21"/>
      <c r="AR79" s="15"/>
      <c r="AS79">
        <f t="shared" si="9"/>
        <v>0</v>
      </c>
      <c r="AT79">
        <f t="shared" si="10"/>
        <v>0</v>
      </c>
      <c r="AU79">
        <f t="shared" si="11"/>
        <v>1</v>
      </c>
      <c r="AV79">
        <f t="shared" si="12"/>
        <v>1</v>
      </c>
      <c r="AW79" s="21">
        <f t="shared" si="13"/>
        <v>7.3556457895391071E-4</v>
      </c>
      <c r="AX79" s="21">
        <f t="shared" si="14"/>
        <v>0</v>
      </c>
      <c r="AY79" s="21">
        <f t="shared" si="15"/>
        <v>7.3556457895391071E-4</v>
      </c>
      <c r="AZ79" s="22">
        <f t="shared" si="16"/>
        <v>5.5996951827643896E-3</v>
      </c>
      <c r="BB79" s="22">
        <f t="shared" si="17"/>
        <v>7.3556457895391071E-4</v>
      </c>
      <c r="BC79" s="22">
        <f t="shared" si="18"/>
        <v>8.9611919577503307E-3</v>
      </c>
    </row>
    <row r="80" spans="1:55" customFormat="1" x14ac:dyDescent="0.3">
      <c r="A80" s="1">
        <v>46139</v>
      </c>
      <c r="B80" s="11">
        <v>27.22</v>
      </c>
      <c r="C80" s="11">
        <v>29.3</v>
      </c>
      <c r="D80" s="12">
        <v>1.0764144011756001</v>
      </c>
      <c r="E80" s="12">
        <v>1.07488560571617</v>
      </c>
      <c r="F80" s="12">
        <v>1.0770335449819199</v>
      </c>
      <c r="G80" s="12">
        <v>1.07646037607277</v>
      </c>
      <c r="H80" s="11">
        <v>29.258386187594098</v>
      </c>
      <c r="I80" s="11">
        <v>29.3184691592569</v>
      </c>
      <c r="J80" s="11">
        <v>29.300318456769102</v>
      </c>
      <c r="K80" s="13">
        <v>1.4212761696543201E-3</v>
      </c>
      <c r="L80" s="13">
        <v>-6.3014814726454504E-4</v>
      </c>
      <c r="M80" s="13">
        <v>-1.0868772646919399E-5</v>
      </c>
      <c r="N80" s="25">
        <v>0</v>
      </c>
      <c r="O80" s="15">
        <v>0</v>
      </c>
      <c r="P80" s="16">
        <v>27.22</v>
      </c>
      <c r="Q80" s="16">
        <v>29.3</v>
      </c>
      <c r="R80" s="17">
        <v>1.0764144011756001</v>
      </c>
      <c r="S80" s="17">
        <v>1.07488560571617</v>
      </c>
      <c r="T80" s="17">
        <v>1.0770335449819199</v>
      </c>
      <c r="U80" s="17">
        <v>1.07646037607277</v>
      </c>
      <c r="V80" s="19">
        <v>29.258386187594098</v>
      </c>
      <c r="W80" s="19">
        <v>29.3184691592569</v>
      </c>
      <c r="X80" s="19">
        <v>29.300318456769102</v>
      </c>
      <c r="Y80" s="20">
        <v>1.4212761696543201E-3</v>
      </c>
      <c r="Z80" s="20">
        <v>-6.3014814726454504E-4</v>
      </c>
      <c r="AA80" s="20">
        <v>-1.0868772646919399E-5</v>
      </c>
      <c r="AC80" s="21">
        <f t="shared" si="19"/>
        <v>7.3502392136837668E-4</v>
      </c>
      <c r="AD80" s="21">
        <f t="shared" si="19"/>
        <v>3.413551833796576E-4</v>
      </c>
      <c r="AE80" s="21"/>
      <c r="AF80" s="21"/>
      <c r="AG80" s="15"/>
      <c r="AH80">
        <f t="shared" si="2"/>
        <v>0</v>
      </c>
      <c r="AI80">
        <f t="shared" si="3"/>
        <v>0</v>
      </c>
      <c r="AJ80">
        <f t="shared" si="4"/>
        <v>0</v>
      </c>
      <c r="AK80">
        <f t="shared" si="1"/>
        <v>0</v>
      </c>
      <c r="AL80" s="21">
        <f t="shared" si="5"/>
        <v>0</v>
      </c>
      <c r="AM80" s="21">
        <f t="shared" si="6"/>
        <v>0</v>
      </c>
      <c r="AN80" s="21">
        <f t="shared" si="7"/>
        <v>0</v>
      </c>
      <c r="AO80" s="22">
        <f t="shared" si="8"/>
        <v>3.3614967749859394E-3</v>
      </c>
      <c r="AQ80" s="21"/>
      <c r="AR80" s="15"/>
      <c r="AS80">
        <f t="shared" si="9"/>
        <v>0</v>
      </c>
      <c r="AT80">
        <f t="shared" si="10"/>
        <v>1</v>
      </c>
      <c r="AU80">
        <f t="shared" si="11"/>
        <v>1</v>
      </c>
      <c r="AV80">
        <f t="shared" si="12"/>
        <v>1</v>
      </c>
      <c r="AW80" s="21">
        <f t="shared" si="13"/>
        <v>7.3502392136837668E-4</v>
      </c>
      <c r="AX80" s="21">
        <f t="shared" si="14"/>
        <v>-3.413551833796576E-4</v>
      </c>
      <c r="AY80" s="21">
        <f t="shared" si="15"/>
        <v>3.9366873798871908E-4</v>
      </c>
      <c r="AZ80" s="22">
        <f t="shared" si="16"/>
        <v>5.993363920753109E-3</v>
      </c>
      <c r="BB80" s="22">
        <f t="shared" si="17"/>
        <v>3.9366873798871908E-4</v>
      </c>
      <c r="BC80" s="22">
        <f t="shared" si="18"/>
        <v>9.3548606957390493E-3</v>
      </c>
    </row>
    <row r="81" spans="1:55" customFormat="1" x14ac:dyDescent="0.3">
      <c r="A81" s="1">
        <v>46140</v>
      </c>
      <c r="B81" s="11">
        <v>27.2</v>
      </c>
      <c r="C81" s="11">
        <v>29.27</v>
      </c>
      <c r="D81" s="12">
        <v>1.07610294117647</v>
      </c>
      <c r="E81" s="12">
        <v>1.07488560571617</v>
      </c>
      <c r="F81" s="12">
        <v>1.0770136116600999</v>
      </c>
      <c r="G81" s="12">
        <v>1.0765415155701601</v>
      </c>
      <c r="H81" s="11">
        <v>29.236888475479802</v>
      </c>
      <c r="I81" s="11">
        <v>29.2953124235083</v>
      </c>
      <c r="J81" s="11">
        <v>29.279722229179502</v>
      </c>
      <c r="K81" s="13">
        <v>1.13188477179533E-3</v>
      </c>
      <c r="L81" s="13">
        <v>-8.6441697438535301E-4</v>
      </c>
      <c r="M81" s="13">
        <v>-3.32101635968938E-4</v>
      </c>
      <c r="N81" s="25">
        <v>0</v>
      </c>
      <c r="O81" s="15">
        <v>0</v>
      </c>
      <c r="P81" s="16">
        <v>27.2</v>
      </c>
      <c r="Q81" s="16">
        <v>29.27</v>
      </c>
      <c r="R81" s="17">
        <v>1.07610294117647</v>
      </c>
      <c r="S81" s="17">
        <v>1.07488560571617</v>
      </c>
      <c r="T81" s="17">
        <v>1.0770136116600999</v>
      </c>
      <c r="U81" s="17">
        <v>1.0765415155701601</v>
      </c>
      <c r="V81" s="19">
        <v>29.236888475479802</v>
      </c>
      <c r="W81" s="19">
        <v>29.2953124235083</v>
      </c>
      <c r="X81" s="19">
        <v>29.279722229179502</v>
      </c>
      <c r="Y81" s="20">
        <v>1.13188477179533E-3</v>
      </c>
      <c r="Z81" s="20">
        <v>-8.6441697438535301E-4</v>
      </c>
      <c r="AA81" s="20">
        <v>-3.32101635968938E-4</v>
      </c>
      <c r="AC81" s="21">
        <f t="shared" si="19"/>
        <v>-7.3502392136832041E-4</v>
      </c>
      <c r="AD81" s="21">
        <f t="shared" si="19"/>
        <v>-1.0244153192272005E-3</v>
      </c>
      <c r="AE81" s="21"/>
      <c r="AF81" s="21"/>
      <c r="AG81" s="15"/>
      <c r="AH81">
        <f t="shared" si="2"/>
        <v>0</v>
      </c>
      <c r="AI81">
        <f t="shared" si="3"/>
        <v>0</v>
      </c>
      <c r="AJ81">
        <f t="shared" si="4"/>
        <v>0</v>
      </c>
      <c r="AK81">
        <f t="shared" si="1"/>
        <v>0</v>
      </c>
      <c r="AL81" s="21">
        <f t="shared" si="5"/>
        <v>0</v>
      </c>
      <c r="AM81" s="21">
        <f t="shared" si="6"/>
        <v>0</v>
      </c>
      <c r="AN81" s="21">
        <f t="shared" si="7"/>
        <v>0</v>
      </c>
      <c r="AO81" s="22">
        <f t="shared" si="8"/>
        <v>3.3614967749859394E-3</v>
      </c>
      <c r="AQ81" s="21"/>
      <c r="AR81" s="15"/>
      <c r="AS81">
        <f t="shared" si="9"/>
        <v>0</v>
      </c>
      <c r="AT81">
        <f t="shared" si="10"/>
        <v>1</v>
      </c>
      <c r="AU81">
        <f t="shared" si="11"/>
        <v>1</v>
      </c>
      <c r="AV81">
        <f t="shared" si="12"/>
        <v>0</v>
      </c>
      <c r="AW81" s="21">
        <f t="shared" si="13"/>
        <v>0</v>
      </c>
      <c r="AX81" s="21">
        <f t="shared" si="14"/>
        <v>0</v>
      </c>
      <c r="AY81" s="21">
        <f t="shared" si="15"/>
        <v>0</v>
      </c>
      <c r="AZ81" s="22">
        <f t="shared" si="16"/>
        <v>5.993363920753109E-3</v>
      </c>
      <c r="BB81" s="22">
        <f t="shared" si="17"/>
        <v>0</v>
      </c>
      <c r="BC81" s="22">
        <f t="shared" si="18"/>
        <v>9.3548606957390493E-3</v>
      </c>
    </row>
    <row r="82" spans="1:55" customFormat="1" x14ac:dyDescent="0.3">
      <c r="A82" s="1">
        <v>46141</v>
      </c>
      <c r="B82" s="11">
        <v>27.07</v>
      </c>
      <c r="C82" s="11">
        <v>29.17</v>
      </c>
      <c r="D82" s="12">
        <v>1.0775766531215301</v>
      </c>
      <c r="E82" s="12">
        <v>1.07488560571617</v>
      </c>
      <c r="F82" s="12">
        <v>1.0770959189112901</v>
      </c>
      <c r="G82" s="12">
        <v>1.0766778332561799</v>
      </c>
      <c r="H82" s="11">
        <v>29.0971533467367</v>
      </c>
      <c r="I82" s="11">
        <v>29.154758467638899</v>
      </c>
      <c r="J82" s="11">
        <v>29.141978826484301</v>
      </c>
      <c r="K82" s="13">
        <v>2.5004376233728298E-3</v>
      </c>
      <c r="L82" s="13">
        <v>5.2264366311855599E-4</v>
      </c>
      <c r="M82" s="13">
        <v>9.6107785180408903E-4</v>
      </c>
      <c r="N82" s="25">
        <v>0</v>
      </c>
      <c r="O82" s="15">
        <v>0</v>
      </c>
      <c r="P82" s="16">
        <v>27.07</v>
      </c>
      <c r="Q82" s="16">
        <v>29.17</v>
      </c>
      <c r="R82" s="17">
        <v>1.0775766531215301</v>
      </c>
      <c r="S82" s="17">
        <v>1.07488560571617</v>
      </c>
      <c r="T82" s="17">
        <v>1.0770959189112901</v>
      </c>
      <c r="U82" s="17">
        <v>1.0766778332561799</v>
      </c>
      <c r="V82" s="19">
        <v>29.0971533467367</v>
      </c>
      <c r="W82" s="19">
        <v>29.154758467638899</v>
      </c>
      <c r="X82" s="19">
        <v>29.141978826484301</v>
      </c>
      <c r="Y82" s="20">
        <v>2.5004376233728298E-3</v>
      </c>
      <c r="Z82" s="20">
        <v>5.2264366311855599E-4</v>
      </c>
      <c r="AA82" s="20">
        <v>9.6107785180408903E-4</v>
      </c>
      <c r="AC82" s="21">
        <f t="shared" si="19"/>
        <v>-4.7908696757418016E-3</v>
      </c>
      <c r="AD82" s="21">
        <f t="shared" si="19"/>
        <v>-3.4223168241643265E-3</v>
      </c>
      <c r="AE82" s="21"/>
      <c r="AF82" s="21"/>
      <c r="AG82" s="15"/>
      <c r="AH82">
        <f t="shared" si="2"/>
        <v>0</v>
      </c>
      <c r="AI82">
        <f t="shared" si="3"/>
        <v>1</v>
      </c>
      <c r="AJ82">
        <f t="shared" si="4"/>
        <v>0</v>
      </c>
      <c r="AK82">
        <f t="shared" si="1"/>
        <v>0</v>
      </c>
      <c r="AL82" s="21">
        <f t="shared" si="5"/>
        <v>0</v>
      </c>
      <c r="AM82" s="21">
        <f t="shared" si="6"/>
        <v>0</v>
      </c>
      <c r="AN82" s="21">
        <f t="shared" si="7"/>
        <v>0</v>
      </c>
      <c r="AO82" s="22">
        <f t="shared" si="8"/>
        <v>3.3614967749859394E-3</v>
      </c>
      <c r="AQ82" s="21"/>
      <c r="AR82" s="15"/>
      <c r="AS82">
        <f t="shared" si="9"/>
        <v>0</v>
      </c>
      <c r="AT82">
        <f t="shared" si="10"/>
        <v>0</v>
      </c>
      <c r="AU82">
        <f t="shared" si="11"/>
        <v>0</v>
      </c>
      <c r="AV82">
        <f t="shared" si="12"/>
        <v>0</v>
      </c>
      <c r="AW82" s="21">
        <f t="shared" si="13"/>
        <v>0</v>
      </c>
      <c r="AX82" s="21">
        <f t="shared" si="14"/>
        <v>0</v>
      </c>
      <c r="AY82" s="21">
        <f t="shared" si="15"/>
        <v>0</v>
      </c>
      <c r="AZ82" s="22">
        <f t="shared" si="16"/>
        <v>5.993363920753109E-3</v>
      </c>
      <c r="BB82" s="22">
        <f t="shared" si="17"/>
        <v>0</v>
      </c>
      <c r="BC82" s="22">
        <f t="shared" si="18"/>
        <v>9.3548606957390493E-3</v>
      </c>
    </row>
    <row r="83" spans="1:55" customFormat="1" x14ac:dyDescent="0.3">
      <c r="A83" s="1">
        <v>46142</v>
      </c>
      <c r="B83" s="11">
        <v>27.14</v>
      </c>
      <c r="C83" s="11">
        <v>29.26</v>
      </c>
      <c r="D83" s="12">
        <v>1.07811348563006</v>
      </c>
      <c r="E83" s="12">
        <v>1.07488560571617</v>
      </c>
      <c r="F83" s="12">
        <v>1.0771413491820601</v>
      </c>
      <c r="G83" s="12">
        <v>1.07684239268545</v>
      </c>
      <c r="H83" s="11">
        <v>29.172395339136798</v>
      </c>
      <c r="I83" s="11">
        <v>29.2323832392524</v>
      </c>
      <c r="J83" s="11">
        <v>29.2210363945727</v>
      </c>
      <c r="K83" s="13">
        <v>2.9984985552077999E-3</v>
      </c>
      <c r="L83" s="13">
        <v>9.4428577774520104E-4</v>
      </c>
      <c r="M83" s="13">
        <v>1.3325212272128201E-3</v>
      </c>
      <c r="N83" s="25">
        <v>0</v>
      </c>
      <c r="O83" s="15">
        <v>0</v>
      </c>
      <c r="P83" s="16">
        <v>27.14</v>
      </c>
      <c r="Q83" s="16">
        <v>29.26</v>
      </c>
      <c r="R83" s="17">
        <v>1.07811348563006</v>
      </c>
      <c r="S83" s="17">
        <v>1.07488560571617</v>
      </c>
      <c r="T83" s="17">
        <v>1.0771413491820601</v>
      </c>
      <c r="U83" s="17">
        <v>1.07684239268545</v>
      </c>
      <c r="V83" s="19">
        <v>29.172395339136798</v>
      </c>
      <c r="W83" s="19">
        <v>29.2323832392524</v>
      </c>
      <c r="X83" s="19">
        <v>29.2210363945727</v>
      </c>
      <c r="Y83" s="20">
        <v>2.9984985552077999E-3</v>
      </c>
      <c r="Z83" s="20">
        <v>9.4428577774520104E-4</v>
      </c>
      <c r="AA83" s="20">
        <v>1.3325212272128201E-3</v>
      </c>
      <c r="AC83" s="21">
        <f t="shared" si="19"/>
        <v>2.5825507805133183E-3</v>
      </c>
      <c r="AD83" s="21">
        <f t="shared" si="19"/>
        <v>3.0806117123481293E-3</v>
      </c>
      <c r="AE83" s="21"/>
      <c r="AF83" s="21"/>
      <c r="AG83" s="15"/>
      <c r="AH83">
        <f t="shared" si="2"/>
        <v>0</v>
      </c>
      <c r="AI83">
        <f t="shared" si="3"/>
        <v>1</v>
      </c>
      <c r="AJ83">
        <f t="shared" si="4"/>
        <v>0</v>
      </c>
      <c r="AK83">
        <f t="shared" si="1"/>
        <v>0</v>
      </c>
      <c r="AL83" s="21">
        <f t="shared" si="5"/>
        <v>0</v>
      </c>
      <c r="AM83" s="21">
        <f t="shared" si="6"/>
        <v>0</v>
      </c>
      <c r="AN83" s="21">
        <f t="shared" si="7"/>
        <v>0</v>
      </c>
      <c r="AO83" s="22">
        <f t="shared" si="8"/>
        <v>3.3614967749859394E-3</v>
      </c>
      <c r="AQ83" s="21"/>
      <c r="AR83" s="15"/>
      <c r="AS83">
        <f t="shared" si="9"/>
        <v>1</v>
      </c>
      <c r="AT83">
        <f t="shared" si="10"/>
        <v>0</v>
      </c>
      <c r="AU83">
        <f t="shared" si="11"/>
        <v>0</v>
      </c>
      <c r="AV83" s="26">
        <v>0</v>
      </c>
      <c r="AW83" s="21">
        <f t="shared" si="13"/>
        <v>0</v>
      </c>
      <c r="AX83" s="21">
        <f t="shared" si="14"/>
        <v>0</v>
      </c>
      <c r="AY83" s="21">
        <f t="shared" si="15"/>
        <v>0</v>
      </c>
      <c r="AZ83" s="22">
        <f t="shared" si="16"/>
        <v>5.993363920753109E-3</v>
      </c>
      <c r="BB83" s="22">
        <f t="shared" si="17"/>
        <v>0</v>
      </c>
      <c r="BC83" s="22">
        <f t="shared" si="18"/>
        <v>9.3548606957390493E-3</v>
      </c>
    </row>
    <row r="84" spans="1:55" customFormat="1" x14ac:dyDescent="0.3">
      <c r="A84" s="1">
        <v>46143</v>
      </c>
      <c r="B84" s="11">
        <v>27.04</v>
      </c>
      <c r="C84" s="11">
        <v>29.14</v>
      </c>
      <c r="D84" s="12">
        <v>1.07766272189349</v>
      </c>
      <c r="E84" s="12">
        <v>1.07488560571617</v>
      </c>
      <c r="F84" s="12">
        <v>1.07717585149233</v>
      </c>
      <c r="G84" s="12">
        <v>1.07695546532362</v>
      </c>
      <c r="H84" s="11">
        <v>29.064906778565199</v>
      </c>
      <c r="I84" s="11">
        <v>29.125902081883002</v>
      </c>
      <c r="J84" s="11">
        <v>29.1178182982148</v>
      </c>
      <c r="K84" s="13">
        <v>2.5803069622481602E-3</v>
      </c>
      <c r="L84" s="13">
        <v>4.8391659232430899E-4</v>
      </c>
      <c r="M84" s="13">
        <v>7.6150132308571501E-4</v>
      </c>
      <c r="N84" s="25">
        <v>0</v>
      </c>
      <c r="O84" s="15">
        <v>0</v>
      </c>
      <c r="P84" s="16">
        <v>27.04</v>
      </c>
      <c r="Q84" s="16">
        <v>29.14</v>
      </c>
      <c r="R84" s="17">
        <v>1.07766272189349</v>
      </c>
      <c r="S84" s="17">
        <v>1.07488560571617</v>
      </c>
      <c r="T84" s="17">
        <v>1.07717585149233</v>
      </c>
      <c r="U84" s="17">
        <v>1.07695546532362</v>
      </c>
      <c r="V84" s="19">
        <v>29.064906778565199</v>
      </c>
      <c r="W84" s="19">
        <v>29.125902081883002</v>
      </c>
      <c r="X84" s="19">
        <v>29.1178182982148</v>
      </c>
      <c r="Y84" s="20">
        <v>2.5803069622481602E-3</v>
      </c>
      <c r="Z84" s="20">
        <v>4.8391659232430899E-4</v>
      </c>
      <c r="AA84" s="20">
        <v>7.6150132308571501E-4</v>
      </c>
      <c r="AC84" s="21">
        <f t="shared" si="19"/>
        <v>-3.6914032319597992E-3</v>
      </c>
      <c r="AD84" s="21">
        <f t="shared" si="19"/>
        <v>-4.1095948249194663E-3</v>
      </c>
      <c r="AE84" s="21"/>
      <c r="AF84" s="21"/>
      <c r="AG84" s="15"/>
      <c r="AH84">
        <f t="shared" si="2"/>
        <v>0</v>
      </c>
      <c r="AI84">
        <f t="shared" si="3"/>
        <v>1</v>
      </c>
      <c r="AJ84">
        <f t="shared" si="4"/>
        <v>0</v>
      </c>
      <c r="AK84">
        <f t="shared" si="1"/>
        <v>0</v>
      </c>
      <c r="AL84" s="21">
        <f t="shared" si="5"/>
        <v>0</v>
      </c>
      <c r="AM84" s="21">
        <f t="shared" si="6"/>
        <v>0</v>
      </c>
      <c r="AN84" s="21">
        <f t="shared" si="7"/>
        <v>0</v>
      </c>
      <c r="AO84" s="22">
        <f t="shared" si="8"/>
        <v>3.3614967749859394E-3</v>
      </c>
      <c r="AQ84" s="21"/>
      <c r="AR84" s="15"/>
      <c r="AS84">
        <f t="shared" si="9"/>
        <v>0</v>
      </c>
      <c r="AT84">
        <f t="shared" si="10"/>
        <v>0</v>
      </c>
      <c r="AU84">
        <f t="shared" si="11"/>
        <v>0</v>
      </c>
      <c r="AV84">
        <f t="shared" si="12"/>
        <v>1</v>
      </c>
      <c r="AW84" s="21">
        <f t="shared" si="13"/>
        <v>-3.6914032319597992E-3</v>
      </c>
      <c r="AX84" s="21">
        <f t="shared" si="14"/>
        <v>4.1095948249194663E-3</v>
      </c>
      <c r="AY84" s="21">
        <f t="shared" si="15"/>
        <v>4.1819159295966709E-4</v>
      </c>
      <c r="AZ84" s="22">
        <f t="shared" si="16"/>
        <v>6.4115555137127765E-3</v>
      </c>
      <c r="BB84" s="22">
        <f t="shared" si="17"/>
        <v>4.1819159295966709E-4</v>
      </c>
      <c r="BC84" s="22">
        <f t="shared" si="18"/>
        <v>9.7730522886987168E-3</v>
      </c>
    </row>
    <row r="85" spans="1:55" customFormat="1" x14ac:dyDescent="0.3">
      <c r="A85" s="1">
        <v>46146</v>
      </c>
      <c r="B85" s="11">
        <v>26.95</v>
      </c>
      <c r="C85" s="11">
        <v>29.04</v>
      </c>
      <c r="D85" s="12">
        <v>1.07755102040816</v>
      </c>
      <c r="E85" s="12">
        <v>1.07488560571617</v>
      </c>
      <c r="F85" s="12">
        <v>1.0772273585221399</v>
      </c>
      <c r="G85" s="12">
        <v>1.0770140893693601</v>
      </c>
      <c r="H85" s="11">
        <v>28.968167074050701</v>
      </c>
      <c r="I85" s="11">
        <v>29.029889197718401</v>
      </c>
      <c r="J85" s="11">
        <v>29.023949790471502</v>
      </c>
      <c r="K85" s="13">
        <v>2.47664997154168E-3</v>
      </c>
      <c r="L85" s="13">
        <v>3.4822874723455002E-4</v>
      </c>
      <c r="M85" s="13">
        <v>5.5284595674795804E-4</v>
      </c>
      <c r="N85" s="25">
        <v>0</v>
      </c>
      <c r="O85" s="15">
        <v>0</v>
      </c>
      <c r="P85" s="16">
        <v>26.95</v>
      </c>
      <c r="Q85" s="16">
        <v>29.04</v>
      </c>
      <c r="R85" s="17">
        <v>1.07755102040816</v>
      </c>
      <c r="S85" s="17">
        <v>1.07488560571617</v>
      </c>
      <c r="T85" s="17">
        <v>1.0772273585221399</v>
      </c>
      <c r="U85" s="17">
        <v>1.0770140893693601</v>
      </c>
      <c r="V85" s="19">
        <v>28.968167074050701</v>
      </c>
      <c r="W85" s="19">
        <v>29.029889197718401</v>
      </c>
      <c r="X85" s="19">
        <v>29.023949790471502</v>
      </c>
      <c r="Y85" s="20">
        <v>2.47664997154168E-3</v>
      </c>
      <c r="Z85" s="20">
        <v>3.4822874723455002E-4</v>
      </c>
      <c r="AA85" s="20">
        <v>5.5284595674795804E-4</v>
      </c>
      <c r="AC85" s="21">
        <f t="shared" si="19"/>
        <v>-3.3339538197572119E-3</v>
      </c>
      <c r="AD85" s="21">
        <f t="shared" si="19"/>
        <v>-3.4376108104634644E-3</v>
      </c>
      <c r="AE85" s="21"/>
      <c r="AF85" s="21"/>
      <c r="AG85" s="15"/>
      <c r="AH85">
        <f t="shared" si="2"/>
        <v>0</v>
      </c>
      <c r="AI85">
        <f t="shared" si="3"/>
        <v>1</v>
      </c>
      <c r="AJ85">
        <f t="shared" si="4"/>
        <v>0</v>
      </c>
      <c r="AK85">
        <f t="shared" si="1"/>
        <v>0</v>
      </c>
      <c r="AL85" s="21">
        <f t="shared" si="5"/>
        <v>0</v>
      </c>
      <c r="AM85" s="21">
        <f t="shared" si="6"/>
        <v>0</v>
      </c>
      <c r="AN85" s="21">
        <f t="shared" si="7"/>
        <v>0</v>
      </c>
      <c r="AO85" s="22">
        <f t="shared" si="8"/>
        <v>3.3614967749859394E-3</v>
      </c>
      <c r="AQ85" s="21"/>
      <c r="AR85" s="15"/>
      <c r="AS85">
        <f t="shared" si="9"/>
        <v>0</v>
      </c>
      <c r="AT85">
        <f t="shared" si="10"/>
        <v>0</v>
      </c>
      <c r="AU85">
        <f t="shared" si="11"/>
        <v>1</v>
      </c>
      <c r="AV85">
        <f t="shared" si="12"/>
        <v>0</v>
      </c>
      <c r="AW85" s="21">
        <f t="shared" si="13"/>
        <v>0</v>
      </c>
      <c r="AX85" s="21">
        <f t="shared" si="14"/>
        <v>0</v>
      </c>
      <c r="AY85" s="21">
        <f t="shared" si="15"/>
        <v>0</v>
      </c>
      <c r="AZ85" s="22">
        <f t="shared" si="16"/>
        <v>6.4115555137127765E-3</v>
      </c>
      <c r="BB85" s="22">
        <f t="shared" si="17"/>
        <v>0</v>
      </c>
      <c r="BC85" s="22">
        <f t="shared" si="18"/>
        <v>9.7730522886987168E-3</v>
      </c>
    </row>
    <row r="86" spans="1:55" customFormat="1" x14ac:dyDescent="0.3">
      <c r="A86" s="1">
        <v>46147</v>
      </c>
      <c r="B86" s="11">
        <v>27.03</v>
      </c>
      <c r="C86" s="11">
        <v>29.11</v>
      </c>
      <c r="D86" s="12">
        <v>1.0769515353311101</v>
      </c>
      <c r="E86" s="12">
        <v>1.07488560571617</v>
      </c>
      <c r="F86" s="12">
        <v>1.07719624273958</v>
      </c>
      <c r="G86" s="12">
        <v>1.07702982089782</v>
      </c>
      <c r="H86" s="11">
        <v>29.054157922508001</v>
      </c>
      <c r="I86" s="11">
        <v>29.117455500853598</v>
      </c>
      <c r="J86" s="11">
        <v>29.111690835653899</v>
      </c>
      <c r="K86" s="13">
        <v>1.92015483912811E-3</v>
      </c>
      <c r="L86" s="13">
        <v>-2.5608197474167102E-4</v>
      </c>
      <c r="M86" s="13">
        <v>-5.8082670912064E-5</v>
      </c>
      <c r="N86" s="25">
        <v>0</v>
      </c>
      <c r="O86" s="15">
        <v>0</v>
      </c>
      <c r="P86" s="16">
        <v>27.03</v>
      </c>
      <c r="Q86" s="16">
        <v>29.11</v>
      </c>
      <c r="R86" s="17">
        <v>1.0769515353311101</v>
      </c>
      <c r="S86" s="17">
        <v>1.07488560571617</v>
      </c>
      <c r="T86" s="17">
        <v>1.07719624273958</v>
      </c>
      <c r="U86" s="17">
        <v>1.07702982089782</v>
      </c>
      <c r="V86" s="19">
        <v>29.054157922508001</v>
      </c>
      <c r="W86" s="19">
        <v>29.117455500853598</v>
      </c>
      <c r="X86" s="19">
        <v>29.111690835653899</v>
      </c>
      <c r="Y86" s="20">
        <v>1.92015483912811E-3</v>
      </c>
      <c r="Z86" s="20">
        <v>-2.5608197474167102E-4</v>
      </c>
      <c r="AA86" s="20">
        <v>-5.8082670912064E-5</v>
      </c>
      <c r="AC86" s="21">
        <f t="shared" si="19"/>
        <v>2.9640629333501727E-3</v>
      </c>
      <c r="AD86" s="21">
        <f t="shared" si="19"/>
        <v>2.407567800936445E-3</v>
      </c>
      <c r="AE86" s="21"/>
      <c r="AF86" s="21"/>
      <c r="AG86" s="15"/>
      <c r="AH86">
        <f t="shared" si="2"/>
        <v>0</v>
      </c>
      <c r="AI86">
        <f t="shared" si="3"/>
        <v>0</v>
      </c>
      <c r="AJ86">
        <f t="shared" si="4"/>
        <v>0</v>
      </c>
      <c r="AK86">
        <f t="shared" ref="AK86:AK149" si="20">IF(AH85,1,IF(AI85,0,AJ85))</f>
        <v>0</v>
      </c>
      <c r="AL86" s="21">
        <f t="shared" si="5"/>
        <v>0</v>
      </c>
      <c r="AM86" s="21">
        <f t="shared" si="6"/>
        <v>0</v>
      </c>
      <c r="AN86" s="21">
        <f t="shared" si="7"/>
        <v>0</v>
      </c>
      <c r="AO86" s="22">
        <f t="shared" si="8"/>
        <v>3.3614967749859394E-3</v>
      </c>
      <c r="AQ86" s="21"/>
      <c r="AR86" s="15"/>
      <c r="AS86">
        <f t="shared" si="9"/>
        <v>0</v>
      </c>
      <c r="AT86">
        <f t="shared" si="10"/>
        <v>1</v>
      </c>
      <c r="AU86">
        <f t="shared" si="11"/>
        <v>0</v>
      </c>
      <c r="AV86">
        <f t="shared" si="12"/>
        <v>1</v>
      </c>
      <c r="AW86" s="21">
        <f t="shared" si="13"/>
        <v>2.9640629333501727E-3</v>
      </c>
      <c r="AX86" s="21">
        <f t="shared" si="14"/>
        <v>-2.407567800936445E-3</v>
      </c>
      <c r="AY86" s="21">
        <f t="shared" si="15"/>
        <v>5.5649513241372772E-4</v>
      </c>
      <c r="AZ86" s="22">
        <f t="shared" si="16"/>
        <v>6.9680506461265047E-3</v>
      </c>
      <c r="BB86" s="22">
        <f t="shared" si="17"/>
        <v>5.5649513241372772E-4</v>
      </c>
      <c r="BC86" s="22">
        <f t="shared" si="18"/>
        <v>1.0329547421112445E-2</v>
      </c>
    </row>
    <row r="87" spans="1:55" customFormat="1" x14ac:dyDescent="0.3">
      <c r="A87" s="1">
        <v>46148</v>
      </c>
      <c r="B87" s="11">
        <v>27.12</v>
      </c>
      <c r="C87" s="11">
        <v>29.21</v>
      </c>
      <c r="D87" s="12">
        <v>1.0770648967551599</v>
      </c>
      <c r="E87" s="12">
        <v>1.07488560571617</v>
      </c>
      <c r="F87" s="12">
        <v>1.0771906501528901</v>
      </c>
      <c r="G87" s="12">
        <v>1.0770795206838799</v>
      </c>
      <c r="H87" s="11">
        <v>29.150897627022498</v>
      </c>
      <c r="I87" s="11">
        <v>29.213562103097502</v>
      </c>
      <c r="J87" s="11">
        <v>29.209048742748902</v>
      </c>
      <c r="K87" s="13">
        <v>2.0254106974073901E-3</v>
      </c>
      <c r="L87" s="13">
        <v>-1.2194063401059E-4</v>
      </c>
      <c r="M87" s="13">
        <v>3.2566680614391601E-5</v>
      </c>
      <c r="N87" s="25">
        <v>0</v>
      </c>
      <c r="O87" s="15">
        <v>0</v>
      </c>
      <c r="P87" s="16">
        <v>27.12</v>
      </c>
      <c r="Q87" s="16">
        <v>29.21</v>
      </c>
      <c r="R87" s="17">
        <v>1.0770648967551599</v>
      </c>
      <c r="S87" s="17">
        <v>1.07488560571617</v>
      </c>
      <c r="T87" s="17">
        <v>1.0771906501528901</v>
      </c>
      <c r="U87" s="17">
        <v>1.0770795206838799</v>
      </c>
      <c r="V87" s="19">
        <v>29.150897627022498</v>
      </c>
      <c r="W87" s="19">
        <v>29.213562103097502</v>
      </c>
      <c r="X87" s="19">
        <v>29.209048742748902</v>
      </c>
      <c r="Y87" s="20">
        <v>2.0254106974073901E-3</v>
      </c>
      <c r="Z87" s="20">
        <v>-1.2194063401059E-4</v>
      </c>
      <c r="AA87" s="20">
        <v>3.2566680614391601E-5</v>
      </c>
      <c r="AC87" s="21">
        <f t="shared" si="19"/>
        <v>3.324102783838621E-3</v>
      </c>
      <c r="AD87" s="21">
        <f t="shared" si="19"/>
        <v>3.4293586421178259E-3</v>
      </c>
      <c r="AE87" s="21"/>
      <c r="AF87" s="21"/>
      <c r="AG87" s="15"/>
      <c r="AH87">
        <f t="shared" ref="AH87:AH150" si="21">IF(AA87&lt;AG$1,1,0)</f>
        <v>0</v>
      </c>
      <c r="AI87">
        <f t="shared" ref="AI87:AI150" si="22">IF($AA87&gt;AG$2,1,0)</f>
        <v>1</v>
      </c>
      <c r="AJ87">
        <f t="shared" ref="AJ87:AJ150" si="23">AK87</f>
        <v>0</v>
      </c>
      <c r="AK87">
        <f t="shared" si="20"/>
        <v>0</v>
      </c>
      <c r="AL87" s="21">
        <f t="shared" ref="AL87:AL150" si="24">-AK87*$AC87</f>
        <v>0</v>
      </c>
      <c r="AM87" s="21">
        <f t="shared" ref="AM87:AM150" si="25">AK87*$AD87</f>
        <v>0</v>
      </c>
      <c r="AN87" s="21">
        <f t="shared" ref="AN87:AN150" si="26">AL87+AM87</f>
        <v>0</v>
      </c>
      <c r="AO87" s="22">
        <f t="shared" ref="AO87:AO150" si="27">AO86+AN87</f>
        <v>3.3614967749859394E-3</v>
      </c>
      <c r="AQ87" s="21"/>
      <c r="AR87" s="15"/>
      <c r="AS87">
        <f t="shared" ref="AS87:AS150" si="28">IF($AA87&gt;AR$1,1,0)</f>
        <v>0</v>
      </c>
      <c r="AT87">
        <f t="shared" ref="AT87:AT150" si="29">IF($AA87&lt;AR$2,1,0)</f>
        <v>0</v>
      </c>
      <c r="AU87">
        <f t="shared" ref="AU87:AU150" si="30">AV86</f>
        <v>1</v>
      </c>
      <c r="AV87">
        <f t="shared" ref="AV87:AV150" si="31">IF(AS86,1,IF(AT86,0,AU86))</f>
        <v>0</v>
      </c>
      <c r="AW87" s="21">
        <f t="shared" ref="AW87:AW150" si="32">AV87*$AC87</f>
        <v>0</v>
      </c>
      <c r="AX87" s="21">
        <f t="shared" ref="AX87:AX150" si="33">-AV87*$AD87</f>
        <v>0</v>
      </c>
      <c r="AY87" s="21">
        <f t="shared" ref="AY87:AY150" si="34">AW87+AX87</f>
        <v>0</v>
      </c>
      <c r="AZ87" s="22">
        <f t="shared" ref="AZ87:AZ150" si="35">AZ86+AY87</f>
        <v>6.9680506461265047E-3</v>
      </c>
      <c r="BB87" s="22">
        <f t="shared" ref="BB87:BB150" si="36">AN87+AY87</f>
        <v>0</v>
      </c>
      <c r="BC87" s="22">
        <f t="shared" ref="BC87:BC150" si="37">BC86+BB87</f>
        <v>1.0329547421112445E-2</v>
      </c>
    </row>
    <row r="88" spans="1:55" customFormat="1" x14ac:dyDescent="0.3">
      <c r="A88" s="1">
        <v>46149</v>
      </c>
      <c r="B88" s="11">
        <v>27.04</v>
      </c>
      <c r="C88" s="11">
        <v>29.08</v>
      </c>
      <c r="D88" s="12">
        <v>1.07544378698224</v>
      </c>
      <c r="E88" s="12">
        <v>1.07488560571617</v>
      </c>
      <c r="F88" s="12">
        <v>1.0769719677767899</v>
      </c>
      <c r="G88" s="12">
        <v>1.07705517483211</v>
      </c>
      <c r="H88" s="11">
        <v>29.064906778565199</v>
      </c>
      <c r="I88" s="11">
        <v>29.1272351801342</v>
      </c>
      <c r="J88" s="11">
        <v>29.124230239292199</v>
      </c>
      <c r="K88" s="13">
        <v>5.1915886050788395E-4</v>
      </c>
      <c r="L88" s="13">
        <v>-1.62300065813676E-3</v>
      </c>
      <c r="M88" s="13">
        <v>-1.51982931908039E-3</v>
      </c>
      <c r="N88" s="25">
        <v>0</v>
      </c>
      <c r="O88" s="15">
        <v>0</v>
      </c>
      <c r="P88" s="16">
        <v>27.04</v>
      </c>
      <c r="Q88" s="16">
        <v>29.08</v>
      </c>
      <c r="R88" s="17">
        <v>1.07544378698224</v>
      </c>
      <c r="S88" s="17">
        <v>1.07488560571617</v>
      </c>
      <c r="T88" s="17">
        <v>1.0769719677767899</v>
      </c>
      <c r="U88" s="17">
        <v>1.07705517483211</v>
      </c>
      <c r="V88" s="19">
        <v>29.064906778565199</v>
      </c>
      <c r="W88" s="19">
        <v>29.1272351801342</v>
      </c>
      <c r="X88" s="19">
        <v>29.124230239292199</v>
      </c>
      <c r="Y88" s="20">
        <v>5.1915886050788395E-4</v>
      </c>
      <c r="Z88" s="20">
        <v>-1.62300065813676E-3</v>
      </c>
      <c r="AA88" s="20">
        <v>-1.51982931908039E-3</v>
      </c>
      <c r="AC88" s="21">
        <f t="shared" si="19"/>
        <v>-2.9542118974315201E-3</v>
      </c>
      <c r="AD88" s="21">
        <f t="shared" si="19"/>
        <v>-4.4604637343311163E-3</v>
      </c>
      <c r="AE88" s="21"/>
      <c r="AF88" s="21"/>
      <c r="AG88" s="15"/>
      <c r="AH88">
        <f t="shared" si="21"/>
        <v>1</v>
      </c>
      <c r="AI88">
        <f t="shared" si="22"/>
        <v>0</v>
      </c>
      <c r="AJ88">
        <f t="shared" si="23"/>
        <v>0</v>
      </c>
      <c r="AK88">
        <f t="shared" si="20"/>
        <v>0</v>
      </c>
      <c r="AL88" s="21">
        <f t="shared" si="24"/>
        <v>0</v>
      </c>
      <c r="AM88" s="21">
        <f t="shared" si="25"/>
        <v>0</v>
      </c>
      <c r="AN88" s="21">
        <f t="shared" si="26"/>
        <v>0</v>
      </c>
      <c r="AO88" s="22">
        <f t="shared" si="27"/>
        <v>3.3614967749859394E-3</v>
      </c>
      <c r="AQ88" s="21"/>
      <c r="AR88" s="15"/>
      <c r="AS88">
        <f t="shared" si="28"/>
        <v>0</v>
      </c>
      <c r="AT88">
        <f t="shared" si="29"/>
        <v>1</v>
      </c>
      <c r="AU88">
        <f t="shared" si="30"/>
        <v>0</v>
      </c>
      <c r="AV88">
        <f t="shared" si="31"/>
        <v>1</v>
      </c>
      <c r="AW88" s="21">
        <f t="shared" si="32"/>
        <v>-2.9542118974315201E-3</v>
      </c>
      <c r="AX88" s="21">
        <f t="shared" si="33"/>
        <v>4.4604637343311163E-3</v>
      </c>
      <c r="AY88" s="21">
        <f t="shared" si="34"/>
        <v>1.5062518368995962E-3</v>
      </c>
      <c r="AZ88" s="22">
        <f t="shared" si="35"/>
        <v>8.4743024830261013E-3</v>
      </c>
      <c r="BB88" s="22">
        <f t="shared" si="36"/>
        <v>1.5062518368995962E-3</v>
      </c>
      <c r="BC88" s="22">
        <f t="shared" si="37"/>
        <v>1.1835799258012042E-2</v>
      </c>
    </row>
    <row r="89" spans="1:55" customFormat="1" x14ac:dyDescent="0.3">
      <c r="A89" s="1">
        <v>46150</v>
      </c>
      <c r="B89" s="11">
        <v>27.13</v>
      </c>
      <c r="C89" s="11">
        <v>29.17</v>
      </c>
      <c r="D89" s="12">
        <v>1.0751935127165499</v>
      </c>
      <c r="E89" s="12">
        <v>1.07488560571617</v>
      </c>
      <c r="F89" s="12">
        <v>1.0768074955190401</v>
      </c>
      <c r="G89" s="12">
        <v>1.07695020549752</v>
      </c>
      <c r="H89" s="11">
        <v>29.1616464830797</v>
      </c>
      <c r="I89" s="11">
        <v>29.218249485784501</v>
      </c>
      <c r="J89" s="11">
        <v>29.2205068931951</v>
      </c>
      <c r="K89" s="13">
        <v>2.864145787424E-4</v>
      </c>
      <c r="L89" s="13">
        <v>-1.65271256432822E-3</v>
      </c>
      <c r="M89" s="13">
        <v>-1.72996976662502E-3</v>
      </c>
      <c r="N89" s="25">
        <v>0</v>
      </c>
      <c r="O89" s="15">
        <v>0</v>
      </c>
      <c r="P89" s="16">
        <v>27.13</v>
      </c>
      <c r="Q89" s="16">
        <v>29.17</v>
      </c>
      <c r="R89" s="17">
        <v>1.0751935127165499</v>
      </c>
      <c r="S89" s="17">
        <v>1.07488560571617</v>
      </c>
      <c r="T89" s="17">
        <v>1.0768074955190401</v>
      </c>
      <c r="U89" s="17">
        <v>1.07695020549752</v>
      </c>
      <c r="V89" s="19">
        <v>29.1616464830797</v>
      </c>
      <c r="W89" s="19">
        <v>29.218249485784501</v>
      </c>
      <c r="X89" s="19">
        <v>29.2205068931951</v>
      </c>
      <c r="Y89" s="20">
        <v>2.864145787424E-4</v>
      </c>
      <c r="Z89" s="20">
        <v>-1.65271256432822E-3</v>
      </c>
      <c r="AA89" s="20">
        <v>-1.72996976662502E-3</v>
      </c>
      <c r="AC89" s="21">
        <f t="shared" si="19"/>
        <v>3.3228754960769546E-3</v>
      </c>
      <c r="AD89" s="21">
        <f t="shared" si="19"/>
        <v>3.0901312143115649E-3</v>
      </c>
      <c r="AE89" s="21"/>
      <c r="AF89" s="21"/>
      <c r="AG89" s="15"/>
      <c r="AH89">
        <f t="shared" si="21"/>
        <v>1</v>
      </c>
      <c r="AI89">
        <f t="shared" si="22"/>
        <v>0</v>
      </c>
      <c r="AJ89">
        <f t="shared" si="23"/>
        <v>1</v>
      </c>
      <c r="AK89">
        <f t="shared" si="20"/>
        <v>1</v>
      </c>
      <c r="AL89" s="21">
        <f t="shared" si="24"/>
        <v>-3.3228754960769546E-3</v>
      </c>
      <c r="AM89" s="21">
        <f t="shared" si="25"/>
        <v>3.0901312143115649E-3</v>
      </c>
      <c r="AN89" s="21">
        <f t="shared" si="26"/>
        <v>-2.3274428176538967E-4</v>
      </c>
      <c r="AO89" s="22">
        <f t="shared" si="27"/>
        <v>3.1287524932205497E-3</v>
      </c>
      <c r="AQ89" s="21"/>
      <c r="AR89" s="15"/>
      <c r="AS89">
        <f t="shared" si="28"/>
        <v>0</v>
      </c>
      <c r="AT89">
        <f t="shared" si="29"/>
        <v>1</v>
      </c>
      <c r="AU89">
        <f t="shared" si="30"/>
        <v>1</v>
      </c>
      <c r="AV89">
        <f t="shared" si="31"/>
        <v>0</v>
      </c>
      <c r="AW89" s="21">
        <f t="shared" si="32"/>
        <v>0</v>
      </c>
      <c r="AX89" s="21">
        <f t="shared" si="33"/>
        <v>0</v>
      </c>
      <c r="AY89" s="21">
        <f t="shared" si="34"/>
        <v>0</v>
      </c>
      <c r="AZ89" s="22">
        <f t="shared" si="35"/>
        <v>8.4743024830261013E-3</v>
      </c>
      <c r="BB89" s="22">
        <f t="shared" si="36"/>
        <v>-2.3274428176538967E-4</v>
      </c>
      <c r="BC89" s="22">
        <f t="shared" si="37"/>
        <v>1.1603054976246651E-2</v>
      </c>
    </row>
    <row r="90" spans="1:55" customFormat="1" x14ac:dyDescent="0.3">
      <c r="A90" s="1">
        <v>46153</v>
      </c>
      <c r="B90" s="11">
        <v>27.04</v>
      </c>
      <c r="C90" s="11">
        <v>29.09</v>
      </c>
      <c r="D90" s="12">
        <v>1.07581360946745</v>
      </c>
      <c r="E90" s="12">
        <v>1.07488560571617</v>
      </c>
      <c r="F90" s="12">
        <v>1.07674741634822</v>
      </c>
      <c r="G90" s="12">
        <v>1.0768904806650701</v>
      </c>
      <c r="H90" s="11">
        <v>29.064906778565199</v>
      </c>
      <c r="I90" s="11">
        <v>29.116874678834801</v>
      </c>
      <c r="J90" s="11">
        <v>29.120733556653001</v>
      </c>
      <c r="K90" s="13">
        <v>8.6297870229947804E-4</v>
      </c>
      <c r="L90" s="13">
        <v>-9.2341947210961505E-4</v>
      </c>
      <c r="M90" s="13">
        <v>-1.05594132322152E-3</v>
      </c>
      <c r="N90" s="25">
        <v>0</v>
      </c>
      <c r="O90" s="15">
        <v>0</v>
      </c>
      <c r="P90" s="16">
        <v>27.04</v>
      </c>
      <c r="Q90" s="16">
        <v>29.09</v>
      </c>
      <c r="R90" s="17">
        <v>1.07581360946745</v>
      </c>
      <c r="S90" s="17">
        <v>1.07488560571617</v>
      </c>
      <c r="T90" s="17">
        <v>1.07674741634822</v>
      </c>
      <c r="U90" s="17">
        <v>1.0768904806650701</v>
      </c>
      <c r="V90" s="19">
        <v>29.064906778565199</v>
      </c>
      <c r="W90" s="19">
        <v>29.116874678834801</v>
      </c>
      <c r="X90" s="19">
        <v>29.120733556653001</v>
      </c>
      <c r="Y90" s="20">
        <v>8.6297870229947804E-4</v>
      </c>
      <c r="Z90" s="20">
        <v>-9.2341947210961505E-4</v>
      </c>
      <c r="AA90" s="20">
        <v>-1.05594132322152E-3</v>
      </c>
      <c r="AC90" s="21">
        <f t="shared" si="19"/>
        <v>-3.3228754960770183E-3</v>
      </c>
      <c r="AD90" s="21">
        <f t="shared" si="19"/>
        <v>-2.7463113725198101E-3</v>
      </c>
      <c r="AE90" s="21"/>
      <c r="AF90" s="21"/>
      <c r="AG90" s="15"/>
      <c r="AH90">
        <f t="shared" si="21"/>
        <v>1</v>
      </c>
      <c r="AI90">
        <f t="shared" si="22"/>
        <v>0</v>
      </c>
      <c r="AJ90">
        <f t="shared" si="23"/>
        <v>1</v>
      </c>
      <c r="AK90">
        <f t="shared" si="20"/>
        <v>1</v>
      </c>
      <c r="AL90" s="21">
        <f t="shared" si="24"/>
        <v>3.3228754960770183E-3</v>
      </c>
      <c r="AM90" s="21">
        <f t="shared" si="25"/>
        <v>-2.7463113725198101E-3</v>
      </c>
      <c r="AN90" s="21">
        <f t="shared" si="26"/>
        <v>5.765641235572082E-4</v>
      </c>
      <c r="AO90" s="22">
        <f t="shared" si="27"/>
        <v>3.7053166167777579E-3</v>
      </c>
      <c r="AQ90" s="21"/>
      <c r="AR90" s="15"/>
      <c r="AS90">
        <f t="shared" si="28"/>
        <v>0</v>
      </c>
      <c r="AT90">
        <f t="shared" si="29"/>
        <v>1</v>
      </c>
      <c r="AU90">
        <f t="shared" si="30"/>
        <v>0</v>
      </c>
      <c r="AV90">
        <f t="shared" si="31"/>
        <v>0</v>
      </c>
      <c r="AW90" s="21">
        <f t="shared" si="32"/>
        <v>0</v>
      </c>
      <c r="AX90" s="21">
        <f t="shared" si="33"/>
        <v>0</v>
      </c>
      <c r="AY90" s="21">
        <f t="shared" si="34"/>
        <v>0</v>
      </c>
      <c r="AZ90" s="22">
        <f t="shared" si="35"/>
        <v>8.4743024830261013E-3</v>
      </c>
      <c r="BB90" s="22">
        <f t="shared" si="36"/>
        <v>5.765641235572082E-4</v>
      </c>
      <c r="BC90" s="22">
        <f t="shared" si="37"/>
        <v>1.2179619099803859E-2</v>
      </c>
    </row>
    <row r="91" spans="1:55" customFormat="1" x14ac:dyDescent="0.3">
      <c r="A91" s="1">
        <v>46154</v>
      </c>
      <c r="B91" s="11">
        <v>26.98</v>
      </c>
      <c r="C91" s="11">
        <v>29.02</v>
      </c>
      <c r="D91" s="12">
        <v>1.07561156412157</v>
      </c>
      <c r="E91" s="12">
        <v>1.07488560571617</v>
      </c>
      <c r="F91" s="12">
        <v>1.0766982786427299</v>
      </c>
      <c r="G91" s="12">
        <v>1.0768559451514099</v>
      </c>
      <c r="H91" s="11">
        <v>29.000413642222199</v>
      </c>
      <c r="I91" s="11">
        <v>29.0506452930751</v>
      </c>
      <c r="J91" s="11">
        <v>29.054505168343699</v>
      </c>
      <c r="K91" s="13">
        <v>6.7515404638441201E-4</v>
      </c>
      <c r="L91" s="13">
        <v>-1.0554487819208001E-3</v>
      </c>
      <c r="M91" s="13">
        <v>-1.18830706534791E-3</v>
      </c>
      <c r="N91" s="25">
        <v>0</v>
      </c>
      <c r="O91" s="15">
        <v>0</v>
      </c>
      <c r="P91" s="16">
        <v>26.98</v>
      </c>
      <c r="Q91" s="16">
        <v>29.02</v>
      </c>
      <c r="R91" s="17">
        <v>1.07561156412157</v>
      </c>
      <c r="S91" s="17">
        <v>1.07488560571617</v>
      </c>
      <c r="T91" s="17">
        <v>1.0766982786427299</v>
      </c>
      <c r="U91" s="17">
        <v>1.0768559451514099</v>
      </c>
      <c r="V91" s="19">
        <v>29.000413642222199</v>
      </c>
      <c r="W91" s="19">
        <v>29.0506452930751</v>
      </c>
      <c r="X91" s="19">
        <v>29.054505168343699</v>
      </c>
      <c r="Y91" s="20">
        <v>6.7515404638441201E-4</v>
      </c>
      <c r="Z91" s="20">
        <v>-1.0554487819208001E-3</v>
      </c>
      <c r="AA91" s="20">
        <v>-1.18830706534791E-3</v>
      </c>
      <c r="AC91" s="21">
        <f t="shared" si="19"/>
        <v>-2.2214003951535025E-3</v>
      </c>
      <c r="AD91" s="21">
        <f t="shared" si="19"/>
        <v>-2.409225051068534E-3</v>
      </c>
      <c r="AE91" s="21"/>
      <c r="AF91" s="21"/>
      <c r="AG91" s="15"/>
      <c r="AH91">
        <f t="shared" si="21"/>
        <v>1</v>
      </c>
      <c r="AI91">
        <f t="shared" si="22"/>
        <v>0</v>
      </c>
      <c r="AJ91">
        <f t="shared" si="23"/>
        <v>1</v>
      </c>
      <c r="AK91">
        <f t="shared" si="20"/>
        <v>1</v>
      </c>
      <c r="AL91" s="21">
        <f t="shared" si="24"/>
        <v>2.2214003951535025E-3</v>
      </c>
      <c r="AM91" s="21">
        <f t="shared" si="25"/>
        <v>-2.409225051068534E-3</v>
      </c>
      <c r="AN91" s="21">
        <f t="shared" si="26"/>
        <v>-1.8782465591503155E-4</v>
      </c>
      <c r="AO91" s="22">
        <f t="shared" si="27"/>
        <v>3.5174919608627264E-3</v>
      </c>
      <c r="AQ91" s="21"/>
      <c r="AR91" s="15"/>
      <c r="AS91">
        <f t="shared" si="28"/>
        <v>0</v>
      </c>
      <c r="AT91">
        <f t="shared" si="29"/>
        <v>1</v>
      </c>
      <c r="AU91">
        <f t="shared" si="30"/>
        <v>0</v>
      </c>
      <c r="AV91">
        <f t="shared" si="31"/>
        <v>0</v>
      </c>
      <c r="AW91" s="21">
        <f t="shared" si="32"/>
        <v>0</v>
      </c>
      <c r="AX91" s="21">
        <f t="shared" si="33"/>
        <v>0</v>
      </c>
      <c r="AY91" s="21">
        <f t="shared" si="34"/>
        <v>0</v>
      </c>
      <c r="AZ91" s="22">
        <f t="shared" si="35"/>
        <v>8.4743024830261013E-3</v>
      </c>
      <c r="BB91" s="22">
        <f t="shared" si="36"/>
        <v>-1.8782465591503155E-4</v>
      </c>
      <c r="BC91" s="22">
        <f t="shared" si="37"/>
        <v>1.1991794443888827E-2</v>
      </c>
    </row>
    <row r="92" spans="1:55" customFormat="1" x14ac:dyDescent="0.3">
      <c r="A92" s="1">
        <v>46155</v>
      </c>
      <c r="B92" s="11">
        <v>26.96</v>
      </c>
      <c r="C92" s="11">
        <v>29.01</v>
      </c>
      <c r="D92" s="12">
        <v>1.07603857566765</v>
      </c>
      <c r="E92" s="12">
        <v>1.07488560571617</v>
      </c>
      <c r="F92" s="12">
        <v>1.07654447089734</v>
      </c>
      <c r="G92" s="12">
        <v>1.0768201949043199</v>
      </c>
      <c r="H92" s="11">
        <v>28.978915930107899</v>
      </c>
      <c r="I92" s="11">
        <v>29.027785592208101</v>
      </c>
      <c r="J92" s="11">
        <v>29.032036281282199</v>
      </c>
      <c r="K92" s="13">
        <v>1.0720694591589001E-3</v>
      </c>
      <c r="L92" s="13">
        <v>-6.1289701470946005E-4</v>
      </c>
      <c r="M92" s="13">
        <v>-7.5932147639453903E-4</v>
      </c>
      <c r="N92" s="25">
        <v>0</v>
      </c>
      <c r="O92" s="15">
        <v>0</v>
      </c>
      <c r="P92" s="16">
        <v>26.96</v>
      </c>
      <c r="Q92" s="16">
        <v>29.01</v>
      </c>
      <c r="R92" s="17">
        <v>1.07603857566765</v>
      </c>
      <c r="S92" s="17">
        <v>1.07488560571617</v>
      </c>
      <c r="T92" s="17">
        <v>1.07654447089734</v>
      </c>
      <c r="U92" s="17">
        <v>1.0768201949043199</v>
      </c>
      <c r="V92" s="19">
        <v>28.978915930107899</v>
      </c>
      <c r="W92" s="19">
        <v>29.027785592208101</v>
      </c>
      <c r="X92" s="19">
        <v>29.032036281282199</v>
      </c>
      <c r="Y92" s="20">
        <v>1.0720694591589001E-3</v>
      </c>
      <c r="Z92" s="20">
        <v>-6.1289701470946005E-4</v>
      </c>
      <c r="AA92" s="20">
        <v>-7.5932147639453903E-4</v>
      </c>
      <c r="AC92" s="21">
        <f t="shared" si="19"/>
        <v>-7.4156473550349026E-4</v>
      </c>
      <c r="AD92" s="21">
        <f t="shared" si="19"/>
        <v>-3.4464932272903256E-4</v>
      </c>
      <c r="AE92" s="21"/>
      <c r="AF92" s="21"/>
      <c r="AG92" s="15"/>
      <c r="AH92">
        <f t="shared" si="21"/>
        <v>0</v>
      </c>
      <c r="AI92">
        <f t="shared" si="22"/>
        <v>0</v>
      </c>
      <c r="AJ92">
        <f t="shared" si="23"/>
        <v>1</v>
      </c>
      <c r="AK92">
        <f t="shared" si="20"/>
        <v>1</v>
      </c>
      <c r="AL92" s="21">
        <f t="shared" si="24"/>
        <v>7.4156473550349026E-4</v>
      </c>
      <c r="AM92" s="21">
        <f t="shared" si="25"/>
        <v>-3.4464932272903256E-4</v>
      </c>
      <c r="AN92" s="21">
        <f t="shared" si="26"/>
        <v>3.969154127744577E-4</v>
      </c>
      <c r="AO92" s="22">
        <f t="shared" si="27"/>
        <v>3.9144073736371836E-3</v>
      </c>
      <c r="AQ92" s="21"/>
      <c r="AR92" s="15"/>
      <c r="AS92">
        <f t="shared" si="28"/>
        <v>0</v>
      </c>
      <c r="AT92">
        <f t="shared" si="29"/>
        <v>1</v>
      </c>
      <c r="AU92">
        <f t="shared" si="30"/>
        <v>0</v>
      </c>
      <c r="AV92">
        <f t="shared" si="31"/>
        <v>0</v>
      </c>
      <c r="AW92" s="21">
        <f t="shared" si="32"/>
        <v>0</v>
      </c>
      <c r="AX92" s="21">
        <f t="shared" si="33"/>
        <v>0</v>
      </c>
      <c r="AY92" s="21">
        <f t="shared" si="34"/>
        <v>0</v>
      </c>
      <c r="AZ92" s="22">
        <f t="shared" si="35"/>
        <v>8.4743024830261013E-3</v>
      </c>
      <c r="BB92" s="22">
        <f t="shared" si="36"/>
        <v>3.969154127744577E-4</v>
      </c>
      <c r="BC92" s="22">
        <f t="shared" si="37"/>
        <v>1.2388709856663285E-2</v>
      </c>
    </row>
    <row r="93" spans="1:55" customFormat="1" x14ac:dyDescent="0.3">
      <c r="A93" s="1">
        <v>46156</v>
      </c>
      <c r="B93" s="11">
        <v>26.96</v>
      </c>
      <c r="C93" s="11">
        <v>29.01</v>
      </c>
      <c r="D93" s="12">
        <v>1.07603857566765</v>
      </c>
      <c r="E93" s="12">
        <v>1.07488560571617</v>
      </c>
      <c r="F93" s="12">
        <v>1.0763369799011</v>
      </c>
      <c r="G93" s="12">
        <v>1.07673916454158</v>
      </c>
      <c r="H93" s="11">
        <v>28.978915930107899</v>
      </c>
      <c r="I93" s="11">
        <v>29.023638935392398</v>
      </c>
      <c r="J93" s="11">
        <v>29.0310724546204</v>
      </c>
      <c r="K93" s="13">
        <v>1.0720694591589001E-3</v>
      </c>
      <c r="L93" s="13">
        <v>-4.7003551367111502E-4</v>
      </c>
      <c r="M93" s="13">
        <v>-7.2612219778753402E-4</v>
      </c>
      <c r="N93" s="25">
        <v>0</v>
      </c>
      <c r="O93" s="15">
        <v>0</v>
      </c>
      <c r="P93" s="16">
        <v>26.96</v>
      </c>
      <c r="Q93" s="16">
        <v>29.01</v>
      </c>
      <c r="R93" s="17">
        <v>1.07603857566765</v>
      </c>
      <c r="S93" s="17">
        <v>1.07488560571617</v>
      </c>
      <c r="T93" s="17">
        <v>1.0763369799011</v>
      </c>
      <c r="U93" s="17">
        <v>1.07673916454158</v>
      </c>
      <c r="V93" s="19">
        <v>28.978915930107899</v>
      </c>
      <c r="W93" s="19">
        <v>29.023638935392398</v>
      </c>
      <c r="X93" s="19">
        <v>29.0310724546204</v>
      </c>
      <c r="Y93" s="20">
        <v>1.0720694591589001E-3</v>
      </c>
      <c r="Z93" s="20">
        <v>-4.7003551367111502E-4</v>
      </c>
      <c r="AA93" s="20">
        <v>-7.2612219778753402E-4</v>
      </c>
      <c r="AC93" s="21">
        <f t="shared" si="19"/>
        <v>0</v>
      </c>
      <c r="AD93" s="21">
        <f t="shared" si="19"/>
        <v>0</v>
      </c>
      <c r="AE93" s="21"/>
      <c r="AF93" s="21"/>
      <c r="AG93" s="15"/>
      <c r="AH93">
        <f t="shared" si="21"/>
        <v>0</v>
      </c>
      <c r="AI93">
        <f t="shared" si="22"/>
        <v>0</v>
      </c>
      <c r="AJ93">
        <f t="shared" si="23"/>
        <v>1</v>
      </c>
      <c r="AK93">
        <f t="shared" si="20"/>
        <v>1</v>
      </c>
      <c r="AL93" s="21">
        <f t="shared" si="24"/>
        <v>0</v>
      </c>
      <c r="AM93" s="21">
        <f t="shared" si="25"/>
        <v>0</v>
      </c>
      <c r="AN93" s="21">
        <f t="shared" si="26"/>
        <v>0</v>
      </c>
      <c r="AO93" s="22">
        <f t="shared" si="27"/>
        <v>3.9144073736371836E-3</v>
      </c>
      <c r="AQ93" s="21"/>
      <c r="AR93" s="15"/>
      <c r="AS93">
        <f t="shared" si="28"/>
        <v>0</v>
      </c>
      <c r="AT93">
        <f t="shared" si="29"/>
        <v>1</v>
      </c>
      <c r="AU93">
        <f t="shared" si="30"/>
        <v>0</v>
      </c>
      <c r="AV93">
        <f t="shared" si="31"/>
        <v>0</v>
      </c>
      <c r="AW93" s="21">
        <f t="shared" si="32"/>
        <v>0</v>
      </c>
      <c r="AX93" s="21">
        <f t="shared" si="33"/>
        <v>0</v>
      </c>
      <c r="AY93" s="21">
        <f t="shared" si="34"/>
        <v>0</v>
      </c>
      <c r="AZ93" s="22">
        <f t="shared" si="35"/>
        <v>8.4743024830261013E-3</v>
      </c>
      <c r="BB93" s="22">
        <f t="shared" si="36"/>
        <v>0</v>
      </c>
      <c r="BC93" s="22">
        <f t="shared" si="37"/>
        <v>1.2388709856663285E-2</v>
      </c>
    </row>
    <row r="94" spans="1:55" customFormat="1" x14ac:dyDescent="0.3">
      <c r="A94" s="1">
        <v>46157</v>
      </c>
      <c r="B94" s="11">
        <v>26.8</v>
      </c>
      <c r="C94" s="11">
        <v>28.82</v>
      </c>
      <c r="D94" s="12">
        <v>1.0753731343283499</v>
      </c>
      <c r="E94" s="12">
        <v>1.07488560571617</v>
      </c>
      <c r="F94" s="12">
        <v>1.0761080211445899</v>
      </c>
      <c r="G94" s="12">
        <v>1.0766419363184601</v>
      </c>
      <c r="H94" s="11">
        <v>28.806934233193299</v>
      </c>
      <c r="I94" s="11">
        <v>28.8458310613496</v>
      </c>
      <c r="J94" s="11">
        <v>28.8566096097145</v>
      </c>
      <c r="K94" s="13">
        <v>4.5346042451767599E-4</v>
      </c>
      <c r="L94" s="13">
        <v>-8.9588800167926096E-4</v>
      </c>
      <c r="M94" s="13">
        <v>-1.2694787324992901E-3</v>
      </c>
      <c r="N94" s="25">
        <v>0</v>
      </c>
      <c r="O94" s="15">
        <v>0</v>
      </c>
      <c r="P94" s="16">
        <v>26.8</v>
      </c>
      <c r="Q94" s="16">
        <v>28.82</v>
      </c>
      <c r="R94" s="17">
        <v>1.0753731343283499</v>
      </c>
      <c r="S94" s="17">
        <v>1.07488560571617</v>
      </c>
      <c r="T94" s="17">
        <v>1.0761080211445899</v>
      </c>
      <c r="U94" s="17">
        <v>1.0766419363184601</v>
      </c>
      <c r="V94" s="19">
        <v>28.806934233193299</v>
      </c>
      <c r="W94" s="19">
        <v>28.8458310613496</v>
      </c>
      <c r="X94" s="19">
        <v>28.8566096097145</v>
      </c>
      <c r="Y94" s="20">
        <v>4.5346042451767599E-4</v>
      </c>
      <c r="Z94" s="20">
        <v>-8.9588800167926096E-4</v>
      </c>
      <c r="AA94" s="20">
        <v>-1.2694787324992901E-3</v>
      </c>
      <c r="AC94" s="21">
        <f t="shared" si="19"/>
        <v>-5.9523985272952728E-3</v>
      </c>
      <c r="AD94" s="21">
        <f t="shared" si="19"/>
        <v>-6.5710075619366658E-3</v>
      </c>
      <c r="AE94" s="21"/>
      <c r="AF94" s="21"/>
      <c r="AG94" s="15"/>
      <c r="AH94">
        <f t="shared" si="21"/>
        <v>1</v>
      </c>
      <c r="AI94">
        <f t="shared" si="22"/>
        <v>0</v>
      </c>
      <c r="AJ94">
        <f t="shared" si="23"/>
        <v>1</v>
      </c>
      <c r="AK94">
        <f t="shared" si="20"/>
        <v>1</v>
      </c>
      <c r="AL94" s="21">
        <f t="shared" si="24"/>
        <v>5.9523985272952728E-3</v>
      </c>
      <c r="AM94" s="21">
        <f t="shared" si="25"/>
        <v>-6.5710075619366658E-3</v>
      </c>
      <c r="AN94" s="21">
        <f t="shared" si="26"/>
        <v>-6.1860903464139305E-4</v>
      </c>
      <c r="AO94" s="22">
        <f t="shared" si="27"/>
        <v>3.2957983389957906E-3</v>
      </c>
      <c r="AQ94" s="21"/>
      <c r="AR94" s="15"/>
      <c r="AS94">
        <f t="shared" si="28"/>
        <v>0</v>
      </c>
      <c r="AT94">
        <f t="shared" si="29"/>
        <v>1</v>
      </c>
      <c r="AU94">
        <f t="shared" si="30"/>
        <v>0</v>
      </c>
      <c r="AV94">
        <f t="shared" si="31"/>
        <v>0</v>
      </c>
      <c r="AW94" s="21">
        <f t="shared" si="32"/>
        <v>0</v>
      </c>
      <c r="AX94" s="21">
        <f t="shared" si="33"/>
        <v>0</v>
      </c>
      <c r="AY94" s="21">
        <f t="shared" si="34"/>
        <v>0</v>
      </c>
      <c r="AZ94" s="22">
        <f t="shared" si="35"/>
        <v>8.4743024830261013E-3</v>
      </c>
      <c r="BB94" s="22">
        <f t="shared" si="36"/>
        <v>-6.1860903464139305E-4</v>
      </c>
      <c r="BC94" s="22">
        <f t="shared" si="37"/>
        <v>1.1770100822021892E-2</v>
      </c>
    </row>
    <row r="95" spans="1:55" customFormat="1" x14ac:dyDescent="0.3">
      <c r="A95" s="1">
        <v>46160</v>
      </c>
      <c r="B95" s="11">
        <v>26.82</v>
      </c>
      <c r="C95" s="11">
        <v>28.84</v>
      </c>
      <c r="D95" s="12">
        <v>1.07531692766592</v>
      </c>
      <c r="E95" s="12">
        <v>1.07488560571617</v>
      </c>
      <c r="F95" s="12">
        <v>1.07588461187036</v>
      </c>
      <c r="G95" s="12">
        <v>1.0765559851962501</v>
      </c>
      <c r="H95" s="11">
        <v>28.828431945307599</v>
      </c>
      <c r="I95" s="11">
        <v>28.861217127097898</v>
      </c>
      <c r="J95" s="11">
        <v>28.8755367320612</v>
      </c>
      <c r="K95" s="13">
        <v>4.01191933168516E-4</v>
      </c>
      <c r="L95" s="13">
        <v>-7.35413535818751E-4</v>
      </c>
      <c r="M95" s="13">
        <v>-1.2314443757853099E-3</v>
      </c>
      <c r="N95" s="25">
        <v>0</v>
      </c>
      <c r="O95" s="15">
        <v>0</v>
      </c>
      <c r="P95" s="16">
        <v>26.82</v>
      </c>
      <c r="Q95" s="16">
        <v>28.84</v>
      </c>
      <c r="R95" s="17">
        <v>1.07531692766592</v>
      </c>
      <c r="S95" s="17">
        <v>1.07488560571617</v>
      </c>
      <c r="T95" s="17">
        <v>1.07588461187036</v>
      </c>
      <c r="U95" s="17">
        <v>1.0765559851962501</v>
      </c>
      <c r="V95" s="19">
        <v>28.828431945307599</v>
      </c>
      <c r="W95" s="19">
        <v>28.861217127097898</v>
      </c>
      <c r="X95" s="19">
        <v>28.8755367320612</v>
      </c>
      <c r="Y95" s="20">
        <v>4.01191933168516E-4</v>
      </c>
      <c r="Z95" s="20">
        <v>-7.35413535818751E-4</v>
      </c>
      <c r="AA95" s="20">
        <v>-1.2314443757853099E-3</v>
      </c>
      <c r="AC95" s="21">
        <f t="shared" si="19"/>
        <v>7.4599033672139521E-4</v>
      </c>
      <c r="AD95" s="21">
        <f t="shared" si="19"/>
        <v>6.937218453723083E-4</v>
      </c>
      <c r="AE95" s="21"/>
      <c r="AF95" s="21"/>
      <c r="AG95" s="15"/>
      <c r="AH95">
        <f t="shared" si="21"/>
        <v>1</v>
      </c>
      <c r="AI95">
        <f t="shared" si="22"/>
        <v>0</v>
      </c>
      <c r="AJ95">
        <f t="shared" si="23"/>
        <v>1</v>
      </c>
      <c r="AK95">
        <f t="shared" si="20"/>
        <v>1</v>
      </c>
      <c r="AL95" s="21">
        <f t="shared" si="24"/>
        <v>-7.4599033672139521E-4</v>
      </c>
      <c r="AM95" s="21">
        <f t="shared" si="25"/>
        <v>6.937218453723083E-4</v>
      </c>
      <c r="AN95" s="21">
        <f t="shared" si="26"/>
        <v>-5.2268491349086914E-5</v>
      </c>
      <c r="AO95" s="22">
        <f t="shared" si="27"/>
        <v>3.2435298476467039E-3</v>
      </c>
      <c r="AQ95" s="21"/>
      <c r="AR95" s="15"/>
      <c r="AS95">
        <f t="shared" si="28"/>
        <v>0</v>
      </c>
      <c r="AT95">
        <f t="shared" si="29"/>
        <v>1</v>
      </c>
      <c r="AU95">
        <f t="shared" si="30"/>
        <v>0</v>
      </c>
      <c r="AV95">
        <f t="shared" si="31"/>
        <v>0</v>
      </c>
      <c r="AW95" s="21">
        <f t="shared" si="32"/>
        <v>0</v>
      </c>
      <c r="AX95" s="21">
        <f t="shared" si="33"/>
        <v>0</v>
      </c>
      <c r="AY95" s="21">
        <f t="shared" si="34"/>
        <v>0</v>
      </c>
      <c r="AZ95" s="22">
        <f t="shared" si="35"/>
        <v>8.4743024830261013E-3</v>
      </c>
      <c r="BB95" s="22">
        <f t="shared" si="36"/>
        <v>-5.2268491349086914E-5</v>
      </c>
      <c r="BC95" s="22">
        <f t="shared" si="37"/>
        <v>1.1717832330672804E-2</v>
      </c>
    </row>
    <row r="96" spans="1:55" customFormat="1" x14ac:dyDescent="0.3">
      <c r="A96" s="1">
        <v>46161</v>
      </c>
      <c r="B96" s="11">
        <v>26.73</v>
      </c>
      <c r="C96" s="11">
        <v>28.75</v>
      </c>
      <c r="D96" s="12">
        <v>1.0755705200149599</v>
      </c>
      <c r="E96" s="12">
        <v>1.07488560571617</v>
      </c>
      <c r="F96" s="12">
        <v>1.07574651033875</v>
      </c>
      <c r="G96" s="12">
        <v>1.07647137653917</v>
      </c>
      <c r="H96" s="11">
        <v>28.731692240793201</v>
      </c>
      <c r="I96" s="11">
        <v>28.758395675294899</v>
      </c>
      <c r="J96" s="11">
        <v>28.776341484296001</v>
      </c>
      <c r="K96" s="13">
        <v>6.3699446248450099E-4</v>
      </c>
      <c r="L96" s="13">
        <v>-2.91980857961152E-4</v>
      </c>
      <c r="M96" s="13">
        <v>-9.1580606231474095E-4</v>
      </c>
      <c r="N96" s="25">
        <v>0</v>
      </c>
      <c r="O96" s="15">
        <v>0</v>
      </c>
      <c r="P96" s="16">
        <v>26.73</v>
      </c>
      <c r="Q96" s="16">
        <v>28.75</v>
      </c>
      <c r="R96" s="17">
        <v>1.0755705200149599</v>
      </c>
      <c r="S96" s="17">
        <v>1.07488560571617</v>
      </c>
      <c r="T96" s="17">
        <v>1.07574651033875</v>
      </c>
      <c r="U96" s="17">
        <v>1.07647137653917</v>
      </c>
      <c r="V96" s="19">
        <v>28.731692240793201</v>
      </c>
      <c r="W96" s="19">
        <v>28.758395675294899</v>
      </c>
      <c r="X96" s="19">
        <v>28.776341484296001</v>
      </c>
      <c r="Y96" s="20">
        <v>6.3699446248450099E-4</v>
      </c>
      <c r="Z96" s="20">
        <v>-2.91980857961152E-4</v>
      </c>
      <c r="AA96" s="20">
        <v>-9.1580606231474095E-4</v>
      </c>
      <c r="AC96" s="21">
        <f t="shared" si="19"/>
        <v>-3.3613477027047717E-3</v>
      </c>
      <c r="AD96" s="21">
        <f t="shared" si="19"/>
        <v>-3.1255451733888787E-3</v>
      </c>
      <c r="AE96" s="21"/>
      <c r="AF96" s="21"/>
      <c r="AG96" s="15"/>
      <c r="AH96">
        <f t="shared" si="21"/>
        <v>0</v>
      </c>
      <c r="AI96">
        <f t="shared" si="22"/>
        <v>0</v>
      </c>
      <c r="AJ96">
        <f t="shared" si="23"/>
        <v>1</v>
      </c>
      <c r="AK96">
        <f t="shared" si="20"/>
        <v>1</v>
      </c>
      <c r="AL96" s="21">
        <f t="shared" si="24"/>
        <v>3.3613477027047717E-3</v>
      </c>
      <c r="AM96" s="21">
        <f t="shared" si="25"/>
        <v>-3.1255451733888787E-3</v>
      </c>
      <c r="AN96" s="21">
        <f t="shared" si="26"/>
        <v>2.35802529315893E-4</v>
      </c>
      <c r="AO96" s="22">
        <f t="shared" si="27"/>
        <v>3.4793323769625969E-3</v>
      </c>
      <c r="AQ96" s="21"/>
      <c r="AR96" s="15"/>
      <c r="AS96">
        <f t="shared" si="28"/>
        <v>0</v>
      </c>
      <c r="AT96">
        <f t="shared" si="29"/>
        <v>1</v>
      </c>
      <c r="AU96">
        <f t="shared" si="30"/>
        <v>0</v>
      </c>
      <c r="AV96">
        <f t="shared" si="31"/>
        <v>0</v>
      </c>
      <c r="AW96" s="21">
        <f t="shared" si="32"/>
        <v>0</v>
      </c>
      <c r="AX96" s="21">
        <f t="shared" si="33"/>
        <v>0</v>
      </c>
      <c r="AY96" s="21">
        <f t="shared" si="34"/>
        <v>0</v>
      </c>
      <c r="AZ96" s="22">
        <f t="shared" si="35"/>
        <v>8.4743024830261013E-3</v>
      </c>
      <c r="BB96" s="22">
        <f t="shared" si="36"/>
        <v>2.35802529315893E-4</v>
      </c>
      <c r="BC96" s="22">
        <f t="shared" si="37"/>
        <v>1.1953634859988698E-2</v>
      </c>
    </row>
    <row r="97" spans="1:55" customFormat="1" x14ac:dyDescent="0.3">
      <c r="A97" s="1">
        <v>46162</v>
      </c>
      <c r="B97" s="11">
        <v>26.93</v>
      </c>
      <c r="C97" s="11">
        <v>28.92</v>
      </c>
      <c r="D97" s="12">
        <v>1.0738952840698099</v>
      </c>
      <c r="E97" s="12">
        <v>1.07488560571617</v>
      </c>
      <c r="F97" s="12">
        <v>1.0754295490702099</v>
      </c>
      <c r="G97" s="12">
        <v>1.07631009961155</v>
      </c>
      <c r="H97" s="11">
        <v>28.946669361936401</v>
      </c>
      <c r="I97" s="11">
        <v>28.9698535234226</v>
      </c>
      <c r="J97" s="11">
        <v>28.989374170199799</v>
      </c>
      <c r="K97" s="13">
        <v>-9.21752162991009E-4</v>
      </c>
      <c r="L97" s="13">
        <v>-1.7223583309554601E-3</v>
      </c>
      <c r="M97" s="13">
        <v>-2.3959576279819301E-3</v>
      </c>
      <c r="N97" s="25">
        <v>0</v>
      </c>
      <c r="O97" s="15">
        <v>0</v>
      </c>
      <c r="P97" s="16">
        <v>26.93</v>
      </c>
      <c r="Q97" s="16">
        <v>28.92</v>
      </c>
      <c r="R97" s="17">
        <v>1.0738952840698099</v>
      </c>
      <c r="S97" s="17">
        <v>1.07488560571617</v>
      </c>
      <c r="T97" s="17">
        <v>1.0754295490702099</v>
      </c>
      <c r="U97" s="17">
        <v>1.07631009961155</v>
      </c>
      <c r="V97" s="19">
        <v>28.946669361936401</v>
      </c>
      <c r="W97" s="19">
        <v>28.9698535234226</v>
      </c>
      <c r="X97" s="19">
        <v>28.989374170199799</v>
      </c>
      <c r="Y97" s="20">
        <v>-9.21752162991009E-4</v>
      </c>
      <c r="Z97" s="20">
        <v>-1.7223583309554601E-3</v>
      </c>
      <c r="AA97" s="20">
        <v>-2.3959576279819301E-3</v>
      </c>
      <c r="AC97" s="21">
        <f t="shared" si="19"/>
        <v>7.454376672679874E-3</v>
      </c>
      <c r="AD97" s="21">
        <f t="shared" si="19"/>
        <v>5.8956300472044485E-3</v>
      </c>
      <c r="AE97" s="21"/>
      <c r="AF97" s="21"/>
      <c r="AG97" s="15"/>
      <c r="AH97">
        <f t="shared" si="21"/>
        <v>1</v>
      </c>
      <c r="AI97">
        <f t="shared" si="22"/>
        <v>0</v>
      </c>
      <c r="AJ97">
        <f t="shared" si="23"/>
        <v>1</v>
      </c>
      <c r="AK97">
        <f t="shared" si="20"/>
        <v>1</v>
      </c>
      <c r="AL97" s="21">
        <f t="shared" si="24"/>
        <v>-7.454376672679874E-3</v>
      </c>
      <c r="AM97" s="21">
        <f t="shared" si="25"/>
        <v>5.8956300472044485E-3</v>
      </c>
      <c r="AN97" s="21">
        <f t="shared" si="26"/>
        <v>-1.5587466254754255E-3</v>
      </c>
      <c r="AO97" s="22">
        <f t="shared" si="27"/>
        <v>1.9205857514871714E-3</v>
      </c>
      <c r="AQ97" s="21"/>
      <c r="AR97" s="15"/>
      <c r="AS97">
        <f t="shared" si="28"/>
        <v>0</v>
      </c>
      <c r="AT97">
        <f t="shared" si="29"/>
        <v>1</v>
      </c>
      <c r="AU97">
        <f t="shared" si="30"/>
        <v>0</v>
      </c>
      <c r="AV97">
        <f t="shared" si="31"/>
        <v>0</v>
      </c>
      <c r="AW97" s="21">
        <f t="shared" si="32"/>
        <v>0</v>
      </c>
      <c r="AX97" s="21">
        <f t="shared" si="33"/>
        <v>0</v>
      </c>
      <c r="AY97" s="21">
        <f t="shared" si="34"/>
        <v>0</v>
      </c>
      <c r="AZ97" s="22">
        <f t="shared" si="35"/>
        <v>8.4743024830261013E-3</v>
      </c>
      <c r="BB97" s="22">
        <f t="shared" si="36"/>
        <v>-1.5587466254754255E-3</v>
      </c>
      <c r="BC97" s="22">
        <f t="shared" si="37"/>
        <v>1.0394888234513271E-2</v>
      </c>
    </row>
    <row r="98" spans="1:55" customFormat="1" x14ac:dyDescent="0.3">
      <c r="A98" s="1">
        <v>46163</v>
      </c>
      <c r="B98" s="11">
        <v>26.98</v>
      </c>
      <c r="C98" s="11">
        <v>29</v>
      </c>
      <c r="D98" s="12">
        <v>1.07487027427724</v>
      </c>
      <c r="E98" s="12">
        <v>1.07488560571617</v>
      </c>
      <c r="F98" s="12">
        <v>1.0753721977997099</v>
      </c>
      <c r="G98" s="12">
        <v>1.0761720827882499</v>
      </c>
      <c r="H98" s="11">
        <v>29.000413642222199</v>
      </c>
      <c r="I98" s="11">
        <v>29.015089233914502</v>
      </c>
      <c r="J98" s="11">
        <v>29.038846487519699</v>
      </c>
      <c r="K98" s="13">
        <v>-1.4263423183286601E-5</v>
      </c>
      <c r="L98" s="13">
        <v>-5.2018309215825002E-4</v>
      </c>
      <c r="M98" s="13">
        <v>-1.3386376770612701E-3</v>
      </c>
      <c r="N98" s="25">
        <v>0</v>
      </c>
      <c r="O98" s="15">
        <v>0</v>
      </c>
      <c r="P98" s="16">
        <v>26.98</v>
      </c>
      <c r="Q98" s="16">
        <v>29</v>
      </c>
      <c r="R98" s="17">
        <v>1.07487027427724</v>
      </c>
      <c r="S98" s="17">
        <v>1.07488560571617</v>
      </c>
      <c r="T98" s="17">
        <v>1.0753721977997099</v>
      </c>
      <c r="U98" s="17">
        <v>1.0761720827882499</v>
      </c>
      <c r="V98" s="19">
        <v>29.000413642222199</v>
      </c>
      <c r="W98" s="19">
        <v>29.015089233914502</v>
      </c>
      <c r="X98" s="19">
        <v>29.038846487519699</v>
      </c>
      <c r="Y98" s="20">
        <v>-1.4263423183286601E-5</v>
      </c>
      <c r="Z98" s="20">
        <v>-5.2018309215825002E-4</v>
      </c>
      <c r="AA98" s="20">
        <v>-1.3386376770612701E-3</v>
      </c>
      <c r="AC98" s="21">
        <f t="shared" si="19"/>
        <v>1.8549439561024153E-3</v>
      </c>
      <c r="AD98" s="21">
        <f t="shared" si="19"/>
        <v>2.7624326959100796E-3</v>
      </c>
      <c r="AE98" s="21"/>
      <c r="AF98" s="21"/>
      <c r="AG98" s="15"/>
      <c r="AH98">
        <f t="shared" si="21"/>
        <v>1</v>
      </c>
      <c r="AI98">
        <f t="shared" si="22"/>
        <v>0</v>
      </c>
      <c r="AJ98">
        <f t="shared" si="23"/>
        <v>1</v>
      </c>
      <c r="AK98">
        <f t="shared" si="20"/>
        <v>1</v>
      </c>
      <c r="AL98" s="21">
        <f t="shared" si="24"/>
        <v>-1.8549439561024153E-3</v>
      </c>
      <c r="AM98" s="21">
        <f t="shared" si="25"/>
        <v>2.7624326959100796E-3</v>
      </c>
      <c r="AN98" s="21">
        <f t="shared" si="26"/>
        <v>9.0748873980766426E-4</v>
      </c>
      <c r="AO98" s="22">
        <f t="shared" si="27"/>
        <v>2.8280744912948354E-3</v>
      </c>
      <c r="AQ98" s="21"/>
      <c r="AR98" s="15"/>
      <c r="AS98">
        <f t="shared" si="28"/>
        <v>0</v>
      </c>
      <c r="AT98">
        <f t="shared" si="29"/>
        <v>1</v>
      </c>
      <c r="AU98">
        <f t="shared" si="30"/>
        <v>0</v>
      </c>
      <c r="AV98">
        <f t="shared" si="31"/>
        <v>0</v>
      </c>
      <c r="AW98" s="21">
        <f t="shared" si="32"/>
        <v>0</v>
      </c>
      <c r="AX98" s="21">
        <f t="shared" si="33"/>
        <v>0</v>
      </c>
      <c r="AY98" s="21">
        <f t="shared" si="34"/>
        <v>0</v>
      </c>
      <c r="AZ98" s="22">
        <f t="shared" si="35"/>
        <v>8.4743024830261013E-3</v>
      </c>
      <c r="BB98" s="22">
        <f t="shared" si="36"/>
        <v>9.0748873980766426E-4</v>
      </c>
      <c r="BC98" s="22">
        <f t="shared" si="37"/>
        <v>1.1302376974320936E-2</v>
      </c>
    </row>
    <row r="99" spans="1:55" customFormat="1" x14ac:dyDescent="0.3">
      <c r="A99" s="1">
        <v>46164</v>
      </c>
      <c r="B99" s="11">
        <v>27.02</v>
      </c>
      <c r="C99" s="11">
        <v>29.03</v>
      </c>
      <c r="D99" s="12">
        <v>1.07438934122871</v>
      </c>
      <c r="E99" s="12">
        <v>1.07488560571617</v>
      </c>
      <c r="F99" s="12">
        <v>1.0752917806509299</v>
      </c>
      <c r="G99" s="12">
        <v>1.07604963808498</v>
      </c>
      <c r="H99" s="11">
        <v>29.043409066450899</v>
      </c>
      <c r="I99" s="11">
        <v>29.056556784548299</v>
      </c>
      <c r="J99" s="11">
        <v>29.0781696769387</v>
      </c>
      <c r="K99" s="13">
        <v>-4.6179712556165998E-4</v>
      </c>
      <c r="L99" s="13">
        <v>-9.1438666255405198E-4</v>
      </c>
      <c r="M99" s="13">
        <v>-1.65793168982456E-3</v>
      </c>
      <c r="N99" s="25">
        <v>0</v>
      </c>
      <c r="O99" s="15">
        <v>0</v>
      </c>
      <c r="P99" s="16">
        <v>27.02</v>
      </c>
      <c r="Q99" s="16">
        <v>29.03</v>
      </c>
      <c r="R99" s="17">
        <v>1.07438934122871</v>
      </c>
      <c r="S99" s="17">
        <v>1.07488560571617</v>
      </c>
      <c r="T99" s="17">
        <v>1.0752917806509299</v>
      </c>
      <c r="U99" s="17">
        <v>1.07604963808498</v>
      </c>
      <c r="V99" s="19">
        <v>29.043409066450899</v>
      </c>
      <c r="W99" s="19">
        <v>29.056556784548299</v>
      </c>
      <c r="X99" s="19">
        <v>29.0781696769387</v>
      </c>
      <c r="Y99" s="20">
        <v>-4.6179712556165998E-4</v>
      </c>
      <c r="Z99" s="20">
        <v>-9.1438666255405198E-4</v>
      </c>
      <c r="AA99" s="20">
        <v>-1.65793168982456E-3</v>
      </c>
      <c r="AC99" s="21">
        <f t="shared" si="19"/>
        <v>1.4814817524428803E-3</v>
      </c>
      <c r="AD99" s="21">
        <f t="shared" si="19"/>
        <v>1.0339480500646432E-3</v>
      </c>
      <c r="AE99" s="21"/>
      <c r="AF99" s="21"/>
      <c r="AG99" s="15"/>
      <c r="AH99">
        <f t="shared" si="21"/>
        <v>1</v>
      </c>
      <c r="AI99">
        <f t="shared" si="22"/>
        <v>0</v>
      </c>
      <c r="AJ99">
        <f t="shared" si="23"/>
        <v>1</v>
      </c>
      <c r="AK99">
        <f t="shared" si="20"/>
        <v>1</v>
      </c>
      <c r="AL99" s="21">
        <f t="shared" si="24"/>
        <v>-1.4814817524428803E-3</v>
      </c>
      <c r="AM99" s="21">
        <f t="shared" si="25"/>
        <v>1.0339480500646432E-3</v>
      </c>
      <c r="AN99" s="21">
        <f t="shared" si="26"/>
        <v>-4.4753370237823713E-4</v>
      </c>
      <c r="AO99" s="22">
        <f t="shared" si="27"/>
        <v>2.3805407889165983E-3</v>
      </c>
      <c r="AQ99" s="21"/>
      <c r="AR99" s="15"/>
      <c r="AS99">
        <f t="shared" si="28"/>
        <v>0</v>
      </c>
      <c r="AT99">
        <f t="shared" si="29"/>
        <v>1</v>
      </c>
      <c r="AU99">
        <f t="shared" si="30"/>
        <v>0</v>
      </c>
      <c r="AV99">
        <f t="shared" si="31"/>
        <v>0</v>
      </c>
      <c r="AW99" s="21">
        <f t="shared" si="32"/>
        <v>0</v>
      </c>
      <c r="AX99" s="21">
        <f t="shared" si="33"/>
        <v>0</v>
      </c>
      <c r="AY99" s="21">
        <f t="shared" si="34"/>
        <v>0</v>
      </c>
      <c r="AZ99" s="22">
        <f t="shared" si="35"/>
        <v>8.4743024830261013E-3</v>
      </c>
      <c r="BB99" s="22">
        <f t="shared" si="36"/>
        <v>-4.4753370237823713E-4</v>
      </c>
      <c r="BC99" s="22">
        <f t="shared" si="37"/>
        <v>1.0854843271942699E-2</v>
      </c>
    </row>
    <row r="100" spans="1:55" customFormat="1" x14ac:dyDescent="0.3">
      <c r="A100" s="1">
        <v>46168</v>
      </c>
      <c r="B100" s="11">
        <v>27.06</v>
      </c>
      <c r="C100" s="11">
        <v>29.11</v>
      </c>
      <c r="D100" s="12">
        <v>1.0757575757575699</v>
      </c>
      <c r="E100" s="12">
        <v>1.07488560571617</v>
      </c>
      <c r="F100" s="12">
        <v>1.07528617727994</v>
      </c>
      <c r="G100" s="12">
        <v>1.0760167968140799</v>
      </c>
      <c r="H100" s="11">
        <v>29.086404490679499</v>
      </c>
      <c r="I100" s="11">
        <v>29.097395584414301</v>
      </c>
      <c r="J100" s="11">
        <v>29.117903206579701</v>
      </c>
      <c r="K100" s="13">
        <v>8.1089238484238703E-4</v>
      </c>
      <c r="L100" s="13">
        <v>4.3308640272081699E-4</v>
      </c>
      <c r="M100" s="13">
        <v>-2.7145770989799403E-4</v>
      </c>
      <c r="N100" s="25">
        <v>0</v>
      </c>
      <c r="O100" s="15">
        <v>0</v>
      </c>
      <c r="P100" s="16">
        <v>27.06</v>
      </c>
      <c r="Q100" s="16">
        <v>29.11</v>
      </c>
      <c r="R100" s="17">
        <v>1.0757575757575699</v>
      </c>
      <c r="S100" s="17">
        <v>1.07488560571617</v>
      </c>
      <c r="T100" s="17">
        <v>1.07528617727994</v>
      </c>
      <c r="U100" s="17">
        <v>1.0760167968140799</v>
      </c>
      <c r="V100" s="19">
        <v>29.086404490679499</v>
      </c>
      <c r="W100" s="19">
        <v>29.097395584414301</v>
      </c>
      <c r="X100" s="19">
        <v>29.117903206579701</v>
      </c>
      <c r="Y100" s="20">
        <v>8.1089238484238703E-4</v>
      </c>
      <c r="Z100" s="20">
        <v>4.3308640272081699E-4</v>
      </c>
      <c r="AA100" s="20">
        <v>-2.7145770989799403E-4</v>
      </c>
      <c r="AC100" s="21">
        <f t="shared" si="19"/>
        <v>1.4792902105891243E-3</v>
      </c>
      <c r="AD100" s="21">
        <f t="shared" si="19"/>
        <v>2.751979720993327E-3</v>
      </c>
      <c r="AE100" s="21"/>
      <c r="AF100" s="21"/>
      <c r="AG100" s="15"/>
      <c r="AH100">
        <f t="shared" si="21"/>
        <v>0</v>
      </c>
      <c r="AI100">
        <f t="shared" si="22"/>
        <v>0</v>
      </c>
      <c r="AJ100">
        <f t="shared" si="23"/>
        <v>1</v>
      </c>
      <c r="AK100">
        <f t="shared" si="20"/>
        <v>1</v>
      </c>
      <c r="AL100" s="21">
        <f t="shared" si="24"/>
        <v>-1.4792902105891243E-3</v>
      </c>
      <c r="AM100" s="21">
        <f t="shared" si="25"/>
        <v>2.751979720993327E-3</v>
      </c>
      <c r="AN100" s="21">
        <f t="shared" si="26"/>
        <v>1.2726895104042027E-3</v>
      </c>
      <c r="AO100" s="22">
        <f t="shared" si="27"/>
        <v>3.6532302993208011E-3</v>
      </c>
      <c r="AQ100" s="21"/>
      <c r="AR100" s="15"/>
      <c r="AS100">
        <f t="shared" si="28"/>
        <v>0</v>
      </c>
      <c r="AT100">
        <f t="shared" si="29"/>
        <v>1</v>
      </c>
      <c r="AU100">
        <f t="shared" si="30"/>
        <v>0</v>
      </c>
      <c r="AV100">
        <f t="shared" si="31"/>
        <v>0</v>
      </c>
      <c r="AW100" s="21">
        <f t="shared" si="32"/>
        <v>0</v>
      </c>
      <c r="AX100" s="21">
        <f t="shared" si="33"/>
        <v>0</v>
      </c>
      <c r="AY100" s="21">
        <f t="shared" si="34"/>
        <v>0</v>
      </c>
      <c r="AZ100" s="22">
        <f t="shared" si="35"/>
        <v>8.4743024830261013E-3</v>
      </c>
      <c r="BB100" s="22">
        <f t="shared" si="36"/>
        <v>1.2726895104042027E-3</v>
      </c>
      <c r="BC100" s="22">
        <f t="shared" si="37"/>
        <v>1.2127532782346901E-2</v>
      </c>
    </row>
    <row r="101" spans="1:55" customFormat="1" x14ac:dyDescent="0.3">
      <c r="A101" s="1">
        <v>46169</v>
      </c>
      <c r="B101" s="11">
        <v>27.08</v>
      </c>
      <c r="C101" s="11">
        <v>29.12</v>
      </c>
      <c r="D101" s="12">
        <v>1.0753323485967501</v>
      </c>
      <c r="E101" s="12">
        <v>1.07488560571617</v>
      </c>
      <c r="F101" s="12">
        <v>1.0752582557274599</v>
      </c>
      <c r="G101" s="12">
        <v>1.0759782671850999</v>
      </c>
      <c r="H101" s="11">
        <v>29.107902202793898</v>
      </c>
      <c r="I101" s="11">
        <v>29.118749680740901</v>
      </c>
      <c r="J101" s="11">
        <v>29.1385348577254</v>
      </c>
      <c r="K101" s="13">
        <v>4.1553265436358901E-4</v>
      </c>
      <c r="L101" s="13">
        <v>4.29377095514007E-5</v>
      </c>
      <c r="M101" s="13">
        <v>-6.3629675535378002E-4</v>
      </c>
      <c r="N101" s="25">
        <v>0</v>
      </c>
      <c r="O101" s="15">
        <v>0</v>
      </c>
      <c r="P101" s="16">
        <v>27.08</v>
      </c>
      <c r="Q101" s="16">
        <v>29.12</v>
      </c>
      <c r="R101" s="17">
        <v>1.0753323485967501</v>
      </c>
      <c r="S101" s="17">
        <v>1.07488560571617</v>
      </c>
      <c r="T101" s="17">
        <v>1.0752582557274599</v>
      </c>
      <c r="U101" s="17">
        <v>1.0759782671850999</v>
      </c>
      <c r="V101" s="19">
        <v>29.107902202793898</v>
      </c>
      <c r="W101" s="19">
        <v>29.118749680740901</v>
      </c>
      <c r="X101" s="19">
        <v>29.1385348577254</v>
      </c>
      <c r="Y101" s="20">
        <v>4.1553265436358901E-4</v>
      </c>
      <c r="Z101" s="20">
        <v>4.29377095514007E-5</v>
      </c>
      <c r="AA101" s="20">
        <v>-6.3629675535378002E-4</v>
      </c>
      <c r="AC101" s="21">
        <f t="shared" si="19"/>
        <v>7.3882530143225722E-4</v>
      </c>
      <c r="AD101" s="21">
        <f t="shared" si="19"/>
        <v>3.4346557095343838E-4</v>
      </c>
      <c r="AE101" s="21"/>
      <c r="AF101" s="21"/>
      <c r="AG101" s="15"/>
      <c r="AH101">
        <f t="shared" si="21"/>
        <v>0</v>
      </c>
      <c r="AI101">
        <f t="shared" si="22"/>
        <v>0</v>
      </c>
      <c r="AJ101">
        <f t="shared" si="23"/>
        <v>1</v>
      </c>
      <c r="AK101">
        <f t="shared" si="20"/>
        <v>1</v>
      </c>
      <c r="AL101" s="21">
        <f t="shared" si="24"/>
        <v>-7.3882530143225722E-4</v>
      </c>
      <c r="AM101" s="21">
        <f t="shared" si="25"/>
        <v>3.4346557095343838E-4</v>
      </c>
      <c r="AN101" s="21">
        <f t="shared" si="26"/>
        <v>-3.9535973047881884E-4</v>
      </c>
      <c r="AO101" s="22">
        <f t="shared" si="27"/>
        <v>3.2578705688419821E-3</v>
      </c>
      <c r="AQ101" s="21"/>
      <c r="AR101" s="15"/>
      <c r="AS101">
        <f t="shared" si="28"/>
        <v>0</v>
      </c>
      <c r="AT101">
        <f t="shared" si="29"/>
        <v>1</v>
      </c>
      <c r="AU101">
        <f t="shared" si="30"/>
        <v>0</v>
      </c>
      <c r="AV101">
        <f t="shared" si="31"/>
        <v>0</v>
      </c>
      <c r="AW101" s="21">
        <f t="shared" si="32"/>
        <v>0</v>
      </c>
      <c r="AX101" s="21">
        <f t="shared" si="33"/>
        <v>0</v>
      </c>
      <c r="AY101" s="21">
        <f t="shared" si="34"/>
        <v>0</v>
      </c>
      <c r="AZ101" s="22">
        <f t="shared" si="35"/>
        <v>8.4743024830261013E-3</v>
      </c>
      <c r="BB101" s="22">
        <f t="shared" si="36"/>
        <v>-3.9535973047881884E-4</v>
      </c>
      <c r="BC101" s="22">
        <f t="shared" si="37"/>
        <v>1.1732173051868081E-2</v>
      </c>
    </row>
    <row r="102" spans="1:55" customFormat="1" x14ac:dyDescent="0.3">
      <c r="A102" s="1">
        <v>46170</v>
      </c>
      <c r="B102" s="11">
        <v>27.11</v>
      </c>
      <c r="C102" s="11">
        <v>29.14</v>
      </c>
      <c r="D102" s="12">
        <v>1.07488011803762</v>
      </c>
      <c r="E102" s="12">
        <v>1.07488560571617</v>
      </c>
      <c r="F102" s="12">
        <v>1.07514240996446</v>
      </c>
      <c r="G102" s="12">
        <v>1.0758434404309001</v>
      </c>
      <c r="H102" s="11">
        <v>29.1401487709653</v>
      </c>
      <c r="I102" s="11">
        <v>29.150251312771498</v>
      </c>
      <c r="J102" s="11">
        <v>29.169770823387999</v>
      </c>
      <c r="K102" s="13">
        <v>-5.1053735628415102E-6</v>
      </c>
      <c r="L102" s="13">
        <v>-3.5173335665565701E-4</v>
      </c>
      <c r="M102" s="13">
        <v>-1.0211264957662601E-3</v>
      </c>
      <c r="N102" s="25">
        <v>0</v>
      </c>
      <c r="O102" s="15">
        <v>0</v>
      </c>
      <c r="P102" s="16">
        <v>27.11</v>
      </c>
      <c r="Q102" s="16">
        <v>29.14</v>
      </c>
      <c r="R102" s="17">
        <v>1.07488011803762</v>
      </c>
      <c r="S102" s="17">
        <v>1.07488560571617</v>
      </c>
      <c r="T102" s="17">
        <v>1.07514240996446</v>
      </c>
      <c r="U102" s="17">
        <v>1.0758434404309001</v>
      </c>
      <c r="V102" s="19">
        <v>29.1401487709653</v>
      </c>
      <c r="W102" s="19">
        <v>29.150251312771498</v>
      </c>
      <c r="X102" s="19">
        <v>29.169770823387999</v>
      </c>
      <c r="Y102" s="20">
        <v>-5.1053735628415102E-6</v>
      </c>
      <c r="Z102" s="20">
        <v>-3.5173335665565701E-4</v>
      </c>
      <c r="AA102" s="20">
        <v>-1.0211264957662601E-3</v>
      </c>
      <c r="AC102" s="21">
        <f t="shared" si="19"/>
        <v>1.1072154664999356E-3</v>
      </c>
      <c r="AD102" s="21">
        <f t="shared" si="19"/>
        <v>6.8657743857355145E-4</v>
      </c>
      <c r="AE102" s="21"/>
      <c r="AF102" s="21"/>
      <c r="AG102" s="15"/>
      <c r="AH102">
        <f t="shared" si="21"/>
        <v>1</v>
      </c>
      <c r="AI102">
        <f t="shared" si="22"/>
        <v>0</v>
      </c>
      <c r="AJ102">
        <f t="shared" si="23"/>
        <v>1</v>
      </c>
      <c r="AK102">
        <f t="shared" si="20"/>
        <v>1</v>
      </c>
      <c r="AL102" s="21">
        <f t="shared" si="24"/>
        <v>-1.1072154664999356E-3</v>
      </c>
      <c r="AM102" s="21">
        <f t="shared" si="25"/>
        <v>6.8657743857355145E-4</v>
      </c>
      <c r="AN102" s="21">
        <f t="shared" si="26"/>
        <v>-4.2063802792638417E-4</v>
      </c>
      <c r="AO102" s="22">
        <f t="shared" si="27"/>
        <v>2.8372325409155982E-3</v>
      </c>
      <c r="AQ102" s="21"/>
      <c r="AR102" s="15"/>
      <c r="AS102">
        <f t="shared" si="28"/>
        <v>0</v>
      </c>
      <c r="AT102">
        <f t="shared" si="29"/>
        <v>1</v>
      </c>
      <c r="AU102">
        <f t="shared" si="30"/>
        <v>0</v>
      </c>
      <c r="AV102">
        <f t="shared" si="31"/>
        <v>0</v>
      </c>
      <c r="AW102" s="21">
        <f t="shared" si="32"/>
        <v>0</v>
      </c>
      <c r="AX102" s="21">
        <f t="shared" si="33"/>
        <v>0</v>
      </c>
      <c r="AY102" s="21">
        <f t="shared" si="34"/>
        <v>0</v>
      </c>
      <c r="AZ102" s="22">
        <f t="shared" si="35"/>
        <v>8.4743024830261013E-3</v>
      </c>
      <c r="BB102" s="22">
        <f t="shared" si="36"/>
        <v>-4.2063802792638417E-4</v>
      </c>
      <c r="BC102" s="22">
        <f t="shared" si="37"/>
        <v>1.1311535023941697E-2</v>
      </c>
    </row>
    <row r="103" spans="1:55" customFormat="1" x14ac:dyDescent="0.3">
      <c r="A103" s="1">
        <v>46171</v>
      </c>
      <c r="B103" s="11">
        <v>27.2</v>
      </c>
      <c r="C103" s="11">
        <v>29.23</v>
      </c>
      <c r="D103" s="12">
        <v>1.0746323529411701</v>
      </c>
      <c r="E103" s="12">
        <v>1.07488560571617</v>
      </c>
      <c r="F103" s="12">
        <v>1.0750017876918101</v>
      </c>
      <c r="G103" s="12">
        <v>1.0756693837964599</v>
      </c>
      <c r="H103" s="11">
        <v>29.236888475479802</v>
      </c>
      <c r="I103" s="11">
        <v>29.2438735510333</v>
      </c>
      <c r="J103" s="11">
        <v>29.2629415797206</v>
      </c>
      <c r="K103" s="13">
        <v>-2.35636808844506E-4</v>
      </c>
      <c r="L103" s="13">
        <v>-4.7452137001304499E-4</v>
      </c>
      <c r="M103" s="13">
        <v>-1.12634387375889E-3</v>
      </c>
      <c r="N103" s="25">
        <v>0</v>
      </c>
      <c r="O103" s="15">
        <v>0</v>
      </c>
      <c r="P103" s="16">
        <v>27.2</v>
      </c>
      <c r="Q103" s="16">
        <v>29.23</v>
      </c>
      <c r="R103" s="17">
        <v>1.0746323529411701</v>
      </c>
      <c r="S103" s="17">
        <v>1.07488560571617</v>
      </c>
      <c r="T103" s="17">
        <v>1.0750017876918101</v>
      </c>
      <c r="U103" s="17">
        <v>1.0756693837964599</v>
      </c>
      <c r="V103" s="19">
        <v>29.236888475479802</v>
      </c>
      <c r="W103" s="19">
        <v>29.2438735510333</v>
      </c>
      <c r="X103" s="19">
        <v>29.2629415797206</v>
      </c>
      <c r="Y103" s="20">
        <v>-2.35636808844506E-4</v>
      </c>
      <c r="Z103" s="20">
        <v>-4.7452137001304499E-4</v>
      </c>
      <c r="AA103" s="20">
        <v>-1.12634387375889E-3</v>
      </c>
      <c r="AC103" s="21">
        <f t="shared" si="19"/>
        <v>3.3143097913774068E-3</v>
      </c>
      <c r="AD103" s="21">
        <f t="shared" si="19"/>
        <v>3.0837783560958456E-3</v>
      </c>
      <c r="AE103" s="21"/>
      <c r="AF103" s="21"/>
      <c r="AG103" s="15"/>
      <c r="AH103">
        <f t="shared" si="21"/>
        <v>1</v>
      </c>
      <c r="AI103">
        <f t="shared" si="22"/>
        <v>0</v>
      </c>
      <c r="AJ103">
        <f t="shared" si="23"/>
        <v>0</v>
      </c>
      <c r="AK103" s="26">
        <v>0</v>
      </c>
      <c r="AL103" s="21">
        <f t="shared" si="24"/>
        <v>0</v>
      </c>
      <c r="AM103" s="21">
        <f t="shared" si="25"/>
        <v>0</v>
      </c>
      <c r="AN103" s="21">
        <f t="shared" si="26"/>
        <v>0</v>
      </c>
      <c r="AO103" s="22">
        <f t="shared" si="27"/>
        <v>2.8372325409155982E-3</v>
      </c>
      <c r="AQ103" s="21"/>
      <c r="AR103" s="15"/>
      <c r="AS103">
        <f t="shared" si="28"/>
        <v>0</v>
      </c>
      <c r="AT103">
        <f t="shared" si="29"/>
        <v>1</v>
      </c>
      <c r="AU103">
        <f t="shared" si="30"/>
        <v>0</v>
      </c>
      <c r="AV103">
        <f t="shared" si="31"/>
        <v>0</v>
      </c>
      <c r="AW103" s="21">
        <f t="shared" si="32"/>
        <v>0</v>
      </c>
      <c r="AX103" s="21">
        <f t="shared" si="33"/>
        <v>0</v>
      </c>
      <c r="AY103" s="21">
        <f t="shared" si="34"/>
        <v>0</v>
      </c>
      <c r="AZ103" s="22">
        <f t="shared" si="35"/>
        <v>8.4743024830261013E-3</v>
      </c>
      <c r="BB103" s="22">
        <f t="shared" si="36"/>
        <v>0</v>
      </c>
      <c r="BC103" s="22">
        <f t="shared" si="37"/>
        <v>1.1311535023941697E-2</v>
      </c>
    </row>
    <row r="104" spans="1:55" customFormat="1" x14ac:dyDescent="0.3">
      <c r="A104" s="1">
        <v>46174</v>
      </c>
      <c r="B104" s="11">
        <v>27.04</v>
      </c>
      <c r="C104" s="11">
        <v>29.06</v>
      </c>
      <c r="D104" s="12">
        <v>1.07470414201183</v>
      </c>
      <c r="E104" s="12">
        <v>1.07488560571617</v>
      </c>
      <c r="F104" s="12">
        <v>1.0749348884601599</v>
      </c>
      <c r="G104" s="12">
        <v>1.0755214548023699</v>
      </c>
      <c r="H104" s="11">
        <v>29.064906778565199</v>
      </c>
      <c r="I104" s="11">
        <v>29.0680483391866</v>
      </c>
      <c r="J104" s="11">
        <v>29.086100137856199</v>
      </c>
      <c r="K104" s="13">
        <v>-1.6883566267389199E-4</v>
      </c>
      <c r="L104" s="13">
        <v>-2.7691757999939699E-4</v>
      </c>
      <c r="M104" s="13">
        <v>-8.9774342724089295E-4</v>
      </c>
      <c r="N104" s="25">
        <v>0</v>
      </c>
      <c r="O104" s="15">
        <v>0</v>
      </c>
      <c r="P104" s="16">
        <v>27.04</v>
      </c>
      <c r="Q104" s="16">
        <v>29.06</v>
      </c>
      <c r="R104" s="17">
        <v>1.07470414201183</v>
      </c>
      <c r="S104" s="17">
        <v>1.07488560571617</v>
      </c>
      <c r="T104" s="17">
        <v>1.0749348884601599</v>
      </c>
      <c r="U104" s="17">
        <v>1.0755214548023699</v>
      </c>
      <c r="V104" s="19">
        <v>29.064906778565199</v>
      </c>
      <c r="W104" s="19">
        <v>29.0680483391866</v>
      </c>
      <c r="X104" s="19">
        <v>29.086100137856199</v>
      </c>
      <c r="Y104" s="20">
        <v>-1.6883566267389199E-4</v>
      </c>
      <c r="Z104" s="20">
        <v>-2.7691757999939699E-4</v>
      </c>
      <c r="AA104" s="20">
        <v>-8.9774342724089295E-4</v>
      </c>
      <c r="AC104" s="21">
        <f t="shared" si="19"/>
        <v>-5.8997221271882708E-3</v>
      </c>
      <c r="AD104" s="21">
        <f t="shared" si="19"/>
        <v>-5.8329209810177715E-3</v>
      </c>
      <c r="AE104" s="21"/>
      <c r="AF104" s="21"/>
      <c r="AG104" s="15"/>
      <c r="AH104">
        <f t="shared" si="21"/>
        <v>0</v>
      </c>
      <c r="AI104">
        <f t="shared" si="22"/>
        <v>0</v>
      </c>
      <c r="AJ104">
        <f t="shared" si="23"/>
        <v>1</v>
      </c>
      <c r="AK104">
        <f t="shared" si="20"/>
        <v>1</v>
      </c>
      <c r="AL104" s="21">
        <f t="shared" si="24"/>
        <v>5.8997221271882708E-3</v>
      </c>
      <c r="AM104" s="21">
        <f t="shared" si="25"/>
        <v>-5.8329209810177715E-3</v>
      </c>
      <c r="AN104" s="21">
        <f t="shared" si="26"/>
        <v>6.6801146170499329E-5</v>
      </c>
      <c r="AO104" s="22">
        <f t="shared" si="27"/>
        <v>2.9040336870860975E-3</v>
      </c>
      <c r="AQ104" s="21"/>
      <c r="AR104" s="15"/>
      <c r="AS104">
        <f t="shared" si="28"/>
        <v>0</v>
      </c>
      <c r="AT104">
        <f t="shared" si="29"/>
        <v>1</v>
      </c>
      <c r="AU104">
        <f t="shared" si="30"/>
        <v>0</v>
      </c>
      <c r="AV104">
        <f t="shared" si="31"/>
        <v>0</v>
      </c>
      <c r="AW104" s="21">
        <f t="shared" si="32"/>
        <v>0</v>
      </c>
      <c r="AX104" s="21">
        <f t="shared" si="33"/>
        <v>0</v>
      </c>
      <c r="AY104" s="21">
        <f t="shared" si="34"/>
        <v>0</v>
      </c>
      <c r="AZ104" s="22">
        <f t="shared" si="35"/>
        <v>8.4743024830261013E-3</v>
      </c>
      <c r="BB104" s="22">
        <f t="shared" si="36"/>
        <v>6.6801146170499329E-5</v>
      </c>
      <c r="BC104" s="22">
        <f t="shared" si="37"/>
        <v>1.1378336170112196E-2</v>
      </c>
    </row>
    <row r="105" spans="1:55" customFormat="1" x14ac:dyDescent="0.3">
      <c r="A105" s="1">
        <v>46175</v>
      </c>
      <c r="B105" s="11">
        <v>27.04</v>
      </c>
      <c r="C105" s="11">
        <v>29.09</v>
      </c>
      <c r="D105" s="12">
        <v>1.07581360946745</v>
      </c>
      <c r="E105" s="12">
        <v>1.07488560571617</v>
      </c>
      <c r="F105" s="12">
        <v>1.07498455664031</v>
      </c>
      <c r="G105" s="12">
        <v>1.0754345842553401</v>
      </c>
      <c r="H105" s="11">
        <v>29.064906778565199</v>
      </c>
      <c r="I105" s="11">
        <v>29.066239383962699</v>
      </c>
      <c r="J105" s="11">
        <v>29.082100137856202</v>
      </c>
      <c r="K105" s="13">
        <v>8.6297870229947804E-4</v>
      </c>
      <c r="L105" s="13">
        <v>8.1713046135714802E-4</v>
      </c>
      <c r="M105" s="13">
        <v>2.7160312842566402E-4</v>
      </c>
      <c r="N105" s="25">
        <v>0</v>
      </c>
      <c r="O105" s="15">
        <v>0</v>
      </c>
      <c r="P105" s="16">
        <v>27.04</v>
      </c>
      <c r="Q105" s="16">
        <v>29.09</v>
      </c>
      <c r="R105" s="17">
        <v>1.07581360946745</v>
      </c>
      <c r="S105" s="17">
        <v>1.07488560571617</v>
      </c>
      <c r="T105" s="17">
        <v>1.07498455664031</v>
      </c>
      <c r="U105" s="17">
        <v>1.0754345842553401</v>
      </c>
      <c r="V105" s="19">
        <v>29.064906778565199</v>
      </c>
      <c r="W105" s="19">
        <v>29.066239383962699</v>
      </c>
      <c r="X105" s="19">
        <v>29.082100137856202</v>
      </c>
      <c r="Y105" s="20">
        <v>8.6297870229947804E-4</v>
      </c>
      <c r="Z105" s="20">
        <v>8.1713046135714802E-4</v>
      </c>
      <c r="AA105" s="20">
        <v>2.7160312842566402E-4</v>
      </c>
      <c r="AC105" s="21">
        <f t="shared" si="19"/>
        <v>0</v>
      </c>
      <c r="AD105" s="21">
        <f t="shared" si="19"/>
        <v>1.0318143649733938E-3</v>
      </c>
      <c r="AE105" s="21"/>
      <c r="AF105" s="21"/>
      <c r="AG105" s="15"/>
      <c r="AH105">
        <f t="shared" si="21"/>
        <v>0</v>
      </c>
      <c r="AI105">
        <f t="shared" si="22"/>
        <v>1</v>
      </c>
      <c r="AJ105">
        <f t="shared" si="23"/>
        <v>1</v>
      </c>
      <c r="AK105">
        <f t="shared" si="20"/>
        <v>1</v>
      </c>
      <c r="AL105" s="21">
        <f t="shared" si="24"/>
        <v>0</v>
      </c>
      <c r="AM105" s="21">
        <f t="shared" si="25"/>
        <v>1.0318143649733938E-3</v>
      </c>
      <c r="AN105" s="21">
        <f t="shared" si="26"/>
        <v>1.0318143649733938E-3</v>
      </c>
      <c r="AO105" s="22">
        <f t="shared" si="27"/>
        <v>3.9358480520594909E-3</v>
      </c>
      <c r="AQ105" s="21"/>
      <c r="AR105" s="15"/>
      <c r="AS105">
        <f t="shared" si="28"/>
        <v>0</v>
      </c>
      <c r="AT105">
        <f t="shared" si="29"/>
        <v>0</v>
      </c>
      <c r="AU105">
        <f t="shared" si="30"/>
        <v>0</v>
      </c>
      <c r="AV105">
        <f t="shared" si="31"/>
        <v>0</v>
      </c>
      <c r="AW105" s="21">
        <f t="shared" si="32"/>
        <v>0</v>
      </c>
      <c r="AX105" s="21">
        <f t="shared" si="33"/>
        <v>0</v>
      </c>
      <c r="AY105" s="21">
        <f t="shared" si="34"/>
        <v>0</v>
      </c>
      <c r="AZ105" s="22">
        <f t="shared" si="35"/>
        <v>8.4743024830261013E-3</v>
      </c>
      <c r="BB105" s="22">
        <f t="shared" si="36"/>
        <v>1.0318143649733938E-3</v>
      </c>
      <c r="BC105" s="22">
        <f t="shared" si="37"/>
        <v>1.241015053508559E-2</v>
      </c>
    </row>
    <row r="106" spans="1:55" customFormat="1" x14ac:dyDescent="0.3">
      <c r="A106" s="1">
        <v>46176</v>
      </c>
      <c r="B106" s="11">
        <v>26.98</v>
      </c>
      <c r="C106" s="11">
        <v>29.03</v>
      </c>
      <c r="D106" s="12">
        <v>1.0759822090437301</v>
      </c>
      <c r="E106" s="12">
        <v>1.07488560571617</v>
      </c>
      <c r="F106" s="12">
        <v>1.0750257255431901</v>
      </c>
      <c r="G106" s="12">
        <v>1.0753861179409701</v>
      </c>
      <c r="H106" s="11">
        <v>29.000413642222199</v>
      </c>
      <c r="I106" s="11">
        <v>29.003083338155701</v>
      </c>
      <c r="J106" s="11">
        <v>29.015225083209099</v>
      </c>
      <c r="K106" s="13">
        <v>1.01968462688139E-3</v>
      </c>
      <c r="L106" s="13">
        <v>9.2763169647903498E-4</v>
      </c>
      <c r="M106" s="13">
        <v>5.0908294657427502E-4</v>
      </c>
      <c r="N106" s="25">
        <v>0</v>
      </c>
      <c r="O106" s="15">
        <v>0</v>
      </c>
      <c r="P106" s="16">
        <v>26.98</v>
      </c>
      <c r="Q106" s="16">
        <v>29.03</v>
      </c>
      <c r="R106" s="17">
        <v>1.0759822090437301</v>
      </c>
      <c r="S106" s="17">
        <v>1.07488560571617</v>
      </c>
      <c r="T106" s="17">
        <v>1.0750257255431901</v>
      </c>
      <c r="U106" s="17">
        <v>1.0753861179409701</v>
      </c>
      <c r="V106" s="19">
        <v>29.000413642222199</v>
      </c>
      <c r="W106" s="19">
        <v>29.003083338155701</v>
      </c>
      <c r="X106" s="19">
        <v>29.015225083209099</v>
      </c>
      <c r="Y106" s="20">
        <v>1.01968462688139E-3</v>
      </c>
      <c r="Z106" s="20">
        <v>9.2763169647903498E-4</v>
      </c>
      <c r="AA106" s="20">
        <v>5.0908294657427502E-4</v>
      </c>
      <c r="AC106" s="21">
        <f t="shared" si="19"/>
        <v>-2.2214003951535025E-3</v>
      </c>
      <c r="AD106" s="21">
        <f t="shared" si="19"/>
        <v>-2.0646944705717102E-3</v>
      </c>
      <c r="AE106" s="21"/>
      <c r="AF106" s="21"/>
      <c r="AG106" s="15"/>
      <c r="AH106">
        <f t="shared" si="21"/>
        <v>0</v>
      </c>
      <c r="AI106">
        <f t="shared" si="22"/>
        <v>1</v>
      </c>
      <c r="AJ106">
        <f t="shared" si="23"/>
        <v>0</v>
      </c>
      <c r="AK106">
        <f t="shared" si="20"/>
        <v>0</v>
      </c>
      <c r="AL106" s="21">
        <f t="shared" si="24"/>
        <v>0</v>
      </c>
      <c r="AM106" s="21">
        <f t="shared" si="25"/>
        <v>0</v>
      </c>
      <c r="AN106" s="21">
        <f t="shared" si="26"/>
        <v>0</v>
      </c>
      <c r="AO106" s="22">
        <f t="shared" si="27"/>
        <v>3.9358480520594909E-3</v>
      </c>
      <c r="AQ106" s="21"/>
      <c r="AR106" s="15"/>
      <c r="AS106">
        <f t="shared" si="28"/>
        <v>0</v>
      </c>
      <c r="AT106">
        <f t="shared" si="29"/>
        <v>0</v>
      </c>
      <c r="AU106">
        <f t="shared" si="30"/>
        <v>0</v>
      </c>
      <c r="AV106">
        <f t="shared" si="31"/>
        <v>0</v>
      </c>
      <c r="AW106" s="21">
        <f t="shared" si="32"/>
        <v>0</v>
      </c>
      <c r="AX106" s="21">
        <f t="shared" si="33"/>
        <v>0</v>
      </c>
      <c r="AY106" s="21">
        <f t="shared" si="34"/>
        <v>0</v>
      </c>
      <c r="AZ106" s="22">
        <f t="shared" si="35"/>
        <v>8.4743024830261013E-3</v>
      </c>
      <c r="BB106" s="22">
        <f t="shared" si="36"/>
        <v>0</v>
      </c>
      <c r="BC106" s="22">
        <f t="shared" si="37"/>
        <v>1.241015053508559E-2</v>
      </c>
    </row>
    <row r="107" spans="1:55" customFormat="1" x14ac:dyDescent="0.3">
      <c r="A107" s="1">
        <v>46177</v>
      </c>
      <c r="B107" s="11">
        <v>27.03</v>
      </c>
      <c r="C107" s="11">
        <v>29.09</v>
      </c>
      <c r="D107" s="12">
        <v>1.07621161672216</v>
      </c>
      <c r="E107" s="12">
        <v>1.07488560571617</v>
      </c>
      <c r="F107" s="12">
        <v>1.07525735880842</v>
      </c>
      <c r="G107" s="12">
        <v>1.0753434539393201</v>
      </c>
      <c r="H107" s="11">
        <v>29.054157922508001</v>
      </c>
      <c r="I107" s="11">
        <v>29.057945361432399</v>
      </c>
      <c r="J107" s="11">
        <v>29.067686767944501</v>
      </c>
      <c r="K107" s="13">
        <v>1.2328695887066101E-3</v>
      </c>
      <c r="L107" s="13">
        <v>1.10252018760994E-3</v>
      </c>
      <c r="M107" s="13">
        <v>7.6733564866034404E-4</v>
      </c>
      <c r="N107" s="25">
        <v>0</v>
      </c>
      <c r="O107" s="15">
        <v>0</v>
      </c>
      <c r="P107" s="16">
        <v>27.03</v>
      </c>
      <c r="Q107" s="16">
        <v>29.09</v>
      </c>
      <c r="R107" s="17">
        <v>1.07621161672216</v>
      </c>
      <c r="S107" s="17">
        <v>1.07488560571617</v>
      </c>
      <c r="T107" s="17">
        <v>1.07525735880842</v>
      </c>
      <c r="U107" s="17">
        <v>1.0753434539393201</v>
      </c>
      <c r="V107" s="19">
        <v>29.054157922508001</v>
      </c>
      <c r="W107" s="19">
        <v>29.057945361432399</v>
      </c>
      <c r="X107" s="19">
        <v>29.067686767944501</v>
      </c>
      <c r="Y107" s="20">
        <v>1.2328695887066101E-3</v>
      </c>
      <c r="Z107" s="20">
        <v>1.10252018760994E-3</v>
      </c>
      <c r="AA107" s="20">
        <v>7.6733564866034404E-4</v>
      </c>
      <c r="AC107" s="21">
        <f t="shared" si="19"/>
        <v>1.8515095087465175E-3</v>
      </c>
      <c r="AD107" s="21">
        <f t="shared" si="19"/>
        <v>2.0646944705717913E-3</v>
      </c>
      <c r="AE107" s="21"/>
      <c r="AF107" s="21"/>
      <c r="AG107" s="15"/>
      <c r="AH107">
        <f t="shared" si="21"/>
        <v>0</v>
      </c>
      <c r="AI107">
        <f t="shared" si="22"/>
        <v>1</v>
      </c>
      <c r="AJ107">
        <f t="shared" si="23"/>
        <v>0</v>
      </c>
      <c r="AK107">
        <f t="shared" si="20"/>
        <v>0</v>
      </c>
      <c r="AL107" s="21">
        <f t="shared" si="24"/>
        <v>0</v>
      </c>
      <c r="AM107" s="21">
        <f t="shared" si="25"/>
        <v>0</v>
      </c>
      <c r="AN107" s="21">
        <f t="shared" si="26"/>
        <v>0</v>
      </c>
      <c r="AO107" s="22">
        <f t="shared" si="27"/>
        <v>3.9358480520594909E-3</v>
      </c>
      <c r="AQ107" s="21"/>
      <c r="AR107" s="15"/>
      <c r="AS107">
        <f t="shared" si="28"/>
        <v>0</v>
      </c>
      <c r="AT107">
        <f t="shared" si="29"/>
        <v>0</v>
      </c>
      <c r="AU107">
        <f t="shared" si="30"/>
        <v>0</v>
      </c>
      <c r="AV107">
        <f t="shared" si="31"/>
        <v>0</v>
      </c>
      <c r="AW107" s="21">
        <f t="shared" si="32"/>
        <v>0</v>
      </c>
      <c r="AX107" s="21">
        <f t="shared" si="33"/>
        <v>0</v>
      </c>
      <c r="AY107" s="21">
        <f t="shared" si="34"/>
        <v>0</v>
      </c>
      <c r="AZ107" s="22">
        <f t="shared" si="35"/>
        <v>8.4743024830261013E-3</v>
      </c>
      <c r="BB107" s="22">
        <f t="shared" si="36"/>
        <v>0</v>
      </c>
      <c r="BC107" s="22">
        <f t="shared" si="37"/>
        <v>1.241015053508559E-2</v>
      </c>
    </row>
    <row r="108" spans="1:55" customFormat="1" x14ac:dyDescent="0.3">
      <c r="A108" s="1">
        <v>46178</v>
      </c>
      <c r="B108" s="11">
        <v>26.89</v>
      </c>
      <c r="C108" s="11">
        <v>28.94</v>
      </c>
      <c r="D108" s="12">
        <v>1.0762365191520999</v>
      </c>
      <c r="E108" s="12">
        <v>1.07488560571617</v>
      </c>
      <c r="F108" s="12">
        <v>1.0753939832959101</v>
      </c>
      <c r="G108" s="12">
        <v>1.0753830905478099</v>
      </c>
      <c r="H108" s="11">
        <v>28.903673937707801</v>
      </c>
      <c r="I108" s="11">
        <v>28.913670378358599</v>
      </c>
      <c r="J108" s="11">
        <v>28.9159854764284</v>
      </c>
      <c r="K108" s="13">
        <v>1.25600829251703E-3</v>
      </c>
      <c r="L108" s="13">
        <v>9.1021445267034501E-4</v>
      </c>
      <c r="M108" s="13">
        <v>8.3014833307105604E-4</v>
      </c>
      <c r="N108" s="25">
        <v>0</v>
      </c>
      <c r="O108" s="15">
        <v>0</v>
      </c>
      <c r="P108" s="16">
        <v>26.89</v>
      </c>
      <c r="Q108" s="16">
        <v>28.94</v>
      </c>
      <c r="R108" s="17">
        <v>1.0762365191520999</v>
      </c>
      <c r="S108" s="17">
        <v>1.07488560571617</v>
      </c>
      <c r="T108" s="17">
        <v>1.0753939832959101</v>
      </c>
      <c r="U108" s="17">
        <v>1.0753830905478099</v>
      </c>
      <c r="V108" s="19">
        <v>28.903673937707801</v>
      </c>
      <c r="W108" s="19">
        <v>28.913670378358599</v>
      </c>
      <c r="X108" s="19">
        <v>28.9159854764284</v>
      </c>
      <c r="Y108" s="20">
        <v>1.25600829251703E-3</v>
      </c>
      <c r="Z108" s="20">
        <v>9.1021445267034501E-4</v>
      </c>
      <c r="AA108" s="20">
        <v>8.3014833307105604E-4</v>
      </c>
      <c r="AC108" s="21">
        <f t="shared" si="19"/>
        <v>-5.1928900075829225E-3</v>
      </c>
      <c r="AD108" s="21">
        <f t="shared" si="19"/>
        <v>-5.1697513037724423E-3</v>
      </c>
      <c r="AE108" s="21"/>
      <c r="AF108" s="21"/>
      <c r="AG108" s="15"/>
      <c r="AH108">
        <f t="shared" si="21"/>
        <v>0</v>
      </c>
      <c r="AI108">
        <f t="shared" si="22"/>
        <v>1</v>
      </c>
      <c r="AJ108">
        <f t="shared" si="23"/>
        <v>0</v>
      </c>
      <c r="AK108">
        <f t="shared" si="20"/>
        <v>0</v>
      </c>
      <c r="AL108" s="21">
        <f t="shared" si="24"/>
        <v>0</v>
      </c>
      <c r="AM108" s="21">
        <f t="shared" si="25"/>
        <v>0</v>
      </c>
      <c r="AN108" s="21">
        <f t="shared" si="26"/>
        <v>0</v>
      </c>
      <c r="AO108" s="22">
        <f t="shared" si="27"/>
        <v>3.9358480520594909E-3</v>
      </c>
      <c r="AQ108" s="21"/>
      <c r="AR108" s="15"/>
      <c r="AS108">
        <f t="shared" si="28"/>
        <v>0</v>
      </c>
      <c r="AT108">
        <f t="shared" si="29"/>
        <v>0</v>
      </c>
      <c r="AU108">
        <f t="shared" si="30"/>
        <v>0</v>
      </c>
      <c r="AV108">
        <f t="shared" si="31"/>
        <v>0</v>
      </c>
      <c r="AW108" s="21">
        <f t="shared" si="32"/>
        <v>0</v>
      </c>
      <c r="AX108" s="21">
        <f t="shared" si="33"/>
        <v>0</v>
      </c>
      <c r="AY108" s="21">
        <f t="shared" si="34"/>
        <v>0</v>
      </c>
      <c r="AZ108" s="22">
        <f t="shared" si="35"/>
        <v>8.4743024830261013E-3</v>
      </c>
      <c r="BB108" s="22">
        <f t="shared" si="36"/>
        <v>0</v>
      </c>
      <c r="BC108" s="22">
        <f t="shared" si="37"/>
        <v>1.241015053508559E-2</v>
      </c>
    </row>
    <row r="109" spans="1:55" customFormat="1" x14ac:dyDescent="0.3">
      <c r="A109" s="1">
        <v>46181</v>
      </c>
      <c r="B109" s="11">
        <v>26.91</v>
      </c>
      <c r="C109" s="11">
        <v>28.95</v>
      </c>
      <c r="D109" s="12">
        <v>1.07580824972129</v>
      </c>
      <c r="E109" s="12">
        <v>1.07488560571617</v>
      </c>
      <c r="F109" s="12">
        <v>1.0755358741451699</v>
      </c>
      <c r="G109" s="12">
        <v>1.07541382739805</v>
      </c>
      <c r="H109" s="11">
        <v>28.925171649822101</v>
      </c>
      <c r="I109" s="11">
        <v>28.938852090493</v>
      </c>
      <c r="J109" s="11">
        <v>28.9385589666417</v>
      </c>
      <c r="K109" s="13">
        <v>8.5799665014239996E-4</v>
      </c>
      <c r="L109" s="13">
        <v>3.85148754628747E-4</v>
      </c>
      <c r="M109" s="13">
        <v>3.9527788258911001E-4</v>
      </c>
      <c r="N109" s="25">
        <v>0</v>
      </c>
      <c r="O109" s="15">
        <v>0</v>
      </c>
      <c r="P109" s="16">
        <v>26.91</v>
      </c>
      <c r="Q109" s="16">
        <v>28.95</v>
      </c>
      <c r="R109" s="17">
        <v>1.07580824972129</v>
      </c>
      <c r="S109" s="17">
        <v>1.07488560571617</v>
      </c>
      <c r="T109" s="17">
        <v>1.0755358741451699</v>
      </c>
      <c r="U109" s="17">
        <v>1.07541382739805</v>
      </c>
      <c r="V109" s="19">
        <v>28.925171649822101</v>
      </c>
      <c r="W109" s="19">
        <v>28.938852090493</v>
      </c>
      <c r="X109" s="19">
        <v>28.9385589666417</v>
      </c>
      <c r="Y109" s="20">
        <v>8.5799665014239996E-4</v>
      </c>
      <c r="Z109" s="20">
        <v>3.85148754628747E-4</v>
      </c>
      <c r="AA109" s="20">
        <v>3.9527788258911001E-4</v>
      </c>
      <c r="AC109" s="21">
        <f t="shared" si="19"/>
        <v>7.4349445804120754E-4</v>
      </c>
      <c r="AD109" s="21">
        <f t="shared" si="19"/>
        <v>3.4548281566631507E-4</v>
      </c>
      <c r="AE109" s="21"/>
      <c r="AF109" s="21"/>
      <c r="AG109" s="15"/>
      <c r="AH109">
        <f t="shared" si="21"/>
        <v>0</v>
      </c>
      <c r="AI109">
        <f t="shared" si="22"/>
        <v>1</v>
      </c>
      <c r="AJ109">
        <f t="shared" si="23"/>
        <v>0</v>
      </c>
      <c r="AK109">
        <f t="shared" si="20"/>
        <v>0</v>
      </c>
      <c r="AL109" s="21">
        <f t="shared" si="24"/>
        <v>0</v>
      </c>
      <c r="AM109" s="21">
        <f t="shared" si="25"/>
        <v>0</v>
      </c>
      <c r="AN109" s="21">
        <f t="shared" si="26"/>
        <v>0</v>
      </c>
      <c r="AO109" s="22">
        <f t="shared" si="27"/>
        <v>3.9358480520594909E-3</v>
      </c>
      <c r="AQ109" s="21"/>
      <c r="AR109" s="15"/>
      <c r="AS109">
        <f t="shared" si="28"/>
        <v>0</v>
      </c>
      <c r="AT109">
        <f t="shared" si="29"/>
        <v>0</v>
      </c>
      <c r="AU109">
        <f t="shared" si="30"/>
        <v>0</v>
      </c>
      <c r="AV109">
        <f t="shared" si="31"/>
        <v>0</v>
      </c>
      <c r="AW109" s="21">
        <f t="shared" si="32"/>
        <v>0</v>
      </c>
      <c r="AX109" s="21">
        <f t="shared" si="33"/>
        <v>0</v>
      </c>
      <c r="AY109" s="21">
        <f t="shared" si="34"/>
        <v>0</v>
      </c>
      <c r="AZ109" s="22">
        <f t="shared" si="35"/>
        <v>8.4743024830261013E-3</v>
      </c>
      <c r="BB109" s="22">
        <f t="shared" si="36"/>
        <v>0</v>
      </c>
      <c r="BC109" s="22">
        <f t="shared" si="37"/>
        <v>1.241015053508559E-2</v>
      </c>
    </row>
    <row r="110" spans="1:55" customFormat="1" x14ac:dyDescent="0.3">
      <c r="A110" s="1">
        <v>46182</v>
      </c>
      <c r="B110" s="11">
        <v>26.97</v>
      </c>
      <c r="C110" s="11">
        <v>29</v>
      </c>
      <c r="D110" s="12">
        <v>1.0752688172042999</v>
      </c>
      <c r="E110" s="12">
        <v>1.07488560571617</v>
      </c>
      <c r="F110" s="12">
        <v>1.0754869982898401</v>
      </c>
      <c r="G110" s="12">
        <v>1.07538658778489</v>
      </c>
      <c r="H110" s="11">
        <v>28.9896647861651</v>
      </c>
      <c r="I110" s="11">
        <v>29.007202525695199</v>
      </c>
      <c r="J110" s="11">
        <v>29.0039109249254</v>
      </c>
      <c r="K110" s="13">
        <v>3.5645020478795202E-4</v>
      </c>
      <c r="L110" s="13">
        <v>-2.4833211803589701E-4</v>
      </c>
      <c r="M110" s="13">
        <v>-1.34850387467217E-4</v>
      </c>
      <c r="N110" s="25">
        <v>0</v>
      </c>
      <c r="O110" s="15">
        <v>0</v>
      </c>
      <c r="P110" s="16">
        <v>26.97</v>
      </c>
      <c r="Q110" s="16">
        <v>29</v>
      </c>
      <c r="R110" s="17">
        <v>1.0752688172042999</v>
      </c>
      <c r="S110" s="17">
        <v>1.07488560571617</v>
      </c>
      <c r="T110" s="17">
        <v>1.0754869982898401</v>
      </c>
      <c r="U110" s="17">
        <v>1.07538658778489</v>
      </c>
      <c r="V110" s="19">
        <v>28.9896647861651</v>
      </c>
      <c r="W110" s="19">
        <v>29.007202525695199</v>
      </c>
      <c r="X110" s="19">
        <v>29.0039109249254</v>
      </c>
      <c r="Y110" s="20">
        <v>3.5645020478795202E-4</v>
      </c>
      <c r="Z110" s="20">
        <v>-2.4833211803589701E-4</v>
      </c>
      <c r="AA110" s="20">
        <v>-1.34850387467217E-4</v>
      </c>
      <c r="AC110" s="21">
        <f t="shared" si="19"/>
        <v>2.2271724128240795E-3</v>
      </c>
      <c r="AD110" s="21">
        <f t="shared" si="19"/>
        <v>1.7256259674698574E-3</v>
      </c>
      <c r="AE110" s="21"/>
      <c r="AF110" s="21"/>
      <c r="AG110" s="15"/>
      <c r="AH110">
        <f t="shared" si="21"/>
        <v>0</v>
      </c>
      <c r="AI110">
        <f t="shared" si="22"/>
        <v>0</v>
      </c>
      <c r="AJ110">
        <f t="shared" si="23"/>
        <v>0</v>
      </c>
      <c r="AK110">
        <f t="shared" si="20"/>
        <v>0</v>
      </c>
      <c r="AL110" s="21">
        <f t="shared" si="24"/>
        <v>0</v>
      </c>
      <c r="AM110" s="21">
        <f t="shared" si="25"/>
        <v>0</v>
      </c>
      <c r="AN110" s="21">
        <f t="shared" si="26"/>
        <v>0</v>
      </c>
      <c r="AO110" s="22">
        <f t="shared" si="27"/>
        <v>3.9358480520594909E-3</v>
      </c>
      <c r="AQ110" s="21"/>
      <c r="AR110" s="15"/>
      <c r="AS110">
        <f t="shared" si="28"/>
        <v>0</v>
      </c>
      <c r="AT110">
        <f t="shared" si="29"/>
        <v>1</v>
      </c>
      <c r="AU110">
        <f t="shared" si="30"/>
        <v>0</v>
      </c>
      <c r="AV110">
        <f t="shared" si="31"/>
        <v>0</v>
      </c>
      <c r="AW110" s="21">
        <f t="shared" si="32"/>
        <v>0</v>
      </c>
      <c r="AX110" s="21">
        <f t="shared" si="33"/>
        <v>0</v>
      </c>
      <c r="AY110" s="21">
        <f t="shared" si="34"/>
        <v>0</v>
      </c>
      <c r="AZ110" s="22">
        <f t="shared" si="35"/>
        <v>8.4743024830261013E-3</v>
      </c>
      <c r="BB110" s="22">
        <f t="shared" si="36"/>
        <v>0</v>
      </c>
      <c r="BC110" s="22">
        <f t="shared" si="37"/>
        <v>1.241015053508559E-2</v>
      </c>
    </row>
    <row r="111" spans="1:55" customFormat="1" x14ac:dyDescent="0.3">
      <c r="A111" s="1">
        <v>46183</v>
      </c>
      <c r="B111" s="11">
        <v>26.89</v>
      </c>
      <c r="C111" s="11">
        <v>28.92</v>
      </c>
      <c r="D111" s="12">
        <v>1.0754927482335399</v>
      </c>
      <c r="E111" s="12">
        <v>1.07488560571617</v>
      </c>
      <c r="F111" s="12">
        <v>1.07550303825352</v>
      </c>
      <c r="G111" s="12">
        <v>1.0753806469904901</v>
      </c>
      <c r="H111" s="11">
        <v>28.903673937707801</v>
      </c>
      <c r="I111" s="11">
        <v>28.919845384013801</v>
      </c>
      <c r="J111" s="11">
        <v>28.917145345535801</v>
      </c>
      <c r="K111" s="13">
        <v>5.6468437974320496E-4</v>
      </c>
      <c r="L111" s="13">
        <v>5.34634852804463E-6</v>
      </c>
      <c r="M111" s="13">
        <v>9.8713532607047605E-5</v>
      </c>
      <c r="N111" s="25">
        <v>0</v>
      </c>
      <c r="O111" s="15">
        <v>0</v>
      </c>
      <c r="P111" s="16">
        <v>26.89</v>
      </c>
      <c r="Q111" s="16">
        <v>28.92</v>
      </c>
      <c r="R111" s="17">
        <v>1.0754927482335399</v>
      </c>
      <c r="S111" s="17">
        <v>1.07488560571617</v>
      </c>
      <c r="T111" s="17">
        <v>1.07550303825352</v>
      </c>
      <c r="U111" s="17">
        <v>1.0753806469904901</v>
      </c>
      <c r="V111" s="19">
        <v>28.903673937707801</v>
      </c>
      <c r="W111" s="19">
        <v>28.919845384013801</v>
      </c>
      <c r="X111" s="19">
        <v>28.917145345535801</v>
      </c>
      <c r="Y111" s="20">
        <v>5.6468437974320496E-4</v>
      </c>
      <c r="Z111" s="20">
        <v>5.34634852804463E-6</v>
      </c>
      <c r="AA111" s="20">
        <v>9.8713532607047605E-5</v>
      </c>
      <c r="AC111" s="21">
        <f t="shared" si="19"/>
        <v>-2.9706668708652773E-3</v>
      </c>
      <c r="AD111" s="21">
        <f t="shared" si="19"/>
        <v>-2.7624326959100726E-3</v>
      </c>
      <c r="AE111" s="21"/>
      <c r="AF111" s="21"/>
      <c r="AG111" s="15"/>
      <c r="AH111">
        <f t="shared" si="21"/>
        <v>0</v>
      </c>
      <c r="AI111">
        <f t="shared" si="22"/>
        <v>1</v>
      </c>
      <c r="AJ111">
        <f t="shared" si="23"/>
        <v>0</v>
      </c>
      <c r="AK111">
        <f t="shared" si="20"/>
        <v>0</v>
      </c>
      <c r="AL111" s="21">
        <f t="shared" si="24"/>
        <v>0</v>
      </c>
      <c r="AM111" s="21">
        <f t="shared" si="25"/>
        <v>0</v>
      </c>
      <c r="AN111" s="21">
        <f t="shared" si="26"/>
        <v>0</v>
      </c>
      <c r="AO111" s="22">
        <f t="shared" si="27"/>
        <v>3.9358480520594909E-3</v>
      </c>
      <c r="AQ111" s="21"/>
      <c r="AR111" s="15"/>
      <c r="AS111">
        <f t="shared" si="28"/>
        <v>0</v>
      </c>
      <c r="AT111">
        <f t="shared" si="29"/>
        <v>0</v>
      </c>
      <c r="AU111">
        <f t="shared" si="30"/>
        <v>0</v>
      </c>
      <c r="AV111">
        <f t="shared" si="31"/>
        <v>0</v>
      </c>
      <c r="AW111" s="21">
        <f t="shared" si="32"/>
        <v>0</v>
      </c>
      <c r="AX111" s="21">
        <f t="shared" si="33"/>
        <v>0</v>
      </c>
      <c r="AY111" s="21">
        <f t="shared" si="34"/>
        <v>0</v>
      </c>
      <c r="AZ111" s="22">
        <f t="shared" si="35"/>
        <v>8.4743024830261013E-3</v>
      </c>
      <c r="BB111" s="22">
        <f t="shared" si="36"/>
        <v>0</v>
      </c>
      <c r="BC111" s="22">
        <f t="shared" si="37"/>
        <v>1.241015053508559E-2</v>
      </c>
    </row>
    <row r="112" spans="1:55" customFormat="1" x14ac:dyDescent="0.3">
      <c r="A112" s="1">
        <v>46184</v>
      </c>
      <c r="B112" s="11">
        <v>27.08</v>
      </c>
      <c r="C112" s="11">
        <v>29.11</v>
      </c>
      <c r="D112" s="12">
        <v>1.07496307237813</v>
      </c>
      <c r="E112" s="12">
        <v>1.07488560571617</v>
      </c>
      <c r="F112" s="12">
        <v>1.0755113336875699</v>
      </c>
      <c r="G112" s="12">
        <v>1.0753268718260101</v>
      </c>
      <c r="H112" s="11">
        <v>29.107902202793898</v>
      </c>
      <c r="I112" s="11">
        <v>29.124622275905399</v>
      </c>
      <c r="J112" s="11">
        <v>29.121307920502499</v>
      </c>
      <c r="K112" s="13">
        <v>7.2067083410292602E-5</v>
      </c>
      <c r="L112" s="13">
        <v>-5.0218497660786297E-4</v>
      </c>
      <c r="M112" s="13">
        <v>-3.8837941473524599E-4</v>
      </c>
      <c r="N112" s="25">
        <v>0</v>
      </c>
      <c r="O112" s="15">
        <v>0</v>
      </c>
      <c r="P112" s="16">
        <v>27.08</v>
      </c>
      <c r="Q112" s="16">
        <v>29.11</v>
      </c>
      <c r="R112" s="17">
        <v>1.07496307237813</v>
      </c>
      <c r="S112" s="17">
        <v>1.07488560571617</v>
      </c>
      <c r="T112" s="17">
        <v>1.0755113336875699</v>
      </c>
      <c r="U112" s="17">
        <v>1.0753268718260101</v>
      </c>
      <c r="V112" s="19">
        <v>29.107902202793898</v>
      </c>
      <c r="W112" s="19">
        <v>29.124622275905399</v>
      </c>
      <c r="X112" s="19">
        <v>29.121307920502499</v>
      </c>
      <c r="Y112" s="20">
        <v>7.2067083410292602E-5</v>
      </c>
      <c r="Z112" s="20">
        <v>-5.0218497660786297E-4</v>
      </c>
      <c r="AA112" s="20">
        <v>-3.8837941473524599E-4</v>
      </c>
      <c r="AC112" s="21">
        <f t="shared" si="19"/>
        <v>7.0409777633008057E-3</v>
      </c>
      <c r="AD112" s="21">
        <f t="shared" si="19"/>
        <v>6.5483604669678962E-3</v>
      </c>
      <c r="AE112" s="21"/>
      <c r="AF112" s="21"/>
      <c r="AG112" s="15"/>
      <c r="AH112">
        <f t="shared" si="21"/>
        <v>0</v>
      </c>
      <c r="AI112">
        <f t="shared" si="22"/>
        <v>0</v>
      </c>
      <c r="AJ112">
        <f t="shared" si="23"/>
        <v>0</v>
      </c>
      <c r="AK112">
        <f t="shared" si="20"/>
        <v>0</v>
      </c>
      <c r="AL112" s="21">
        <f t="shared" si="24"/>
        <v>0</v>
      </c>
      <c r="AM112" s="21">
        <f t="shared" si="25"/>
        <v>0</v>
      </c>
      <c r="AN112" s="21">
        <f t="shared" si="26"/>
        <v>0</v>
      </c>
      <c r="AO112" s="22">
        <f t="shared" si="27"/>
        <v>3.9358480520594909E-3</v>
      </c>
      <c r="AQ112" s="21"/>
      <c r="AR112" s="15"/>
      <c r="AS112">
        <f t="shared" si="28"/>
        <v>0</v>
      </c>
      <c r="AT112">
        <f t="shared" si="29"/>
        <v>1</v>
      </c>
      <c r="AU112">
        <f t="shared" si="30"/>
        <v>0</v>
      </c>
      <c r="AV112">
        <f t="shared" si="31"/>
        <v>0</v>
      </c>
      <c r="AW112" s="21">
        <f t="shared" si="32"/>
        <v>0</v>
      </c>
      <c r="AX112" s="21">
        <f t="shared" si="33"/>
        <v>0</v>
      </c>
      <c r="AY112" s="21">
        <f t="shared" si="34"/>
        <v>0</v>
      </c>
      <c r="AZ112" s="22">
        <f t="shared" si="35"/>
        <v>8.4743024830261013E-3</v>
      </c>
      <c r="BB112" s="22">
        <f t="shared" si="36"/>
        <v>0</v>
      </c>
      <c r="BC112" s="22">
        <f t="shared" si="37"/>
        <v>1.241015053508559E-2</v>
      </c>
    </row>
    <row r="113" spans="1:55" customFormat="1" x14ac:dyDescent="0.3">
      <c r="A113" s="1">
        <v>46185</v>
      </c>
      <c r="B113" s="11">
        <v>27.09</v>
      </c>
      <c r="C113" s="11">
        <v>29.12</v>
      </c>
      <c r="D113" s="12">
        <v>1.0749354005167899</v>
      </c>
      <c r="E113" s="12">
        <v>1.07488560571617</v>
      </c>
      <c r="F113" s="12">
        <v>1.07554163844513</v>
      </c>
      <c r="G113" s="12">
        <v>1.0752717130684699</v>
      </c>
      <c r="H113" s="11">
        <v>29.118651058851</v>
      </c>
      <c r="I113" s="11">
        <v>29.135602029596299</v>
      </c>
      <c r="J113" s="11">
        <v>29.130604957766799</v>
      </c>
      <c r="K113" s="13">
        <v>4.6324601434048301E-5</v>
      </c>
      <c r="L113" s="13">
        <v>-5.3564050240150201E-4</v>
      </c>
      <c r="M113" s="13">
        <v>-3.64114944100171E-4</v>
      </c>
      <c r="N113" s="25">
        <v>0</v>
      </c>
      <c r="O113" s="15">
        <v>0</v>
      </c>
      <c r="P113" s="16">
        <v>27.09</v>
      </c>
      <c r="Q113" s="16">
        <v>29.12</v>
      </c>
      <c r="R113" s="17">
        <v>1.0749354005167899</v>
      </c>
      <c r="S113" s="17">
        <v>1.07488560571617</v>
      </c>
      <c r="T113" s="17">
        <v>1.07554163844513</v>
      </c>
      <c r="U113" s="17">
        <v>1.0752717130684699</v>
      </c>
      <c r="V113" s="19">
        <v>29.118651058851</v>
      </c>
      <c r="W113" s="19">
        <v>29.135602029596299</v>
      </c>
      <c r="X113" s="19">
        <v>29.130604957766799</v>
      </c>
      <c r="Y113" s="20">
        <v>4.6324601434048301E-5</v>
      </c>
      <c r="Z113" s="20">
        <v>-5.3564050240150201E-4</v>
      </c>
      <c r="AA113" s="20">
        <v>-3.64114944100171E-4</v>
      </c>
      <c r="AC113" s="21">
        <f t="shared" si="19"/>
        <v>3.6920805292958058E-4</v>
      </c>
      <c r="AD113" s="21">
        <f t="shared" si="19"/>
        <v>3.4346557095343838E-4</v>
      </c>
      <c r="AE113" s="21"/>
      <c r="AF113" s="21"/>
      <c r="AG113" s="15"/>
      <c r="AH113">
        <f t="shared" si="21"/>
        <v>0</v>
      </c>
      <c r="AI113">
        <f t="shared" si="22"/>
        <v>0</v>
      </c>
      <c r="AJ113">
        <f t="shared" si="23"/>
        <v>0</v>
      </c>
      <c r="AK113">
        <f t="shared" si="20"/>
        <v>0</v>
      </c>
      <c r="AL113" s="21">
        <f t="shared" si="24"/>
        <v>0</v>
      </c>
      <c r="AM113" s="21">
        <f t="shared" si="25"/>
        <v>0</v>
      </c>
      <c r="AN113" s="21">
        <f t="shared" si="26"/>
        <v>0</v>
      </c>
      <c r="AO113" s="22">
        <f t="shared" si="27"/>
        <v>3.9358480520594909E-3</v>
      </c>
      <c r="AQ113" s="21"/>
      <c r="AR113" s="15"/>
      <c r="AS113">
        <f t="shared" si="28"/>
        <v>0</v>
      </c>
      <c r="AT113">
        <f t="shared" si="29"/>
        <v>1</v>
      </c>
      <c r="AU113">
        <f t="shared" si="30"/>
        <v>0</v>
      </c>
      <c r="AV113">
        <f t="shared" si="31"/>
        <v>0</v>
      </c>
      <c r="AW113" s="21">
        <f t="shared" si="32"/>
        <v>0</v>
      </c>
      <c r="AX113" s="21">
        <f t="shared" si="33"/>
        <v>0</v>
      </c>
      <c r="AY113" s="21">
        <f t="shared" si="34"/>
        <v>0</v>
      </c>
      <c r="AZ113" s="22">
        <f t="shared" si="35"/>
        <v>8.4743024830261013E-3</v>
      </c>
      <c r="BB113" s="22">
        <f t="shared" si="36"/>
        <v>0</v>
      </c>
      <c r="BC113" s="22">
        <f t="shared" si="37"/>
        <v>1.241015053508559E-2</v>
      </c>
    </row>
    <row r="114" spans="1:55" customFormat="1" x14ac:dyDescent="0.3">
      <c r="A114" s="1">
        <v>46188</v>
      </c>
      <c r="B114" s="11">
        <v>27.15</v>
      </c>
      <c r="C114" s="11">
        <v>29.18</v>
      </c>
      <c r="D114" s="12">
        <v>1.0747697974217301</v>
      </c>
      <c r="E114" s="12">
        <v>1.07488560571617</v>
      </c>
      <c r="F114" s="12">
        <v>1.0755482039861199</v>
      </c>
      <c r="G114" s="12">
        <v>1.0752415462231399</v>
      </c>
      <c r="H114" s="11">
        <v>29.183144195194</v>
      </c>
      <c r="I114" s="11">
        <v>29.2009554837854</v>
      </c>
      <c r="J114" s="11">
        <v>29.193627009809099</v>
      </c>
      <c r="K114" s="13">
        <v>-1.07745915352259E-4</v>
      </c>
      <c r="L114" s="13">
        <v>-7.1788769168869705E-4</v>
      </c>
      <c r="M114" s="13">
        <v>-4.6688927019574898E-4</v>
      </c>
      <c r="N114" s="25">
        <v>0</v>
      </c>
      <c r="O114" s="15">
        <v>0</v>
      </c>
      <c r="P114" s="16">
        <v>27.15</v>
      </c>
      <c r="Q114" s="16">
        <v>29.18</v>
      </c>
      <c r="R114" s="17">
        <v>1.0747697974217301</v>
      </c>
      <c r="S114" s="17">
        <v>1.07488560571617</v>
      </c>
      <c r="T114" s="17">
        <v>1.0755482039861199</v>
      </c>
      <c r="U114" s="17">
        <v>1.0752415462231399</v>
      </c>
      <c r="V114" s="19">
        <v>29.183144195194</v>
      </c>
      <c r="W114" s="19">
        <v>29.2009554837854</v>
      </c>
      <c r="X114" s="19">
        <v>29.193627009809099</v>
      </c>
      <c r="Y114" s="20">
        <v>-1.07745915352259E-4</v>
      </c>
      <c r="Z114" s="20">
        <v>-7.1788769168869705E-4</v>
      </c>
      <c r="AA114" s="20">
        <v>-4.6688927019574898E-4</v>
      </c>
      <c r="AC114" s="21">
        <f t="shared" si="19"/>
        <v>2.2123902829406421E-3</v>
      </c>
      <c r="AD114" s="21">
        <f t="shared" si="19"/>
        <v>2.0583197661543599E-3</v>
      </c>
      <c r="AE114" s="21"/>
      <c r="AF114" s="21"/>
      <c r="AG114" s="15"/>
      <c r="AH114">
        <f t="shared" si="21"/>
        <v>0</v>
      </c>
      <c r="AI114">
        <f t="shared" si="22"/>
        <v>0</v>
      </c>
      <c r="AJ114">
        <f t="shared" si="23"/>
        <v>0</v>
      </c>
      <c r="AK114">
        <f t="shared" si="20"/>
        <v>0</v>
      </c>
      <c r="AL114" s="21">
        <f t="shared" si="24"/>
        <v>0</v>
      </c>
      <c r="AM114" s="21">
        <f t="shared" si="25"/>
        <v>0</v>
      </c>
      <c r="AN114" s="21">
        <f t="shared" si="26"/>
        <v>0</v>
      </c>
      <c r="AO114" s="22">
        <f t="shared" si="27"/>
        <v>3.9358480520594909E-3</v>
      </c>
      <c r="AQ114" s="21"/>
      <c r="AR114" s="15"/>
      <c r="AS114">
        <f t="shared" si="28"/>
        <v>0</v>
      </c>
      <c r="AT114">
        <f t="shared" si="29"/>
        <v>1</v>
      </c>
      <c r="AU114">
        <f t="shared" si="30"/>
        <v>0</v>
      </c>
      <c r="AV114">
        <f t="shared" si="31"/>
        <v>0</v>
      </c>
      <c r="AW114" s="21">
        <f t="shared" si="32"/>
        <v>0</v>
      </c>
      <c r="AX114" s="21">
        <f t="shared" si="33"/>
        <v>0</v>
      </c>
      <c r="AY114" s="21">
        <f t="shared" si="34"/>
        <v>0</v>
      </c>
      <c r="AZ114" s="22">
        <f t="shared" si="35"/>
        <v>8.4743024830261013E-3</v>
      </c>
      <c r="BB114" s="22">
        <f t="shared" si="36"/>
        <v>0</v>
      </c>
      <c r="BC114" s="22">
        <f t="shared" si="37"/>
        <v>1.241015053508559E-2</v>
      </c>
    </row>
    <row r="115" spans="1:55" customFormat="1" x14ac:dyDescent="0.3">
      <c r="A115" s="1">
        <v>46189</v>
      </c>
      <c r="B115" s="11">
        <v>27.17</v>
      </c>
      <c r="C115" s="11">
        <v>29.18</v>
      </c>
      <c r="D115" s="12">
        <v>1.07397865292602</v>
      </c>
      <c r="E115" s="12">
        <v>1.07488560571617</v>
      </c>
      <c r="F115" s="12">
        <v>1.0753647083319799</v>
      </c>
      <c r="G115" s="12">
        <v>1.07517463248614</v>
      </c>
      <c r="H115" s="11">
        <v>29.2046419073083</v>
      </c>
      <c r="I115" s="11">
        <v>29.222644702303</v>
      </c>
      <c r="J115" s="11">
        <v>29.214312810882799</v>
      </c>
      <c r="K115" s="13">
        <v>-8.4412297366427604E-4</v>
      </c>
      <c r="L115" s="13">
        <v>-1.46036913565679E-3</v>
      </c>
      <c r="M115" s="13">
        <v>-1.1752108443546501E-3</v>
      </c>
      <c r="N115" s="25">
        <v>0</v>
      </c>
      <c r="O115" s="15">
        <v>0</v>
      </c>
      <c r="P115" s="16">
        <v>27.17</v>
      </c>
      <c r="Q115" s="16">
        <v>29.18</v>
      </c>
      <c r="R115" s="17">
        <v>1.07397865292602</v>
      </c>
      <c r="S115" s="17">
        <v>1.07488560571617</v>
      </c>
      <c r="T115" s="17">
        <v>1.0753647083319799</v>
      </c>
      <c r="U115" s="17">
        <v>1.07517463248614</v>
      </c>
      <c r="V115" s="19">
        <v>29.2046419073083</v>
      </c>
      <c r="W115" s="19">
        <v>29.222644702303</v>
      </c>
      <c r="X115" s="19">
        <v>29.214312810882799</v>
      </c>
      <c r="Y115" s="20">
        <v>-8.4412297366427604E-4</v>
      </c>
      <c r="Z115" s="20">
        <v>-1.46036913565679E-3</v>
      </c>
      <c r="AA115" s="20">
        <v>-1.1752108443546501E-3</v>
      </c>
      <c r="AC115" s="21">
        <f t="shared" si="19"/>
        <v>7.3637705831201415E-4</v>
      </c>
      <c r="AD115" s="21">
        <f t="shared" si="19"/>
        <v>0</v>
      </c>
      <c r="AE115" s="21"/>
      <c r="AF115" s="21"/>
      <c r="AG115" s="15"/>
      <c r="AH115">
        <f t="shared" si="21"/>
        <v>1</v>
      </c>
      <c r="AI115">
        <f t="shared" si="22"/>
        <v>0</v>
      </c>
      <c r="AJ115">
        <f t="shared" si="23"/>
        <v>0</v>
      </c>
      <c r="AK115">
        <f t="shared" si="20"/>
        <v>0</v>
      </c>
      <c r="AL115" s="21">
        <f t="shared" si="24"/>
        <v>0</v>
      </c>
      <c r="AM115" s="21">
        <f t="shared" si="25"/>
        <v>0</v>
      </c>
      <c r="AN115" s="21">
        <f t="shared" si="26"/>
        <v>0</v>
      </c>
      <c r="AO115" s="22">
        <f t="shared" si="27"/>
        <v>3.9358480520594909E-3</v>
      </c>
      <c r="AQ115" s="21"/>
      <c r="AR115" s="15"/>
      <c r="AS115">
        <f t="shared" si="28"/>
        <v>0</v>
      </c>
      <c r="AT115">
        <f t="shared" si="29"/>
        <v>1</v>
      </c>
      <c r="AU115">
        <f t="shared" si="30"/>
        <v>0</v>
      </c>
      <c r="AV115">
        <f t="shared" si="31"/>
        <v>0</v>
      </c>
      <c r="AW115" s="21">
        <f t="shared" si="32"/>
        <v>0</v>
      </c>
      <c r="AX115" s="21">
        <f t="shared" si="33"/>
        <v>0</v>
      </c>
      <c r="AY115" s="21">
        <f t="shared" si="34"/>
        <v>0</v>
      </c>
      <c r="AZ115" s="22">
        <f t="shared" si="35"/>
        <v>8.4743024830261013E-3</v>
      </c>
      <c r="BB115" s="22">
        <f t="shared" si="36"/>
        <v>0</v>
      </c>
      <c r="BC115" s="22">
        <f t="shared" si="37"/>
        <v>1.241015053508559E-2</v>
      </c>
    </row>
    <row r="116" spans="1:55" customFormat="1" x14ac:dyDescent="0.3">
      <c r="A116" s="1">
        <v>46190</v>
      </c>
      <c r="B116" s="11">
        <v>27.1</v>
      </c>
      <c r="C116" s="11">
        <v>29.09</v>
      </c>
      <c r="D116" s="12">
        <v>1.0734317343173401</v>
      </c>
      <c r="E116" s="12">
        <v>1.07488560571617</v>
      </c>
      <c r="F116" s="12">
        <v>1.07510966085934</v>
      </c>
      <c r="G116" s="12">
        <v>1.0750676932012599</v>
      </c>
      <c r="H116" s="11">
        <v>29.129399914908198</v>
      </c>
      <c r="I116" s="11">
        <v>29.142383595796701</v>
      </c>
      <c r="J116" s="11">
        <v>29.137232540374601</v>
      </c>
      <c r="K116" s="13">
        <v>-1.3534980085925E-3</v>
      </c>
      <c r="L116" s="13">
        <v>-1.7991229859358399E-3</v>
      </c>
      <c r="M116" s="13">
        <v>-1.6223525891142E-3</v>
      </c>
      <c r="N116" s="25">
        <v>0</v>
      </c>
      <c r="O116" s="15">
        <v>0</v>
      </c>
      <c r="P116" s="16">
        <v>27.1</v>
      </c>
      <c r="Q116" s="16">
        <v>29.09</v>
      </c>
      <c r="R116" s="17">
        <v>1.0734317343173401</v>
      </c>
      <c r="S116" s="17">
        <v>1.07488560571617</v>
      </c>
      <c r="T116" s="17">
        <v>1.07510966085934</v>
      </c>
      <c r="U116" s="17">
        <v>1.0750676932012599</v>
      </c>
      <c r="V116" s="19">
        <v>29.129399914908198</v>
      </c>
      <c r="W116" s="19">
        <v>29.142383595796701</v>
      </c>
      <c r="X116" s="19">
        <v>29.137232540374601</v>
      </c>
      <c r="Y116" s="20">
        <v>-1.3534980085925E-3</v>
      </c>
      <c r="Z116" s="20">
        <v>-1.7991229859358399E-3</v>
      </c>
      <c r="AA116" s="20">
        <v>-1.6223525891142E-3</v>
      </c>
      <c r="AC116" s="21">
        <f t="shared" si="19"/>
        <v>-2.5796955526012208E-3</v>
      </c>
      <c r="AD116" s="21">
        <f t="shared" si="19"/>
        <v>-3.0890705875293656E-3</v>
      </c>
      <c r="AE116" s="21"/>
      <c r="AF116" s="21"/>
      <c r="AG116" s="15"/>
      <c r="AH116">
        <f t="shared" si="21"/>
        <v>1</v>
      </c>
      <c r="AI116">
        <f t="shared" si="22"/>
        <v>0</v>
      </c>
      <c r="AJ116">
        <f t="shared" si="23"/>
        <v>1</v>
      </c>
      <c r="AK116">
        <f t="shared" si="20"/>
        <v>1</v>
      </c>
      <c r="AL116" s="21">
        <f t="shared" si="24"/>
        <v>2.5796955526012208E-3</v>
      </c>
      <c r="AM116" s="21">
        <f t="shared" si="25"/>
        <v>-3.0890705875293656E-3</v>
      </c>
      <c r="AN116" s="21">
        <f t="shared" si="26"/>
        <v>-5.0937503492814486E-4</v>
      </c>
      <c r="AO116" s="22">
        <f t="shared" si="27"/>
        <v>3.426473017131346E-3</v>
      </c>
      <c r="AQ116" s="21"/>
      <c r="AR116" s="15"/>
      <c r="AS116">
        <f t="shared" si="28"/>
        <v>0</v>
      </c>
      <c r="AT116">
        <f t="shared" si="29"/>
        <v>1</v>
      </c>
      <c r="AU116">
        <f t="shared" si="30"/>
        <v>0</v>
      </c>
      <c r="AV116">
        <f t="shared" si="31"/>
        <v>0</v>
      </c>
      <c r="AW116" s="21">
        <f t="shared" si="32"/>
        <v>0</v>
      </c>
      <c r="AX116" s="21">
        <f t="shared" si="33"/>
        <v>0</v>
      </c>
      <c r="AY116" s="21">
        <f t="shared" si="34"/>
        <v>0</v>
      </c>
      <c r="AZ116" s="22">
        <f t="shared" si="35"/>
        <v>8.4743024830261013E-3</v>
      </c>
      <c r="BB116" s="22">
        <f t="shared" si="36"/>
        <v>-5.0937503492814486E-4</v>
      </c>
      <c r="BC116" s="22">
        <f t="shared" si="37"/>
        <v>1.1900775500157446E-2</v>
      </c>
    </row>
    <row r="117" spans="1:55" customFormat="1" x14ac:dyDescent="0.3">
      <c r="A117" s="1">
        <v>46191</v>
      </c>
      <c r="B117" s="11">
        <v>27.19</v>
      </c>
      <c r="C117" s="11">
        <v>29.18</v>
      </c>
      <c r="D117" s="12">
        <v>1.07318867230599</v>
      </c>
      <c r="E117" s="12">
        <v>1.07488560571617</v>
      </c>
      <c r="F117" s="12">
        <v>1.07480736641772</v>
      </c>
      <c r="G117" s="12">
        <v>1.07503236261307</v>
      </c>
      <c r="H117" s="11">
        <v>29.2261396194226</v>
      </c>
      <c r="I117" s="11">
        <v>29.232231678765501</v>
      </c>
      <c r="J117" s="11">
        <v>29.2310905781424</v>
      </c>
      <c r="K117" s="13">
        <v>-1.5799581797872699E-3</v>
      </c>
      <c r="L117" s="13">
        <v>-1.78838202840389E-3</v>
      </c>
      <c r="M117" s="13">
        <v>-1.7493455665964E-3</v>
      </c>
      <c r="N117" s="25">
        <v>0</v>
      </c>
      <c r="O117" s="15">
        <v>0</v>
      </c>
      <c r="P117" s="16">
        <v>27.19</v>
      </c>
      <c r="Q117" s="16">
        <v>29.18</v>
      </c>
      <c r="R117" s="17">
        <v>1.07318867230599</v>
      </c>
      <c r="S117" s="17">
        <v>1.07488560571617</v>
      </c>
      <c r="T117" s="17">
        <v>1.07480736641772</v>
      </c>
      <c r="U117" s="17">
        <v>1.07503236261307</v>
      </c>
      <c r="V117" s="19">
        <v>29.2261396194226</v>
      </c>
      <c r="W117" s="19">
        <v>29.232231678765501</v>
      </c>
      <c r="X117" s="19">
        <v>29.2310905781424</v>
      </c>
      <c r="Y117" s="20">
        <v>-1.5799581797872699E-3</v>
      </c>
      <c r="Z117" s="20">
        <v>-1.78838202840389E-3</v>
      </c>
      <c r="AA117" s="20">
        <v>-1.7493455665964E-3</v>
      </c>
      <c r="AC117" s="21">
        <f t="shared" si="19"/>
        <v>3.3155307587241951E-3</v>
      </c>
      <c r="AD117" s="21">
        <f t="shared" si="19"/>
        <v>3.0890705875293335E-3</v>
      </c>
      <c r="AE117" s="21"/>
      <c r="AF117" s="21"/>
      <c r="AG117" s="15"/>
      <c r="AH117">
        <f t="shared" si="21"/>
        <v>1</v>
      </c>
      <c r="AI117">
        <f t="shared" si="22"/>
        <v>0</v>
      </c>
      <c r="AJ117">
        <f t="shared" si="23"/>
        <v>1</v>
      </c>
      <c r="AK117">
        <f t="shared" si="20"/>
        <v>1</v>
      </c>
      <c r="AL117" s="21">
        <f t="shared" si="24"/>
        <v>-3.3155307587241951E-3</v>
      </c>
      <c r="AM117" s="21">
        <f t="shared" si="25"/>
        <v>3.0890705875293335E-3</v>
      </c>
      <c r="AN117" s="21">
        <f t="shared" si="26"/>
        <v>-2.2646017119486161E-4</v>
      </c>
      <c r="AO117" s="22">
        <f t="shared" si="27"/>
        <v>3.2000128459364844E-3</v>
      </c>
      <c r="AQ117" s="21"/>
      <c r="AR117" s="15"/>
      <c r="AS117">
        <f t="shared" si="28"/>
        <v>0</v>
      </c>
      <c r="AT117">
        <f t="shared" si="29"/>
        <v>1</v>
      </c>
      <c r="AU117">
        <f t="shared" si="30"/>
        <v>0</v>
      </c>
      <c r="AV117">
        <f t="shared" si="31"/>
        <v>0</v>
      </c>
      <c r="AW117" s="21">
        <f t="shared" si="32"/>
        <v>0</v>
      </c>
      <c r="AX117" s="21">
        <f t="shared" si="33"/>
        <v>0</v>
      </c>
      <c r="AY117" s="21">
        <f t="shared" si="34"/>
        <v>0</v>
      </c>
      <c r="AZ117" s="22">
        <f t="shared" si="35"/>
        <v>8.4743024830261013E-3</v>
      </c>
      <c r="BB117" s="22">
        <f t="shared" si="36"/>
        <v>-2.2646017119486161E-4</v>
      </c>
      <c r="BC117" s="22">
        <f t="shared" si="37"/>
        <v>1.1674315328962584E-2</v>
      </c>
    </row>
    <row r="118" spans="1:55" customFormat="1" x14ac:dyDescent="0.3">
      <c r="A118" s="1">
        <v>46195</v>
      </c>
      <c r="B118" s="11">
        <v>27.16</v>
      </c>
      <c r="C118" s="11">
        <v>29.17</v>
      </c>
      <c r="D118" s="12">
        <v>1.0740058910162</v>
      </c>
      <c r="E118" s="12">
        <v>1.07488560571617</v>
      </c>
      <c r="F118" s="12">
        <v>1.07458430360413</v>
      </c>
      <c r="G118" s="12">
        <v>1.0749891434500201</v>
      </c>
      <c r="H118" s="11">
        <v>29.193893051251099</v>
      </c>
      <c r="I118" s="11">
        <v>29.1917680719054</v>
      </c>
      <c r="J118" s="11">
        <v>29.1978789685711</v>
      </c>
      <c r="K118" s="13">
        <v>-8.1876144091268005E-4</v>
      </c>
      <c r="L118" s="13">
        <v>-7.4597030330105201E-4</v>
      </c>
      <c r="M118" s="13">
        <v>-9.55284693703073E-4</v>
      </c>
      <c r="N118" s="25">
        <v>0</v>
      </c>
      <c r="O118" s="15">
        <v>0</v>
      </c>
      <c r="P118" s="16">
        <v>27.16</v>
      </c>
      <c r="Q118" s="16">
        <v>29.17</v>
      </c>
      <c r="R118" s="17">
        <v>1.0740058910162</v>
      </c>
      <c r="S118" s="17">
        <v>1.07488560571617</v>
      </c>
      <c r="T118" s="17">
        <v>1.07458430360413</v>
      </c>
      <c r="U118" s="17">
        <v>1.0749891434500201</v>
      </c>
      <c r="V118" s="19">
        <v>29.193893051251099</v>
      </c>
      <c r="W118" s="19">
        <v>29.1917680719054</v>
      </c>
      <c r="X118" s="19">
        <v>29.1978789685711</v>
      </c>
      <c r="Y118" s="20">
        <v>-8.1876144091268005E-4</v>
      </c>
      <c r="Z118" s="20">
        <v>-7.4597030330105201E-4</v>
      </c>
      <c r="AA118" s="20">
        <v>-9.55284693703073E-4</v>
      </c>
      <c r="AC118" s="21">
        <f t="shared" si="19"/>
        <v>-1.1039559538840317E-3</v>
      </c>
      <c r="AD118" s="21">
        <f t="shared" si="19"/>
        <v>-3.4275921500944269E-4</v>
      </c>
      <c r="AE118" s="21"/>
      <c r="AF118" s="21"/>
      <c r="AG118" s="15"/>
      <c r="AH118">
        <f t="shared" si="21"/>
        <v>0</v>
      </c>
      <c r="AI118">
        <f t="shared" si="22"/>
        <v>0</v>
      </c>
      <c r="AJ118">
        <f t="shared" si="23"/>
        <v>1</v>
      </c>
      <c r="AK118">
        <f t="shared" si="20"/>
        <v>1</v>
      </c>
      <c r="AL118" s="21">
        <f t="shared" si="24"/>
        <v>1.1039559538840317E-3</v>
      </c>
      <c r="AM118" s="21">
        <f t="shared" si="25"/>
        <v>-3.4275921500944269E-4</v>
      </c>
      <c r="AN118" s="21">
        <f t="shared" si="26"/>
        <v>7.6119673887458891E-4</v>
      </c>
      <c r="AO118" s="22">
        <f t="shared" si="27"/>
        <v>3.9612095848110731E-3</v>
      </c>
      <c r="AQ118" s="21"/>
      <c r="AR118" s="15"/>
      <c r="AS118">
        <f t="shared" si="28"/>
        <v>0</v>
      </c>
      <c r="AT118">
        <f t="shared" si="29"/>
        <v>1</v>
      </c>
      <c r="AU118">
        <f t="shared" si="30"/>
        <v>0</v>
      </c>
      <c r="AV118">
        <f t="shared" si="31"/>
        <v>0</v>
      </c>
      <c r="AW118" s="21">
        <f t="shared" si="32"/>
        <v>0</v>
      </c>
      <c r="AX118" s="21">
        <f t="shared" si="33"/>
        <v>0</v>
      </c>
      <c r="AY118" s="21">
        <f t="shared" si="34"/>
        <v>0</v>
      </c>
      <c r="AZ118" s="22">
        <f t="shared" si="35"/>
        <v>8.4743024830261013E-3</v>
      </c>
      <c r="BB118" s="22">
        <f t="shared" si="36"/>
        <v>7.6119673887458891E-4</v>
      </c>
      <c r="BC118" s="22">
        <f t="shared" si="37"/>
        <v>1.2435512067837173E-2</v>
      </c>
    </row>
    <row r="119" spans="1:55" customFormat="1" x14ac:dyDescent="0.3">
      <c r="A119" s="1">
        <v>46196</v>
      </c>
      <c r="B119" s="11">
        <v>27.16</v>
      </c>
      <c r="C119" s="11">
        <v>29.15</v>
      </c>
      <c r="D119" s="12">
        <v>1.0732695139911601</v>
      </c>
      <c r="E119" s="12">
        <v>1.07488560571617</v>
      </c>
      <c r="F119" s="12">
        <v>1.0743304300311201</v>
      </c>
      <c r="G119" s="12">
        <v>1.07493315208814</v>
      </c>
      <c r="H119" s="11">
        <v>29.193893051251099</v>
      </c>
      <c r="I119" s="11">
        <v>29.185709685888298</v>
      </c>
      <c r="J119" s="11">
        <v>29.196705136102601</v>
      </c>
      <c r="K119" s="13">
        <v>-1.5046325240414399E-3</v>
      </c>
      <c r="L119" s="13">
        <v>-1.22428236635744E-3</v>
      </c>
      <c r="M119" s="13">
        <v>-1.6009523063679699E-3</v>
      </c>
      <c r="N119" s="25">
        <v>0</v>
      </c>
      <c r="O119" s="15">
        <v>0</v>
      </c>
      <c r="P119" s="16">
        <v>27.16</v>
      </c>
      <c r="Q119" s="16">
        <v>29.15</v>
      </c>
      <c r="R119" s="17">
        <v>1.0732695139911601</v>
      </c>
      <c r="S119" s="17">
        <v>1.07488560571617</v>
      </c>
      <c r="T119" s="17">
        <v>1.0743304300311201</v>
      </c>
      <c r="U119" s="17">
        <v>1.07493315208814</v>
      </c>
      <c r="V119" s="19">
        <v>29.193893051251099</v>
      </c>
      <c r="W119" s="19">
        <v>29.185709685888298</v>
      </c>
      <c r="X119" s="19">
        <v>29.196705136102601</v>
      </c>
      <c r="Y119" s="20">
        <v>-1.5046325240414399E-3</v>
      </c>
      <c r="Z119" s="20">
        <v>-1.22428236635744E-3</v>
      </c>
      <c r="AA119" s="20">
        <v>-1.6009523063679699E-3</v>
      </c>
      <c r="AC119" s="21">
        <f t="shared" si="19"/>
        <v>0</v>
      </c>
      <c r="AD119" s="21">
        <f t="shared" si="19"/>
        <v>-6.858710831288107E-4</v>
      </c>
      <c r="AE119" s="21"/>
      <c r="AF119" s="21"/>
      <c r="AG119" s="15"/>
      <c r="AH119">
        <f t="shared" si="21"/>
        <v>1</v>
      </c>
      <c r="AI119">
        <f t="shared" si="22"/>
        <v>0</v>
      </c>
      <c r="AJ119">
        <f t="shared" si="23"/>
        <v>1</v>
      </c>
      <c r="AK119">
        <f t="shared" si="20"/>
        <v>1</v>
      </c>
      <c r="AL119" s="21">
        <f t="shared" si="24"/>
        <v>0</v>
      </c>
      <c r="AM119" s="21">
        <f t="shared" si="25"/>
        <v>-6.858710831288107E-4</v>
      </c>
      <c r="AN119" s="21">
        <f t="shared" si="26"/>
        <v>-6.858710831288107E-4</v>
      </c>
      <c r="AO119" s="22">
        <f t="shared" si="27"/>
        <v>3.2753385016822626E-3</v>
      </c>
      <c r="AQ119" s="21"/>
      <c r="AR119" s="15"/>
      <c r="AS119">
        <f t="shared" si="28"/>
        <v>0</v>
      </c>
      <c r="AT119">
        <f t="shared" si="29"/>
        <v>1</v>
      </c>
      <c r="AU119">
        <f t="shared" si="30"/>
        <v>0</v>
      </c>
      <c r="AV119">
        <f t="shared" si="31"/>
        <v>0</v>
      </c>
      <c r="AW119" s="21">
        <f t="shared" si="32"/>
        <v>0</v>
      </c>
      <c r="AX119" s="21">
        <f t="shared" si="33"/>
        <v>0</v>
      </c>
      <c r="AY119" s="21">
        <f t="shared" si="34"/>
        <v>0</v>
      </c>
      <c r="AZ119" s="22">
        <f t="shared" si="35"/>
        <v>8.4743024830261013E-3</v>
      </c>
      <c r="BB119" s="22">
        <f t="shared" si="36"/>
        <v>-6.858710831288107E-4</v>
      </c>
      <c r="BC119" s="22">
        <f t="shared" si="37"/>
        <v>1.1749640984708362E-2</v>
      </c>
    </row>
    <row r="120" spans="1:55" customFormat="1" x14ac:dyDescent="0.3">
      <c r="A120" s="1">
        <v>46197</v>
      </c>
      <c r="B120" s="11">
        <v>27.18</v>
      </c>
      <c r="C120" s="11">
        <v>29.19</v>
      </c>
      <c r="D120" s="12">
        <v>1.0739514348785799</v>
      </c>
      <c r="E120" s="12">
        <v>1.07488560571617</v>
      </c>
      <c r="F120" s="12">
        <v>1.07419869179855</v>
      </c>
      <c r="G120" s="12">
        <v>1.07484284504419</v>
      </c>
      <c r="H120" s="11">
        <v>29.215390763365502</v>
      </c>
      <c r="I120" s="11">
        <v>29.200301088245901</v>
      </c>
      <c r="J120" s="11">
        <v>29.216683073755799</v>
      </c>
      <c r="K120" s="13">
        <v>-8.6946648702168302E-4</v>
      </c>
      <c r="L120" s="13">
        <v>-3.5283559635127302E-4</v>
      </c>
      <c r="M120" s="13">
        <v>-9.1369939903982204E-4</v>
      </c>
      <c r="N120" s="25">
        <v>0</v>
      </c>
      <c r="O120" s="15">
        <v>0</v>
      </c>
      <c r="P120" s="16">
        <v>27.18</v>
      </c>
      <c r="Q120" s="16">
        <v>29.19</v>
      </c>
      <c r="R120" s="17">
        <v>1.0739514348785799</v>
      </c>
      <c r="S120" s="17">
        <v>1.07488560571617</v>
      </c>
      <c r="T120" s="17">
        <v>1.07419869179855</v>
      </c>
      <c r="U120" s="17">
        <v>1.07484284504419</v>
      </c>
      <c r="V120" s="19">
        <v>29.215390763365502</v>
      </c>
      <c r="W120" s="19">
        <v>29.200301088245901</v>
      </c>
      <c r="X120" s="19">
        <v>29.216683073755799</v>
      </c>
      <c r="Y120" s="20">
        <v>-8.6946648702168302E-4</v>
      </c>
      <c r="Z120" s="20">
        <v>-3.5283559635127302E-4</v>
      </c>
      <c r="AA120" s="20">
        <v>-9.1369939903982204E-4</v>
      </c>
      <c r="AC120" s="21">
        <f t="shared" si="19"/>
        <v>7.3610603250227229E-4</v>
      </c>
      <c r="AD120" s="21">
        <f t="shared" si="19"/>
        <v>1.3712720695222022E-3</v>
      </c>
      <c r="AE120" s="21"/>
      <c r="AF120" s="21"/>
      <c r="AG120" s="15"/>
      <c r="AH120">
        <f t="shared" si="21"/>
        <v>0</v>
      </c>
      <c r="AI120">
        <f t="shared" si="22"/>
        <v>0</v>
      </c>
      <c r="AJ120">
        <f t="shared" si="23"/>
        <v>1</v>
      </c>
      <c r="AK120">
        <f t="shared" si="20"/>
        <v>1</v>
      </c>
      <c r="AL120" s="21">
        <f t="shared" si="24"/>
        <v>-7.3610603250227229E-4</v>
      </c>
      <c r="AM120" s="21">
        <f t="shared" si="25"/>
        <v>1.3712720695222022E-3</v>
      </c>
      <c r="AN120" s="21">
        <f t="shared" si="26"/>
        <v>6.3516603701992992E-4</v>
      </c>
      <c r="AO120" s="22">
        <f t="shared" si="27"/>
        <v>3.9105045387021926E-3</v>
      </c>
      <c r="AQ120" s="21"/>
      <c r="AR120" s="15"/>
      <c r="AS120">
        <f t="shared" si="28"/>
        <v>0</v>
      </c>
      <c r="AT120">
        <f t="shared" si="29"/>
        <v>1</v>
      </c>
      <c r="AU120">
        <f t="shared" si="30"/>
        <v>0</v>
      </c>
      <c r="AV120">
        <f t="shared" si="31"/>
        <v>0</v>
      </c>
      <c r="AW120" s="21">
        <f t="shared" si="32"/>
        <v>0</v>
      </c>
      <c r="AX120" s="21">
        <f t="shared" si="33"/>
        <v>0</v>
      </c>
      <c r="AY120" s="21">
        <f t="shared" si="34"/>
        <v>0</v>
      </c>
      <c r="AZ120" s="22">
        <f t="shared" si="35"/>
        <v>8.4743024830261013E-3</v>
      </c>
      <c r="BB120" s="22">
        <f t="shared" si="36"/>
        <v>6.3516603701992992E-4</v>
      </c>
      <c r="BC120" s="22">
        <f t="shared" si="37"/>
        <v>1.2384807021728292E-2</v>
      </c>
    </row>
    <row r="121" spans="1:55" customFormat="1" x14ac:dyDescent="0.3">
      <c r="A121" s="1">
        <v>46198</v>
      </c>
      <c r="B121" s="11">
        <v>27.22</v>
      </c>
      <c r="C121" s="11">
        <v>29.24</v>
      </c>
      <c r="D121" s="12">
        <v>1.07421013960323</v>
      </c>
      <c r="E121" s="12">
        <v>1.07488560571617</v>
      </c>
      <c r="F121" s="12">
        <v>1.07407043093552</v>
      </c>
      <c r="G121" s="12">
        <v>1.0747867345945199</v>
      </c>
      <c r="H121" s="11">
        <v>29.258386187594098</v>
      </c>
      <c r="I121" s="11">
        <v>29.239688390756498</v>
      </c>
      <c r="J121" s="11">
        <v>29.257222242103001</v>
      </c>
      <c r="K121" s="13">
        <v>-6.2860497178968795E-4</v>
      </c>
      <c r="L121" s="13">
        <v>1.0657007654814199E-5</v>
      </c>
      <c r="M121" s="13">
        <v>-5.8882257791255301E-4</v>
      </c>
      <c r="N121" s="25">
        <v>0</v>
      </c>
      <c r="O121" s="15">
        <v>0</v>
      </c>
      <c r="P121" s="16">
        <v>27.22</v>
      </c>
      <c r="Q121" s="16">
        <v>29.24</v>
      </c>
      <c r="R121" s="17">
        <v>1.07421013960323</v>
      </c>
      <c r="S121" s="17">
        <v>1.07488560571617</v>
      </c>
      <c r="T121" s="17">
        <v>1.07407043093552</v>
      </c>
      <c r="U121" s="17">
        <v>1.0747867345945199</v>
      </c>
      <c r="V121" s="19">
        <v>29.258386187594098</v>
      </c>
      <c r="W121" s="19">
        <v>29.239688390756498</v>
      </c>
      <c r="X121" s="19">
        <v>29.257222242103001</v>
      </c>
      <c r="Y121" s="20">
        <v>-6.2860497178968795E-4</v>
      </c>
      <c r="Z121" s="20">
        <v>1.0657007654814199E-5</v>
      </c>
      <c r="AA121" s="20">
        <v>-5.8882257791255301E-4</v>
      </c>
      <c r="AC121" s="21">
        <f t="shared" si="19"/>
        <v>1.47058850032222E-3</v>
      </c>
      <c r="AD121" s="21">
        <f t="shared" si="19"/>
        <v>1.7114500155541682E-3</v>
      </c>
      <c r="AE121" s="21"/>
      <c r="AF121" s="21"/>
      <c r="AG121" s="15"/>
      <c r="AH121">
        <f t="shared" si="21"/>
        <v>0</v>
      </c>
      <c r="AI121">
        <f t="shared" si="22"/>
        <v>0</v>
      </c>
      <c r="AJ121">
        <f t="shared" si="23"/>
        <v>1</v>
      </c>
      <c r="AK121">
        <f t="shared" si="20"/>
        <v>1</v>
      </c>
      <c r="AL121" s="21">
        <f t="shared" si="24"/>
        <v>-1.47058850032222E-3</v>
      </c>
      <c r="AM121" s="21">
        <f t="shared" si="25"/>
        <v>1.7114500155541682E-3</v>
      </c>
      <c r="AN121" s="21">
        <f t="shared" si="26"/>
        <v>2.4086151523194823E-4</v>
      </c>
      <c r="AO121" s="22">
        <f t="shared" si="27"/>
        <v>4.1513660539341411E-3</v>
      </c>
      <c r="AQ121" s="21"/>
      <c r="AR121" s="15"/>
      <c r="AS121">
        <f t="shared" si="28"/>
        <v>0</v>
      </c>
      <c r="AT121">
        <f t="shared" si="29"/>
        <v>1</v>
      </c>
      <c r="AU121">
        <f t="shared" si="30"/>
        <v>0</v>
      </c>
      <c r="AV121">
        <f t="shared" si="31"/>
        <v>0</v>
      </c>
      <c r="AW121" s="21">
        <f t="shared" si="32"/>
        <v>0</v>
      </c>
      <c r="AX121" s="21">
        <f t="shared" si="33"/>
        <v>0</v>
      </c>
      <c r="AY121" s="21">
        <f t="shared" si="34"/>
        <v>0</v>
      </c>
      <c r="AZ121" s="22">
        <f t="shared" si="35"/>
        <v>8.4743024830261013E-3</v>
      </c>
      <c r="BB121" s="22">
        <f t="shared" si="36"/>
        <v>2.4086151523194823E-4</v>
      </c>
      <c r="BC121" s="22">
        <f t="shared" si="37"/>
        <v>1.262566853696024E-2</v>
      </c>
    </row>
    <row r="122" spans="1:55" customFormat="1" x14ac:dyDescent="0.3">
      <c r="A122" s="1">
        <v>46199</v>
      </c>
      <c r="B122" s="11">
        <v>27.19</v>
      </c>
      <c r="C122" s="11">
        <v>29.22</v>
      </c>
      <c r="D122" s="12">
        <v>1.0746598013975699</v>
      </c>
      <c r="E122" s="12">
        <v>1.07488560571617</v>
      </c>
      <c r="F122" s="12">
        <v>1.0740401038374601</v>
      </c>
      <c r="G122" s="12">
        <v>1.07477571876251</v>
      </c>
      <c r="H122" s="11">
        <v>29.2261396194226</v>
      </c>
      <c r="I122" s="11">
        <v>29.203975017136798</v>
      </c>
      <c r="J122" s="11">
        <v>29.223451313624999</v>
      </c>
      <c r="K122" s="13">
        <v>-2.1009495187352E-4</v>
      </c>
      <c r="L122" s="13">
        <v>5.4857558939981296E-4</v>
      </c>
      <c r="M122" s="13">
        <v>-1.18107796561945E-4</v>
      </c>
      <c r="N122" s="25">
        <v>0</v>
      </c>
      <c r="O122" s="15">
        <v>0</v>
      </c>
      <c r="P122" s="16">
        <v>27.19</v>
      </c>
      <c r="Q122" s="16">
        <v>29.22</v>
      </c>
      <c r="R122" s="17">
        <v>1.0746598013975699</v>
      </c>
      <c r="S122" s="17">
        <v>1.07488560571617</v>
      </c>
      <c r="T122" s="17">
        <v>1.0740401038374601</v>
      </c>
      <c r="U122" s="17">
        <v>1.07477571876251</v>
      </c>
      <c r="V122" s="19">
        <v>29.2261396194226</v>
      </c>
      <c r="W122" s="19">
        <v>29.203975017136798</v>
      </c>
      <c r="X122" s="19">
        <v>29.223451313624999</v>
      </c>
      <c r="Y122" s="20">
        <v>-2.1009495187352E-4</v>
      </c>
      <c r="Z122" s="20">
        <v>5.4857558939981296E-4</v>
      </c>
      <c r="AA122" s="20">
        <v>-1.18107796561945E-4</v>
      </c>
      <c r="AC122" s="21">
        <f t="shared" si="19"/>
        <v>-1.102738578940524E-3</v>
      </c>
      <c r="AD122" s="21">
        <f t="shared" si="19"/>
        <v>-6.8422855902435182E-4</v>
      </c>
      <c r="AE122" s="21"/>
      <c r="AF122" s="21"/>
      <c r="AG122" s="15"/>
      <c r="AH122">
        <f t="shared" si="21"/>
        <v>0</v>
      </c>
      <c r="AI122">
        <f t="shared" si="22"/>
        <v>0</v>
      </c>
      <c r="AJ122">
        <f t="shared" si="23"/>
        <v>1</v>
      </c>
      <c r="AK122">
        <f t="shared" si="20"/>
        <v>1</v>
      </c>
      <c r="AL122" s="21">
        <f t="shared" si="24"/>
        <v>1.102738578940524E-3</v>
      </c>
      <c r="AM122" s="21">
        <f t="shared" si="25"/>
        <v>-6.8422855902435182E-4</v>
      </c>
      <c r="AN122" s="21">
        <f t="shared" si="26"/>
        <v>4.185100199161722E-4</v>
      </c>
      <c r="AO122" s="22">
        <f t="shared" si="27"/>
        <v>4.5698760738503135E-3</v>
      </c>
      <c r="AQ122" s="21"/>
      <c r="AR122" s="15"/>
      <c r="AS122">
        <f t="shared" si="28"/>
        <v>0</v>
      </c>
      <c r="AT122">
        <f t="shared" si="29"/>
        <v>1</v>
      </c>
      <c r="AU122">
        <f t="shared" si="30"/>
        <v>0</v>
      </c>
      <c r="AV122">
        <f t="shared" si="31"/>
        <v>0</v>
      </c>
      <c r="AW122" s="21">
        <f t="shared" si="32"/>
        <v>0</v>
      </c>
      <c r="AX122" s="21">
        <f t="shared" si="33"/>
        <v>0</v>
      </c>
      <c r="AY122" s="21">
        <f t="shared" si="34"/>
        <v>0</v>
      </c>
      <c r="AZ122" s="22">
        <f t="shared" si="35"/>
        <v>8.4743024830261013E-3</v>
      </c>
      <c r="BB122" s="22">
        <f t="shared" si="36"/>
        <v>4.185100199161722E-4</v>
      </c>
      <c r="BC122" s="22">
        <f t="shared" si="37"/>
        <v>1.3044178556876411E-2</v>
      </c>
    </row>
    <row r="123" spans="1:55" customFormat="1" x14ac:dyDescent="0.3">
      <c r="A123" s="1">
        <v>46202</v>
      </c>
      <c r="B123" s="11">
        <v>27.23</v>
      </c>
      <c r="C123" s="11">
        <v>29.25</v>
      </c>
      <c r="D123" s="12">
        <v>1.0741828865222101</v>
      </c>
      <c r="E123" s="12">
        <v>1.07488560571617</v>
      </c>
      <c r="F123" s="12">
        <v>1.0739648524380001</v>
      </c>
      <c r="G123" s="12">
        <v>1.07475324544157</v>
      </c>
      <c r="H123" s="11">
        <v>29.2691350436513</v>
      </c>
      <c r="I123" s="11">
        <v>29.2461120274941</v>
      </c>
      <c r="J123" s="11">
        <v>29.266142821903301</v>
      </c>
      <c r="K123" s="13">
        <v>-6.5397563785020202E-4</v>
      </c>
      <c r="L123" s="13">
        <v>1.3293097188217E-4</v>
      </c>
      <c r="M123" s="13">
        <v>-5.5173911110434001E-4</v>
      </c>
      <c r="N123" s="25">
        <v>0</v>
      </c>
      <c r="O123" s="15">
        <v>0</v>
      </c>
      <c r="P123" s="16">
        <v>27.23</v>
      </c>
      <c r="Q123" s="16">
        <v>29.25</v>
      </c>
      <c r="R123" s="17">
        <v>1.0741828865222101</v>
      </c>
      <c r="S123" s="17">
        <v>1.07488560571617</v>
      </c>
      <c r="T123" s="17">
        <v>1.0739648524380001</v>
      </c>
      <c r="U123" s="17">
        <v>1.07475324544157</v>
      </c>
      <c r="V123" s="19">
        <v>29.2691350436513</v>
      </c>
      <c r="W123" s="19">
        <v>29.2461120274941</v>
      </c>
      <c r="X123" s="19">
        <v>29.266142821903301</v>
      </c>
      <c r="Y123" s="20">
        <v>-6.5397563785020202E-4</v>
      </c>
      <c r="Z123" s="20">
        <v>1.3293097188217E-4</v>
      </c>
      <c r="AA123" s="20">
        <v>-5.5173911110434001E-4</v>
      </c>
      <c r="AC123" s="21">
        <f t="shared" si="19"/>
        <v>1.4700480412887487E-3</v>
      </c>
      <c r="AD123" s="21">
        <f t="shared" si="19"/>
        <v>1.0261673553121748E-3</v>
      </c>
      <c r="AE123" s="21"/>
      <c r="AF123" s="21"/>
      <c r="AG123" s="15"/>
      <c r="AH123">
        <f t="shared" si="21"/>
        <v>0</v>
      </c>
      <c r="AI123">
        <f t="shared" si="22"/>
        <v>0</v>
      </c>
      <c r="AJ123">
        <f t="shared" si="23"/>
        <v>1</v>
      </c>
      <c r="AK123">
        <f t="shared" si="20"/>
        <v>1</v>
      </c>
      <c r="AL123" s="21">
        <f t="shared" si="24"/>
        <v>-1.4700480412887487E-3</v>
      </c>
      <c r="AM123" s="21">
        <f t="shared" si="25"/>
        <v>1.0261673553121748E-3</v>
      </c>
      <c r="AN123" s="21">
        <f t="shared" si="26"/>
        <v>-4.4388068597657395E-4</v>
      </c>
      <c r="AO123" s="22">
        <f t="shared" si="27"/>
        <v>4.1259953878737396E-3</v>
      </c>
      <c r="AQ123" s="21"/>
      <c r="AR123" s="15"/>
      <c r="AS123">
        <f t="shared" si="28"/>
        <v>0</v>
      </c>
      <c r="AT123">
        <f t="shared" si="29"/>
        <v>1</v>
      </c>
      <c r="AU123">
        <f t="shared" si="30"/>
        <v>0</v>
      </c>
      <c r="AV123">
        <f t="shared" si="31"/>
        <v>0</v>
      </c>
      <c r="AW123" s="21">
        <f t="shared" si="32"/>
        <v>0</v>
      </c>
      <c r="AX123" s="21">
        <f t="shared" si="33"/>
        <v>0</v>
      </c>
      <c r="AY123" s="21">
        <f t="shared" si="34"/>
        <v>0</v>
      </c>
      <c r="AZ123" s="22">
        <f t="shared" si="35"/>
        <v>8.4743024830261013E-3</v>
      </c>
      <c r="BB123" s="22">
        <f t="shared" si="36"/>
        <v>-4.4388068597657395E-4</v>
      </c>
      <c r="BC123" s="22">
        <f t="shared" si="37"/>
        <v>1.2600297870899838E-2</v>
      </c>
    </row>
    <row r="124" spans="1:55" customFormat="1" x14ac:dyDescent="0.3">
      <c r="A124" s="1">
        <v>46203</v>
      </c>
      <c r="B124" s="11">
        <v>27.24</v>
      </c>
      <c r="C124" s="11">
        <v>29.24</v>
      </c>
      <c r="D124" s="12">
        <v>1.0734214390601999</v>
      </c>
      <c r="E124" s="12">
        <v>1.07488560571617</v>
      </c>
      <c r="F124" s="12">
        <v>1.07383001660185</v>
      </c>
      <c r="G124" s="12">
        <v>1.07468911029398</v>
      </c>
      <c r="H124" s="11">
        <v>29.279883899708398</v>
      </c>
      <c r="I124" s="11">
        <v>29.254802580411202</v>
      </c>
      <c r="J124" s="11">
        <v>29.2762784058284</v>
      </c>
      <c r="K124" s="13">
        <v>-1.36308902978134E-3</v>
      </c>
      <c r="L124" s="13">
        <v>-5.0611610174834795E-4</v>
      </c>
      <c r="M124" s="13">
        <v>-1.2399425071036E-3</v>
      </c>
      <c r="N124" s="25">
        <v>0</v>
      </c>
      <c r="O124" s="15">
        <v>0</v>
      </c>
      <c r="P124" s="16">
        <v>27.24</v>
      </c>
      <c r="Q124" s="16">
        <v>29.24</v>
      </c>
      <c r="R124" s="17">
        <v>1.0734214390601999</v>
      </c>
      <c r="S124" s="17">
        <v>1.07488560571617</v>
      </c>
      <c r="T124" s="17">
        <v>1.07383001660185</v>
      </c>
      <c r="U124" s="17">
        <v>1.07468911029398</v>
      </c>
      <c r="V124" s="19">
        <v>29.279883899708398</v>
      </c>
      <c r="W124" s="19">
        <v>29.254802580411202</v>
      </c>
      <c r="X124" s="19">
        <v>29.2762784058284</v>
      </c>
      <c r="Y124" s="20">
        <v>-1.36308902978134E-3</v>
      </c>
      <c r="Z124" s="20">
        <v>-5.0611610174834795E-4</v>
      </c>
      <c r="AA124" s="20">
        <v>-1.2399425071036E-3</v>
      </c>
      <c r="AC124" s="21">
        <f t="shared" si="19"/>
        <v>3.671745956432165E-4</v>
      </c>
      <c r="AD124" s="21">
        <f t="shared" si="19"/>
        <v>-3.4193879628783311E-4</v>
      </c>
      <c r="AE124" s="21"/>
      <c r="AF124" s="21"/>
      <c r="AG124" s="15"/>
      <c r="AH124">
        <f t="shared" si="21"/>
        <v>1</v>
      </c>
      <c r="AI124">
        <f t="shared" si="22"/>
        <v>0</v>
      </c>
      <c r="AJ124">
        <f t="shared" si="23"/>
        <v>1</v>
      </c>
      <c r="AK124">
        <f t="shared" si="20"/>
        <v>1</v>
      </c>
      <c r="AL124" s="21">
        <f t="shared" si="24"/>
        <v>-3.671745956432165E-4</v>
      </c>
      <c r="AM124" s="21">
        <f t="shared" si="25"/>
        <v>-3.4193879628783311E-4</v>
      </c>
      <c r="AN124" s="21">
        <f t="shared" si="26"/>
        <v>-7.0911339193104961E-4</v>
      </c>
      <c r="AO124" s="22">
        <f t="shared" si="27"/>
        <v>3.4168819959426899E-3</v>
      </c>
      <c r="AQ124" s="21"/>
      <c r="AR124" s="15"/>
      <c r="AS124">
        <f t="shared" si="28"/>
        <v>0</v>
      </c>
      <c r="AT124">
        <f t="shared" si="29"/>
        <v>1</v>
      </c>
      <c r="AU124">
        <f t="shared" si="30"/>
        <v>0</v>
      </c>
      <c r="AV124">
        <f t="shared" si="31"/>
        <v>0</v>
      </c>
      <c r="AW124" s="21">
        <f t="shared" si="32"/>
        <v>0</v>
      </c>
      <c r="AX124" s="21">
        <f t="shared" si="33"/>
        <v>0</v>
      </c>
      <c r="AY124" s="21">
        <f t="shared" si="34"/>
        <v>0</v>
      </c>
      <c r="AZ124" s="22">
        <f t="shared" si="35"/>
        <v>8.4743024830261013E-3</v>
      </c>
      <c r="BB124" s="22">
        <f t="shared" si="36"/>
        <v>-7.0911339193104961E-4</v>
      </c>
      <c r="BC124" s="22">
        <f t="shared" si="37"/>
        <v>1.1891184478968789E-2</v>
      </c>
    </row>
    <row r="125" spans="1:55" customFormat="1" x14ac:dyDescent="0.3">
      <c r="A125" s="1">
        <v>46204</v>
      </c>
      <c r="B125" s="11">
        <v>27.12</v>
      </c>
      <c r="C125" s="11">
        <v>29.11</v>
      </c>
      <c r="D125" s="12">
        <v>1.0733775811209401</v>
      </c>
      <c r="E125" s="12">
        <v>1.07488560571617</v>
      </c>
      <c r="F125" s="12">
        <v>1.07376990942134</v>
      </c>
      <c r="G125" s="12">
        <v>1.0745673088766601</v>
      </c>
      <c r="H125" s="11">
        <v>29.150897627022498</v>
      </c>
      <c r="I125" s="11">
        <v>29.1222700502422</v>
      </c>
      <c r="J125" s="11">
        <v>29.145568671172999</v>
      </c>
      <c r="K125" s="13">
        <v>-1.40394794471039E-3</v>
      </c>
      <c r="L125" s="13">
        <v>-4.21417554674948E-4</v>
      </c>
      <c r="M125" s="13">
        <v>-1.2211253414626899E-3</v>
      </c>
      <c r="N125" s="25">
        <v>0</v>
      </c>
      <c r="O125" s="16">
        <v>0</v>
      </c>
      <c r="P125" s="16">
        <v>27.12</v>
      </c>
      <c r="Q125" s="16">
        <v>29.11</v>
      </c>
      <c r="R125" s="17">
        <v>1.0733775811209401</v>
      </c>
      <c r="S125" s="17">
        <v>1.07488560571617</v>
      </c>
      <c r="T125" s="17">
        <v>1.07376990942134</v>
      </c>
      <c r="U125" s="17">
        <v>1.0745673088766601</v>
      </c>
      <c r="V125" s="19">
        <v>29.150897627022498</v>
      </c>
      <c r="W125" s="19">
        <v>29.1222700502422</v>
      </c>
      <c r="X125" s="19">
        <v>29.145568671172999</v>
      </c>
      <c r="Y125" s="20">
        <v>-1.40394794471039E-3</v>
      </c>
      <c r="Z125" s="20">
        <v>-4.21417554674948E-4</v>
      </c>
      <c r="AA125" s="20">
        <v>-1.2211253414626899E-3</v>
      </c>
      <c r="AC125" s="21">
        <f t="shared" si="19"/>
        <v>-4.4150182091167202E-3</v>
      </c>
      <c r="AD125" s="21">
        <f t="shared" si="19"/>
        <v>-4.455877124045866E-3</v>
      </c>
      <c r="AE125" s="21"/>
      <c r="AF125" s="21"/>
      <c r="AG125" s="15"/>
      <c r="AH125">
        <f t="shared" si="21"/>
        <v>1</v>
      </c>
      <c r="AI125">
        <f t="shared" si="22"/>
        <v>0</v>
      </c>
      <c r="AJ125">
        <f t="shared" si="23"/>
        <v>1</v>
      </c>
      <c r="AK125">
        <f t="shared" si="20"/>
        <v>1</v>
      </c>
      <c r="AL125" s="21">
        <f t="shared" si="24"/>
        <v>4.4150182091167202E-3</v>
      </c>
      <c r="AM125" s="21">
        <f t="shared" si="25"/>
        <v>-4.455877124045866E-3</v>
      </c>
      <c r="AN125" s="21">
        <f t="shared" si="26"/>
        <v>-4.0858914929145854E-5</v>
      </c>
      <c r="AO125" s="22">
        <f t="shared" si="27"/>
        <v>3.3760230810135441E-3</v>
      </c>
      <c r="AQ125" s="21"/>
      <c r="AR125" s="15"/>
      <c r="AS125">
        <f t="shared" si="28"/>
        <v>0</v>
      </c>
      <c r="AT125">
        <f t="shared" si="29"/>
        <v>1</v>
      </c>
      <c r="AU125">
        <f t="shared" si="30"/>
        <v>0</v>
      </c>
      <c r="AV125">
        <f t="shared" si="31"/>
        <v>0</v>
      </c>
      <c r="AW125" s="21">
        <f t="shared" si="32"/>
        <v>0</v>
      </c>
      <c r="AX125" s="21">
        <f t="shared" si="33"/>
        <v>0</v>
      </c>
      <c r="AY125" s="21">
        <f t="shared" si="34"/>
        <v>0</v>
      </c>
      <c r="AZ125" s="22">
        <f t="shared" si="35"/>
        <v>8.4743024830261013E-3</v>
      </c>
      <c r="BB125" s="22">
        <f t="shared" si="36"/>
        <v>-4.0858914929145854E-5</v>
      </c>
      <c r="BC125" s="22">
        <f t="shared" si="37"/>
        <v>1.1850325564039643E-2</v>
      </c>
    </row>
    <row r="126" spans="1:55" customFormat="1" x14ac:dyDescent="0.3">
      <c r="A126" s="1">
        <v>46205</v>
      </c>
      <c r="B126" s="11">
        <v>27.17</v>
      </c>
      <c r="C126" s="11">
        <v>29.16</v>
      </c>
      <c r="D126" s="12">
        <v>1.0732425469267499</v>
      </c>
      <c r="E126" s="12">
        <v>1.07488560571617</v>
      </c>
      <c r="F126" s="12">
        <v>1.07375099068228</v>
      </c>
      <c r="G126" s="12">
        <v>1.0744303257708101</v>
      </c>
      <c r="H126" s="11">
        <v>29.2046419073083</v>
      </c>
      <c r="I126" s="11">
        <v>29.174328438977899</v>
      </c>
      <c r="J126" s="11">
        <v>29.195993782178899</v>
      </c>
      <c r="K126" s="13">
        <v>-1.52975892784638E-3</v>
      </c>
      <c r="L126" s="13">
        <v>-4.9125239458680504E-4</v>
      </c>
      <c r="M126" s="13">
        <v>-1.2335934806556501E-3</v>
      </c>
      <c r="N126" s="25">
        <v>0</v>
      </c>
      <c r="O126" s="16">
        <v>0</v>
      </c>
      <c r="P126" s="16">
        <v>27.17</v>
      </c>
      <c r="Q126" s="16">
        <v>29.16</v>
      </c>
      <c r="R126" s="17">
        <v>1.0732425469267499</v>
      </c>
      <c r="S126" s="17">
        <v>1.07488560571617</v>
      </c>
      <c r="T126" s="17">
        <v>1.07375099068228</v>
      </c>
      <c r="U126" s="17">
        <v>1.0744303257708101</v>
      </c>
      <c r="V126" s="19">
        <v>29.2046419073083</v>
      </c>
      <c r="W126" s="19">
        <v>29.174328438977899</v>
      </c>
      <c r="X126" s="19">
        <v>29.195993782178899</v>
      </c>
      <c r="Y126" s="20">
        <v>-1.52975892784638E-3</v>
      </c>
      <c r="Z126" s="20">
        <v>-4.9125239458680504E-4</v>
      </c>
      <c r="AA126" s="20">
        <v>-1.2335934806556501E-3</v>
      </c>
      <c r="AC126" s="21">
        <f t="shared" si="19"/>
        <v>1.8419603660616748E-3</v>
      </c>
      <c r="AD126" s="21">
        <f t="shared" si="19"/>
        <v>1.7161493829254749E-3</v>
      </c>
      <c r="AE126" s="21"/>
      <c r="AF126" s="21"/>
      <c r="AG126" s="15"/>
      <c r="AH126">
        <f t="shared" si="21"/>
        <v>1</v>
      </c>
      <c r="AI126">
        <f t="shared" si="22"/>
        <v>0</v>
      </c>
      <c r="AJ126">
        <f t="shared" si="23"/>
        <v>1</v>
      </c>
      <c r="AK126">
        <f t="shared" si="20"/>
        <v>1</v>
      </c>
      <c r="AL126" s="21">
        <f t="shared" si="24"/>
        <v>-1.8419603660616748E-3</v>
      </c>
      <c r="AM126" s="21">
        <f t="shared" si="25"/>
        <v>1.7161493829254749E-3</v>
      </c>
      <c r="AN126" s="21">
        <f t="shared" si="26"/>
        <v>-1.2581098313619991E-4</v>
      </c>
      <c r="AO126" s="22">
        <f t="shared" si="27"/>
        <v>3.250212097877344E-3</v>
      </c>
      <c r="AQ126" s="21"/>
      <c r="AR126" s="15"/>
      <c r="AS126">
        <f t="shared" si="28"/>
        <v>0</v>
      </c>
      <c r="AT126">
        <f t="shared" si="29"/>
        <v>1</v>
      </c>
      <c r="AU126">
        <f t="shared" si="30"/>
        <v>0</v>
      </c>
      <c r="AV126">
        <f t="shared" si="31"/>
        <v>0</v>
      </c>
      <c r="AW126" s="21">
        <f t="shared" si="32"/>
        <v>0</v>
      </c>
      <c r="AX126" s="21">
        <f t="shared" si="33"/>
        <v>0</v>
      </c>
      <c r="AY126" s="21">
        <f t="shared" si="34"/>
        <v>0</v>
      </c>
      <c r="AZ126" s="22">
        <f t="shared" si="35"/>
        <v>8.4743024830261013E-3</v>
      </c>
      <c r="BB126" s="22">
        <f t="shared" si="36"/>
        <v>-1.2581098313619991E-4</v>
      </c>
      <c r="BC126" s="22">
        <f t="shared" si="37"/>
        <v>1.1724514580903444E-2</v>
      </c>
    </row>
    <row r="127" spans="1:55" customFormat="1" x14ac:dyDescent="0.3">
      <c r="A127" s="1">
        <v>46209</v>
      </c>
      <c r="B127" s="11">
        <v>27.21</v>
      </c>
      <c r="C127" s="11">
        <v>29.18</v>
      </c>
      <c r="D127" s="12">
        <v>1.0723998529952199</v>
      </c>
      <c r="E127" s="12">
        <v>1.07488560571617</v>
      </c>
      <c r="F127" s="12">
        <v>1.07367210875121</v>
      </c>
      <c r="G127" s="12">
        <v>1.0742397375844599</v>
      </c>
      <c r="H127" s="11">
        <v>29.247637331537</v>
      </c>
      <c r="I127" s="11">
        <v>29.216764456465</v>
      </c>
      <c r="J127" s="11">
        <v>29.235249164223799</v>
      </c>
      <c r="K127" s="13">
        <v>-2.3152523305627502E-3</v>
      </c>
      <c r="L127" s="13">
        <v>-1.2591266541709899E-3</v>
      </c>
      <c r="M127" s="13">
        <v>-1.8916013023496301E-3</v>
      </c>
      <c r="N127" s="25">
        <v>0</v>
      </c>
      <c r="O127" s="16">
        <v>0</v>
      </c>
      <c r="P127" s="16">
        <v>27.21</v>
      </c>
      <c r="Q127" s="16">
        <v>29.18</v>
      </c>
      <c r="R127" s="17">
        <v>1.0723998529952199</v>
      </c>
      <c r="S127" s="17">
        <v>1.07488560571617</v>
      </c>
      <c r="T127" s="17">
        <v>1.07367210875121</v>
      </c>
      <c r="U127" s="17">
        <v>1.0742397375844599</v>
      </c>
      <c r="V127" s="19">
        <v>29.247637331537</v>
      </c>
      <c r="W127" s="19">
        <v>29.216764456465</v>
      </c>
      <c r="X127" s="19">
        <v>29.235249164223799</v>
      </c>
      <c r="Y127" s="20">
        <v>-2.3152523305627502E-3</v>
      </c>
      <c r="Z127" s="20">
        <v>-1.2591266541709899E-3</v>
      </c>
      <c r="AA127" s="20">
        <v>-1.8916013023496301E-3</v>
      </c>
      <c r="AC127" s="21">
        <f t="shared" si="19"/>
        <v>1.4711293568985277E-3</v>
      </c>
      <c r="AD127" s="21">
        <f t="shared" si="19"/>
        <v>6.8563595418216663E-4</v>
      </c>
      <c r="AE127" s="21"/>
      <c r="AF127" s="21"/>
      <c r="AG127" s="15"/>
      <c r="AH127">
        <f t="shared" si="21"/>
        <v>1</v>
      </c>
      <c r="AI127">
        <f t="shared" si="22"/>
        <v>0</v>
      </c>
      <c r="AJ127">
        <f t="shared" si="23"/>
        <v>1</v>
      </c>
      <c r="AK127">
        <f t="shared" si="20"/>
        <v>1</v>
      </c>
      <c r="AL127" s="21">
        <f t="shared" si="24"/>
        <v>-1.4711293568985277E-3</v>
      </c>
      <c r="AM127" s="21">
        <f t="shared" si="25"/>
        <v>6.8563595418216663E-4</v>
      </c>
      <c r="AN127" s="21">
        <f t="shared" si="26"/>
        <v>-7.8549340271636108E-4</v>
      </c>
      <c r="AO127" s="22">
        <f t="shared" si="27"/>
        <v>2.4647186951609829E-3</v>
      </c>
      <c r="AQ127" s="21"/>
      <c r="AR127" s="15"/>
      <c r="AS127">
        <f t="shared" si="28"/>
        <v>0</v>
      </c>
      <c r="AT127">
        <f t="shared" si="29"/>
        <v>1</v>
      </c>
      <c r="AU127">
        <f t="shared" si="30"/>
        <v>0</v>
      </c>
      <c r="AV127">
        <f t="shared" si="31"/>
        <v>0</v>
      </c>
      <c r="AW127" s="21">
        <f t="shared" si="32"/>
        <v>0</v>
      </c>
      <c r="AX127" s="21">
        <f t="shared" si="33"/>
        <v>0</v>
      </c>
      <c r="AY127" s="21">
        <f t="shared" si="34"/>
        <v>0</v>
      </c>
      <c r="AZ127" s="22">
        <f t="shared" si="35"/>
        <v>8.4743024830261013E-3</v>
      </c>
      <c r="BB127" s="22">
        <f t="shared" si="36"/>
        <v>-7.8549340271636108E-4</v>
      </c>
      <c r="BC127" s="22">
        <f t="shared" si="37"/>
        <v>1.0939021178187083E-2</v>
      </c>
    </row>
    <row r="128" spans="1:55" customFormat="1" x14ac:dyDescent="0.3">
      <c r="A128" s="1">
        <v>46210</v>
      </c>
      <c r="B128" s="11">
        <v>27.15</v>
      </c>
      <c r="C128" s="11">
        <v>29.14</v>
      </c>
      <c r="D128" s="12">
        <v>1.07329650092081</v>
      </c>
      <c r="E128" s="12">
        <v>1.07488560571617</v>
      </c>
      <c r="F128" s="12">
        <v>1.0736011697416701</v>
      </c>
      <c r="G128" s="12">
        <v>1.0740927366729001</v>
      </c>
      <c r="H128" s="11">
        <v>29.183144195194</v>
      </c>
      <c r="I128" s="11">
        <v>29.1501977525953</v>
      </c>
      <c r="J128" s="11">
        <v>29.1656088754183</v>
      </c>
      <c r="K128" s="13">
        <v>-1.4794882429330701E-3</v>
      </c>
      <c r="L128" s="13">
        <v>-3.4989597196707499E-4</v>
      </c>
      <c r="M128" s="13">
        <v>-8.7843614221712102E-4</v>
      </c>
      <c r="N128" s="25">
        <v>0</v>
      </c>
      <c r="O128" s="16">
        <v>0</v>
      </c>
      <c r="P128" s="16">
        <v>27.15</v>
      </c>
      <c r="Q128" s="16">
        <v>29.14</v>
      </c>
      <c r="R128" s="17">
        <v>1.07329650092081</v>
      </c>
      <c r="S128" s="17">
        <v>1.07488560571617</v>
      </c>
      <c r="T128" s="17">
        <v>1.0736011697416701</v>
      </c>
      <c r="U128" s="17">
        <v>1.0740927366729001</v>
      </c>
      <c r="V128" s="19">
        <v>29.183144195194</v>
      </c>
      <c r="W128" s="19">
        <v>29.1501977525953</v>
      </c>
      <c r="X128" s="19">
        <v>29.1656088754183</v>
      </c>
      <c r="Y128" s="20">
        <v>-1.4794882429330701E-3</v>
      </c>
      <c r="Z128" s="20">
        <v>-3.4989597196707499E-4</v>
      </c>
      <c r="AA128" s="20">
        <v>-8.7843614221712102E-4</v>
      </c>
      <c r="AC128" s="21">
        <f t="shared" si="19"/>
        <v>-2.2075064152105692E-3</v>
      </c>
      <c r="AD128" s="21">
        <f t="shared" si="19"/>
        <v>-1.3717423275807702E-3</v>
      </c>
      <c r="AE128" s="21"/>
      <c r="AF128" s="21"/>
      <c r="AG128" s="15"/>
      <c r="AH128">
        <f t="shared" si="21"/>
        <v>0</v>
      </c>
      <c r="AI128">
        <f t="shared" si="22"/>
        <v>0</v>
      </c>
      <c r="AJ128">
        <f t="shared" si="23"/>
        <v>1</v>
      </c>
      <c r="AK128">
        <f t="shared" si="20"/>
        <v>1</v>
      </c>
      <c r="AL128" s="21">
        <f t="shared" si="24"/>
        <v>2.2075064152105692E-3</v>
      </c>
      <c r="AM128" s="21">
        <f t="shared" si="25"/>
        <v>-1.3717423275807702E-3</v>
      </c>
      <c r="AN128" s="21">
        <f t="shared" si="26"/>
        <v>8.3576408762979894E-4</v>
      </c>
      <c r="AO128" s="22">
        <f t="shared" si="27"/>
        <v>3.3004827827907818E-3</v>
      </c>
      <c r="AQ128" s="21"/>
      <c r="AR128" s="15"/>
      <c r="AS128">
        <f t="shared" si="28"/>
        <v>0</v>
      </c>
      <c r="AT128">
        <f t="shared" si="29"/>
        <v>1</v>
      </c>
      <c r="AU128">
        <f t="shared" si="30"/>
        <v>0</v>
      </c>
      <c r="AV128">
        <f t="shared" si="31"/>
        <v>0</v>
      </c>
      <c r="AW128" s="21">
        <f t="shared" si="32"/>
        <v>0</v>
      </c>
      <c r="AX128" s="21">
        <f t="shared" si="33"/>
        <v>0</v>
      </c>
      <c r="AY128" s="21">
        <f t="shared" si="34"/>
        <v>0</v>
      </c>
      <c r="AZ128" s="22">
        <f t="shared" si="35"/>
        <v>8.4743024830261013E-3</v>
      </c>
      <c r="BB128" s="22">
        <f t="shared" si="36"/>
        <v>8.3576408762979894E-4</v>
      </c>
      <c r="BC128" s="22">
        <f t="shared" si="37"/>
        <v>1.1774785265816882E-2</v>
      </c>
    </row>
    <row r="129" spans="1:55" customFormat="1" x14ac:dyDescent="0.3">
      <c r="A129" s="1">
        <v>46211</v>
      </c>
      <c r="B129" s="11">
        <v>27.1</v>
      </c>
      <c r="C129" s="11">
        <v>29.05</v>
      </c>
      <c r="D129" s="12">
        <v>1.07195571955719</v>
      </c>
      <c r="E129" s="12">
        <v>1.07488560571617</v>
      </c>
      <c r="F129" s="12">
        <v>1.0734697902982699</v>
      </c>
      <c r="G129" s="12">
        <v>1.0739001101646899</v>
      </c>
      <c r="H129" s="11">
        <v>29.129399914908198</v>
      </c>
      <c r="I129" s="11">
        <v>29.094591699999199</v>
      </c>
      <c r="J129" s="11">
        <v>29.107913163835601</v>
      </c>
      <c r="K129" s="13">
        <v>-2.72948721778249E-3</v>
      </c>
      <c r="L129" s="13">
        <v>-1.5338213731588E-3</v>
      </c>
      <c r="M129" s="13">
        <v>-1.9915839419758002E-3</v>
      </c>
      <c r="N129" s="25">
        <v>0</v>
      </c>
      <c r="O129" s="16">
        <v>0</v>
      </c>
      <c r="P129" s="16">
        <v>27.1</v>
      </c>
      <c r="Q129" s="16">
        <v>29.05</v>
      </c>
      <c r="R129" s="17">
        <v>1.07195571955719</v>
      </c>
      <c r="S129" s="17">
        <v>1.07488560571617</v>
      </c>
      <c r="T129" s="17">
        <v>1.0734697902982699</v>
      </c>
      <c r="U129" s="17">
        <v>1.0739001101646899</v>
      </c>
      <c r="V129" s="19">
        <v>29.129399914908198</v>
      </c>
      <c r="W129" s="19">
        <v>29.094591699999199</v>
      </c>
      <c r="X129" s="19">
        <v>29.107913163835601</v>
      </c>
      <c r="Y129" s="20">
        <v>-2.72948721778249E-3</v>
      </c>
      <c r="Z129" s="20">
        <v>-1.5338213731588E-3</v>
      </c>
      <c r="AA129" s="20">
        <v>-1.9915839419758002E-3</v>
      </c>
      <c r="AC129" s="21">
        <f t="shared" si="19"/>
        <v>-1.8433184942891127E-3</v>
      </c>
      <c r="AD129" s="21">
        <f t="shared" si="19"/>
        <v>-3.0933174691385882E-3</v>
      </c>
      <c r="AE129" s="21"/>
      <c r="AF129" s="21"/>
      <c r="AG129" s="15"/>
      <c r="AH129">
        <f t="shared" si="21"/>
        <v>1</v>
      </c>
      <c r="AI129">
        <f t="shared" si="22"/>
        <v>0</v>
      </c>
      <c r="AJ129">
        <f t="shared" si="23"/>
        <v>1</v>
      </c>
      <c r="AK129">
        <f t="shared" si="20"/>
        <v>1</v>
      </c>
      <c r="AL129" s="21">
        <f t="shared" si="24"/>
        <v>1.8433184942891127E-3</v>
      </c>
      <c r="AM129" s="21">
        <f t="shared" si="25"/>
        <v>-3.0933174691385882E-3</v>
      </c>
      <c r="AN129" s="21">
        <f t="shared" si="26"/>
        <v>-1.2499989748494754E-3</v>
      </c>
      <c r="AO129" s="22">
        <f t="shared" si="27"/>
        <v>2.0504838079413064E-3</v>
      </c>
      <c r="AQ129" s="21"/>
      <c r="AR129" s="15"/>
      <c r="AS129">
        <f t="shared" si="28"/>
        <v>0</v>
      </c>
      <c r="AT129">
        <f t="shared" si="29"/>
        <v>1</v>
      </c>
      <c r="AU129">
        <f t="shared" si="30"/>
        <v>0</v>
      </c>
      <c r="AV129">
        <f t="shared" si="31"/>
        <v>0</v>
      </c>
      <c r="AW129" s="21">
        <f t="shared" si="32"/>
        <v>0</v>
      </c>
      <c r="AX129" s="21">
        <f t="shared" si="33"/>
        <v>0</v>
      </c>
      <c r="AY129" s="21">
        <f t="shared" si="34"/>
        <v>0</v>
      </c>
      <c r="AZ129" s="22">
        <f t="shared" si="35"/>
        <v>8.4743024830261013E-3</v>
      </c>
      <c r="BB129" s="22">
        <f t="shared" si="36"/>
        <v>-1.2499989748494754E-3</v>
      </c>
      <c r="BC129" s="22">
        <f t="shared" si="37"/>
        <v>1.0524786290967406E-2</v>
      </c>
    </row>
    <row r="130" spans="1:55" customFormat="1" x14ac:dyDescent="0.3">
      <c r="A130" s="1">
        <v>46212</v>
      </c>
      <c r="B130" s="11">
        <v>27.12</v>
      </c>
      <c r="C130" s="11">
        <v>29.09</v>
      </c>
      <c r="D130" s="12">
        <v>1.0726401179941001</v>
      </c>
      <c r="E130" s="12">
        <v>1.07488560571617</v>
      </c>
      <c r="F130" s="12">
        <v>1.0733386586098199</v>
      </c>
      <c r="G130" s="12">
        <v>1.07376867520418</v>
      </c>
      <c r="H130" s="11">
        <v>29.150897627022498</v>
      </c>
      <c r="I130" s="11">
        <v>29.112500712889201</v>
      </c>
      <c r="J130" s="11">
        <v>29.124170987666599</v>
      </c>
      <c r="K130" s="13">
        <v>-2.0912331951320599E-3</v>
      </c>
      <c r="L130" s="13">
        <v>-7.7318719074108899E-4</v>
      </c>
      <c r="M130" s="13">
        <v>-1.1739750308722499E-3</v>
      </c>
      <c r="N130" s="25">
        <v>0</v>
      </c>
      <c r="O130" s="16">
        <v>0</v>
      </c>
      <c r="P130" s="16">
        <v>27.12</v>
      </c>
      <c r="Q130" s="16">
        <v>29.09</v>
      </c>
      <c r="R130" s="17">
        <v>1.0726401179941001</v>
      </c>
      <c r="S130" s="17">
        <v>1.07488560571617</v>
      </c>
      <c r="T130" s="17">
        <v>1.0733386586098199</v>
      </c>
      <c r="U130" s="17">
        <v>1.07376867520418</v>
      </c>
      <c r="V130" s="19">
        <v>29.150897627022498</v>
      </c>
      <c r="W130" s="19">
        <v>29.112500712889201</v>
      </c>
      <c r="X130" s="19">
        <v>29.124170987666599</v>
      </c>
      <c r="Y130" s="20">
        <v>-2.0912331951320599E-3</v>
      </c>
      <c r="Z130" s="20">
        <v>-7.7318719074108899E-4</v>
      </c>
      <c r="AA130" s="20">
        <v>-1.1739750308722499E-3</v>
      </c>
      <c r="AC130" s="21">
        <f t="shared" si="19"/>
        <v>7.377351865395941E-4</v>
      </c>
      <c r="AD130" s="21">
        <f t="shared" si="19"/>
        <v>1.3759892091900082E-3</v>
      </c>
      <c r="AE130" s="21"/>
      <c r="AF130" s="21"/>
      <c r="AG130" s="15"/>
      <c r="AH130">
        <f t="shared" si="21"/>
        <v>1</v>
      </c>
      <c r="AI130">
        <f t="shared" si="22"/>
        <v>0</v>
      </c>
      <c r="AJ130">
        <f t="shared" si="23"/>
        <v>1</v>
      </c>
      <c r="AK130">
        <f t="shared" si="20"/>
        <v>1</v>
      </c>
      <c r="AL130" s="21">
        <f t="shared" si="24"/>
        <v>-7.377351865395941E-4</v>
      </c>
      <c r="AM130" s="21">
        <f t="shared" si="25"/>
        <v>1.3759892091900082E-3</v>
      </c>
      <c r="AN130" s="21">
        <f t="shared" si="26"/>
        <v>6.3825402265041409E-4</v>
      </c>
      <c r="AO130" s="22">
        <f t="shared" si="27"/>
        <v>2.6887378305917205E-3</v>
      </c>
      <c r="AQ130" s="21"/>
      <c r="AR130" s="15"/>
      <c r="AS130">
        <f t="shared" si="28"/>
        <v>0</v>
      </c>
      <c r="AT130">
        <f t="shared" si="29"/>
        <v>1</v>
      </c>
      <c r="AU130">
        <f t="shared" si="30"/>
        <v>0</v>
      </c>
      <c r="AV130">
        <f t="shared" si="31"/>
        <v>0</v>
      </c>
      <c r="AW130" s="21">
        <f t="shared" si="32"/>
        <v>0</v>
      </c>
      <c r="AX130" s="21">
        <f t="shared" si="33"/>
        <v>0</v>
      </c>
      <c r="AY130" s="21">
        <f t="shared" si="34"/>
        <v>0</v>
      </c>
      <c r="AZ130" s="22">
        <f t="shared" si="35"/>
        <v>8.4743024830261013E-3</v>
      </c>
      <c r="BB130" s="22">
        <f t="shared" si="36"/>
        <v>6.3825402265041409E-4</v>
      </c>
      <c r="BC130" s="22">
        <f t="shared" si="37"/>
        <v>1.116304031361782E-2</v>
      </c>
    </row>
    <row r="131" spans="1:55" customFormat="1" x14ac:dyDescent="0.3">
      <c r="A131" s="1">
        <v>46213</v>
      </c>
      <c r="B131" s="11">
        <v>27.09</v>
      </c>
      <c r="C131" s="11">
        <v>29.03</v>
      </c>
      <c r="D131" s="12">
        <v>1.0716131413805801</v>
      </c>
      <c r="E131" s="12">
        <v>1.07488560571617</v>
      </c>
      <c r="F131" s="12">
        <v>1.07307895878756</v>
      </c>
      <c r="G131" s="12">
        <v>1.0735746948615399</v>
      </c>
      <c r="H131" s="11">
        <v>29.118651058851</v>
      </c>
      <c r="I131" s="11">
        <v>29.0767442617401</v>
      </c>
      <c r="J131" s="11">
        <v>29.088393411281402</v>
      </c>
      <c r="K131" s="13">
        <v>-3.0491206905126902E-3</v>
      </c>
      <c r="L131" s="13">
        <v>-1.60891037409056E-3</v>
      </c>
      <c r="M131" s="13">
        <v>-2.0094647323569402E-3</v>
      </c>
      <c r="N131" s="25">
        <v>0</v>
      </c>
      <c r="O131" s="16">
        <v>0</v>
      </c>
      <c r="P131" s="16">
        <v>27.09</v>
      </c>
      <c r="Q131" s="16">
        <v>29.03</v>
      </c>
      <c r="R131" s="17">
        <v>1.0716131413805801</v>
      </c>
      <c r="S131" s="17">
        <v>1.07488560571617</v>
      </c>
      <c r="T131" s="17">
        <v>1.07307895878756</v>
      </c>
      <c r="U131" s="17">
        <v>1.0735746948615399</v>
      </c>
      <c r="V131" s="19">
        <v>29.118651058851</v>
      </c>
      <c r="W131" s="19">
        <v>29.0767442617401</v>
      </c>
      <c r="X131" s="19">
        <v>29.088393411281402</v>
      </c>
      <c r="Y131" s="20">
        <v>-3.0491206905126902E-3</v>
      </c>
      <c r="Z131" s="20">
        <v>-1.60891037409056E-3</v>
      </c>
      <c r="AA131" s="20">
        <v>-2.0094647323569402E-3</v>
      </c>
      <c r="AC131" s="21">
        <f t="shared" si="19"/>
        <v>-1.1068069751911064E-3</v>
      </c>
      <c r="AD131" s="21">
        <f t="shared" si="19"/>
        <v>-2.0646944705717102E-3</v>
      </c>
      <c r="AE131" s="21"/>
      <c r="AF131" s="21"/>
      <c r="AG131" s="15"/>
      <c r="AH131">
        <f t="shared" si="21"/>
        <v>1</v>
      </c>
      <c r="AI131">
        <f t="shared" si="22"/>
        <v>0</v>
      </c>
      <c r="AJ131">
        <f t="shared" si="23"/>
        <v>1</v>
      </c>
      <c r="AK131">
        <f t="shared" si="20"/>
        <v>1</v>
      </c>
      <c r="AL131" s="21">
        <f t="shared" si="24"/>
        <v>1.1068069751911064E-3</v>
      </c>
      <c r="AM131" s="21">
        <f t="shared" si="25"/>
        <v>-2.0646944705717102E-3</v>
      </c>
      <c r="AN131" s="21">
        <f t="shared" si="26"/>
        <v>-9.5788749538060387E-4</v>
      </c>
      <c r="AO131" s="22">
        <f t="shared" si="27"/>
        <v>1.7308503352111166E-3</v>
      </c>
      <c r="AQ131" s="21"/>
      <c r="AR131" s="15"/>
      <c r="AS131">
        <f t="shared" si="28"/>
        <v>0</v>
      </c>
      <c r="AT131">
        <f t="shared" si="29"/>
        <v>1</v>
      </c>
      <c r="AU131">
        <f t="shared" si="30"/>
        <v>0</v>
      </c>
      <c r="AV131">
        <f t="shared" si="31"/>
        <v>0</v>
      </c>
      <c r="AW131" s="21">
        <f t="shared" si="32"/>
        <v>0</v>
      </c>
      <c r="AX131" s="21">
        <f t="shared" si="33"/>
        <v>0</v>
      </c>
      <c r="AY131" s="21">
        <f t="shared" si="34"/>
        <v>0</v>
      </c>
      <c r="AZ131" s="22">
        <f t="shared" si="35"/>
        <v>8.4743024830261013E-3</v>
      </c>
      <c r="BB131" s="22">
        <f t="shared" si="36"/>
        <v>-9.5788749538060387E-4</v>
      </c>
      <c r="BC131" s="22">
        <f t="shared" si="37"/>
        <v>1.0205152818237216E-2</v>
      </c>
    </row>
    <row r="132" spans="1:55" customFormat="1" x14ac:dyDescent="0.3">
      <c r="A132" s="1">
        <v>46216</v>
      </c>
      <c r="B132" s="11">
        <v>27</v>
      </c>
      <c r="C132" s="11">
        <v>28.96</v>
      </c>
      <c r="D132" s="12">
        <v>1.0725925925925901</v>
      </c>
      <c r="E132" s="12">
        <v>1.07488560571617</v>
      </c>
      <c r="F132" s="12">
        <v>1.0728722379070601</v>
      </c>
      <c r="G132" s="12">
        <v>1.0734561708722601</v>
      </c>
      <c r="H132" s="11">
        <v>29.021911354336599</v>
      </c>
      <c r="I132" s="11">
        <v>28.973131887264099</v>
      </c>
      <c r="J132" s="11">
        <v>28.986516761261601</v>
      </c>
      <c r="K132" s="13">
        <v>-2.1355411168609301E-3</v>
      </c>
      <c r="L132" s="13">
        <v>-4.5334636886564097E-4</v>
      </c>
      <c r="M132" s="13">
        <v>-9.1521508434293101E-4</v>
      </c>
      <c r="N132" s="25">
        <v>0</v>
      </c>
      <c r="O132" s="16">
        <v>0</v>
      </c>
      <c r="P132" s="16">
        <v>27</v>
      </c>
      <c r="Q132" s="16">
        <v>28.96</v>
      </c>
      <c r="R132" s="17">
        <v>1.0725925925925901</v>
      </c>
      <c r="S132" s="17">
        <v>1.07488560571617</v>
      </c>
      <c r="T132" s="17">
        <v>1.0728722379070601</v>
      </c>
      <c r="U132" s="17">
        <v>1.0734561708722601</v>
      </c>
      <c r="V132" s="19">
        <v>29.021911354336599</v>
      </c>
      <c r="W132" s="19">
        <v>28.973131887264099</v>
      </c>
      <c r="X132" s="19">
        <v>28.986516761261601</v>
      </c>
      <c r="Y132" s="20">
        <v>-2.1355411168609301E-3</v>
      </c>
      <c r="Z132" s="20">
        <v>-4.5334636886564097E-4</v>
      </c>
      <c r="AA132" s="20">
        <v>-9.1521508434293101E-4</v>
      </c>
      <c r="AC132" s="21">
        <f t="shared" ref="AC132:AD156" si="38">LN(B132/B131)</f>
        <v>-3.327790092674691E-3</v>
      </c>
      <c r="AD132" s="21">
        <f t="shared" si="38"/>
        <v>-2.4142105190229301E-3</v>
      </c>
      <c r="AE132" s="21"/>
      <c r="AF132" s="21"/>
      <c r="AG132" s="15"/>
      <c r="AH132">
        <f t="shared" si="21"/>
        <v>0</v>
      </c>
      <c r="AI132">
        <f t="shared" si="22"/>
        <v>0</v>
      </c>
      <c r="AJ132">
        <f t="shared" si="23"/>
        <v>1</v>
      </c>
      <c r="AK132">
        <f t="shared" si="20"/>
        <v>1</v>
      </c>
      <c r="AL132" s="21">
        <f t="shared" si="24"/>
        <v>3.327790092674691E-3</v>
      </c>
      <c r="AM132" s="21">
        <f t="shared" si="25"/>
        <v>-2.4142105190229301E-3</v>
      </c>
      <c r="AN132" s="21">
        <f t="shared" si="26"/>
        <v>9.1357957365176094E-4</v>
      </c>
      <c r="AO132" s="22">
        <f t="shared" si="27"/>
        <v>2.6444299088628775E-3</v>
      </c>
      <c r="AQ132" s="21"/>
      <c r="AR132" s="15"/>
      <c r="AS132">
        <f t="shared" si="28"/>
        <v>0</v>
      </c>
      <c r="AT132">
        <f t="shared" si="29"/>
        <v>1</v>
      </c>
      <c r="AU132">
        <f t="shared" si="30"/>
        <v>0</v>
      </c>
      <c r="AV132">
        <f t="shared" si="31"/>
        <v>0</v>
      </c>
      <c r="AW132" s="21">
        <f t="shared" si="32"/>
        <v>0</v>
      </c>
      <c r="AX132" s="21">
        <f t="shared" si="33"/>
        <v>0</v>
      </c>
      <c r="AY132" s="21">
        <f t="shared" si="34"/>
        <v>0</v>
      </c>
      <c r="AZ132" s="22">
        <f t="shared" si="35"/>
        <v>8.4743024830261013E-3</v>
      </c>
      <c r="BB132" s="22">
        <f t="shared" si="36"/>
        <v>9.1357957365176094E-4</v>
      </c>
      <c r="BC132" s="22">
        <f t="shared" si="37"/>
        <v>1.1118732391888977E-2</v>
      </c>
    </row>
    <row r="133" spans="1:55" customFormat="1" x14ac:dyDescent="0.3">
      <c r="A133" s="1">
        <v>46217</v>
      </c>
      <c r="B133" s="11">
        <v>27.07</v>
      </c>
      <c r="C133" s="11">
        <v>29.03</v>
      </c>
      <c r="D133" s="12">
        <v>1.07240487624676</v>
      </c>
      <c r="E133" s="12">
        <v>1.07488560571617</v>
      </c>
      <c r="F133" s="12">
        <v>1.0726944368795099</v>
      </c>
      <c r="G133" s="12">
        <v>1.0733296446587599</v>
      </c>
      <c r="H133" s="11">
        <v>29.0971533467367</v>
      </c>
      <c r="I133" s="11">
        <v>29.042651480144102</v>
      </c>
      <c r="J133" s="11">
        <v>29.058458545512099</v>
      </c>
      <c r="K133" s="13">
        <v>-2.31056821971874E-3</v>
      </c>
      <c r="L133" s="13">
        <v>-4.3571216474140801E-4</v>
      </c>
      <c r="M133" s="13">
        <v>-9.7983484160607298E-4</v>
      </c>
      <c r="N133" s="25">
        <v>0</v>
      </c>
      <c r="O133" s="16">
        <v>0</v>
      </c>
      <c r="P133" s="16">
        <v>27.07</v>
      </c>
      <c r="Q133" s="16">
        <v>29.03</v>
      </c>
      <c r="R133" s="17">
        <v>1.07240487624676</v>
      </c>
      <c r="S133" s="17">
        <v>1.07488560571617</v>
      </c>
      <c r="T133" s="17">
        <v>1.0726944368795099</v>
      </c>
      <c r="U133" s="17">
        <v>1.0733296446587599</v>
      </c>
      <c r="V133" s="19">
        <v>29.0971533467367</v>
      </c>
      <c r="W133" s="19">
        <v>29.042651480144102</v>
      </c>
      <c r="X133" s="19">
        <v>29.058458545512099</v>
      </c>
      <c r="Y133" s="20">
        <v>-2.31056821971874E-3</v>
      </c>
      <c r="Z133" s="20">
        <v>-4.3571216474140801E-4</v>
      </c>
      <c r="AA133" s="20">
        <v>-9.7983484160607298E-4</v>
      </c>
      <c r="AC133" s="21">
        <f t="shared" si="38"/>
        <v>2.5892376218808496E-3</v>
      </c>
      <c r="AD133" s="21">
        <f t="shared" si="38"/>
        <v>2.4142105190228806E-3</v>
      </c>
      <c r="AE133" s="21"/>
      <c r="AF133" s="21"/>
      <c r="AG133" s="15"/>
      <c r="AH133">
        <f t="shared" si="21"/>
        <v>0</v>
      </c>
      <c r="AI133">
        <f t="shared" si="22"/>
        <v>0</v>
      </c>
      <c r="AJ133">
        <f t="shared" si="23"/>
        <v>1</v>
      </c>
      <c r="AK133">
        <f t="shared" si="20"/>
        <v>1</v>
      </c>
      <c r="AL133" s="21">
        <f t="shared" si="24"/>
        <v>-2.5892376218808496E-3</v>
      </c>
      <c r="AM133" s="21">
        <f t="shared" si="25"/>
        <v>2.4142105190228806E-3</v>
      </c>
      <c r="AN133" s="21">
        <f t="shared" si="26"/>
        <v>-1.7502710285796901E-4</v>
      </c>
      <c r="AO133" s="22">
        <f t="shared" si="27"/>
        <v>2.4694028060049085E-3</v>
      </c>
      <c r="AQ133" s="21"/>
      <c r="AR133" s="15"/>
      <c r="AS133">
        <f t="shared" si="28"/>
        <v>0</v>
      </c>
      <c r="AT133">
        <f t="shared" si="29"/>
        <v>1</v>
      </c>
      <c r="AU133">
        <f t="shared" si="30"/>
        <v>0</v>
      </c>
      <c r="AV133">
        <f t="shared" si="31"/>
        <v>0</v>
      </c>
      <c r="AW133" s="21">
        <f t="shared" si="32"/>
        <v>0</v>
      </c>
      <c r="AX133" s="21">
        <f t="shared" si="33"/>
        <v>0</v>
      </c>
      <c r="AY133" s="21">
        <f t="shared" si="34"/>
        <v>0</v>
      </c>
      <c r="AZ133" s="22">
        <f t="shared" si="35"/>
        <v>8.4743024830261013E-3</v>
      </c>
      <c r="BB133" s="22">
        <f t="shared" si="36"/>
        <v>-1.7502710285796901E-4</v>
      </c>
      <c r="BC133" s="22">
        <f t="shared" si="37"/>
        <v>1.0943705289031009E-2</v>
      </c>
    </row>
    <row r="134" spans="1:55" customFormat="1" x14ac:dyDescent="0.3">
      <c r="A134" s="1">
        <v>46218</v>
      </c>
      <c r="B134" s="11">
        <v>27.14</v>
      </c>
      <c r="C134" s="11">
        <v>29.07</v>
      </c>
      <c r="D134" s="12">
        <v>1.07111274871039</v>
      </c>
      <c r="E134" s="12">
        <v>1.07488560571617</v>
      </c>
      <c r="F134" s="12">
        <v>1.07246356784453</v>
      </c>
      <c r="G134" s="12">
        <v>1.0731467922231901</v>
      </c>
      <c r="H134" s="11">
        <v>29.172395339136798</v>
      </c>
      <c r="I134" s="11">
        <v>29.112927016910099</v>
      </c>
      <c r="J134" s="11">
        <v>29.130166556038802</v>
      </c>
      <c r="K134" s="13">
        <v>-3.5161824659859999E-3</v>
      </c>
      <c r="L134" s="13">
        <v>-1.47558835211604E-3</v>
      </c>
      <c r="M134" s="13">
        <v>-2.06757406491328E-3</v>
      </c>
      <c r="N134" s="25">
        <v>0</v>
      </c>
      <c r="O134" s="16">
        <v>0</v>
      </c>
      <c r="P134" s="16">
        <v>27.14</v>
      </c>
      <c r="Q134" s="16">
        <v>29.07</v>
      </c>
      <c r="R134" s="17">
        <v>1.07111274871039</v>
      </c>
      <c r="S134" s="17">
        <v>1.07488560571617</v>
      </c>
      <c r="T134" s="17">
        <v>1.07246356784453</v>
      </c>
      <c r="U134" s="17">
        <v>1.0731467922231901</v>
      </c>
      <c r="V134" s="19">
        <v>29.172395339136798</v>
      </c>
      <c r="W134" s="19">
        <v>29.112927016910099</v>
      </c>
      <c r="X134" s="19">
        <v>29.130166556038802</v>
      </c>
      <c r="Y134" s="20">
        <v>-3.5161824659859999E-3</v>
      </c>
      <c r="Z134" s="20">
        <v>-1.47558835211604E-3</v>
      </c>
      <c r="AA134" s="20">
        <v>-2.06757406491328E-3</v>
      </c>
      <c r="AC134" s="21">
        <f t="shared" si="38"/>
        <v>2.5825507805133183E-3</v>
      </c>
      <c r="AD134" s="21">
        <f t="shared" si="38"/>
        <v>1.3769365342459171E-3</v>
      </c>
      <c r="AE134" s="21"/>
      <c r="AF134" s="21"/>
      <c r="AG134" s="15"/>
      <c r="AH134">
        <f t="shared" si="21"/>
        <v>1</v>
      </c>
      <c r="AI134">
        <f t="shared" si="22"/>
        <v>0</v>
      </c>
      <c r="AJ134">
        <f t="shared" si="23"/>
        <v>1</v>
      </c>
      <c r="AK134">
        <f t="shared" si="20"/>
        <v>1</v>
      </c>
      <c r="AL134" s="21">
        <f t="shared" si="24"/>
        <v>-2.5825507805133183E-3</v>
      </c>
      <c r="AM134" s="21">
        <f t="shared" si="25"/>
        <v>1.3769365342459171E-3</v>
      </c>
      <c r="AN134" s="21">
        <f t="shared" si="26"/>
        <v>-1.2056142462674013E-3</v>
      </c>
      <c r="AO134" s="22">
        <f t="shared" si="27"/>
        <v>1.2637885597375073E-3</v>
      </c>
      <c r="AQ134" s="21"/>
      <c r="AR134" s="15"/>
      <c r="AS134">
        <f t="shared" si="28"/>
        <v>0</v>
      </c>
      <c r="AT134">
        <f t="shared" si="29"/>
        <v>1</v>
      </c>
      <c r="AU134">
        <f t="shared" si="30"/>
        <v>0</v>
      </c>
      <c r="AV134">
        <f t="shared" si="31"/>
        <v>0</v>
      </c>
      <c r="AW134" s="21">
        <f t="shared" si="32"/>
        <v>0</v>
      </c>
      <c r="AX134" s="21">
        <f t="shared" si="33"/>
        <v>0</v>
      </c>
      <c r="AY134" s="21">
        <f t="shared" si="34"/>
        <v>0</v>
      </c>
      <c r="AZ134" s="22">
        <f t="shared" si="35"/>
        <v>8.4743024830261013E-3</v>
      </c>
      <c r="BB134" s="22">
        <f t="shared" si="36"/>
        <v>-1.2056142462674013E-3</v>
      </c>
      <c r="BC134" s="22">
        <f t="shared" si="37"/>
        <v>9.7380910427636077E-3</v>
      </c>
    </row>
    <row r="135" spans="1:55" customFormat="1" x14ac:dyDescent="0.3">
      <c r="A135" s="1">
        <v>46219</v>
      </c>
      <c r="B135" s="11">
        <v>27.12</v>
      </c>
      <c r="C135" s="11">
        <v>29.06</v>
      </c>
      <c r="D135" s="12">
        <v>1.0715339233038299</v>
      </c>
      <c r="E135" s="12">
        <v>1.07488560571617</v>
      </c>
      <c r="F135" s="12">
        <v>1.07227920206282</v>
      </c>
      <c r="G135" s="12">
        <v>1.0730245557420801</v>
      </c>
      <c r="H135" s="11">
        <v>29.150897627022498</v>
      </c>
      <c r="I135" s="11">
        <v>29.085211959943798</v>
      </c>
      <c r="J135" s="11">
        <v>29.103741005092999</v>
      </c>
      <c r="K135" s="13">
        <v>-3.1230475601054298E-3</v>
      </c>
      <c r="L135" s="13">
        <v>-8.6720679739696002E-4</v>
      </c>
      <c r="M135" s="13">
        <v>-1.5040646486330299E-3</v>
      </c>
      <c r="N135" s="25">
        <v>0</v>
      </c>
      <c r="O135" s="16">
        <v>0</v>
      </c>
      <c r="P135" s="16">
        <v>27.12</v>
      </c>
      <c r="Q135" s="16">
        <v>29.06</v>
      </c>
      <c r="R135" s="17">
        <v>1.0715339233038299</v>
      </c>
      <c r="S135" s="17">
        <v>1.07488560571617</v>
      </c>
      <c r="T135" s="17">
        <v>1.07227920206282</v>
      </c>
      <c r="U135" s="17">
        <v>1.0730245557420801</v>
      </c>
      <c r="V135" s="19">
        <v>29.150897627022498</v>
      </c>
      <c r="W135" s="19">
        <v>29.085211959943798</v>
      </c>
      <c r="X135" s="19">
        <v>29.103741005092999</v>
      </c>
      <c r="Y135" s="20">
        <v>-3.1230475601054298E-3</v>
      </c>
      <c r="Z135" s="20">
        <v>-8.6720679739696002E-4</v>
      </c>
      <c r="AA135" s="20">
        <v>-1.5040646486330299E-3</v>
      </c>
      <c r="AC135" s="21">
        <f t="shared" si="38"/>
        <v>-7.3719133452820754E-4</v>
      </c>
      <c r="AD135" s="21">
        <f t="shared" si="38"/>
        <v>-3.4405642864772623E-4</v>
      </c>
      <c r="AE135" s="21"/>
      <c r="AF135" s="21"/>
      <c r="AG135" s="15"/>
      <c r="AH135">
        <f t="shared" si="21"/>
        <v>1</v>
      </c>
      <c r="AI135">
        <f t="shared" si="22"/>
        <v>0</v>
      </c>
      <c r="AJ135">
        <f t="shared" si="23"/>
        <v>1</v>
      </c>
      <c r="AK135">
        <f t="shared" si="20"/>
        <v>1</v>
      </c>
      <c r="AL135" s="21">
        <f t="shared" si="24"/>
        <v>7.3719133452820754E-4</v>
      </c>
      <c r="AM135" s="21">
        <f t="shared" si="25"/>
        <v>-3.4405642864772623E-4</v>
      </c>
      <c r="AN135" s="21">
        <f t="shared" si="26"/>
        <v>3.9313490588048131E-4</v>
      </c>
      <c r="AO135" s="22">
        <f t="shared" si="27"/>
        <v>1.6569234656179886E-3</v>
      </c>
      <c r="AQ135" s="21"/>
      <c r="AR135" s="15"/>
      <c r="AS135">
        <f t="shared" si="28"/>
        <v>0</v>
      </c>
      <c r="AT135">
        <f t="shared" si="29"/>
        <v>1</v>
      </c>
      <c r="AU135">
        <f t="shared" si="30"/>
        <v>0</v>
      </c>
      <c r="AV135">
        <f t="shared" si="31"/>
        <v>0</v>
      </c>
      <c r="AW135" s="21">
        <f t="shared" si="32"/>
        <v>0</v>
      </c>
      <c r="AX135" s="21">
        <f t="shared" si="33"/>
        <v>0</v>
      </c>
      <c r="AY135" s="21">
        <f t="shared" si="34"/>
        <v>0</v>
      </c>
      <c r="AZ135" s="22">
        <f t="shared" si="35"/>
        <v>8.4743024830261013E-3</v>
      </c>
      <c r="BB135" s="22">
        <f t="shared" si="36"/>
        <v>3.9313490588048131E-4</v>
      </c>
      <c r="BC135" s="22">
        <f t="shared" si="37"/>
        <v>1.0131225948644089E-2</v>
      </c>
    </row>
    <row r="136" spans="1:55" customFormat="1" x14ac:dyDescent="0.3">
      <c r="A136" s="1">
        <v>46220</v>
      </c>
      <c r="B136" s="11">
        <v>27.12</v>
      </c>
      <c r="C136" s="11">
        <v>29.05</v>
      </c>
      <c r="D136" s="12">
        <v>1.0711651917404099</v>
      </c>
      <c r="E136" s="12">
        <v>1.07488560571617</v>
      </c>
      <c r="F136" s="12">
        <v>1.0720714665441899</v>
      </c>
      <c r="G136" s="12">
        <v>1.0729112286132301</v>
      </c>
      <c r="H136" s="11">
        <v>29.150897627022498</v>
      </c>
      <c r="I136" s="11">
        <v>29.080211959943799</v>
      </c>
      <c r="J136" s="11">
        <v>29.100425951725299</v>
      </c>
      <c r="K136" s="13">
        <v>-3.4672224043220201E-3</v>
      </c>
      <c r="L136" s="13">
        <v>-1.03945819722512E-3</v>
      </c>
      <c r="M136" s="13">
        <v>-1.7343282887349401E-3</v>
      </c>
      <c r="N136" s="25">
        <v>0</v>
      </c>
      <c r="O136" s="16">
        <v>0</v>
      </c>
      <c r="P136" s="16">
        <v>27.12</v>
      </c>
      <c r="Q136" s="16">
        <v>29.05</v>
      </c>
      <c r="R136" s="17">
        <v>1.0711651917404099</v>
      </c>
      <c r="S136" s="17">
        <v>1.07488560571617</v>
      </c>
      <c r="T136" s="17">
        <v>1.0720714665441899</v>
      </c>
      <c r="U136" s="17">
        <v>1.0729112286132301</v>
      </c>
      <c r="V136" s="19">
        <v>29.150897627022498</v>
      </c>
      <c r="W136" s="19">
        <v>29.080211959943799</v>
      </c>
      <c r="X136" s="19">
        <v>29.100425951725299</v>
      </c>
      <c r="Y136" s="20">
        <v>-3.4672224043220201E-3</v>
      </c>
      <c r="Z136" s="20">
        <v>-1.03945819722512E-3</v>
      </c>
      <c r="AA136" s="20">
        <v>-1.7343282887349401E-3</v>
      </c>
      <c r="AC136" s="21">
        <f t="shared" si="38"/>
        <v>0</v>
      </c>
      <c r="AD136" s="21">
        <f t="shared" si="38"/>
        <v>-3.441748442165274E-4</v>
      </c>
      <c r="AE136" s="21"/>
      <c r="AF136" s="21"/>
      <c r="AG136" s="15"/>
      <c r="AH136">
        <f t="shared" si="21"/>
        <v>1</v>
      </c>
      <c r="AI136">
        <f t="shared" si="22"/>
        <v>0</v>
      </c>
      <c r="AJ136">
        <f t="shared" si="23"/>
        <v>1</v>
      </c>
      <c r="AK136">
        <f t="shared" si="20"/>
        <v>1</v>
      </c>
      <c r="AL136" s="21">
        <f t="shared" si="24"/>
        <v>0</v>
      </c>
      <c r="AM136" s="21">
        <f t="shared" si="25"/>
        <v>-3.441748442165274E-4</v>
      </c>
      <c r="AN136" s="21">
        <f t="shared" si="26"/>
        <v>-3.441748442165274E-4</v>
      </c>
      <c r="AO136" s="22">
        <f t="shared" si="27"/>
        <v>1.3127486214014612E-3</v>
      </c>
      <c r="AQ136" s="21"/>
      <c r="AR136" s="15"/>
      <c r="AS136">
        <f t="shared" si="28"/>
        <v>0</v>
      </c>
      <c r="AT136">
        <f t="shared" si="29"/>
        <v>1</v>
      </c>
      <c r="AU136">
        <f t="shared" si="30"/>
        <v>0</v>
      </c>
      <c r="AV136">
        <f t="shared" si="31"/>
        <v>0</v>
      </c>
      <c r="AW136" s="21">
        <f t="shared" si="32"/>
        <v>0</v>
      </c>
      <c r="AX136" s="21">
        <f t="shared" si="33"/>
        <v>0</v>
      </c>
      <c r="AY136" s="21">
        <f t="shared" si="34"/>
        <v>0</v>
      </c>
      <c r="AZ136" s="22">
        <f t="shared" si="35"/>
        <v>8.4743024830261013E-3</v>
      </c>
      <c r="BB136" s="22">
        <f t="shared" si="36"/>
        <v>-3.441748442165274E-4</v>
      </c>
      <c r="BC136" s="22">
        <f t="shared" si="37"/>
        <v>9.7870511044275618E-3</v>
      </c>
    </row>
    <row r="137" spans="1:55" customFormat="1" x14ac:dyDescent="0.3">
      <c r="A137" s="1">
        <v>46223</v>
      </c>
      <c r="B137" s="11">
        <v>27.07</v>
      </c>
      <c r="C137" s="11">
        <v>29.03</v>
      </c>
      <c r="D137" s="12">
        <v>1.07240487624676</v>
      </c>
      <c r="E137" s="12">
        <v>1.07488560571617</v>
      </c>
      <c r="F137" s="12">
        <v>1.0720719688693401</v>
      </c>
      <c r="G137" s="12">
        <v>1.0728720388102699</v>
      </c>
      <c r="H137" s="11">
        <v>29.0971533467367</v>
      </c>
      <c r="I137" s="11">
        <v>29.020974599351199</v>
      </c>
      <c r="J137" s="11">
        <v>29.0437069585603</v>
      </c>
      <c r="K137" s="13">
        <v>-2.31056821971874E-3</v>
      </c>
      <c r="L137" s="13">
        <v>3.1094743141736299E-4</v>
      </c>
      <c r="M137" s="13">
        <v>-4.7205386164529201E-4</v>
      </c>
      <c r="N137" s="25">
        <v>0</v>
      </c>
      <c r="O137" s="16">
        <v>0</v>
      </c>
      <c r="P137" s="16">
        <v>27.07</v>
      </c>
      <c r="Q137" s="16">
        <v>29.03</v>
      </c>
      <c r="R137" s="17">
        <v>1.07240487624676</v>
      </c>
      <c r="S137" s="17">
        <v>1.07488560571617</v>
      </c>
      <c r="T137" s="17">
        <v>1.0720719688693401</v>
      </c>
      <c r="U137" s="17">
        <v>1.0728720388102699</v>
      </c>
      <c r="V137" s="19">
        <v>29.0971533467367</v>
      </c>
      <c r="W137" s="19">
        <v>29.020974599351199</v>
      </c>
      <c r="X137" s="19">
        <v>29.0437069585603</v>
      </c>
      <c r="Y137" s="20">
        <v>-2.31056821971874E-3</v>
      </c>
      <c r="Z137" s="20">
        <v>3.1094743141736299E-4</v>
      </c>
      <c r="AA137" s="20">
        <v>-4.7205386164529201E-4</v>
      </c>
      <c r="AC137" s="21">
        <f t="shared" si="38"/>
        <v>-1.8453594459850173E-3</v>
      </c>
      <c r="AD137" s="21">
        <f t="shared" si="38"/>
        <v>-6.8870526138170053E-4</v>
      </c>
      <c r="AE137" s="21"/>
      <c r="AF137" s="21"/>
      <c r="AG137" s="15"/>
      <c r="AH137">
        <f t="shared" si="21"/>
        <v>0</v>
      </c>
      <c r="AI137">
        <f t="shared" si="22"/>
        <v>0</v>
      </c>
      <c r="AJ137">
        <f t="shared" si="23"/>
        <v>1</v>
      </c>
      <c r="AK137">
        <f t="shared" si="20"/>
        <v>1</v>
      </c>
      <c r="AL137" s="21">
        <f t="shared" si="24"/>
        <v>1.8453594459850173E-3</v>
      </c>
      <c r="AM137" s="21">
        <f t="shared" si="25"/>
        <v>-6.8870526138170053E-4</v>
      </c>
      <c r="AN137" s="21">
        <f t="shared" si="26"/>
        <v>1.1566541846033168E-3</v>
      </c>
      <c r="AO137" s="22">
        <f t="shared" si="27"/>
        <v>2.469402806004778E-3</v>
      </c>
      <c r="AQ137" s="21"/>
      <c r="AR137" s="15"/>
      <c r="AS137">
        <f t="shared" si="28"/>
        <v>0</v>
      </c>
      <c r="AT137">
        <f t="shared" si="29"/>
        <v>1</v>
      </c>
      <c r="AU137">
        <f t="shared" si="30"/>
        <v>0</v>
      </c>
      <c r="AV137">
        <f t="shared" si="31"/>
        <v>0</v>
      </c>
      <c r="AW137" s="21">
        <f t="shared" si="32"/>
        <v>0</v>
      </c>
      <c r="AX137" s="21">
        <f t="shared" si="33"/>
        <v>0</v>
      </c>
      <c r="AY137" s="21">
        <f t="shared" si="34"/>
        <v>0</v>
      </c>
      <c r="AZ137" s="22">
        <f t="shared" si="35"/>
        <v>8.4743024830261013E-3</v>
      </c>
      <c r="BB137" s="22">
        <f t="shared" si="36"/>
        <v>1.1566541846033168E-3</v>
      </c>
      <c r="BC137" s="22">
        <f t="shared" si="37"/>
        <v>1.0943705289030879E-2</v>
      </c>
    </row>
    <row r="138" spans="1:55" customFormat="1" x14ac:dyDescent="0.3">
      <c r="A138" s="1">
        <v>46224</v>
      </c>
      <c r="B138" s="11">
        <v>27.04</v>
      </c>
      <c r="C138" s="11">
        <v>28.99</v>
      </c>
      <c r="D138" s="12">
        <v>1.0721153846153799</v>
      </c>
      <c r="E138" s="12">
        <v>1.07488560571617</v>
      </c>
      <c r="F138" s="12">
        <v>1.0719538572388001</v>
      </c>
      <c r="G138" s="12">
        <v>1.07277751349023</v>
      </c>
      <c r="H138" s="11">
        <v>29.064906778565199</v>
      </c>
      <c r="I138" s="11">
        <v>28.988826038227099</v>
      </c>
      <c r="J138" s="11">
        <v>29.010459929429899</v>
      </c>
      <c r="K138" s="13">
        <v>-2.5805508712466799E-3</v>
      </c>
      <c r="L138" s="13">
        <v>4.0496224338135498E-5</v>
      </c>
      <c r="M138" s="13">
        <v>-7.0550924263221E-4</v>
      </c>
      <c r="N138" s="25">
        <v>0</v>
      </c>
      <c r="O138" s="16">
        <v>0</v>
      </c>
      <c r="P138" s="16">
        <v>27.04</v>
      </c>
      <c r="Q138" s="16">
        <v>28.99</v>
      </c>
      <c r="R138" s="17">
        <v>1.0721153846153799</v>
      </c>
      <c r="S138" s="17">
        <v>1.07488560571617</v>
      </c>
      <c r="T138" s="17">
        <v>1.0719538572388001</v>
      </c>
      <c r="U138" s="17">
        <v>1.07277751349023</v>
      </c>
      <c r="V138" s="19">
        <v>29.064906778565199</v>
      </c>
      <c r="W138" s="19">
        <v>28.988826038227099</v>
      </c>
      <c r="X138" s="19">
        <v>29.010459929429899</v>
      </c>
      <c r="Y138" s="20">
        <v>-2.5805508712466799E-3</v>
      </c>
      <c r="Z138" s="20">
        <v>4.0496224338135498E-5</v>
      </c>
      <c r="AA138" s="20">
        <v>-7.0550924263221E-4</v>
      </c>
      <c r="AC138" s="21">
        <f t="shared" si="38"/>
        <v>-1.1088524514465427E-3</v>
      </c>
      <c r="AD138" s="21">
        <f t="shared" si="38"/>
        <v>-1.3788351029745056E-3</v>
      </c>
      <c r="AE138" s="21"/>
      <c r="AF138" s="21"/>
      <c r="AG138" s="15"/>
      <c r="AH138">
        <f t="shared" si="21"/>
        <v>0</v>
      </c>
      <c r="AI138">
        <f t="shared" si="22"/>
        <v>0</v>
      </c>
      <c r="AJ138">
        <f t="shared" si="23"/>
        <v>1</v>
      </c>
      <c r="AK138">
        <f t="shared" si="20"/>
        <v>1</v>
      </c>
      <c r="AL138" s="21">
        <f t="shared" si="24"/>
        <v>1.1088524514465427E-3</v>
      </c>
      <c r="AM138" s="21">
        <f t="shared" si="25"/>
        <v>-1.3788351029745056E-3</v>
      </c>
      <c r="AN138" s="21">
        <f t="shared" si="26"/>
        <v>-2.6998265152796286E-4</v>
      </c>
      <c r="AO138" s="22">
        <f t="shared" si="27"/>
        <v>2.1994201544768151E-3</v>
      </c>
      <c r="AQ138" s="21"/>
      <c r="AR138" s="15"/>
      <c r="AS138">
        <f t="shared" si="28"/>
        <v>0</v>
      </c>
      <c r="AT138">
        <f t="shared" si="29"/>
        <v>1</v>
      </c>
      <c r="AU138">
        <f t="shared" si="30"/>
        <v>0</v>
      </c>
      <c r="AV138">
        <f t="shared" si="31"/>
        <v>0</v>
      </c>
      <c r="AW138" s="21">
        <f t="shared" si="32"/>
        <v>0</v>
      </c>
      <c r="AX138" s="21">
        <f t="shared" si="33"/>
        <v>0</v>
      </c>
      <c r="AY138" s="21">
        <f t="shared" si="34"/>
        <v>0</v>
      </c>
      <c r="AZ138" s="22">
        <f t="shared" si="35"/>
        <v>8.4743024830261013E-3</v>
      </c>
      <c r="BB138" s="22">
        <f t="shared" si="36"/>
        <v>-2.6998265152796286E-4</v>
      </c>
      <c r="BC138" s="22">
        <f t="shared" si="37"/>
        <v>1.0673722637502915E-2</v>
      </c>
    </row>
    <row r="139" spans="1:55" customFormat="1" x14ac:dyDescent="0.3">
      <c r="A139" s="1">
        <v>46225</v>
      </c>
      <c r="B139" s="11">
        <v>26.98</v>
      </c>
      <c r="C139" s="11">
        <v>28.94</v>
      </c>
      <c r="D139" s="12">
        <v>1.0726464047442501</v>
      </c>
      <c r="E139" s="12">
        <v>1.07488560571617</v>
      </c>
      <c r="F139" s="12">
        <v>1.0720229257575</v>
      </c>
      <c r="G139" s="12">
        <v>1.07274635802789</v>
      </c>
      <c r="H139" s="11">
        <v>29.000413642222199</v>
      </c>
      <c r="I139" s="11">
        <v>28.921315068302899</v>
      </c>
      <c r="J139" s="11">
        <v>28.943537313966502</v>
      </c>
      <c r="K139" s="13">
        <v>-2.0853722063194301E-3</v>
      </c>
      <c r="L139" s="13">
        <v>6.4585232204069103E-4</v>
      </c>
      <c r="M139" s="13">
        <v>-1.2222176235747901E-4</v>
      </c>
      <c r="N139" s="25">
        <v>0</v>
      </c>
      <c r="O139" s="16">
        <v>0</v>
      </c>
      <c r="P139" s="16">
        <v>26.98</v>
      </c>
      <c r="Q139" s="16">
        <v>28.94</v>
      </c>
      <c r="R139" s="17">
        <v>1.0726464047442501</v>
      </c>
      <c r="S139" s="17">
        <v>1.07488560571617</v>
      </c>
      <c r="T139" s="17">
        <v>1.0720229257575</v>
      </c>
      <c r="U139" s="17">
        <v>1.07274635802789</v>
      </c>
      <c r="V139" s="19">
        <v>29.000413642222199</v>
      </c>
      <c r="W139" s="19">
        <v>28.921315068302899</v>
      </c>
      <c r="X139" s="19">
        <v>28.943537313966502</v>
      </c>
      <c r="Y139" s="20">
        <v>-2.0853722063194301E-3</v>
      </c>
      <c r="Z139" s="20">
        <v>6.4585232204069103E-4</v>
      </c>
      <c r="AA139" s="20">
        <v>-1.2222176235747901E-4</v>
      </c>
      <c r="AC139" s="21">
        <f t="shared" si="38"/>
        <v>-2.2214003951535025E-3</v>
      </c>
      <c r="AD139" s="21">
        <f t="shared" si="38"/>
        <v>-1.7262217302262007E-3</v>
      </c>
      <c r="AE139" s="21"/>
      <c r="AF139" s="21"/>
      <c r="AG139" s="15"/>
      <c r="AH139">
        <f t="shared" si="21"/>
        <v>0</v>
      </c>
      <c r="AI139">
        <f t="shared" si="22"/>
        <v>0</v>
      </c>
      <c r="AJ139">
        <f t="shared" si="23"/>
        <v>1</v>
      </c>
      <c r="AK139">
        <f t="shared" si="20"/>
        <v>1</v>
      </c>
      <c r="AL139" s="21">
        <f t="shared" si="24"/>
        <v>2.2214003951535025E-3</v>
      </c>
      <c r="AM139" s="21">
        <f t="shared" si="25"/>
        <v>-1.7262217302262007E-3</v>
      </c>
      <c r="AN139" s="21">
        <f t="shared" si="26"/>
        <v>4.9517866492730178E-4</v>
      </c>
      <c r="AO139" s="22">
        <f t="shared" si="27"/>
        <v>2.6945988194041169E-3</v>
      </c>
      <c r="AQ139" s="21"/>
      <c r="AR139" s="15"/>
      <c r="AS139">
        <f t="shared" si="28"/>
        <v>0</v>
      </c>
      <c r="AT139">
        <f t="shared" si="29"/>
        <v>1</v>
      </c>
      <c r="AU139">
        <f t="shared" si="30"/>
        <v>0</v>
      </c>
      <c r="AV139">
        <f t="shared" si="31"/>
        <v>0</v>
      </c>
      <c r="AW139" s="21">
        <f t="shared" si="32"/>
        <v>0</v>
      </c>
      <c r="AX139" s="21">
        <f t="shared" si="33"/>
        <v>0</v>
      </c>
      <c r="AY139" s="21">
        <f t="shared" si="34"/>
        <v>0</v>
      </c>
      <c r="AZ139" s="22">
        <f t="shared" si="35"/>
        <v>8.4743024830261013E-3</v>
      </c>
      <c r="BB139" s="22">
        <f t="shared" si="36"/>
        <v>4.9517866492730178E-4</v>
      </c>
      <c r="BC139" s="22">
        <f t="shared" si="37"/>
        <v>1.1168901302430216E-2</v>
      </c>
    </row>
    <row r="140" spans="1:55" customFormat="1" x14ac:dyDescent="0.3">
      <c r="A140" s="1">
        <v>46226</v>
      </c>
      <c r="B140" s="11">
        <v>26.86</v>
      </c>
      <c r="C140" s="11">
        <v>28.82</v>
      </c>
      <c r="D140" s="12">
        <v>1.07297096053611</v>
      </c>
      <c r="E140" s="12">
        <v>1.07488560571617</v>
      </c>
      <c r="F140" s="12">
        <v>1.07205601001171</v>
      </c>
      <c r="G140" s="12">
        <v>1.07269733431076</v>
      </c>
      <c r="H140" s="11">
        <v>28.871427369536299</v>
      </c>
      <c r="I140" s="11">
        <v>28.794535785846598</v>
      </c>
      <c r="J140" s="11">
        <v>28.813967176629099</v>
      </c>
      <c r="K140" s="13">
        <v>-1.7828431537628201E-3</v>
      </c>
      <c r="L140" s="13">
        <v>8.8395108852536998E-4</v>
      </c>
      <c r="M140" s="13">
        <v>2.09349579367687E-4</v>
      </c>
      <c r="N140" s="25">
        <v>0</v>
      </c>
      <c r="O140" s="16">
        <v>0</v>
      </c>
      <c r="P140" s="16">
        <v>26.86</v>
      </c>
      <c r="Q140" s="16">
        <v>28.82</v>
      </c>
      <c r="R140" s="17">
        <v>1.07297096053611</v>
      </c>
      <c r="S140" s="17">
        <v>1.07488560571617</v>
      </c>
      <c r="T140" s="17">
        <v>1.07205601001171</v>
      </c>
      <c r="U140" s="17">
        <v>1.07269733431076</v>
      </c>
      <c r="V140" s="19">
        <v>28.871427369536299</v>
      </c>
      <c r="W140" s="19">
        <v>28.794535785846598</v>
      </c>
      <c r="X140" s="19">
        <v>28.813967176629099</v>
      </c>
      <c r="Y140" s="20">
        <v>-1.7828431537628201E-3</v>
      </c>
      <c r="Z140" s="20">
        <v>8.8395108852536998E-4</v>
      </c>
      <c r="AA140" s="20">
        <v>2.09349579367687E-4</v>
      </c>
      <c r="AC140" s="21">
        <f t="shared" si="38"/>
        <v>-4.4576596845183536E-3</v>
      </c>
      <c r="AD140" s="21">
        <f t="shared" si="38"/>
        <v>-4.1551306319618534E-3</v>
      </c>
      <c r="AE140" s="21"/>
      <c r="AF140" s="21"/>
      <c r="AG140" s="15"/>
      <c r="AH140">
        <f t="shared" si="21"/>
        <v>0</v>
      </c>
      <c r="AI140">
        <f t="shared" si="22"/>
        <v>1</v>
      </c>
      <c r="AJ140">
        <f t="shared" si="23"/>
        <v>1</v>
      </c>
      <c r="AK140">
        <f t="shared" si="20"/>
        <v>1</v>
      </c>
      <c r="AL140" s="21">
        <f t="shared" si="24"/>
        <v>4.4576596845183536E-3</v>
      </c>
      <c r="AM140" s="21">
        <f t="shared" si="25"/>
        <v>-4.1551306319618534E-3</v>
      </c>
      <c r="AN140" s="21">
        <f t="shared" si="26"/>
        <v>3.0252905255650012E-4</v>
      </c>
      <c r="AO140" s="22">
        <f t="shared" si="27"/>
        <v>2.997127871960617E-3</v>
      </c>
      <c r="AQ140" s="21"/>
      <c r="AR140" s="15"/>
      <c r="AS140">
        <f t="shared" si="28"/>
        <v>0</v>
      </c>
      <c r="AT140">
        <f t="shared" si="29"/>
        <v>0</v>
      </c>
      <c r="AU140">
        <f t="shared" si="30"/>
        <v>0</v>
      </c>
      <c r="AV140">
        <f t="shared" si="31"/>
        <v>0</v>
      </c>
      <c r="AW140" s="21">
        <f t="shared" si="32"/>
        <v>0</v>
      </c>
      <c r="AX140" s="21">
        <f t="shared" si="33"/>
        <v>0</v>
      </c>
      <c r="AY140" s="21">
        <f t="shared" si="34"/>
        <v>0</v>
      </c>
      <c r="AZ140" s="22">
        <f t="shared" si="35"/>
        <v>8.4743024830261013E-3</v>
      </c>
      <c r="BB140" s="22">
        <f t="shared" si="36"/>
        <v>3.0252905255650012E-4</v>
      </c>
      <c r="BC140" s="22">
        <f t="shared" si="37"/>
        <v>1.1471430354986717E-2</v>
      </c>
    </row>
    <row r="141" spans="1:55" customFormat="1" x14ac:dyDescent="0.3">
      <c r="A141" s="1">
        <v>46227</v>
      </c>
      <c r="B141" s="11">
        <v>26.87</v>
      </c>
      <c r="C141" s="11">
        <v>28.82</v>
      </c>
      <c r="D141" s="12">
        <v>1.0725716412355699</v>
      </c>
      <c r="E141" s="12">
        <v>1.07488560571617</v>
      </c>
      <c r="F141" s="12">
        <v>1.0721518599972</v>
      </c>
      <c r="G141" s="12">
        <v>1.0726154093923801</v>
      </c>
      <c r="H141" s="11">
        <v>28.882176225593501</v>
      </c>
      <c r="I141" s="11">
        <v>28.806144989014602</v>
      </c>
      <c r="J141" s="11">
        <v>28.823377372930299</v>
      </c>
      <c r="K141" s="13">
        <v>-2.1550746860713702E-3</v>
      </c>
      <c r="L141" s="13">
        <v>4.80858515000657E-4</v>
      </c>
      <c r="M141" s="13">
        <v>-1.17181646465696E-4</v>
      </c>
      <c r="N141" s="25">
        <v>0</v>
      </c>
      <c r="O141" s="16">
        <v>0</v>
      </c>
      <c r="P141" s="16">
        <v>26.87</v>
      </c>
      <c r="Q141" s="16">
        <v>28.82</v>
      </c>
      <c r="R141" s="17">
        <v>1.0725716412355699</v>
      </c>
      <c r="S141" s="17">
        <v>1.07488560571617</v>
      </c>
      <c r="T141" s="17">
        <v>1.0721518599972</v>
      </c>
      <c r="U141" s="17">
        <v>1.0726154093923801</v>
      </c>
      <c r="V141" s="19">
        <v>28.882176225593501</v>
      </c>
      <c r="W141" s="19">
        <v>28.806144989014602</v>
      </c>
      <c r="X141" s="19">
        <v>28.823377372930299</v>
      </c>
      <c r="Y141" s="20">
        <v>-2.1550746860713702E-3</v>
      </c>
      <c r="Z141" s="20">
        <v>4.80858515000657E-4</v>
      </c>
      <c r="AA141" s="20">
        <v>-1.17181646465696E-4</v>
      </c>
      <c r="AC141" s="21">
        <f t="shared" si="38"/>
        <v>3.7223153230846098E-4</v>
      </c>
      <c r="AD141" s="21">
        <f t="shared" si="38"/>
        <v>0</v>
      </c>
      <c r="AE141" s="21"/>
      <c r="AF141" s="21"/>
      <c r="AG141" s="15"/>
      <c r="AH141">
        <f t="shared" si="21"/>
        <v>0</v>
      </c>
      <c r="AI141">
        <f t="shared" si="22"/>
        <v>0</v>
      </c>
      <c r="AJ141">
        <f t="shared" si="23"/>
        <v>0</v>
      </c>
      <c r="AK141">
        <f t="shared" si="20"/>
        <v>0</v>
      </c>
      <c r="AL141" s="21">
        <f t="shared" si="24"/>
        <v>0</v>
      </c>
      <c r="AM141" s="21">
        <f t="shared" si="25"/>
        <v>0</v>
      </c>
      <c r="AN141" s="21">
        <f t="shared" si="26"/>
        <v>0</v>
      </c>
      <c r="AO141" s="22">
        <f t="shared" si="27"/>
        <v>2.997127871960617E-3</v>
      </c>
      <c r="AQ141" s="21"/>
      <c r="AR141" s="15"/>
      <c r="AS141">
        <f t="shared" si="28"/>
        <v>0</v>
      </c>
      <c r="AT141">
        <f t="shared" si="29"/>
        <v>1</v>
      </c>
      <c r="AU141">
        <f t="shared" si="30"/>
        <v>0</v>
      </c>
      <c r="AV141">
        <f t="shared" si="31"/>
        <v>0</v>
      </c>
      <c r="AW141" s="21">
        <f t="shared" si="32"/>
        <v>0</v>
      </c>
      <c r="AX141" s="21">
        <f t="shared" si="33"/>
        <v>0</v>
      </c>
      <c r="AY141" s="21">
        <f t="shared" si="34"/>
        <v>0</v>
      </c>
      <c r="AZ141" s="22">
        <f t="shared" si="35"/>
        <v>8.4743024830261013E-3</v>
      </c>
      <c r="BB141" s="22">
        <f t="shared" si="36"/>
        <v>0</v>
      </c>
      <c r="BC141" s="22">
        <f t="shared" si="37"/>
        <v>1.1471430354986717E-2</v>
      </c>
    </row>
    <row r="142" spans="1:55" customFormat="1" x14ac:dyDescent="0.3">
      <c r="A142" s="1">
        <v>46230</v>
      </c>
      <c r="B142" s="11">
        <v>26.89</v>
      </c>
      <c r="C142" s="11">
        <v>28.89</v>
      </c>
      <c r="D142" s="12">
        <v>1.0743770918557001</v>
      </c>
      <c r="E142" s="12">
        <v>1.07488560571617</v>
      </c>
      <c r="F142" s="12">
        <v>1.07233030992352</v>
      </c>
      <c r="G142" s="12">
        <v>1.0726012739152899</v>
      </c>
      <c r="H142" s="11">
        <v>28.903673937707801</v>
      </c>
      <c r="I142" s="11">
        <v>28.830163515324902</v>
      </c>
      <c r="J142" s="11">
        <v>28.8426283585612</v>
      </c>
      <c r="K142" s="13">
        <v>-4.7319843267691001E-4</v>
      </c>
      <c r="L142" s="13">
        <v>2.07333113649538E-3</v>
      </c>
      <c r="M142" s="13">
        <v>1.64107034157423E-3</v>
      </c>
      <c r="N142" s="25">
        <v>0</v>
      </c>
      <c r="O142" s="16">
        <v>0</v>
      </c>
      <c r="P142" s="16">
        <v>26.89</v>
      </c>
      <c r="Q142" s="16">
        <v>28.89</v>
      </c>
      <c r="R142" s="17">
        <v>1.0743770918557001</v>
      </c>
      <c r="S142" s="17">
        <v>1.07488560571617</v>
      </c>
      <c r="T142" s="17">
        <v>1.07233030992352</v>
      </c>
      <c r="U142" s="17">
        <v>1.0726012739152899</v>
      </c>
      <c r="V142" s="19">
        <v>28.903673937707801</v>
      </c>
      <c r="W142" s="19">
        <v>28.830163515324902</v>
      </c>
      <c r="X142" s="19">
        <v>28.8426283585612</v>
      </c>
      <c r="Y142" s="20">
        <v>-4.7319843267691001E-4</v>
      </c>
      <c r="Z142" s="20">
        <v>2.07333113649538E-3</v>
      </c>
      <c r="AA142" s="20">
        <v>1.64107034157423E-3</v>
      </c>
      <c r="AC142" s="21">
        <f t="shared" si="38"/>
        <v>7.4404765337333001E-4</v>
      </c>
      <c r="AD142" s="21">
        <f t="shared" si="38"/>
        <v>2.4259239067677785E-3</v>
      </c>
      <c r="AE142" s="21"/>
      <c r="AF142" s="21"/>
      <c r="AG142" s="15"/>
      <c r="AH142">
        <f t="shared" si="21"/>
        <v>0</v>
      </c>
      <c r="AI142">
        <f t="shared" si="22"/>
        <v>1</v>
      </c>
      <c r="AJ142">
        <f t="shared" si="23"/>
        <v>0</v>
      </c>
      <c r="AK142">
        <f t="shared" si="20"/>
        <v>0</v>
      </c>
      <c r="AL142" s="21">
        <f t="shared" si="24"/>
        <v>0</v>
      </c>
      <c r="AM142" s="21">
        <f t="shared" si="25"/>
        <v>0</v>
      </c>
      <c r="AN142" s="21">
        <f t="shared" si="26"/>
        <v>0</v>
      </c>
      <c r="AO142" s="22">
        <f t="shared" si="27"/>
        <v>2.997127871960617E-3</v>
      </c>
      <c r="AQ142" s="21"/>
      <c r="AR142" s="15"/>
      <c r="AS142">
        <f t="shared" si="28"/>
        <v>1</v>
      </c>
      <c r="AT142">
        <f t="shared" si="29"/>
        <v>0</v>
      </c>
      <c r="AU142">
        <f t="shared" si="30"/>
        <v>0</v>
      </c>
      <c r="AV142">
        <f t="shared" si="31"/>
        <v>0</v>
      </c>
      <c r="AW142" s="21">
        <f t="shared" si="32"/>
        <v>0</v>
      </c>
      <c r="AX142" s="21">
        <f t="shared" si="33"/>
        <v>0</v>
      </c>
      <c r="AY142" s="21">
        <f t="shared" si="34"/>
        <v>0</v>
      </c>
      <c r="AZ142" s="22">
        <f t="shared" si="35"/>
        <v>8.4743024830261013E-3</v>
      </c>
      <c r="BB142" s="22">
        <f t="shared" si="36"/>
        <v>0</v>
      </c>
      <c r="BC142" s="22">
        <f t="shared" si="37"/>
        <v>1.1471430354986717E-2</v>
      </c>
    </row>
    <row r="143" spans="1:55" customFormat="1" x14ac:dyDescent="0.3">
      <c r="A143" s="1">
        <v>46231</v>
      </c>
      <c r="B143" s="11">
        <v>26.95</v>
      </c>
      <c r="C143" s="11">
        <v>28.92</v>
      </c>
      <c r="D143" s="12">
        <v>1.0730983302411801</v>
      </c>
      <c r="E143" s="12">
        <v>1.07488560571617</v>
      </c>
      <c r="F143" s="12">
        <v>1.07239965532296</v>
      </c>
      <c r="G143" s="12">
        <v>1.0725470461012401</v>
      </c>
      <c r="H143" s="11">
        <v>28.968167074050701</v>
      </c>
      <c r="I143" s="11">
        <v>28.899301852438899</v>
      </c>
      <c r="J143" s="11">
        <v>28.9066043320171</v>
      </c>
      <c r="K143" s="13">
        <v>-1.6641426944895099E-3</v>
      </c>
      <c r="L143" s="13">
        <v>7.1595981902657199E-4</v>
      </c>
      <c r="M143" s="13">
        <v>4.63304680509385E-4</v>
      </c>
      <c r="N143" s="25">
        <v>0</v>
      </c>
      <c r="O143" s="16">
        <v>0</v>
      </c>
      <c r="P143" s="16">
        <v>26.95</v>
      </c>
      <c r="Q143" s="16">
        <v>28.92</v>
      </c>
      <c r="R143" s="17">
        <v>1.0730983302411801</v>
      </c>
      <c r="S143" s="17">
        <v>1.07488560571617</v>
      </c>
      <c r="T143" s="17">
        <v>1.07239965532296</v>
      </c>
      <c r="U143" s="17">
        <v>1.0725470461012401</v>
      </c>
      <c r="V143" s="19">
        <v>28.968167074050701</v>
      </c>
      <c r="W143" s="19">
        <v>28.899301852438899</v>
      </c>
      <c r="X143" s="19">
        <v>28.9066043320171</v>
      </c>
      <c r="Y143" s="20">
        <v>-1.6641426944895099E-3</v>
      </c>
      <c r="Z143" s="20">
        <v>7.1595981902657199E-4</v>
      </c>
      <c r="AA143" s="20">
        <v>4.63304680509385E-4</v>
      </c>
      <c r="AC143" s="21">
        <f t="shared" si="38"/>
        <v>2.2288270742328396E-3</v>
      </c>
      <c r="AD143" s="21">
        <f t="shared" si="38"/>
        <v>1.0378828124200214E-3</v>
      </c>
      <c r="AE143" s="21"/>
      <c r="AF143" s="21"/>
      <c r="AG143" s="15"/>
      <c r="AH143">
        <f t="shared" si="21"/>
        <v>0</v>
      </c>
      <c r="AI143">
        <f t="shared" si="22"/>
        <v>1</v>
      </c>
      <c r="AJ143">
        <f t="shared" si="23"/>
        <v>0</v>
      </c>
      <c r="AK143">
        <f t="shared" si="20"/>
        <v>0</v>
      </c>
      <c r="AL143" s="21">
        <f t="shared" si="24"/>
        <v>0</v>
      </c>
      <c r="AM143" s="21">
        <f t="shared" si="25"/>
        <v>0</v>
      </c>
      <c r="AN143" s="21">
        <f t="shared" si="26"/>
        <v>0</v>
      </c>
      <c r="AO143" s="22">
        <f t="shared" si="27"/>
        <v>2.997127871960617E-3</v>
      </c>
      <c r="AQ143" s="21"/>
      <c r="AR143" s="15"/>
      <c r="AS143">
        <f t="shared" si="28"/>
        <v>0</v>
      </c>
      <c r="AT143">
        <f t="shared" si="29"/>
        <v>0</v>
      </c>
      <c r="AU143">
        <f t="shared" si="30"/>
        <v>0</v>
      </c>
      <c r="AV143">
        <f t="shared" si="31"/>
        <v>1</v>
      </c>
      <c r="AW143" s="21">
        <f t="shared" si="32"/>
        <v>2.2288270742328396E-3</v>
      </c>
      <c r="AX143" s="21">
        <f t="shared" si="33"/>
        <v>-1.0378828124200214E-3</v>
      </c>
      <c r="AY143" s="21">
        <f t="shared" si="34"/>
        <v>1.1909442618128182E-3</v>
      </c>
      <c r="AZ143" s="22">
        <f t="shared" si="35"/>
        <v>9.6652467448389186E-3</v>
      </c>
      <c r="BB143" s="22">
        <f t="shared" si="36"/>
        <v>1.1909442618128182E-3</v>
      </c>
      <c r="BC143" s="22">
        <f t="shared" si="37"/>
        <v>1.2662374616799536E-2</v>
      </c>
    </row>
    <row r="144" spans="1:55" customFormat="1" x14ac:dyDescent="0.3">
      <c r="A144" s="1">
        <v>46232</v>
      </c>
      <c r="B144" s="11">
        <v>26.86</v>
      </c>
      <c r="C144" s="11">
        <v>28.84</v>
      </c>
      <c r="D144" s="12">
        <v>1.07371556217423</v>
      </c>
      <c r="E144" s="12">
        <v>1.07488560571617</v>
      </c>
      <c r="F144" s="12">
        <v>1.0726599366693399</v>
      </c>
      <c r="G144" s="12">
        <v>1.0725617522569399</v>
      </c>
      <c r="H144" s="11">
        <v>28.871427369536299</v>
      </c>
      <c r="I144" s="11">
        <v>28.804654741974701</v>
      </c>
      <c r="J144" s="11">
        <v>28.808613658279299</v>
      </c>
      <c r="K144" s="13">
        <v>-1.08912130839055E-3</v>
      </c>
      <c r="L144" s="13">
        <v>1.2263153491998201E-3</v>
      </c>
      <c r="M144" s="13">
        <v>1.08888463503649E-3</v>
      </c>
      <c r="N144" s="25">
        <v>0</v>
      </c>
      <c r="O144" s="16">
        <v>0</v>
      </c>
      <c r="P144" s="16">
        <v>26.86</v>
      </c>
      <c r="Q144" s="16">
        <v>28.84</v>
      </c>
      <c r="R144" s="17">
        <v>1.07371556217423</v>
      </c>
      <c r="S144" s="17">
        <v>1.07488560571617</v>
      </c>
      <c r="T144" s="17">
        <v>1.0726599366693399</v>
      </c>
      <c r="U144" s="17">
        <v>1.0725617522569399</v>
      </c>
      <c r="V144" s="19">
        <v>28.871427369536299</v>
      </c>
      <c r="W144" s="19">
        <v>28.804654741974701</v>
      </c>
      <c r="X144" s="19">
        <v>28.808613658279299</v>
      </c>
      <c r="Y144" s="20">
        <v>-1.08912130839055E-3</v>
      </c>
      <c r="Z144" s="20">
        <v>1.2263153491998201E-3</v>
      </c>
      <c r="AA144" s="20">
        <v>1.08888463503649E-3</v>
      </c>
      <c r="AC144" s="21">
        <f t="shared" si="38"/>
        <v>-3.3451062599146142E-3</v>
      </c>
      <c r="AD144" s="21">
        <f t="shared" si="38"/>
        <v>-2.7700848738157124E-3</v>
      </c>
      <c r="AE144" s="21"/>
      <c r="AF144" s="21"/>
      <c r="AG144" s="15"/>
      <c r="AH144">
        <f t="shared" si="21"/>
        <v>0</v>
      </c>
      <c r="AI144">
        <f t="shared" si="22"/>
        <v>1</v>
      </c>
      <c r="AJ144">
        <f t="shared" si="23"/>
        <v>0</v>
      </c>
      <c r="AK144">
        <f t="shared" si="20"/>
        <v>0</v>
      </c>
      <c r="AL144" s="21">
        <f t="shared" si="24"/>
        <v>0</v>
      </c>
      <c r="AM144" s="21">
        <f t="shared" si="25"/>
        <v>0</v>
      </c>
      <c r="AN144" s="21">
        <f t="shared" si="26"/>
        <v>0</v>
      </c>
      <c r="AO144" s="22">
        <f t="shared" si="27"/>
        <v>2.997127871960617E-3</v>
      </c>
      <c r="AQ144" s="21"/>
      <c r="AR144" s="15"/>
      <c r="AS144">
        <f t="shared" si="28"/>
        <v>1</v>
      </c>
      <c r="AT144">
        <f t="shared" si="29"/>
        <v>0</v>
      </c>
      <c r="AU144">
        <f t="shared" si="30"/>
        <v>1</v>
      </c>
      <c r="AV144">
        <f t="shared" si="31"/>
        <v>0</v>
      </c>
      <c r="AW144" s="21">
        <f t="shared" si="32"/>
        <v>0</v>
      </c>
      <c r="AX144" s="21">
        <f t="shared" si="33"/>
        <v>0</v>
      </c>
      <c r="AY144" s="21">
        <f t="shared" si="34"/>
        <v>0</v>
      </c>
      <c r="AZ144" s="22">
        <f t="shared" si="35"/>
        <v>9.6652467448389186E-3</v>
      </c>
      <c r="BB144" s="22">
        <f t="shared" si="36"/>
        <v>0</v>
      </c>
      <c r="BC144" s="22">
        <f t="shared" si="37"/>
        <v>1.2662374616799536E-2</v>
      </c>
    </row>
    <row r="145" spans="1:55" customFormat="1" x14ac:dyDescent="0.3">
      <c r="A145" s="1">
        <v>46233</v>
      </c>
      <c r="B145" s="11">
        <v>26.95</v>
      </c>
      <c r="C145" s="11">
        <v>28.93</v>
      </c>
      <c r="D145" s="12">
        <v>1.0734693877551</v>
      </c>
      <c r="E145" s="12">
        <v>1.07488560571617</v>
      </c>
      <c r="F145" s="12">
        <v>1.07285348311447</v>
      </c>
      <c r="G145" s="12">
        <v>1.07256634258865</v>
      </c>
      <c r="H145" s="11">
        <v>28.968167074050701</v>
      </c>
      <c r="I145" s="11">
        <v>28.908185293238901</v>
      </c>
      <c r="J145" s="11">
        <v>28.905539223324499</v>
      </c>
      <c r="K145" s="13">
        <v>-1.31842099700976E-3</v>
      </c>
      <c r="L145" s="13">
        <v>7.5433583141988505E-4</v>
      </c>
      <c r="M145" s="13">
        <v>8.4587360859324603E-4</v>
      </c>
      <c r="N145" s="25">
        <v>0</v>
      </c>
      <c r="O145" s="16">
        <v>0</v>
      </c>
      <c r="P145" s="16">
        <v>26.95</v>
      </c>
      <c r="Q145" s="16">
        <v>28.93</v>
      </c>
      <c r="R145" s="17">
        <v>1.0734693877551</v>
      </c>
      <c r="S145" s="17">
        <v>1.07488560571617</v>
      </c>
      <c r="T145" s="17">
        <v>1.07285348311447</v>
      </c>
      <c r="U145" s="17">
        <v>1.07256634258865</v>
      </c>
      <c r="V145" s="19">
        <v>28.968167074050701</v>
      </c>
      <c r="W145" s="19">
        <v>28.908185293238901</v>
      </c>
      <c r="X145" s="19">
        <v>28.905539223324499</v>
      </c>
      <c r="Y145" s="20">
        <v>-1.31842099700976E-3</v>
      </c>
      <c r="Z145" s="20">
        <v>7.5433583141988505E-4</v>
      </c>
      <c r="AA145" s="20">
        <v>8.4587360859324603E-4</v>
      </c>
      <c r="AC145" s="21">
        <f t="shared" si="38"/>
        <v>3.3451062599146107E-3</v>
      </c>
      <c r="AD145" s="21">
        <f t="shared" si="38"/>
        <v>3.1158065712952885E-3</v>
      </c>
      <c r="AE145" s="21"/>
      <c r="AF145" s="21"/>
      <c r="AG145" s="15"/>
      <c r="AH145">
        <f t="shared" si="21"/>
        <v>0</v>
      </c>
      <c r="AI145">
        <f t="shared" si="22"/>
        <v>1</v>
      </c>
      <c r="AJ145">
        <f t="shared" si="23"/>
        <v>0</v>
      </c>
      <c r="AK145">
        <f t="shared" si="20"/>
        <v>0</v>
      </c>
      <c r="AL145" s="21">
        <f t="shared" si="24"/>
        <v>0</v>
      </c>
      <c r="AM145" s="21">
        <f t="shared" si="25"/>
        <v>0</v>
      </c>
      <c r="AN145" s="21">
        <f t="shared" si="26"/>
        <v>0</v>
      </c>
      <c r="AO145" s="22">
        <f t="shared" si="27"/>
        <v>2.997127871960617E-3</v>
      </c>
      <c r="AQ145" s="21"/>
      <c r="AR145" s="15"/>
      <c r="AS145">
        <f t="shared" si="28"/>
        <v>0</v>
      </c>
      <c r="AT145">
        <f t="shared" si="29"/>
        <v>0</v>
      </c>
      <c r="AU145">
        <f t="shared" si="30"/>
        <v>0</v>
      </c>
      <c r="AV145">
        <f t="shared" si="31"/>
        <v>1</v>
      </c>
      <c r="AW145" s="21">
        <f t="shared" si="32"/>
        <v>3.3451062599146107E-3</v>
      </c>
      <c r="AX145" s="21">
        <f t="shared" si="33"/>
        <v>-3.1158065712952885E-3</v>
      </c>
      <c r="AY145" s="21">
        <f t="shared" si="34"/>
        <v>2.2929968861932224E-4</v>
      </c>
      <c r="AZ145" s="22">
        <f t="shared" si="35"/>
        <v>9.8945464334582404E-3</v>
      </c>
      <c r="BB145" s="22">
        <f t="shared" si="36"/>
        <v>2.2929968861932224E-4</v>
      </c>
      <c r="BC145" s="22">
        <f t="shared" si="37"/>
        <v>1.2891674305418857E-2</v>
      </c>
    </row>
    <row r="146" spans="1:55" customFormat="1" x14ac:dyDescent="0.3">
      <c r="A146" s="1">
        <v>46234</v>
      </c>
      <c r="B146" s="11">
        <v>26.92</v>
      </c>
      <c r="C146" s="11">
        <v>28.92</v>
      </c>
      <c r="D146" s="12">
        <v>1.0742942050519999</v>
      </c>
      <c r="E146" s="12">
        <v>1.07488560571617</v>
      </c>
      <c r="F146" s="12">
        <v>1.0731663844456301</v>
      </c>
      <c r="G146" s="12">
        <v>1.0726189254949099</v>
      </c>
      <c r="H146" s="11">
        <v>28.935920505879299</v>
      </c>
      <c r="I146" s="11">
        <v>28.881215765441599</v>
      </c>
      <c r="J146" s="11">
        <v>28.873485942486401</v>
      </c>
      <c r="K146" s="13">
        <v>-5.5035011601055805E-4</v>
      </c>
      <c r="L146" s="13">
        <v>1.34198701066677E-3</v>
      </c>
      <c r="M146" s="13">
        <v>1.6096647156072601E-3</v>
      </c>
      <c r="N146" s="25">
        <v>0</v>
      </c>
      <c r="O146" s="16">
        <v>0</v>
      </c>
      <c r="P146" s="16">
        <v>26.92</v>
      </c>
      <c r="Q146" s="16">
        <v>28.92</v>
      </c>
      <c r="R146" s="17">
        <v>1.0742942050519999</v>
      </c>
      <c r="S146" s="17">
        <v>1.07488560571617</v>
      </c>
      <c r="T146" s="17">
        <v>1.0731663844456301</v>
      </c>
      <c r="U146" s="17">
        <v>1.0726189254949099</v>
      </c>
      <c r="V146" s="19">
        <v>28.935920505879299</v>
      </c>
      <c r="W146" s="19">
        <v>28.881215765441599</v>
      </c>
      <c r="X146" s="19">
        <v>28.873485942486401</v>
      </c>
      <c r="Y146" s="20">
        <v>-5.5035011601055805E-4</v>
      </c>
      <c r="Z146" s="20">
        <v>1.34198701066677E-3</v>
      </c>
      <c r="AA146" s="20">
        <v>1.6096647156072601E-3</v>
      </c>
      <c r="AC146" s="21">
        <f t="shared" si="38"/>
        <v>-1.1137925784790582E-3</v>
      </c>
      <c r="AD146" s="21">
        <f t="shared" si="38"/>
        <v>-3.457216974797621E-4</v>
      </c>
      <c r="AE146" s="21"/>
      <c r="AF146" s="21"/>
      <c r="AG146" s="15"/>
      <c r="AH146">
        <f t="shared" si="21"/>
        <v>0</v>
      </c>
      <c r="AI146">
        <f t="shared" si="22"/>
        <v>1</v>
      </c>
      <c r="AJ146">
        <f t="shared" si="23"/>
        <v>0</v>
      </c>
      <c r="AK146" s="26">
        <v>0</v>
      </c>
      <c r="AL146" s="21">
        <f t="shared" si="24"/>
        <v>0</v>
      </c>
      <c r="AM146" s="21">
        <f t="shared" si="25"/>
        <v>0</v>
      </c>
      <c r="AN146" s="21">
        <f t="shared" si="26"/>
        <v>0</v>
      </c>
      <c r="AO146" s="22">
        <f t="shared" si="27"/>
        <v>2.997127871960617E-3</v>
      </c>
      <c r="AQ146" s="21"/>
      <c r="AR146" s="15"/>
      <c r="AS146">
        <f t="shared" si="28"/>
        <v>1</v>
      </c>
      <c r="AT146">
        <f t="shared" si="29"/>
        <v>0</v>
      </c>
      <c r="AU146">
        <f t="shared" si="30"/>
        <v>1</v>
      </c>
      <c r="AV146">
        <f t="shared" si="31"/>
        <v>0</v>
      </c>
      <c r="AW146" s="21">
        <f t="shared" si="32"/>
        <v>0</v>
      </c>
      <c r="AX146" s="21">
        <f t="shared" si="33"/>
        <v>0</v>
      </c>
      <c r="AY146" s="21">
        <f t="shared" si="34"/>
        <v>0</v>
      </c>
      <c r="AZ146" s="22">
        <f t="shared" si="35"/>
        <v>9.8945464334582404E-3</v>
      </c>
      <c r="BB146" s="22">
        <f t="shared" si="36"/>
        <v>0</v>
      </c>
      <c r="BC146" s="22">
        <f t="shared" si="37"/>
        <v>1.2891674305418857E-2</v>
      </c>
    </row>
    <row r="147" spans="1:55" customFormat="1" x14ac:dyDescent="0.3">
      <c r="A147" s="1">
        <v>46237</v>
      </c>
      <c r="B147" s="11">
        <v>26.87</v>
      </c>
      <c r="C147" s="11">
        <v>28.85</v>
      </c>
      <c r="D147" s="12">
        <v>1.07368812802381</v>
      </c>
      <c r="E147" s="12">
        <v>1.07488560571617</v>
      </c>
      <c r="F147" s="12">
        <v>1.0732947096233301</v>
      </c>
      <c r="G147" s="12">
        <v>1.07268333924634</v>
      </c>
      <c r="H147" s="11">
        <v>28.882176225593501</v>
      </c>
      <c r="I147" s="11">
        <v>28.835980750054102</v>
      </c>
      <c r="J147" s="11">
        <v>28.821270528048299</v>
      </c>
      <c r="K147" s="13">
        <v>-1.1146723033387501E-3</v>
      </c>
      <c r="L147" s="13">
        <v>4.8605397843767801E-4</v>
      </c>
      <c r="M147" s="13">
        <v>9.9631841175595696E-4</v>
      </c>
      <c r="N147" s="25">
        <v>0</v>
      </c>
      <c r="O147" s="15">
        <v>0</v>
      </c>
      <c r="P147" s="16">
        <v>26.87</v>
      </c>
      <c r="Q147" s="16">
        <v>28.85</v>
      </c>
      <c r="R147" s="17">
        <v>1.07368812802381</v>
      </c>
      <c r="S147" s="17">
        <v>1.07488560571617</v>
      </c>
      <c r="T147" s="17">
        <v>1.0732947096233301</v>
      </c>
      <c r="U147" s="17">
        <v>1.07268333924634</v>
      </c>
      <c r="V147" s="19">
        <v>28.882176225593501</v>
      </c>
      <c r="W147" s="19">
        <v>28.835980750054102</v>
      </c>
      <c r="X147" s="19">
        <v>28.821270528048299</v>
      </c>
      <c r="Y147" s="20">
        <v>-1.1146723033387501E-3</v>
      </c>
      <c r="Z147" s="20">
        <v>4.8605397843767801E-4</v>
      </c>
      <c r="AA147" s="20">
        <v>9.9631841175595696E-4</v>
      </c>
      <c r="AC147" s="21">
        <f t="shared" si="38"/>
        <v>-1.8590821491271915E-3</v>
      </c>
      <c r="AD147" s="21">
        <f t="shared" si="38"/>
        <v>-2.4234043364553611E-3</v>
      </c>
      <c r="AE147" s="21"/>
      <c r="AF147" s="21"/>
      <c r="AG147" s="15"/>
      <c r="AH147">
        <f t="shared" si="21"/>
        <v>0</v>
      </c>
      <c r="AI147">
        <f t="shared" si="22"/>
        <v>1</v>
      </c>
      <c r="AJ147">
        <f t="shared" si="23"/>
        <v>0</v>
      </c>
      <c r="AK147">
        <f t="shared" si="20"/>
        <v>0</v>
      </c>
      <c r="AL147" s="21">
        <f t="shared" si="24"/>
        <v>0</v>
      </c>
      <c r="AM147" s="21">
        <f t="shared" si="25"/>
        <v>0</v>
      </c>
      <c r="AN147" s="21">
        <f t="shared" si="26"/>
        <v>0</v>
      </c>
      <c r="AO147" s="22">
        <f t="shared" si="27"/>
        <v>2.997127871960617E-3</v>
      </c>
      <c r="AQ147" s="21"/>
      <c r="AR147" s="15"/>
      <c r="AS147">
        <f t="shared" si="28"/>
        <v>0</v>
      </c>
      <c r="AT147">
        <f t="shared" si="29"/>
        <v>0</v>
      </c>
      <c r="AU147">
        <f t="shared" si="30"/>
        <v>0</v>
      </c>
      <c r="AV147">
        <f t="shared" si="31"/>
        <v>1</v>
      </c>
      <c r="AW147" s="21">
        <f t="shared" si="32"/>
        <v>-1.8590821491271915E-3</v>
      </c>
      <c r="AX147" s="21">
        <f t="shared" si="33"/>
        <v>2.4234043364553611E-3</v>
      </c>
      <c r="AY147" s="21">
        <f t="shared" si="34"/>
        <v>5.643221873281696E-4</v>
      </c>
      <c r="AZ147" s="22">
        <f t="shared" si="35"/>
        <v>1.045886862078641E-2</v>
      </c>
      <c r="BB147" s="22">
        <f t="shared" si="36"/>
        <v>5.643221873281696E-4</v>
      </c>
      <c r="BC147" s="22">
        <f t="shared" si="37"/>
        <v>1.3455996492747027E-2</v>
      </c>
    </row>
    <row r="148" spans="1:55" customFormat="1" x14ac:dyDescent="0.3">
      <c r="A148" s="1">
        <v>46238</v>
      </c>
      <c r="B148" s="11">
        <v>26.98</v>
      </c>
      <c r="C148" s="11">
        <v>28.97</v>
      </c>
      <c r="D148" s="12">
        <v>1.07375833951074</v>
      </c>
      <c r="E148" s="12">
        <v>1.07488560571617</v>
      </c>
      <c r="F148" s="12">
        <v>1.0734590051128701</v>
      </c>
      <c r="G148" s="12">
        <v>1.0727064311758301</v>
      </c>
      <c r="H148" s="11">
        <v>29.000413642222199</v>
      </c>
      <c r="I148" s="11">
        <v>28.9574912656376</v>
      </c>
      <c r="J148" s="11">
        <v>28.940996492866301</v>
      </c>
      <c r="K148" s="13">
        <v>-1.0492816283982399E-3</v>
      </c>
      <c r="L148" s="13">
        <v>4.3187558388731E-4</v>
      </c>
      <c r="M148" s="13">
        <v>1.0016581069276101E-3</v>
      </c>
      <c r="N148" s="25">
        <v>0</v>
      </c>
      <c r="O148" s="15">
        <v>0</v>
      </c>
      <c r="P148" s="16">
        <v>26.98</v>
      </c>
      <c r="Q148" s="16">
        <v>28.97</v>
      </c>
      <c r="R148" s="17">
        <v>1.07375833951074</v>
      </c>
      <c r="S148" s="17">
        <v>1.07488560571617</v>
      </c>
      <c r="T148" s="17">
        <v>1.0734590051128701</v>
      </c>
      <c r="U148" s="17">
        <v>1.0727064311758301</v>
      </c>
      <c r="V148" s="19">
        <v>29.000413642222199</v>
      </c>
      <c r="W148" s="19">
        <v>28.9574912656376</v>
      </c>
      <c r="X148" s="19">
        <v>28.940996492866301</v>
      </c>
      <c r="Y148" s="20">
        <v>-1.0492816283982399E-3</v>
      </c>
      <c r="Z148" s="20">
        <v>4.3187558388731E-4</v>
      </c>
      <c r="AA148" s="20">
        <v>1.0016581069276101E-3</v>
      </c>
      <c r="AC148" s="21">
        <f t="shared" si="38"/>
        <v>4.0854281522098935E-3</v>
      </c>
      <c r="AD148" s="21">
        <f t="shared" si="38"/>
        <v>4.150818827150295E-3</v>
      </c>
      <c r="AE148" s="21"/>
      <c r="AF148" s="21"/>
      <c r="AG148" s="15"/>
      <c r="AH148">
        <f t="shared" si="21"/>
        <v>0</v>
      </c>
      <c r="AI148">
        <f t="shared" si="22"/>
        <v>1</v>
      </c>
      <c r="AJ148">
        <f t="shared" si="23"/>
        <v>0</v>
      </c>
      <c r="AK148">
        <f t="shared" si="20"/>
        <v>0</v>
      </c>
      <c r="AL148" s="21">
        <f t="shared" si="24"/>
        <v>0</v>
      </c>
      <c r="AM148" s="21">
        <f t="shared" si="25"/>
        <v>0</v>
      </c>
      <c r="AN148" s="21">
        <f t="shared" si="26"/>
        <v>0</v>
      </c>
      <c r="AO148" s="22">
        <f t="shared" si="27"/>
        <v>2.997127871960617E-3</v>
      </c>
      <c r="AQ148" s="21"/>
      <c r="AR148" s="15"/>
      <c r="AS148">
        <f t="shared" si="28"/>
        <v>1</v>
      </c>
      <c r="AT148">
        <f t="shared" si="29"/>
        <v>0</v>
      </c>
      <c r="AU148">
        <f t="shared" si="30"/>
        <v>1</v>
      </c>
      <c r="AV148">
        <f t="shared" si="31"/>
        <v>0</v>
      </c>
      <c r="AW148" s="21">
        <f t="shared" si="32"/>
        <v>0</v>
      </c>
      <c r="AX148" s="21">
        <f t="shared" si="33"/>
        <v>0</v>
      </c>
      <c r="AY148" s="21">
        <f t="shared" si="34"/>
        <v>0</v>
      </c>
      <c r="AZ148" s="22">
        <f t="shared" si="35"/>
        <v>1.045886862078641E-2</v>
      </c>
      <c r="BB148" s="22">
        <f t="shared" si="36"/>
        <v>0</v>
      </c>
      <c r="BC148" s="22">
        <f t="shared" si="37"/>
        <v>1.3455996492747027E-2</v>
      </c>
    </row>
    <row r="149" spans="1:55" customFormat="1" x14ac:dyDescent="0.3">
      <c r="A149" s="1">
        <v>46239</v>
      </c>
      <c r="B149" s="11">
        <v>26.98</v>
      </c>
      <c r="C149" s="11">
        <v>28.97</v>
      </c>
      <c r="D149" s="12">
        <v>1.07375833951074</v>
      </c>
      <c r="E149" s="12">
        <v>1.07488560571617</v>
      </c>
      <c r="F149" s="12">
        <v>1.0735701985895201</v>
      </c>
      <c r="G149" s="12">
        <v>1.07279656217351</v>
      </c>
      <c r="H149" s="11">
        <v>29.000413642222199</v>
      </c>
      <c r="I149" s="11">
        <v>28.961923957945299</v>
      </c>
      <c r="J149" s="11">
        <v>28.941619513124099</v>
      </c>
      <c r="K149" s="13">
        <v>-1.0492816283982399E-3</v>
      </c>
      <c r="L149" s="13">
        <v>2.7881145852492101E-4</v>
      </c>
      <c r="M149" s="13">
        <v>9.8013108203335989E-4</v>
      </c>
      <c r="N149" s="25">
        <v>0</v>
      </c>
      <c r="O149" s="15">
        <v>0</v>
      </c>
      <c r="P149" s="16">
        <v>26.98</v>
      </c>
      <c r="Q149" s="16">
        <v>28.97</v>
      </c>
      <c r="R149" s="17">
        <v>1.07375833951074</v>
      </c>
      <c r="S149" s="17">
        <v>1.07488560571617</v>
      </c>
      <c r="T149" s="17">
        <v>1.0735701985895201</v>
      </c>
      <c r="U149" s="17">
        <v>1.07279656217351</v>
      </c>
      <c r="V149" s="19">
        <v>29.000413642222199</v>
      </c>
      <c r="W149" s="19">
        <v>28.961923957945299</v>
      </c>
      <c r="X149" s="19">
        <v>28.941619513124099</v>
      </c>
      <c r="Y149" s="20">
        <v>-1.0492816283982399E-3</v>
      </c>
      <c r="Z149" s="20">
        <v>2.7881145852492101E-4</v>
      </c>
      <c r="AA149" s="20">
        <v>9.8013108203335989E-4</v>
      </c>
      <c r="AC149" s="21">
        <f t="shared" si="38"/>
        <v>0</v>
      </c>
      <c r="AD149" s="21">
        <f t="shared" si="38"/>
        <v>0</v>
      </c>
      <c r="AE149" s="21"/>
      <c r="AF149" s="21"/>
      <c r="AG149" s="15"/>
      <c r="AH149">
        <f t="shared" si="21"/>
        <v>0</v>
      </c>
      <c r="AI149">
        <f t="shared" si="22"/>
        <v>1</v>
      </c>
      <c r="AJ149">
        <f t="shared" si="23"/>
        <v>0</v>
      </c>
      <c r="AK149">
        <f t="shared" si="20"/>
        <v>0</v>
      </c>
      <c r="AL149" s="21">
        <f t="shared" si="24"/>
        <v>0</v>
      </c>
      <c r="AM149" s="21">
        <f t="shared" si="25"/>
        <v>0</v>
      </c>
      <c r="AN149" s="21">
        <f t="shared" si="26"/>
        <v>0</v>
      </c>
      <c r="AO149" s="22">
        <f t="shared" si="27"/>
        <v>2.997127871960617E-3</v>
      </c>
      <c r="AQ149" s="21"/>
      <c r="AR149" s="15"/>
      <c r="AS149">
        <f t="shared" si="28"/>
        <v>0</v>
      </c>
      <c r="AT149">
        <f t="shared" si="29"/>
        <v>0</v>
      </c>
      <c r="AU149">
        <f t="shared" si="30"/>
        <v>0</v>
      </c>
      <c r="AV149">
        <f t="shared" si="31"/>
        <v>1</v>
      </c>
      <c r="AW149" s="21">
        <f t="shared" si="32"/>
        <v>0</v>
      </c>
      <c r="AX149" s="21">
        <f t="shared" si="33"/>
        <v>0</v>
      </c>
      <c r="AY149" s="21">
        <f t="shared" si="34"/>
        <v>0</v>
      </c>
      <c r="AZ149" s="22">
        <f t="shared" si="35"/>
        <v>1.045886862078641E-2</v>
      </c>
      <c r="BB149" s="22">
        <f t="shared" si="36"/>
        <v>0</v>
      </c>
      <c r="BC149" s="22">
        <f t="shared" si="37"/>
        <v>1.3455996492747027E-2</v>
      </c>
    </row>
    <row r="150" spans="1:55" customFormat="1" x14ac:dyDescent="0.3">
      <c r="A150" s="1">
        <v>46240</v>
      </c>
      <c r="B150" s="11">
        <v>26.93</v>
      </c>
      <c r="C150" s="11">
        <v>28.95</v>
      </c>
      <c r="D150" s="12">
        <v>1.0750092833271401</v>
      </c>
      <c r="E150" s="12">
        <v>1.07488560571617</v>
      </c>
      <c r="F150" s="12">
        <v>1.0737740308686201</v>
      </c>
      <c r="G150" s="12">
        <v>1.0729150204401601</v>
      </c>
      <c r="H150" s="11">
        <v>28.946669361936401</v>
      </c>
      <c r="I150" s="11">
        <v>28.911245448015901</v>
      </c>
      <c r="J150" s="11">
        <v>28.8904114193328</v>
      </c>
      <c r="K150" s="13">
        <v>1.15054565449207E-4</v>
      </c>
      <c r="L150" s="13">
        <v>1.3395687382552501E-3</v>
      </c>
      <c r="M150" s="13">
        <v>2.0604487515440001E-3</v>
      </c>
      <c r="N150" s="25">
        <v>0</v>
      </c>
      <c r="O150" s="15">
        <v>0</v>
      </c>
      <c r="P150" s="16">
        <v>26.93</v>
      </c>
      <c r="Q150" s="16">
        <v>28.95</v>
      </c>
      <c r="R150" s="17">
        <v>1.0750092833271401</v>
      </c>
      <c r="S150" s="17">
        <v>1.07488560571617</v>
      </c>
      <c r="T150" s="17">
        <v>1.0737740308686201</v>
      </c>
      <c r="U150" s="17">
        <v>1.0729150204401601</v>
      </c>
      <c r="V150" s="19">
        <v>28.946669361936401</v>
      </c>
      <c r="W150" s="19">
        <v>28.911245448015901</v>
      </c>
      <c r="X150" s="19">
        <v>28.8904114193328</v>
      </c>
      <c r="Y150" s="20">
        <v>1.15054565449207E-4</v>
      </c>
      <c r="Z150" s="20">
        <v>1.3395687382552501E-3</v>
      </c>
      <c r="AA150" s="20">
        <v>2.0604487515440001E-3</v>
      </c>
      <c r="AC150" s="21">
        <f t="shared" si="38"/>
        <v>-1.8549439561022737E-3</v>
      </c>
      <c r="AD150" s="21">
        <f t="shared" si="38"/>
        <v>-6.9060776225473111E-4</v>
      </c>
      <c r="AE150" s="21"/>
      <c r="AF150" s="21"/>
      <c r="AG150" s="15"/>
      <c r="AH150">
        <f t="shared" si="21"/>
        <v>0</v>
      </c>
      <c r="AI150">
        <f t="shared" si="22"/>
        <v>1</v>
      </c>
      <c r="AJ150">
        <f t="shared" si="23"/>
        <v>0</v>
      </c>
      <c r="AK150">
        <f t="shared" ref="AK150:AK156" si="39">IF(AH149,1,IF(AI149,0,AJ149))</f>
        <v>0</v>
      </c>
      <c r="AL150" s="21">
        <f t="shared" si="24"/>
        <v>0</v>
      </c>
      <c r="AM150" s="21">
        <f t="shared" si="25"/>
        <v>0</v>
      </c>
      <c r="AN150" s="21">
        <f t="shared" si="26"/>
        <v>0</v>
      </c>
      <c r="AO150" s="22">
        <f t="shared" si="27"/>
        <v>2.997127871960617E-3</v>
      </c>
      <c r="AQ150" s="21"/>
      <c r="AR150" s="15"/>
      <c r="AS150">
        <f t="shared" si="28"/>
        <v>1</v>
      </c>
      <c r="AT150">
        <f t="shared" si="29"/>
        <v>0</v>
      </c>
      <c r="AU150">
        <f t="shared" si="30"/>
        <v>1</v>
      </c>
      <c r="AV150">
        <f t="shared" si="31"/>
        <v>0</v>
      </c>
      <c r="AW150" s="21">
        <f t="shared" si="32"/>
        <v>0</v>
      </c>
      <c r="AX150" s="21">
        <f t="shared" si="33"/>
        <v>0</v>
      </c>
      <c r="AY150" s="21">
        <f t="shared" si="34"/>
        <v>0</v>
      </c>
      <c r="AZ150" s="22">
        <f t="shared" si="35"/>
        <v>1.045886862078641E-2</v>
      </c>
      <c r="BB150" s="22">
        <f t="shared" si="36"/>
        <v>0</v>
      </c>
      <c r="BC150" s="22">
        <f t="shared" si="37"/>
        <v>1.3455996492747027E-2</v>
      </c>
    </row>
    <row r="151" spans="1:55" customFormat="1" x14ac:dyDescent="0.3">
      <c r="A151" s="1">
        <v>46241</v>
      </c>
      <c r="B151" s="11">
        <v>26.99</v>
      </c>
      <c r="C151" s="11">
        <v>29.02</v>
      </c>
      <c r="D151" s="12">
        <v>1.07521304186735</v>
      </c>
      <c r="E151" s="12">
        <v>1.07488560571617</v>
      </c>
      <c r="F151" s="12">
        <v>1.0740381709318001</v>
      </c>
      <c r="G151" s="12">
        <v>1.0730950154645</v>
      </c>
      <c r="H151" s="11">
        <v>29.011162498279401</v>
      </c>
      <c r="I151" s="11">
        <v>28.981161093144198</v>
      </c>
      <c r="J151" s="11">
        <v>28.957976401680099</v>
      </c>
      <c r="K151" s="13">
        <v>3.0457779608118599E-4</v>
      </c>
      <c r="L151" s="13">
        <v>1.3392460402100099E-3</v>
      </c>
      <c r="M151" s="13">
        <v>2.1395580125329102E-3</v>
      </c>
      <c r="N151" s="25">
        <v>0</v>
      </c>
      <c r="O151" s="15">
        <v>0</v>
      </c>
      <c r="P151" s="16">
        <v>26.99</v>
      </c>
      <c r="Q151" s="16">
        <v>29.02</v>
      </c>
      <c r="R151" s="17">
        <v>1.07521304186735</v>
      </c>
      <c r="S151" s="17">
        <v>1.07488560571617</v>
      </c>
      <c r="T151" s="17">
        <v>1.0740381709318001</v>
      </c>
      <c r="U151" s="17">
        <v>1.0730950154645</v>
      </c>
      <c r="V151" s="19">
        <v>29.011162498279401</v>
      </c>
      <c r="W151" s="19">
        <v>28.981161093144198</v>
      </c>
      <c r="X151" s="19">
        <v>28.957976401680099</v>
      </c>
      <c r="Y151" s="20">
        <v>3.0457779608118599E-4</v>
      </c>
      <c r="Z151" s="20">
        <v>1.3392460402100099E-3</v>
      </c>
      <c r="AA151" s="20">
        <v>2.1395580125329102E-3</v>
      </c>
      <c r="AC151" s="21">
        <f t="shared" si="38"/>
        <v>2.2255202064056841E-3</v>
      </c>
      <c r="AD151" s="21">
        <f t="shared" si="38"/>
        <v>2.41504343703765E-3</v>
      </c>
      <c r="AE151" s="21"/>
      <c r="AF151" s="21"/>
      <c r="AG151" s="15"/>
      <c r="AH151">
        <f t="shared" ref="AH151:AH156" si="40">IF(AA151&lt;AG$1,1,0)</f>
        <v>0</v>
      </c>
      <c r="AI151">
        <f t="shared" ref="AI151:AI156" si="41">IF($AA151&gt;AG$2,1,0)</f>
        <v>1</v>
      </c>
      <c r="AJ151">
        <f t="shared" ref="AJ151:AJ156" si="42">AK151</f>
        <v>0</v>
      </c>
      <c r="AK151">
        <f t="shared" si="39"/>
        <v>0</v>
      </c>
      <c r="AL151" s="21">
        <f t="shared" ref="AL151:AL156" si="43">-AK151*$AC151</f>
        <v>0</v>
      </c>
      <c r="AM151" s="21">
        <f t="shared" ref="AM151:AM156" si="44">AK151*$AD151</f>
        <v>0</v>
      </c>
      <c r="AN151" s="21">
        <f t="shared" ref="AN151:AN156" si="45">AL151+AM151</f>
        <v>0</v>
      </c>
      <c r="AO151" s="22">
        <f t="shared" ref="AO151:AO156" si="46">AO150+AN151</f>
        <v>2.997127871960617E-3</v>
      </c>
      <c r="AQ151" s="21"/>
      <c r="AR151" s="15"/>
      <c r="AS151">
        <f t="shared" ref="AS151:AS156" si="47">IF($AA151&gt;AR$1,1,0)</f>
        <v>1</v>
      </c>
      <c r="AT151">
        <f t="shared" ref="AT151:AT156" si="48">IF($AA151&lt;AR$2,1,0)</f>
        <v>0</v>
      </c>
      <c r="AU151">
        <f t="shared" ref="AU151:AU156" si="49">AV150</f>
        <v>0</v>
      </c>
      <c r="AV151">
        <f t="shared" ref="AV151:AV156" si="50">IF(AS150,1,IF(AT150,0,AU150))</f>
        <v>1</v>
      </c>
      <c r="AW151" s="21">
        <f t="shared" ref="AW151:AW156" si="51">AV151*$AC151</f>
        <v>2.2255202064056841E-3</v>
      </c>
      <c r="AX151" s="21">
        <f t="shared" ref="AX151:AX156" si="52">-AV151*$AD151</f>
        <v>-2.41504343703765E-3</v>
      </c>
      <c r="AY151" s="21">
        <f t="shared" ref="AY151:AY156" si="53">AW151+AX151</f>
        <v>-1.8952323063196582E-4</v>
      </c>
      <c r="AZ151" s="22">
        <f t="shared" ref="AZ151:AZ156" si="54">AZ150+AY151</f>
        <v>1.0269345390154444E-2</v>
      </c>
      <c r="BB151" s="22">
        <f t="shared" ref="BB151:BB156" si="55">AN151+AY151</f>
        <v>-1.8952323063196582E-4</v>
      </c>
      <c r="BC151" s="22">
        <f t="shared" ref="BC151:BC156" si="56">BC150+BB151</f>
        <v>1.3266473262115061E-2</v>
      </c>
    </row>
    <row r="152" spans="1:55" customFormat="1" x14ac:dyDescent="0.3">
      <c r="A152" s="1">
        <v>46244</v>
      </c>
      <c r="B152" s="11">
        <v>26.99</v>
      </c>
      <c r="C152" s="11">
        <v>28.96</v>
      </c>
      <c r="D152" s="12">
        <v>1.0729899962949201</v>
      </c>
      <c r="E152" s="12">
        <v>1.07488560571617</v>
      </c>
      <c r="F152" s="12">
        <v>1.07389946137572</v>
      </c>
      <c r="G152" s="12">
        <v>1.07311488564962</v>
      </c>
      <c r="H152" s="11">
        <v>29.011162498279401</v>
      </c>
      <c r="I152" s="11">
        <v>28.988290233449401</v>
      </c>
      <c r="J152" s="11">
        <v>28.962834467387001</v>
      </c>
      <c r="K152" s="13">
        <v>-1.7651021424449399E-3</v>
      </c>
      <c r="L152" s="13">
        <v>-9.7639587235476397E-4</v>
      </c>
      <c r="M152" s="13">
        <v>-9.7870465607871699E-5</v>
      </c>
      <c r="N152" s="25">
        <v>0</v>
      </c>
      <c r="O152" s="15">
        <v>0</v>
      </c>
      <c r="P152" s="16">
        <v>26.99</v>
      </c>
      <c r="Q152" s="16">
        <v>28.96</v>
      </c>
      <c r="R152" s="17">
        <v>1.0729899962949201</v>
      </c>
      <c r="S152" s="17">
        <v>1.07488560571617</v>
      </c>
      <c r="T152" s="17">
        <v>1.07389946137572</v>
      </c>
      <c r="U152" s="17">
        <v>1.07311488564962</v>
      </c>
      <c r="V152" s="19">
        <v>29.011162498279401</v>
      </c>
      <c r="W152" s="19">
        <v>28.988290233449401</v>
      </c>
      <c r="X152" s="19">
        <v>28.962834467387001</v>
      </c>
      <c r="Y152" s="20">
        <v>-1.7651021424449399E-3</v>
      </c>
      <c r="Z152" s="20">
        <v>-9.7639587235476397E-4</v>
      </c>
      <c r="AA152" s="20">
        <v>-9.7870465607871699E-5</v>
      </c>
      <c r="AC152" s="21">
        <f t="shared" si="38"/>
        <v>0</v>
      </c>
      <c r="AD152" s="21">
        <f t="shared" si="38"/>
        <v>-2.0696799385260894E-3</v>
      </c>
      <c r="AE152" s="21"/>
      <c r="AF152" s="21"/>
      <c r="AG152" s="15"/>
      <c r="AH152">
        <f t="shared" si="40"/>
        <v>0</v>
      </c>
      <c r="AI152">
        <f t="shared" si="41"/>
        <v>0</v>
      </c>
      <c r="AJ152">
        <f t="shared" si="42"/>
        <v>0</v>
      </c>
      <c r="AK152">
        <f t="shared" si="39"/>
        <v>0</v>
      </c>
      <c r="AL152" s="21">
        <f t="shared" si="43"/>
        <v>0</v>
      </c>
      <c r="AM152" s="21">
        <f t="shared" si="44"/>
        <v>0</v>
      </c>
      <c r="AN152" s="21">
        <f t="shared" si="45"/>
        <v>0</v>
      </c>
      <c r="AO152" s="22">
        <f t="shared" si="46"/>
        <v>2.997127871960617E-3</v>
      </c>
      <c r="AQ152" s="21"/>
      <c r="AR152" s="15"/>
      <c r="AS152">
        <f t="shared" si="47"/>
        <v>0</v>
      </c>
      <c r="AT152">
        <f t="shared" si="48"/>
        <v>1</v>
      </c>
      <c r="AU152">
        <f t="shared" si="49"/>
        <v>1</v>
      </c>
      <c r="AV152">
        <f t="shared" si="50"/>
        <v>1</v>
      </c>
      <c r="AW152" s="21">
        <f t="shared" si="51"/>
        <v>0</v>
      </c>
      <c r="AX152" s="21">
        <f t="shared" si="52"/>
        <v>2.0696799385260894E-3</v>
      </c>
      <c r="AY152" s="21">
        <f t="shared" si="53"/>
        <v>2.0696799385260894E-3</v>
      </c>
      <c r="AZ152" s="22">
        <f t="shared" si="54"/>
        <v>1.2339025328680534E-2</v>
      </c>
      <c r="BB152" s="22">
        <f t="shared" si="55"/>
        <v>2.0696799385260894E-3</v>
      </c>
      <c r="BC152" s="22">
        <f t="shared" si="56"/>
        <v>1.5336153200641151E-2</v>
      </c>
    </row>
    <row r="153" spans="1:55" customFormat="1" x14ac:dyDescent="0.3">
      <c r="A153" s="1">
        <v>46245</v>
      </c>
      <c r="B153" s="11">
        <v>27</v>
      </c>
      <c r="C153" s="11">
        <v>28.96</v>
      </c>
      <c r="D153" s="12">
        <v>1.0725925925925901</v>
      </c>
      <c r="E153" s="12">
        <v>1.07488560571617</v>
      </c>
      <c r="F153" s="12">
        <v>1.0738488876108601</v>
      </c>
      <c r="G153" s="12">
        <v>1.07312427146691</v>
      </c>
      <c r="H153" s="11">
        <v>29.021911354336599</v>
      </c>
      <c r="I153" s="11">
        <v>28.9952854571446</v>
      </c>
      <c r="J153" s="11">
        <v>28.974101912539801</v>
      </c>
      <c r="K153" s="13">
        <v>-2.1355411168609301E-3</v>
      </c>
      <c r="L153" s="13">
        <v>-1.2176788096631801E-3</v>
      </c>
      <c r="M153" s="13">
        <v>-4.8682597478278902E-4</v>
      </c>
      <c r="N153" s="25">
        <v>0</v>
      </c>
      <c r="O153" s="15">
        <v>0</v>
      </c>
      <c r="P153" s="16">
        <v>27</v>
      </c>
      <c r="Q153" s="16">
        <v>28.96</v>
      </c>
      <c r="R153" s="17">
        <v>1.0725925925925901</v>
      </c>
      <c r="S153" s="17">
        <v>1.07488560571617</v>
      </c>
      <c r="T153" s="17">
        <v>1.0738488876108601</v>
      </c>
      <c r="U153" s="17">
        <v>1.07312427146691</v>
      </c>
      <c r="V153" s="19">
        <v>29.021911354336599</v>
      </c>
      <c r="W153" s="19">
        <v>28.9952854571446</v>
      </c>
      <c r="X153" s="19">
        <v>28.974101912539801</v>
      </c>
      <c r="Y153" s="20">
        <v>-2.1355411168609301E-3</v>
      </c>
      <c r="Z153" s="20">
        <v>-1.2176788096631801E-3</v>
      </c>
      <c r="AA153" s="20">
        <v>-4.8682597478278902E-4</v>
      </c>
      <c r="AC153" s="21">
        <f t="shared" si="38"/>
        <v>3.7043897441577122E-4</v>
      </c>
      <c r="AD153" s="21">
        <f t="shared" si="38"/>
        <v>0</v>
      </c>
      <c r="AE153" s="21"/>
      <c r="AF153" s="21"/>
      <c r="AG153" s="15"/>
      <c r="AH153">
        <f t="shared" si="40"/>
        <v>0</v>
      </c>
      <c r="AI153">
        <f t="shared" si="41"/>
        <v>0</v>
      </c>
      <c r="AJ153">
        <f t="shared" si="42"/>
        <v>0</v>
      </c>
      <c r="AK153">
        <f t="shared" si="39"/>
        <v>0</v>
      </c>
      <c r="AL153" s="21">
        <f t="shared" si="43"/>
        <v>0</v>
      </c>
      <c r="AM153" s="21">
        <f t="shared" si="44"/>
        <v>0</v>
      </c>
      <c r="AN153" s="21">
        <f t="shared" si="45"/>
        <v>0</v>
      </c>
      <c r="AO153" s="22">
        <f t="shared" si="46"/>
        <v>2.997127871960617E-3</v>
      </c>
      <c r="AQ153" s="21"/>
      <c r="AR153" s="15"/>
      <c r="AS153">
        <f t="shared" si="47"/>
        <v>0</v>
      </c>
      <c r="AT153">
        <f t="shared" si="48"/>
        <v>1</v>
      </c>
      <c r="AU153">
        <f t="shared" si="49"/>
        <v>1</v>
      </c>
      <c r="AV153">
        <f t="shared" si="50"/>
        <v>0</v>
      </c>
      <c r="AW153" s="21">
        <f t="shared" si="51"/>
        <v>0</v>
      </c>
      <c r="AX153" s="21">
        <f t="shared" si="52"/>
        <v>0</v>
      </c>
      <c r="AY153" s="21">
        <f t="shared" si="53"/>
        <v>0</v>
      </c>
      <c r="AZ153" s="22">
        <f t="shared" si="54"/>
        <v>1.2339025328680534E-2</v>
      </c>
      <c r="BB153" s="22">
        <f t="shared" si="55"/>
        <v>0</v>
      </c>
      <c r="BC153" s="22">
        <f t="shared" si="56"/>
        <v>1.5336153200641151E-2</v>
      </c>
    </row>
    <row r="154" spans="1:55" customFormat="1" x14ac:dyDescent="0.3">
      <c r="A154" s="1">
        <v>46246</v>
      </c>
      <c r="B154" s="11">
        <v>27.02</v>
      </c>
      <c r="C154" s="11">
        <v>29.03</v>
      </c>
      <c r="D154" s="12">
        <v>1.07438934122871</v>
      </c>
      <c r="E154" s="12">
        <v>1.07488560571617</v>
      </c>
      <c r="F154" s="12">
        <v>1.0739162655163099</v>
      </c>
      <c r="G154" s="12">
        <v>1.0732881010928299</v>
      </c>
      <c r="H154" s="11">
        <v>29.043409066450899</v>
      </c>
      <c r="I154" s="11">
        <v>29.015396943245602</v>
      </c>
      <c r="J154" s="11">
        <v>28.995817815035998</v>
      </c>
      <c r="K154" s="13">
        <v>-4.6179712556165998E-4</v>
      </c>
      <c r="L154" s="13">
        <v>5.0315986560378796E-4</v>
      </c>
      <c r="M154" s="13">
        <v>1.1781717244172E-3</v>
      </c>
      <c r="N154" s="25">
        <v>0</v>
      </c>
      <c r="O154" s="15">
        <v>0</v>
      </c>
      <c r="P154" s="16">
        <v>27.02</v>
      </c>
      <c r="Q154" s="16">
        <v>29.03</v>
      </c>
      <c r="R154" s="17">
        <v>1.07438934122871</v>
      </c>
      <c r="S154" s="17">
        <v>1.07488560571617</v>
      </c>
      <c r="T154" s="17">
        <v>1.0739162655163099</v>
      </c>
      <c r="U154" s="17">
        <v>1.0732881010928299</v>
      </c>
      <c r="V154" s="19">
        <v>29.043409066450899</v>
      </c>
      <c r="W154" s="19">
        <v>29.015396943245602</v>
      </c>
      <c r="X154" s="19">
        <v>28.995817815035998</v>
      </c>
      <c r="Y154" s="20">
        <v>-4.6179712556165998E-4</v>
      </c>
      <c r="Z154" s="20">
        <v>5.0315986560378796E-4</v>
      </c>
      <c r="AA154" s="20">
        <v>1.1781717244172E-3</v>
      </c>
      <c r="AC154" s="21">
        <f t="shared" si="38"/>
        <v>7.4046652772369196E-4</v>
      </c>
      <c r="AD154" s="21">
        <f t="shared" si="38"/>
        <v>2.4142105190228806E-3</v>
      </c>
      <c r="AE154" s="21"/>
      <c r="AF154" s="21"/>
      <c r="AG154" s="15"/>
      <c r="AH154">
        <f t="shared" si="40"/>
        <v>0</v>
      </c>
      <c r="AI154">
        <f t="shared" si="41"/>
        <v>1</v>
      </c>
      <c r="AJ154">
        <f t="shared" si="42"/>
        <v>0</v>
      </c>
      <c r="AK154">
        <f t="shared" si="39"/>
        <v>0</v>
      </c>
      <c r="AL154" s="21">
        <f t="shared" si="43"/>
        <v>0</v>
      </c>
      <c r="AM154" s="21">
        <f t="shared" si="44"/>
        <v>0</v>
      </c>
      <c r="AN154" s="21">
        <f t="shared" si="45"/>
        <v>0</v>
      </c>
      <c r="AO154" s="22">
        <f t="shared" si="46"/>
        <v>2.997127871960617E-3</v>
      </c>
      <c r="AQ154" s="21"/>
      <c r="AR154" s="15"/>
      <c r="AS154">
        <f t="shared" si="47"/>
        <v>1</v>
      </c>
      <c r="AT154">
        <f t="shared" si="48"/>
        <v>0</v>
      </c>
      <c r="AU154">
        <f t="shared" si="49"/>
        <v>0</v>
      </c>
      <c r="AV154">
        <f t="shared" si="50"/>
        <v>0</v>
      </c>
      <c r="AW154" s="21">
        <f t="shared" si="51"/>
        <v>0</v>
      </c>
      <c r="AX154" s="21">
        <f t="shared" si="52"/>
        <v>0</v>
      </c>
      <c r="AY154" s="21">
        <f t="shared" si="53"/>
        <v>0</v>
      </c>
      <c r="AZ154" s="22">
        <f t="shared" si="54"/>
        <v>1.2339025328680534E-2</v>
      </c>
      <c r="BB154" s="22">
        <f t="shared" si="55"/>
        <v>0</v>
      </c>
      <c r="BC154" s="22">
        <f t="shared" si="56"/>
        <v>1.5336153200641151E-2</v>
      </c>
    </row>
    <row r="155" spans="1:55" customFormat="1" x14ac:dyDescent="0.3">
      <c r="A155" s="1">
        <v>46247</v>
      </c>
      <c r="B155" s="11">
        <v>27.12</v>
      </c>
      <c r="C155" s="11">
        <v>29.09</v>
      </c>
      <c r="D155" s="12">
        <v>1.0726401179941001</v>
      </c>
      <c r="E155" s="12">
        <v>1.07488560571617</v>
      </c>
      <c r="F155" s="12">
        <v>1.0738333385402099</v>
      </c>
      <c r="G155" s="12">
        <v>1.0733434108273401</v>
      </c>
      <c r="H155" s="11">
        <v>29.150897627022498</v>
      </c>
      <c r="I155" s="11">
        <v>29.1246091208025</v>
      </c>
      <c r="J155" s="11">
        <v>29.107573301637601</v>
      </c>
      <c r="K155" s="13">
        <v>-2.0912331951320599E-3</v>
      </c>
      <c r="L155" s="13">
        <v>-1.18901854371677E-3</v>
      </c>
      <c r="M155" s="13">
        <v>-6.0391872632326396E-4</v>
      </c>
      <c r="N155" s="25">
        <v>0</v>
      </c>
      <c r="O155" s="15">
        <v>0</v>
      </c>
      <c r="P155" s="16">
        <v>27.12</v>
      </c>
      <c r="Q155" s="16">
        <v>29.09</v>
      </c>
      <c r="R155" s="17">
        <v>1.0726401179941001</v>
      </c>
      <c r="S155" s="17">
        <v>1.07488560571617</v>
      </c>
      <c r="T155" s="17">
        <v>1.0738333385402099</v>
      </c>
      <c r="U155" s="17">
        <v>1.0733434108273401</v>
      </c>
      <c r="V155" s="19">
        <v>29.150897627022498</v>
      </c>
      <c r="W155" s="19">
        <v>29.1246091208025</v>
      </c>
      <c r="X155" s="19">
        <v>29.107573301637601</v>
      </c>
      <c r="Y155" s="20">
        <v>-2.0912331951320599E-3</v>
      </c>
      <c r="Z155" s="20">
        <v>-1.18901854371677E-3</v>
      </c>
      <c r="AA155" s="20">
        <v>-6.0391872632326396E-4</v>
      </c>
      <c r="AC155" s="21">
        <f t="shared" si="38"/>
        <v>3.694130540142098E-3</v>
      </c>
      <c r="AD155" s="21">
        <f t="shared" si="38"/>
        <v>2.0646944705717913E-3</v>
      </c>
      <c r="AE155" s="21"/>
      <c r="AF155" s="21"/>
      <c r="AG155" s="15"/>
      <c r="AH155">
        <f t="shared" si="40"/>
        <v>0</v>
      </c>
      <c r="AI155">
        <f t="shared" si="41"/>
        <v>0</v>
      </c>
      <c r="AJ155">
        <f t="shared" si="42"/>
        <v>0</v>
      </c>
      <c r="AK155">
        <f t="shared" si="39"/>
        <v>0</v>
      </c>
      <c r="AL155" s="21">
        <f t="shared" si="43"/>
        <v>0</v>
      </c>
      <c r="AM155" s="21">
        <f t="shared" si="44"/>
        <v>0</v>
      </c>
      <c r="AN155" s="21">
        <f t="shared" si="45"/>
        <v>0</v>
      </c>
      <c r="AO155" s="22">
        <f t="shared" si="46"/>
        <v>2.997127871960617E-3</v>
      </c>
      <c r="AQ155" s="21"/>
      <c r="AR155" s="15"/>
      <c r="AS155">
        <f t="shared" si="47"/>
        <v>0</v>
      </c>
      <c r="AT155">
        <f t="shared" si="48"/>
        <v>1</v>
      </c>
      <c r="AU155">
        <f t="shared" si="49"/>
        <v>0</v>
      </c>
      <c r="AV155">
        <f t="shared" si="50"/>
        <v>1</v>
      </c>
      <c r="AW155" s="21">
        <f t="shared" si="51"/>
        <v>3.694130540142098E-3</v>
      </c>
      <c r="AX155" s="21">
        <f t="shared" si="52"/>
        <v>-2.0646944705717913E-3</v>
      </c>
      <c r="AY155" s="21">
        <f t="shared" si="53"/>
        <v>1.6294360695703067E-3</v>
      </c>
      <c r="AZ155" s="22">
        <f t="shared" si="54"/>
        <v>1.396846139825084E-2</v>
      </c>
      <c r="BB155" s="22">
        <f t="shared" si="55"/>
        <v>1.6294360695703067E-3</v>
      </c>
      <c r="BC155" s="22">
        <f t="shared" si="56"/>
        <v>1.6965589270211457E-2</v>
      </c>
    </row>
    <row r="156" spans="1:55" customFormat="1" x14ac:dyDescent="0.3">
      <c r="A156" s="1">
        <v>46248</v>
      </c>
      <c r="B156" s="11">
        <v>27.07</v>
      </c>
      <c r="C156" s="11">
        <v>29.04</v>
      </c>
      <c r="D156" s="12">
        <v>1.0727742888806699</v>
      </c>
      <c r="E156" s="12">
        <v>1.07488560571617</v>
      </c>
      <c r="F156" s="12">
        <v>1.0736813469230799</v>
      </c>
      <c r="G156" s="12">
        <v>1.07342386568435</v>
      </c>
      <c r="H156" s="11">
        <v>29.0971533467367</v>
      </c>
      <c r="I156" s="11">
        <v>29.068668474283601</v>
      </c>
      <c r="J156" s="11">
        <v>29.055406131096198</v>
      </c>
      <c r="K156" s="13">
        <v>-1.9661562996619499E-3</v>
      </c>
      <c r="L156" s="13">
        <v>-9.8671944693915696E-4</v>
      </c>
      <c r="M156" s="13">
        <v>-5.3037348332216495E-4</v>
      </c>
      <c r="N156" s="25">
        <v>0</v>
      </c>
      <c r="O156" s="15">
        <v>0</v>
      </c>
      <c r="P156" s="16">
        <v>27.07</v>
      </c>
      <c r="Q156" s="16">
        <v>29.04</v>
      </c>
      <c r="R156" s="17">
        <v>1.0727742888806699</v>
      </c>
      <c r="S156" s="17">
        <v>1.07488560571617</v>
      </c>
      <c r="T156" s="17">
        <v>1.0736813469230799</v>
      </c>
      <c r="U156" s="17">
        <v>1.07342386568435</v>
      </c>
      <c r="V156" s="19">
        <v>29.0971533467367</v>
      </c>
      <c r="W156" s="19">
        <v>29.068668474283601</v>
      </c>
      <c r="X156" s="19">
        <v>29.055406131096198</v>
      </c>
      <c r="Y156" s="20">
        <v>-1.9661562996619499E-3</v>
      </c>
      <c r="Z156" s="20">
        <v>-9.8671944693915696E-4</v>
      </c>
      <c r="AA156" s="20">
        <v>-5.3037348332216495E-4</v>
      </c>
      <c r="AC156" s="21">
        <f t="shared" si="38"/>
        <v>-1.8453594459850173E-3</v>
      </c>
      <c r="AD156" s="21">
        <f t="shared" si="38"/>
        <v>-1.720282550514918E-3</v>
      </c>
      <c r="AE156" s="21"/>
      <c r="AF156" s="21"/>
      <c r="AG156" s="15"/>
      <c r="AH156">
        <f t="shared" si="40"/>
        <v>0</v>
      </c>
      <c r="AI156">
        <f t="shared" si="41"/>
        <v>0</v>
      </c>
      <c r="AJ156">
        <f t="shared" si="42"/>
        <v>0</v>
      </c>
      <c r="AK156">
        <f t="shared" si="39"/>
        <v>0</v>
      </c>
      <c r="AL156" s="21">
        <f t="shared" si="43"/>
        <v>0</v>
      </c>
      <c r="AM156" s="21">
        <f t="shared" si="44"/>
        <v>0</v>
      </c>
      <c r="AN156" s="21">
        <f t="shared" si="45"/>
        <v>0</v>
      </c>
      <c r="AO156" s="22">
        <f t="shared" si="46"/>
        <v>2.997127871960617E-3</v>
      </c>
      <c r="AQ156" s="21"/>
      <c r="AR156" s="15"/>
      <c r="AS156">
        <f t="shared" si="47"/>
        <v>0</v>
      </c>
      <c r="AT156">
        <f t="shared" si="48"/>
        <v>1</v>
      </c>
      <c r="AU156">
        <f t="shared" si="49"/>
        <v>1</v>
      </c>
      <c r="AV156">
        <f t="shared" si="50"/>
        <v>0</v>
      </c>
      <c r="AW156" s="21">
        <f t="shared" si="51"/>
        <v>0</v>
      </c>
      <c r="AX156" s="21">
        <f t="shared" si="52"/>
        <v>0</v>
      </c>
      <c r="AY156" s="21">
        <f t="shared" si="53"/>
        <v>0</v>
      </c>
      <c r="AZ156" s="22">
        <f t="shared" si="54"/>
        <v>1.396846139825084E-2</v>
      </c>
      <c r="BB156" s="22">
        <f t="shared" si="55"/>
        <v>0</v>
      </c>
      <c r="BC156" s="22">
        <f t="shared" si="56"/>
        <v>1.6965589270211457E-2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faln_angl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2026-09-03T02:03:32Z</dcterms:created>
  <dcterms:modified xsi:type="dcterms:W3CDTF">2026-09-03T02:03:32Z</dcterms:modified>
</cp:coreProperties>
</file>