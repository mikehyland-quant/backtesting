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9C7055DB-82BA-4B05-A2BE-349F6CFEC67A}" xr6:coauthVersionLast="47" xr6:coauthVersionMax="47" xr10:uidLastSave="{00000000-0000-0000-0000-000000000000}"/>
  <bookViews>
    <workbookView xWindow="28680" yWindow="-120" windowWidth="29040" windowHeight="15720" xr2:uid="{19C404DE-2775-4F43-89AD-1260779F58B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M174" i="1"/>
  <c r="AK174" i="1"/>
  <c r="AJ174" i="1"/>
  <c r="AX173" i="1"/>
  <c r="AV173" i="1"/>
  <c r="AU173" i="1"/>
  <c r="AM173" i="1"/>
  <c r="AK173" i="1"/>
  <c r="AJ173" i="1"/>
  <c r="AX172" i="1"/>
  <c r="AV172" i="1"/>
  <c r="AU172" i="1"/>
  <c r="AY173" i="1" s="1"/>
  <c r="AM172" i="1"/>
  <c r="AK172" i="1"/>
  <c r="AJ172" i="1"/>
  <c r="AX171" i="1"/>
  <c r="AV171" i="1"/>
  <c r="AU171" i="1"/>
  <c r="AM171" i="1"/>
  <c r="AK171" i="1"/>
  <c r="AJ171" i="1"/>
  <c r="AX170" i="1"/>
  <c r="AV170" i="1"/>
  <c r="AU170" i="1"/>
  <c r="AM170" i="1"/>
  <c r="AK170" i="1"/>
  <c r="AJ170" i="1"/>
  <c r="AN171" i="1" s="1"/>
  <c r="AX169" i="1"/>
  <c r="AV169" i="1"/>
  <c r="AU169" i="1"/>
  <c r="AY170" i="1" s="1"/>
  <c r="AM169" i="1"/>
  <c r="AK169" i="1"/>
  <c r="AJ169" i="1"/>
  <c r="AX168" i="1"/>
  <c r="AV168" i="1"/>
  <c r="AU168" i="1"/>
  <c r="AM168" i="1"/>
  <c r="AK168" i="1"/>
  <c r="AJ168" i="1"/>
  <c r="AX167" i="1"/>
  <c r="AV167" i="1"/>
  <c r="AU167" i="1"/>
  <c r="AM167" i="1"/>
  <c r="AK167" i="1"/>
  <c r="AJ167" i="1"/>
  <c r="AX166" i="1"/>
  <c r="AV166" i="1"/>
  <c r="AU166" i="1"/>
  <c r="AM166" i="1"/>
  <c r="AK166" i="1"/>
  <c r="AJ166" i="1"/>
  <c r="AX165" i="1"/>
  <c r="AV165" i="1"/>
  <c r="AU165" i="1"/>
  <c r="AY166" i="1" s="1"/>
  <c r="AM165" i="1"/>
  <c r="AK165" i="1"/>
  <c r="AJ165" i="1"/>
  <c r="AX164" i="1"/>
  <c r="AV164" i="1"/>
  <c r="AU164" i="1"/>
  <c r="AY165" i="1" s="1"/>
  <c r="AM164" i="1"/>
  <c r="AK164" i="1"/>
  <c r="AJ164" i="1"/>
  <c r="AX163" i="1"/>
  <c r="AV163" i="1"/>
  <c r="AU163" i="1"/>
  <c r="AY164" i="1" s="1"/>
  <c r="AM163" i="1"/>
  <c r="AK163" i="1"/>
  <c r="AJ163" i="1"/>
  <c r="AX162" i="1"/>
  <c r="AV162" i="1"/>
  <c r="AU162" i="1"/>
  <c r="AY163" i="1" s="1"/>
  <c r="AM162" i="1"/>
  <c r="AK162" i="1"/>
  <c r="AJ162" i="1"/>
  <c r="AX161" i="1"/>
  <c r="AV161" i="1"/>
  <c r="AU161" i="1"/>
  <c r="AM161" i="1"/>
  <c r="AK161" i="1"/>
  <c r="AJ161" i="1"/>
  <c r="AX160" i="1"/>
  <c r="AV160" i="1"/>
  <c r="AU160" i="1"/>
  <c r="AY161" i="1" s="1"/>
  <c r="AM160" i="1"/>
  <c r="AK160" i="1"/>
  <c r="AJ160" i="1"/>
  <c r="AX159" i="1"/>
  <c r="AV159" i="1"/>
  <c r="AU159" i="1"/>
  <c r="AY160" i="1" s="1"/>
  <c r="AM159" i="1"/>
  <c r="AK159" i="1"/>
  <c r="AJ159" i="1"/>
  <c r="AX158" i="1"/>
  <c r="AV158" i="1"/>
  <c r="AU158" i="1"/>
  <c r="AY159" i="1" s="1"/>
  <c r="AM158" i="1"/>
  <c r="AK158" i="1"/>
  <c r="AJ158" i="1"/>
  <c r="AX157" i="1"/>
  <c r="AV157" i="1"/>
  <c r="AU157" i="1"/>
  <c r="AY158" i="1" s="1"/>
  <c r="AM157" i="1"/>
  <c r="AK157" i="1"/>
  <c r="AJ157" i="1"/>
  <c r="AN158" i="1" s="1"/>
  <c r="AX156" i="1"/>
  <c r="AV156" i="1"/>
  <c r="AU156" i="1"/>
  <c r="AM156" i="1"/>
  <c r="AK156" i="1"/>
  <c r="AJ156" i="1"/>
  <c r="AX155" i="1"/>
  <c r="AV155" i="1"/>
  <c r="AU155" i="1"/>
  <c r="AM155" i="1"/>
  <c r="AK155" i="1"/>
  <c r="AJ155" i="1"/>
  <c r="AN156" i="1" s="1"/>
  <c r="AX154" i="1"/>
  <c r="AV154" i="1"/>
  <c r="AU154" i="1"/>
  <c r="AM154" i="1"/>
  <c r="AK154" i="1"/>
  <c r="AJ154" i="1"/>
  <c r="AX153" i="1"/>
  <c r="AV153" i="1"/>
  <c r="AU153" i="1"/>
  <c r="AY154" i="1" s="1"/>
  <c r="AM153" i="1"/>
  <c r="AK153" i="1"/>
  <c r="AJ153" i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Y150" i="1" s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M147" i="1"/>
  <c r="AK147" i="1"/>
  <c r="AJ147" i="1"/>
  <c r="AN148" i="1" s="1"/>
  <c r="AX146" i="1"/>
  <c r="AV146" i="1"/>
  <c r="AU146" i="1"/>
  <c r="AM146" i="1"/>
  <c r="AK146" i="1"/>
  <c r="AJ146" i="1"/>
  <c r="AX145" i="1"/>
  <c r="AV145" i="1"/>
  <c r="AU145" i="1"/>
  <c r="AM145" i="1"/>
  <c r="AK145" i="1"/>
  <c r="AJ145" i="1"/>
  <c r="AX144" i="1"/>
  <c r="AV144" i="1"/>
  <c r="AU144" i="1"/>
  <c r="AM144" i="1"/>
  <c r="AK144" i="1"/>
  <c r="AJ144" i="1"/>
  <c r="AX143" i="1"/>
  <c r="AV143" i="1"/>
  <c r="AU143" i="1"/>
  <c r="AY144" i="1" s="1"/>
  <c r="AM143" i="1"/>
  <c r="AK143" i="1"/>
  <c r="AJ143" i="1"/>
  <c r="AX142" i="1"/>
  <c r="AV142" i="1"/>
  <c r="AU142" i="1"/>
  <c r="AY143" i="1" s="1"/>
  <c r="AM142" i="1"/>
  <c r="AK142" i="1"/>
  <c r="AJ142" i="1"/>
  <c r="AX141" i="1"/>
  <c r="AV141" i="1"/>
  <c r="AU141" i="1"/>
  <c r="AY142" i="1" s="1"/>
  <c r="AM141" i="1"/>
  <c r="AK141" i="1"/>
  <c r="AJ141" i="1"/>
  <c r="AN142" i="1" s="1"/>
  <c r="AX140" i="1"/>
  <c r="AV140" i="1"/>
  <c r="AU140" i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Y139" i="1" s="1"/>
  <c r="AM138" i="1"/>
  <c r="AK138" i="1"/>
  <c r="AJ138" i="1"/>
  <c r="AX137" i="1"/>
  <c r="AV137" i="1"/>
  <c r="AU137" i="1"/>
  <c r="AY138" i="1" s="1"/>
  <c r="AM137" i="1"/>
  <c r="AK137" i="1"/>
  <c r="AJ137" i="1"/>
  <c r="AX136" i="1"/>
  <c r="AV136" i="1"/>
  <c r="AU136" i="1"/>
  <c r="AY137" i="1" s="1"/>
  <c r="AM136" i="1"/>
  <c r="AK136" i="1"/>
  <c r="AJ136" i="1"/>
  <c r="AX135" i="1"/>
  <c r="AV135" i="1"/>
  <c r="AU135" i="1"/>
  <c r="AM135" i="1"/>
  <c r="AK135" i="1"/>
  <c r="AJ135" i="1"/>
  <c r="AX134" i="1"/>
  <c r="AV134" i="1"/>
  <c r="AU134" i="1"/>
  <c r="AY135" i="1" s="1"/>
  <c r="AM134" i="1"/>
  <c r="AK134" i="1"/>
  <c r="AJ134" i="1"/>
  <c r="AX133" i="1"/>
  <c r="AV133" i="1"/>
  <c r="AU133" i="1"/>
  <c r="AM133" i="1"/>
  <c r="AK133" i="1"/>
  <c r="AJ133" i="1"/>
  <c r="AX132" i="1"/>
  <c r="AV132" i="1"/>
  <c r="AU132" i="1"/>
  <c r="AM132" i="1"/>
  <c r="AK132" i="1"/>
  <c r="AJ132" i="1"/>
  <c r="AX131" i="1"/>
  <c r="AV131" i="1"/>
  <c r="AU131" i="1"/>
  <c r="AY132" i="1" s="1"/>
  <c r="AM131" i="1"/>
  <c r="AK131" i="1"/>
  <c r="AJ131" i="1"/>
  <c r="AX130" i="1"/>
  <c r="AV130" i="1"/>
  <c r="AU130" i="1"/>
  <c r="AY131" i="1" s="1"/>
  <c r="AM130" i="1"/>
  <c r="AK130" i="1"/>
  <c r="AJ130" i="1"/>
  <c r="AX129" i="1"/>
  <c r="AV129" i="1"/>
  <c r="AU129" i="1"/>
  <c r="AM129" i="1"/>
  <c r="AK129" i="1"/>
  <c r="AJ129" i="1"/>
  <c r="AX128" i="1"/>
  <c r="AV128" i="1"/>
  <c r="AU128" i="1"/>
  <c r="AM128" i="1"/>
  <c r="AK128" i="1"/>
  <c r="AJ128" i="1"/>
  <c r="AX127" i="1"/>
  <c r="AV127" i="1"/>
  <c r="AU127" i="1"/>
  <c r="AM127" i="1"/>
  <c r="AK127" i="1"/>
  <c r="AJ127" i="1"/>
  <c r="AX126" i="1"/>
  <c r="AV126" i="1"/>
  <c r="AU126" i="1"/>
  <c r="AM126" i="1"/>
  <c r="AK126" i="1"/>
  <c r="AJ126" i="1"/>
  <c r="AX125" i="1"/>
  <c r="AV125" i="1"/>
  <c r="AU125" i="1"/>
  <c r="AM125" i="1"/>
  <c r="AK125" i="1"/>
  <c r="AJ125" i="1"/>
  <c r="AX124" i="1"/>
  <c r="AV124" i="1"/>
  <c r="AU124" i="1"/>
  <c r="AY125" i="1" s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M122" i="1"/>
  <c r="AK122" i="1"/>
  <c r="AJ122" i="1"/>
  <c r="AX121" i="1"/>
  <c r="AV121" i="1"/>
  <c r="AU121" i="1"/>
  <c r="AY122" i="1" s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M119" i="1"/>
  <c r="AK119" i="1"/>
  <c r="AJ119" i="1"/>
  <c r="AX118" i="1"/>
  <c r="AV118" i="1"/>
  <c r="AU118" i="1"/>
  <c r="AM118" i="1"/>
  <c r="AK118" i="1"/>
  <c r="AJ118" i="1"/>
  <c r="AX117" i="1"/>
  <c r="AV117" i="1"/>
  <c r="AU117" i="1"/>
  <c r="AM117" i="1"/>
  <c r="AK117" i="1"/>
  <c r="AJ117" i="1"/>
  <c r="AN118" i="1" s="1"/>
  <c r="AX116" i="1"/>
  <c r="AV116" i="1"/>
  <c r="AU116" i="1"/>
  <c r="AY117" i="1" s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Y114" i="1" s="1"/>
  <c r="AM113" i="1"/>
  <c r="AK113" i="1"/>
  <c r="AJ113" i="1"/>
  <c r="AX112" i="1"/>
  <c r="AV112" i="1"/>
  <c r="AU112" i="1"/>
  <c r="AY113" i="1" s="1"/>
  <c r="AM112" i="1"/>
  <c r="AK112" i="1"/>
  <c r="AJ112" i="1"/>
  <c r="AX111" i="1"/>
  <c r="AV111" i="1"/>
  <c r="AU111" i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Y110" i="1" s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X106" i="1"/>
  <c r="AV106" i="1"/>
  <c r="AU106" i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Y105" i="1" s="1"/>
  <c r="AM104" i="1"/>
  <c r="AK104" i="1"/>
  <c r="AJ104" i="1"/>
  <c r="AX103" i="1"/>
  <c r="AV103" i="1"/>
  <c r="AU103" i="1"/>
  <c r="AM103" i="1"/>
  <c r="AK103" i="1"/>
  <c r="AJ103" i="1"/>
  <c r="AX102" i="1"/>
  <c r="AV102" i="1"/>
  <c r="AU102" i="1"/>
  <c r="AM102" i="1"/>
  <c r="AK102" i="1"/>
  <c r="AJ102" i="1"/>
  <c r="AX101" i="1"/>
  <c r="AV101" i="1"/>
  <c r="AU101" i="1"/>
  <c r="AM101" i="1"/>
  <c r="AK101" i="1"/>
  <c r="AJ101" i="1"/>
  <c r="AX100" i="1"/>
  <c r="AV100" i="1"/>
  <c r="AU100" i="1"/>
  <c r="AM100" i="1"/>
  <c r="AK100" i="1"/>
  <c r="AJ100" i="1"/>
  <c r="AX99" i="1"/>
  <c r="AV99" i="1"/>
  <c r="AU99" i="1"/>
  <c r="AY100" i="1" s="1"/>
  <c r="AM99" i="1"/>
  <c r="AK99" i="1"/>
  <c r="AJ99" i="1"/>
  <c r="AX98" i="1"/>
  <c r="AV98" i="1"/>
  <c r="AU98" i="1"/>
  <c r="AY99" i="1" s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X95" i="1"/>
  <c r="AV95" i="1"/>
  <c r="AU95" i="1"/>
  <c r="AY96" i="1" s="1"/>
  <c r="AM95" i="1"/>
  <c r="AK95" i="1"/>
  <c r="AJ95" i="1"/>
  <c r="AX94" i="1"/>
  <c r="AV94" i="1"/>
  <c r="AU94" i="1"/>
  <c r="AY95" i="1" s="1"/>
  <c r="AM94" i="1"/>
  <c r="AK94" i="1"/>
  <c r="AJ94" i="1"/>
  <c r="AX93" i="1"/>
  <c r="AV93" i="1"/>
  <c r="AU93" i="1"/>
  <c r="AM93" i="1"/>
  <c r="AK93" i="1"/>
  <c r="AJ93" i="1"/>
  <c r="AX92" i="1"/>
  <c r="AV92" i="1"/>
  <c r="AU92" i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Y91" i="1" s="1"/>
  <c r="AM90" i="1"/>
  <c r="AK90" i="1"/>
  <c r="AJ90" i="1"/>
  <c r="AX89" i="1"/>
  <c r="AV89" i="1"/>
  <c r="AU89" i="1"/>
  <c r="AY90" i="1" s="1"/>
  <c r="AM89" i="1"/>
  <c r="AK89" i="1"/>
  <c r="AJ89" i="1"/>
  <c r="AX88" i="1"/>
  <c r="AV88" i="1"/>
  <c r="AU88" i="1"/>
  <c r="AY89" i="1" s="1"/>
  <c r="AM88" i="1"/>
  <c r="AK88" i="1"/>
  <c r="AJ88" i="1"/>
  <c r="AX87" i="1"/>
  <c r="AV87" i="1"/>
  <c r="AU87" i="1"/>
  <c r="AM87" i="1"/>
  <c r="AK87" i="1"/>
  <c r="AJ87" i="1"/>
  <c r="AX86" i="1"/>
  <c r="AV86" i="1"/>
  <c r="AU86" i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Y85" i="1" s="1"/>
  <c r="AM84" i="1"/>
  <c r="AK84" i="1"/>
  <c r="AJ84" i="1"/>
  <c r="AX83" i="1"/>
  <c r="AV83" i="1"/>
  <c r="AU83" i="1"/>
  <c r="AY84" i="1" s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Y78" i="1" s="1"/>
  <c r="AM77" i="1"/>
  <c r="AK77" i="1"/>
  <c r="AJ77" i="1"/>
  <c r="AX76" i="1"/>
  <c r="AV76" i="1"/>
  <c r="AU76" i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M73" i="1"/>
  <c r="AK73" i="1"/>
  <c r="AJ73" i="1"/>
  <c r="AN74" i="1" s="1"/>
  <c r="AX72" i="1"/>
  <c r="AV72" i="1"/>
  <c r="AU72" i="1"/>
  <c r="AM72" i="1"/>
  <c r="AK72" i="1"/>
  <c r="AJ72" i="1"/>
  <c r="AN73" i="1" s="1"/>
  <c r="AX71" i="1"/>
  <c r="AV71" i="1"/>
  <c r="AU71" i="1"/>
  <c r="AY72" i="1" s="1"/>
  <c r="AM71" i="1"/>
  <c r="AK71" i="1"/>
  <c r="AJ71" i="1"/>
  <c r="AN72" i="1" s="1"/>
  <c r="AX70" i="1"/>
  <c r="AV70" i="1"/>
  <c r="AU70" i="1"/>
  <c r="AM70" i="1"/>
  <c r="AK70" i="1"/>
  <c r="AJ70" i="1"/>
  <c r="AN71" i="1" s="1"/>
  <c r="AX69" i="1"/>
  <c r="AV69" i="1"/>
  <c r="AU69" i="1"/>
  <c r="AM69" i="1"/>
  <c r="AK69" i="1"/>
  <c r="AJ69" i="1"/>
  <c r="AN70" i="1" s="1"/>
  <c r="AX68" i="1"/>
  <c r="AV68" i="1"/>
  <c r="AU68" i="1"/>
  <c r="AM68" i="1"/>
  <c r="AK68" i="1"/>
  <c r="AJ68" i="1"/>
  <c r="AN69" i="1" s="1"/>
  <c r="AX67" i="1"/>
  <c r="AV67" i="1"/>
  <c r="AU67" i="1"/>
  <c r="AM67" i="1"/>
  <c r="AK67" i="1"/>
  <c r="AJ67" i="1"/>
  <c r="AN68" i="1" s="1"/>
  <c r="AX66" i="1"/>
  <c r="AV66" i="1"/>
  <c r="AU66" i="1"/>
  <c r="AM66" i="1"/>
  <c r="AK66" i="1"/>
  <c r="AJ66" i="1"/>
  <c r="AN67" i="1" s="1"/>
  <c r="AX65" i="1"/>
  <c r="AV65" i="1"/>
  <c r="AU65" i="1"/>
  <c r="AM65" i="1"/>
  <c r="AK65" i="1"/>
  <c r="AJ65" i="1"/>
  <c r="AN66" i="1" s="1"/>
  <c r="AX64" i="1"/>
  <c r="AV64" i="1"/>
  <c r="AU64" i="1"/>
  <c r="AM64" i="1"/>
  <c r="AK64" i="1"/>
  <c r="AJ64" i="1"/>
  <c r="AN65" i="1" s="1"/>
  <c r="AX63" i="1"/>
  <c r="AV63" i="1"/>
  <c r="AU63" i="1"/>
  <c r="AM63" i="1"/>
  <c r="AK63" i="1"/>
  <c r="AJ63" i="1"/>
  <c r="AN64" i="1" s="1"/>
  <c r="AX62" i="1"/>
  <c r="AV62" i="1"/>
  <c r="AU62" i="1"/>
  <c r="AM62" i="1"/>
  <c r="AK62" i="1"/>
  <c r="AJ62" i="1"/>
  <c r="AN63" i="1" s="1"/>
  <c r="AX61" i="1"/>
  <c r="AV61" i="1"/>
  <c r="AU61" i="1"/>
  <c r="AM61" i="1"/>
  <c r="AK61" i="1"/>
  <c r="AJ61" i="1"/>
  <c r="AN62" i="1" s="1"/>
  <c r="AX60" i="1"/>
  <c r="AV60" i="1"/>
  <c r="AU60" i="1"/>
  <c r="AM60" i="1"/>
  <c r="AK60" i="1"/>
  <c r="AJ60" i="1"/>
  <c r="AN61" i="1" s="1"/>
  <c r="AX59" i="1"/>
  <c r="AV59" i="1"/>
  <c r="AU59" i="1"/>
  <c r="AM59" i="1"/>
  <c r="AK59" i="1"/>
  <c r="AJ59" i="1"/>
  <c r="AN60" i="1" s="1"/>
  <c r="AX58" i="1"/>
  <c r="AV58" i="1"/>
  <c r="AU58" i="1"/>
  <c r="AM58" i="1"/>
  <c r="AK58" i="1"/>
  <c r="AJ58" i="1"/>
  <c r="AN59" i="1" s="1"/>
  <c r="AX57" i="1"/>
  <c r="AV57" i="1"/>
  <c r="AU57" i="1"/>
  <c r="AM57" i="1"/>
  <c r="AK57" i="1"/>
  <c r="AJ57" i="1"/>
  <c r="AN58" i="1" s="1"/>
  <c r="AX56" i="1"/>
  <c r="AV56" i="1"/>
  <c r="AU56" i="1"/>
  <c r="AM56" i="1"/>
  <c r="AK56" i="1"/>
  <c r="AJ56" i="1"/>
  <c r="AN57" i="1" s="1"/>
  <c r="AX55" i="1"/>
  <c r="AV55" i="1"/>
  <c r="AU55" i="1"/>
  <c r="AM55" i="1"/>
  <c r="AK55" i="1"/>
  <c r="AJ55" i="1"/>
  <c r="AN56" i="1" s="1"/>
  <c r="AX54" i="1"/>
  <c r="AV54" i="1"/>
  <c r="AU54" i="1"/>
  <c r="AM54" i="1"/>
  <c r="AK54" i="1"/>
  <c r="AJ54" i="1"/>
  <c r="AX53" i="1"/>
  <c r="AV53" i="1"/>
  <c r="AU53" i="1"/>
  <c r="AY54" i="1" s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X49" i="1"/>
  <c r="AV49" i="1"/>
  <c r="AU49" i="1"/>
  <c r="AM49" i="1"/>
  <c r="AK49" i="1"/>
  <c r="AJ49" i="1"/>
  <c r="AN50" i="1" s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M41" i="1"/>
  <c r="AK41" i="1"/>
  <c r="AJ41" i="1"/>
  <c r="AX40" i="1"/>
  <c r="AV40" i="1"/>
  <c r="AU40" i="1"/>
  <c r="AY41" i="1" s="1"/>
  <c r="AM40" i="1"/>
  <c r="AK40" i="1"/>
  <c r="AJ40" i="1"/>
  <c r="AX39" i="1"/>
  <c r="AV39" i="1"/>
  <c r="AU39" i="1"/>
  <c r="AY40" i="1" s="1"/>
  <c r="AM39" i="1"/>
  <c r="AK39" i="1"/>
  <c r="AJ39" i="1"/>
  <c r="AX38" i="1"/>
  <c r="AV38" i="1"/>
  <c r="AU38" i="1"/>
  <c r="AM38" i="1"/>
  <c r="AK38" i="1"/>
  <c r="AJ38" i="1"/>
  <c r="AN39" i="1" s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X33" i="1"/>
  <c r="AV33" i="1"/>
  <c r="AU33" i="1"/>
  <c r="AM33" i="1"/>
  <c r="AK33" i="1"/>
  <c r="AJ33" i="1"/>
  <c r="AX32" i="1"/>
  <c r="AV32" i="1"/>
  <c r="AU32" i="1"/>
  <c r="AY33" i="1" s="1"/>
  <c r="AM32" i="1"/>
  <c r="AK32" i="1"/>
  <c r="AJ32" i="1"/>
  <c r="AN33" i="1" s="1"/>
  <c r="AX31" i="1"/>
  <c r="AV31" i="1"/>
  <c r="AU31" i="1"/>
  <c r="AM31" i="1"/>
  <c r="AK31" i="1"/>
  <c r="AJ31" i="1"/>
  <c r="AX30" i="1"/>
  <c r="AV30" i="1"/>
  <c r="AU30" i="1"/>
  <c r="AY31" i="1" s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Y28" i="1" s="1"/>
  <c r="AM27" i="1"/>
  <c r="AK27" i="1"/>
  <c r="AJ27" i="1"/>
  <c r="AN28" i="1" s="1"/>
  <c r="AX26" i="1"/>
  <c r="AV26" i="1"/>
  <c r="AU26" i="1"/>
  <c r="AM26" i="1"/>
  <c r="AK26" i="1"/>
  <c r="AJ26" i="1"/>
  <c r="AN27" i="1" s="1"/>
  <c r="AX25" i="1"/>
  <c r="AV25" i="1"/>
  <c r="AU25" i="1"/>
  <c r="AM25" i="1"/>
  <c r="AK25" i="1"/>
  <c r="AJ25" i="1"/>
  <c r="AX24" i="1"/>
  <c r="AV24" i="1"/>
  <c r="AU24" i="1"/>
  <c r="AM24" i="1"/>
  <c r="AK24" i="1"/>
  <c r="AJ24" i="1"/>
  <c r="AN25" i="1" s="1"/>
  <c r="AX23" i="1"/>
  <c r="AV23" i="1"/>
  <c r="AU23" i="1"/>
  <c r="AM23" i="1"/>
  <c r="AK23" i="1"/>
  <c r="AJ23" i="1"/>
  <c r="AX22" i="1"/>
  <c r="AW22" i="1"/>
  <c r="AV22" i="1"/>
  <c r="AU22" i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153" i="1" l="1"/>
  <c r="AN124" i="1"/>
  <c r="AN88" i="1"/>
  <c r="AN168" i="1"/>
  <c r="AN120" i="1"/>
  <c r="AN116" i="1"/>
  <c r="AN38" i="1"/>
  <c r="AY169" i="1"/>
  <c r="AY162" i="1"/>
  <c r="AY87" i="1"/>
  <c r="AY71" i="1"/>
  <c r="AY39" i="1"/>
  <c r="AY26" i="1"/>
  <c r="AY112" i="1"/>
  <c r="AY81" i="1"/>
  <c r="AY70" i="1"/>
  <c r="AY59" i="1"/>
  <c r="AY107" i="1"/>
  <c r="AY38" i="1"/>
  <c r="AY104" i="1"/>
  <c r="AY128" i="1"/>
  <c r="AY98" i="1"/>
  <c r="AY34" i="1"/>
  <c r="AY123" i="1"/>
  <c r="AY111" i="1"/>
  <c r="AY32" i="1"/>
  <c r="AY27" i="1"/>
  <c r="AY171" i="1"/>
  <c r="AY136" i="1"/>
  <c r="AY80" i="1"/>
  <c r="AN174" i="1"/>
  <c r="AN37" i="1"/>
  <c r="AY147" i="1"/>
  <c r="AY129" i="1"/>
  <c r="AY126" i="1"/>
  <c r="AY108" i="1"/>
  <c r="AY103" i="1"/>
  <c r="AY93" i="1"/>
  <c r="AY73" i="1"/>
  <c r="AY68" i="1"/>
  <c r="AY66" i="1"/>
  <c r="AY60" i="1"/>
  <c r="AY48" i="1"/>
  <c r="AY24" i="1"/>
  <c r="AY69" i="1"/>
  <c r="AY63" i="1"/>
  <c r="AY56" i="1"/>
  <c r="AY46" i="1"/>
  <c r="AY42" i="1"/>
  <c r="AY76" i="1"/>
  <c r="AY52" i="1"/>
  <c r="AY49" i="1"/>
  <c r="AY47" i="1"/>
  <c r="AY45" i="1"/>
  <c r="AY101" i="1"/>
  <c r="AY57" i="1"/>
  <c r="AY43" i="1"/>
  <c r="AY77" i="1"/>
  <c r="AY61" i="1"/>
  <c r="AY30" i="1"/>
  <c r="AY25" i="1"/>
  <c r="AY23" i="1"/>
  <c r="AY175" i="1"/>
  <c r="AY172" i="1"/>
  <c r="AY141" i="1"/>
  <c r="AY134" i="1"/>
  <c r="AY133" i="1"/>
  <c r="AY127" i="1"/>
  <c r="AY121" i="1"/>
  <c r="AY109" i="1"/>
  <c r="AY94" i="1"/>
  <c r="AY92" i="1"/>
  <c r="AY79" i="1"/>
  <c r="AY75" i="1"/>
  <c r="AY74" i="1"/>
  <c r="AY65" i="1"/>
  <c r="AY62" i="1"/>
  <c r="AY51" i="1"/>
  <c r="AY44" i="1"/>
  <c r="AY35" i="1"/>
  <c r="AY29" i="1"/>
  <c r="AY167" i="1"/>
  <c r="AN145" i="1"/>
  <c r="AN143" i="1"/>
  <c r="AN126" i="1"/>
  <c r="AN119" i="1"/>
  <c r="AN112" i="1"/>
  <c r="AN105" i="1"/>
  <c r="AN86" i="1"/>
  <c r="AN53" i="1"/>
  <c r="AN103" i="1"/>
  <c r="AN130" i="1"/>
  <c r="AN122" i="1"/>
  <c r="AN102" i="1"/>
  <c r="AN166" i="1"/>
  <c r="AN146" i="1"/>
  <c r="AN127" i="1"/>
  <c r="AN89" i="1"/>
  <c r="AY148" i="1"/>
  <c r="AY67" i="1"/>
  <c r="AY50" i="1"/>
  <c r="AY140" i="1"/>
  <c r="AY58" i="1"/>
  <c r="AY55" i="1"/>
  <c r="AN155" i="1"/>
  <c r="AY82" i="1"/>
  <c r="AY36" i="1"/>
  <c r="AN83" i="1"/>
  <c r="AY97" i="1"/>
  <c r="AY157" i="1"/>
  <c r="AY155" i="1"/>
  <c r="AY64" i="1"/>
  <c r="AN135" i="1"/>
  <c r="AY156" i="1"/>
  <c r="AZ176" i="1"/>
  <c r="BA176" i="1"/>
  <c r="AW176" i="1"/>
  <c r="AZ175" i="1"/>
  <c r="BA175" i="1"/>
  <c r="AW175" i="1"/>
  <c r="AP174" i="1"/>
  <c r="AL174" i="1"/>
  <c r="AN175" i="1" s="1"/>
  <c r="AO174" i="1"/>
  <c r="AQ174" i="1" s="1"/>
  <c r="BA173" i="1"/>
  <c r="AZ173" i="1"/>
  <c r="AW173" i="1"/>
  <c r="AY174" i="1" s="1"/>
  <c r="AW172" i="1"/>
  <c r="AZ172" i="1"/>
  <c r="BA172" i="1"/>
  <c r="AZ171" i="1"/>
  <c r="AW171" i="1"/>
  <c r="BA171" i="1"/>
  <c r="AP171" i="1"/>
  <c r="AO171" i="1"/>
  <c r="AL171" i="1"/>
  <c r="AN172" i="1" s="1"/>
  <c r="AW170" i="1"/>
  <c r="BA170" i="1"/>
  <c r="AZ170" i="1"/>
  <c r="BB170" i="1" s="1"/>
  <c r="BA169" i="1"/>
  <c r="AW169" i="1"/>
  <c r="AZ169" i="1"/>
  <c r="AL168" i="1"/>
  <c r="AN169" i="1" s="1"/>
  <c r="AP168" i="1"/>
  <c r="AO168" i="1"/>
  <c r="AQ168" i="1" s="1"/>
  <c r="AZ167" i="1"/>
  <c r="BA167" i="1"/>
  <c r="AW167" i="1"/>
  <c r="AY168" i="1" s="1"/>
  <c r="BA166" i="1"/>
  <c r="AZ166" i="1"/>
  <c r="BB166" i="1" s="1"/>
  <c r="AW166" i="1"/>
  <c r="AL166" i="1"/>
  <c r="AN167" i="1" s="1"/>
  <c r="AO166" i="1"/>
  <c r="AP166" i="1"/>
  <c r="AZ165" i="1"/>
  <c r="BA165" i="1"/>
  <c r="AW165" i="1"/>
  <c r="BA164" i="1"/>
  <c r="AZ164" i="1"/>
  <c r="BB164" i="1" s="1"/>
  <c r="AW164" i="1"/>
  <c r="AW163" i="1"/>
  <c r="AZ163" i="1"/>
  <c r="BA163" i="1"/>
  <c r="BA162" i="1"/>
  <c r="AZ162" i="1"/>
  <c r="AW162" i="1"/>
  <c r="AW161" i="1"/>
  <c r="BA161" i="1"/>
  <c r="AZ161" i="1"/>
  <c r="BB161" i="1" s="1"/>
  <c r="AZ160" i="1"/>
  <c r="BA160" i="1"/>
  <c r="AW160" i="1"/>
  <c r="BA159" i="1"/>
  <c r="AW159" i="1"/>
  <c r="AZ159" i="1"/>
  <c r="AW158" i="1"/>
  <c r="BA158" i="1"/>
  <c r="AZ158" i="1"/>
  <c r="AO158" i="1"/>
  <c r="AL158" i="1"/>
  <c r="AN159" i="1" s="1"/>
  <c r="AP158" i="1"/>
  <c r="AW157" i="1"/>
  <c r="BA157" i="1"/>
  <c r="AZ157" i="1"/>
  <c r="BB157" i="1" s="1"/>
  <c r="AZ156" i="1"/>
  <c r="AW156" i="1"/>
  <c r="BA156" i="1"/>
  <c r="AL156" i="1"/>
  <c r="AN157" i="1" s="1"/>
  <c r="AO156" i="1"/>
  <c r="AP156" i="1"/>
  <c r="AZ155" i="1"/>
  <c r="BA155" i="1"/>
  <c r="AW155" i="1"/>
  <c r="AL155" i="1"/>
  <c r="AO155" i="1"/>
  <c r="AP155" i="1"/>
  <c r="AW154" i="1"/>
  <c r="AZ154" i="1"/>
  <c r="BA154" i="1"/>
  <c r="AZ153" i="1"/>
  <c r="BA153" i="1"/>
  <c r="AW153" i="1"/>
  <c r="AO153" i="1"/>
  <c r="AL153" i="1"/>
  <c r="AN154" i="1" s="1"/>
  <c r="AP153" i="1"/>
  <c r="BA152" i="1"/>
  <c r="AZ152" i="1"/>
  <c r="BB152" i="1" s="1"/>
  <c r="AW152" i="1"/>
  <c r="AW151" i="1"/>
  <c r="BA151" i="1"/>
  <c r="AZ151" i="1"/>
  <c r="AZ150" i="1"/>
  <c r="AW150" i="1"/>
  <c r="BA150" i="1"/>
  <c r="AW149" i="1"/>
  <c r="AZ149" i="1"/>
  <c r="BA149" i="1"/>
  <c r="BA148" i="1"/>
  <c r="AW148" i="1"/>
  <c r="AZ148" i="1"/>
  <c r="BB148" i="1" s="1"/>
  <c r="AP148" i="1"/>
  <c r="AO148" i="1"/>
  <c r="AQ148" i="1" s="1"/>
  <c r="AL148" i="1"/>
  <c r="AN149" i="1" s="1"/>
  <c r="AW147" i="1"/>
  <c r="BA147" i="1"/>
  <c r="AZ147" i="1"/>
  <c r="BB147" i="1" s="1"/>
  <c r="AO146" i="1"/>
  <c r="AL146" i="1"/>
  <c r="AN147" i="1" s="1"/>
  <c r="AP146" i="1"/>
  <c r="AL145" i="1"/>
  <c r="AO145" i="1"/>
  <c r="AP145" i="1"/>
  <c r="AW144" i="1"/>
  <c r="AY145" i="1" s="1"/>
  <c r="BA144" i="1"/>
  <c r="AZ144" i="1"/>
  <c r="BB144" i="1" s="1"/>
  <c r="BA143" i="1"/>
  <c r="AW143" i="1"/>
  <c r="AZ143" i="1"/>
  <c r="AL143" i="1"/>
  <c r="AN144" i="1" s="1"/>
  <c r="AO143" i="1"/>
  <c r="AP143" i="1"/>
  <c r="AZ142" i="1"/>
  <c r="AW142" i="1"/>
  <c r="BA142" i="1"/>
  <c r="AP142" i="1"/>
  <c r="AL142" i="1"/>
  <c r="AO142" i="1"/>
  <c r="AQ142" i="1" s="1"/>
  <c r="AW141" i="1"/>
  <c r="BA141" i="1"/>
  <c r="AZ141" i="1"/>
  <c r="BB141" i="1" s="1"/>
  <c r="AW140" i="1"/>
  <c r="AZ140" i="1"/>
  <c r="BA140" i="1"/>
  <c r="BA139" i="1"/>
  <c r="AZ139" i="1"/>
  <c r="BB139" i="1" s="1"/>
  <c r="AW139" i="1"/>
  <c r="AW138" i="1"/>
  <c r="AZ138" i="1"/>
  <c r="BA138" i="1"/>
  <c r="AZ137" i="1"/>
  <c r="AW137" i="1"/>
  <c r="BA137" i="1"/>
  <c r="BA136" i="1"/>
  <c r="AW136" i="1"/>
  <c r="AZ136" i="1"/>
  <c r="BA135" i="1"/>
  <c r="AZ135" i="1"/>
  <c r="AW135" i="1"/>
  <c r="AO135" i="1"/>
  <c r="AL135" i="1"/>
  <c r="AN136" i="1" s="1"/>
  <c r="AP135" i="1"/>
  <c r="AZ134" i="1"/>
  <c r="BA134" i="1"/>
  <c r="AW134" i="1"/>
  <c r="AW133" i="1"/>
  <c r="BA133" i="1"/>
  <c r="AZ133" i="1"/>
  <c r="BB133" i="1" s="1"/>
  <c r="AW132" i="1"/>
  <c r="BA132" i="1"/>
  <c r="AZ132" i="1"/>
  <c r="BB132" i="1" s="1"/>
  <c r="BA131" i="1"/>
  <c r="AZ131" i="1"/>
  <c r="BB131" i="1" s="1"/>
  <c r="AW131" i="1"/>
  <c r="AP130" i="1"/>
  <c r="AO130" i="1"/>
  <c r="AL130" i="1"/>
  <c r="AN131" i="1" s="1"/>
  <c r="AZ129" i="1"/>
  <c r="BA129" i="1"/>
  <c r="AW129" i="1"/>
  <c r="AY130" i="1" s="1"/>
  <c r="BA128" i="1"/>
  <c r="AW128" i="1"/>
  <c r="AZ128" i="1"/>
  <c r="BB128" i="1" s="1"/>
  <c r="AW127" i="1"/>
  <c r="AZ127" i="1"/>
  <c r="BA127" i="1"/>
  <c r="AP127" i="1"/>
  <c r="AO127" i="1"/>
  <c r="AQ127" i="1" s="1"/>
  <c r="AL127" i="1"/>
  <c r="AN128" i="1" s="1"/>
  <c r="AZ126" i="1"/>
  <c r="AW126" i="1"/>
  <c r="BA126" i="1"/>
  <c r="AL126" i="1"/>
  <c r="AP126" i="1"/>
  <c r="AO126" i="1"/>
  <c r="AW125" i="1"/>
  <c r="AZ125" i="1"/>
  <c r="BA125" i="1"/>
  <c r="AW124" i="1"/>
  <c r="AZ124" i="1"/>
  <c r="BA124" i="1"/>
  <c r="AL124" i="1"/>
  <c r="AN125" i="1" s="1"/>
  <c r="AO124" i="1"/>
  <c r="AP124" i="1"/>
  <c r="AW123" i="1"/>
  <c r="AZ123" i="1"/>
  <c r="BA123" i="1"/>
  <c r="AW122" i="1"/>
  <c r="BA122" i="1"/>
  <c r="AZ122" i="1"/>
  <c r="AO122" i="1"/>
  <c r="AP122" i="1"/>
  <c r="AL122" i="1"/>
  <c r="AN123" i="1" s="1"/>
  <c r="AW121" i="1"/>
  <c r="AZ121" i="1"/>
  <c r="BA121" i="1"/>
  <c r="AL120" i="1"/>
  <c r="AN121" i="1" s="1"/>
  <c r="AP120" i="1"/>
  <c r="AO120" i="1"/>
  <c r="AO119" i="1"/>
  <c r="AL119" i="1"/>
  <c r="AP119" i="1"/>
  <c r="AO118" i="1"/>
  <c r="AP118" i="1"/>
  <c r="AL118" i="1"/>
  <c r="AZ117" i="1"/>
  <c r="AW117" i="1"/>
  <c r="AY118" i="1" s="1"/>
  <c r="BA117" i="1"/>
  <c r="AL116" i="1"/>
  <c r="AN117" i="1" s="1"/>
  <c r="AP116" i="1"/>
  <c r="AO116" i="1"/>
  <c r="AZ115" i="1"/>
  <c r="AW115" i="1"/>
  <c r="AY116" i="1" s="1"/>
  <c r="BA115" i="1"/>
  <c r="AW114" i="1"/>
  <c r="BA114" i="1"/>
  <c r="AZ114" i="1"/>
  <c r="BB114" i="1" s="1"/>
  <c r="AZ113" i="1"/>
  <c r="AW113" i="1"/>
  <c r="BA113" i="1"/>
  <c r="AW112" i="1"/>
  <c r="AZ112" i="1"/>
  <c r="BA112" i="1"/>
  <c r="AP112" i="1"/>
  <c r="AL112" i="1"/>
  <c r="AN113" i="1" s="1"/>
  <c r="AO112" i="1"/>
  <c r="BA111" i="1"/>
  <c r="AW111" i="1"/>
  <c r="AZ111" i="1"/>
  <c r="BB111" i="1" s="1"/>
  <c r="AZ110" i="1"/>
  <c r="AW110" i="1"/>
  <c r="BA110" i="1"/>
  <c r="AW109" i="1"/>
  <c r="AZ109" i="1"/>
  <c r="BA109" i="1"/>
  <c r="AW108" i="1"/>
  <c r="BA108" i="1"/>
  <c r="AZ108" i="1"/>
  <c r="BB108" i="1" s="1"/>
  <c r="AW107" i="1"/>
  <c r="AZ107" i="1"/>
  <c r="BA107" i="1"/>
  <c r="AW106" i="1"/>
  <c r="AZ106" i="1"/>
  <c r="BA106" i="1"/>
  <c r="AZ105" i="1"/>
  <c r="BA105" i="1"/>
  <c r="AW105" i="1"/>
  <c r="AL105" i="1"/>
  <c r="AN106" i="1" s="1"/>
  <c r="AO105" i="1"/>
  <c r="AP105" i="1"/>
  <c r="AZ104" i="1"/>
  <c r="AW104" i="1"/>
  <c r="BA104" i="1"/>
  <c r="BA103" i="1"/>
  <c r="AZ103" i="1"/>
  <c r="BB103" i="1" s="1"/>
  <c r="AW103" i="1"/>
  <c r="AL103" i="1"/>
  <c r="AN104" i="1" s="1"/>
  <c r="AZ101" i="1"/>
  <c r="BA101" i="1"/>
  <c r="AW101" i="1"/>
  <c r="AY102" i="1" s="1"/>
  <c r="AZ100" i="1"/>
  <c r="AW100" i="1"/>
  <c r="BA100" i="1"/>
  <c r="BA99" i="1"/>
  <c r="AW99" i="1"/>
  <c r="AZ99" i="1"/>
  <c r="AW96" i="1"/>
  <c r="AZ96" i="1"/>
  <c r="BA96" i="1"/>
  <c r="AZ95" i="1"/>
  <c r="AW95" i="1"/>
  <c r="BA95" i="1"/>
  <c r="AW91" i="1"/>
  <c r="BA91" i="1"/>
  <c r="AZ91" i="1"/>
  <c r="BB91" i="1" s="1"/>
  <c r="BA90" i="1"/>
  <c r="AW90" i="1"/>
  <c r="AZ90" i="1"/>
  <c r="BA89" i="1"/>
  <c r="AZ89" i="1"/>
  <c r="BB89" i="1" s="1"/>
  <c r="AW89" i="1"/>
  <c r="AP88" i="1"/>
  <c r="AL88" i="1"/>
  <c r="AO88" i="1"/>
  <c r="AQ88" i="1" s="1"/>
  <c r="AZ87" i="1"/>
  <c r="AW87" i="1"/>
  <c r="AY88" i="1" s="1"/>
  <c r="BA87" i="1"/>
  <c r="AW85" i="1"/>
  <c r="AY86" i="1" s="1"/>
  <c r="BA85" i="1"/>
  <c r="AZ85" i="1"/>
  <c r="BB85" i="1" s="1"/>
  <c r="AW84" i="1"/>
  <c r="AZ84" i="1"/>
  <c r="BA84" i="1"/>
  <c r="AZ81" i="1"/>
  <c r="AW81" i="1"/>
  <c r="BA81" i="1"/>
  <c r="AZ78" i="1"/>
  <c r="AW78" i="1"/>
  <c r="BA78" i="1"/>
  <c r="AL74" i="1"/>
  <c r="AN75" i="1" s="1"/>
  <c r="AO74" i="1"/>
  <c r="AP74" i="1"/>
  <c r="AO73" i="1"/>
  <c r="AP73" i="1"/>
  <c r="AL73" i="1"/>
  <c r="AW72" i="1"/>
  <c r="AZ72" i="1"/>
  <c r="BA72" i="1"/>
  <c r="AO72" i="1"/>
  <c r="AL72" i="1"/>
  <c r="AP72" i="1"/>
  <c r="BA71" i="1"/>
  <c r="AW71" i="1"/>
  <c r="AZ71" i="1"/>
  <c r="BB71" i="1" s="1"/>
  <c r="AP71" i="1"/>
  <c r="AL71" i="1"/>
  <c r="AO71" i="1"/>
  <c r="AQ71" i="1" s="1"/>
  <c r="AZ70" i="1"/>
  <c r="BA70" i="1"/>
  <c r="AW70" i="1"/>
  <c r="AP70" i="1"/>
  <c r="AO70" i="1"/>
  <c r="AL70" i="1"/>
  <c r="AP69" i="1"/>
  <c r="AO69" i="1"/>
  <c r="AL69" i="1"/>
  <c r="AZ68" i="1"/>
  <c r="BA68" i="1"/>
  <c r="AW68" i="1"/>
  <c r="AL68" i="1"/>
  <c r="AP68" i="1"/>
  <c r="AO68" i="1"/>
  <c r="AQ68" i="1" s="1"/>
  <c r="AP67" i="1"/>
  <c r="AO67" i="1"/>
  <c r="AQ67" i="1" s="1"/>
  <c r="AL67" i="1"/>
  <c r="BA66" i="1"/>
  <c r="AW66" i="1"/>
  <c r="AZ66" i="1"/>
  <c r="BB66" i="1" s="1"/>
  <c r="AO66" i="1"/>
  <c r="AL66" i="1"/>
  <c r="AP66" i="1"/>
  <c r="AP65" i="1"/>
  <c r="AL65" i="1"/>
  <c r="AO65" i="1"/>
  <c r="AP64" i="1"/>
  <c r="AL64" i="1"/>
  <c r="AO64" i="1"/>
  <c r="AO63" i="1"/>
  <c r="AL63" i="1"/>
  <c r="AP63" i="1"/>
  <c r="AO62" i="1"/>
  <c r="AL62" i="1"/>
  <c r="AP62" i="1"/>
  <c r="AL61" i="1"/>
  <c r="AO61" i="1"/>
  <c r="AP61" i="1"/>
  <c r="AL60" i="1"/>
  <c r="AO60" i="1"/>
  <c r="AP60" i="1"/>
  <c r="AL59" i="1"/>
  <c r="AP59" i="1"/>
  <c r="AO59" i="1"/>
  <c r="AQ59" i="1" s="1"/>
  <c r="AO58" i="1"/>
  <c r="AL58" i="1"/>
  <c r="AP58" i="1"/>
  <c r="AL57" i="1"/>
  <c r="AP57" i="1"/>
  <c r="AO57" i="1"/>
  <c r="AQ57" i="1" s="1"/>
  <c r="AP56" i="1"/>
  <c r="AL56" i="1"/>
  <c r="AO56" i="1"/>
  <c r="AQ56" i="1" s="1"/>
  <c r="AZ54" i="1"/>
  <c r="BA54" i="1"/>
  <c r="AW54" i="1"/>
  <c r="AL50" i="1"/>
  <c r="AN51" i="1" s="1"/>
  <c r="AO50" i="1"/>
  <c r="AP50" i="1"/>
  <c r="BA41" i="1"/>
  <c r="AW41" i="1"/>
  <c r="AZ41" i="1"/>
  <c r="BB41" i="1" s="1"/>
  <c r="AZ40" i="1"/>
  <c r="AW40" i="1"/>
  <c r="BA40" i="1"/>
  <c r="AW39" i="1"/>
  <c r="AZ39" i="1"/>
  <c r="BA39" i="1"/>
  <c r="AL39" i="1"/>
  <c r="AN40" i="1" s="1"/>
  <c r="AP39" i="1"/>
  <c r="AO39" i="1"/>
  <c r="AZ38" i="1"/>
  <c r="AW38" i="1"/>
  <c r="BA38" i="1"/>
  <c r="AZ33" i="1"/>
  <c r="BA33" i="1"/>
  <c r="AW33" i="1"/>
  <c r="AL33" i="1"/>
  <c r="AN34" i="1" s="1"/>
  <c r="AP33" i="1"/>
  <c r="AO33" i="1"/>
  <c r="AW31" i="1"/>
  <c r="BA31" i="1"/>
  <c r="AZ31" i="1"/>
  <c r="BB31" i="1" s="1"/>
  <c r="AW28" i="1"/>
  <c r="BA28" i="1"/>
  <c r="AZ28" i="1"/>
  <c r="BB28" i="1" s="1"/>
  <c r="AP28" i="1"/>
  <c r="AL28" i="1"/>
  <c r="AN29" i="1" s="1"/>
  <c r="AO28" i="1"/>
  <c r="AW27" i="1"/>
  <c r="BA27" i="1"/>
  <c r="AZ27" i="1"/>
  <c r="AL27" i="1"/>
  <c r="AO27" i="1"/>
  <c r="AP27" i="1"/>
  <c r="AW26" i="1"/>
  <c r="AZ26" i="1"/>
  <c r="BA26" i="1"/>
  <c r="AO25" i="1"/>
  <c r="AL25" i="1"/>
  <c r="AN26" i="1" s="1"/>
  <c r="AP25" i="1"/>
  <c r="AP23" i="1"/>
  <c r="AO23" i="1"/>
  <c r="AQ23" i="1" s="1"/>
  <c r="AL23" i="1"/>
  <c r="AN24" i="1" s="1"/>
  <c r="AZ22" i="1"/>
  <c r="BA22" i="1"/>
  <c r="AP22" i="1"/>
  <c r="AO22" i="1"/>
  <c r="AQ22" i="1" s="1"/>
  <c r="BE71" i="1" l="1"/>
  <c r="BA59" i="1"/>
  <c r="AW59" i="1"/>
  <c r="AZ59" i="1"/>
  <c r="BB59" i="1" s="1"/>
  <c r="AZ34" i="1"/>
  <c r="AW34" i="1"/>
  <c r="BA34" i="1"/>
  <c r="AZ32" i="1"/>
  <c r="AW32" i="1"/>
  <c r="BA32" i="1"/>
  <c r="AW24" i="1"/>
  <c r="AZ24" i="1"/>
  <c r="BA24" i="1"/>
  <c r="AZ42" i="1"/>
  <c r="BA42" i="1"/>
  <c r="AW42" i="1"/>
  <c r="BA30" i="1"/>
  <c r="AZ30" i="1"/>
  <c r="BB30" i="1" s="1"/>
  <c r="AW30" i="1"/>
  <c r="AW25" i="1"/>
  <c r="BA25" i="1"/>
  <c r="AZ25" i="1"/>
  <c r="BB25" i="1" s="1"/>
  <c r="BA23" i="1"/>
  <c r="AW23" i="1"/>
  <c r="AZ23" i="1"/>
  <c r="BB23" i="1" s="1"/>
  <c r="AW60" i="1"/>
  <c r="BA60" i="1"/>
  <c r="AZ60" i="1"/>
  <c r="BB60" i="1" s="1"/>
  <c r="AZ48" i="1"/>
  <c r="BA48" i="1"/>
  <c r="AW48" i="1"/>
  <c r="BA63" i="1"/>
  <c r="AW63" i="1"/>
  <c r="AZ63" i="1"/>
  <c r="AZ56" i="1"/>
  <c r="AW56" i="1"/>
  <c r="BA56" i="1"/>
  <c r="BA46" i="1"/>
  <c r="AZ46" i="1"/>
  <c r="AW46" i="1"/>
  <c r="AW52" i="1"/>
  <c r="AY53" i="1" s="1"/>
  <c r="BA52" i="1"/>
  <c r="AZ52" i="1"/>
  <c r="AW49" i="1"/>
  <c r="BA49" i="1"/>
  <c r="AZ49" i="1"/>
  <c r="AW47" i="1"/>
  <c r="BA47" i="1"/>
  <c r="AZ47" i="1"/>
  <c r="AZ45" i="1"/>
  <c r="BA45" i="1"/>
  <c r="AW45" i="1"/>
  <c r="AW57" i="1"/>
  <c r="BA57" i="1"/>
  <c r="AZ57" i="1"/>
  <c r="BB57" i="1" s="1"/>
  <c r="AZ43" i="1"/>
  <c r="BA43" i="1"/>
  <c r="AW43" i="1"/>
  <c r="AW51" i="1"/>
  <c r="BA51" i="1"/>
  <c r="AZ51" i="1"/>
  <c r="AZ44" i="1"/>
  <c r="AW44" i="1"/>
  <c r="BA44" i="1"/>
  <c r="BA35" i="1"/>
  <c r="AW35" i="1"/>
  <c r="AZ35" i="1"/>
  <c r="BB35" i="1" s="1"/>
  <c r="AW29" i="1"/>
  <c r="AZ29" i="1"/>
  <c r="BA29" i="1"/>
  <c r="AZ36" i="1"/>
  <c r="AW36" i="1"/>
  <c r="AY37" i="1" s="1"/>
  <c r="BA36" i="1"/>
  <c r="AQ130" i="1"/>
  <c r="AQ126" i="1"/>
  <c r="AQ33" i="1"/>
  <c r="AQ70" i="1"/>
  <c r="AQ120" i="1"/>
  <c r="AQ65" i="1"/>
  <c r="AQ28" i="1"/>
  <c r="AQ64" i="1"/>
  <c r="AP103" i="1"/>
  <c r="AO103" i="1"/>
  <c r="AQ103" i="1" s="1"/>
  <c r="AP102" i="1"/>
  <c r="AO102" i="1"/>
  <c r="AQ102" i="1" s="1"/>
  <c r="AL102" i="1"/>
  <c r="AO175" i="1"/>
  <c r="AP175" i="1"/>
  <c r="AL175" i="1"/>
  <c r="AN176" i="1" s="1"/>
  <c r="AL172" i="1"/>
  <c r="AN173" i="1" s="1"/>
  <c r="AO172" i="1"/>
  <c r="AP172" i="1"/>
  <c r="AO169" i="1"/>
  <c r="AL169" i="1"/>
  <c r="AN170" i="1" s="1"/>
  <c r="AP169" i="1"/>
  <c r="AL149" i="1"/>
  <c r="AN150" i="1" s="1"/>
  <c r="AP149" i="1"/>
  <c r="AO149" i="1"/>
  <c r="AQ149" i="1" s="1"/>
  <c r="AO147" i="1"/>
  <c r="AL147" i="1"/>
  <c r="AP147" i="1"/>
  <c r="AL131" i="1"/>
  <c r="AN132" i="1" s="1"/>
  <c r="AP131" i="1"/>
  <c r="AO131" i="1"/>
  <c r="AQ131" i="1" s="1"/>
  <c r="AP128" i="1"/>
  <c r="AO128" i="1"/>
  <c r="AL128" i="1"/>
  <c r="AN129" i="1" s="1"/>
  <c r="AP125" i="1"/>
  <c r="AO125" i="1"/>
  <c r="AQ125" i="1" s="1"/>
  <c r="AL125" i="1"/>
  <c r="AL117" i="1"/>
  <c r="AO117" i="1"/>
  <c r="AP117" i="1"/>
  <c r="AO113" i="1"/>
  <c r="AL113" i="1"/>
  <c r="AN114" i="1" s="1"/>
  <c r="AP113" i="1"/>
  <c r="AL38" i="1"/>
  <c r="AO38" i="1"/>
  <c r="AP38" i="1"/>
  <c r="AO37" i="1"/>
  <c r="AP37" i="1"/>
  <c r="AL37" i="1"/>
  <c r="AO24" i="1"/>
  <c r="AP24" i="1"/>
  <c r="AL24" i="1"/>
  <c r="AL53" i="1"/>
  <c r="AN54" i="1" s="1"/>
  <c r="AO53" i="1"/>
  <c r="AP53" i="1"/>
  <c r="AO86" i="1"/>
  <c r="AL86" i="1"/>
  <c r="AN87" i="1" s="1"/>
  <c r="AP86" i="1"/>
  <c r="BB173" i="1"/>
  <c r="AZ98" i="1"/>
  <c r="AW98" i="1"/>
  <c r="BA98" i="1"/>
  <c r="AZ80" i="1"/>
  <c r="AW80" i="1"/>
  <c r="BA80" i="1"/>
  <c r="BA73" i="1"/>
  <c r="AW73" i="1"/>
  <c r="AZ73" i="1"/>
  <c r="BB73" i="1" s="1"/>
  <c r="AZ69" i="1"/>
  <c r="AW69" i="1"/>
  <c r="BA69" i="1"/>
  <c r="AW76" i="1"/>
  <c r="BA76" i="1"/>
  <c r="AZ76" i="1"/>
  <c r="AZ77" i="1"/>
  <c r="AW77" i="1"/>
  <c r="BA77" i="1"/>
  <c r="BA61" i="1"/>
  <c r="AW61" i="1"/>
  <c r="AZ61" i="1"/>
  <c r="BA65" i="1"/>
  <c r="AW65" i="1"/>
  <c r="AZ65" i="1"/>
  <c r="BB65" i="1" s="1"/>
  <c r="AW62" i="1"/>
  <c r="AZ62" i="1"/>
  <c r="BA62" i="1"/>
  <c r="BA67" i="1"/>
  <c r="AW67" i="1"/>
  <c r="AZ67" i="1"/>
  <c r="BA50" i="1"/>
  <c r="AW50" i="1"/>
  <c r="AZ50" i="1"/>
  <c r="AW58" i="1"/>
  <c r="AZ58" i="1"/>
  <c r="BA58" i="1"/>
  <c r="BA55" i="1"/>
  <c r="AZ55" i="1"/>
  <c r="BB55" i="1" s="1"/>
  <c r="AW55" i="1"/>
  <c r="AZ64" i="1"/>
  <c r="AW64" i="1"/>
  <c r="BA64" i="1"/>
  <c r="BB151" i="1"/>
  <c r="BA174" i="1"/>
  <c r="AZ174" i="1"/>
  <c r="AW174" i="1"/>
  <c r="AZ88" i="1"/>
  <c r="BA88" i="1"/>
  <c r="AW88" i="1"/>
  <c r="AZ86" i="1"/>
  <c r="AW86" i="1"/>
  <c r="BA86" i="1"/>
  <c r="BB143" i="1"/>
  <c r="BB122" i="1"/>
  <c r="BA93" i="1"/>
  <c r="AW93" i="1"/>
  <c r="AZ93" i="1"/>
  <c r="BB93" i="1" s="1"/>
  <c r="BA79" i="1"/>
  <c r="AW79" i="1"/>
  <c r="AZ79" i="1"/>
  <c r="BB79" i="1" s="1"/>
  <c r="BA75" i="1"/>
  <c r="AZ75" i="1"/>
  <c r="BB75" i="1" s="1"/>
  <c r="AW75" i="1"/>
  <c r="AW74" i="1"/>
  <c r="BA74" i="1"/>
  <c r="AZ74" i="1"/>
  <c r="BB74" i="1" s="1"/>
  <c r="BE57" i="1"/>
  <c r="BB88" i="1"/>
  <c r="BE88" i="1" s="1"/>
  <c r="BE65" i="1"/>
  <c r="BE59" i="1"/>
  <c r="BB52" i="1"/>
  <c r="AQ69" i="1"/>
  <c r="AQ112" i="1"/>
  <c r="AL167" i="1"/>
  <c r="AO167" i="1"/>
  <c r="AP167" i="1"/>
  <c r="AP159" i="1"/>
  <c r="AO159" i="1"/>
  <c r="AL159" i="1"/>
  <c r="AN160" i="1" s="1"/>
  <c r="AP136" i="1"/>
  <c r="AL136" i="1"/>
  <c r="AN137" i="1" s="1"/>
  <c r="AO136" i="1"/>
  <c r="AP26" i="1"/>
  <c r="AO26" i="1"/>
  <c r="AQ26" i="1" s="1"/>
  <c r="AL26" i="1"/>
  <c r="AQ171" i="1"/>
  <c r="BB159" i="1"/>
  <c r="BA94" i="1"/>
  <c r="AW94" i="1"/>
  <c r="AZ94" i="1"/>
  <c r="AW92" i="1"/>
  <c r="AZ92" i="1"/>
  <c r="BA92" i="1"/>
  <c r="AW82" i="1"/>
  <c r="AY83" i="1" s="1"/>
  <c r="BA82" i="1"/>
  <c r="AZ82" i="1"/>
  <c r="BB82" i="1" s="1"/>
  <c r="BB99" i="1"/>
  <c r="BE28" i="1"/>
  <c r="BE148" i="1"/>
  <c r="BE103" i="1"/>
  <c r="AZ97" i="1"/>
  <c r="AW97" i="1"/>
  <c r="BA97" i="1"/>
  <c r="AZ130" i="1"/>
  <c r="AW130" i="1"/>
  <c r="BA130" i="1"/>
  <c r="AZ116" i="1"/>
  <c r="BA116" i="1"/>
  <c r="AW116" i="1"/>
  <c r="BB90" i="1"/>
  <c r="BB135" i="1"/>
  <c r="BE131" i="1"/>
  <c r="BB27" i="1"/>
  <c r="BA102" i="1"/>
  <c r="AZ102" i="1"/>
  <c r="AW102" i="1"/>
  <c r="BA53" i="1"/>
  <c r="AZ53" i="1"/>
  <c r="AW53" i="1"/>
  <c r="AO89" i="1"/>
  <c r="AL89" i="1"/>
  <c r="AN90" i="1" s="1"/>
  <c r="AP89" i="1"/>
  <c r="AP83" i="1"/>
  <c r="AO83" i="1"/>
  <c r="AQ83" i="1" s="1"/>
  <c r="AL83" i="1"/>
  <c r="AN84" i="1" s="1"/>
  <c r="AP157" i="1"/>
  <c r="AO157" i="1"/>
  <c r="AL157" i="1"/>
  <c r="AP144" i="1"/>
  <c r="AL144" i="1"/>
  <c r="AO144" i="1"/>
  <c r="AQ144" i="1" s="1"/>
  <c r="BE144" i="1" s="1"/>
  <c r="AP121" i="1"/>
  <c r="AL121" i="1"/>
  <c r="AO121" i="1"/>
  <c r="AQ121" i="1" s="1"/>
  <c r="AQ116" i="1"/>
  <c r="AL75" i="1"/>
  <c r="AN76" i="1" s="1"/>
  <c r="AP75" i="1"/>
  <c r="AO75" i="1"/>
  <c r="AO51" i="1"/>
  <c r="AP51" i="1"/>
  <c r="AL51" i="1"/>
  <c r="AN52" i="1" s="1"/>
  <c r="AP40" i="1"/>
  <c r="AL40" i="1"/>
  <c r="AN41" i="1" s="1"/>
  <c r="AO40" i="1"/>
  <c r="AO34" i="1"/>
  <c r="AP34" i="1"/>
  <c r="AL34" i="1"/>
  <c r="AN35" i="1" s="1"/>
  <c r="AP29" i="1"/>
  <c r="AO29" i="1"/>
  <c r="AL29" i="1"/>
  <c r="AN30" i="1" s="1"/>
  <c r="BB163" i="1"/>
  <c r="BB160" i="1"/>
  <c r="BB155" i="1"/>
  <c r="BB142" i="1"/>
  <c r="BE142" i="1" s="1"/>
  <c r="BB134" i="1"/>
  <c r="BB129" i="1"/>
  <c r="BB125" i="1"/>
  <c r="BE125" i="1" s="1"/>
  <c r="BB109" i="1"/>
  <c r="BB96" i="1"/>
  <c r="BB95" i="1"/>
  <c r="AQ105" i="1"/>
  <c r="AQ39" i="1"/>
  <c r="BB169" i="1"/>
  <c r="AQ156" i="1"/>
  <c r="BB140" i="1"/>
  <c r="BB106" i="1"/>
  <c r="BE23" i="1"/>
  <c r="BB124" i="1"/>
  <c r="AQ159" i="1"/>
  <c r="BE159" i="1" s="1"/>
  <c r="BB153" i="1"/>
  <c r="AQ147" i="1"/>
  <c r="BE147" i="1" s="1"/>
  <c r="BB110" i="1"/>
  <c r="BB101" i="1"/>
  <c r="AQ145" i="1"/>
  <c r="AQ128" i="1"/>
  <c r="BE128" i="1" s="1"/>
  <c r="BB127" i="1"/>
  <c r="BE127" i="1" s="1"/>
  <c r="AQ122" i="1"/>
  <c r="BE122" i="1" s="1"/>
  <c r="BB167" i="1"/>
  <c r="AQ167" i="1"/>
  <c r="BE167" i="1" s="1"/>
  <c r="BB165" i="1"/>
  <c r="BB162" i="1"/>
  <c r="AQ157" i="1"/>
  <c r="BE157" i="1" s="1"/>
  <c r="BB149" i="1"/>
  <c r="BE149" i="1" s="1"/>
  <c r="BB137" i="1"/>
  <c r="BB121" i="1"/>
  <c r="BE121" i="1" s="1"/>
  <c r="BB100" i="1"/>
  <c r="BB40" i="1"/>
  <c r="BB39" i="1"/>
  <c r="BE39" i="1" s="1"/>
  <c r="BB34" i="1"/>
  <c r="BB29" i="1"/>
  <c r="BB26" i="1"/>
  <c r="BE26" i="1" s="1"/>
  <c r="AQ25" i="1"/>
  <c r="BE25" i="1" s="1"/>
  <c r="BB22" i="1"/>
  <c r="BA168" i="1"/>
  <c r="AW168" i="1"/>
  <c r="AZ168" i="1"/>
  <c r="BB168" i="1" s="1"/>
  <c r="BE168" i="1" s="1"/>
  <c r="AL160" i="1"/>
  <c r="AN161" i="1" s="1"/>
  <c r="AO160" i="1"/>
  <c r="AP160" i="1"/>
  <c r="AP154" i="1"/>
  <c r="AL154" i="1"/>
  <c r="AO154" i="1"/>
  <c r="AP150" i="1"/>
  <c r="AO150" i="1"/>
  <c r="AL150" i="1"/>
  <c r="AN151" i="1" s="1"/>
  <c r="AZ145" i="1"/>
  <c r="BA145" i="1"/>
  <c r="AW145" i="1"/>
  <c r="AY146" i="1" s="1"/>
  <c r="AP123" i="1"/>
  <c r="AL123" i="1"/>
  <c r="AO123" i="1"/>
  <c r="AZ118" i="1"/>
  <c r="BA118" i="1"/>
  <c r="AW118" i="1"/>
  <c r="AY119" i="1" s="1"/>
  <c r="AO106" i="1"/>
  <c r="AL106" i="1"/>
  <c r="AN107" i="1" s="1"/>
  <c r="AP106" i="1"/>
  <c r="AL104" i="1"/>
  <c r="AP104" i="1"/>
  <c r="AO104" i="1"/>
  <c r="AQ104" i="1" s="1"/>
  <c r="AO84" i="1"/>
  <c r="AL84" i="1"/>
  <c r="AN85" i="1" s="1"/>
  <c r="AP84" i="1"/>
  <c r="BA83" i="1"/>
  <c r="AW83" i="1"/>
  <c r="AZ83" i="1"/>
  <c r="AP52" i="1"/>
  <c r="AO52" i="1"/>
  <c r="AL52" i="1"/>
  <c r="AW37" i="1"/>
  <c r="BA37" i="1"/>
  <c r="AZ37" i="1"/>
  <c r="BB37" i="1" s="1"/>
  <c r="AO30" i="1"/>
  <c r="AP30" i="1"/>
  <c r="AL30" i="1"/>
  <c r="AN31" i="1" s="1"/>
  <c r="BC22" i="1"/>
  <c r="BC23" i="1" s="1"/>
  <c r="AR22" i="1"/>
  <c r="AR23" i="1" s="1"/>
  <c r="BE22" i="1"/>
  <c r="BB176" i="1"/>
  <c r="BB175" i="1"/>
  <c r="AQ175" i="1"/>
  <c r="BE175" i="1" s="1"/>
  <c r="BB174" i="1"/>
  <c r="BE174" i="1" s="1"/>
  <c r="BB172" i="1"/>
  <c r="BB171" i="1"/>
  <c r="BE171" i="1" s="1"/>
  <c r="AQ158" i="1"/>
  <c r="BB156" i="1"/>
  <c r="BE156" i="1" s="1"/>
  <c r="AQ155" i="1"/>
  <c r="BE155" i="1" s="1"/>
  <c r="BB115" i="1"/>
  <c r="AQ113" i="1"/>
  <c r="BB107" i="1"/>
  <c r="BB105" i="1"/>
  <c r="BE105" i="1" s="1"/>
  <c r="AQ29" i="1"/>
  <c r="BE29" i="1" s="1"/>
  <c r="BB92" i="1"/>
  <c r="AQ89" i="1"/>
  <c r="BE89" i="1" s="1"/>
  <c r="BB87" i="1"/>
  <c r="AQ86" i="1"/>
  <c r="BB84" i="1"/>
  <c r="BB81" i="1"/>
  <c r="BB80" i="1"/>
  <c r="BB78" i="1"/>
  <c r="BB77" i="1"/>
  <c r="AQ75" i="1"/>
  <c r="BE75" i="1" s="1"/>
  <c r="AQ74" i="1"/>
  <c r="BE74" i="1" s="1"/>
  <c r="AQ73" i="1"/>
  <c r="BE73" i="1" s="1"/>
  <c r="BB72" i="1"/>
  <c r="AQ72" i="1"/>
  <c r="BB70" i="1"/>
  <c r="BE70" i="1" s="1"/>
  <c r="BB69" i="1"/>
  <c r="BE69" i="1" s="1"/>
  <c r="BB68" i="1"/>
  <c r="BE68" i="1" s="1"/>
  <c r="BB67" i="1"/>
  <c r="BE67" i="1" s="1"/>
  <c r="AQ66" i="1"/>
  <c r="BE66" i="1" s="1"/>
  <c r="BB64" i="1"/>
  <c r="BE64" i="1" s="1"/>
  <c r="BB63" i="1"/>
  <c r="AQ63" i="1"/>
  <c r="BB62" i="1"/>
  <c r="AQ62" i="1"/>
  <c r="BB61" i="1"/>
  <c r="AQ61" i="1"/>
  <c r="BE61" i="1" s="1"/>
  <c r="AQ60" i="1"/>
  <c r="BE60" i="1" s="1"/>
  <c r="BB58" i="1"/>
  <c r="AQ58" i="1"/>
  <c r="BB56" i="1"/>
  <c r="BE56" i="1" s="1"/>
  <c r="BB54" i="1"/>
  <c r="BB53" i="1"/>
  <c r="BB51" i="1"/>
  <c r="AQ51" i="1"/>
  <c r="BE51" i="1" s="1"/>
  <c r="BB50" i="1"/>
  <c r="AQ50" i="1"/>
  <c r="BE50" i="1" s="1"/>
  <c r="BB49" i="1"/>
  <c r="BB47" i="1"/>
  <c r="BB46" i="1"/>
  <c r="BB45" i="1"/>
  <c r="BB44" i="1"/>
  <c r="BB43" i="1"/>
  <c r="BB42" i="1"/>
  <c r="AQ40" i="1"/>
  <c r="BE40" i="1" s="1"/>
  <c r="BB38" i="1"/>
  <c r="BB33" i="1"/>
  <c r="AQ166" i="1"/>
  <c r="BE166" i="1" s="1"/>
  <c r="BB158" i="1"/>
  <c r="BB154" i="1"/>
  <c r="AQ153" i="1"/>
  <c r="BE153" i="1" s="1"/>
  <c r="BB150" i="1"/>
  <c r="AQ143" i="1"/>
  <c r="BE143" i="1" s="1"/>
  <c r="BB136" i="1"/>
  <c r="AQ124" i="1"/>
  <c r="BE124" i="1" s="1"/>
  <c r="AQ119" i="1"/>
  <c r="BB98" i="1"/>
  <c r="AQ24" i="1"/>
  <c r="BB138" i="1"/>
  <c r="BB112" i="1"/>
  <c r="BE112" i="1" s="1"/>
  <c r="BB97" i="1"/>
  <c r="BB36" i="1"/>
  <c r="AQ27" i="1"/>
  <c r="BE27" i="1" s="1"/>
  <c r="AQ146" i="1"/>
  <c r="AQ136" i="1"/>
  <c r="AQ135" i="1"/>
  <c r="BE135" i="1" s="1"/>
  <c r="BB123" i="1"/>
  <c r="AQ118" i="1"/>
  <c r="BB117" i="1"/>
  <c r="BB104" i="1"/>
  <c r="BB32" i="1"/>
  <c r="BB24" i="1"/>
  <c r="BB113" i="1"/>
  <c r="BB102" i="1"/>
  <c r="BB126" i="1"/>
  <c r="BE126" i="1" s="1"/>
  <c r="BB48" i="1" l="1"/>
  <c r="BB76" i="1"/>
  <c r="AQ154" i="1"/>
  <c r="BE154" i="1" s="1"/>
  <c r="AQ37" i="1"/>
  <c r="BE37" i="1" s="1"/>
  <c r="AQ172" i="1"/>
  <c r="BE172" i="1" s="1"/>
  <c r="AQ117" i="1"/>
  <c r="BE117" i="1" s="1"/>
  <c r="AO176" i="1"/>
  <c r="AL176" i="1"/>
  <c r="AP176" i="1"/>
  <c r="AO173" i="1"/>
  <c r="AL173" i="1"/>
  <c r="AP173" i="1"/>
  <c r="AP170" i="1"/>
  <c r="AL170" i="1"/>
  <c r="AO170" i="1"/>
  <c r="AQ170" i="1" s="1"/>
  <c r="BE170" i="1" s="1"/>
  <c r="AO132" i="1"/>
  <c r="AL132" i="1"/>
  <c r="AN133" i="1" s="1"/>
  <c r="AP132" i="1"/>
  <c r="AO129" i="1"/>
  <c r="AP129" i="1"/>
  <c r="AL129" i="1"/>
  <c r="AO114" i="1"/>
  <c r="AL114" i="1"/>
  <c r="AN115" i="1" s="1"/>
  <c r="AP114" i="1"/>
  <c r="BE102" i="1"/>
  <c r="AQ169" i="1"/>
  <c r="BE169" i="1" s="1"/>
  <c r="AQ123" i="1"/>
  <c r="BE123" i="1" s="1"/>
  <c r="AP54" i="1"/>
  <c r="AL54" i="1"/>
  <c r="AN55" i="1" s="1"/>
  <c r="AO54" i="1"/>
  <c r="AL87" i="1"/>
  <c r="AP87" i="1"/>
  <c r="AO87" i="1"/>
  <c r="AO137" i="1"/>
  <c r="AL137" i="1"/>
  <c r="AN138" i="1" s="1"/>
  <c r="AP137" i="1"/>
  <c r="AP90" i="1"/>
  <c r="AO90" i="1"/>
  <c r="AL90" i="1"/>
  <c r="AN91" i="1" s="1"/>
  <c r="AO41" i="1"/>
  <c r="AL41" i="1"/>
  <c r="AN42" i="1" s="1"/>
  <c r="AP41" i="1"/>
  <c r="AP161" i="1"/>
  <c r="AL161" i="1"/>
  <c r="AN162" i="1" s="1"/>
  <c r="AO161" i="1"/>
  <c r="AQ161" i="1" s="1"/>
  <c r="BE161" i="1" s="1"/>
  <c r="AL151" i="1"/>
  <c r="AN152" i="1" s="1"/>
  <c r="AP151" i="1"/>
  <c r="AO151" i="1"/>
  <c r="AP85" i="1"/>
  <c r="AO85" i="1"/>
  <c r="AQ85" i="1" s="1"/>
  <c r="BE85" i="1" s="1"/>
  <c r="AL85" i="1"/>
  <c r="AO31" i="1"/>
  <c r="AP31" i="1"/>
  <c r="AL31" i="1"/>
  <c r="AN32" i="1" s="1"/>
  <c r="AQ38" i="1"/>
  <c r="BE38" i="1" s="1"/>
  <c r="AQ53" i="1"/>
  <c r="BE53" i="1" s="1"/>
  <c r="BE58" i="1"/>
  <c r="BE63" i="1"/>
  <c r="BB86" i="1"/>
  <c r="BE86" i="1" s="1"/>
  <c r="BB94" i="1"/>
  <c r="BE72" i="1"/>
  <c r="BE62" i="1"/>
  <c r="AQ52" i="1"/>
  <c r="BE52" i="1" s="1"/>
  <c r="AP107" i="1"/>
  <c r="AO107" i="1"/>
  <c r="AL107" i="1"/>
  <c r="AN108" i="1" s="1"/>
  <c r="BB116" i="1"/>
  <c r="BE116" i="1" s="1"/>
  <c r="BB130" i="1"/>
  <c r="BE130" i="1" s="1"/>
  <c r="AQ150" i="1"/>
  <c r="BE150" i="1" s="1"/>
  <c r="AP76" i="1"/>
  <c r="AL76" i="1"/>
  <c r="AN77" i="1" s="1"/>
  <c r="AO76" i="1"/>
  <c r="AP35" i="1"/>
  <c r="AL35" i="1"/>
  <c r="AN36" i="1" s="1"/>
  <c r="AO35" i="1"/>
  <c r="AQ35" i="1" s="1"/>
  <c r="BE35" i="1" s="1"/>
  <c r="AQ34" i="1"/>
  <c r="BE34" i="1" s="1"/>
  <c r="BB83" i="1"/>
  <c r="BE83" i="1" s="1"/>
  <c r="BE104" i="1"/>
  <c r="BC24" i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E113" i="1"/>
  <c r="BA146" i="1"/>
  <c r="AZ146" i="1"/>
  <c r="AW146" i="1"/>
  <c r="AW119" i="1"/>
  <c r="AY120" i="1" s="1"/>
  <c r="AZ119" i="1"/>
  <c r="BA119" i="1"/>
  <c r="BF22" i="1"/>
  <c r="BF23" i="1" s="1"/>
  <c r="BE136" i="1"/>
  <c r="AQ160" i="1"/>
  <c r="BE160" i="1" s="1"/>
  <c r="BB145" i="1"/>
  <c r="BE145" i="1" s="1"/>
  <c r="BB118" i="1"/>
  <c r="BE118" i="1" s="1"/>
  <c r="AQ106" i="1"/>
  <c r="BE106" i="1" s="1"/>
  <c r="AQ84" i="1"/>
  <c r="BE84" i="1" s="1"/>
  <c r="AQ30" i="1"/>
  <c r="BE30" i="1" s="1"/>
  <c r="AR24" i="1"/>
  <c r="AR25" i="1" s="1"/>
  <c r="AR26" i="1" s="1"/>
  <c r="AR27" i="1" s="1"/>
  <c r="AR28" i="1" s="1"/>
  <c r="AR29" i="1" s="1"/>
  <c r="BE158" i="1"/>
  <c r="BE33" i="1"/>
  <c r="BE24" i="1"/>
  <c r="BC118" i="1" l="1"/>
  <c r="AQ107" i="1"/>
  <c r="BE107" i="1" s="1"/>
  <c r="AQ87" i="1"/>
  <c r="BE87" i="1" s="1"/>
  <c r="AQ151" i="1"/>
  <c r="BE151" i="1" s="1"/>
  <c r="AQ31" i="1"/>
  <c r="BE31" i="1" s="1"/>
  <c r="AQ76" i="1"/>
  <c r="BE76" i="1" s="1"/>
  <c r="AQ129" i="1"/>
  <c r="BE129" i="1" s="1"/>
  <c r="AQ137" i="1"/>
  <c r="BE137" i="1" s="1"/>
  <c r="AP133" i="1"/>
  <c r="AL133" i="1"/>
  <c r="AN134" i="1" s="1"/>
  <c r="AO133" i="1"/>
  <c r="AL115" i="1"/>
  <c r="AP115" i="1"/>
  <c r="AO115" i="1"/>
  <c r="AO55" i="1"/>
  <c r="AP55" i="1"/>
  <c r="AL55" i="1"/>
  <c r="AP138" i="1"/>
  <c r="AO138" i="1"/>
  <c r="AQ138" i="1" s="1"/>
  <c r="BE138" i="1" s="1"/>
  <c r="AL138" i="1"/>
  <c r="AN139" i="1" s="1"/>
  <c r="AL91" i="1"/>
  <c r="AN92" i="1" s="1"/>
  <c r="AO91" i="1"/>
  <c r="AP91" i="1"/>
  <c r="AP42" i="1"/>
  <c r="AL42" i="1"/>
  <c r="AN43" i="1" s="1"/>
  <c r="AO42" i="1"/>
  <c r="AQ42" i="1" s="1"/>
  <c r="BE42" i="1" s="1"/>
  <c r="AL162" i="1"/>
  <c r="AN163" i="1" s="1"/>
  <c r="AO162" i="1"/>
  <c r="AP162" i="1"/>
  <c r="AO152" i="1"/>
  <c r="AL152" i="1"/>
  <c r="AP152" i="1"/>
  <c r="AO32" i="1"/>
  <c r="AL32" i="1"/>
  <c r="AP32" i="1"/>
  <c r="AQ176" i="1"/>
  <c r="BE176" i="1" s="1"/>
  <c r="AQ173" i="1"/>
  <c r="BE173" i="1" s="1"/>
  <c r="AQ132" i="1"/>
  <c r="BE132" i="1" s="1"/>
  <c r="AQ90" i="1"/>
  <c r="BE90" i="1" s="1"/>
  <c r="AQ114" i="1"/>
  <c r="BE114" i="1" s="1"/>
  <c r="AQ54" i="1"/>
  <c r="BE54" i="1" s="1"/>
  <c r="AQ41" i="1"/>
  <c r="BE41" i="1" s="1"/>
  <c r="AP108" i="1"/>
  <c r="AO108" i="1"/>
  <c r="AL108" i="1"/>
  <c r="AN109" i="1" s="1"/>
  <c r="AO36" i="1"/>
  <c r="AP36" i="1"/>
  <c r="AL36" i="1"/>
  <c r="AL77" i="1"/>
  <c r="AN78" i="1" s="1"/>
  <c r="AP77" i="1"/>
  <c r="AO77" i="1"/>
  <c r="BF24" i="1"/>
  <c r="BF25" i="1" s="1"/>
  <c r="BF26" i="1" s="1"/>
  <c r="BF27" i="1" s="1"/>
  <c r="BF28" i="1" s="1"/>
  <c r="BF29" i="1" s="1"/>
  <c r="BF30" i="1" s="1"/>
  <c r="BF31" i="1" s="1"/>
  <c r="AR30" i="1"/>
  <c r="AR31" i="1" s="1"/>
  <c r="BB146" i="1"/>
  <c r="BE146" i="1" s="1"/>
  <c r="AW120" i="1"/>
  <c r="AZ120" i="1"/>
  <c r="BA120" i="1"/>
  <c r="BB119" i="1"/>
  <c r="AQ133" i="1" l="1"/>
  <c r="BE133" i="1" s="1"/>
  <c r="AQ77" i="1"/>
  <c r="BE77" i="1" s="1"/>
  <c r="AQ108" i="1"/>
  <c r="BE108" i="1" s="1"/>
  <c r="AQ115" i="1"/>
  <c r="BE115" i="1" s="1"/>
  <c r="AO134" i="1"/>
  <c r="AL134" i="1"/>
  <c r="AP134" i="1"/>
  <c r="AO139" i="1"/>
  <c r="AP139" i="1"/>
  <c r="AL139" i="1"/>
  <c r="AN140" i="1" s="1"/>
  <c r="AP92" i="1"/>
  <c r="AO92" i="1"/>
  <c r="AL92" i="1"/>
  <c r="AN93" i="1" s="1"/>
  <c r="AO43" i="1"/>
  <c r="AL43" i="1"/>
  <c r="AN44" i="1" s="1"/>
  <c r="AP43" i="1"/>
  <c r="AL163" i="1"/>
  <c r="AN164" i="1" s="1"/>
  <c r="AP163" i="1"/>
  <c r="AO163" i="1"/>
  <c r="AL109" i="1"/>
  <c r="AN110" i="1" s="1"/>
  <c r="AO109" i="1"/>
  <c r="AP109" i="1"/>
  <c r="AQ55" i="1"/>
  <c r="BE55" i="1" s="1"/>
  <c r="AQ91" i="1"/>
  <c r="BE91" i="1" s="1"/>
  <c r="AQ162" i="1"/>
  <c r="BE162" i="1" s="1"/>
  <c r="AQ152" i="1"/>
  <c r="BE152" i="1" s="1"/>
  <c r="AQ32" i="1"/>
  <c r="AQ36" i="1"/>
  <c r="BE36" i="1" s="1"/>
  <c r="AO78" i="1"/>
  <c r="AL78" i="1"/>
  <c r="AN79" i="1" s="1"/>
  <c r="AP78" i="1"/>
  <c r="BC119" i="1"/>
  <c r="BE119" i="1"/>
  <c r="BB120" i="1"/>
  <c r="AQ163" i="1" l="1"/>
  <c r="BE163" i="1" s="1"/>
  <c r="AL140" i="1"/>
  <c r="AN141" i="1" s="1"/>
  <c r="AO140" i="1"/>
  <c r="AP140" i="1"/>
  <c r="AP93" i="1"/>
  <c r="AL93" i="1"/>
  <c r="AN94" i="1" s="1"/>
  <c r="AO93" i="1"/>
  <c r="AP44" i="1"/>
  <c r="AO44" i="1"/>
  <c r="AQ44" i="1" s="1"/>
  <c r="AL44" i="1"/>
  <c r="AN45" i="1" s="1"/>
  <c r="AP164" i="1"/>
  <c r="AL164" i="1"/>
  <c r="AN165" i="1" s="1"/>
  <c r="AO164" i="1"/>
  <c r="AQ164" i="1" s="1"/>
  <c r="BE164" i="1" s="1"/>
  <c r="AO110" i="1"/>
  <c r="AL110" i="1"/>
  <c r="AN111" i="1" s="1"/>
  <c r="AP110" i="1"/>
  <c r="AR32" i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BE32" i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AQ134" i="1"/>
  <c r="BE134" i="1" s="1"/>
  <c r="AQ139" i="1"/>
  <c r="BE139" i="1" s="1"/>
  <c r="AQ92" i="1"/>
  <c r="BE92" i="1" s="1"/>
  <c r="AQ43" i="1"/>
  <c r="BE43" i="1" s="1"/>
  <c r="AQ109" i="1"/>
  <c r="BE109" i="1" s="1"/>
  <c r="AP79" i="1"/>
  <c r="AL79" i="1"/>
  <c r="AN80" i="1" s="1"/>
  <c r="AO79" i="1"/>
  <c r="AQ79" i="1" s="1"/>
  <c r="BE79" i="1" s="1"/>
  <c r="AQ78" i="1"/>
  <c r="BE78" i="1" s="1"/>
  <c r="BE44" i="1"/>
  <c r="BC120" i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20" i="1"/>
  <c r="BB19" i="1"/>
  <c r="BB15" i="1"/>
  <c r="BB14" i="1"/>
  <c r="AQ93" i="1" l="1"/>
  <c r="BE93" i="1" s="1"/>
  <c r="AP141" i="1"/>
  <c r="AL141" i="1"/>
  <c r="AO141" i="1"/>
  <c r="AQ141" i="1" s="1"/>
  <c r="BE141" i="1" s="1"/>
  <c r="AL94" i="1"/>
  <c r="AN95" i="1" s="1"/>
  <c r="AP94" i="1"/>
  <c r="AO94" i="1"/>
  <c r="AQ94" i="1" s="1"/>
  <c r="BE94" i="1" s="1"/>
  <c r="AO45" i="1"/>
  <c r="AP45" i="1"/>
  <c r="AL45" i="1"/>
  <c r="AN46" i="1" s="1"/>
  <c r="AL165" i="1"/>
  <c r="AP165" i="1"/>
  <c r="AO165" i="1"/>
  <c r="AP111" i="1"/>
  <c r="AO111" i="1"/>
  <c r="AL111" i="1"/>
  <c r="AQ140" i="1"/>
  <c r="BE140" i="1" s="1"/>
  <c r="AQ110" i="1"/>
  <c r="BE110" i="1" s="1"/>
  <c r="AR43" i="1"/>
  <c r="AR44" i="1" s="1"/>
  <c r="BF43" i="1"/>
  <c r="BF44" i="1" s="1"/>
  <c r="AP80" i="1"/>
  <c r="AO80" i="1"/>
  <c r="AL80" i="1"/>
  <c r="AN81" i="1" s="1"/>
  <c r="BB16" i="1"/>
  <c r="AT1" i="1" s="1"/>
  <c r="AQ165" i="1" l="1"/>
  <c r="BE165" i="1" s="1"/>
  <c r="AQ111" i="1"/>
  <c r="BE111" i="1" s="1"/>
  <c r="AQ80" i="1"/>
  <c r="BE80" i="1" s="1"/>
  <c r="AP95" i="1"/>
  <c r="AO95" i="1"/>
  <c r="AL95" i="1"/>
  <c r="AN96" i="1" s="1"/>
  <c r="AP46" i="1"/>
  <c r="AO46" i="1"/>
  <c r="AL46" i="1"/>
  <c r="AN47" i="1" s="1"/>
  <c r="AP81" i="1"/>
  <c r="AO81" i="1"/>
  <c r="AL81" i="1"/>
  <c r="AN82" i="1" s="1"/>
  <c r="AQ45" i="1"/>
  <c r="AQ81" i="1" l="1"/>
  <c r="BE81" i="1" s="1"/>
  <c r="AQ95" i="1"/>
  <c r="BE95" i="1" s="1"/>
  <c r="AQ46" i="1"/>
  <c r="BE46" i="1" s="1"/>
  <c r="AO96" i="1"/>
  <c r="AL96" i="1"/>
  <c r="AN97" i="1" s="1"/>
  <c r="AP96" i="1"/>
  <c r="AO47" i="1"/>
  <c r="AP47" i="1"/>
  <c r="AL47" i="1"/>
  <c r="AN48" i="1" s="1"/>
  <c r="AP82" i="1"/>
  <c r="AL82" i="1"/>
  <c r="AO82" i="1"/>
  <c r="AR45" i="1"/>
  <c r="AR46" i="1" s="1"/>
  <c r="BE45" i="1"/>
  <c r="BF45" i="1" s="1"/>
  <c r="BF46" i="1" s="1"/>
  <c r="AQ82" i="1" l="1"/>
  <c r="BE82" i="1" s="1"/>
  <c r="AL97" i="1"/>
  <c r="AN98" i="1" s="1"/>
  <c r="AO97" i="1"/>
  <c r="AP97" i="1"/>
  <c r="AO48" i="1"/>
  <c r="AP48" i="1"/>
  <c r="AL48" i="1"/>
  <c r="AN49" i="1" s="1"/>
  <c r="AQ96" i="1"/>
  <c r="BE96" i="1" s="1"/>
  <c r="AQ47" i="1"/>
  <c r="AQ97" i="1" l="1"/>
  <c r="BE97" i="1" s="1"/>
  <c r="AP98" i="1"/>
  <c r="AO98" i="1"/>
  <c r="AL98" i="1"/>
  <c r="AN99" i="1" s="1"/>
  <c r="AP49" i="1"/>
  <c r="AO49" i="1"/>
  <c r="AQ49" i="1" s="1"/>
  <c r="BE49" i="1" s="1"/>
  <c r="AL49" i="1"/>
  <c r="AR47" i="1"/>
  <c r="BE47" i="1"/>
  <c r="BF47" i="1" s="1"/>
  <c r="AQ48" i="1"/>
  <c r="BE48" i="1" s="1"/>
  <c r="AQ98" i="1" l="1"/>
  <c r="BE98" i="1" s="1"/>
  <c r="BF48" i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AO99" i="1"/>
  <c r="AL99" i="1"/>
  <c r="AN100" i="1" s="1"/>
  <c r="AP99" i="1"/>
  <c r="AR48" i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P100" i="1" l="1"/>
  <c r="AO100" i="1"/>
  <c r="AQ100" i="1" s="1"/>
  <c r="BE100" i="1" s="1"/>
  <c r="AL100" i="1"/>
  <c r="AN101" i="1" s="1"/>
  <c r="AQ99" i="1"/>
  <c r="AL101" i="1" l="1"/>
  <c r="AP101" i="1"/>
  <c r="AO101" i="1"/>
  <c r="AQ101" i="1" s="1"/>
  <c r="BE101" i="1" s="1"/>
  <c r="BE99" i="1"/>
  <c r="AQ15" i="1"/>
  <c r="AQ19" i="1"/>
  <c r="AQ14" i="1"/>
  <c r="AR99" i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16" i="1" l="1"/>
  <c r="AI1" i="1" s="1"/>
  <c r="BE18" i="1"/>
  <c r="BE14" i="1"/>
  <c r="BE15" i="1"/>
  <c r="BF99" i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<sst xmlns="http://schemas.openxmlformats.org/spreadsheetml/2006/main" count="74" uniqueCount="53">
  <si>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</si>
  <si>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LEN</t>
  </si>
  <si>
    <t>LEN B</t>
  </si>
  <si>
    <t>LEN log rtn</t>
  </si>
  <si>
    <t>LEN B log rtn</t>
  </si>
  <si>
    <t>LEN div</t>
  </si>
  <si>
    <t>LEN div cumsum</t>
  </si>
  <si>
    <t>LEN B div</t>
  </si>
  <si>
    <t>LEN B div cumsum</t>
  </si>
  <si>
    <t>LEN div adjustment</t>
  </si>
  <si>
    <t>LEN B div adjustment</t>
  </si>
  <si>
    <t>LEN*</t>
  </si>
  <si>
    <t>LEN B*</t>
  </si>
  <si>
    <t>LEN B/LEN</t>
  </si>
  <si>
    <t>LEN B/LEN avg</t>
  </si>
  <si>
    <t>LEN B/LEN 10 dma</t>
  </si>
  <si>
    <t>LEN B/LEN 20 dma</t>
  </si>
  <si>
    <t>LEN x avg</t>
  </si>
  <si>
    <t>LEN x 10 dma</t>
  </si>
  <si>
    <t>LEN x 20 dma</t>
  </si>
  <si>
    <t>log diff LEN x avg / LEN B</t>
  </si>
  <si>
    <t>log diff LEN x 10 dma / LEN B</t>
  </si>
  <si>
    <t>log diff LEN x 20 dma / LEN B</t>
  </si>
  <si>
    <t>LEN B*/LEN*</t>
  </si>
  <si>
    <t>LEN B*/LEN* avg</t>
  </si>
  <si>
    <t>LEN B*/LEN* 10 dma</t>
  </si>
  <si>
    <t>LEN B*/LEN* 20 dma</t>
  </si>
  <si>
    <t>LEN* x avg</t>
  </si>
  <si>
    <t>LEN* x 10 dma</t>
  </si>
  <si>
    <t>LEN* x 20 dma</t>
  </si>
  <si>
    <t>log diff LEN* x avg / LEN B*</t>
  </si>
  <si>
    <t>log diff LEN* x 10 dma / LEN B*</t>
  </si>
  <si>
    <t>log diff LEN* x 20 dma / LEN B*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</si>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</sst>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LEN B/LEN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0.96273232566827205</c:v>
                </c:pt>
                <c:pt idx="1">
                  <c:v>0.96273232566827205</c:v>
                </c:pt>
                <c:pt idx="2">
                  <c:v>0.96273232566827205</c:v>
                </c:pt>
                <c:pt idx="3">
                  <c:v>0.96273232566827205</c:v>
                </c:pt>
                <c:pt idx="4">
                  <c:v>0.96273232566827205</c:v>
                </c:pt>
                <c:pt idx="5">
                  <c:v>0.96273232566827205</c:v>
                </c:pt>
                <c:pt idx="6">
                  <c:v>0.96273232566827205</c:v>
                </c:pt>
                <c:pt idx="7">
                  <c:v>0.96273232566827205</c:v>
                </c:pt>
                <c:pt idx="8">
                  <c:v>0.96273232566827205</c:v>
                </c:pt>
                <c:pt idx="9">
                  <c:v>0.96273232566827205</c:v>
                </c:pt>
                <c:pt idx="10">
                  <c:v>0.96273232566827205</c:v>
                </c:pt>
                <c:pt idx="11">
                  <c:v>0.96273232566827205</c:v>
                </c:pt>
                <c:pt idx="12">
                  <c:v>0.96273232566827205</c:v>
                </c:pt>
                <c:pt idx="13">
                  <c:v>0.96273232566827205</c:v>
                </c:pt>
                <c:pt idx="14">
                  <c:v>0.96273232566827205</c:v>
                </c:pt>
                <c:pt idx="15">
                  <c:v>0.96273232566827205</c:v>
                </c:pt>
                <c:pt idx="16">
                  <c:v>0.96273232566827205</c:v>
                </c:pt>
                <c:pt idx="17">
                  <c:v>0.96273232566827205</c:v>
                </c:pt>
                <c:pt idx="18">
                  <c:v>0.96273232566827205</c:v>
                </c:pt>
                <c:pt idx="19">
                  <c:v>0.96273232566827205</c:v>
                </c:pt>
                <c:pt idx="20">
                  <c:v>0.96273232566827205</c:v>
                </c:pt>
                <c:pt idx="21">
                  <c:v>0.96273232566827205</c:v>
                </c:pt>
                <c:pt idx="22">
                  <c:v>0.96273232566827205</c:v>
                </c:pt>
                <c:pt idx="23">
                  <c:v>0.96273232566827205</c:v>
                </c:pt>
                <c:pt idx="24">
                  <c:v>0.96273232566827205</c:v>
                </c:pt>
                <c:pt idx="25">
                  <c:v>0.96273232566827205</c:v>
                </c:pt>
                <c:pt idx="26">
                  <c:v>0.96273232566827205</c:v>
                </c:pt>
                <c:pt idx="27">
                  <c:v>0.96273232566827205</c:v>
                </c:pt>
                <c:pt idx="28">
                  <c:v>0.96273232566827205</c:v>
                </c:pt>
                <c:pt idx="29">
                  <c:v>0.96273232566827205</c:v>
                </c:pt>
                <c:pt idx="30">
                  <c:v>0.96273232566827205</c:v>
                </c:pt>
                <c:pt idx="31">
                  <c:v>0.96273232566827205</c:v>
                </c:pt>
                <c:pt idx="32">
                  <c:v>0.96273232566827205</c:v>
                </c:pt>
                <c:pt idx="33">
                  <c:v>0.96273232566827205</c:v>
                </c:pt>
                <c:pt idx="34">
                  <c:v>0.96273232566827205</c:v>
                </c:pt>
                <c:pt idx="35">
                  <c:v>0.96273232566827205</c:v>
                </c:pt>
                <c:pt idx="36">
                  <c:v>0.96273232566827205</c:v>
                </c:pt>
                <c:pt idx="37">
                  <c:v>0.96273232566827205</c:v>
                </c:pt>
                <c:pt idx="38">
                  <c:v>0.96273232566827205</c:v>
                </c:pt>
                <c:pt idx="39">
                  <c:v>0.96273232566827205</c:v>
                </c:pt>
                <c:pt idx="40">
                  <c:v>0.96273232566827205</c:v>
                </c:pt>
                <c:pt idx="41">
                  <c:v>0.96273232566827205</c:v>
                </c:pt>
                <c:pt idx="42">
                  <c:v>0.96273232566827205</c:v>
                </c:pt>
                <c:pt idx="43">
                  <c:v>0.96273232566827205</c:v>
                </c:pt>
                <c:pt idx="44">
                  <c:v>0.96273232566827205</c:v>
                </c:pt>
                <c:pt idx="45">
                  <c:v>0.96273232566827205</c:v>
                </c:pt>
                <c:pt idx="46">
                  <c:v>0.96273232566827205</c:v>
                </c:pt>
                <c:pt idx="47">
                  <c:v>0.96273232566827205</c:v>
                </c:pt>
                <c:pt idx="48">
                  <c:v>0.96273232566827205</c:v>
                </c:pt>
                <c:pt idx="49">
                  <c:v>0.96273232566827205</c:v>
                </c:pt>
                <c:pt idx="50">
                  <c:v>0.96273232566827205</c:v>
                </c:pt>
                <c:pt idx="51">
                  <c:v>0.96273232566827205</c:v>
                </c:pt>
                <c:pt idx="52">
                  <c:v>0.96273232566827205</c:v>
                </c:pt>
                <c:pt idx="53">
                  <c:v>0.96273232566827205</c:v>
                </c:pt>
                <c:pt idx="54">
                  <c:v>0.96273232566827205</c:v>
                </c:pt>
                <c:pt idx="55">
                  <c:v>0.96273232566827205</c:v>
                </c:pt>
                <c:pt idx="56">
                  <c:v>0.96273232566827205</c:v>
                </c:pt>
                <c:pt idx="57">
                  <c:v>0.96273232566827205</c:v>
                </c:pt>
                <c:pt idx="58">
                  <c:v>0.96273232566827205</c:v>
                </c:pt>
                <c:pt idx="59">
                  <c:v>0.96273232566827205</c:v>
                </c:pt>
                <c:pt idx="60">
                  <c:v>0.96273232566827205</c:v>
                </c:pt>
                <c:pt idx="61">
                  <c:v>0.96273232566827205</c:v>
                </c:pt>
                <c:pt idx="62">
                  <c:v>0.96273232566827205</c:v>
                </c:pt>
                <c:pt idx="63">
                  <c:v>0.96273232566827205</c:v>
                </c:pt>
                <c:pt idx="64">
                  <c:v>0.96273232566827205</c:v>
                </c:pt>
                <c:pt idx="65">
                  <c:v>0.96273232566827205</c:v>
                </c:pt>
                <c:pt idx="66">
                  <c:v>0.96273232566827205</c:v>
                </c:pt>
                <c:pt idx="67">
                  <c:v>0.96273232566827205</c:v>
                </c:pt>
                <c:pt idx="68">
                  <c:v>0.96273232566827205</c:v>
                </c:pt>
                <c:pt idx="69">
                  <c:v>0.96273232566827205</c:v>
                </c:pt>
                <c:pt idx="70">
                  <c:v>0.96273232566827205</c:v>
                </c:pt>
                <c:pt idx="71">
                  <c:v>0.96273232566827205</c:v>
                </c:pt>
                <c:pt idx="72">
                  <c:v>0.96273232566827205</c:v>
                </c:pt>
                <c:pt idx="73">
                  <c:v>0.96273232566827205</c:v>
                </c:pt>
                <c:pt idx="74">
                  <c:v>0.96273232566827205</c:v>
                </c:pt>
                <c:pt idx="75">
                  <c:v>0.96273232566827205</c:v>
                </c:pt>
                <c:pt idx="76">
                  <c:v>0.96273232566827205</c:v>
                </c:pt>
                <c:pt idx="77">
                  <c:v>0.96273232566827205</c:v>
                </c:pt>
                <c:pt idx="78">
                  <c:v>0.96273232566827205</c:v>
                </c:pt>
                <c:pt idx="79">
                  <c:v>0.96273232566827205</c:v>
                </c:pt>
                <c:pt idx="80">
                  <c:v>0.96273232566827205</c:v>
                </c:pt>
                <c:pt idx="81">
                  <c:v>0.96273232566827205</c:v>
                </c:pt>
                <c:pt idx="82">
                  <c:v>0.96273232566827205</c:v>
                </c:pt>
                <c:pt idx="83">
                  <c:v>0.96273232566827205</c:v>
                </c:pt>
                <c:pt idx="84">
                  <c:v>0.96273232566827205</c:v>
                </c:pt>
                <c:pt idx="85">
                  <c:v>0.96273232566827205</c:v>
                </c:pt>
                <c:pt idx="86">
                  <c:v>0.96273232566827205</c:v>
                </c:pt>
                <c:pt idx="87">
                  <c:v>0.96273232566827205</c:v>
                </c:pt>
                <c:pt idx="88">
                  <c:v>0.96273232566827205</c:v>
                </c:pt>
                <c:pt idx="89">
                  <c:v>0.96273232566827205</c:v>
                </c:pt>
                <c:pt idx="90">
                  <c:v>0.96273232566827205</c:v>
                </c:pt>
                <c:pt idx="91">
                  <c:v>0.96273232566827205</c:v>
                </c:pt>
                <c:pt idx="92">
                  <c:v>0.96273232566827205</c:v>
                </c:pt>
                <c:pt idx="93">
                  <c:v>0.96273232566827205</c:v>
                </c:pt>
                <c:pt idx="94">
                  <c:v>0.96273232566827205</c:v>
                </c:pt>
                <c:pt idx="95">
                  <c:v>0.96273232566827205</c:v>
                </c:pt>
                <c:pt idx="96">
                  <c:v>0.96273232566827205</c:v>
                </c:pt>
                <c:pt idx="97">
                  <c:v>0.96273232566827205</c:v>
                </c:pt>
                <c:pt idx="98">
                  <c:v>0.96273232566827205</c:v>
                </c:pt>
                <c:pt idx="99">
                  <c:v>0.96273232566827205</c:v>
                </c:pt>
                <c:pt idx="100">
                  <c:v>0.96273232566827205</c:v>
                </c:pt>
                <c:pt idx="101">
                  <c:v>0.96273232566827205</c:v>
                </c:pt>
                <c:pt idx="102">
                  <c:v>0.96273232566827205</c:v>
                </c:pt>
                <c:pt idx="103">
                  <c:v>0.96273232566827205</c:v>
                </c:pt>
                <c:pt idx="104">
                  <c:v>0.96273232566827205</c:v>
                </c:pt>
                <c:pt idx="105">
                  <c:v>0.96273232566827205</c:v>
                </c:pt>
                <c:pt idx="106">
                  <c:v>0.96273232566827205</c:v>
                </c:pt>
                <c:pt idx="107">
                  <c:v>0.96273232566827205</c:v>
                </c:pt>
                <c:pt idx="108">
                  <c:v>0.96273232566827205</c:v>
                </c:pt>
                <c:pt idx="109">
                  <c:v>0.96273232566827205</c:v>
                </c:pt>
                <c:pt idx="110">
                  <c:v>0.96273232566827205</c:v>
                </c:pt>
                <c:pt idx="111">
                  <c:v>0.96273232566827205</c:v>
                </c:pt>
                <c:pt idx="112">
                  <c:v>0.96273232566827205</c:v>
                </c:pt>
                <c:pt idx="113">
                  <c:v>0.96273232566827205</c:v>
                </c:pt>
                <c:pt idx="114">
                  <c:v>0.96273232566827205</c:v>
                </c:pt>
                <c:pt idx="115">
                  <c:v>0.96273232566827205</c:v>
                </c:pt>
                <c:pt idx="116">
                  <c:v>0.96273232566827205</c:v>
                </c:pt>
                <c:pt idx="117">
                  <c:v>0.96273232566827205</c:v>
                </c:pt>
                <c:pt idx="118">
                  <c:v>0.96273232566827205</c:v>
                </c:pt>
                <c:pt idx="119">
                  <c:v>0.96273232566827205</c:v>
                </c:pt>
                <c:pt idx="120">
                  <c:v>0.96273232566827205</c:v>
                </c:pt>
                <c:pt idx="121">
                  <c:v>0.96273232566827205</c:v>
                </c:pt>
                <c:pt idx="122">
                  <c:v>0.96273232566827205</c:v>
                </c:pt>
                <c:pt idx="123">
                  <c:v>0.96273232566827205</c:v>
                </c:pt>
                <c:pt idx="124">
                  <c:v>0.96273232566827205</c:v>
                </c:pt>
                <c:pt idx="125">
                  <c:v>0.96273232566827205</c:v>
                </c:pt>
                <c:pt idx="126">
                  <c:v>0.96273232566827205</c:v>
                </c:pt>
                <c:pt idx="127">
                  <c:v>0.96273232566827205</c:v>
                </c:pt>
                <c:pt idx="128">
                  <c:v>0.96273232566827205</c:v>
                </c:pt>
                <c:pt idx="129">
                  <c:v>0.96273232566827205</c:v>
                </c:pt>
                <c:pt idx="130">
                  <c:v>0.96273232566827205</c:v>
                </c:pt>
                <c:pt idx="131">
                  <c:v>0.96273232566827205</c:v>
                </c:pt>
                <c:pt idx="132">
                  <c:v>0.96273232566827205</c:v>
                </c:pt>
                <c:pt idx="133">
                  <c:v>0.96273232566827205</c:v>
                </c:pt>
                <c:pt idx="134">
                  <c:v>0.96273232566827205</c:v>
                </c:pt>
                <c:pt idx="135">
                  <c:v>0.96273232566827205</c:v>
                </c:pt>
                <c:pt idx="136">
                  <c:v>0.96273232566827205</c:v>
                </c:pt>
                <c:pt idx="137">
                  <c:v>0.96273232566827205</c:v>
                </c:pt>
                <c:pt idx="138">
                  <c:v>0.96273232566827205</c:v>
                </c:pt>
                <c:pt idx="139">
                  <c:v>0.96273232566827205</c:v>
                </c:pt>
                <c:pt idx="140">
                  <c:v>0.96273232566827205</c:v>
                </c:pt>
                <c:pt idx="141">
                  <c:v>0.96273232566827205</c:v>
                </c:pt>
                <c:pt idx="142">
                  <c:v>0.96273232566827205</c:v>
                </c:pt>
                <c:pt idx="143">
                  <c:v>0.96273232566827205</c:v>
                </c:pt>
                <c:pt idx="144">
                  <c:v>0.96273232566827205</c:v>
                </c:pt>
                <c:pt idx="145">
                  <c:v>0.96273232566827205</c:v>
                </c:pt>
                <c:pt idx="146">
                  <c:v>0.96273232566827205</c:v>
                </c:pt>
                <c:pt idx="147">
                  <c:v>0.96273232566827205</c:v>
                </c:pt>
                <c:pt idx="148">
                  <c:v>0.96273232566827205</c:v>
                </c:pt>
                <c:pt idx="149">
                  <c:v>0.96273232566827205</c:v>
                </c:pt>
                <c:pt idx="150">
                  <c:v>0.96273232566827205</c:v>
                </c:pt>
                <c:pt idx="151">
                  <c:v>0.96273232566827205</c:v>
                </c:pt>
                <c:pt idx="152">
                  <c:v>0.96273232566827205</c:v>
                </c:pt>
                <c:pt idx="153">
                  <c:v>0.96273232566827205</c:v>
                </c:pt>
                <c:pt idx="154">
                  <c:v>0.96273232566827205</c:v>
                </c:pt>
                <c:pt idx="155">
                  <c:v>0.96273232566827205</c:v>
                </c:pt>
                <c:pt idx="156">
                  <c:v>0.96273232566827205</c:v>
                </c:pt>
                <c:pt idx="157">
                  <c:v>0.96273232566827205</c:v>
                </c:pt>
                <c:pt idx="158">
                  <c:v>0.96273232566827205</c:v>
                </c:pt>
                <c:pt idx="159">
                  <c:v>0.96273232566827205</c:v>
                </c:pt>
                <c:pt idx="160">
                  <c:v>0.96273232566827205</c:v>
                </c:pt>
                <c:pt idx="161">
                  <c:v>0.96273232566827205</c:v>
                </c:pt>
                <c:pt idx="162">
                  <c:v>0.96273232566827205</c:v>
                </c:pt>
                <c:pt idx="163">
                  <c:v>0.96273232566827205</c:v>
                </c:pt>
                <c:pt idx="164">
                  <c:v>0.96273232566827205</c:v>
                </c:pt>
                <c:pt idx="165">
                  <c:v>0.96273232566827205</c:v>
                </c:pt>
                <c:pt idx="166">
                  <c:v>0.96273232566827205</c:v>
                </c:pt>
                <c:pt idx="167">
                  <c:v>0.96273232566827205</c:v>
                </c:pt>
                <c:pt idx="168">
                  <c:v>0.96273232566827205</c:v>
                </c:pt>
                <c:pt idx="169">
                  <c:v>0.96273232566827205</c:v>
                </c:pt>
                <c:pt idx="170">
                  <c:v>0.96273232566827205</c:v>
                </c:pt>
                <c:pt idx="171">
                  <c:v>0.96273232566827205</c:v>
                </c:pt>
                <c:pt idx="172">
                  <c:v>0.96273232566827205</c:v>
                </c:pt>
                <c:pt idx="173">
                  <c:v>0.96273232566827205</c:v>
                </c:pt>
                <c:pt idx="174">
                  <c:v>0.96273232566827205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F-4836-BC82-38080F196879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LEN B/LEN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0.91390632002298899</c:v>
                </c:pt>
                <c:pt idx="10">
                  <c:v>0.91255706335947595</c:v>
                </c:pt>
                <c:pt idx="11">
                  <c:v>0.91134317926916197</c:v>
                </c:pt>
                <c:pt idx="12">
                  <c:v>0.91086151163573303</c:v>
                </c:pt>
                <c:pt idx="13">
                  <c:v>0.91070614932469196</c:v>
                </c:pt>
                <c:pt idx="14">
                  <c:v>0.91194916601607301</c:v>
                </c:pt>
                <c:pt idx="15">
                  <c:v>0.91494204404853896</c:v>
                </c:pt>
                <c:pt idx="16">
                  <c:v>0.917069323305299</c:v>
                </c:pt>
                <c:pt idx="17">
                  <c:v>0.91939934225305198</c:v>
                </c:pt>
                <c:pt idx="18">
                  <c:v>0.92305311456855699</c:v>
                </c:pt>
                <c:pt idx="19">
                  <c:v>0.92490638585089702</c:v>
                </c:pt>
                <c:pt idx="20">
                  <c:v>0.92783583522044999</c:v>
                </c:pt>
                <c:pt idx="21">
                  <c:v>0.92853448415778606</c:v>
                </c:pt>
                <c:pt idx="22">
                  <c:v>0.93010734772203396</c:v>
                </c:pt>
                <c:pt idx="23">
                  <c:v>0.92997743024004398</c:v>
                </c:pt>
                <c:pt idx="24">
                  <c:v>0.93015672921853798</c:v>
                </c:pt>
                <c:pt idx="25">
                  <c:v>0.92966443777652596</c:v>
                </c:pt>
                <c:pt idx="26">
                  <c:v>0.92990644914160903</c:v>
                </c:pt>
                <c:pt idx="27">
                  <c:v>0.93013836336080902</c:v>
                </c:pt>
                <c:pt idx="28">
                  <c:v>0.92863323768704098</c:v>
                </c:pt>
                <c:pt idx="29">
                  <c:v>0.92946460449770296</c:v>
                </c:pt>
                <c:pt idx="30">
                  <c:v>0.93003025541221895</c:v>
                </c:pt>
                <c:pt idx="31">
                  <c:v>0.93140079982430202</c:v>
                </c:pt>
                <c:pt idx="32">
                  <c:v>0.93169988345670096</c:v>
                </c:pt>
                <c:pt idx="33">
                  <c:v>0.93269093657610502</c:v>
                </c:pt>
                <c:pt idx="34">
                  <c:v>0.93184801745179202</c:v>
                </c:pt>
                <c:pt idx="35">
                  <c:v>0.93165573663842405</c:v>
                </c:pt>
                <c:pt idx="36">
                  <c:v>0.93272143721754097</c:v>
                </c:pt>
                <c:pt idx="37">
                  <c:v>0.93407114218135201</c:v>
                </c:pt>
                <c:pt idx="38">
                  <c:v>0.93485598635275902</c:v>
                </c:pt>
                <c:pt idx="39">
                  <c:v>0.93534748194784401</c:v>
                </c:pt>
                <c:pt idx="40">
                  <c:v>0.93496066007693701</c:v>
                </c:pt>
                <c:pt idx="41">
                  <c:v>0.93548753890713798</c:v>
                </c:pt>
                <c:pt idx="42">
                  <c:v>0.935946408942401</c:v>
                </c:pt>
                <c:pt idx="43">
                  <c:v>0.93666864740089895</c:v>
                </c:pt>
                <c:pt idx="44">
                  <c:v>0.93796420786971102</c:v>
                </c:pt>
                <c:pt idx="45">
                  <c:v>0.93880068104943504</c:v>
                </c:pt>
                <c:pt idx="46">
                  <c:v>0.93892983326801305</c:v>
                </c:pt>
                <c:pt idx="47">
                  <c:v>0.93952159088634002</c:v>
                </c:pt>
                <c:pt idx="48">
                  <c:v>0.940696452752664</c:v>
                </c:pt>
                <c:pt idx="49">
                  <c:v>0.94095632388559602</c:v>
                </c:pt>
                <c:pt idx="50">
                  <c:v>0.94072737294972797</c:v>
                </c:pt>
                <c:pt idx="51">
                  <c:v>0.94054093618844503</c:v>
                </c:pt>
                <c:pt idx="52">
                  <c:v>0.94076183448855699</c:v>
                </c:pt>
                <c:pt idx="53">
                  <c:v>0.94205589442899895</c:v>
                </c:pt>
                <c:pt idx="54">
                  <c:v>0.94313829863291698</c:v>
                </c:pt>
                <c:pt idx="55">
                  <c:v>0.94483133340964598</c:v>
                </c:pt>
                <c:pt idx="56">
                  <c:v>0.94648465139318105</c:v>
                </c:pt>
                <c:pt idx="57">
                  <c:v>0.94747581061791697</c:v>
                </c:pt>
                <c:pt idx="58">
                  <c:v>0.94848532738193703</c:v>
                </c:pt>
                <c:pt idx="59">
                  <c:v>0.95071932944179804</c:v>
                </c:pt>
                <c:pt idx="60">
                  <c:v>0.95433762183694304</c:v>
                </c:pt>
                <c:pt idx="61">
                  <c:v>0.95789809168169504</c:v>
                </c:pt>
                <c:pt idx="62">
                  <c:v>0.96115097489823098</c:v>
                </c:pt>
                <c:pt idx="63">
                  <c:v>0.96356333866794297</c:v>
                </c:pt>
                <c:pt idx="64">
                  <c:v>0.96563640868759304</c:v>
                </c:pt>
                <c:pt idx="65">
                  <c:v>0.96791012142584498</c:v>
                </c:pt>
                <c:pt idx="66">
                  <c:v>0.96975820827370296</c:v>
                </c:pt>
                <c:pt idx="67">
                  <c:v>0.97150716593890196</c:v>
                </c:pt>
                <c:pt idx="68">
                  <c:v>0.97331066002590505</c:v>
                </c:pt>
                <c:pt idx="69">
                  <c:v>0.97439303119671095</c:v>
                </c:pt>
                <c:pt idx="70">
                  <c:v>0.97484544543722096</c:v>
                </c:pt>
                <c:pt idx="71">
                  <c:v>0.97498659079606298</c:v>
                </c:pt>
                <c:pt idx="72">
                  <c:v>0.97465041719559797</c:v>
                </c:pt>
                <c:pt idx="73">
                  <c:v>0.97465873752501797</c:v>
                </c:pt>
                <c:pt idx="74">
                  <c:v>0.97476508011097596</c:v>
                </c:pt>
                <c:pt idx="75">
                  <c:v>0.97411230356843304</c:v>
                </c:pt>
                <c:pt idx="76">
                  <c:v>0.97428515683679195</c:v>
                </c:pt>
                <c:pt idx="77">
                  <c:v>0.97421517285029002</c:v>
                </c:pt>
                <c:pt idx="78">
                  <c:v>0.97446489703543804</c:v>
                </c:pt>
                <c:pt idx="79">
                  <c:v>0.97437523123561598</c:v>
                </c:pt>
                <c:pt idx="80">
                  <c:v>0.97419175182386897</c:v>
                </c:pt>
                <c:pt idx="81">
                  <c:v>0.97446415462534197</c:v>
                </c:pt>
                <c:pt idx="82">
                  <c:v>0.97488984278458501</c:v>
                </c:pt>
                <c:pt idx="83">
                  <c:v>0.97445837478987196</c:v>
                </c:pt>
                <c:pt idx="84">
                  <c:v>0.97478876202667297</c:v>
                </c:pt>
                <c:pt idx="85">
                  <c:v>0.97483464051142599</c:v>
                </c:pt>
                <c:pt idx="86">
                  <c:v>0.97351312856153205</c:v>
                </c:pt>
                <c:pt idx="87">
                  <c:v>0.97363336836984105</c:v>
                </c:pt>
                <c:pt idx="88">
                  <c:v>0.97353007994706098</c:v>
                </c:pt>
                <c:pt idx="89">
                  <c:v>0.97394093730987896</c:v>
                </c:pt>
                <c:pt idx="90">
                  <c:v>0.97447396542498299</c:v>
                </c:pt>
                <c:pt idx="91">
                  <c:v>0.97427763062699702</c:v>
                </c:pt>
                <c:pt idx="92">
                  <c:v>0.97429124432091696</c:v>
                </c:pt>
                <c:pt idx="93">
                  <c:v>0.97516845427396603</c:v>
                </c:pt>
                <c:pt idx="94">
                  <c:v>0.97541321987931096</c:v>
                </c:pt>
                <c:pt idx="95">
                  <c:v>0.976583627788567</c:v>
                </c:pt>
                <c:pt idx="96">
                  <c:v>0.97804486226853604</c:v>
                </c:pt>
                <c:pt idx="97">
                  <c:v>0.97834020010669398</c:v>
                </c:pt>
                <c:pt idx="98">
                  <c:v>0.97889550003399495</c:v>
                </c:pt>
                <c:pt idx="99">
                  <c:v>0.97820407102180296</c:v>
                </c:pt>
                <c:pt idx="100">
                  <c:v>0.97812761998534004</c:v>
                </c:pt>
                <c:pt idx="101">
                  <c:v>0.97855668314331101</c:v>
                </c:pt>
                <c:pt idx="102">
                  <c:v>0.97845446974219297</c:v>
                </c:pt>
                <c:pt idx="103">
                  <c:v>0.978411481191369</c:v>
                </c:pt>
                <c:pt idx="104">
                  <c:v>0.97845543164105497</c:v>
                </c:pt>
                <c:pt idx="105">
                  <c:v>0.97772750982044399</c:v>
                </c:pt>
                <c:pt idx="106">
                  <c:v>0.977731529363709</c:v>
                </c:pt>
                <c:pt idx="107">
                  <c:v>0.97814277030156305</c:v>
                </c:pt>
                <c:pt idx="108">
                  <c:v>0.97831003625724</c:v>
                </c:pt>
                <c:pt idx="109">
                  <c:v>0.97893123796692005</c:v>
                </c:pt>
                <c:pt idx="110">
                  <c:v>0.97921048771132502</c:v>
                </c:pt>
                <c:pt idx="111">
                  <c:v>0.97911064971678796</c:v>
                </c:pt>
                <c:pt idx="112">
                  <c:v>0.97959084028548005</c:v>
                </c:pt>
                <c:pt idx="113">
                  <c:v>0.97912170181449398</c:v>
                </c:pt>
                <c:pt idx="114">
                  <c:v>0.97925704207064601</c:v>
                </c:pt>
                <c:pt idx="115">
                  <c:v>0.97899053122383095</c:v>
                </c:pt>
                <c:pt idx="116">
                  <c:v>0.978485406739942</c:v>
                </c:pt>
                <c:pt idx="117">
                  <c:v>0.97771393023669195</c:v>
                </c:pt>
                <c:pt idx="118">
                  <c:v>0.97761396106152798</c:v>
                </c:pt>
                <c:pt idx="119">
                  <c:v>0.97758216101502204</c:v>
                </c:pt>
                <c:pt idx="120">
                  <c:v>0.97797734672124403</c:v>
                </c:pt>
                <c:pt idx="121">
                  <c:v>0.97781329989146903</c:v>
                </c:pt>
                <c:pt idx="122">
                  <c:v>0.97787408686034305</c:v>
                </c:pt>
                <c:pt idx="123">
                  <c:v>0.97791517563456098</c:v>
                </c:pt>
                <c:pt idx="124">
                  <c:v>0.97769321430290201</c:v>
                </c:pt>
                <c:pt idx="125">
                  <c:v>0.97827155577976299</c:v>
                </c:pt>
                <c:pt idx="126">
                  <c:v>0.97881606565784995</c:v>
                </c:pt>
                <c:pt idx="127">
                  <c:v>0.97909137979676997</c:v>
                </c:pt>
                <c:pt idx="128">
                  <c:v>0.97901468662081104</c:v>
                </c:pt>
                <c:pt idx="129">
                  <c:v>0.97925361959504598</c:v>
                </c:pt>
                <c:pt idx="130">
                  <c:v>0.97899407797606997</c:v>
                </c:pt>
                <c:pt idx="131">
                  <c:v>0.97934763367426403</c:v>
                </c:pt>
                <c:pt idx="132">
                  <c:v>0.97909873281181203</c:v>
                </c:pt>
                <c:pt idx="133">
                  <c:v>0.97949767543120603</c:v>
                </c:pt>
                <c:pt idx="134">
                  <c:v>0.97964666859356697</c:v>
                </c:pt>
                <c:pt idx="135">
                  <c:v>0.97975070530609198</c:v>
                </c:pt>
                <c:pt idx="136">
                  <c:v>0.97998633099254595</c:v>
                </c:pt>
                <c:pt idx="137">
                  <c:v>0.98044368752007804</c:v>
                </c:pt>
                <c:pt idx="138">
                  <c:v>0.98071859831073305</c:v>
                </c:pt>
                <c:pt idx="139">
                  <c:v>0.98072752070730496</c:v>
                </c:pt>
                <c:pt idx="140">
                  <c:v>0.98067321615757896</c:v>
                </c:pt>
                <c:pt idx="141">
                  <c:v>0.98073148376347097</c:v>
                </c:pt>
                <c:pt idx="142">
                  <c:v>0.98049948686890898</c:v>
                </c:pt>
                <c:pt idx="143">
                  <c:v>0.98004466376221999</c:v>
                </c:pt>
                <c:pt idx="144">
                  <c:v>0.98009132474445404</c:v>
                </c:pt>
                <c:pt idx="145">
                  <c:v>0.97983663415621203</c:v>
                </c:pt>
                <c:pt idx="146">
                  <c:v>0.97973379659322501</c:v>
                </c:pt>
                <c:pt idx="147">
                  <c:v>0.98001850952135605</c:v>
                </c:pt>
                <c:pt idx="148">
                  <c:v>0.97991969044945904</c:v>
                </c:pt>
                <c:pt idx="149">
                  <c:v>0.98002395175377699</c:v>
                </c:pt>
                <c:pt idx="150">
                  <c:v>0.97999060845628505</c:v>
                </c:pt>
                <c:pt idx="151">
                  <c:v>0.98019421144999497</c:v>
                </c:pt>
                <c:pt idx="152">
                  <c:v>0.98055297551340403</c:v>
                </c:pt>
                <c:pt idx="153">
                  <c:v>0.98096427883231296</c:v>
                </c:pt>
                <c:pt idx="154">
                  <c:v>0.98127495855801705</c:v>
                </c:pt>
                <c:pt idx="155">
                  <c:v>0.98138874078144001</c:v>
                </c:pt>
                <c:pt idx="156">
                  <c:v>0.98154357583285001</c:v>
                </c:pt>
                <c:pt idx="157">
                  <c:v>0.98154414413879298</c:v>
                </c:pt>
                <c:pt idx="158">
                  <c:v>0.98151006975007404</c:v>
                </c:pt>
                <c:pt idx="159">
                  <c:v>0.98167972804966297</c:v>
                </c:pt>
                <c:pt idx="160">
                  <c:v>0.982182488536119</c:v>
                </c:pt>
                <c:pt idx="161">
                  <c:v>0.98194526746953303</c:v>
                </c:pt>
                <c:pt idx="162">
                  <c:v>0.98226740107437505</c:v>
                </c:pt>
                <c:pt idx="163">
                  <c:v>0.98228180005117804</c:v>
                </c:pt>
                <c:pt idx="164">
                  <c:v>0.98237624599545303</c:v>
                </c:pt>
                <c:pt idx="165">
                  <c:v>0.98218737626366404</c:v>
                </c:pt>
                <c:pt idx="166">
                  <c:v>0.98225127066362095</c:v>
                </c:pt>
                <c:pt idx="167">
                  <c:v>0.98217836481544696</c:v>
                </c:pt>
                <c:pt idx="168">
                  <c:v>0.98212159520742703</c:v>
                </c:pt>
                <c:pt idx="169">
                  <c:v>0.98219280524850405</c:v>
                </c:pt>
                <c:pt idx="170">
                  <c:v>0.98203998295677597</c:v>
                </c:pt>
                <c:pt idx="171">
                  <c:v>0.98180085413315499</c:v>
                </c:pt>
                <c:pt idx="172">
                  <c:v>0.98184776836260201</c:v>
                </c:pt>
                <c:pt idx="173">
                  <c:v>0.98212733119851803</c:v>
                </c:pt>
                <c:pt idx="174">
                  <c:v>0.98207564224000499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F-4836-BC82-38080F196879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LEN B/LEN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0.91940635293694295</c:v>
                </c:pt>
                <c:pt idx="20">
                  <c:v>0.92019644928996303</c:v>
                </c:pt>
                <c:pt idx="21">
                  <c:v>0.91993883171347401</c:v>
                </c:pt>
                <c:pt idx="22">
                  <c:v>0.920484429678883</c:v>
                </c:pt>
                <c:pt idx="23">
                  <c:v>0.92034178978236802</c:v>
                </c:pt>
                <c:pt idx="24">
                  <c:v>0.92105294761730505</c:v>
                </c:pt>
                <c:pt idx="25">
                  <c:v>0.92230324091253302</c:v>
                </c:pt>
                <c:pt idx="26">
                  <c:v>0.92348788622345401</c:v>
                </c:pt>
                <c:pt idx="27">
                  <c:v>0.924768852806931</c:v>
                </c:pt>
                <c:pt idx="28">
                  <c:v>0.92584317612779898</c:v>
                </c:pt>
                <c:pt idx="29">
                  <c:v>0.92718549517430005</c:v>
                </c:pt>
                <c:pt idx="30">
                  <c:v>0.92893304531633503</c:v>
                </c:pt>
                <c:pt idx="31">
                  <c:v>0.92996764199104398</c:v>
                </c:pt>
                <c:pt idx="32">
                  <c:v>0.93090361558936696</c:v>
                </c:pt>
                <c:pt idx="33">
                  <c:v>0.93133418340807494</c:v>
                </c:pt>
                <c:pt idx="34">
                  <c:v>0.931002373335165</c:v>
                </c:pt>
                <c:pt idx="35">
                  <c:v>0.93066008720747495</c:v>
                </c:pt>
                <c:pt idx="36">
                  <c:v>0.93131394317957505</c:v>
                </c:pt>
                <c:pt idx="37">
                  <c:v>0.93210475277107996</c:v>
                </c:pt>
                <c:pt idx="38">
                  <c:v>0.9317446120199</c:v>
                </c:pt>
                <c:pt idx="39">
                  <c:v>0.93240604322277298</c:v>
                </c:pt>
                <c:pt idx="40">
                  <c:v>0.93249545774457798</c:v>
                </c:pt>
                <c:pt idx="41">
                  <c:v>0.93344416936571994</c:v>
                </c:pt>
                <c:pt idx="42">
                  <c:v>0.93382314619955098</c:v>
                </c:pt>
                <c:pt idx="43">
                  <c:v>0.93467979198850204</c:v>
                </c:pt>
                <c:pt idx="44">
                  <c:v>0.93490611266075097</c:v>
                </c:pt>
                <c:pt idx="45">
                  <c:v>0.93522820884392899</c:v>
                </c:pt>
                <c:pt idx="46">
                  <c:v>0.93582563524277695</c:v>
                </c:pt>
                <c:pt idx="47">
                  <c:v>0.93679636653384601</c:v>
                </c:pt>
                <c:pt idx="48">
                  <c:v>0.93777621955271195</c:v>
                </c:pt>
                <c:pt idx="49">
                  <c:v>0.93815190291672002</c:v>
                </c:pt>
                <c:pt idx="50">
                  <c:v>0.93784401651333205</c:v>
                </c:pt>
                <c:pt idx="51">
                  <c:v>0.93801423754779201</c:v>
                </c:pt>
                <c:pt idx="52">
                  <c:v>0.93835412171547905</c:v>
                </c:pt>
                <c:pt idx="53">
                  <c:v>0.93936227091494895</c:v>
                </c:pt>
                <c:pt idx="54">
                  <c:v>0.94055125325131395</c:v>
                </c:pt>
                <c:pt idx="55">
                  <c:v>0.94181600722954095</c:v>
                </c:pt>
                <c:pt idx="56">
                  <c:v>0.942707242330597</c:v>
                </c:pt>
                <c:pt idx="57">
                  <c:v>0.94349870075212805</c:v>
                </c:pt>
                <c:pt idx="58">
                  <c:v>0.94459089006730101</c:v>
                </c:pt>
                <c:pt idx="59">
                  <c:v>0.94583782666369698</c:v>
                </c:pt>
                <c:pt idx="60">
                  <c:v>0.947532497393335</c:v>
                </c:pt>
                <c:pt idx="61">
                  <c:v>0.94921951393506998</c:v>
                </c:pt>
                <c:pt idx="62">
                  <c:v>0.95095640469339404</c:v>
                </c:pt>
                <c:pt idx="63">
                  <c:v>0.95280961654847096</c:v>
                </c:pt>
                <c:pt idx="64">
                  <c:v>0.95438735366025496</c:v>
                </c:pt>
                <c:pt idx="65">
                  <c:v>0.95637072741774598</c:v>
                </c:pt>
                <c:pt idx="66">
                  <c:v>0.95812142983344195</c:v>
                </c:pt>
                <c:pt idx="67">
                  <c:v>0.95949148827840902</c:v>
                </c:pt>
                <c:pt idx="68">
                  <c:v>0.96089799370392104</c:v>
                </c:pt>
                <c:pt idx="69">
                  <c:v>0.96255618031925505</c:v>
                </c:pt>
                <c:pt idx="70">
                  <c:v>0.96459153363708205</c:v>
                </c:pt>
                <c:pt idx="71">
                  <c:v>0.96644234123887895</c:v>
                </c:pt>
                <c:pt idx="72">
                  <c:v>0.96790069604691498</c:v>
                </c:pt>
                <c:pt idx="73">
                  <c:v>0.96911103809648103</c:v>
                </c:pt>
                <c:pt idx="74">
                  <c:v>0.97020074439928405</c:v>
                </c:pt>
                <c:pt idx="75">
                  <c:v>0.97101121249713895</c:v>
                </c:pt>
                <c:pt idx="76">
                  <c:v>0.97202168255524801</c:v>
                </c:pt>
                <c:pt idx="77">
                  <c:v>0.97286116939459599</c:v>
                </c:pt>
                <c:pt idx="78">
                  <c:v>0.97388777853067199</c:v>
                </c:pt>
                <c:pt idx="79">
                  <c:v>0.97438413121616296</c:v>
                </c:pt>
                <c:pt idx="80">
                  <c:v>0.97451859863054502</c:v>
                </c:pt>
                <c:pt idx="81">
                  <c:v>0.97472537271070203</c:v>
                </c:pt>
                <c:pt idx="82">
                  <c:v>0.97477012999009205</c:v>
                </c:pt>
                <c:pt idx="83">
                  <c:v>0.97455855615744502</c:v>
                </c:pt>
                <c:pt idx="84">
                  <c:v>0.97477692106882396</c:v>
                </c:pt>
                <c:pt idx="85">
                  <c:v>0.97447347203992896</c:v>
                </c:pt>
                <c:pt idx="86">
                  <c:v>0.973899142699162</c:v>
                </c:pt>
                <c:pt idx="87">
                  <c:v>0.97392427061006603</c:v>
                </c:pt>
                <c:pt idx="88">
                  <c:v>0.97399748849124901</c:v>
                </c:pt>
                <c:pt idx="89">
                  <c:v>0.97415808427274697</c:v>
                </c:pt>
                <c:pt idx="90">
                  <c:v>0.97433285862442598</c:v>
                </c:pt>
                <c:pt idx="91">
                  <c:v>0.97437089262617005</c:v>
                </c:pt>
                <c:pt idx="92">
                  <c:v>0.97459054355275099</c:v>
                </c:pt>
                <c:pt idx="93">
                  <c:v>0.97481341453191905</c:v>
                </c:pt>
                <c:pt idx="94">
                  <c:v>0.97510099095299196</c:v>
                </c:pt>
                <c:pt idx="95">
                  <c:v>0.97570913414999605</c:v>
                </c:pt>
                <c:pt idx="96">
                  <c:v>0.97577899541503399</c:v>
                </c:pt>
                <c:pt idx="97">
                  <c:v>0.97598678423826801</c:v>
                </c:pt>
                <c:pt idx="98">
                  <c:v>0.97621278999052796</c:v>
                </c:pt>
                <c:pt idx="99">
                  <c:v>0.97607250416584102</c:v>
                </c:pt>
                <c:pt idx="100">
                  <c:v>0.97630079270516101</c:v>
                </c:pt>
                <c:pt idx="101">
                  <c:v>0.97641715688515396</c:v>
                </c:pt>
                <c:pt idx="102">
                  <c:v>0.97637285703155496</c:v>
                </c:pt>
                <c:pt idx="103">
                  <c:v>0.97678996773266802</c:v>
                </c:pt>
                <c:pt idx="104">
                  <c:v>0.97693432576018302</c:v>
                </c:pt>
                <c:pt idx="105">
                  <c:v>0.97715556880450505</c:v>
                </c:pt>
                <c:pt idx="106">
                  <c:v>0.97788819581612296</c:v>
                </c:pt>
                <c:pt idx="107">
                  <c:v>0.97824148520412901</c:v>
                </c:pt>
                <c:pt idx="108">
                  <c:v>0.97860276814561797</c:v>
                </c:pt>
                <c:pt idx="109">
                  <c:v>0.978567654494362</c:v>
                </c:pt>
                <c:pt idx="110">
                  <c:v>0.97866905384833203</c:v>
                </c:pt>
                <c:pt idx="111">
                  <c:v>0.97883366643004899</c:v>
                </c:pt>
                <c:pt idx="112">
                  <c:v>0.97902265501383601</c:v>
                </c:pt>
                <c:pt idx="113">
                  <c:v>0.97876659150293099</c:v>
                </c:pt>
                <c:pt idx="114">
                  <c:v>0.97885623685585099</c:v>
                </c:pt>
                <c:pt idx="115">
                  <c:v>0.97835902052213797</c:v>
                </c:pt>
                <c:pt idx="116">
                  <c:v>0.97810846805182605</c:v>
                </c:pt>
                <c:pt idx="117">
                  <c:v>0.97792835026912694</c:v>
                </c:pt>
                <c:pt idx="118">
                  <c:v>0.97796199865938405</c:v>
                </c:pt>
                <c:pt idx="119">
                  <c:v>0.97825669949097105</c:v>
                </c:pt>
                <c:pt idx="120">
                  <c:v>0.97859391721628497</c:v>
                </c:pt>
                <c:pt idx="121">
                  <c:v>0.978461974804129</c:v>
                </c:pt>
                <c:pt idx="122">
                  <c:v>0.97873246357291099</c:v>
                </c:pt>
                <c:pt idx="123">
                  <c:v>0.97851843872452704</c:v>
                </c:pt>
                <c:pt idx="124">
                  <c:v>0.97847512818677396</c:v>
                </c:pt>
                <c:pt idx="125">
                  <c:v>0.97863104350179697</c:v>
                </c:pt>
                <c:pt idx="126">
                  <c:v>0.97865073619889598</c:v>
                </c:pt>
                <c:pt idx="127">
                  <c:v>0.97840265501673096</c:v>
                </c:pt>
                <c:pt idx="128">
                  <c:v>0.97831432384117001</c:v>
                </c:pt>
                <c:pt idx="129">
                  <c:v>0.97841789030503401</c:v>
                </c:pt>
                <c:pt idx="130">
                  <c:v>0.978485712348657</c:v>
                </c:pt>
                <c:pt idx="131">
                  <c:v>0.97858046678286703</c:v>
                </c:pt>
                <c:pt idx="132">
                  <c:v>0.97848640983607804</c:v>
                </c:pt>
                <c:pt idx="133">
                  <c:v>0.97870642553288401</c:v>
                </c:pt>
                <c:pt idx="134">
                  <c:v>0.97866994144823405</c:v>
                </c:pt>
                <c:pt idx="135">
                  <c:v>0.97901113054292799</c:v>
                </c:pt>
                <c:pt idx="136">
                  <c:v>0.97940119832519801</c:v>
                </c:pt>
                <c:pt idx="137">
                  <c:v>0.97976753365842395</c:v>
                </c:pt>
                <c:pt idx="138">
                  <c:v>0.97986664246577204</c:v>
                </c:pt>
                <c:pt idx="139">
                  <c:v>0.97999057015117597</c:v>
                </c:pt>
                <c:pt idx="140">
                  <c:v>0.97983364706682397</c:v>
                </c:pt>
                <c:pt idx="141">
                  <c:v>0.98003955871886705</c:v>
                </c:pt>
                <c:pt idx="142">
                  <c:v>0.979799109840361</c:v>
                </c:pt>
                <c:pt idx="143">
                  <c:v>0.97977116959671295</c:v>
                </c:pt>
                <c:pt idx="144">
                  <c:v>0.97986899666901095</c:v>
                </c:pt>
                <c:pt idx="145">
                  <c:v>0.97979366973115201</c:v>
                </c:pt>
                <c:pt idx="146">
                  <c:v>0.97986006379288504</c:v>
                </c:pt>
                <c:pt idx="147">
                  <c:v>0.98023109852071699</c:v>
                </c:pt>
                <c:pt idx="148">
                  <c:v>0.98031914438009604</c:v>
                </c:pt>
                <c:pt idx="149">
                  <c:v>0.98037573623054097</c:v>
                </c:pt>
                <c:pt idx="150">
                  <c:v>0.98033191230693195</c:v>
                </c:pt>
                <c:pt idx="151">
                  <c:v>0.98046284760673297</c:v>
                </c:pt>
                <c:pt idx="152">
                  <c:v>0.98052623119115601</c:v>
                </c:pt>
                <c:pt idx="153">
                  <c:v>0.98050447129726603</c:v>
                </c:pt>
                <c:pt idx="154">
                  <c:v>0.98068314165123605</c:v>
                </c:pt>
                <c:pt idx="155">
                  <c:v>0.98061268746882602</c:v>
                </c:pt>
                <c:pt idx="156">
                  <c:v>0.98063868621303796</c:v>
                </c:pt>
                <c:pt idx="157">
                  <c:v>0.98078132683007502</c:v>
                </c:pt>
                <c:pt idx="158">
                  <c:v>0.98071488009976604</c:v>
                </c:pt>
                <c:pt idx="159">
                  <c:v>0.98085183990171998</c:v>
                </c:pt>
                <c:pt idx="160">
                  <c:v>0.98108654849620203</c:v>
                </c:pt>
                <c:pt idx="161">
                  <c:v>0.98106973945976395</c:v>
                </c:pt>
                <c:pt idx="162">
                  <c:v>0.98141018829389004</c:v>
                </c:pt>
                <c:pt idx="163">
                  <c:v>0.981623039441746</c:v>
                </c:pt>
                <c:pt idx="164">
                  <c:v>0.98182560227673499</c:v>
                </c:pt>
                <c:pt idx="165">
                  <c:v>0.98178805852255202</c:v>
                </c:pt>
                <c:pt idx="166">
                  <c:v>0.98189742324823603</c:v>
                </c:pt>
                <c:pt idx="167">
                  <c:v>0.98186125447712003</c:v>
                </c:pt>
                <c:pt idx="168">
                  <c:v>0.98181583247875004</c:v>
                </c:pt>
                <c:pt idx="169">
                  <c:v>0.98193626664908396</c:v>
                </c:pt>
                <c:pt idx="170">
                  <c:v>0.98211123574644799</c:v>
                </c:pt>
                <c:pt idx="171">
                  <c:v>0.98187306080134495</c:v>
                </c:pt>
                <c:pt idx="172">
                  <c:v>0.98205758471848903</c:v>
                </c:pt>
                <c:pt idx="173">
                  <c:v>0.98220456562484804</c:v>
                </c:pt>
                <c:pt idx="174">
                  <c:v>0.98222594411772901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4F-4836-BC82-38080F196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LEN* x 10 dma / LEN B*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1.12285999665024E-2</c:v>
                </c:pt>
                <c:pt idx="11">
                  <c:v>-2.56525198331666E-3</c:v>
                </c:pt>
                <c:pt idx="12">
                  <c:v>-6.0400627786890201E-3</c:v>
                </c:pt>
                <c:pt idx="13">
                  <c:v>-1.4396301059942501E-2</c:v>
                </c:pt>
                <c:pt idx="14">
                  <c:v>-2.49827041315374E-2</c:v>
                </c:pt>
                <c:pt idx="15">
                  <c:v>-2.7741021172923899E-2</c:v>
                </c:pt>
                <c:pt idx="16">
                  <c:v>-1.3338904150854401E-2</c:v>
                </c:pt>
                <c:pt idx="17">
                  <c:v>-8.0177001510689499E-3</c:v>
                </c:pt>
                <c:pt idx="18">
                  <c:v>-2.2673730770902002E-2</c:v>
                </c:pt>
                <c:pt idx="19">
                  <c:v>-3.2062199758857899E-3</c:v>
                </c:pt>
                <c:pt idx="20">
                  <c:v>-8.7087324512446496E-3</c:v>
                </c:pt>
                <c:pt idx="21">
                  <c:v>6.4316202916630703E-3</c:v>
                </c:pt>
                <c:pt idx="22">
                  <c:v>-4.3614041916281796E-3</c:v>
                </c:pt>
                <c:pt idx="23">
                  <c:v>7.9197553565935608E-3</c:v>
                </c:pt>
                <c:pt idx="24">
                  <c:v>-5.9610467223690598E-3</c:v>
                </c:pt>
                <c:pt idx="25">
                  <c:v>-2.7078012338721601E-3</c:v>
                </c:pt>
                <c:pt idx="26">
                  <c:v>1.74221051462811E-5</c:v>
                </c:pt>
                <c:pt idx="27">
                  <c:v>3.3776948651653101E-3</c:v>
                </c:pt>
                <c:pt idx="28">
                  <c:v>5.0722373468840296E-3</c:v>
                </c:pt>
                <c:pt idx="29">
                  <c:v>-6.1169434576964603E-3</c:v>
                </c:pt>
                <c:pt idx="30">
                  <c:v>-9.8369643001627594E-3</c:v>
                </c:pt>
                <c:pt idx="31">
                  <c:v>-5.9633712449673904E-3</c:v>
                </c:pt>
                <c:pt idx="32">
                  <c:v>-4.4811143547710298E-3</c:v>
                </c:pt>
                <c:pt idx="33">
                  <c:v>-1.05221581021325E-3</c:v>
                </c:pt>
                <c:pt idx="34">
                  <c:v>6.0033568099072902E-3</c:v>
                </c:pt>
                <c:pt idx="35">
                  <c:v>1.17255606979542E-3</c:v>
                </c:pt>
                <c:pt idx="36">
                  <c:v>-9.2411882402106092E-3</c:v>
                </c:pt>
                <c:pt idx="37">
                  <c:v>-8.0581995671784503E-3</c:v>
                </c:pt>
                <c:pt idx="38">
                  <c:v>8.46412233253975E-4</c:v>
                </c:pt>
                <c:pt idx="39">
                  <c:v>-4.6849330160070096E-3</c:v>
                </c:pt>
                <c:pt idx="40">
                  <c:v>6.0195533841630403E-4</c:v>
                </c:pt>
                <c:pt idx="41">
                  <c:v>-6.2917347763113097E-3</c:v>
                </c:pt>
                <c:pt idx="42">
                  <c:v>-4.9956278219853104E-3</c:v>
                </c:pt>
                <c:pt idx="43">
                  <c:v>-4.2186008806695098E-3</c:v>
                </c:pt>
                <c:pt idx="44">
                  <c:v>-3.6184106052243401E-3</c:v>
                </c:pt>
                <c:pt idx="45">
                  <c:v>-1.23227008717458E-3</c:v>
                </c:pt>
                <c:pt idx="46">
                  <c:v>-2.9739353177483498E-3</c:v>
                </c:pt>
                <c:pt idx="47">
                  <c:v>-7.6978166959237402E-3</c:v>
                </c:pt>
                <c:pt idx="48">
                  <c:v>-5.8453293870148497E-3</c:v>
                </c:pt>
                <c:pt idx="49">
                  <c:v>-1.21990233078765E-3</c:v>
                </c:pt>
                <c:pt idx="50">
                  <c:v>9.0328221811092207E-3</c:v>
                </c:pt>
                <c:pt idx="51">
                  <c:v>1.8407077684727401E-3</c:v>
                </c:pt>
                <c:pt idx="52">
                  <c:v>-1.9550740929450902E-3</c:v>
                </c:pt>
                <c:pt idx="53">
                  <c:v>-1.27609069349147E-2</c:v>
                </c:pt>
                <c:pt idx="54">
                  <c:v>-9.3317607322944505E-3</c:v>
                </c:pt>
                <c:pt idx="55">
                  <c:v>-1.3598426480945801E-2</c:v>
                </c:pt>
                <c:pt idx="56">
                  <c:v>-1.39769865293432E-2</c:v>
                </c:pt>
                <c:pt idx="57">
                  <c:v>-1.0104644741298E-2</c:v>
                </c:pt>
                <c:pt idx="58">
                  <c:v>-8.0404524989534393E-3</c:v>
                </c:pt>
                <c:pt idx="59">
                  <c:v>-1.64165863506699E-2</c:v>
                </c:pt>
                <c:pt idx="60">
                  <c:v>-1.8713397848733399E-2</c:v>
                </c:pt>
                <c:pt idx="61">
                  <c:v>-2.1011733881399999E-2</c:v>
                </c:pt>
                <c:pt idx="62">
                  <c:v>-1.7604167259388601E-2</c:v>
                </c:pt>
                <c:pt idx="63">
                  <c:v>-1.6321755276998199E-2</c:v>
                </c:pt>
                <c:pt idx="64">
                  <c:v>-8.3253027584477193E-3</c:v>
                </c:pt>
                <c:pt idx="65">
                  <c:v>-1.35279222203803E-2</c:v>
                </c:pt>
                <c:pt idx="66">
                  <c:v>-8.9489950586198602E-3</c:v>
                </c:pt>
                <c:pt idx="67">
                  <c:v>-3.9400099083231801E-3</c:v>
                </c:pt>
                <c:pt idx="68">
                  <c:v>-1.6994470229723399E-3</c:v>
                </c:pt>
                <c:pt idx="69">
                  <c:v>-1.7428187145170501E-3</c:v>
                </c:pt>
                <c:pt idx="70">
                  <c:v>1.22290338406701E-3</c:v>
                </c:pt>
                <c:pt idx="71">
                  <c:v>-1.19749119793172E-3</c:v>
                </c:pt>
                <c:pt idx="72">
                  <c:v>3.53236460721935E-3</c:v>
                </c:pt>
                <c:pt idx="73">
                  <c:v>-2.4595547793139902E-3</c:v>
                </c:pt>
                <c:pt idx="74">
                  <c:v>2.0299801033904202E-3</c:v>
                </c:pt>
                <c:pt idx="75">
                  <c:v>2.5727718303334098E-3</c:v>
                </c:pt>
                <c:pt idx="76">
                  <c:v>-4.3299952736981402E-3</c:v>
                </c:pt>
                <c:pt idx="77">
                  <c:v>1.4363341038078699E-3</c:v>
                </c:pt>
                <c:pt idx="78">
                  <c:v>-1.47872667195585E-3</c:v>
                </c:pt>
                <c:pt idx="79">
                  <c:v>3.6243063690690402E-4</c:v>
                </c:pt>
                <c:pt idx="80">
                  <c:v>3.0917314275562798E-3</c:v>
                </c:pt>
                <c:pt idx="81">
                  <c:v>-4.65536353998291E-3</c:v>
                </c:pt>
                <c:pt idx="82">
                  <c:v>-1.3755896869022399E-3</c:v>
                </c:pt>
                <c:pt idx="83">
                  <c:v>2.2118724699248999E-3</c:v>
                </c:pt>
                <c:pt idx="84">
                  <c:v>-1.5665192679258E-3</c:v>
                </c:pt>
                <c:pt idx="85">
                  <c:v>2.1253034015979101E-3</c:v>
                </c:pt>
                <c:pt idx="86">
                  <c:v>1.0011027628036399E-2</c:v>
                </c:pt>
                <c:pt idx="87">
                  <c:v>-5.9152928917344803E-4</c:v>
                </c:pt>
                <c:pt idx="88">
                  <c:v>-1.01689231536907E-3</c:v>
                </c:pt>
                <c:pt idx="89">
                  <c:v>-4.8062372240454104E-3</c:v>
                </c:pt>
                <c:pt idx="90">
                  <c:v>-2.82648208538509E-3</c:v>
                </c:pt>
                <c:pt idx="91">
                  <c:v>-2.3577003041448702E-3</c:v>
                </c:pt>
                <c:pt idx="92">
                  <c:v>-1.7065225051706701E-3</c:v>
                </c:pt>
                <c:pt idx="93">
                  <c:v>-7.3798799107526103E-3</c:v>
                </c:pt>
                <c:pt idx="94">
                  <c:v>-3.3428337913283699E-3</c:v>
                </c:pt>
                <c:pt idx="95">
                  <c:v>-9.1948105139201698E-3</c:v>
                </c:pt>
                <c:pt idx="96">
                  <c:v>-3.2233480156661099E-3</c:v>
                </c:pt>
                <c:pt idx="97">
                  <c:v>1.0253490771546499E-3</c:v>
                </c:pt>
                <c:pt idx="98">
                  <c:v>-1.87565570881753E-3</c:v>
                </c:pt>
                <c:pt idx="99">
                  <c:v>7.7832669893560498E-3</c:v>
                </c:pt>
                <c:pt idx="100">
                  <c:v>2.3242220557581801E-3</c:v>
                </c:pt>
                <c:pt idx="101">
                  <c:v>-2.9983857385830199E-3</c:v>
                </c:pt>
                <c:pt idx="102">
                  <c:v>3.7237663984281901E-3</c:v>
                </c:pt>
                <c:pt idx="103">
                  <c:v>-2.6778219116392801E-3</c:v>
                </c:pt>
                <c:pt idx="104">
                  <c:v>-4.7183554743014899E-4</c:v>
                </c:pt>
                <c:pt idx="105">
                  <c:v>1.34110365072529E-3</c:v>
                </c:pt>
                <c:pt idx="106">
                  <c:v>-2.09374953839423E-3</c:v>
                </c:pt>
                <c:pt idx="107">
                  <c:v>-3.4952738348658298E-3</c:v>
                </c:pt>
                <c:pt idx="108">
                  <c:v>-3.7825097856214198E-3</c:v>
                </c:pt>
                <c:pt idx="109">
                  <c:v>8.0983660399037397E-4</c:v>
                </c:pt>
                <c:pt idx="110">
                  <c:v>2.1003976039044801E-4</c:v>
                </c:pt>
                <c:pt idx="111">
                  <c:v>-8.7374838286958503E-4</c:v>
                </c:pt>
                <c:pt idx="112">
                  <c:v>-6.2363565671636303E-4</c:v>
                </c:pt>
                <c:pt idx="113">
                  <c:v>3.27623395129798E-3</c:v>
                </c:pt>
                <c:pt idx="114">
                  <c:v>-1.1278650927753801E-3</c:v>
                </c:pt>
                <c:pt idx="115">
                  <c:v>4.8912022695423397E-3</c:v>
                </c:pt>
                <c:pt idx="116">
                  <c:v>4.3660509499077E-3</c:v>
                </c:pt>
                <c:pt idx="117">
                  <c:v>5.1694950160419799E-3</c:v>
                </c:pt>
                <c:pt idx="118">
                  <c:v>-3.2023380350298001E-3</c:v>
                </c:pt>
                <c:pt idx="119">
                  <c:v>4.2344266470814899E-4</c:v>
                </c:pt>
                <c:pt idx="120">
                  <c:v>-5.1986506633509002E-3</c:v>
                </c:pt>
                <c:pt idx="121">
                  <c:v>-4.5862748869926598E-4</c:v>
                </c:pt>
                <c:pt idx="122">
                  <c:v>-2.56980224695235E-3</c:v>
                </c:pt>
                <c:pt idx="123">
                  <c:v>1.1014393131493899E-3</c:v>
                </c:pt>
                <c:pt idx="124">
                  <c:v>-9.3923006608899194E-5</c:v>
                </c:pt>
                <c:pt idx="125">
                  <c:v>-2.6243643574767701E-3</c:v>
                </c:pt>
                <c:pt idx="126">
                  <c:v>-1.9393676158816701E-3</c:v>
                </c:pt>
                <c:pt idx="127">
                  <c:v>2.6830998194180299E-3</c:v>
                </c:pt>
                <c:pt idx="128">
                  <c:v>-1.0122711447199399E-3</c:v>
                </c:pt>
                <c:pt idx="129">
                  <c:v>-5.8687549044652198E-4</c:v>
                </c:pt>
                <c:pt idx="130">
                  <c:v>-8.4566049687030004E-4</c:v>
                </c:pt>
                <c:pt idx="131">
                  <c:v>-3.0265429141567799E-3</c:v>
                </c:pt>
                <c:pt idx="132">
                  <c:v>1.54029606132028E-3</c:v>
                </c:pt>
                <c:pt idx="133">
                  <c:v>-1.7228602491081301E-3</c:v>
                </c:pt>
                <c:pt idx="134">
                  <c:v>7.3009494998630496E-7</c:v>
                </c:pt>
                <c:pt idx="135">
                  <c:v>-1.68908610376248E-3</c:v>
                </c:pt>
                <c:pt idx="136">
                  <c:v>-2.8295469356033102E-3</c:v>
                </c:pt>
                <c:pt idx="137">
                  <c:v>-7.9618268740966303E-4</c:v>
                </c:pt>
                <c:pt idx="138">
                  <c:v>-2.43308570024798E-3</c:v>
                </c:pt>
                <c:pt idx="139">
                  <c:v>1.06096810087815E-3</c:v>
                </c:pt>
                <c:pt idx="140">
                  <c:v>1.2125701931804901E-3</c:v>
                </c:pt>
                <c:pt idx="141">
                  <c:v>-1.9060490293647901E-3</c:v>
                </c:pt>
                <c:pt idx="142">
                  <c:v>5.3276939484638904E-3</c:v>
                </c:pt>
                <c:pt idx="143">
                  <c:v>4.3548875677628896E-3</c:v>
                </c:pt>
                <c:pt idx="144">
                  <c:v>8.2748259277665704E-5</c:v>
                </c:pt>
                <c:pt idx="145">
                  <c:v>1.3635125918265299E-3</c:v>
                </c:pt>
                <c:pt idx="146">
                  <c:v>-1.6946337196030699E-3</c:v>
                </c:pt>
                <c:pt idx="147">
                  <c:v>-3.9526644689328698E-3</c:v>
                </c:pt>
                <c:pt idx="148">
                  <c:v>-1.8608804894602901E-3</c:v>
                </c:pt>
                <c:pt idx="149">
                  <c:v>-8.1765259760408697E-4</c:v>
                </c:pt>
                <c:pt idx="150">
                  <c:v>8.3537359966452196E-4</c:v>
                </c:pt>
                <c:pt idx="151">
                  <c:v>-4.6724095090972702E-3</c:v>
                </c:pt>
                <c:pt idx="152">
                  <c:v>1.1087930638647499E-3</c:v>
                </c:pt>
                <c:pt idx="153">
                  <c:v>2.0514647458978001E-4</c:v>
                </c:pt>
                <c:pt idx="154">
                  <c:v>-2.1446560156592699E-3</c:v>
                </c:pt>
                <c:pt idx="155">
                  <c:v>1.4086172630249599E-3</c:v>
                </c:pt>
                <c:pt idx="156">
                  <c:v>-1.6881349729183301E-3</c:v>
                </c:pt>
                <c:pt idx="157">
                  <c:v>-2.1129309092902601E-3</c:v>
                </c:pt>
                <c:pt idx="158">
                  <c:v>4.1754762033077299E-5</c:v>
                </c:pt>
                <c:pt idx="159">
                  <c:v>-9.2443851207579201E-4</c:v>
                </c:pt>
                <c:pt idx="160">
                  <c:v>-2.5977607401198601E-3</c:v>
                </c:pt>
                <c:pt idx="161">
                  <c:v>-2.60036492047542E-5</c:v>
                </c:pt>
                <c:pt idx="162">
                  <c:v>-3.9103474373686198E-4</c:v>
                </c:pt>
                <c:pt idx="163">
                  <c:v>1.8051822054831301E-3</c:v>
                </c:pt>
                <c:pt idx="164">
                  <c:v>-1.7627322359852001E-3</c:v>
                </c:pt>
                <c:pt idx="165">
                  <c:v>4.45960172558968E-3</c:v>
                </c:pt>
                <c:pt idx="166">
                  <c:v>-1.5244367219409999E-3</c:v>
                </c:pt>
                <c:pt idx="167">
                  <c:v>-6.5071438243864796E-4</c:v>
                </c:pt>
                <c:pt idx="168">
                  <c:v>1.2662538368713499E-3</c:v>
                </c:pt>
                <c:pt idx="169">
                  <c:v>-1.0261691764121201E-3</c:v>
                </c:pt>
                <c:pt idx="170">
                  <c:v>-5.2133417666681196E-4</c:v>
                </c:pt>
                <c:pt idx="171">
                  <c:v>2.2664682089278999E-3</c:v>
                </c:pt>
                <c:pt idx="172">
                  <c:v>-1.0155816600126899E-3</c:v>
                </c:pt>
                <c:pt idx="173">
                  <c:v>-1.46929964524786E-3</c:v>
                </c:pt>
                <c:pt idx="174">
                  <c:v>-1.39457534228601E-3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01-47CC-AAD0-329CC15FABE0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LEN* x 20 dma / LEN B*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-1.46730671356984E-2</c:v>
                </c:pt>
                <c:pt idx="21">
                  <c:v>-1.8360160581601601E-3</c:v>
                </c:pt>
                <c:pt idx="22">
                  <c:v>-1.3661743372186201E-2</c:v>
                </c:pt>
                <c:pt idx="23">
                  <c:v>-2.4801663265891102E-3</c:v>
                </c:pt>
                <c:pt idx="24">
                  <c:v>-1.6376252332985401E-2</c:v>
                </c:pt>
                <c:pt idx="25">
                  <c:v>-1.25433753512285E-2</c:v>
                </c:pt>
                <c:pt idx="26">
                  <c:v>-7.9322151543211906E-3</c:v>
                </c:pt>
                <c:pt idx="27">
                  <c:v>-3.5486115941301701E-3</c:v>
                </c:pt>
                <c:pt idx="28">
                  <c:v>-7.1729811378895797E-4</c:v>
                </c:pt>
                <c:pt idx="29">
                  <c:v>-9.1259476635021097E-3</c:v>
                </c:pt>
                <c:pt idx="30">
                  <c:v>-1.22920423663695E-2</c:v>
                </c:pt>
                <c:pt idx="31">
                  <c:v>-7.1438251279084203E-3</c:v>
                </c:pt>
                <c:pt idx="32">
                  <c:v>-6.0210116521189202E-3</c:v>
                </c:pt>
                <c:pt idx="33">
                  <c:v>-1.90722109314034E-3</c:v>
                </c:pt>
                <c:pt idx="34">
                  <c:v>4.5476324282132698E-3</c:v>
                </c:pt>
                <c:pt idx="35">
                  <c:v>2.6465259145179801E-4</c:v>
                </c:pt>
                <c:pt idx="36">
                  <c:v>-1.03104478287961E-2</c:v>
                </c:pt>
                <c:pt idx="37">
                  <c:v>-9.5683579260370799E-3</c:v>
                </c:pt>
                <c:pt idx="38">
                  <c:v>-1.2609884071041501E-3</c:v>
                </c:pt>
                <c:pt idx="39">
                  <c:v>-8.0186694534323099E-3</c:v>
                </c:pt>
                <c:pt idx="40">
                  <c:v>-2.5477548531959702E-3</c:v>
                </c:pt>
                <c:pt idx="41">
                  <c:v>-8.9319079410892198E-3</c:v>
                </c:pt>
                <c:pt idx="42">
                  <c:v>-7.1822998620351399E-3</c:v>
                </c:pt>
                <c:pt idx="43">
                  <c:v>-6.4897509800834804E-3</c:v>
                </c:pt>
                <c:pt idx="44">
                  <c:v>-5.7439967540756998E-3</c:v>
                </c:pt>
                <c:pt idx="45">
                  <c:v>-4.4979504636889602E-3</c:v>
                </c:pt>
                <c:pt idx="46">
                  <c:v>-6.7865516036962796E-3</c:v>
                </c:pt>
                <c:pt idx="47">
                  <c:v>-1.10093961677416E-2</c:v>
                </c:pt>
                <c:pt idx="48">
                  <c:v>-8.7501955458228198E-3</c:v>
                </c:pt>
                <c:pt idx="49">
                  <c:v>-4.329061804296E-3</c:v>
                </c:pt>
                <c:pt idx="50">
                  <c:v>6.0479775500301E-3</c:v>
                </c:pt>
                <c:pt idx="51">
                  <c:v>-1.2290277941895799E-3</c:v>
                </c:pt>
                <c:pt idx="52">
                  <c:v>-4.6451203579169001E-3</c:v>
                </c:pt>
                <c:pt idx="53">
                  <c:v>-1.53235099320702E-2</c:v>
                </c:pt>
                <c:pt idx="54">
                  <c:v>-1.2195159634353201E-2</c:v>
                </c:pt>
                <c:pt idx="55">
                  <c:v>-1.6345213503876799E-2</c:v>
                </c:pt>
                <c:pt idx="56">
                  <c:v>-1.7173480842399998E-2</c:v>
                </c:pt>
                <c:pt idx="57">
                  <c:v>-1.41036181744286E-2</c:v>
                </c:pt>
                <c:pt idx="58">
                  <c:v>-1.22468716824052E-2</c:v>
                </c:pt>
                <c:pt idx="59">
                  <c:v>-2.0530993126902299E-2</c:v>
                </c:pt>
                <c:pt idx="60">
                  <c:v>-2.38611610386271E-2</c:v>
                </c:pt>
                <c:pt idx="61">
                  <c:v>-2.8168009609103099E-2</c:v>
                </c:pt>
                <c:pt idx="62">
                  <c:v>-2.67054808099444E-2</c:v>
                </c:pt>
                <c:pt idx="63">
                  <c:v>-2.6985033826829902E-2</c:v>
                </c:pt>
                <c:pt idx="64">
                  <c:v>-1.9548415635972399E-2</c:v>
                </c:pt>
                <c:pt idx="65">
                  <c:v>-2.5245676928415402E-2</c:v>
                </c:pt>
                <c:pt idx="66">
                  <c:v>-2.0942600191555E-2</c:v>
                </c:pt>
                <c:pt idx="67">
                  <c:v>-1.60122570940395E-2</c:v>
                </c:pt>
                <c:pt idx="68">
                  <c:v>-1.41446475612702E-2</c:v>
                </c:pt>
                <c:pt idx="69">
                  <c:v>-1.45778731967486E-2</c:v>
                </c:pt>
                <c:pt idx="70">
                  <c:v>-1.0999408032886E-2</c:v>
                </c:pt>
                <c:pt idx="71">
                  <c:v>-1.1771701605153E-2</c:v>
                </c:pt>
                <c:pt idx="72">
                  <c:v>-5.2697136775566996E-3</c:v>
                </c:pt>
                <c:pt idx="73">
                  <c:v>-9.4089197321507792E-3</c:v>
                </c:pt>
                <c:pt idx="74">
                  <c:v>-3.6782211061954602E-3</c:v>
                </c:pt>
                <c:pt idx="75">
                  <c:v>-2.1207235854832402E-3</c:v>
                </c:pt>
                <c:pt idx="76">
                  <c:v>-7.5185780789492904E-3</c:v>
                </c:pt>
                <c:pt idx="77">
                  <c:v>-8.8958414932990002E-4</c:v>
                </c:pt>
                <c:pt idx="78">
                  <c:v>-2.8695336419508801E-3</c:v>
                </c:pt>
                <c:pt idx="79">
                  <c:v>-2.29986258538182E-4</c:v>
                </c:pt>
                <c:pt idx="80">
                  <c:v>3.1008654240048698E-3</c:v>
                </c:pt>
                <c:pt idx="81">
                  <c:v>-4.3199141904533399E-3</c:v>
                </c:pt>
                <c:pt idx="82">
                  <c:v>-1.10756230089301E-3</c:v>
                </c:pt>
                <c:pt idx="83">
                  <c:v>2.0890687027906498E-3</c:v>
                </c:pt>
                <c:pt idx="84">
                  <c:v>-1.4637173208819801E-3</c:v>
                </c:pt>
                <c:pt idx="85">
                  <c:v>2.11315612392301E-3</c:v>
                </c:pt>
                <c:pt idx="86">
                  <c:v>9.6404669421147997E-3</c:v>
                </c:pt>
                <c:pt idx="87">
                  <c:v>-1.9509125868268201E-4</c:v>
                </c:pt>
                <c:pt idx="88">
                  <c:v>-7.1815687713018095E-4</c:v>
                </c:pt>
                <c:pt idx="89">
                  <c:v>-4.3262352351259104E-3</c:v>
                </c:pt>
                <c:pt idx="90">
                  <c:v>-2.6035499229415601E-3</c:v>
                </c:pt>
                <c:pt idx="91">
                  <c:v>-2.5025138372892501E-3</c:v>
                </c:pt>
                <c:pt idx="92">
                  <c:v>-1.6108028326586501E-3</c:v>
                </c:pt>
                <c:pt idx="93">
                  <c:v>-7.0727302046500297E-3</c:v>
                </c:pt>
                <c:pt idx="94">
                  <c:v>-3.7069805063825001E-3</c:v>
                </c:pt>
                <c:pt idx="95">
                  <c:v>-9.5149608899096905E-3</c:v>
                </c:pt>
                <c:pt idx="96">
                  <c:v>-4.11921129407014E-3</c:v>
                </c:pt>
                <c:pt idx="97">
                  <c:v>-1.2940696978789099E-3</c:v>
                </c:pt>
                <c:pt idx="98">
                  <c:v>-4.2840725447464796E-3</c:v>
                </c:pt>
                <c:pt idx="99">
                  <c:v>5.0389568753512401E-3</c:v>
                </c:pt>
                <c:pt idx="100">
                  <c:v>1.4278292036462001E-4</c:v>
                </c:pt>
                <c:pt idx="101">
                  <c:v>-4.8678098631418903E-3</c:v>
                </c:pt>
                <c:pt idx="102">
                  <c:v>1.5349625704375099E-3</c:v>
                </c:pt>
                <c:pt idx="103">
                  <c:v>-4.8075378910747398E-3</c:v>
                </c:pt>
                <c:pt idx="104">
                  <c:v>-2.1305023117672E-3</c:v>
                </c:pt>
                <c:pt idx="105">
                  <c:v>-2.1470503850353501E-4</c:v>
                </c:pt>
                <c:pt idx="106">
                  <c:v>-2.6788904488772099E-3</c:v>
                </c:pt>
                <c:pt idx="107">
                  <c:v>-3.33505203843832E-3</c:v>
                </c:pt>
                <c:pt idx="108">
                  <c:v>-3.6815941271853198E-3</c:v>
                </c:pt>
                <c:pt idx="109">
                  <c:v>1.1090138487835201E-3</c:v>
                </c:pt>
                <c:pt idx="110">
                  <c:v>-1.6143782065957101E-4</c:v>
                </c:pt>
                <c:pt idx="111">
                  <c:v>-1.4268302914357601E-3</c:v>
                </c:pt>
                <c:pt idx="112">
                  <c:v>-9.06568410525847E-4</c:v>
                </c:pt>
                <c:pt idx="113">
                  <c:v>2.6960426180451698E-3</c:v>
                </c:pt>
                <c:pt idx="114">
                  <c:v>-1.49061338303108E-3</c:v>
                </c:pt>
                <c:pt idx="115">
                  <c:v>4.4818232773185798E-3</c:v>
                </c:pt>
                <c:pt idx="116">
                  <c:v>3.7207796716708301E-3</c:v>
                </c:pt>
                <c:pt idx="117">
                  <c:v>4.7841941136561299E-3</c:v>
                </c:pt>
                <c:pt idx="118">
                  <c:v>-2.9830545439409901E-3</c:v>
                </c:pt>
                <c:pt idx="119">
                  <c:v>7.7938649782890296E-4</c:v>
                </c:pt>
                <c:pt idx="120">
                  <c:v>-4.5088816682516096E-3</c:v>
                </c:pt>
                <c:pt idx="121">
                  <c:v>1.7162864028935401E-4</c:v>
                </c:pt>
                <c:pt idx="122">
                  <c:v>-1.9066287714972999E-3</c:v>
                </c:pt>
                <c:pt idx="123">
                  <c:v>1.97885308593605E-3</c:v>
                </c:pt>
                <c:pt idx="124">
                  <c:v>5.2277372632142903E-4</c:v>
                </c:pt>
                <c:pt idx="125">
                  <c:v>-1.8249301691896701E-3</c:v>
                </c:pt>
                <c:pt idx="126">
                  <c:v>-1.57196279337283E-3</c:v>
                </c:pt>
                <c:pt idx="127">
                  <c:v>2.5141779667564599E-3</c:v>
                </c:pt>
                <c:pt idx="128">
                  <c:v>-1.71595125429889E-3</c:v>
                </c:pt>
                <c:pt idx="129">
                  <c:v>-1.3025066447264499E-3</c:v>
                </c:pt>
                <c:pt idx="130">
                  <c:v>-1.69945985652249E-3</c:v>
                </c:pt>
                <c:pt idx="131">
                  <c:v>-3.5459512282091702E-3</c:v>
                </c:pt>
                <c:pt idx="132">
                  <c:v>7.5664427096242405E-4</c:v>
                </c:pt>
                <c:pt idx="133">
                  <c:v>-2.3484504033904302E-3</c:v>
                </c:pt>
                <c:pt idx="134">
                  <c:v>-8.0740828142859703E-4</c:v>
                </c:pt>
                <c:pt idx="135">
                  <c:v>-2.6866032787838902E-3</c:v>
                </c:pt>
                <c:pt idx="136">
                  <c:v>-3.58469213475316E-3</c:v>
                </c:pt>
                <c:pt idx="137">
                  <c:v>-1.3934434905810401E-3</c:v>
                </c:pt>
                <c:pt idx="138">
                  <c:v>-3.1229643022734599E-3</c:v>
                </c:pt>
                <c:pt idx="139">
                  <c:v>1.91884848728946E-4</c:v>
                </c:pt>
                <c:pt idx="140">
                  <c:v>4.6085520236337598E-4</c:v>
                </c:pt>
                <c:pt idx="141">
                  <c:v>-2.7625307462372998E-3</c:v>
                </c:pt>
                <c:pt idx="142">
                  <c:v>4.6219255967969502E-3</c:v>
                </c:pt>
                <c:pt idx="143">
                  <c:v>3.64032596013344E-3</c:v>
                </c:pt>
                <c:pt idx="144">
                  <c:v>-1.96353646755337E-4</c:v>
                </c:pt>
                <c:pt idx="145">
                  <c:v>1.1366426149518299E-3</c:v>
                </c:pt>
                <c:pt idx="146">
                  <c:v>-1.73848324058849E-3</c:v>
                </c:pt>
                <c:pt idx="147">
                  <c:v>-3.8237936836260102E-3</c:v>
                </c:pt>
                <c:pt idx="148">
                  <c:v>-1.64398056067366E-3</c:v>
                </c:pt>
                <c:pt idx="149">
                  <c:v>-4.1009620287437402E-4</c:v>
                </c:pt>
                <c:pt idx="150">
                  <c:v>1.1942641694765101E-3</c:v>
                </c:pt>
                <c:pt idx="151">
                  <c:v>-4.3241975689899603E-3</c:v>
                </c:pt>
                <c:pt idx="152">
                  <c:v>1.3828197297502201E-3</c:v>
                </c:pt>
                <c:pt idx="153">
                  <c:v>1.7787136794698499E-4</c:v>
                </c:pt>
                <c:pt idx="154">
                  <c:v>-2.6134960554902199E-3</c:v>
                </c:pt>
                <c:pt idx="155">
                  <c:v>8.0532514922521396E-4</c:v>
                </c:pt>
                <c:pt idx="156">
                  <c:v>-2.4792183451439499E-3</c:v>
                </c:pt>
                <c:pt idx="157">
                  <c:v>-3.0352608084686702E-3</c:v>
                </c:pt>
                <c:pt idx="158">
                  <c:v>-7.3570785405908002E-4</c:v>
                </c:pt>
                <c:pt idx="159">
                  <c:v>-1.7349365071187099E-3</c:v>
                </c:pt>
                <c:pt idx="160">
                  <c:v>-3.44145488555092E-3</c:v>
                </c:pt>
                <c:pt idx="161">
                  <c:v>-1.1424478380355999E-3</c:v>
                </c:pt>
                <c:pt idx="162">
                  <c:v>-1.28305855887234E-3</c:v>
                </c:pt>
                <c:pt idx="163">
                  <c:v>9.3211338850663597E-4</c:v>
                </c:pt>
                <c:pt idx="164">
                  <c:v>-2.43360041746989E-3</c:v>
                </c:pt>
                <c:pt idx="165">
                  <c:v>3.8989223497631698E-3</c:v>
                </c:pt>
                <c:pt idx="166">
                  <c:v>-1.93107902463175E-3</c:v>
                </c:pt>
                <c:pt idx="167">
                  <c:v>-1.01102052454515E-3</c:v>
                </c:pt>
                <c:pt idx="168">
                  <c:v>9.4333739672668203E-4</c:v>
                </c:pt>
                <c:pt idx="169">
                  <c:v>-1.33754644010321E-3</c:v>
                </c:pt>
                <c:pt idx="170">
                  <c:v>-7.82557947090017E-4</c:v>
                </c:pt>
                <c:pt idx="171">
                  <c:v>2.33902147165446E-3</c:v>
                </c:pt>
                <c:pt idx="172">
                  <c:v>-9.4203923764545603E-4</c:v>
                </c:pt>
                <c:pt idx="173">
                  <c:v>-1.2556270704917501E-3</c:v>
                </c:pt>
                <c:pt idx="174">
                  <c:v>-1.3159385024578199E-3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01-47CC-AAD0-329CC15FA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LEN B*/LEN*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0.96273232566827205</c:v>
                </c:pt>
                <c:pt idx="1">
                  <c:v>0.96273232566827205</c:v>
                </c:pt>
                <c:pt idx="2">
                  <c:v>0.96273232566827205</c:v>
                </c:pt>
                <c:pt idx="3">
                  <c:v>0.96273232566827205</c:v>
                </c:pt>
                <c:pt idx="4">
                  <c:v>0.96273232566827205</c:v>
                </c:pt>
                <c:pt idx="5">
                  <c:v>0.96273232566827205</c:v>
                </c:pt>
                <c:pt idx="6">
                  <c:v>0.96273232566827205</c:v>
                </c:pt>
                <c:pt idx="7">
                  <c:v>0.96273232566827205</c:v>
                </c:pt>
                <c:pt idx="8">
                  <c:v>0.96273232566827205</c:v>
                </c:pt>
                <c:pt idx="9">
                  <c:v>0.96273232566827205</c:v>
                </c:pt>
                <c:pt idx="10">
                  <c:v>0.96273232566827205</c:v>
                </c:pt>
                <c:pt idx="11">
                  <c:v>0.96273232566827205</c:v>
                </c:pt>
                <c:pt idx="12">
                  <c:v>0.96273232566827205</c:v>
                </c:pt>
                <c:pt idx="13">
                  <c:v>0.96273232566827205</c:v>
                </c:pt>
                <c:pt idx="14">
                  <c:v>0.96273232566827205</c:v>
                </c:pt>
                <c:pt idx="15">
                  <c:v>0.96273232566827205</c:v>
                </c:pt>
                <c:pt idx="16">
                  <c:v>0.96273232566827205</c:v>
                </c:pt>
                <c:pt idx="17">
                  <c:v>0.96273232566827205</c:v>
                </c:pt>
                <c:pt idx="18">
                  <c:v>0.96273232566827205</c:v>
                </c:pt>
                <c:pt idx="19">
                  <c:v>0.96273232566827205</c:v>
                </c:pt>
                <c:pt idx="20">
                  <c:v>0.96273232566827205</c:v>
                </c:pt>
                <c:pt idx="21">
                  <c:v>0.96273232566827205</c:v>
                </c:pt>
                <c:pt idx="22">
                  <c:v>0.96273232566827205</c:v>
                </c:pt>
                <c:pt idx="23">
                  <c:v>0.96273232566827205</c:v>
                </c:pt>
                <c:pt idx="24">
                  <c:v>0.96273232566827205</c:v>
                </c:pt>
                <c:pt idx="25">
                  <c:v>0.96273232566827205</c:v>
                </c:pt>
                <c:pt idx="26">
                  <c:v>0.96273232566827205</c:v>
                </c:pt>
                <c:pt idx="27">
                  <c:v>0.96273232566827205</c:v>
                </c:pt>
                <c:pt idx="28">
                  <c:v>0.96273232566827205</c:v>
                </c:pt>
                <c:pt idx="29">
                  <c:v>0.96273232566827205</c:v>
                </c:pt>
                <c:pt idx="30">
                  <c:v>0.96273232566827205</c:v>
                </c:pt>
                <c:pt idx="31">
                  <c:v>0.96273232566827205</c:v>
                </c:pt>
                <c:pt idx="32">
                  <c:v>0.96273232566827205</c:v>
                </c:pt>
                <c:pt idx="33">
                  <c:v>0.96273232566827205</c:v>
                </c:pt>
                <c:pt idx="34">
                  <c:v>0.96273232566827205</c:v>
                </c:pt>
                <c:pt idx="35">
                  <c:v>0.96273232566827205</c:v>
                </c:pt>
                <c:pt idx="36">
                  <c:v>0.96273232566827205</c:v>
                </c:pt>
                <c:pt idx="37">
                  <c:v>0.96273232566827205</c:v>
                </c:pt>
                <c:pt idx="38">
                  <c:v>0.96273232566827205</c:v>
                </c:pt>
                <c:pt idx="39">
                  <c:v>0.96273232566827205</c:v>
                </c:pt>
                <c:pt idx="40">
                  <c:v>0.96273232566827205</c:v>
                </c:pt>
                <c:pt idx="41">
                  <c:v>0.96273232566827205</c:v>
                </c:pt>
                <c:pt idx="42">
                  <c:v>0.96273232566827205</c:v>
                </c:pt>
                <c:pt idx="43">
                  <c:v>0.96273232566827205</c:v>
                </c:pt>
                <c:pt idx="44">
                  <c:v>0.96273232566827205</c:v>
                </c:pt>
                <c:pt idx="45">
                  <c:v>0.96273232566827205</c:v>
                </c:pt>
                <c:pt idx="46">
                  <c:v>0.96273232566827205</c:v>
                </c:pt>
                <c:pt idx="47">
                  <c:v>0.96273232566827205</c:v>
                </c:pt>
                <c:pt idx="48">
                  <c:v>0.96273232566827205</c:v>
                </c:pt>
                <c:pt idx="49">
                  <c:v>0.96273232566827205</c:v>
                </c:pt>
                <c:pt idx="50">
                  <c:v>0.96273232566827205</c:v>
                </c:pt>
                <c:pt idx="51">
                  <c:v>0.96273232566827205</c:v>
                </c:pt>
                <c:pt idx="52">
                  <c:v>0.96273232566827205</c:v>
                </c:pt>
                <c:pt idx="53">
                  <c:v>0.96273232566827205</c:v>
                </c:pt>
                <c:pt idx="54">
                  <c:v>0.96273232566827205</c:v>
                </c:pt>
                <c:pt idx="55">
                  <c:v>0.96273232566827205</c:v>
                </c:pt>
                <c:pt idx="56">
                  <c:v>0.96273232566827205</c:v>
                </c:pt>
                <c:pt idx="57">
                  <c:v>0.96273232566827205</c:v>
                </c:pt>
                <c:pt idx="58">
                  <c:v>0.96273232566827205</c:v>
                </c:pt>
                <c:pt idx="59">
                  <c:v>0.96273232566827205</c:v>
                </c:pt>
                <c:pt idx="60">
                  <c:v>0.96273232566827205</c:v>
                </c:pt>
                <c:pt idx="61">
                  <c:v>0.96273232566827205</c:v>
                </c:pt>
                <c:pt idx="62">
                  <c:v>0.96273232566827205</c:v>
                </c:pt>
                <c:pt idx="63">
                  <c:v>0.96273232566827205</c:v>
                </c:pt>
                <c:pt idx="64">
                  <c:v>0.96273232566827205</c:v>
                </c:pt>
                <c:pt idx="65">
                  <c:v>0.96273232566827205</c:v>
                </c:pt>
                <c:pt idx="66">
                  <c:v>0.96273232566827205</c:v>
                </c:pt>
                <c:pt idx="67">
                  <c:v>0.96273232566827205</c:v>
                </c:pt>
                <c:pt idx="68">
                  <c:v>0.96273232566827205</c:v>
                </c:pt>
                <c:pt idx="69">
                  <c:v>0.96273232566827205</c:v>
                </c:pt>
                <c:pt idx="70">
                  <c:v>0.96273232566827205</c:v>
                </c:pt>
                <c:pt idx="71">
                  <c:v>0.96273232566827205</c:v>
                </c:pt>
                <c:pt idx="72">
                  <c:v>0.96273232566827205</c:v>
                </c:pt>
                <c:pt idx="73">
                  <c:v>0.96273232566827205</c:v>
                </c:pt>
                <c:pt idx="74">
                  <c:v>0.96273232566827205</c:v>
                </c:pt>
                <c:pt idx="75">
                  <c:v>0.96273232566827205</c:v>
                </c:pt>
                <c:pt idx="76">
                  <c:v>0.96273232566827205</c:v>
                </c:pt>
                <c:pt idx="77">
                  <c:v>0.96273232566827205</c:v>
                </c:pt>
                <c:pt idx="78">
                  <c:v>0.96273232566827205</c:v>
                </c:pt>
                <c:pt idx="79">
                  <c:v>0.96273232566827205</c:v>
                </c:pt>
                <c:pt idx="80">
                  <c:v>0.96273232566827205</c:v>
                </c:pt>
                <c:pt idx="81">
                  <c:v>0.96273232566827205</c:v>
                </c:pt>
                <c:pt idx="82">
                  <c:v>0.96273232566827205</c:v>
                </c:pt>
                <c:pt idx="83">
                  <c:v>0.96273232566827205</c:v>
                </c:pt>
                <c:pt idx="84">
                  <c:v>0.96273232566827205</c:v>
                </c:pt>
                <c:pt idx="85">
                  <c:v>0.96273232566827205</c:v>
                </c:pt>
                <c:pt idx="86">
                  <c:v>0.96273232566827205</c:v>
                </c:pt>
                <c:pt idx="87">
                  <c:v>0.96273232566827205</c:v>
                </c:pt>
                <c:pt idx="88">
                  <c:v>0.96273232566827205</c:v>
                </c:pt>
                <c:pt idx="89">
                  <c:v>0.96273232566827205</c:v>
                </c:pt>
                <c:pt idx="90">
                  <c:v>0.96273232566827205</c:v>
                </c:pt>
                <c:pt idx="91">
                  <c:v>0.96273232566827205</c:v>
                </c:pt>
                <c:pt idx="92">
                  <c:v>0.96273232566827205</c:v>
                </c:pt>
                <c:pt idx="93">
                  <c:v>0.96273232566827205</c:v>
                </c:pt>
                <c:pt idx="94">
                  <c:v>0.96273232566827205</c:v>
                </c:pt>
                <c:pt idx="95">
                  <c:v>0.96273232566827205</c:v>
                </c:pt>
                <c:pt idx="96">
                  <c:v>0.96273232566827205</c:v>
                </c:pt>
                <c:pt idx="97">
                  <c:v>0.96273232566827205</c:v>
                </c:pt>
                <c:pt idx="98">
                  <c:v>0.96273232566827205</c:v>
                </c:pt>
                <c:pt idx="99">
                  <c:v>0.96273232566827205</c:v>
                </c:pt>
                <c:pt idx="100">
                  <c:v>0.96273232566827205</c:v>
                </c:pt>
                <c:pt idx="101">
                  <c:v>0.96273232566827205</c:v>
                </c:pt>
                <c:pt idx="102">
                  <c:v>0.96273232566827205</c:v>
                </c:pt>
                <c:pt idx="103">
                  <c:v>0.96273232566827205</c:v>
                </c:pt>
                <c:pt idx="104">
                  <c:v>0.96273232566827205</c:v>
                </c:pt>
                <c:pt idx="105">
                  <c:v>0.96273232566827205</c:v>
                </c:pt>
                <c:pt idx="106">
                  <c:v>0.96273232566827205</c:v>
                </c:pt>
                <c:pt idx="107">
                  <c:v>0.96273232566827205</c:v>
                </c:pt>
                <c:pt idx="108">
                  <c:v>0.96273232566827205</c:v>
                </c:pt>
                <c:pt idx="109">
                  <c:v>0.96273232566827205</c:v>
                </c:pt>
                <c:pt idx="110">
                  <c:v>0.96273232566827205</c:v>
                </c:pt>
                <c:pt idx="111">
                  <c:v>0.96273232566827205</c:v>
                </c:pt>
                <c:pt idx="112">
                  <c:v>0.96273232566827205</c:v>
                </c:pt>
                <c:pt idx="113">
                  <c:v>0.96273232566827205</c:v>
                </c:pt>
                <c:pt idx="114">
                  <c:v>0.96273232566827205</c:v>
                </c:pt>
                <c:pt idx="115">
                  <c:v>0.96273232566827205</c:v>
                </c:pt>
                <c:pt idx="116">
                  <c:v>0.96273232566827205</c:v>
                </c:pt>
                <c:pt idx="117">
                  <c:v>0.96273232566827205</c:v>
                </c:pt>
                <c:pt idx="118">
                  <c:v>0.96273232566827205</c:v>
                </c:pt>
                <c:pt idx="119">
                  <c:v>0.96273232566827205</c:v>
                </c:pt>
                <c:pt idx="120">
                  <c:v>0.96273232566827205</c:v>
                </c:pt>
                <c:pt idx="121">
                  <c:v>0.96273232566827205</c:v>
                </c:pt>
                <c:pt idx="122">
                  <c:v>0.96273232566827205</c:v>
                </c:pt>
                <c:pt idx="123">
                  <c:v>0.96273232566827205</c:v>
                </c:pt>
                <c:pt idx="124">
                  <c:v>0.96273232566827205</c:v>
                </c:pt>
                <c:pt idx="125">
                  <c:v>0.96273232566827205</c:v>
                </c:pt>
                <c:pt idx="126">
                  <c:v>0.96273232566827205</c:v>
                </c:pt>
                <c:pt idx="127">
                  <c:v>0.96273232566827205</c:v>
                </c:pt>
                <c:pt idx="128">
                  <c:v>0.96273232566827205</c:v>
                </c:pt>
                <c:pt idx="129">
                  <c:v>0.96273232566827205</c:v>
                </c:pt>
                <c:pt idx="130">
                  <c:v>0.96273232566827205</c:v>
                </c:pt>
                <c:pt idx="131">
                  <c:v>0.96273232566827205</c:v>
                </c:pt>
                <c:pt idx="132">
                  <c:v>0.96273232566827205</c:v>
                </c:pt>
                <c:pt idx="133">
                  <c:v>0.96273232566827205</c:v>
                </c:pt>
                <c:pt idx="134">
                  <c:v>0.96273232566827205</c:v>
                </c:pt>
                <c:pt idx="135">
                  <c:v>0.96273232566827205</c:v>
                </c:pt>
                <c:pt idx="136">
                  <c:v>0.96273232566827205</c:v>
                </c:pt>
                <c:pt idx="137">
                  <c:v>0.96273232566827205</c:v>
                </c:pt>
                <c:pt idx="138">
                  <c:v>0.96273232566827205</c:v>
                </c:pt>
                <c:pt idx="139">
                  <c:v>0.96273232566827205</c:v>
                </c:pt>
                <c:pt idx="140">
                  <c:v>0.96273232566827205</c:v>
                </c:pt>
                <c:pt idx="141">
                  <c:v>0.96273232566827205</c:v>
                </c:pt>
                <c:pt idx="142">
                  <c:v>0.96273232566827205</c:v>
                </c:pt>
                <c:pt idx="143">
                  <c:v>0.96273232566827205</c:v>
                </c:pt>
                <c:pt idx="144">
                  <c:v>0.96273232566827205</c:v>
                </c:pt>
                <c:pt idx="145">
                  <c:v>0.96273232566827205</c:v>
                </c:pt>
                <c:pt idx="146">
                  <c:v>0.96273232566827205</c:v>
                </c:pt>
                <c:pt idx="147">
                  <c:v>0.96273232566827205</c:v>
                </c:pt>
                <c:pt idx="148">
                  <c:v>0.96273232566827205</c:v>
                </c:pt>
                <c:pt idx="149">
                  <c:v>0.96273232566827205</c:v>
                </c:pt>
                <c:pt idx="150">
                  <c:v>0.96273232566827205</c:v>
                </c:pt>
                <c:pt idx="151">
                  <c:v>0.96273232566827205</c:v>
                </c:pt>
                <c:pt idx="152">
                  <c:v>0.96273232566827205</c:v>
                </c:pt>
                <c:pt idx="153">
                  <c:v>0.96273232566827205</c:v>
                </c:pt>
                <c:pt idx="154">
                  <c:v>0.96273232566827205</c:v>
                </c:pt>
                <c:pt idx="155">
                  <c:v>0.96273232566827205</c:v>
                </c:pt>
                <c:pt idx="156">
                  <c:v>0.96273232566827205</c:v>
                </c:pt>
                <c:pt idx="157">
                  <c:v>0.96273232566827205</c:v>
                </c:pt>
                <c:pt idx="158">
                  <c:v>0.96273232566827205</c:v>
                </c:pt>
                <c:pt idx="159">
                  <c:v>0.96273232566827205</c:v>
                </c:pt>
                <c:pt idx="160">
                  <c:v>0.96273232566827205</c:v>
                </c:pt>
                <c:pt idx="161">
                  <c:v>0.96273232566827205</c:v>
                </c:pt>
                <c:pt idx="162">
                  <c:v>0.96273232566827205</c:v>
                </c:pt>
                <c:pt idx="163">
                  <c:v>0.96273232566827205</c:v>
                </c:pt>
                <c:pt idx="164">
                  <c:v>0.96273232566827205</c:v>
                </c:pt>
                <c:pt idx="165">
                  <c:v>0.96273232566827205</c:v>
                </c:pt>
                <c:pt idx="166">
                  <c:v>0.96273232566827205</c:v>
                </c:pt>
                <c:pt idx="167">
                  <c:v>0.96273232566827205</c:v>
                </c:pt>
                <c:pt idx="168">
                  <c:v>0.96273232566827205</c:v>
                </c:pt>
                <c:pt idx="169">
                  <c:v>0.96273232566827205</c:v>
                </c:pt>
                <c:pt idx="170">
                  <c:v>0.96273232566827205</c:v>
                </c:pt>
                <c:pt idx="171">
                  <c:v>0.96273232566827205</c:v>
                </c:pt>
                <c:pt idx="172">
                  <c:v>0.96273232566827205</c:v>
                </c:pt>
                <c:pt idx="173">
                  <c:v>0.96273232566827205</c:v>
                </c:pt>
                <c:pt idx="174">
                  <c:v>0.96273232566827205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5-428F-B55B-D9DEEE4F77ED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LEN B*/LEN*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0.91390632002298899</c:v>
                </c:pt>
                <c:pt idx="10">
                  <c:v>0.91255706335947595</c:v>
                </c:pt>
                <c:pt idx="11">
                  <c:v>0.91134317926916197</c:v>
                </c:pt>
                <c:pt idx="12">
                  <c:v>0.91086151163573303</c:v>
                </c:pt>
                <c:pt idx="13">
                  <c:v>0.91070614932469196</c:v>
                </c:pt>
                <c:pt idx="14">
                  <c:v>0.91194916601607301</c:v>
                </c:pt>
                <c:pt idx="15">
                  <c:v>0.91494204404853896</c:v>
                </c:pt>
                <c:pt idx="16">
                  <c:v>0.917069323305299</c:v>
                </c:pt>
                <c:pt idx="17">
                  <c:v>0.91939934225305198</c:v>
                </c:pt>
                <c:pt idx="18">
                  <c:v>0.92305311456855699</c:v>
                </c:pt>
                <c:pt idx="19">
                  <c:v>0.92490638585089702</c:v>
                </c:pt>
                <c:pt idx="20">
                  <c:v>0.92783583522044999</c:v>
                </c:pt>
                <c:pt idx="21">
                  <c:v>0.92853448415778606</c:v>
                </c:pt>
                <c:pt idx="22">
                  <c:v>0.93010734772203396</c:v>
                </c:pt>
                <c:pt idx="23">
                  <c:v>0.92997743024004398</c:v>
                </c:pt>
                <c:pt idx="24">
                  <c:v>0.93015672921853798</c:v>
                </c:pt>
                <c:pt idx="25">
                  <c:v>0.92966443777652596</c:v>
                </c:pt>
                <c:pt idx="26">
                  <c:v>0.92990644914160903</c:v>
                </c:pt>
                <c:pt idx="27">
                  <c:v>0.93013836336080902</c:v>
                </c:pt>
                <c:pt idx="28">
                  <c:v>0.92863323768704098</c:v>
                </c:pt>
                <c:pt idx="29">
                  <c:v>0.92946460449770296</c:v>
                </c:pt>
                <c:pt idx="30">
                  <c:v>0.93003025541221895</c:v>
                </c:pt>
                <c:pt idx="31">
                  <c:v>0.93140079982430202</c:v>
                </c:pt>
                <c:pt idx="32">
                  <c:v>0.93169988345670096</c:v>
                </c:pt>
                <c:pt idx="33">
                  <c:v>0.93269093657610502</c:v>
                </c:pt>
                <c:pt idx="34">
                  <c:v>0.93184801745179202</c:v>
                </c:pt>
                <c:pt idx="35">
                  <c:v>0.93165573663842405</c:v>
                </c:pt>
                <c:pt idx="36">
                  <c:v>0.93272143721754097</c:v>
                </c:pt>
                <c:pt idx="37">
                  <c:v>0.93407114218135201</c:v>
                </c:pt>
                <c:pt idx="38">
                  <c:v>0.93485598635275902</c:v>
                </c:pt>
                <c:pt idx="39">
                  <c:v>0.93534748194784401</c:v>
                </c:pt>
                <c:pt idx="40">
                  <c:v>0.93496066007693701</c:v>
                </c:pt>
                <c:pt idx="41">
                  <c:v>0.93548753890713798</c:v>
                </c:pt>
                <c:pt idx="42">
                  <c:v>0.935946408942401</c:v>
                </c:pt>
                <c:pt idx="43">
                  <c:v>0.93666864740089895</c:v>
                </c:pt>
                <c:pt idx="44">
                  <c:v>0.93796420786971102</c:v>
                </c:pt>
                <c:pt idx="45">
                  <c:v>0.93880068104943504</c:v>
                </c:pt>
                <c:pt idx="46">
                  <c:v>0.93892983326801305</c:v>
                </c:pt>
                <c:pt idx="47">
                  <c:v>0.93952159088634002</c:v>
                </c:pt>
                <c:pt idx="48">
                  <c:v>0.940696452752664</c:v>
                </c:pt>
                <c:pt idx="49">
                  <c:v>0.94095632388559602</c:v>
                </c:pt>
                <c:pt idx="50">
                  <c:v>0.94072737294972797</c:v>
                </c:pt>
                <c:pt idx="51">
                  <c:v>0.94054093618844503</c:v>
                </c:pt>
                <c:pt idx="52">
                  <c:v>0.94076183448855699</c:v>
                </c:pt>
                <c:pt idx="53">
                  <c:v>0.94205589442899895</c:v>
                </c:pt>
                <c:pt idx="54">
                  <c:v>0.94313829863291698</c:v>
                </c:pt>
                <c:pt idx="55">
                  <c:v>0.94483133340964598</c:v>
                </c:pt>
                <c:pt idx="56">
                  <c:v>0.94648465139318105</c:v>
                </c:pt>
                <c:pt idx="57">
                  <c:v>0.94747581061791697</c:v>
                </c:pt>
                <c:pt idx="58">
                  <c:v>0.94848532738193703</c:v>
                </c:pt>
                <c:pt idx="59">
                  <c:v>0.95071932944179804</c:v>
                </c:pt>
                <c:pt idx="60">
                  <c:v>0.95433762183694304</c:v>
                </c:pt>
                <c:pt idx="61">
                  <c:v>0.95789809168169504</c:v>
                </c:pt>
                <c:pt idx="62">
                  <c:v>0.96115097489823098</c:v>
                </c:pt>
                <c:pt idx="63">
                  <c:v>0.96356333866794297</c:v>
                </c:pt>
                <c:pt idx="64">
                  <c:v>0.96563640868759304</c:v>
                </c:pt>
                <c:pt idx="65">
                  <c:v>0.96791012142584498</c:v>
                </c:pt>
                <c:pt idx="66">
                  <c:v>0.96975820827370296</c:v>
                </c:pt>
                <c:pt idx="67">
                  <c:v>0.97150716593890196</c:v>
                </c:pt>
                <c:pt idx="68">
                  <c:v>0.97331066002590505</c:v>
                </c:pt>
                <c:pt idx="69">
                  <c:v>0.97439303119671095</c:v>
                </c:pt>
                <c:pt idx="70">
                  <c:v>0.97484544543722096</c:v>
                </c:pt>
                <c:pt idx="71">
                  <c:v>0.97498659079606298</c:v>
                </c:pt>
                <c:pt idx="72">
                  <c:v>0.97465041719559797</c:v>
                </c:pt>
                <c:pt idx="73">
                  <c:v>0.97465873752501797</c:v>
                </c:pt>
                <c:pt idx="74">
                  <c:v>0.97476508011097596</c:v>
                </c:pt>
                <c:pt idx="75">
                  <c:v>0.97411230356843304</c:v>
                </c:pt>
                <c:pt idx="76">
                  <c:v>0.97428515683679195</c:v>
                </c:pt>
                <c:pt idx="77">
                  <c:v>0.97421517285029002</c:v>
                </c:pt>
                <c:pt idx="78">
                  <c:v>0.97446489703543804</c:v>
                </c:pt>
                <c:pt idx="79">
                  <c:v>0.97437523123561598</c:v>
                </c:pt>
                <c:pt idx="80">
                  <c:v>0.97419175182386897</c:v>
                </c:pt>
                <c:pt idx="81">
                  <c:v>0.97446415462534197</c:v>
                </c:pt>
                <c:pt idx="82">
                  <c:v>0.97488984278458501</c:v>
                </c:pt>
                <c:pt idx="83">
                  <c:v>0.97445837478987196</c:v>
                </c:pt>
                <c:pt idx="84">
                  <c:v>0.97478876202667297</c:v>
                </c:pt>
                <c:pt idx="85">
                  <c:v>0.97483464051142599</c:v>
                </c:pt>
                <c:pt idx="86">
                  <c:v>0.97351312856153205</c:v>
                </c:pt>
                <c:pt idx="87">
                  <c:v>0.97363336836984105</c:v>
                </c:pt>
                <c:pt idx="88">
                  <c:v>0.97353007994706098</c:v>
                </c:pt>
                <c:pt idx="89">
                  <c:v>0.97394093730987896</c:v>
                </c:pt>
                <c:pt idx="90">
                  <c:v>0.97447396542498299</c:v>
                </c:pt>
                <c:pt idx="91">
                  <c:v>0.97427763062699702</c:v>
                </c:pt>
                <c:pt idx="92">
                  <c:v>0.97429124432091696</c:v>
                </c:pt>
                <c:pt idx="93">
                  <c:v>0.97516845427396603</c:v>
                </c:pt>
                <c:pt idx="94">
                  <c:v>0.97541321987931096</c:v>
                </c:pt>
                <c:pt idx="95">
                  <c:v>0.976583627788567</c:v>
                </c:pt>
                <c:pt idx="96">
                  <c:v>0.97804486226853604</c:v>
                </c:pt>
                <c:pt idx="97">
                  <c:v>0.97834020010669398</c:v>
                </c:pt>
                <c:pt idx="98">
                  <c:v>0.97889550003399495</c:v>
                </c:pt>
                <c:pt idx="99">
                  <c:v>0.97820407102180296</c:v>
                </c:pt>
                <c:pt idx="100">
                  <c:v>0.97812761998534004</c:v>
                </c:pt>
                <c:pt idx="101">
                  <c:v>0.97855668314331101</c:v>
                </c:pt>
                <c:pt idx="102">
                  <c:v>0.97845446974219297</c:v>
                </c:pt>
                <c:pt idx="103">
                  <c:v>0.978411481191369</c:v>
                </c:pt>
                <c:pt idx="104">
                  <c:v>0.97845543164105497</c:v>
                </c:pt>
                <c:pt idx="105">
                  <c:v>0.97772750982044399</c:v>
                </c:pt>
                <c:pt idx="106">
                  <c:v>0.977731529363709</c:v>
                </c:pt>
                <c:pt idx="107">
                  <c:v>0.97814277030156305</c:v>
                </c:pt>
                <c:pt idx="108">
                  <c:v>0.97831003625724</c:v>
                </c:pt>
                <c:pt idx="109">
                  <c:v>0.97893123796692005</c:v>
                </c:pt>
                <c:pt idx="110">
                  <c:v>0.97921048771132502</c:v>
                </c:pt>
                <c:pt idx="111">
                  <c:v>0.97911064971678796</c:v>
                </c:pt>
                <c:pt idx="112">
                  <c:v>0.97959084028548005</c:v>
                </c:pt>
                <c:pt idx="113">
                  <c:v>0.97912170181449398</c:v>
                </c:pt>
                <c:pt idx="114">
                  <c:v>0.97925704207064601</c:v>
                </c:pt>
                <c:pt idx="115">
                  <c:v>0.97899053122383095</c:v>
                </c:pt>
                <c:pt idx="116">
                  <c:v>0.978485406739942</c:v>
                </c:pt>
                <c:pt idx="117">
                  <c:v>0.97771393023669195</c:v>
                </c:pt>
                <c:pt idx="118">
                  <c:v>0.97761396106152798</c:v>
                </c:pt>
                <c:pt idx="119">
                  <c:v>0.97758216101502204</c:v>
                </c:pt>
                <c:pt idx="120">
                  <c:v>0.97797734672124403</c:v>
                </c:pt>
                <c:pt idx="121">
                  <c:v>0.97781329989146903</c:v>
                </c:pt>
                <c:pt idx="122">
                  <c:v>0.97787408686034305</c:v>
                </c:pt>
                <c:pt idx="123">
                  <c:v>0.97791517563456098</c:v>
                </c:pt>
                <c:pt idx="124">
                  <c:v>0.97769321430290201</c:v>
                </c:pt>
                <c:pt idx="125">
                  <c:v>0.97827155577976299</c:v>
                </c:pt>
                <c:pt idx="126">
                  <c:v>0.97881606565784995</c:v>
                </c:pt>
                <c:pt idx="127">
                  <c:v>0.97909137979676997</c:v>
                </c:pt>
                <c:pt idx="128">
                  <c:v>0.97901468662081104</c:v>
                </c:pt>
                <c:pt idx="129">
                  <c:v>0.97925361959504598</c:v>
                </c:pt>
                <c:pt idx="130">
                  <c:v>0.97899407797606997</c:v>
                </c:pt>
                <c:pt idx="131">
                  <c:v>0.97934763367426403</c:v>
                </c:pt>
                <c:pt idx="132">
                  <c:v>0.97909873281181203</c:v>
                </c:pt>
                <c:pt idx="133">
                  <c:v>0.97949767543120603</c:v>
                </c:pt>
                <c:pt idx="134">
                  <c:v>0.97964666859356697</c:v>
                </c:pt>
                <c:pt idx="135">
                  <c:v>0.97975070530609198</c:v>
                </c:pt>
                <c:pt idx="136">
                  <c:v>0.97998633099254595</c:v>
                </c:pt>
                <c:pt idx="137">
                  <c:v>0.98044368752007804</c:v>
                </c:pt>
                <c:pt idx="138">
                  <c:v>0.98071859831073305</c:v>
                </c:pt>
                <c:pt idx="139">
                  <c:v>0.98072752070730496</c:v>
                </c:pt>
                <c:pt idx="140">
                  <c:v>0.98067321615757896</c:v>
                </c:pt>
                <c:pt idx="141">
                  <c:v>0.98073148376347097</c:v>
                </c:pt>
                <c:pt idx="142">
                  <c:v>0.98049948686890898</c:v>
                </c:pt>
                <c:pt idx="143">
                  <c:v>0.98004466376221999</c:v>
                </c:pt>
                <c:pt idx="144">
                  <c:v>0.98009132474445404</c:v>
                </c:pt>
                <c:pt idx="145">
                  <c:v>0.97983663415621203</c:v>
                </c:pt>
                <c:pt idx="146">
                  <c:v>0.97973379659322501</c:v>
                </c:pt>
                <c:pt idx="147">
                  <c:v>0.98001850952135605</c:v>
                </c:pt>
                <c:pt idx="148">
                  <c:v>0.97991969044945904</c:v>
                </c:pt>
                <c:pt idx="149">
                  <c:v>0.98002395175377699</c:v>
                </c:pt>
                <c:pt idx="150">
                  <c:v>0.97999060845628505</c:v>
                </c:pt>
                <c:pt idx="151">
                  <c:v>0.98019421144999497</c:v>
                </c:pt>
                <c:pt idx="152">
                  <c:v>0.98055297551340403</c:v>
                </c:pt>
                <c:pt idx="153">
                  <c:v>0.98096427883231296</c:v>
                </c:pt>
                <c:pt idx="154">
                  <c:v>0.98127495855801705</c:v>
                </c:pt>
                <c:pt idx="155">
                  <c:v>0.98138874078144001</c:v>
                </c:pt>
                <c:pt idx="156">
                  <c:v>0.98154357583285001</c:v>
                </c:pt>
                <c:pt idx="157">
                  <c:v>0.98154414413879298</c:v>
                </c:pt>
                <c:pt idx="158">
                  <c:v>0.98151006975007404</c:v>
                </c:pt>
                <c:pt idx="159">
                  <c:v>0.98167972804966297</c:v>
                </c:pt>
                <c:pt idx="160">
                  <c:v>0.982182488536119</c:v>
                </c:pt>
                <c:pt idx="161">
                  <c:v>0.98194526746953303</c:v>
                </c:pt>
                <c:pt idx="162">
                  <c:v>0.98226740107437505</c:v>
                </c:pt>
                <c:pt idx="163">
                  <c:v>0.98228180005117804</c:v>
                </c:pt>
                <c:pt idx="164">
                  <c:v>0.98237624599545303</c:v>
                </c:pt>
                <c:pt idx="165">
                  <c:v>0.98218737626366404</c:v>
                </c:pt>
                <c:pt idx="166">
                  <c:v>0.98225127066362095</c:v>
                </c:pt>
                <c:pt idx="167">
                  <c:v>0.98217836481544696</c:v>
                </c:pt>
                <c:pt idx="168">
                  <c:v>0.98212159520742703</c:v>
                </c:pt>
                <c:pt idx="169">
                  <c:v>0.98219280524850405</c:v>
                </c:pt>
                <c:pt idx="170">
                  <c:v>0.98203998295677597</c:v>
                </c:pt>
                <c:pt idx="171">
                  <c:v>0.98180085413315499</c:v>
                </c:pt>
                <c:pt idx="172">
                  <c:v>0.98184776836260201</c:v>
                </c:pt>
                <c:pt idx="173">
                  <c:v>0.98212733119851803</c:v>
                </c:pt>
                <c:pt idx="174">
                  <c:v>0.98207564224000499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55-428F-B55B-D9DEEE4F77ED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LEN B*/LEN*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0.91940635293694295</c:v>
                </c:pt>
                <c:pt idx="20">
                  <c:v>0.92019644928996303</c:v>
                </c:pt>
                <c:pt idx="21">
                  <c:v>0.91993883171347401</c:v>
                </c:pt>
                <c:pt idx="22">
                  <c:v>0.920484429678883</c:v>
                </c:pt>
                <c:pt idx="23">
                  <c:v>0.92034178978236802</c:v>
                </c:pt>
                <c:pt idx="24">
                  <c:v>0.92105294761730505</c:v>
                </c:pt>
                <c:pt idx="25">
                  <c:v>0.92230324091253302</c:v>
                </c:pt>
                <c:pt idx="26">
                  <c:v>0.92348788622345401</c:v>
                </c:pt>
                <c:pt idx="27">
                  <c:v>0.924768852806931</c:v>
                </c:pt>
                <c:pt idx="28">
                  <c:v>0.92584317612779898</c:v>
                </c:pt>
                <c:pt idx="29">
                  <c:v>0.92718549517430005</c:v>
                </c:pt>
                <c:pt idx="30">
                  <c:v>0.92893304531633503</c:v>
                </c:pt>
                <c:pt idx="31">
                  <c:v>0.92996764199104398</c:v>
                </c:pt>
                <c:pt idx="32">
                  <c:v>0.93090361558936696</c:v>
                </c:pt>
                <c:pt idx="33">
                  <c:v>0.93133418340807494</c:v>
                </c:pt>
                <c:pt idx="34">
                  <c:v>0.931002373335165</c:v>
                </c:pt>
                <c:pt idx="35">
                  <c:v>0.93066008720747495</c:v>
                </c:pt>
                <c:pt idx="36">
                  <c:v>0.93131394317957505</c:v>
                </c:pt>
                <c:pt idx="37">
                  <c:v>0.93210475277107996</c:v>
                </c:pt>
                <c:pt idx="38">
                  <c:v>0.9317446120199</c:v>
                </c:pt>
                <c:pt idx="39">
                  <c:v>0.93240604322277298</c:v>
                </c:pt>
                <c:pt idx="40">
                  <c:v>0.93249545774457798</c:v>
                </c:pt>
                <c:pt idx="41">
                  <c:v>0.93344416936571994</c:v>
                </c:pt>
                <c:pt idx="42">
                  <c:v>0.93382314619955098</c:v>
                </c:pt>
                <c:pt idx="43">
                  <c:v>0.93467979198850204</c:v>
                </c:pt>
                <c:pt idx="44">
                  <c:v>0.93490611266075097</c:v>
                </c:pt>
                <c:pt idx="45">
                  <c:v>0.93522820884392899</c:v>
                </c:pt>
                <c:pt idx="46">
                  <c:v>0.93582563524277695</c:v>
                </c:pt>
                <c:pt idx="47">
                  <c:v>0.93679636653384601</c:v>
                </c:pt>
                <c:pt idx="48">
                  <c:v>0.93777621955271195</c:v>
                </c:pt>
                <c:pt idx="49">
                  <c:v>0.93815190291672002</c:v>
                </c:pt>
                <c:pt idx="50">
                  <c:v>0.93784401651333205</c:v>
                </c:pt>
                <c:pt idx="51">
                  <c:v>0.93801423754779201</c:v>
                </c:pt>
                <c:pt idx="52">
                  <c:v>0.93835412171547905</c:v>
                </c:pt>
                <c:pt idx="53">
                  <c:v>0.93936227091494895</c:v>
                </c:pt>
                <c:pt idx="54">
                  <c:v>0.94055125325131395</c:v>
                </c:pt>
                <c:pt idx="55">
                  <c:v>0.94181600722954095</c:v>
                </c:pt>
                <c:pt idx="56">
                  <c:v>0.942707242330597</c:v>
                </c:pt>
                <c:pt idx="57">
                  <c:v>0.94349870075212805</c:v>
                </c:pt>
                <c:pt idx="58">
                  <c:v>0.94459089006730101</c:v>
                </c:pt>
                <c:pt idx="59">
                  <c:v>0.94583782666369698</c:v>
                </c:pt>
                <c:pt idx="60">
                  <c:v>0.947532497393335</c:v>
                </c:pt>
                <c:pt idx="61">
                  <c:v>0.94921951393506998</c:v>
                </c:pt>
                <c:pt idx="62">
                  <c:v>0.95095640469339404</c:v>
                </c:pt>
                <c:pt idx="63">
                  <c:v>0.95280961654847096</c:v>
                </c:pt>
                <c:pt idx="64">
                  <c:v>0.95438735366025496</c:v>
                </c:pt>
                <c:pt idx="65">
                  <c:v>0.95637072741774598</c:v>
                </c:pt>
                <c:pt idx="66">
                  <c:v>0.95812142983344195</c:v>
                </c:pt>
                <c:pt idx="67">
                  <c:v>0.95949148827840902</c:v>
                </c:pt>
                <c:pt idx="68">
                  <c:v>0.96089799370392104</c:v>
                </c:pt>
                <c:pt idx="69">
                  <c:v>0.96255618031925505</c:v>
                </c:pt>
                <c:pt idx="70">
                  <c:v>0.96459153363708205</c:v>
                </c:pt>
                <c:pt idx="71">
                  <c:v>0.96644234123887895</c:v>
                </c:pt>
                <c:pt idx="72">
                  <c:v>0.96790069604691498</c:v>
                </c:pt>
                <c:pt idx="73">
                  <c:v>0.96911103809648103</c:v>
                </c:pt>
                <c:pt idx="74">
                  <c:v>0.97020074439928405</c:v>
                </c:pt>
                <c:pt idx="75">
                  <c:v>0.97101121249713895</c:v>
                </c:pt>
                <c:pt idx="76">
                  <c:v>0.97202168255524801</c:v>
                </c:pt>
                <c:pt idx="77">
                  <c:v>0.97286116939459599</c:v>
                </c:pt>
                <c:pt idx="78">
                  <c:v>0.97388777853067199</c:v>
                </c:pt>
                <c:pt idx="79">
                  <c:v>0.97438413121616296</c:v>
                </c:pt>
                <c:pt idx="80">
                  <c:v>0.97451859863054502</c:v>
                </c:pt>
                <c:pt idx="81">
                  <c:v>0.97472537271070203</c:v>
                </c:pt>
                <c:pt idx="82">
                  <c:v>0.97477012999009205</c:v>
                </c:pt>
                <c:pt idx="83">
                  <c:v>0.97455855615744502</c:v>
                </c:pt>
                <c:pt idx="84">
                  <c:v>0.97477692106882396</c:v>
                </c:pt>
                <c:pt idx="85">
                  <c:v>0.97447347203992896</c:v>
                </c:pt>
                <c:pt idx="86">
                  <c:v>0.973899142699162</c:v>
                </c:pt>
                <c:pt idx="87">
                  <c:v>0.97392427061006603</c:v>
                </c:pt>
                <c:pt idx="88">
                  <c:v>0.97399748849124901</c:v>
                </c:pt>
                <c:pt idx="89">
                  <c:v>0.97415808427274697</c:v>
                </c:pt>
                <c:pt idx="90">
                  <c:v>0.97433285862442598</c:v>
                </c:pt>
                <c:pt idx="91">
                  <c:v>0.97437089262617005</c:v>
                </c:pt>
                <c:pt idx="92">
                  <c:v>0.97459054355275099</c:v>
                </c:pt>
                <c:pt idx="93">
                  <c:v>0.97481341453191905</c:v>
                </c:pt>
                <c:pt idx="94">
                  <c:v>0.97510099095299196</c:v>
                </c:pt>
                <c:pt idx="95">
                  <c:v>0.97570913414999605</c:v>
                </c:pt>
                <c:pt idx="96">
                  <c:v>0.97577899541503399</c:v>
                </c:pt>
                <c:pt idx="97">
                  <c:v>0.97598678423826801</c:v>
                </c:pt>
                <c:pt idx="98">
                  <c:v>0.97621278999052796</c:v>
                </c:pt>
                <c:pt idx="99">
                  <c:v>0.97607250416584102</c:v>
                </c:pt>
                <c:pt idx="100">
                  <c:v>0.97630079270516101</c:v>
                </c:pt>
                <c:pt idx="101">
                  <c:v>0.97641715688515396</c:v>
                </c:pt>
                <c:pt idx="102">
                  <c:v>0.97637285703155496</c:v>
                </c:pt>
                <c:pt idx="103">
                  <c:v>0.97678996773266802</c:v>
                </c:pt>
                <c:pt idx="104">
                  <c:v>0.97693432576018302</c:v>
                </c:pt>
                <c:pt idx="105">
                  <c:v>0.97715556880450505</c:v>
                </c:pt>
                <c:pt idx="106">
                  <c:v>0.97788819581612296</c:v>
                </c:pt>
                <c:pt idx="107">
                  <c:v>0.97824148520412901</c:v>
                </c:pt>
                <c:pt idx="108">
                  <c:v>0.97860276814561797</c:v>
                </c:pt>
                <c:pt idx="109">
                  <c:v>0.978567654494362</c:v>
                </c:pt>
                <c:pt idx="110">
                  <c:v>0.97866905384833203</c:v>
                </c:pt>
                <c:pt idx="111">
                  <c:v>0.97883366643004899</c:v>
                </c:pt>
                <c:pt idx="112">
                  <c:v>0.97902265501383601</c:v>
                </c:pt>
                <c:pt idx="113">
                  <c:v>0.97876659150293099</c:v>
                </c:pt>
                <c:pt idx="114">
                  <c:v>0.97885623685585099</c:v>
                </c:pt>
                <c:pt idx="115">
                  <c:v>0.97835902052213797</c:v>
                </c:pt>
                <c:pt idx="116">
                  <c:v>0.97810846805182605</c:v>
                </c:pt>
                <c:pt idx="117">
                  <c:v>0.97792835026912694</c:v>
                </c:pt>
                <c:pt idx="118">
                  <c:v>0.97796199865938405</c:v>
                </c:pt>
                <c:pt idx="119">
                  <c:v>0.97825669949097105</c:v>
                </c:pt>
                <c:pt idx="120">
                  <c:v>0.97859391721628497</c:v>
                </c:pt>
                <c:pt idx="121">
                  <c:v>0.978461974804129</c:v>
                </c:pt>
                <c:pt idx="122">
                  <c:v>0.97873246357291099</c:v>
                </c:pt>
                <c:pt idx="123">
                  <c:v>0.97851843872452704</c:v>
                </c:pt>
                <c:pt idx="124">
                  <c:v>0.97847512818677396</c:v>
                </c:pt>
                <c:pt idx="125">
                  <c:v>0.97863104350179697</c:v>
                </c:pt>
                <c:pt idx="126">
                  <c:v>0.97865073619889598</c:v>
                </c:pt>
                <c:pt idx="127">
                  <c:v>0.97840265501673096</c:v>
                </c:pt>
                <c:pt idx="128">
                  <c:v>0.97831432384117001</c:v>
                </c:pt>
                <c:pt idx="129">
                  <c:v>0.97841789030503401</c:v>
                </c:pt>
                <c:pt idx="130">
                  <c:v>0.978485712348657</c:v>
                </c:pt>
                <c:pt idx="131">
                  <c:v>0.97858046678286703</c:v>
                </c:pt>
                <c:pt idx="132">
                  <c:v>0.97848640983607804</c:v>
                </c:pt>
                <c:pt idx="133">
                  <c:v>0.97870642553288401</c:v>
                </c:pt>
                <c:pt idx="134">
                  <c:v>0.97866994144823405</c:v>
                </c:pt>
                <c:pt idx="135">
                  <c:v>0.97901113054292799</c:v>
                </c:pt>
                <c:pt idx="136">
                  <c:v>0.97940119832519801</c:v>
                </c:pt>
                <c:pt idx="137">
                  <c:v>0.97976753365842395</c:v>
                </c:pt>
                <c:pt idx="138">
                  <c:v>0.97986664246577204</c:v>
                </c:pt>
                <c:pt idx="139">
                  <c:v>0.97999057015117597</c:v>
                </c:pt>
                <c:pt idx="140">
                  <c:v>0.97983364706682397</c:v>
                </c:pt>
                <c:pt idx="141">
                  <c:v>0.98003955871886705</c:v>
                </c:pt>
                <c:pt idx="142">
                  <c:v>0.979799109840361</c:v>
                </c:pt>
                <c:pt idx="143">
                  <c:v>0.97977116959671295</c:v>
                </c:pt>
                <c:pt idx="144">
                  <c:v>0.97986899666901095</c:v>
                </c:pt>
                <c:pt idx="145">
                  <c:v>0.97979366973115201</c:v>
                </c:pt>
                <c:pt idx="146">
                  <c:v>0.97986006379288504</c:v>
                </c:pt>
                <c:pt idx="147">
                  <c:v>0.98023109852071699</c:v>
                </c:pt>
                <c:pt idx="148">
                  <c:v>0.98031914438009604</c:v>
                </c:pt>
                <c:pt idx="149">
                  <c:v>0.98037573623054097</c:v>
                </c:pt>
                <c:pt idx="150">
                  <c:v>0.98033191230693195</c:v>
                </c:pt>
                <c:pt idx="151">
                  <c:v>0.98046284760673297</c:v>
                </c:pt>
                <c:pt idx="152">
                  <c:v>0.98052623119115601</c:v>
                </c:pt>
                <c:pt idx="153">
                  <c:v>0.98050447129726603</c:v>
                </c:pt>
                <c:pt idx="154">
                  <c:v>0.98068314165123605</c:v>
                </c:pt>
                <c:pt idx="155">
                  <c:v>0.98061268746882602</c:v>
                </c:pt>
                <c:pt idx="156">
                  <c:v>0.98063868621303796</c:v>
                </c:pt>
                <c:pt idx="157">
                  <c:v>0.98078132683007502</c:v>
                </c:pt>
                <c:pt idx="158">
                  <c:v>0.98071488009976604</c:v>
                </c:pt>
                <c:pt idx="159">
                  <c:v>0.98085183990171998</c:v>
                </c:pt>
                <c:pt idx="160">
                  <c:v>0.98108654849620203</c:v>
                </c:pt>
                <c:pt idx="161">
                  <c:v>0.98106973945976395</c:v>
                </c:pt>
                <c:pt idx="162">
                  <c:v>0.98141018829389004</c:v>
                </c:pt>
                <c:pt idx="163">
                  <c:v>0.981623039441746</c:v>
                </c:pt>
                <c:pt idx="164">
                  <c:v>0.98182560227673499</c:v>
                </c:pt>
                <c:pt idx="165">
                  <c:v>0.98178805852255202</c:v>
                </c:pt>
                <c:pt idx="166">
                  <c:v>0.98189742324823603</c:v>
                </c:pt>
                <c:pt idx="167">
                  <c:v>0.98186125447712003</c:v>
                </c:pt>
                <c:pt idx="168">
                  <c:v>0.98181583247875004</c:v>
                </c:pt>
                <c:pt idx="169">
                  <c:v>0.98193626664908396</c:v>
                </c:pt>
                <c:pt idx="170">
                  <c:v>0.98211123574644799</c:v>
                </c:pt>
                <c:pt idx="171">
                  <c:v>0.98187306080134495</c:v>
                </c:pt>
                <c:pt idx="172">
                  <c:v>0.98205758471848903</c:v>
                </c:pt>
                <c:pt idx="173">
                  <c:v>0.98220456562484804</c:v>
                </c:pt>
                <c:pt idx="174">
                  <c:v>0.98222594411772901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55-428F-B55B-D9DEEE4F7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LEN x avg / LEN 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3.77788635216805E-2</c:v>
                </c:pt>
                <c:pt idx="2">
                  <c:v>4.35761474718546E-2</c:v>
                </c:pt>
                <c:pt idx="3">
                  <c:v>3.9308373299339699E-2</c:v>
                </c:pt>
                <c:pt idx="4">
                  <c:v>4.3973994161377497E-2</c:v>
                </c:pt>
                <c:pt idx="5">
                  <c:v>5.8891281276588298E-2</c:v>
                </c:pt>
                <c:pt idx="6">
                  <c:v>6.0785408655761999E-2</c:v>
                </c:pt>
                <c:pt idx="7">
                  <c:v>6.6102051191064701E-2</c:v>
                </c:pt>
                <c:pt idx="8">
                  <c:v>6.3005835277674699E-2</c:v>
                </c:pt>
                <c:pt idx="9">
                  <c:v>5.9098749098562997E-2</c:v>
                </c:pt>
                <c:pt idx="10">
                  <c:v>6.3275942622468398E-2</c:v>
                </c:pt>
                <c:pt idx="11">
                  <c:v>5.09595436796196E-2</c:v>
                </c:pt>
                <c:pt idx="12">
                  <c:v>4.88158191368529E-2</c:v>
                </c:pt>
                <c:pt idx="13">
                  <c:v>4.0988245551779399E-2</c:v>
                </c:pt>
                <c:pt idx="14">
                  <c:v>3.0572423364713101E-2</c:v>
                </c:pt>
                <c:pt idx="15">
                  <c:v>2.6450143676492399E-2</c:v>
                </c:pt>
                <c:pt idx="16">
                  <c:v>3.75757867701451E-2</c:v>
                </c:pt>
                <c:pt idx="17">
                  <c:v>4.0574646868847597E-2</c:v>
                </c:pt>
                <c:pt idx="18">
                  <c:v>2.33811156189387E-2</c:v>
                </c:pt>
                <c:pt idx="19">
                  <c:v>3.8882415951683902E-2</c:v>
                </c:pt>
                <c:pt idx="20">
                  <c:v>3.1374153996172799E-2</c:v>
                </c:pt>
                <c:pt idx="21">
                  <c:v>4.3352219209321703E-2</c:v>
                </c:pt>
                <c:pt idx="22">
                  <c:v>3.1806490415873898E-2</c:v>
                </c:pt>
                <c:pt idx="23">
                  <c:v>4.2395162565257299E-2</c:v>
                </c:pt>
                <c:pt idx="24">
                  <c:v>2.86540503367145E-2</c:v>
                </c:pt>
                <c:pt idx="25">
                  <c:v>3.17145151291119E-2</c:v>
                </c:pt>
                <c:pt idx="26">
                  <c:v>3.4969135016837703E-2</c:v>
                </c:pt>
                <c:pt idx="27">
                  <c:v>3.8069120451267299E-2</c:v>
                </c:pt>
                <c:pt idx="28">
                  <c:v>3.95142988113878E-2</c:v>
                </c:pt>
                <c:pt idx="29">
                  <c:v>2.9944602618989801E-2</c:v>
                </c:pt>
                <c:pt idx="30">
                  <c:v>2.5329723769302901E-2</c:v>
                </c:pt>
                <c:pt idx="31">
                  <c:v>2.85949247884042E-2</c:v>
                </c:pt>
                <c:pt idx="32">
                  <c:v>2.8604610716713399E-2</c:v>
                </c:pt>
                <c:pt idx="33">
                  <c:v>3.1712449172944801E-2</c:v>
                </c:pt>
                <c:pt idx="34">
                  <c:v>3.7704882882379998E-2</c:v>
                </c:pt>
                <c:pt idx="35">
                  <c:v>3.3778240438255003E-2</c:v>
                </c:pt>
                <c:pt idx="36">
                  <c:v>2.3570860954322401E-2</c:v>
                </c:pt>
                <c:pt idx="37">
                  <c:v>2.3610625273258901E-2</c:v>
                </c:pt>
                <c:pt idx="38">
                  <c:v>3.1069221898907502E-2</c:v>
                </c:pt>
                <c:pt idx="39">
                  <c:v>2.46979892023928E-2</c:v>
                </c:pt>
                <c:pt idx="40">
                  <c:v>2.9459270996106901E-2</c:v>
                </c:pt>
                <c:pt idx="41">
                  <c:v>2.2979225957001501E-2</c:v>
                </c:pt>
                <c:pt idx="42">
                  <c:v>2.3711961154309701E-2</c:v>
                </c:pt>
                <c:pt idx="43">
                  <c:v>2.3998594037116201E-2</c:v>
                </c:pt>
                <c:pt idx="44">
                  <c:v>2.3827415427254799E-2</c:v>
                </c:pt>
                <c:pt idx="45">
                  <c:v>2.48313539088569E-2</c:v>
                </c:pt>
                <c:pt idx="46">
                  <c:v>2.2198289611675099E-2</c:v>
                </c:pt>
                <c:pt idx="47">
                  <c:v>1.7336846194861699E-2</c:v>
                </c:pt>
                <c:pt idx="48">
                  <c:v>1.85592851242454E-2</c:v>
                </c:pt>
                <c:pt idx="49">
                  <c:v>2.19350039105147E-2</c:v>
                </c:pt>
                <c:pt idx="50">
                  <c:v>3.1911512600013098E-2</c:v>
                </c:pt>
                <c:pt idx="51">
                  <c:v>2.49627450765301E-2</c:v>
                </c:pt>
                <c:pt idx="52">
                  <c:v>2.13651664814801E-2</c:v>
                </c:pt>
                <c:pt idx="53">
                  <c:v>1.0324498179136899E-2</c:v>
                </c:pt>
                <c:pt idx="54">
                  <c:v>1.23790448925665E-2</c:v>
                </c:pt>
                <c:pt idx="55">
                  <c:v>6.9640578443443003E-3</c:v>
                </c:pt>
                <c:pt idx="56">
                  <c:v>4.7919994241323498E-3</c:v>
                </c:pt>
                <c:pt idx="57">
                  <c:v>6.9160152656365503E-3</c:v>
                </c:pt>
                <c:pt idx="58">
                  <c:v>7.9335549140130603E-3</c:v>
                </c:pt>
                <c:pt idx="59">
                  <c:v>-1.5074919669732E-3</c:v>
                </c:pt>
                <c:pt idx="60">
                  <c:v>-6.1568704537376898E-3</c:v>
                </c:pt>
                <c:pt idx="61">
                  <c:v>-1.22538296651729E-2</c:v>
                </c:pt>
                <c:pt idx="62">
                  <c:v>-1.2570149103961301E-2</c:v>
                </c:pt>
                <c:pt idx="63">
                  <c:v>-1.46778394264855E-2</c:v>
                </c:pt>
                <c:pt idx="64">
                  <c:v>-9.1881122083259104E-3</c:v>
                </c:pt>
                <c:pt idx="65">
                  <c:v>-1.6539882705991701E-2</c:v>
                </c:pt>
                <c:pt idx="66">
                  <c:v>-1.43128139048948E-2</c:v>
                </c:pt>
                <c:pt idx="67">
                  <c:v>-1.1211366159134499E-2</c:v>
                </c:pt>
                <c:pt idx="68">
                  <c:v>-1.07726776199021E-2</c:v>
                </c:pt>
                <c:pt idx="69">
                  <c:v>-1.26707161906735E-2</c:v>
                </c:pt>
                <c:pt idx="70">
                  <c:v>-1.08164273014671E-2</c:v>
                </c:pt>
                <c:pt idx="71">
                  <c:v>-1.37010177774589E-2</c:v>
                </c:pt>
                <c:pt idx="72">
                  <c:v>-9.1159389135680793E-3</c:v>
                </c:pt>
                <c:pt idx="73">
                  <c:v>-1.47630006651487E-2</c:v>
                </c:pt>
                <c:pt idx="74">
                  <c:v>-1.02820024780214E-2</c:v>
                </c:pt>
                <c:pt idx="75">
                  <c:v>-9.8483123072419607E-3</c:v>
                </c:pt>
                <c:pt idx="76">
                  <c:v>-1.6081179321692E-2</c:v>
                </c:pt>
                <c:pt idx="77">
                  <c:v>-1.0492281163765899E-2</c:v>
                </c:pt>
                <c:pt idx="78">
                  <c:v>-1.33355082472628E-2</c:v>
                </c:pt>
                <c:pt idx="79">
                  <c:v>-1.17506517959645E-2</c:v>
                </c:pt>
                <c:pt idx="80">
                  <c:v>-8.92933134850981E-3</c:v>
                </c:pt>
                <c:pt idx="81">
                  <c:v>-1.6488103908983899E-2</c:v>
                </c:pt>
                <c:pt idx="82">
                  <c:v>-1.34879102551016E-2</c:v>
                </c:pt>
                <c:pt idx="83">
                  <c:v>-1.0337196032795801E-2</c:v>
                </c:pt>
                <c:pt idx="84">
                  <c:v>-1.3672908522404501E-2</c:v>
                </c:pt>
                <c:pt idx="85">
                  <c:v>-1.03200754388852E-2</c:v>
                </c:pt>
                <c:pt idx="86">
                  <c:v>-2.4814151579263602E-3</c:v>
                </c:pt>
                <c:pt idx="87">
                  <c:v>-1.17274255965992E-2</c:v>
                </c:pt>
                <c:pt idx="88">
                  <c:v>-1.2276292230409E-2</c:v>
                </c:pt>
                <c:pt idx="89">
                  <c:v>-1.5959545970450802E-2</c:v>
                </c:pt>
                <c:pt idx="90">
                  <c:v>-1.4401730224236201E-2</c:v>
                </c:pt>
                <c:pt idx="91">
                  <c:v>-1.4480088713431399E-2</c:v>
                </c:pt>
                <c:pt idx="92">
                  <c:v>-1.36274128897246E-2</c:v>
                </c:pt>
                <c:pt idx="93">
                  <c:v>-1.9314743313243201E-2</c:v>
                </c:pt>
                <c:pt idx="94">
                  <c:v>-1.6177649127051101E-2</c:v>
                </c:pt>
                <c:pt idx="95">
                  <c:v>-2.2280592635471799E-2</c:v>
                </c:pt>
                <c:pt idx="96">
                  <c:v>-1.7508320649142501E-2</c:v>
                </c:pt>
                <c:pt idx="97">
                  <c:v>-1.47547769930148E-2</c:v>
                </c:pt>
                <c:pt idx="98">
                  <c:v>-1.7957703773875601E-2</c:v>
                </c:pt>
                <c:pt idx="99">
                  <c:v>-8.86621395275459E-3</c:v>
                </c:pt>
                <c:pt idx="100">
                  <c:v>-1.3618673435939E-2</c:v>
                </c:pt>
                <c:pt idx="101">
                  <c:v>-1.88631236899682E-2</c:v>
                </c:pt>
                <c:pt idx="102">
                  <c:v>-1.25795330154899E-2</c:v>
                </c:pt>
                <c:pt idx="103">
                  <c:v>-1.88766626452272E-2</c:v>
                </c:pt>
                <c:pt idx="104">
                  <c:v>-1.66267401587607E-2</c:v>
                </c:pt>
                <c:pt idx="105">
                  <c:v>-1.4858720162218401E-2</c:v>
                </c:pt>
                <c:pt idx="106">
                  <c:v>-1.7549346583195201E-2</c:v>
                </c:pt>
                <c:pt idx="107">
                  <c:v>-1.89549819790918E-2</c:v>
                </c:pt>
                <c:pt idx="108">
                  <c:v>-1.9662736716749601E-2</c:v>
                </c:pt>
                <c:pt idx="109">
                  <c:v>-1.52413793287878E-2</c:v>
                </c:pt>
                <c:pt idx="110">
                  <c:v>-1.6475948940282901E-2</c:v>
                </c:pt>
                <c:pt idx="111">
                  <c:v>-1.7844956220273898E-2</c:v>
                </c:pt>
                <c:pt idx="112">
                  <c:v>-1.74928806518522E-2</c:v>
                </c:pt>
                <c:pt idx="113">
                  <c:v>-1.4083326266206699E-2</c:v>
                </c:pt>
                <c:pt idx="114">
                  <c:v>-1.8008397918691101E-2</c:v>
                </c:pt>
                <c:pt idx="115">
                  <c:v>-1.21275471876463E-2</c:v>
                </c:pt>
                <c:pt idx="116">
                  <c:v>-1.23805052952529E-2</c:v>
                </c:pt>
                <c:pt idx="117">
                  <c:v>-1.10609634469653E-2</c:v>
                </c:pt>
                <c:pt idx="118">
                  <c:v>-1.86440460586881E-2</c:v>
                </c:pt>
                <c:pt idx="119">
                  <c:v>-1.4916012252761899E-2</c:v>
                </c:pt>
                <c:pt idx="120">
                  <c:v>-2.0505576827158201E-2</c:v>
                </c:pt>
                <c:pt idx="121">
                  <c:v>-1.61697200407332E-2</c:v>
                </c:pt>
                <c:pt idx="122">
                  <c:v>-1.81131397987833E-2</c:v>
                </c:pt>
                <c:pt idx="123">
                  <c:v>-1.45040625388707E-2</c:v>
                </c:pt>
                <c:pt idx="124">
                  <c:v>-1.5741442447141599E-2</c:v>
                </c:pt>
                <c:pt idx="125">
                  <c:v>-1.8044884022640699E-2</c:v>
                </c:pt>
                <c:pt idx="126">
                  <c:v>-1.79512491527535E-2</c:v>
                </c:pt>
                <c:pt idx="127">
                  <c:v>-1.38852308883261E-2</c:v>
                </c:pt>
                <c:pt idx="128">
                  <c:v>-1.7861834901936699E-2</c:v>
                </c:pt>
                <c:pt idx="129">
                  <c:v>-1.7358105211204702E-2</c:v>
                </c:pt>
                <c:pt idx="130">
                  <c:v>-1.7860914976301299E-2</c:v>
                </c:pt>
                <c:pt idx="131">
                  <c:v>-1.97767220194991E-2</c:v>
                </c:pt>
                <c:pt idx="132">
                  <c:v>-1.5570959663012701E-2</c:v>
                </c:pt>
                <c:pt idx="133">
                  <c:v>-1.8579934017732901E-2</c:v>
                </c:pt>
                <c:pt idx="134">
                  <c:v>-1.7263719714223E-2</c:v>
                </c:pt>
                <c:pt idx="135">
                  <c:v>-1.91056361531271E-2</c:v>
                </c:pt>
                <c:pt idx="136">
                  <c:v>-2.0352289546016301E-2</c:v>
                </c:pt>
                <c:pt idx="137">
                  <c:v>-1.8559391935157099E-2</c:v>
                </c:pt>
                <c:pt idx="138">
                  <c:v>-2.0662882922582199E-2</c:v>
                </c:pt>
                <c:pt idx="139">
                  <c:v>-1.7449184086919301E-2</c:v>
                </c:pt>
                <c:pt idx="140">
                  <c:v>-1.73066797684342E-2</c:v>
                </c:pt>
                <c:pt idx="141">
                  <c:v>-2.0369925758248399E-2</c:v>
                </c:pt>
                <c:pt idx="142">
                  <c:v>-1.31955969399878E-2</c:v>
                </c:pt>
                <c:pt idx="143">
                  <c:v>-1.3931820379548199E-2</c:v>
                </c:pt>
                <c:pt idx="144">
                  <c:v>-1.7739983281583601E-2</c:v>
                </c:pt>
                <c:pt idx="145">
                  <c:v>-1.6506828892953601E-2</c:v>
                </c:pt>
                <c:pt idx="146">
                  <c:v>-1.9305077294851401E-2</c:v>
                </c:pt>
                <c:pt idx="147">
                  <c:v>-2.14581487516056E-2</c:v>
                </c:pt>
                <c:pt idx="148">
                  <c:v>-1.9656924889598502E-2</c:v>
                </c:pt>
                <c:pt idx="149">
                  <c:v>-1.8512858030490902E-2</c:v>
                </c:pt>
                <c:pt idx="150">
                  <c:v>-1.6966223978558698E-2</c:v>
                </c:pt>
                <c:pt idx="151">
                  <c:v>-2.2439983567116399E-2</c:v>
                </c:pt>
                <c:pt idx="152">
                  <c:v>-1.6866519562858898E-2</c:v>
                </c:pt>
                <c:pt idx="153">
                  <c:v>-1.8136112429958901E-2</c:v>
                </c:pt>
                <c:pt idx="154">
                  <c:v>-2.0905287550274002E-2</c:v>
                </c:pt>
                <c:pt idx="155">
                  <c:v>-1.76686726304482E-2</c:v>
                </c:pt>
                <c:pt idx="156">
                  <c:v>-2.0881371601014401E-2</c:v>
                </c:pt>
                <c:pt idx="157">
                  <c:v>-2.1463926468166701E-2</c:v>
                </c:pt>
                <c:pt idx="158">
                  <c:v>-1.93098197887413E-2</c:v>
                </c:pt>
                <c:pt idx="159">
                  <c:v>-2.0241297374937899E-2</c:v>
                </c:pt>
                <c:pt idx="160">
                  <c:v>-2.2087459030123699E-2</c:v>
                </c:pt>
                <c:pt idx="161">
                  <c:v>-2.00277139257867E-2</c:v>
                </c:pt>
                <c:pt idx="162">
                  <c:v>-2.0151191417693899E-2</c:v>
                </c:pt>
                <c:pt idx="163">
                  <c:v>-1.8282977248304199E-2</c:v>
                </c:pt>
                <c:pt idx="164">
                  <c:v>-2.1865550499839501E-2</c:v>
                </c:pt>
                <c:pt idx="165">
                  <c:v>-1.5739361457261899E-2</c:v>
                </c:pt>
                <c:pt idx="166">
                  <c:v>-2.15311233806522E-2</c:v>
                </c:pt>
                <c:pt idx="167">
                  <c:v>-2.0722452092837601E-2</c:v>
                </c:pt>
                <c:pt idx="168">
                  <c:v>-1.87312579029041E-2</c:v>
                </c:pt>
                <c:pt idx="169">
                  <c:v>-2.0965879552657E-2</c:v>
                </c:pt>
                <c:pt idx="170">
                  <c:v>-2.0533548263206001E-2</c:v>
                </c:pt>
                <c:pt idx="171">
                  <c:v>-1.75901408057948E-2</c:v>
                </c:pt>
                <c:pt idx="172">
                  <c:v>-2.0628658897325802E-2</c:v>
                </c:pt>
                <c:pt idx="173">
                  <c:v>-2.1130159595738999E-2</c:v>
                </c:pt>
                <c:pt idx="174">
                  <c:v>-2.1340126109750401E-2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2-4E70-9550-32FC2ECC76BF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LEN x 10 dma / LEN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1.12285999665024E-2</c:v>
                </c:pt>
                <c:pt idx="11">
                  <c:v>-2.56525198331666E-3</c:v>
                </c:pt>
                <c:pt idx="12">
                  <c:v>-6.0400627786890201E-3</c:v>
                </c:pt>
                <c:pt idx="13">
                  <c:v>-1.4396301059942501E-2</c:v>
                </c:pt>
                <c:pt idx="14">
                  <c:v>-2.49827041315374E-2</c:v>
                </c:pt>
                <c:pt idx="15">
                  <c:v>-2.7741021172923899E-2</c:v>
                </c:pt>
                <c:pt idx="16">
                  <c:v>-1.3338904150854401E-2</c:v>
                </c:pt>
                <c:pt idx="17">
                  <c:v>-8.0177001510689499E-3</c:v>
                </c:pt>
                <c:pt idx="18">
                  <c:v>-2.2673730770902002E-2</c:v>
                </c:pt>
                <c:pt idx="19">
                  <c:v>-3.2062199758857899E-3</c:v>
                </c:pt>
                <c:pt idx="20">
                  <c:v>-8.7087324512446496E-3</c:v>
                </c:pt>
                <c:pt idx="21">
                  <c:v>6.4316202916630703E-3</c:v>
                </c:pt>
                <c:pt idx="22">
                  <c:v>-4.3614041916281796E-3</c:v>
                </c:pt>
                <c:pt idx="23">
                  <c:v>7.9197553565935608E-3</c:v>
                </c:pt>
                <c:pt idx="24">
                  <c:v>-5.9610467223690598E-3</c:v>
                </c:pt>
                <c:pt idx="25">
                  <c:v>-2.7078012338721601E-3</c:v>
                </c:pt>
                <c:pt idx="26">
                  <c:v>1.74221051462811E-5</c:v>
                </c:pt>
                <c:pt idx="27">
                  <c:v>3.3776948651653101E-3</c:v>
                </c:pt>
                <c:pt idx="28">
                  <c:v>5.0722373468840296E-3</c:v>
                </c:pt>
                <c:pt idx="29">
                  <c:v>-6.1169434576964603E-3</c:v>
                </c:pt>
                <c:pt idx="30">
                  <c:v>-9.8369643001627594E-3</c:v>
                </c:pt>
                <c:pt idx="31">
                  <c:v>-5.9633712449673904E-3</c:v>
                </c:pt>
                <c:pt idx="32">
                  <c:v>-4.4811143547710298E-3</c:v>
                </c:pt>
                <c:pt idx="33">
                  <c:v>-1.05221581021325E-3</c:v>
                </c:pt>
                <c:pt idx="34">
                  <c:v>6.0033568099072902E-3</c:v>
                </c:pt>
                <c:pt idx="35">
                  <c:v>1.17255606979542E-3</c:v>
                </c:pt>
                <c:pt idx="36">
                  <c:v>-9.2411882402106092E-3</c:v>
                </c:pt>
                <c:pt idx="37">
                  <c:v>-8.0581995671784503E-3</c:v>
                </c:pt>
                <c:pt idx="38">
                  <c:v>8.46412233253975E-4</c:v>
                </c:pt>
                <c:pt idx="39">
                  <c:v>-4.6849330160070096E-3</c:v>
                </c:pt>
                <c:pt idx="40">
                  <c:v>6.0195533841630403E-4</c:v>
                </c:pt>
                <c:pt idx="41">
                  <c:v>-6.2917347763113097E-3</c:v>
                </c:pt>
                <c:pt idx="42">
                  <c:v>-4.9956278219853104E-3</c:v>
                </c:pt>
                <c:pt idx="43">
                  <c:v>-4.2186008806695098E-3</c:v>
                </c:pt>
                <c:pt idx="44">
                  <c:v>-3.6184106052243401E-3</c:v>
                </c:pt>
                <c:pt idx="45">
                  <c:v>-1.23227008717458E-3</c:v>
                </c:pt>
                <c:pt idx="46">
                  <c:v>-2.9739353177483498E-3</c:v>
                </c:pt>
                <c:pt idx="47">
                  <c:v>-7.6978166959237402E-3</c:v>
                </c:pt>
                <c:pt idx="48">
                  <c:v>-5.8453293870148497E-3</c:v>
                </c:pt>
                <c:pt idx="49">
                  <c:v>-1.21990233078765E-3</c:v>
                </c:pt>
                <c:pt idx="50">
                  <c:v>9.0328221811092207E-3</c:v>
                </c:pt>
                <c:pt idx="51">
                  <c:v>1.8407077684727401E-3</c:v>
                </c:pt>
                <c:pt idx="52">
                  <c:v>-1.9550740929450902E-3</c:v>
                </c:pt>
                <c:pt idx="53">
                  <c:v>-1.27609069349147E-2</c:v>
                </c:pt>
                <c:pt idx="54">
                  <c:v>-9.3317607322944505E-3</c:v>
                </c:pt>
                <c:pt idx="55">
                  <c:v>-1.3598426480945801E-2</c:v>
                </c:pt>
                <c:pt idx="56">
                  <c:v>-1.39769865293432E-2</c:v>
                </c:pt>
                <c:pt idx="57">
                  <c:v>-1.0104644741298E-2</c:v>
                </c:pt>
                <c:pt idx="58">
                  <c:v>-8.0404524989534393E-3</c:v>
                </c:pt>
                <c:pt idx="59">
                  <c:v>-1.64165863506699E-2</c:v>
                </c:pt>
                <c:pt idx="60">
                  <c:v>-1.8713397848733399E-2</c:v>
                </c:pt>
                <c:pt idx="61">
                  <c:v>-2.1011733881399999E-2</c:v>
                </c:pt>
                <c:pt idx="62">
                  <c:v>-1.7604167259388601E-2</c:v>
                </c:pt>
                <c:pt idx="63">
                  <c:v>-1.6321755276998199E-2</c:v>
                </c:pt>
                <c:pt idx="64">
                  <c:v>-8.3253027584477193E-3</c:v>
                </c:pt>
                <c:pt idx="65">
                  <c:v>-1.35279222203803E-2</c:v>
                </c:pt>
                <c:pt idx="66">
                  <c:v>-8.9489950586198602E-3</c:v>
                </c:pt>
                <c:pt idx="67">
                  <c:v>-3.9400099083231801E-3</c:v>
                </c:pt>
                <c:pt idx="68">
                  <c:v>-1.6994470229723399E-3</c:v>
                </c:pt>
                <c:pt idx="69">
                  <c:v>-1.7428187145170501E-3</c:v>
                </c:pt>
                <c:pt idx="70">
                  <c:v>1.22290338406701E-3</c:v>
                </c:pt>
                <c:pt idx="71">
                  <c:v>-1.19749119793172E-3</c:v>
                </c:pt>
                <c:pt idx="72">
                  <c:v>3.53236460721935E-3</c:v>
                </c:pt>
                <c:pt idx="73">
                  <c:v>-2.4595547793139902E-3</c:v>
                </c:pt>
                <c:pt idx="74">
                  <c:v>2.0299801033904202E-3</c:v>
                </c:pt>
                <c:pt idx="75">
                  <c:v>2.5727718303334098E-3</c:v>
                </c:pt>
                <c:pt idx="76">
                  <c:v>-4.3299952736981402E-3</c:v>
                </c:pt>
                <c:pt idx="77">
                  <c:v>1.4363341038078699E-3</c:v>
                </c:pt>
                <c:pt idx="78">
                  <c:v>-1.47872667195585E-3</c:v>
                </c:pt>
                <c:pt idx="79">
                  <c:v>3.6243063690690402E-4</c:v>
                </c:pt>
                <c:pt idx="80">
                  <c:v>3.0917314275562798E-3</c:v>
                </c:pt>
                <c:pt idx="81">
                  <c:v>-4.65536353998291E-3</c:v>
                </c:pt>
                <c:pt idx="82">
                  <c:v>-1.3755896869022399E-3</c:v>
                </c:pt>
                <c:pt idx="83">
                  <c:v>2.2118724699248999E-3</c:v>
                </c:pt>
                <c:pt idx="84">
                  <c:v>-1.5665192679258E-3</c:v>
                </c:pt>
                <c:pt idx="85">
                  <c:v>2.1253034015979101E-3</c:v>
                </c:pt>
                <c:pt idx="86">
                  <c:v>1.0011027628036399E-2</c:v>
                </c:pt>
                <c:pt idx="87">
                  <c:v>-5.9152928917344803E-4</c:v>
                </c:pt>
                <c:pt idx="88">
                  <c:v>-1.01689231536907E-3</c:v>
                </c:pt>
                <c:pt idx="89">
                  <c:v>-4.8062372240454104E-3</c:v>
                </c:pt>
                <c:pt idx="90">
                  <c:v>-2.82648208538509E-3</c:v>
                </c:pt>
                <c:pt idx="91">
                  <c:v>-2.3577003041448702E-3</c:v>
                </c:pt>
                <c:pt idx="92">
                  <c:v>-1.7065225051706701E-3</c:v>
                </c:pt>
                <c:pt idx="93">
                  <c:v>-7.3798799107526103E-3</c:v>
                </c:pt>
                <c:pt idx="94">
                  <c:v>-3.3428337913283699E-3</c:v>
                </c:pt>
                <c:pt idx="95">
                  <c:v>-9.1948105139201698E-3</c:v>
                </c:pt>
                <c:pt idx="96">
                  <c:v>-3.2233480156661099E-3</c:v>
                </c:pt>
                <c:pt idx="97">
                  <c:v>1.0253490771546499E-3</c:v>
                </c:pt>
                <c:pt idx="98">
                  <c:v>-1.87565570881753E-3</c:v>
                </c:pt>
                <c:pt idx="99">
                  <c:v>7.7832669893560498E-3</c:v>
                </c:pt>
                <c:pt idx="100">
                  <c:v>2.3242220557581801E-3</c:v>
                </c:pt>
                <c:pt idx="101">
                  <c:v>-2.9983857385830199E-3</c:v>
                </c:pt>
                <c:pt idx="102">
                  <c:v>3.7237663984281901E-3</c:v>
                </c:pt>
                <c:pt idx="103">
                  <c:v>-2.6778219116392801E-3</c:v>
                </c:pt>
                <c:pt idx="104">
                  <c:v>-4.7183554743014899E-4</c:v>
                </c:pt>
                <c:pt idx="105">
                  <c:v>1.34110365072529E-3</c:v>
                </c:pt>
                <c:pt idx="106">
                  <c:v>-2.09374953839423E-3</c:v>
                </c:pt>
                <c:pt idx="107">
                  <c:v>-3.4952738348658298E-3</c:v>
                </c:pt>
                <c:pt idx="108">
                  <c:v>-3.7825097856214198E-3</c:v>
                </c:pt>
                <c:pt idx="109">
                  <c:v>8.0983660399037397E-4</c:v>
                </c:pt>
                <c:pt idx="110">
                  <c:v>2.1003976039044801E-4</c:v>
                </c:pt>
                <c:pt idx="111">
                  <c:v>-8.7374838286958503E-4</c:v>
                </c:pt>
                <c:pt idx="112">
                  <c:v>-6.2363565671636303E-4</c:v>
                </c:pt>
                <c:pt idx="113">
                  <c:v>3.27623395129798E-3</c:v>
                </c:pt>
                <c:pt idx="114">
                  <c:v>-1.1278650927753801E-3</c:v>
                </c:pt>
                <c:pt idx="115">
                  <c:v>4.8912022695423397E-3</c:v>
                </c:pt>
                <c:pt idx="116">
                  <c:v>4.3660509499077E-3</c:v>
                </c:pt>
                <c:pt idx="117">
                  <c:v>5.1694950160419799E-3</c:v>
                </c:pt>
                <c:pt idx="118">
                  <c:v>-3.2023380350298001E-3</c:v>
                </c:pt>
                <c:pt idx="119">
                  <c:v>4.2344266470814899E-4</c:v>
                </c:pt>
                <c:pt idx="120">
                  <c:v>-5.1986506633509002E-3</c:v>
                </c:pt>
                <c:pt idx="121">
                  <c:v>-4.5862748869926598E-4</c:v>
                </c:pt>
                <c:pt idx="122">
                  <c:v>-2.56980224695235E-3</c:v>
                </c:pt>
                <c:pt idx="123">
                  <c:v>1.1014393131493899E-3</c:v>
                </c:pt>
                <c:pt idx="124">
                  <c:v>-9.3923006608899194E-5</c:v>
                </c:pt>
                <c:pt idx="125">
                  <c:v>-2.6243643574767701E-3</c:v>
                </c:pt>
                <c:pt idx="126">
                  <c:v>-1.9393676158816701E-3</c:v>
                </c:pt>
                <c:pt idx="127">
                  <c:v>2.6830998194180299E-3</c:v>
                </c:pt>
                <c:pt idx="128">
                  <c:v>-1.0122711447199399E-3</c:v>
                </c:pt>
                <c:pt idx="129">
                  <c:v>-5.8687549044652198E-4</c:v>
                </c:pt>
                <c:pt idx="130">
                  <c:v>-8.4566049687030004E-4</c:v>
                </c:pt>
                <c:pt idx="131">
                  <c:v>-3.0265429141567799E-3</c:v>
                </c:pt>
                <c:pt idx="132">
                  <c:v>1.54029606132028E-3</c:v>
                </c:pt>
                <c:pt idx="133">
                  <c:v>-1.7228602491081301E-3</c:v>
                </c:pt>
                <c:pt idx="134">
                  <c:v>7.3009494998630496E-7</c:v>
                </c:pt>
                <c:pt idx="135">
                  <c:v>-1.68908610376248E-3</c:v>
                </c:pt>
                <c:pt idx="136">
                  <c:v>-2.8295469356033102E-3</c:v>
                </c:pt>
                <c:pt idx="137">
                  <c:v>-7.9618268740966303E-4</c:v>
                </c:pt>
                <c:pt idx="138">
                  <c:v>-2.43308570024798E-3</c:v>
                </c:pt>
                <c:pt idx="139">
                  <c:v>1.06096810087815E-3</c:v>
                </c:pt>
                <c:pt idx="140">
                  <c:v>1.2125701931804901E-3</c:v>
                </c:pt>
                <c:pt idx="141">
                  <c:v>-1.9060490293647901E-3</c:v>
                </c:pt>
                <c:pt idx="142">
                  <c:v>5.3276939484638904E-3</c:v>
                </c:pt>
                <c:pt idx="143">
                  <c:v>4.3548875677628896E-3</c:v>
                </c:pt>
                <c:pt idx="144">
                  <c:v>8.2748259277665704E-5</c:v>
                </c:pt>
                <c:pt idx="145">
                  <c:v>1.3635125918265299E-3</c:v>
                </c:pt>
                <c:pt idx="146">
                  <c:v>-1.6946337196030699E-3</c:v>
                </c:pt>
                <c:pt idx="147">
                  <c:v>-3.9526644689328698E-3</c:v>
                </c:pt>
                <c:pt idx="148">
                  <c:v>-1.8608804894602901E-3</c:v>
                </c:pt>
                <c:pt idx="149">
                  <c:v>-8.1765259760408697E-4</c:v>
                </c:pt>
                <c:pt idx="150">
                  <c:v>8.3537359966452196E-4</c:v>
                </c:pt>
                <c:pt idx="151">
                  <c:v>-4.6724095090972702E-3</c:v>
                </c:pt>
                <c:pt idx="152">
                  <c:v>1.1087930638647499E-3</c:v>
                </c:pt>
                <c:pt idx="153">
                  <c:v>2.0514647458978001E-4</c:v>
                </c:pt>
                <c:pt idx="154">
                  <c:v>-2.1446560156592699E-3</c:v>
                </c:pt>
                <c:pt idx="155">
                  <c:v>1.4086172630249599E-3</c:v>
                </c:pt>
                <c:pt idx="156">
                  <c:v>-1.6881349729183301E-3</c:v>
                </c:pt>
                <c:pt idx="157">
                  <c:v>-2.1129309092902601E-3</c:v>
                </c:pt>
                <c:pt idx="158">
                  <c:v>4.1754762033077299E-5</c:v>
                </c:pt>
                <c:pt idx="159">
                  <c:v>-9.2443851207579201E-4</c:v>
                </c:pt>
                <c:pt idx="160">
                  <c:v>-2.5977607401198601E-3</c:v>
                </c:pt>
                <c:pt idx="161">
                  <c:v>-2.60036492047542E-5</c:v>
                </c:pt>
                <c:pt idx="162">
                  <c:v>-3.9103474373686198E-4</c:v>
                </c:pt>
                <c:pt idx="163">
                  <c:v>1.8051822054831301E-3</c:v>
                </c:pt>
                <c:pt idx="164">
                  <c:v>-1.7627322359852001E-3</c:v>
                </c:pt>
                <c:pt idx="165">
                  <c:v>4.45960172558968E-3</c:v>
                </c:pt>
                <c:pt idx="166">
                  <c:v>-1.5244367219409999E-3</c:v>
                </c:pt>
                <c:pt idx="167">
                  <c:v>-6.5071438243864796E-4</c:v>
                </c:pt>
                <c:pt idx="168">
                  <c:v>1.2662538368713499E-3</c:v>
                </c:pt>
                <c:pt idx="169">
                  <c:v>-1.0261691764121201E-3</c:v>
                </c:pt>
                <c:pt idx="170">
                  <c:v>-5.2133417666681196E-4</c:v>
                </c:pt>
                <c:pt idx="171">
                  <c:v>2.2664682089278999E-3</c:v>
                </c:pt>
                <c:pt idx="172">
                  <c:v>-1.0155816600126899E-3</c:v>
                </c:pt>
                <c:pt idx="173">
                  <c:v>-1.46929964524786E-3</c:v>
                </c:pt>
                <c:pt idx="174">
                  <c:v>-1.39457534228601E-3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82-4E70-9550-32FC2ECC76BF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LEN x 20 dma / LEN 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-1.46730671356984E-2</c:v>
                </c:pt>
                <c:pt idx="21">
                  <c:v>-1.8360160581601601E-3</c:v>
                </c:pt>
                <c:pt idx="22">
                  <c:v>-1.3661743372186201E-2</c:v>
                </c:pt>
                <c:pt idx="23">
                  <c:v>-2.4801663265891102E-3</c:v>
                </c:pt>
                <c:pt idx="24">
                  <c:v>-1.6376252332985401E-2</c:v>
                </c:pt>
                <c:pt idx="25">
                  <c:v>-1.25433753512285E-2</c:v>
                </c:pt>
                <c:pt idx="26">
                  <c:v>-7.9322151543211906E-3</c:v>
                </c:pt>
                <c:pt idx="27">
                  <c:v>-3.5486115941301701E-3</c:v>
                </c:pt>
                <c:pt idx="28">
                  <c:v>-7.1729811378895797E-4</c:v>
                </c:pt>
                <c:pt idx="29">
                  <c:v>-9.1259476635021097E-3</c:v>
                </c:pt>
                <c:pt idx="30">
                  <c:v>-1.22920423663695E-2</c:v>
                </c:pt>
                <c:pt idx="31">
                  <c:v>-7.1438251279084203E-3</c:v>
                </c:pt>
                <c:pt idx="32">
                  <c:v>-6.0210116521189202E-3</c:v>
                </c:pt>
                <c:pt idx="33">
                  <c:v>-1.90722109314034E-3</c:v>
                </c:pt>
                <c:pt idx="34">
                  <c:v>4.5476324282132698E-3</c:v>
                </c:pt>
                <c:pt idx="35">
                  <c:v>2.6465259145179801E-4</c:v>
                </c:pt>
                <c:pt idx="36">
                  <c:v>-1.03104478287961E-2</c:v>
                </c:pt>
                <c:pt idx="37">
                  <c:v>-9.5683579260370799E-3</c:v>
                </c:pt>
                <c:pt idx="38">
                  <c:v>-1.2609884071041501E-3</c:v>
                </c:pt>
                <c:pt idx="39">
                  <c:v>-8.0186694534323099E-3</c:v>
                </c:pt>
                <c:pt idx="40">
                  <c:v>-2.5477548531959702E-3</c:v>
                </c:pt>
                <c:pt idx="41">
                  <c:v>-8.9319079410892198E-3</c:v>
                </c:pt>
                <c:pt idx="42">
                  <c:v>-7.1822998620351399E-3</c:v>
                </c:pt>
                <c:pt idx="43">
                  <c:v>-6.4897509800834804E-3</c:v>
                </c:pt>
                <c:pt idx="44">
                  <c:v>-5.7439967540756998E-3</c:v>
                </c:pt>
                <c:pt idx="45">
                  <c:v>-4.4979504636889602E-3</c:v>
                </c:pt>
                <c:pt idx="46">
                  <c:v>-6.7865516036962796E-3</c:v>
                </c:pt>
                <c:pt idx="47">
                  <c:v>-1.10093961677416E-2</c:v>
                </c:pt>
                <c:pt idx="48">
                  <c:v>-8.7501955458228198E-3</c:v>
                </c:pt>
                <c:pt idx="49">
                  <c:v>-4.329061804296E-3</c:v>
                </c:pt>
                <c:pt idx="50">
                  <c:v>6.0479775500301E-3</c:v>
                </c:pt>
                <c:pt idx="51">
                  <c:v>-1.2290277941895799E-3</c:v>
                </c:pt>
                <c:pt idx="52">
                  <c:v>-4.6451203579169001E-3</c:v>
                </c:pt>
                <c:pt idx="53">
                  <c:v>-1.53235099320702E-2</c:v>
                </c:pt>
                <c:pt idx="54">
                  <c:v>-1.2195159634353201E-2</c:v>
                </c:pt>
                <c:pt idx="55">
                  <c:v>-1.6345213503876799E-2</c:v>
                </c:pt>
                <c:pt idx="56">
                  <c:v>-1.7173480842399998E-2</c:v>
                </c:pt>
                <c:pt idx="57">
                  <c:v>-1.41036181744286E-2</c:v>
                </c:pt>
                <c:pt idx="58">
                  <c:v>-1.22468716824052E-2</c:v>
                </c:pt>
                <c:pt idx="59">
                  <c:v>-2.0530993126902299E-2</c:v>
                </c:pt>
                <c:pt idx="60">
                  <c:v>-2.38611610386271E-2</c:v>
                </c:pt>
                <c:pt idx="61">
                  <c:v>-2.8168009609103099E-2</c:v>
                </c:pt>
                <c:pt idx="62">
                  <c:v>-2.67054808099444E-2</c:v>
                </c:pt>
                <c:pt idx="63">
                  <c:v>-2.6985033826829902E-2</c:v>
                </c:pt>
                <c:pt idx="64">
                  <c:v>-1.9548415635972399E-2</c:v>
                </c:pt>
                <c:pt idx="65">
                  <c:v>-2.5245676928415402E-2</c:v>
                </c:pt>
                <c:pt idx="66">
                  <c:v>-2.0942600191555E-2</c:v>
                </c:pt>
                <c:pt idx="67">
                  <c:v>-1.60122570940395E-2</c:v>
                </c:pt>
                <c:pt idx="68">
                  <c:v>-1.41446475612702E-2</c:v>
                </c:pt>
                <c:pt idx="69">
                  <c:v>-1.45778731967486E-2</c:v>
                </c:pt>
                <c:pt idx="70">
                  <c:v>-1.0999408032886E-2</c:v>
                </c:pt>
                <c:pt idx="71">
                  <c:v>-1.1771701605153E-2</c:v>
                </c:pt>
                <c:pt idx="72">
                  <c:v>-5.2697136775566996E-3</c:v>
                </c:pt>
                <c:pt idx="73">
                  <c:v>-9.4089197321507792E-3</c:v>
                </c:pt>
                <c:pt idx="74">
                  <c:v>-3.6782211061954602E-3</c:v>
                </c:pt>
                <c:pt idx="75">
                  <c:v>-2.1207235854832402E-3</c:v>
                </c:pt>
                <c:pt idx="76">
                  <c:v>-7.5185780789492904E-3</c:v>
                </c:pt>
                <c:pt idx="77">
                  <c:v>-8.8958414932990002E-4</c:v>
                </c:pt>
                <c:pt idx="78">
                  <c:v>-2.8695336419508801E-3</c:v>
                </c:pt>
                <c:pt idx="79">
                  <c:v>-2.29986258538182E-4</c:v>
                </c:pt>
                <c:pt idx="80">
                  <c:v>3.1008654240048698E-3</c:v>
                </c:pt>
                <c:pt idx="81">
                  <c:v>-4.3199141904533399E-3</c:v>
                </c:pt>
                <c:pt idx="82">
                  <c:v>-1.10756230089301E-3</c:v>
                </c:pt>
                <c:pt idx="83">
                  <c:v>2.0890687027906498E-3</c:v>
                </c:pt>
                <c:pt idx="84">
                  <c:v>-1.4637173208819801E-3</c:v>
                </c:pt>
                <c:pt idx="85">
                  <c:v>2.11315612392301E-3</c:v>
                </c:pt>
                <c:pt idx="86">
                  <c:v>9.6404669421147997E-3</c:v>
                </c:pt>
                <c:pt idx="87">
                  <c:v>-1.9509125868268201E-4</c:v>
                </c:pt>
                <c:pt idx="88">
                  <c:v>-7.1815687713018095E-4</c:v>
                </c:pt>
                <c:pt idx="89">
                  <c:v>-4.3262352351259104E-3</c:v>
                </c:pt>
                <c:pt idx="90">
                  <c:v>-2.6035499229415601E-3</c:v>
                </c:pt>
                <c:pt idx="91">
                  <c:v>-2.5025138372892501E-3</c:v>
                </c:pt>
                <c:pt idx="92">
                  <c:v>-1.6108028326586501E-3</c:v>
                </c:pt>
                <c:pt idx="93">
                  <c:v>-7.0727302046500297E-3</c:v>
                </c:pt>
                <c:pt idx="94">
                  <c:v>-3.7069805063825001E-3</c:v>
                </c:pt>
                <c:pt idx="95">
                  <c:v>-9.5149608899096905E-3</c:v>
                </c:pt>
                <c:pt idx="96">
                  <c:v>-4.11921129407014E-3</c:v>
                </c:pt>
                <c:pt idx="97">
                  <c:v>-1.2940696978789099E-3</c:v>
                </c:pt>
                <c:pt idx="98">
                  <c:v>-4.2840725447464796E-3</c:v>
                </c:pt>
                <c:pt idx="99">
                  <c:v>5.0389568753512401E-3</c:v>
                </c:pt>
                <c:pt idx="100">
                  <c:v>1.4278292036462001E-4</c:v>
                </c:pt>
                <c:pt idx="101">
                  <c:v>-4.8678098631418903E-3</c:v>
                </c:pt>
                <c:pt idx="102">
                  <c:v>1.5349625704375099E-3</c:v>
                </c:pt>
                <c:pt idx="103">
                  <c:v>-4.8075378910747398E-3</c:v>
                </c:pt>
                <c:pt idx="104">
                  <c:v>-2.1305023117672E-3</c:v>
                </c:pt>
                <c:pt idx="105">
                  <c:v>-2.1470503850353501E-4</c:v>
                </c:pt>
                <c:pt idx="106">
                  <c:v>-2.6788904488772099E-3</c:v>
                </c:pt>
                <c:pt idx="107">
                  <c:v>-3.33505203843832E-3</c:v>
                </c:pt>
                <c:pt idx="108">
                  <c:v>-3.6815941271853198E-3</c:v>
                </c:pt>
                <c:pt idx="109">
                  <c:v>1.1090138487835201E-3</c:v>
                </c:pt>
                <c:pt idx="110">
                  <c:v>-1.6143782065957101E-4</c:v>
                </c:pt>
                <c:pt idx="111">
                  <c:v>-1.4268302914357601E-3</c:v>
                </c:pt>
                <c:pt idx="112">
                  <c:v>-9.06568410525847E-4</c:v>
                </c:pt>
                <c:pt idx="113">
                  <c:v>2.6960426180451698E-3</c:v>
                </c:pt>
                <c:pt idx="114">
                  <c:v>-1.49061338303108E-3</c:v>
                </c:pt>
                <c:pt idx="115">
                  <c:v>4.4818232773185798E-3</c:v>
                </c:pt>
                <c:pt idx="116">
                  <c:v>3.7207796716708301E-3</c:v>
                </c:pt>
                <c:pt idx="117">
                  <c:v>4.7841941136561299E-3</c:v>
                </c:pt>
                <c:pt idx="118">
                  <c:v>-2.9830545439409901E-3</c:v>
                </c:pt>
                <c:pt idx="119">
                  <c:v>7.7938649782890296E-4</c:v>
                </c:pt>
                <c:pt idx="120">
                  <c:v>-4.5088816682516096E-3</c:v>
                </c:pt>
                <c:pt idx="121">
                  <c:v>1.7162864028935401E-4</c:v>
                </c:pt>
                <c:pt idx="122">
                  <c:v>-1.9066287714972999E-3</c:v>
                </c:pt>
                <c:pt idx="123">
                  <c:v>1.97885308593605E-3</c:v>
                </c:pt>
                <c:pt idx="124">
                  <c:v>5.2277372632142903E-4</c:v>
                </c:pt>
                <c:pt idx="125">
                  <c:v>-1.8249301691896701E-3</c:v>
                </c:pt>
                <c:pt idx="126">
                  <c:v>-1.57196279337283E-3</c:v>
                </c:pt>
                <c:pt idx="127">
                  <c:v>2.5141779667564599E-3</c:v>
                </c:pt>
                <c:pt idx="128">
                  <c:v>-1.71595125429889E-3</c:v>
                </c:pt>
                <c:pt idx="129">
                  <c:v>-1.3025066447264499E-3</c:v>
                </c:pt>
                <c:pt idx="130">
                  <c:v>-1.69945985652249E-3</c:v>
                </c:pt>
                <c:pt idx="131">
                  <c:v>-3.5459512282091702E-3</c:v>
                </c:pt>
                <c:pt idx="132">
                  <c:v>7.5664427096242405E-4</c:v>
                </c:pt>
                <c:pt idx="133">
                  <c:v>-2.3484504033904302E-3</c:v>
                </c:pt>
                <c:pt idx="134">
                  <c:v>-8.0740828142859703E-4</c:v>
                </c:pt>
                <c:pt idx="135">
                  <c:v>-2.6866032787838902E-3</c:v>
                </c:pt>
                <c:pt idx="136">
                  <c:v>-3.58469213475316E-3</c:v>
                </c:pt>
                <c:pt idx="137">
                  <c:v>-1.3934434905810401E-3</c:v>
                </c:pt>
                <c:pt idx="138">
                  <c:v>-3.1229643022734599E-3</c:v>
                </c:pt>
                <c:pt idx="139">
                  <c:v>1.91884848728946E-4</c:v>
                </c:pt>
                <c:pt idx="140">
                  <c:v>4.6085520236337598E-4</c:v>
                </c:pt>
                <c:pt idx="141">
                  <c:v>-2.7625307462372998E-3</c:v>
                </c:pt>
                <c:pt idx="142">
                  <c:v>4.6219255967969502E-3</c:v>
                </c:pt>
                <c:pt idx="143">
                  <c:v>3.64032596013344E-3</c:v>
                </c:pt>
                <c:pt idx="144">
                  <c:v>-1.96353646755337E-4</c:v>
                </c:pt>
                <c:pt idx="145">
                  <c:v>1.1366426149518299E-3</c:v>
                </c:pt>
                <c:pt idx="146">
                  <c:v>-1.73848324058849E-3</c:v>
                </c:pt>
                <c:pt idx="147">
                  <c:v>-3.8237936836260102E-3</c:v>
                </c:pt>
                <c:pt idx="148">
                  <c:v>-1.64398056067366E-3</c:v>
                </c:pt>
                <c:pt idx="149">
                  <c:v>-4.1009620287437402E-4</c:v>
                </c:pt>
                <c:pt idx="150">
                  <c:v>1.1942641694765101E-3</c:v>
                </c:pt>
                <c:pt idx="151">
                  <c:v>-4.3241975689899603E-3</c:v>
                </c:pt>
                <c:pt idx="152">
                  <c:v>1.3828197297502201E-3</c:v>
                </c:pt>
                <c:pt idx="153">
                  <c:v>1.7787136794698499E-4</c:v>
                </c:pt>
                <c:pt idx="154">
                  <c:v>-2.6134960554902199E-3</c:v>
                </c:pt>
                <c:pt idx="155">
                  <c:v>8.0532514922521396E-4</c:v>
                </c:pt>
                <c:pt idx="156">
                  <c:v>-2.4792183451439499E-3</c:v>
                </c:pt>
                <c:pt idx="157">
                  <c:v>-3.0352608084686702E-3</c:v>
                </c:pt>
                <c:pt idx="158">
                  <c:v>-7.3570785405908002E-4</c:v>
                </c:pt>
                <c:pt idx="159">
                  <c:v>-1.7349365071187099E-3</c:v>
                </c:pt>
                <c:pt idx="160">
                  <c:v>-3.44145488555092E-3</c:v>
                </c:pt>
                <c:pt idx="161">
                  <c:v>-1.1424478380355999E-3</c:v>
                </c:pt>
                <c:pt idx="162">
                  <c:v>-1.28305855887234E-3</c:v>
                </c:pt>
                <c:pt idx="163">
                  <c:v>9.3211338850663597E-4</c:v>
                </c:pt>
                <c:pt idx="164">
                  <c:v>-2.43360041746989E-3</c:v>
                </c:pt>
                <c:pt idx="165">
                  <c:v>3.8989223497631698E-3</c:v>
                </c:pt>
                <c:pt idx="166">
                  <c:v>-1.93107902463175E-3</c:v>
                </c:pt>
                <c:pt idx="167">
                  <c:v>-1.01102052454515E-3</c:v>
                </c:pt>
                <c:pt idx="168">
                  <c:v>9.4333739672668203E-4</c:v>
                </c:pt>
                <c:pt idx="169">
                  <c:v>-1.33754644010321E-3</c:v>
                </c:pt>
                <c:pt idx="170">
                  <c:v>-7.82557947090017E-4</c:v>
                </c:pt>
                <c:pt idx="171">
                  <c:v>2.33902147165446E-3</c:v>
                </c:pt>
                <c:pt idx="172">
                  <c:v>-9.4203923764545603E-4</c:v>
                </c:pt>
                <c:pt idx="173">
                  <c:v>-1.2556270704917501E-3</c:v>
                </c:pt>
                <c:pt idx="174">
                  <c:v>-1.3159385024578199E-3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82-4E70-9550-32FC2ECC7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1.1978065213149296E-2</c:v>
                </c:pt>
                <c:pt idx="2">
                  <c:v>1.1978065213149296E-2</c:v>
                </c:pt>
                <c:pt idx="3">
                  <c:v>2.2566737362532729E-2</c:v>
                </c:pt>
                <c:pt idx="4">
                  <c:v>8.82562513399009E-3</c:v>
                </c:pt>
                <c:pt idx="5">
                  <c:v>1.1886089926387362E-2</c:v>
                </c:pt>
                <c:pt idx="6">
                  <c:v>1.5140709814113164E-2</c:v>
                </c:pt>
                <c:pt idx="7">
                  <c:v>1.8240695248542563E-2</c:v>
                </c:pt>
                <c:pt idx="8">
                  <c:v>1.9685873608663033E-2</c:v>
                </c:pt>
                <c:pt idx="9">
                  <c:v>1.9685873608663033E-2</c:v>
                </c:pt>
                <c:pt idx="10">
                  <c:v>1.5070994758975973E-2</c:v>
                </c:pt>
                <c:pt idx="11">
                  <c:v>1.8336195778077255E-2</c:v>
                </c:pt>
                <c:pt idx="12">
                  <c:v>1.8345881706386458E-2</c:v>
                </c:pt>
                <c:pt idx="13">
                  <c:v>2.1453720162617908E-2</c:v>
                </c:pt>
                <c:pt idx="14">
                  <c:v>2.1453720162617908E-2</c:v>
                </c:pt>
                <c:pt idx="15">
                  <c:v>2.1453720162617908E-2</c:v>
                </c:pt>
                <c:pt idx="16">
                  <c:v>2.1453720162617908E-2</c:v>
                </c:pt>
                <c:pt idx="17">
                  <c:v>2.1493484481554508E-2</c:v>
                </c:pt>
                <c:pt idx="18">
                  <c:v>2.8952081107203306E-2</c:v>
                </c:pt>
                <c:pt idx="19">
                  <c:v>2.8952081107203306E-2</c:v>
                </c:pt>
                <c:pt idx="20">
                  <c:v>3.371336290091731E-2</c:v>
                </c:pt>
                <c:pt idx="21">
                  <c:v>2.7233317861812011E-2</c:v>
                </c:pt>
                <c:pt idx="22">
                  <c:v>2.7966053059120213E-2</c:v>
                </c:pt>
                <c:pt idx="23">
                  <c:v>2.8252685941926911E-2</c:v>
                </c:pt>
                <c:pt idx="24">
                  <c:v>2.8081507332065311E-2</c:v>
                </c:pt>
                <c:pt idx="25">
                  <c:v>2.908544581366751E-2</c:v>
                </c:pt>
                <c:pt idx="26">
                  <c:v>2.6452381516485709E-2</c:v>
                </c:pt>
                <c:pt idx="27">
                  <c:v>2.1590938099672104E-2</c:v>
                </c:pt>
                <c:pt idx="28">
                  <c:v>2.2813377029056003E-2</c:v>
                </c:pt>
                <c:pt idx="29">
                  <c:v>2.6189095815325292E-2</c:v>
                </c:pt>
                <c:pt idx="30">
                  <c:v>3.6165604504823742E-2</c:v>
                </c:pt>
                <c:pt idx="31">
                  <c:v>3.6165604504823742E-2</c:v>
                </c:pt>
                <c:pt idx="32">
                  <c:v>3.6165604504823742E-2</c:v>
                </c:pt>
                <c:pt idx="33">
                  <c:v>2.5124936202480741E-2</c:v>
                </c:pt>
                <c:pt idx="34">
                  <c:v>2.717948291591004E-2</c:v>
                </c:pt>
                <c:pt idx="35">
                  <c:v>2.17644958676881E-2</c:v>
                </c:pt>
                <c:pt idx="36">
                  <c:v>1.9592437447476137E-2</c:v>
                </c:pt>
                <c:pt idx="37">
                  <c:v>2.1716453288980538E-2</c:v>
                </c:pt>
                <c:pt idx="38">
                  <c:v>2.2733992937356916E-2</c:v>
                </c:pt>
                <c:pt idx="39">
                  <c:v>1.3292946056370512E-2</c:v>
                </c:pt>
                <c:pt idx="40">
                  <c:v>8.6435675696061101E-3</c:v>
                </c:pt>
                <c:pt idx="41">
                  <c:v>2.5466083581709101E-3</c:v>
                </c:pt>
                <c:pt idx="42">
                  <c:v>2.2302889193824092E-3</c:v>
                </c:pt>
                <c:pt idx="43">
                  <c:v>1.2259859685801074E-4</c:v>
                </c:pt>
                <c:pt idx="44">
                  <c:v>5.6123258150177161E-3</c:v>
                </c:pt>
                <c:pt idx="45">
                  <c:v>-1.7394446826480888E-3</c:v>
                </c:pt>
                <c:pt idx="46">
                  <c:v>4.8762411844876109E-4</c:v>
                </c:pt>
                <c:pt idx="47">
                  <c:v>3.5890718642091687E-3</c:v>
                </c:pt>
                <c:pt idx="48">
                  <c:v>4.0277604034414487E-3</c:v>
                </c:pt>
                <c:pt idx="49">
                  <c:v>2.1297218326701197E-3</c:v>
                </c:pt>
                <c:pt idx="50">
                  <c:v>3.9840107218764203E-3</c:v>
                </c:pt>
                <c:pt idx="51">
                  <c:v>1.0994202458847503E-3</c:v>
                </c:pt>
                <c:pt idx="52">
                  <c:v>5.684499109775653E-3</c:v>
                </c:pt>
                <c:pt idx="53">
                  <c:v>3.7437358195053019E-5</c:v>
                </c:pt>
                <c:pt idx="54">
                  <c:v>4.5184355453223926E-3</c:v>
                </c:pt>
                <c:pt idx="55">
                  <c:v>4.9521257161018626E-3</c:v>
                </c:pt>
                <c:pt idx="56">
                  <c:v>-1.2807412983482074E-3</c:v>
                </c:pt>
                <c:pt idx="57">
                  <c:v>4.3081568595778226E-3</c:v>
                </c:pt>
                <c:pt idx="58">
                  <c:v>4.3081568595778226E-3</c:v>
                </c:pt>
                <c:pt idx="59">
                  <c:v>4.3081568595778226E-3</c:v>
                </c:pt>
                <c:pt idx="60">
                  <c:v>4.3081568595778226E-3</c:v>
                </c:pt>
                <c:pt idx="61">
                  <c:v>4.3081568595778226E-3</c:v>
                </c:pt>
                <c:pt idx="62">
                  <c:v>7.3083505134600227E-3</c:v>
                </c:pt>
                <c:pt idx="63">
                  <c:v>7.3083505134600227E-3</c:v>
                </c:pt>
                <c:pt idx="64">
                  <c:v>7.3083505134600227E-3</c:v>
                </c:pt>
                <c:pt idx="65">
                  <c:v>7.3083505134600227E-3</c:v>
                </c:pt>
                <c:pt idx="66">
                  <c:v>7.3083505134600227E-3</c:v>
                </c:pt>
                <c:pt idx="67">
                  <c:v>7.3083505134600227E-3</c:v>
                </c:pt>
                <c:pt idx="68">
                  <c:v>7.3083505134600227E-3</c:v>
                </c:pt>
                <c:pt idx="69">
                  <c:v>7.3083505134600227E-3</c:v>
                </c:pt>
                <c:pt idx="70">
                  <c:v>8.8661662596746221E-3</c:v>
                </c:pt>
                <c:pt idx="71">
                  <c:v>8.7878077704794319E-3</c:v>
                </c:pt>
                <c:pt idx="72">
                  <c:v>9.6404835941862332E-3</c:v>
                </c:pt>
                <c:pt idx="73">
                  <c:v>9.6404835941862332E-3</c:v>
                </c:pt>
                <c:pt idx="74">
                  <c:v>1.2777577780378314E-2</c:v>
                </c:pt>
                <c:pt idx="75">
                  <c:v>6.6746342719579185E-3</c:v>
                </c:pt>
                <c:pt idx="76">
                  <c:v>1.1446906258287017E-2</c:v>
                </c:pt>
                <c:pt idx="77">
                  <c:v>1.4200449914414697E-2</c:v>
                </c:pt>
                <c:pt idx="78">
                  <c:v>1.4200449914414697E-2</c:v>
                </c:pt>
                <c:pt idx="79">
                  <c:v>2.3291939735535627E-2</c:v>
                </c:pt>
                <c:pt idx="80">
                  <c:v>2.3291939735535627E-2</c:v>
                </c:pt>
                <c:pt idx="81">
                  <c:v>2.3291939735535627E-2</c:v>
                </c:pt>
                <c:pt idx="82">
                  <c:v>2.9575530410013807E-2</c:v>
                </c:pt>
                <c:pt idx="83">
                  <c:v>2.9575530410013807E-2</c:v>
                </c:pt>
                <c:pt idx="84">
                  <c:v>3.1825452896480207E-2</c:v>
                </c:pt>
                <c:pt idx="85">
                  <c:v>3.3593472893022502E-2</c:v>
                </c:pt>
                <c:pt idx="86">
                  <c:v>3.3593472893022502E-2</c:v>
                </c:pt>
                <c:pt idx="87">
                  <c:v>3.3593472893022502E-2</c:v>
                </c:pt>
                <c:pt idx="88">
                  <c:v>3.3593472893022502E-2</c:v>
                </c:pt>
                <c:pt idx="89">
                  <c:v>3.3593472893022502E-2</c:v>
                </c:pt>
                <c:pt idx="90">
                  <c:v>3.3593472893022502E-2</c:v>
                </c:pt>
                <c:pt idx="91">
                  <c:v>3.3593472893022502E-2</c:v>
                </c:pt>
                <c:pt idx="92">
                  <c:v>3.3593472893022502E-2</c:v>
                </c:pt>
                <c:pt idx="93">
                  <c:v>3.3593472893022502E-2</c:v>
                </c:pt>
                <c:pt idx="94">
                  <c:v>3.3593472893022502E-2</c:v>
                </c:pt>
                <c:pt idx="95">
                  <c:v>3.3593472893022502E-2</c:v>
                </c:pt>
                <c:pt idx="96">
                  <c:v>3.3593472893022502E-2</c:v>
                </c:pt>
                <c:pt idx="97">
                  <c:v>3.3593472893022502E-2</c:v>
                </c:pt>
                <c:pt idx="98">
                  <c:v>3.3593472893022502E-2</c:v>
                </c:pt>
                <c:pt idx="99">
                  <c:v>3.3593472893022502E-2</c:v>
                </c:pt>
                <c:pt idx="100">
                  <c:v>3.3593472893022502E-2</c:v>
                </c:pt>
                <c:pt idx="101">
                  <c:v>3.79293296794476E-2</c:v>
                </c:pt>
                <c:pt idx="102">
                  <c:v>3.79293296794476E-2</c:v>
                </c:pt>
                <c:pt idx="103">
                  <c:v>3.79293296794476E-2</c:v>
                </c:pt>
                <c:pt idx="104">
                  <c:v>3.79293296794476E-2</c:v>
                </c:pt>
                <c:pt idx="105">
                  <c:v>3.79293296794476E-2</c:v>
                </c:pt>
                <c:pt idx="106">
                  <c:v>3.79293296794476E-2</c:v>
                </c:pt>
                <c:pt idx="107">
                  <c:v>3.79293296794476E-2</c:v>
                </c:pt>
                <c:pt idx="108">
                  <c:v>3.79293296794476E-2</c:v>
                </c:pt>
                <c:pt idx="109">
                  <c:v>3.79293296794476E-2</c:v>
                </c:pt>
                <c:pt idx="110">
                  <c:v>3.79293296794476E-2</c:v>
                </c:pt>
                <c:pt idx="111">
                  <c:v>3.79293296794476E-2</c:v>
                </c:pt>
                <c:pt idx="112">
                  <c:v>3.79293296794476E-2</c:v>
                </c:pt>
                <c:pt idx="113">
                  <c:v>3.79293296794476E-2</c:v>
                </c:pt>
                <c:pt idx="114">
                  <c:v>3.79293296794476E-2</c:v>
                </c:pt>
                <c:pt idx="115">
                  <c:v>3.79293296794476E-2</c:v>
                </c:pt>
                <c:pt idx="116">
                  <c:v>3.79293296794476E-2</c:v>
                </c:pt>
                <c:pt idx="117">
                  <c:v>3.79293296794476E-2</c:v>
                </c:pt>
                <c:pt idx="118">
                  <c:v>3.79293296794476E-2</c:v>
                </c:pt>
                <c:pt idx="119">
                  <c:v>3.79293296794476E-2</c:v>
                </c:pt>
                <c:pt idx="120">
                  <c:v>3.79293296794476E-2</c:v>
                </c:pt>
                <c:pt idx="121">
                  <c:v>3.79293296794476E-2</c:v>
                </c:pt>
                <c:pt idx="122">
                  <c:v>3.79293296794476E-2</c:v>
                </c:pt>
                <c:pt idx="123">
                  <c:v>3.79293296794476E-2</c:v>
                </c:pt>
                <c:pt idx="124">
                  <c:v>3.79293296794476E-2</c:v>
                </c:pt>
                <c:pt idx="125">
                  <c:v>3.79293296794476E-2</c:v>
                </c:pt>
                <c:pt idx="126">
                  <c:v>3.79293296794476E-2</c:v>
                </c:pt>
                <c:pt idx="127">
                  <c:v>3.79293296794476E-2</c:v>
                </c:pt>
                <c:pt idx="128">
                  <c:v>3.79293296794476E-2</c:v>
                </c:pt>
                <c:pt idx="129">
                  <c:v>3.79293296794476E-2</c:v>
                </c:pt>
                <c:pt idx="130">
                  <c:v>3.79293296794476E-2</c:v>
                </c:pt>
                <c:pt idx="131">
                  <c:v>3.79293296794476E-2</c:v>
                </c:pt>
                <c:pt idx="132">
                  <c:v>4.3502793683705104E-2</c:v>
                </c:pt>
                <c:pt idx="133">
                  <c:v>4.3502793683705104E-2</c:v>
                </c:pt>
                <c:pt idx="134">
                  <c:v>4.3502793683705104E-2</c:v>
                </c:pt>
                <c:pt idx="135">
                  <c:v>4.3502793683705104E-2</c:v>
                </c:pt>
                <c:pt idx="136">
                  <c:v>4.3502793683705104E-2</c:v>
                </c:pt>
                <c:pt idx="137">
                  <c:v>4.3502793683705104E-2</c:v>
                </c:pt>
                <c:pt idx="138">
                  <c:v>4.3502793683705104E-2</c:v>
                </c:pt>
                <c:pt idx="139">
                  <c:v>4.3502793683705104E-2</c:v>
                </c:pt>
                <c:pt idx="140">
                  <c:v>4.3502793683705104E-2</c:v>
                </c:pt>
                <c:pt idx="141">
                  <c:v>4.3502793683705104E-2</c:v>
                </c:pt>
                <c:pt idx="142">
                  <c:v>4.3502793683705104E-2</c:v>
                </c:pt>
                <c:pt idx="143">
                  <c:v>4.3502793683705104E-2</c:v>
                </c:pt>
                <c:pt idx="144">
                  <c:v>4.3502793683705104E-2</c:v>
                </c:pt>
                <c:pt idx="145">
                  <c:v>4.3502793683705104E-2</c:v>
                </c:pt>
                <c:pt idx="146">
                  <c:v>4.3502793683705104E-2</c:v>
                </c:pt>
                <c:pt idx="147">
                  <c:v>4.3502793683705104E-2</c:v>
                </c:pt>
                <c:pt idx="148">
                  <c:v>4.3502793683705104E-2</c:v>
                </c:pt>
                <c:pt idx="149">
                  <c:v>4.3502793683705104E-2</c:v>
                </c:pt>
                <c:pt idx="150">
                  <c:v>4.3502793683705104E-2</c:v>
                </c:pt>
                <c:pt idx="151">
                  <c:v>4.3502793683705104E-2</c:v>
                </c:pt>
                <c:pt idx="152">
                  <c:v>4.3502793683705104E-2</c:v>
                </c:pt>
                <c:pt idx="153">
                  <c:v>4.3502793683705104E-2</c:v>
                </c:pt>
                <c:pt idx="154">
                  <c:v>4.3502793683705104E-2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5D-4D7C-A842-A7B1E6C53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3.9266424441250294E-3</c:v>
                </c:pt>
                <c:pt idx="16">
                  <c:v>3.9266424441250294E-3</c:v>
                </c:pt>
                <c:pt idx="17">
                  <c:v>3.9266424441250294E-3</c:v>
                </c:pt>
                <c:pt idx="18">
                  <c:v>3.9266424441250294E-3</c:v>
                </c:pt>
                <c:pt idx="19">
                  <c:v>3.9266424441250294E-3</c:v>
                </c:pt>
                <c:pt idx="20">
                  <c:v>3.9266424441250294E-3</c:v>
                </c:pt>
                <c:pt idx="21">
                  <c:v>3.9266424441250294E-3</c:v>
                </c:pt>
                <c:pt idx="22">
                  <c:v>3.9266424441250294E-3</c:v>
                </c:pt>
                <c:pt idx="23">
                  <c:v>3.9266424441250294E-3</c:v>
                </c:pt>
                <c:pt idx="24">
                  <c:v>3.9266424441250294E-3</c:v>
                </c:pt>
                <c:pt idx="25">
                  <c:v>3.9266424441250294E-3</c:v>
                </c:pt>
                <c:pt idx="26">
                  <c:v>3.9266424441250294E-3</c:v>
                </c:pt>
                <c:pt idx="27">
                  <c:v>3.9266424441250294E-3</c:v>
                </c:pt>
                <c:pt idx="28">
                  <c:v>3.9266424441250294E-3</c:v>
                </c:pt>
                <c:pt idx="29">
                  <c:v>3.9266424441250294E-3</c:v>
                </c:pt>
                <c:pt idx="30">
                  <c:v>3.9266424441250294E-3</c:v>
                </c:pt>
                <c:pt idx="31">
                  <c:v>1.0875409967608329E-2</c:v>
                </c:pt>
                <c:pt idx="32">
                  <c:v>1.0875409967608329E-2</c:v>
                </c:pt>
                <c:pt idx="33">
                  <c:v>1.0875409967608329E-2</c:v>
                </c:pt>
                <c:pt idx="34">
                  <c:v>1.0875409967608329E-2</c:v>
                </c:pt>
                <c:pt idx="35">
                  <c:v>1.0875409967608329E-2</c:v>
                </c:pt>
                <c:pt idx="36">
                  <c:v>1.0875409967608329E-2</c:v>
                </c:pt>
                <c:pt idx="37">
                  <c:v>1.0875409967608329E-2</c:v>
                </c:pt>
                <c:pt idx="38">
                  <c:v>1.0875409967608329E-2</c:v>
                </c:pt>
                <c:pt idx="39">
                  <c:v>1.0875409967608329E-2</c:v>
                </c:pt>
                <c:pt idx="40">
                  <c:v>1.0875409967608329E-2</c:v>
                </c:pt>
                <c:pt idx="41">
                  <c:v>1.0875409967608329E-2</c:v>
                </c:pt>
                <c:pt idx="42">
                  <c:v>1.0875409967608329E-2</c:v>
                </c:pt>
                <c:pt idx="43">
                  <c:v>1.0875409967608329E-2</c:v>
                </c:pt>
                <c:pt idx="44">
                  <c:v>1.0875409967608329E-2</c:v>
                </c:pt>
                <c:pt idx="45">
                  <c:v>1.0875409967608329E-2</c:v>
                </c:pt>
                <c:pt idx="46">
                  <c:v>1.0875409967608329E-2</c:v>
                </c:pt>
                <c:pt idx="47">
                  <c:v>1.0875409967608329E-2</c:v>
                </c:pt>
                <c:pt idx="48">
                  <c:v>1.0875409967608329E-2</c:v>
                </c:pt>
                <c:pt idx="49">
                  <c:v>1.0875409967608329E-2</c:v>
                </c:pt>
                <c:pt idx="50">
                  <c:v>1.0875409967608329E-2</c:v>
                </c:pt>
                <c:pt idx="51">
                  <c:v>1.0875409967608329E-2</c:v>
                </c:pt>
                <c:pt idx="52">
                  <c:v>1.0875409967608329E-2</c:v>
                </c:pt>
                <c:pt idx="53">
                  <c:v>1.0875409967608329E-2</c:v>
                </c:pt>
                <c:pt idx="54">
                  <c:v>1.0875409967608329E-2</c:v>
                </c:pt>
                <c:pt idx="55">
                  <c:v>1.0875409967608329E-2</c:v>
                </c:pt>
                <c:pt idx="56">
                  <c:v>1.0875409967608329E-2</c:v>
                </c:pt>
                <c:pt idx="57">
                  <c:v>1.0875409967608329E-2</c:v>
                </c:pt>
                <c:pt idx="58">
                  <c:v>1.0875409967608329E-2</c:v>
                </c:pt>
                <c:pt idx="59">
                  <c:v>1.0875409967608329E-2</c:v>
                </c:pt>
                <c:pt idx="60">
                  <c:v>1.0875409967608329E-2</c:v>
                </c:pt>
                <c:pt idx="61">
                  <c:v>1.0875409967608329E-2</c:v>
                </c:pt>
                <c:pt idx="62">
                  <c:v>1.0875409967608329E-2</c:v>
                </c:pt>
                <c:pt idx="63">
                  <c:v>1.0875409967608329E-2</c:v>
                </c:pt>
                <c:pt idx="64">
                  <c:v>1.0875409967608329E-2</c:v>
                </c:pt>
                <c:pt idx="65">
                  <c:v>1.0875409967608329E-2</c:v>
                </c:pt>
                <c:pt idx="66">
                  <c:v>1.0875409967608329E-2</c:v>
                </c:pt>
                <c:pt idx="67">
                  <c:v>2.0121420406281086E-2</c:v>
                </c:pt>
                <c:pt idx="68">
                  <c:v>2.0121420406281086E-2</c:v>
                </c:pt>
                <c:pt idx="69">
                  <c:v>2.0121420406281086E-2</c:v>
                </c:pt>
                <c:pt idx="70">
                  <c:v>2.0121420406281086E-2</c:v>
                </c:pt>
                <c:pt idx="71">
                  <c:v>2.0121420406281086E-2</c:v>
                </c:pt>
                <c:pt idx="72">
                  <c:v>2.0121420406281086E-2</c:v>
                </c:pt>
                <c:pt idx="73">
                  <c:v>2.0121420406281086E-2</c:v>
                </c:pt>
                <c:pt idx="74">
                  <c:v>2.0121420406281086E-2</c:v>
                </c:pt>
                <c:pt idx="75">
                  <c:v>2.0121420406281086E-2</c:v>
                </c:pt>
                <c:pt idx="76">
                  <c:v>2.0121420406281086E-2</c:v>
                </c:pt>
                <c:pt idx="77">
                  <c:v>2.0121420406281086E-2</c:v>
                </c:pt>
                <c:pt idx="78">
                  <c:v>2.0121420406281086E-2</c:v>
                </c:pt>
                <c:pt idx="79">
                  <c:v>2.0121420406281086E-2</c:v>
                </c:pt>
                <c:pt idx="80">
                  <c:v>2.4873879889465645E-2</c:v>
                </c:pt>
                <c:pt idx="81">
                  <c:v>2.4873879889465645E-2</c:v>
                </c:pt>
                <c:pt idx="82">
                  <c:v>2.4873879889465645E-2</c:v>
                </c:pt>
                <c:pt idx="83">
                  <c:v>2.4873879889465645E-2</c:v>
                </c:pt>
                <c:pt idx="84">
                  <c:v>2.4873879889465645E-2</c:v>
                </c:pt>
                <c:pt idx="85">
                  <c:v>2.4873879889465645E-2</c:v>
                </c:pt>
                <c:pt idx="86">
                  <c:v>2.4873879889465645E-2</c:v>
                </c:pt>
                <c:pt idx="87">
                  <c:v>2.4873879889465645E-2</c:v>
                </c:pt>
                <c:pt idx="88">
                  <c:v>2.4873879889465645E-2</c:v>
                </c:pt>
                <c:pt idx="89">
                  <c:v>2.4873879889465645E-2</c:v>
                </c:pt>
                <c:pt idx="90">
                  <c:v>2.4873879889465645E-2</c:v>
                </c:pt>
                <c:pt idx="91">
                  <c:v>2.4873879889465645E-2</c:v>
                </c:pt>
                <c:pt idx="92">
                  <c:v>2.4873879889465645E-2</c:v>
                </c:pt>
                <c:pt idx="93">
                  <c:v>2.4873879889465645E-2</c:v>
                </c:pt>
                <c:pt idx="94">
                  <c:v>2.4873879889465645E-2</c:v>
                </c:pt>
                <c:pt idx="95">
                  <c:v>2.4873879889465645E-2</c:v>
                </c:pt>
                <c:pt idx="96">
                  <c:v>2.5126837997072146E-2</c:v>
                </c:pt>
                <c:pt idx="97">
                  <c:v>2.3807296148784646E-2</c:v>
                </c:pt>
                <c:pt idx="98">
                  <c:v>3.1390378760507237E-2</c:v>
                </c:pt>
                <c:pt idx="99">
                  <c:v>3.1390378760507237E-2</c:v>
                </c:pt>
                <c:pt idx="100">
                  <c:v>3.1390378760507237E-2</c:v>
                </c:pt>
                <c:pt idx="101">
                  <c:v>3.1390378760507237E-2</c:v>
                </c:pt>
                <c:pt idx="102">
                  <c:v>3.1390378760507237E-2</c:v>
                </c:pt>
                <c:pt idx="103">
                  <c:v>3.1390378760507237E-2</c:v>
                </c:pt>
                <c:pt idx="104">
                  <c:v>3.1390378760507237E-2</c:v>
                </c:pt>
                <c:pt idx="105">
                  <c:v>3.1390378760507237E-2</c:v>
                </c:pt>
                <c:pt idx="106">
                  <c:v>3.1390378760507237E-2</c:v>
                </c:pt>
                <c:pt idx="107">
                  <c:v>3.1390378760507237E-2</c:v>
                </c:pt>
                <c:pt idx="108">
                  <c:v>3.1390378760507237E-2</c:v>
                </c:pt>
                <c:pt idx="109">
                  <c:v>3.1390378760507237E-2</c:v>
                </c:pt>
                <c:pt idx="110">
                  <c:v>3.1390378760507237E-2</c:v>
                </c:pt>
                <c:pt idx="111">
                  <c:v>3.1390378760507237E-2</c:v>
                </c:pt>
                <c:pt idx="112">
                  <c:v>3.1390378760507237E-2</c:v>
                </c:pt>
                <c:pt idx="113">
                  <c:v>3.1390378760507237E-2</c:v>
                </c:pt>
                <c:pt idx="114">
                  <c:v>3.1390378760507237E-2</c:v>
                </c:pt>
                <c:pt idx="115">
                  <c:v>3.1390378760507237E-2</c:v>
                </c:pt>
                <c:pt idx="116">
                  <c:v>3.1390378760507237E-2</c:v>
                </c:pt>
                <c:pt idx="117">
                  <c:v>3.1390378760507237E-2</c:v>
                </c:pt>
                <c:pt idx="118">
                  <c:v>3.1390378760507237E-2</c:v>
                </c:pt>
                <c:pt idx="119">
                  <c:v>3.1390378760507237E-2</c:v>
                </c:pt>
                <c:pt idx="120">
                  <c:v>3.1390378760507237E-2</c:v>
                </c:pt>
                <c:pt idx="121">
                  <c:v>3.1390378760507237E-2</c:v>
                </c:pt>
                <c:pt idx="122">
                  <c:v>3.1390378760507237E-2</c:v>
                </c:pt>
                <c:pt idx="123">
                  <c:v>3.2126602200067758E-2</c:v>
                </c:pt>
                <c:pt idx="124">
                  <c:v>3.5934765102103056E-2</c:v>
                </c:pt>
                <c:pt idx="125">
                  <c:v>3.5934765102103056E-2</c:v>
                </c:pt>
                <c:pt idx="126">
                  <c:v>3.5934765102103056E-2</c:v>
                </c:pt>
                <c:pt idx="127">
                  <c:v>3.5934765102103056E-2</c:v>
                </c:pt>
                <c:pt idx="128">
                  <c:v>3.5934765102103056E-2</c:v>
                </c:pt>
                <c:pt idx="129">
                  <c:v>3.5934765102103056E-2</c:v>
                </c:pt>
                <c:pt idx="130">
                  <c:v>3.5934765102103056E-2</c:v>
                </c:pt>
                <c:pt idx="131">
                  <c:v>3.5934765102103056E-2</c:v>
                </c:pt>
                <c:pt idx="132">
                  <c:v>3.5934765102103056E-2</c:v>
                </c:pt>
                <c:pt idx="133">
                  <c:v>3.5934765102103056E-2</c:v>
                </c:pt>
                <c:pt idx="134">
                  <c:v>3.5934765102103056E-2</c:v>
                </c:pt>
                <c:pt idx="135">
                  <c:v>3.5934765102103056E-2</c:v>
                </c:pt>
                <c:pt idx="136">
                  <c:v>3.5934765102103056E-2</c:v>
                </c:pt>
                <c:pt idx="137">
                  <c:v>3.5934765102103056E-2</c:v>
                </c:pt>
                <c:pt idx="138">
                  <c:v>3.5934765102103056E-2</c:v>
                </c:pt>
                <c:pt idx="139">
                  <c:v>3.5934765102103056E-2</c:v>
                </c:pt>
                <c:pt idx="140">
                  <c:v>3.5934765102103056E-2</c:v>
                </c:pt>
                <c:pt idx="141">
                  <c:v>3.5934765102103056E-2</c:v>
                </c:pt>
                <c:pt idx="142">
                  <c:v>3.5934765102103056E-2</c:v>
                </c:pt>
                <c:pt idx="143">
                  <c:v>3.5934765102103056E-2</c:v>
                </c:pt>
                <c:pt idx="144">
                  <c:v>3.5934765102103056E-2</c:v>
                </c:pt>
                <c:pt idx="145">
                  <c:v>3.5934765102103056E-2</c:v>
                </c:pt>
                <c:pt idx="146">
                  <c:v>3.5934765102103056E-2</c:v>
                </c:pt>
                <c:pt idx="147">
                  <c:v>3.5934765102103056E-2</c:v>
                </c:pt>
                <c:pt idx="148">
                  <c:v>3.5934765102103056E-2</c:v>
                </c:pt>
                <c:pt idx="149">
                  <c:v>3.5934765102103056E-2</c:v>
                </c:pt>
                <c:pt idx="150">
                  <c:v>3.5934765102103056E-2</c:v>
                </c:pt>
                <c:pt idx="151">
                  <c:v>3.5934765102103056E-2</c:v>
                </c:pt>
                <c:pt idx="152">
                  <c:v>3.5934765102103056E-2</c:v>
                </c:pt>
                <c:pt idx="153">
                  <c:v>3.5934765102103056E-2</c:v>
                </c:pt>
                <c:pt idx="154">
                  <c:v>3.5934765102103056E-2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C-4B45-A7C3-388E3BFB3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1.1978065213149296E-2</c:v>
                </c:pt>
                <c:pt idx="2">
                  <c:v>1.1978065213149296E-2</c:v>
                </c:pt>
                <c:pt idx="3">
                  <c:v>2.2566737362532729E-2</c:v>
                </c:pt>
                <c:pt idx="4">
                  <c:v>8.82562513399009E-3</c:v>
                </c:pt>
                <c:pt idx="5">
                  <c:v>1.1886089926387362E-2</c:v>
                </c:pt>
                <c:pt idx="6">
                  <c:v>1.5140709814113164E-2</c:v>
                </c:pt>
                <c:pt idx="7">
                  <c:v>1.8240695248542563E-2</c:v>
                </c:pt>
                <c:pt idx="8">
                  <c:v>1.9685873608663033E-2</c:v>
                </c:pt>
                <c:pt idx="9">
                  <c:v>1.9685873608663033E-2</c:v>
                </c:pt>
                <c:pt idx="10">
                  <c:v>1.5070994758975973E-2</c:v>
                </c:pt>
                <c:pt idx="11">
                  <c:v>1.8336195778077255E-2</c:v>
                </c:pt>
                <c:pt idx="12">
                  <c:v>1.8345881706386458E-2</c:v>
                </c:pt>
                <c:pt idx="13">
                  <c:v>2.1453720162617908E-2</c:v>
                </c:pt>
                <c:pt idx="14">
                  <c:v>2.1453720162617908E-2</c:v>
                </c:pt>
                <c:pt idx="15">
                  <c:v>2.5380362606742937E-2</c:v>
                </c:pt>
                <c:pt idx="16">
                  <c:v>2.5380362606742937E-2</c:v>
                </c:pt>
                <c:pt idx="17">
                  <c:v>2.5420126925679538E-2</c:v>
                </c:pt>
                <c:pt idx="18">
                  <c:v>3.2878723551328336E-2</c:v>
                </c:pt>
                <c:pt idx="19">
                  <c:v>3.2878723551328336E-2</c:v>
                </c:pt>
                <c:pt idx="20">
                  <c:v>3.7640005345042332E-2</c:v>
                </c:pt>
                <c:pt idx="21">
                  <c:v>3.1159960305937033E-2</c:v>
                </c:pt>
                <c:pt idx="22">
                  <c:v>3.1892695503245236E-2</c:v>
                </c:pt>
                <c:pt idx="23">
                  <c:v>3.2179328386051934E-2</c:v>
                </c:pt>
                <c:pt idx="24">
                  <c:v>3.2008149776190334E-2</c:v>
                </c:pt>
                <c:pt idx="25">
                  <c:v>3.3012088257792532E-2</c:v>
                </c:pt>
                <c:pt idx="26">
                  <c:v>3.0379023960610731E-2</c:v>
                </c:pt>
                <c:pt idx="27">
                  <c:v>2.5517580543797127E-2</c:v>
                </c:pt>
                <c:pt idx="28">
                  <c:v>2.6740019473181026E-2</c:v>
                </c:pt>
                <c:pt idx="29">
                  <c:v>3.0115738259450315E-2</c:v>
                </c:pt>
                <c:pt idx="30">
                  <c:v>4.0092246948948765E-2</c:v>
                </c:pt>
                <c:pt idx="31">
                  <c:v>4.7041014472432065E-2</c:v>
                </c:pt>
                <c:pt idx="32">
                  <c:v>4.7041014472432065E-2</c:v>
                </c:pt>
                <c:pt idx="33">
                  <c:v>3.6000346170089063E-2</c:v>
                </c:pt>
                <c:pt idx="34">
                  <c:v>3.8054892883518363E-2</c:v>
                </c:pt>
                <c:pt idx="35">
                  <c:v>3.2639905835296419E-2</c:v>
                </c:pt>
                <c:pt idx="36">
                  <c:v>3.0467847415084456E-2</c:v>
                </c:pt>
                <c:pt idx="37">
                  <c:v>3.2591863256588853E-2</c:v>
                </c:pt>
                <c:pt idx="38">
                  <c:v>3.3609402904965231E-2</c:v>
                </c:pt>
                <c:pt idx="39">
                  <c:v>2.4168356023978828E-2</c:v>
                </c:pt>
                <c:pt idx="40">
                  <c:v>1.9518977537214426E-2</c:v>
                </c:pt>
                <c:pt idx="41">
                  <c:v>1.3422018325779226E-2</c:v>
                </c:pt>
                <c:pt idx="42">
                  <c:v>1.3105698886990725E-2</c:v>
                </c:pt>
                <c:pt idx="43">
                  <c:v>1.0998008564466326E-2</c:v>
                </c:pt>
                <c:pt idx="44">
                  <c:v>1.648773578262603E-2</c:v>
                </c:pt>
                <c:pt idx="45">
                  <c:v>9.1359652849602249E-3</c:v>
                </c:pt>
                <c:pt idx="46">
                  <c:v>1.1363034086057076E-2</c:v>
                </c:pt>
                <c:pt idx="47">
                  <c:v>1.4464481831817484E-2</c:v>
                </c:pt>
                <c:pt idx="48">
                  <c:v>1.4903170371049764E-2</c:v>
                </c:pt>
                <c:pt idx="49">
                  <c:v>1.3005131800278435E-2</c:v>
                </c:pt>
                <c:pt idx="50">
                  <c:v>1.4859420689484735E-2</c:v>
                </c:pt>
                <c:pt idx="51">
                  <c:v>1.1974830213493066E-2</c:v>
                </c:pt>
                <c:pt idx="52">
                  <c:v>1.6559909077383968E-2</c:v>
                </c:pt>
                <c:pt idx="53">
                  <c:v>1.0912847325803368E-2</c:v>
                </c:pt>
                <c:pt idx="54">
                  <c:v>1.5393845512930708E-2</c:v>
                </c:pt>
                <c:pt idx="55">
                  <c:v>1.5827535683710179E-2</c:v>
                </c:pt>
                <c:pt idx="56">
                  <c:v>9.5946686692601098E-3</c:v>
                </c:pt>
                <c:pt idx="57">
                  <c:v>1.518356682718614E-2</c:v>
                </c:pt>
                <c:pt idx="58">
                  <c:v>1.518356682718614E-2</c:v>
                </c:pt>
                <c:pt idx="59">
                  <c:v>1.518356682718614E-2</c:v>
                </c:pt>
                <c:pt idx="60">
                  <c:v>1.518356682718614E-2</c:v>
                </c:pt>
                <c:pt idx="61">
                  <c:v>1.518356682718614E-2</c:v>
                </c:pt>
                <c:pt idx="62">
                  <c:v>1.8183760481068338E-2</c:v>
                </c:pt>
                <c:pt idx="63">
                  <c:v>1.8183760481068338E-2</c:v>
                </c:pt>
                <c:pt idx="64">
                  <c:v>1.8183760481068338E-2</c:v>
                </c:pt>
                <c:pt idx="65">
                  <c:v>1.8183760481068338E-2</c:v>
                </c:pt>
                <c:pt idx="66">
                  <c:v>1.8183760481068338E-2</c:v>
                </c:pt>
                <c:pt idx="67">
                  <c:v>2.7429770919741095E-2</c:v>
                </c:pt>
                <c:pt idx="68">
                  <c:v>2.7429770919741095E-2</c:v>
                </c:pt>
                <c:pt idx="69">
                  <c:v>2.7429770919741095E-2</c:v>
                </c:pt>
                <c:pt idx="70">
                  <c:v>2.8987586665955696E-2</c:v>
                </c:pt>
                <c:pt idx="71">
                  <c:v>2.8909228176760504E-2</c:v>
                </c:pt>
                <c:pt idx="72">
                  <c:v>2.9761904000467305E-2</c:v>
                </c:pt>
                <c:pt idx="73">
                  <c:v>2.9761904000467305E-2</c:v>
                </c:pt>
                <c:pt idx="74">
                  <c:v>3.2898998186659388E-2</c:v>
                </c:pt>
                <c:pt idx="75">
                  <c:v>2.6796054678238992E-2</c:v>
                </c:pt>
                <c:pt idx="76">
                  <c:v>3.1568326664568089E-2</c:v>
                </c:pt>
                <c:pt idx="77">
                  <c:v>3.4321870320695773E-2</c:v>
                </c:pt>
                <c:pt idx="78">
                  <c:v>3.4321870320695773E-2</c:v>
                </c:pt>
                <c:pt idx="79">
                  <c:v>4.3413360141816702E-2</c:v>
                </c:pt>
                <c:pt idx="80">
                  <c:v>4.8165819625001258E-2</c:v>
                </c:pt>
                <c:pt idx="81">
                  <c:v>4.8165819625001258E-2</c:v>
                </c:pt>
                <c:pt idx="82">
                  <c:v>5.4449410299479438E-2</c:v>
                </c:pt>
                <c:pt idx="83">
                  <c:v>5.4449410299479438E-2</c:v>
                </c:pt>
                <c:pt idx="84">
                  <c:v>5.6699332785945841E-2</c:v>
                </c:pt>
                <c:pt idx="85">
                  <c:v>5.8467352782488144E-2</c:v>
                </c:pt>
                <c:pt idx="86">
                  <c:v>5.8467352782488144E-2</c:v>
                </c:pt>
                <c:pt idx="87">
                  <c:v>5.8467352782488144E-2</c:v>
                </c:pt>
                <c:pt idx="88">
                  <c:v>5.8467352782488144E-2</c:v>
                </c:pt>
                <c:pt idx="89">
                  <c:v>5.8467352782488144E-2</c:v>
                </c:pt>
                <c:pt idx="90">
                  <c:v>5.8467352782488144E-2</c:v>
                </c:pt>
                <c:pt idx="91">
                  <c:v>5.8467352782488144E-2</c:v>
                </c:pt>
                <c:pt idx="92">
                  <c:v>5.8467352782488144E-2</c:v>
                </c:pt>
                <c:pt idx="93">
                  <c:v>5.8467352782488144E-2</c:v>
                </c:pt>
                <c:pt idx="94">
                  <c:v>5.8467352782488144E-2</c:v>
                </c:pt>
                <c:pt idx="95">
                  <c:v>5.8467352782488144E-2</c:v>
                </c:pt>
                <c:pt idx="96">
                  <c:v>5.8720310890094649E-2</c:v>
                </c:pt>
                <c:pt idx="97">
                  <c:v>5.7400769041807145E-2</c:v>
                </c:pt>
                <c:pt idx="98">
                  <c:v>6.4983851653529739E-2</c:v>
                </c:pt>
                <c:pt idx="99">
                  <c:v>6.4983851653529739E-2</c:v>
                </c:pt>
                <c:pt idx="100">
                  <c:v>6.4983851653529739E-2</c:v>
                </c:pt>
                <c:pt idx="101">
                  <c:v>6.931970843995483E-2</c:v>
                </c:pt>
                <c:pt idx="102">
                  <c:v>6.931970843995483E-2</c:v>
                </c:pt>
                <c:pt idx="103">
                  <c:v>6.931970843995483E-2</c:v>
                </c:pt>
                <c:pt idx="104">
                  <c:v>6.931970843995483E-2</c:v>
                </c:pt>
                <c:pt idx="105">
                  <c:v>6.931970843995483E-2</c:v>
                </c:pt>
                <c:pt idx="106">
                  <c:v>6.931970843995483E-2</c:v>
                </c:pt>
                <c:pt idx="107">
                  <c:v>6.931970843995483E-2</c:v>
                </c:pt>
                <c:pt idx="108">
                  <c:v>6.931970843995483E-2</c:v>
                </c:pt>
                <c:pt idx="109">
                  <c:v>6.931970843995483E-2</c:v>
                </c:pt>
                <c:pt idx="110">
                  <c:v>6.931970843995483E-2</c:v>
                </c:pt>
                <c:pt idx="111">
                  <c:v>6.931970843995483E-2</c:v>
                </c:pt>
                <c:pt idx="112">
                  <c:v>6.931970843995483E-2</c:v>
                </c:pt>
                <c:pt idx="113">
                  <c:v>6.931970843995483E-2</c:v>
                </c:pt>
                <c:pt idx="114">
                  <c:v>6.931970843995483E-2</c:v>
                </c:pt>
                <c:pt idx="115">
                  <c:v>6.931970843995483E-2</c:v>
                </c:pt>
                <c:pt idx="116">
                  <c:v>6.931970843995483E-2</c:v>
                </c:pt>
                <c:pt idx="117">
                  <c:v>6.931970843995483E-2</c:v>
                </c:pt>
                <c:pt idx="118">
                  <c:v>6.931970843995483E-2</c:v>
                </c:pt>
                <c:pt idx="119">
                  <c:v>6.931970843995483E-2</c:v>
                </c:pt>
                <c:pt idx="120">
                  <c:v>6.931970843995483E-2</c:v>
                </c:pt>
                <c:pt idx="121">
                  <c:v>6.931970843995483E-2</c:v>
                </c:pt>
                <c:pt idx="122">
                  <c:v>6.931970843995483E-2</c:v>
                </c:pt>
                <c:pt idx="123">
                  <c:v>7.0055931879515351E-2</c:v>
                </c:pt>
                <c:pt idx="124">
                  <c:v>7.3864094781550649E-2</c:v>
                </c:pt>
                <c:pt idx="125">
                  <c:v>7.3864094781550649E-2</c:v>
                </c:pt>
                <c:pt idx="126">
                  <c:v>7.3864094781550649E-2</c:v>
                </c:pt>
                <c:pt idx="127">
                  <c:v>7.3864094781550649E-2</c:v>
                </c:pt>
                <c:pt idx="128">
                  <c:v>7.3864094781550649E-2</c:v>
                </c:pt>
                <c:pt idx="129">
                  <c:v>7.3864094781550649E-2</c:v>
                </c:pt>
                <c:pt idx="130">
                  <c:v>7.3864094781550649E-2</c:v>
                </c:pt>
                <c:pt idx="131">
                  <c:v>7.3864094781550649E-2</c:v>
                </c:pt>
                <c:pt idx="132">
                  <c:v>7.9437558785808146E-2</c:v>
                </c:pt>
                <c:pt idx="133">
                  <c:v>7.9437558785808146E-2</c:v>
                </c:pt>
                <c:pt idx="134">
                  <c:v>7.9437558785808146E-2</c:v>
                </c:pt>
                <c:pt idx="135">
                  <c:v>7.9437558785808146E-2</c:v>
                </c:pt>
                <c:pt idx="136">
                  <c:v>7.9437558785808146E-2</c:v>
                </c:pt>
                <c:pt idx="137">
                  <c:v>7.9437558785808146E-2</c:v>
                </c:pt>
                <c:pt idx="138">
                  <c:v>7.9437558785808146E-2</c:v>
                </c:pt>
                <c:pt idx="139">
                  <c:v>7.9437558785808146E-2</c:v>
                </c:pt>
                <c:pt idx="140">
                  <c:v>7.9437558785808146E-2</c:v>
                </c:pt>
                <c:pt idx="141">
                  <c:v>7.9437558785808146E-2</c:v>
                </c:pt>
                <c:pt idx="142">
                  <c:v>7.9437558785808146E-2</c:v>
                </c:pt>
                <c:pt idx="143">
                  <c:v>7.9437558785808146E-2</c:v>
                </c:pt>
                <c:pt idx="144">
                  <c:v>7.9437558785808146E-2</c:v>
                </c:pt>
                <c:pt idx="145">
                  <c:v>7.9437558785808146E-2</c:v>
                </c:pt>
                <c:pt idx="146">
                  <c:v>7.9437558785808146E-2</c:v>
                </c:pt>
                <c:pt idx="147">
                  <c:v>7.9437558785808146E-2</c:v>
                </c:pt>
                <c:pt idx="148">
                  <c:v>7.9437558785808146E-2</c:v>
                </c:pt>
                <c:pt idx="149">
                  <c:v>7.9437558785808146E-2</c:v>
                </c:pt>
                <c:pt idx="150">
                  <c:v>7.9437558785808146E-2</c:v>
                </c:pt>
                <c:pt idx="151">
                  <c:v>7.9437558785808146E-2</c:v>
                </c:pt>
                <c:pt idx="152">
                  <c:v>7.9437558785808146E-2</c:v>
                </c:pt>
                <c:pt idx="153">
                  <c:v>7.9437558785808146E-2</c:v>
                </c:pt>
                <c:pt idx="154">
                  <c:v>7.9437558785808146E-2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F-4C19-9DB9-C040068AC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11934-1A24-4FB6-80CF-AE46CD288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8A2B74-10D0-43CD-A8CB-1CAC39E9A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659254-C45F-4D66-AC3C-9B233C8F5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712394-AB62-4A56-BA94-907F84188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4C5B63-E729-43F6-89EA-BE015DE5F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E5A800-883E-4035-9D8A-2F2480377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6F80D2-4B64-4FB7-955F-71D065FCB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64F9-15AE-4AE6-9990-A1CC9BAD485C}">
  <dimension ref="A1:DZ179"/>
  <sheetViews>
    <sheetView tabSelected="1" topLeftCell="AG4" workbookViewId="0">
      <selection activeCell="AN17" sqref="AN17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0.7109375" style="15" bestFit="1" customWidth="1"/>
    <col min="5" max="5" width="12.28515625" style="15" bestFit="1" customWidth="1"/>
    <col min="6" max="6" width="9.140625" style="33" bestFit="1" customWidth="1"/>
    <col min="7" max="7" width="17.5703125" style="33" bestFit="1" customWidth="1"/>
    <col min="8" max="8" width="10.7109375" style="33" bestFit="1" customWidth="1"/>
    <col min="9" max="9" width="19.140625" style="33" bestFit="1" customWidth="1"/>
    <col min="10" max="10" width="20.140625" style="33" bestFit="1" customWidth="1"/>
    <col min="11" max="11" width="21.85546875" style="33" bestFit="1" customWidth="1"/>
    <col min="12" max="13" width="11" style="33" bestFit="1" customWidth="1"/>
    <col min="14" max="14" width="11.85546875" style="34" bestFit="1" customWidth="1"/>
    <col min="15" max="15" width="15.42578125" style="34" bestFit="1" customWidth="1"/>
    <col min="16" max="17" width="18.85546875" style="34" bestFit="1" customWidth="1"/>
    <col min="18" max="18" width="11" style="33" bestFit="1" customWidth="1"/>
    <col min="19" max="20" width="14.28515625" style="33" bestFit="1" customWidth="1"/>
    <col min="21" max="21" width="23.28515625" style="15" bestFit="1" customWidth="1"/>
    <col min="22" max="23" width="26.7109375" style="15" bestFit="1" customWidth="1"/>
    <col min="24" max="24" width="14" style="34" bestFit="1" customWidth="1"/>
    <col min="25" max="25" width="17.5703125" style="34" bestFit="1" customWidth="1"/>
    <col min="26" max="27" width="20.85546875" style="34" bestFit="1" customWidth="1"/>
    <col min="28" max="28" width="11.85546875" style="33" bestFit="1" customWidth="1"/>
    <col min="29" max="30" width="15.28515625" style="33" bestFit="1" customWidth="1"/>
    <col min="31" max="31" width="25.28515625" style="15" bestFit="1" customWidth="1"/>
    <col min="32" max="33" width="28.7109375" style="15" bestFit="1" customWidth="1"/>
    <col min="34" max="34" width="1.7109375" style="9" customWidth="1"/>
    <col min="35" max="35" width="7.7109375" style="15" bestFit="1" customWidth="1"/>
    <col min="36" max="36" width="6.2851562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0.7109375" style="15" bestFit="1" customWidth="1"/>
    <col min="42" max="42" width="12.28515625" style="15" bestFit="1" customWidth="1"/>
    <col min="43" max="43" width="12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0.7109375" style="15" bestFit="1" customWidth="1"/>
    <col min="53" max="53" width="12.28515625" style="15" bestFit="1" customWidth="1"/>
    <col min="54" max="54" width="12" style="15" bestFit="1" customWidth="1"/>
    <col min="55" max="55" width="8.7109375" style="15" bestFit="1" customWidth="1"/>
    <col min="56" max="56" width="1.7109375" style="9" customWidth="1"/>
    <col min="57" max="57" width="12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1.3754050117039411</v>
      </c>
      <c r="AJ1" s="4">
        <v>0</v>
      </c>
      <c r="AK1" s="4">
        <f t="shared" ref="AK1:AQ1" si="0">AJ1-$AK12</f>
        <v>-2.5000000000000001E-3</v>
      </c>
      <c r="AL1" s="4">
        <f t="shared" si="0"/>
        <v>-5.0000000000000001E-3</v>
      </c>
      <c r="AM1" s="4">
        <f t="shared" si="0"/>
        <v>-7.4999999999999997E-3</v>
      </c>
      <c r="AN1" s="4">
        <f t="shared" si="0"/>
        <v>-0.01</v>
      </c>
      <c r="AO1" s="4">
        <f t="shared" si="0"/>
        <v>-1.2500000000000001E-2</v>
      </c>
      <c r="AP1" s="4">
        <f t="shared" si="0"/>
        <v>-1.5000000000000001E-2</v>
      </c>
      <c r="AQ1" s="4">
        <f t="shared" si="0"/>
        <v>-1.7500000000000002E-2</v>
      </c>
      <c r="AR1" s="5" t="s">
        <v>33</v>
      </c>
      <c r="AS1" s="2"/>
      <c r="AT1" s="3">
        <f>BB16</f>
        <v>2.9616784382410257</v>
      </c>
      <c r="AU1" s="4">
        <v>0</v>
      </c>
      <c r="AV1" s="6">
        <f>AU1+$AV12</f>
        <v>2.5000000000000001E-3</v>
      </c>
      <c r="AW1" s="6">
        <f t="shared" ref="AW1:BB1" si="1">AV1+$AV12</f>
        <v>5.0000000000000001E-3</v>
      </c>
      <c r="AX1" s="6">
        <f t="shared" si="1"/>
        <v>7.4999999999999997E-3</v>
      </c>
      <c r="AY1" s="6">
        <f t="shared" si="1"/>
        <v>0.01</v>
      </c>
      <c r="AZ1" s="6">
        <f t="shared" si="1"/>
        <v>1.2500000000000001E-2</v>
      </c>
      <c r="BA1" s="6">
        <f t="shared" si="1"/>
        <v>1.5000000000000001E-2</v>
      </c>
      <c r="BB1" s="6">
        <f t="shared" si="1"/>
        <v>1.7500000000000002E-2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104.22</v>
      </c>
      <c r="C2" s="33">
        <v>95.59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104.22</v>
      </c>
      <c r="M2" s="33">
        <v>95.59</v>
      </c>
      <c r="N2" s="34">
        <v>0.91719439646900702</v>
      </c>
      <c r="O2" s="34">
        <v>0.96273232566827205</v>
      </c>
      <c r="X2" s="34">
        <v>0.91719439646900702</v>
      </c>
      <c r="Y2" s="34">
        <v>0.96273232566827205</v>
      </c>
      <c r="AI2" s="4">
        <v>0</v>
      </c>
      <c r="AJ2" s="10">
        <f t="dataTable" ref="AJ2:AQ9" dt2D="1" dtr="1" r1="AI21" r2="AI22"/>
        <v>1.6965953466112533</v>
      </c>
      <c r="AK2" s="10">
        <v>1.2358469491504358</v>
      </c>
      <c r="AL2" s="10">
        <v>0.17942651834072068</v>
      </c>
      <c r="AM2" s="10">
        <v>0.27392707849780168</v>
      </c>
      <c r="AN2" s="10">
        <v>-0.14763253219918507</v>
      </c>
      <c r="AO2" s="10">
        <v>-0.46459342674977411</v>
      </c>
      <c r="AP2" s="10">
        <v>-0.50004546786869419</v>
      </c>
      <c r="AQ2" s="10">
        <v>-0.51223230890243421</v>
      </c>
      <c r="AR2"/>
      <c r="AT2" s="4">
        <v>0</v>
      </c>
      <c r="AU2" s="10">
        <f t="dataTable" ref="AU2:BB9" dt2D="1" dtr="1" r1="AT21" r2="AT22"/>
        <v>5.7479356416705505</v>
      </c>
      <c r="AV2" s="11">
        <v>4.2781118915653913</v>
      </c>
      <c r="AW2" s="11">
        <v>2.4850478451321503</v>
      </c>
      <c r="AX2" s="11">
        <v>1.2750711555097243</v>
      </c>
      <c r="AY2" s="11" t="e">
        <v>#DIV/0!</v>
      </c>
      <c r="AZ2" s="11" t="e">
        <v>#DIV/0!</v>
      </c>
      <c r="BA2" s="11" t="e">
        <v>#DIV/0!</v>
      </c>
      <c r="BB2" s="11" t="e">
        <v>#DIV/0!</v>
      </c>
      <c r="BC2"/>
    </row>
    <row r="3" spans="1:130" x14ac:dyDescent="0.25">
      <c r="A3" s="1">
        <v>46027</v>
      </c>
      <c r="B3" s="33">
        <v>105.4</v>
      </c>
      <c r="C3" s="33">
        <v>97.71</v>
      </c>
      <c r="D3" s="15">
        <v>1.12585866261934E-2</v>
      </c>
      <c r="E3" s="15">
        <v>2.1935695880580499E-2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105.4</v>
      </c>
      <c r="M3" s="33">
        <v>97.71</v>
      </c>
      <c r="N3" s="34">
        <v>0.92703984819734297</v>
      </c>
      <c r="O3" s="34">
        <v>0.96273232566827205</v>
      </c>
      <c r="R3" s="33">
        <v>101.47198712543501</v>
      </c>
      <c r="U3" s="15">
        <v>3.77788635216805E-2</v>
      </c>
      <c r="X3" s="34">
        <v>0.92703984819734297</v>
      </c>
      <c r="Y3" s="34">
        <v>0.96273232566827205</v>
      </c>
      <c r="AB3" s="33">
        <v>101.47198712543501</v>
      </c>
      <c r="AE3" s="15">
        <v>3.77788635216805E-2</v>
      </c>
      <c r="AI3" s="4">
        <f t="shared" ref="AI3:AI9" si="2">AI2-AK$12</f>
        <v>-2.5000000000000001E-3</v>
      </c>
      <c r="AJ3" s="10">
        <v>1.6965953466112533</v>
      </c>
      <c r="AK3" s="10">
        <v>3.0899932877743042</v>
      </c>
      <c r="AL3" s="10">
        <v>1.5452872289778983</v>
      </c>
      <c r="AM3" s="10">
        <v>1.6990728493576517</v>
      </c>
      <c r="AN3" s="10">
        <v>1.8202302773546593</v>
      </c>
      <c r="AO3" s="11">
        <v>0.65084857763401083</v>
      </c>
      <c r="AP3" s="10">
        <v>-0.58108849720175648</v>
      </c>
      <c r="AQ3" s="10">
        <v>-0.66994090762845071</v>
      </c>
      <c r="AR3"/>
      <c r="AT3" s="4">
        <f>AT2+AV$12</f>
        <v>2.5000000000000001E-3</v>
      </c>
      <c r="AU3" s="10">
        <v>5.7479356416705505</v>
      </c>
      <c r="AV3" s="11">
        <v>3.902154877363937</v>
      </c>
      <c r="AW3" s="11">
        <v>2.1486237976029998</v>
      </c>
      <c r="AX3" s="11">
        <v>1.2750711555097243</v>
      </c>
      <c r="AY3" s="11" t="e">
        <v>#DIV/0!</v>
      </c>
      <c r="AZ3" s="11" t="e">
        <v>#DIV/0!</v>
      </c>
      <c r="BA3" s="11" t="e">
        <v>#DIV/0!</v>
      </c>
      <c r="BB3" s="11" t="e">
        <v>#DIV/0!</v>
      </c>
      <c r="BC3"/>
    </row>
    <row r="4" spans="1:130" x14ac:dyDescent="0.25">
      <c r="A4" s="1">
        <v>46028</v>
      </c>
      <c r="B4" s="33">
        <v>106.36</v>
      </c>
      <c r="C4" s="33">
        <v>98.03</v>
      </c>
      <c r="D4" s="15">
        <v>9.0669302675570398E-3</v>
      </c>
      <c r="E4" s="15">
        <v>3.2696463173830601E-3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106.36</v>
      </c>
      <c r="M4" s="33">
        <v>98.03</v>
      </c>
      <c r="N4" s="34">
        <v>0.92168108311395203</v>
      </c>
      <c r="O4" s="34">
        <v>0.96273232566827205</v>
      </c>
      <c r="R4" s="33">
        <v>102.396210158077</v>
      </c>
      <c r="U4" s="15">
        <v>4.35761474718546E-2</v>
      </c>
      <c r="X4" s="34">
        <v>0.92168108311395203</v>
      </c>
      <c r="Y4" s="34">
        <v>0.96273232566827205</v>
      </c>
      <c r="AB4" s="33">
        <v>102.396210158077</v>
      </c>
      <c r="AE4" s="15">
        <v>4.35761474718546E-2</v>
      </c>
      <c r="AG4"/>
      <c r="AI4" s="4">
        <f t="shared" si="2"/>
        <v>-5.0000000000000001E-3</v>
      </c>
      <c r="AJ4" s="10">
        <v>1.6965953466112533</v>
      </c>
      <c r="AK4" s="11">
        <v>3.0899932877743042</v>
      </c>
      <c r="AL4" s="11">
        <v>1.7346210277491187</v>
      </c>
      <c r="AM4" s="11">
        <v>1.8449021766909757</v>
      </c>
      <c r="AN4" s="10">
        <v>1.3838121970279209</v>
      </c>
      <c r="AO4" s="11">
        <v>0.55941295115192557</v>
      </c>
      <c r="AP4" s="11">
        <v>-0.70046178302993134</v>
      </c>
      <c r="AQ4" s="11">
        <v>-0.70510757336406704</v>
      </c>
      <c r="AR4"/>
      <c r="AT4" s="4">
        <f t="shared" ref="AT4:AT9" si="3">AT3+AV$12</f>
        <v>5.0000000000000001E-3</v>
      </c>
      <c r="AU4" s="10">
        <v>5.7479356416705505</v>
      </c>
      <c r="AV4" s="11">
        <v>3.902154877363937</v>
      </c>
      <c r="AW4" s="11">
        <v>2.1486237976029998</v>
      </c>
      <c r="AX4" s="11">
        <v>1.2750711555097243</v>
      </c>
      <c r="AY4" s="11" t="e">
        <v>#DIV/0!</v>
      </c>
      <c r="AZ4" s="11" t="e">
        <v>#DIV/0!</v>
      </c>
      <c r="BA4" s="11" t="e">
        <v>#DIV/0!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103.93</v>
      </c>
      <c r="C5" s="33">
        <v>96.2</v>
      </c>
      <c r="D5" s="15">
        <v>-2.3111970774488701E-2</v>
      </c>
      <c r="E5" s="15">
        <v>-1.8844196601973898E-2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103.93</v>
      </c>
      <c r="M5" s="33">
        <v>96.2</v>
      </c>
      <c r="N5" s="34">
        <v>0.92562301549119597</v>
      </c>
      <c r="O5" s="34">
        <v>0.96273232566827205</v>
      </c>
      <c r="R5" s="33">
        <v>100.056770606703</v>
      </c>
      <c r="U5" s="15">
        <v>3.9308373299339699E-2</v>
      </c>
      <c r="X5" s="34">
        <v>0.92562301549119597</v>
      </c>
      <c r="Y5" s="34">
        <v>0.96273232566827205</v>
      </c>
      <c r="AB5" s="33">
        <v>100.056770606703</v>
      </c>
      <c r="AE5" s="15">
        <v>3.9308373299339699E-2</v>
      </c>
      <c r="AG5" s="29"/>
      <c r="AI5" s="4">
        <f t="shared" si="2"/>
        <v>-7.4999999999999997E-3</v>
      </c>
      <c r="AJ5" s="10">
        <v>1.6965953466112533</v>
      </c>
      <c r="AK5" s="11">
        <v>3.0899932877743042</v>
      </c>
      <c r="AL5" s="11">
        <v>1.7346210277491187</v>
      </c>
      <c r="AM5" s="11">
        <v>1.9574748014341974</v>
      </c>
      <c r="AN5" s="11">
        <v>1.3491541277256041</v>
      </c>
      <c r="AO5" s="11">
        <v>0.64234312108817471</v>
      </c>
      <c r="AP5" s="10">
        <v>-0.67105054120868657</v>
      </c>
      <c r="AQ5" s="11">
        <v>-0.68669415899580022</v>
      </c>
      <c r="AR5"/>
      <c r="AT5" s="4">
        <f t="shared" si="3"/>
        <v>7.4999999999999997E-3</v>
      </c>
      <c r="AU5" s="10">
        <v>5.7479356416705505</v>
      </c>
      <c r="AV5" s="11">
        <v>3.902154877363937</v>
      </c>
      <c r="AW5" s="11">
        <v>2.1486237976029998</v>
      </c>
      <c r="AX5" s="11">
        <v>1.2750711555097243</v>
      </c>
      <c r="AY5" s="11" t="e">
        <v>#DIV/0!</v>
      </c>
      <c r="AZ5" s="11" t="e">
        <v>#DIV/0!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B6" s="33">
        <v>109.55</v>
      </c>
      <c r="C6" s="33">
        <v>100.93</v>
      </c>
      <c r="D6" s="15">
        <v>5.2663470441145097E-2</v>
      </c>
      <c r="E6" s="15">
        <v>4.7997849579107202E-2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109.55</v>
      </c>
      <c r="M6" s="33">
        <v>100.93</v>
      </c>
      <c r="N6" s="34">
        <v>0.92131446827932395</v>
      </c>
      <c r="O6" s="34">
        <v>0.96273232566827205</v>
      </c>
      <c r="R6" s="33">
        <v>105.467326276959</v>
      </c>
      <c r="U6" s="15">
        <v>4.3973994161377497E-2</v>
      </c>
      <c r="X6" s="34">
        <v>0.92131446827932395</v>
      </c>
      <c r="Y6" s="34">
        <v>0.96273232566827205</v>
      </c>
      <c r="AB6" s="33">
        <v>105.467326276959</v>
      </c>
      <c r="AE6" s="15">
        <v>4.3973994161377497E-2</v>
      </c>
      <c r="AG6" s="29"/>
      <c r="AI6" s="4">
        <f t="shared" si="2"/>
        <v>-0.01</v>
      </c>
      <c r="AJ6" s="10">
        <v>1.6965953466112533</v>
      </c>
      <c r="AK6" s="11">
        <v>3.0899932877743042</v>
      </c>
      <c r="AL6" s="11">
        <v>1.7346210277491187</v>
      </c>
      <c r="AM6" s="11">
        <v>1.9574748014341974</v>
      </c>
      <c r="AN6" s="11">
        <v>0.71411813923491818</v>
      </c>
      <c r="AO6" s="11">
        <v>0.48720975750028039</v>
      </c>
      <c r="AP6" s="11">
        <v>-0.89108496748441401</v>
      </c>
      <c r="AQ6" s="11">
        <v>-0.68669415899580022</v>
      </c>
      <c r="AR6"/>
      <c r="AT6" s="4">
        <f t="shared" si="3"/>
        <v>0.01</v>
      </c>
      <c r="AU6" s="10">
        <v>5.7479356416705505</v>
      </c>
      <c r="AV6" s="11">
        <v>3.902154877363937</v>
      </c>
      <c r="AW6" s="11">
        <v>2.1486237976029998</v>
      </c>
      <c r="AX6" s="11">
        <v>1.2750711555097243</v>
      </c>
      <c r="AY6" s="11" t="e">
        <v>#DIV/0!</v>
      </c>
      <c r="AZ6" s="11" t="e">
        <v>#DIV/0!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B7" s="33">
        <v>119.25</v>
      </c>
      <c r="C7" s="33">
        <v>108.24</v>
      </c>
      <c r="D7" s="15">
        <v>8.4841063726975002E-2</v>
      </c>
      <c r="E7" s="15">
        <v>6.9923776611764396E-2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119.25</v>
      </c>
      <c r="M7" s="33">
        <v>108.24</v>
      </c>
      <c r="N7" s="34">
        <v>0.90767295597484199</v>
      </c>
      <c r="O7" s="34">
        <v>0.96273232566827205</v>
      </c>
      <c r="R7" s="33">
        <v>114.805829835941</v>
      </c>
      <c r="U7" s="15">
        <v>5.8891281276588298E-2</v>
      </c>
      <c r="X7" s="34">
        <v>0.90767295597484199</v>
      </c>
      <c r="Y7" s="34">
        <v>0.96273232566827205</v>
      </c>
      <c r="AB7" s="33">
        <v>114.805829835941</v>
      </c>
      <c r="AE7" s="15">
        <v>5.8891281276588298E-2</v>
      </c>
      <c r="AG7"/>
      <c r="AI7" s="4">
        <f t="shared" si="2"/>
        <v>-1.2500000000000001E-2</v>
      </c>
      <c r="AJ7" s="10">
        <v>1.6965953466112533</v>
      </c>
      <c r="AK7" s="11">
        <v>3.0899932877743042</v>
      </c>
      <c r="AL7" s="11">
        <v>1.7346210277491187</v>
      </c>
      <c r="AM7" s="11">
        <v>1.9574748014341974</v>
      </c>
      <c r="AN7" s="11">
        <v>0.71411813923491818</v>
      </c>
      <c r="AO7" s="11">
        <v>1.3448087751879159</v>
      </c>
      <c r="AP7" s="11">
        <v>2.6882021156047747E-3</v>
      </c>
      <c r="AQ7" s="11">
        <v>-0.91071036636627656</v>
      </c>
      <c r="AR7"/>
      <c r="AT7" s="4">
        <f t="shared" si="3"/>
        <v>1.2500000000000001E-2</v>
      </c>
      <c r="AU7" s="10">
        <v>5.7479356416705505</v>
      </c>
      <c r="AV7" s="11">
        <v>3.902154877363937</v>
      </c>
      <c r="AW7" s="11">
        <v>2.1486237976029998</v>
      </c>
      <c r="AX7" s="11">
        <v>1.2750711555097243</v>
      </c>
      <c r="AY7" s="11" t="e">
        <v>#DIV/0!</v>
      </c>
      <c r="AZ7" s="11" t="e">
        <v>#DIV/0!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B8" s="33">
        <v>120.9</v>
      </c>
      <c r="C8" s="33">
        <v>109.53</v>
      </c>
      <c r="D8" s="15">
        <v>1.3741627852296301E-2</v>
      </c>
      <c r="E8" s="15">
        <v>1.1847500473122601E-2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120.9</v>
      </c>
      <c r="M8" s="33">
        <v>109.53</v>
      </c>
      <c r="N8" s="34">
        <v>0.90595533498759295</v>
      </c>
      <c r="O8" s="34">
        <v>0.96273232566827205</v>
      </c>
      <c r="R8" s="33">
        <v>116.394338173294</v>
      </c>
      <c r="U8" s="15">
        <v>6.0785408655761999E-2</v>
      </c>
      <c r="X8" s="34">
        <v>0.90595533498759295</v>
      </c>
      <c r="Y8" s="34">
        <v>0.96273232566827205</v>
      </c>
      <c r="AB8" s="33">
        <v>116.394338173294</v>
      </c>
      <c r="AE8" s="15">
        <v>6.0785408655761999E-2</v>
      </c>
      <c r="AG8"/>
      <c r="AI8" s="4">
        <f t="shared" si="2"/>
        <v>-1.5000000000000001E-2</v>
      </c>
      <c r="AJ8" s="10">
        <v>1.6965953466112533</v>
      </c>
      <c r="AK8" s="11">
        <v>3.0899932877743042</v>
      </c>
      <c r="AL8" s="11">
        <v>1.7346210277491187</v>
      </c>
      <c r="AM8" s="11">
        <v>1.9574748014341974</v>
      </c>
      <c r="AN8" s="11">
        <v>0.71411813923491818</v>
      </c>
      <c r="AO8" s="11">
        <v>1.3448087751879159</v>
      </c>
      <c r="AP8" s="11">
        <v>-0.39229897183620566</v>
      </c>
      <c r="AQ8" s="11">
        <v>-0.9259358500446212</v>
      </c>
      <c r="AR8"/>
      <c r="AT8" s="4">
        <f t="shared" si="3"/>
        <v>1.5000000000000001E-2</v>
      </c>
      <c r="AU8" s="10">
        <v>5.7479356416705505</v>
      </c>
      <c r="AV8" s="11">
        <v>3.902154877363937</v>
      </c>
      <c r="AW8" s="11">
        <v>2.1486237976029998</v>
      </c>
      <c r="AX8" s="11">
        <v>1.2750711555097243</v>
      </c>
      <c r="AY8" s="11" t="e">
        <v>#DIV/0!</v>
      </c>
      <c r="AZ8" s="11" t="e">
        <v>#DIV/0!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B9" s="33">
        <v>123.32</v>
      </c>
      <c r="C9" s="33">
        <v>111.13</v>
      </c>
      <c r="D9" s="15">
        <v>1.9818845397202502E-2</v>
      </c>
      <c r="E9" s="15">
        <v>1.45022028618998E-2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123.32</v>
      </c>
      <c r="M9" s="33">
        <v>111.13</v>
      </c>
      <c r="N9" s="34">
        <v>0.90115147583522504</v>
      </c>
      <c r="O9" s="34">
        <v>0.96273232566827205</v>
      </c>
      <c r="R9" s="33">
        <v>118.72415040141099</v>
      </c>
      <c r="U9" s="15">
        <v>6.6102051191064701E-2</v>
      </c>
      <c r="X9" s="34">
        <v>0.90115147583522504</v>
      </c>
      <c r="Y9" s="34">
        <v>0.96273232566827205</v>
      </c>
      <c r="AB9" s="33">
        <v>118.72415040141099</v>
      </c>
      <c r="AE9" s="15">
        <v>6.6102051191064701E-2</v>
      </c>
      <c r="AF9"/>
      <c r="AI9" s="4">
        <f t="shared" si="2"/>
        <v>-1.7500000000000002E-2</v>
      </c>
      <c r="AJ9" s="10">
        <v>1.6965953466112533</v>
      </c>
      <c r="AK9" s="11">
        <v>3.0899932877743042</v>
      </c>
      <c r="AL9" s="11">
        <v>1.7346210277491187</v>
      </c>
      <c r="AM9" s="11">
        <v>1.9574748014341974</v>
      </c>
      <c r="AN9" s="11">
        <v>0.71411813923491818</v>
      </c>
      <c r="AO9" s="11">
        <v>1.3448087751879159</v>
      </c>
      <c r="AP9" s="11">
        <v>-0.39229897183620566</v>
      </c>
      <c r="AQ9" s="11">
        <v>-0.97051587912690163</v>
      </c>
      <c r="AR9"/>
      <c r="AT9" s="4">
        <f t="shared" si="3"/>
        <v>1.7500000000000002E-2</v>
      </c>
      <c r="AU9" s="10">
        <v>5.7479356416705505</v>
      </c>
      <c r="AV9" s="10">
        <v>3.902154877363937</v>
      </c>
      <c r="AW9" s="10">
        <v>2.1486237976029998</v>
      </c>
      <c r="AX9" s="10">
        <v>1.2750711555097243</v>
      </c>
      <c r="AY9" s="10" t="e">
        <v>#DIV/0!</v>
      </c>
      <c r="AZ9" s="10" t="e">
        <v>#DIV/0!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B10" s="33">
        <v>121.39</v>
      </c>
      <c r="C10" s="33">
        <v>109.73</v>
      </c>
      <c r="D10" s="15">
        <v>-1.57741001082373E-2</v>
      </c>
      <c r="E10" s="15">
        <v>-1.26778841948472E-2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121.39</v>
      </c>
      <c r="M10" s="33">
        <v>109.73</v>
      </c>
      <c r="N10" s="34">
        <v>0.90394595930471999</v>
      </c>
      <c r="O10" s="34">
        <v>0.96273232566827205</v>
      </c>
      <c r="R10" s="33">
        <v>116.866077012871</v>
      </c>
      <c r="U10" s="15">
        <v>6.3005835277674699E-2</v>
      </c>
      <c r="X10" s="34">
        <v>0.90394595930471999</v>
      </c>
      <c r="Y10" s="34">
        <v>0.96273232566827205</v>
      </c>
      <c r="AB10" s="33">
        <v>116.866077012871</v>
      </c>
      <c r="AE10" s="15">
        <v>6.3005835277674699E-2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122.25</v>
      </c>
      <c r="C11" s="33">
        <v>110.94</v>
      </c>
      <c r="D11" s="15">
        <v>7.0596254452690299E-3</v>
      </c>
      <c r="E11" s="15">
        <v>1.09667116243807E-2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122.25</v>
      </c>
      <c r="M11" s="33">
        <v>110.94</v>
      </c>
      <c r="N11" s="34">
        <v>0.90748466257668703</v>
      </c>
      <c r="O11" s="34">
        <v>0.96273232566827205</v>
      </c>
      <c r="P11" s="34">
        <v>0.91390632002298899</v>
      </c>
      <c r="R11" s="33">
        <v>117.69402681294601</v>
      </c>
      <c r="U11" s="15">
        <v>5.9098749098562997E-2</v>
      </c>
      <c r="X11" s="34">
        <v>0.90748466257668703</v>
      </c>
      <c r="Y11" s="34">
        <v>0.96273232566827205</v>
      </c>
      <c r="Z11" s="34">
        <v>0.91390632002298899</v>
      </c>
      <c r="AB11" s="33">
        <v>117.69402681294601</v>
      </c>
      <c r="AE11" s="15">
        <v>5.9098749098562997E-2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118.59</v>
      </c>
      <c r="C12" s="33">
        <v>107.17</v>
      </c>
      <c r="D12" s="15">
        <v>-3.0395962378277502E-2</v>
      </c>
      <c r="E12" s="15">
        <v>-3.4573155902182698E-2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118.59</v>
      </c>
      <c r="M12" s="33">
        <v>107.17</v>
      </c>
      <c r="N12" s="34">
        <v>0.90370182983388103</v>
      </c>
      <c r="O12" s="34">
        <v>0.96273232566827205</v>
      </c>
      <c r="P12" s="34">
        <v>0.91255706335947595</v>
      </c>
      <c r="R12" s="33">
        <v>114.17042650099999</v>
      </c>
      <c r="S12" s="33">
        <v>108.380150491526</v>
      </c>
      <c r="U12" s="15">
        <v>6.3275942622468398E-2</v>
      </c>
      <c r="V12" s="15">
        <v>1.12285999665024E-2</v>
      </c>
      <c r="X12" s="34">
        <v>0.90370182983388103</v>
      </c>
      <c r="Y12" s="34">
        <v>0.96273232566827205</v>
      </c>
      <c r="Z12" s="34">
        <v>0.91255706335947595</v>
      </c>
      <c r="AB12" s="33">
        <v>114.17042650099999</v>
      </c>
      <c r="AC12" s="33">
        <v>108.380150491526</v>
      </c>
      <c r="AE12" s="15">
        <v>6.3275942622468398E-2</v>
      </c>
      <c r="AF12" s="15">
        <v>1.12285999665024E-2</v>
      </c>
      <c r="AK12" s="17">
        <v>2.5000000000000001E-3</v>
      </c>
      <c r="AL12" s="18" t="s">
        <v>37</v>
      </c>
      <c r="AM12" s="19" t="s">
        <v>38</v>
      </c>
      <c r="AV12" s="17">
        <v>2.5000000000000001E-3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115.16</v>
      </c>
      <c r="C13" s="33">
        <v>105.36</v>
      </c>
      <c r="D13" s="15">
        <v>-2.93497002327287E-2</v>
      </c>
      <c r="E13" s="15">
        <v>-1.70333012898801E-2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115.16</v>
      </c>
      <c r="M13" s="33">
        <v>105.36</v>
      </c>
      <c r="N13" s="34">
        <v>0.91490100729419899</v>
      </c>
      <c r="O13" s="34">
        <v>0.96273232566827205</v>
      </c>
      <c r="P13" s="34">
        <v>0.91134317926916197</v>
      </c>
      <c r="R13" s="33">
        <v>110.86825462395799</v>
      </c>
      <c r="S13" s="33">
        <v>105.090071416477</v>
      </c>
      <c r="U13" s="15">
        <v>5.09595436796196E-2</v>
      </c>
      <c r="V13" s="15">
        <v>-2.56525198331666E-3</v>
      </c>
      <c r="X13" s="34">
        <v>0.91490100729419899</v>
      </c>
      <c r="Y13" s="34">
        <v>0.96273232566827205</v>
      </c>
      <c r="Z13" s="34">
        <v>0.91134317926916197</v>
      </c>
      <c r="AB13" s="33">
        <v>110.86825462395799</v>
      </c>
      <c r="AC13" s="33">
        <v>105.090071416477</v>
      </c>
      <c r="AE13" s="15">
        <v>5.09595436796196E-2</v>
      </c>
      <c r="AF13" s="15">
        <v>-2.56525198331666E-3</v>
      </c>
    </row>
    <row r="14" spans="1:130" x14ac:dyDescent="0.25">
      <c r="A14" s="1">
        <v>46043</v>
      </c>
      <c r="B14" s="33">
        <v>118</v>
      </c>
      <c r="C14" s="33">
        <v>108.19</v>
      </c>
      <c r="D14" s="15">
        <v>2.4362158721689502E-2</v>
      </c>
      <c r="E14" s="15">
        <v>2.6505883264456302E-2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118</v>
      </c>
      <c r="M14" s="33">
        <v>108.19</v>
      </c>
      <c r="N14" s="34">
        <v>0.91686440677966097</v>
      </c>
      <c r="O14" s="34">
        <v>0.96273232566827205</v>
      </c>
      <c r="P14" s="34">
        <v>0.91086151163573303</v>
      </c>
      <c r="R14" s="33">
        <v>113.60241442885599</v>
      </c>
      <c r="S14" s="33">
        <v>107.538495153761</v>
      </c>
      <c r="U14" s="15">
        <v>4.88158191368529E-2</v>
      </c>
      <c r="V14" s="15">
        <v>-6.0400627786890201E-3</v>
      </c>
      <c r="X14" s="34">
        <v>0.91686440677966097</v>
      </c>
      <c r="Y14" s="34">
        <v>0.96273232566827205</v>
      </c>
      <c r="Z14" s="34">
        <v>0.91086151163573303</v>
      </c>
      <c r="AB14" s="33">
        <v>113.60241442885599</v>
      </c>
      <c r="AC14" s="33">
        <v>107.538495153761</v>
      </c>
      <c r="AE14" s="15">
        <v>4.88158191368529E-2</v>
      </c>
      <c r="AF14" s="15">
        <v>-6.0400627786890201E-3</v>
      </c>
      <c r="AQ14" s="20">
        <f>AVERAGE(AQ22:AQ176)</f>
        <v>2.8066318505616197E-4</v>
      </c>
      <c r="AR14" s="21" t="s">
        <v>41</v>
      </c>
      <c r="BB14" s="20">
        <f>AVERAGE(BB22:BB176)</f>
        <v>2.3183719420711649E-4</v>
      </c>
      <c r="BC14" s="21" t="s">
        <v>41</v>
      </c>
      <c r="BD14" s="22"/>
      <c r="BE14" s="20">
        <f>AVERAGE(BE22:BE176)</f>
        <v>5.1250037926327838E-4</v>
      </c>
      <c r="BF14" s="21" t="s">
        <v>41</v>
      </c>
    </row>
    <row r="15" spans="1:130" x14ac:dyDescent="0.25">
      <c r="A15" s="1">
        <v>46044</v>
      </c>
      <c r="B15" s="33">
        <v>114.71</v>
      </c>
      <c r="C15" s="33">
        <v>106</v>
      </c>
      <c r="D15" s="15">
        <v>-2.82774201724884E-2</v>
      </c>
      <c r="E15" s="15">
        <v>-2.0449846587414899E-2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114.71</v>
      </c>
      <c r="M15" s="33">
        <v>106</v>
      </c>
      <c r="N15" s="34">
        <v>0.924069392380786</v>
      </c>
      <c r="O15" s="34">
        <v>0.96273232566827205</v>
      </c>
      <c r="P15" s="34">
        <v>0.91070614932469196</v>
      </c>
      <c r="R15" s="33">
        <v>110.435025077407</v>
      </c>
      <c r="S15" s="33">
        <v>104.48492399973399</v>
      </c>
      <c r="U15" s="15">
        <v>4.0988245551779399E-2</v>
      </c>
      <c r="V15" s="15">
        <v>-1.4396301059942501E-2</v>
      </c>
      <c r="X15" s="34">
        <v>0.924069392380786</v>
      </c>
      <c r="Y15" s="34">
        <v>0.96273232566827205</v>
      </c>
      <c r="Z15" s="34">
        <v>0.91070614932469196</v>
      </c>
      <c r="AB15" s="33">
        <v>110.435025077407</v>
      </c>
      <c r="AC15" s="33">
        <v>104.48492399973399</v>
      </c>
      <c r="AE15" s="15">
        <v>4.0988245551779399E-2</v>
      </c>
      <c r="AF15" s="15">
        <v>-1.4396301059942501E-2</v>
      </c>
      <c r="AQ15" s="20">
        <f>STDEV(AQ22:AQ176)</f>
        <v>3.239329434651252E-3</v>
      </c>
      <c r="AR15" s="21" t="s">
        <v>42</v>
      </c>
      <c r="BB15" s="20">
        <f>STDEV(BB22:BB176)</f>
        <v>1.2426404283605685E-3</v>
      </c>
      <c r="BC15" s="21" t="s">
        <v>42</v>
      </c>
      <c r="BD15" s="22"/>
      <c r="BE15" s="20">
        <f>STDEV(BE22:BE176)</f>
        <v>3.4505693803493524E-3</v>
      </c>
      <c r="BF15" s="21" t="s">
        <v>42</v>
      </c>
    </row>
    <row r="16" spans="1:130" x14ac:dyDescent="0.25">
      <c r="A16" s="1">
        <v>46045</v>
      </c>
      <c r="B16" s="33">
        <v>111.84</v>
      </c>
      <c r="C16" s="33">
        <v>104.43</v>
      </c>
      <c r="D16" s="15">
        <v>-2.5337925807676E-2</v>
      </c>
      <c r="E16" s="15">
        <v>-1.49221036206098E-2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111.84</v>
      </c>
      <c r="M16" s="33">
        <v>104.43</v>
      </c>
      <c r="N16" s="34">
        <v>0.933744635193133</v>
      </c>
      <c r="O16" s="34">
        <v>0.96273232566827205</v>
      </c>
      <c r="P16" s="34">
        <v>0.91194916601607301</v>
      </c>
      <c r="R16" s="33">
        <v>107.67198330273899</v>
      </c>
      <c r="S16" s="33">
        <v>101.853375740473</v>
      </c>
      <c r="U16" s="15">
        <v>3.0572423364713101E-2</v>
      </c>
      <c r="V16" s="15">
        <v>-2.49827041315374E-2</v>
      </c>
      <c r="X16" s="34">
        <v>0.933744635193133</v>
      </c>
      <c r="Y16" s="34">
        <v>0.96273232566827205</v>
      </c>
      <c r="Z16" s="34">
        <v>0.91194916601607301</v>
      </c>
      <c r="AB16" s="33">
        <v>107.67198330273899</v>
      </c>
      <c r="AC16" s="33">
        <v>101.853375740473</v>
      </c>
      <c r="AE16" s="15">
        <v>3.0572423364713101E-2</v>
      </c>
      <c r="AF16" s="15">
        <v>-2.49827041315374E-2</v>
      </c>
      <c r="AQ16" s="23">
        <f>SQRT(252)*AQ14/AQ15</f>
        <v>1.3754050117039411</v>
      </c>
      <c r="AR16" s="21" t="s">
        <v>43</v>
      </c>
      <c r="BB16" s="23">
        <f>SQRT(252)*BB14/BB15</f>
        <v>2.9616784382410257</v>
      </c>
      <c r="BC16" s="21" t="s">
        <v>43</v>
      </c>
      <c r="BD16" s="22"/>
      <c r="BE16" s="23">
        <f>SQRT(252)*BE14/BE15</f>
        <v>2.3577822687680068</v>
      </c>
      <c r="BF16" s="21" t="s">
        <v>43</v>
      </c>
    </row>
    <row r="17" spans="1:124" x14ac:dyDescent="0.25">
      <c r="A17" s="1">
        <v>46048</v>
      </c>
      <c r="B17" s="33">
        <v>110.58</v>
      </c>
      <c r="C17" s="33">
        <v>103.68</v>
      </c>
      <c r="D17" s="15">
        <v>-1.13300375757132E-2</v>
      </c>
      <c r="E17" s="15">
        <v>-7.2077578874926197E-3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110.58</v>
      </c>
      <c r="M17" s="33">
        <v>103.68</v>
      </c>
      <c r="N17" s="34">
        <v>0.93760173629951105</v>
      </c>
      <c r="O17" s="34">
        <v>0.96273232566827205</v>
      </c>
      <c r="P17" s="34">
        <v>0.91494204404853896</v>
      </c>
      <c r="R17" s="33">
        <v>106.458940572397</v>
      </c>
      <c r="S17" s="33">
        <v>100.843338778057</v>
      </c>
      <c r="U17" s="15">
        <v>2.6450143676492399E-2</v>
      </c>
      <c r="V17" s="15">
        <v>-2.7741021172923899E-2</v>
      </c>
      <c r="X17" s="34">
        <v>0.93760173629951105</v>
      </c>
      <c r="Y17" s="34">
        <v>0.96273232566827205</v>
      </c>
      <c r="Z17" s="34">
        <v>0.91494204404853896</v>
      </c>
      <c r="AB17" s="33">
        <v>106.458940572397</v>
      </c>
      <c r="AC17" s="33">
        <v>100.843338778057</v>
      </c>
      <c r="AE17" s="15">
        <v>2.6450143676492399E-2</v>
      </c>
      <c r="AF17" s="15">
        <v>-2.7741021172923899E-2</v>
      </c>
    </row>
    <row r="18" spans="1:124" x14ac:dyDescent="0.25">
      <c r="A18" s="1">
        <v>46049</v>
      </c>
      <c r="B18" s="33">
        <v>110.07</v>
      </c>
      <c r="C18" s="33">
        <v>102.06</v>
      </c>
      <c r="D18" s="15">
        <v>-4.6227138744865696E-3</v>
      </c>
      <c r="E18" s="15">
        <v>-1.5748356968139102E-2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110.07</v>
      </c>
      <c r="M18" s="33">
        <v>102.06</v>
      </c>
      <c r="N18" s="34">
        <v>0.92722812755519202</v>
      </c>
      <c r="O18" s="34">
        <v>0.96273232566827205</v>
      </c>
      <c r="P18" s="34">
        <v>0.917069323305299</v>
      </c>
      <c r="R18" s="33">
        <v>105.967947086306</v>
      </c>
      <c r="S18" s="33">
        <v>100.70767078842201</v>
      </c>
      <c r="U18" s="15">
        <v>3.75757867701451E-2</v>
      </c>
      <c r="V18" s="15">
        <v>-1.3338904150854401E-2</v>
      </c>
      <c r="X18" s="34">
        <v>0.92722812755519202</v>
      </c>
      <c r="Y18" s="34">
        <v>0.96273232566827205</v>
      </c>
      <c r="Z18" s="34">
        <v>0.917069323305299</v>
      </c>
      <c r="AB18" s="33">
        <v>105.967947086306</v>
      </c>
      <c r="AC18" s="33">
        <v>100.70767078842201</v>
      </c>
      <c r="AE18" s="15">
        <v>3.75757867701451E-2</v>
      </c>
      <c r="AF18" s="15">
        <v>-1.3338904150854401E-2</v>
      </c>
      <c r="BE18" s="24">
        <f>SUM(BE22:BE176)</f>
        <v>7.9437558785808146E-2</v>
      </c>
      <c r="BF18" s="20">
        <f>BF176</f>
        <v>7.9437558785808146E-2</v>
      </c>
    </row>
    <row r="19" spans="1:124" x14ac:dyDescent="0.25">
      <c r="A19" s="1">
        <v>46050</v>
      </c>
      <c r="B19" s="33">
        <v>110.79</v>
      </c>
      <c r="C19" s="33">
        <v>102.42</v>
      </c>
      <c r="D19" s="15">
        <v>6.5199904972811796E-3</v>
      </c>
      <c r="E19" s="15">
        <v>3.5211303985787298E-3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110.79</v>
      </c>
      <c r="M19" s="33">
        <v>102.42</v>
      </c>
      <c r="N19" s="34">
        <v>0.92445166531275302</v>
      </c>
      <c r="O19" s="34">
        <v>0.96273232566827205</v>
      </c>
      <c r="P19" s="34">
        <v>0.91939934225305198</v>
      </c>
      <c r="R19" s="33">
        <v>106.661114360787</v>
      </c>
      <c r="S19" s="33">
        <v>101.602110328994</v>
      </c>
      <c r="U19" s="15">
        <v>4.0574646868847597E-2</v>
      </c>
      <c r="V19" s="15">
        <v>-8.0177001510689499E-3</v>
      </c>
      <c r="X19" s="34">
        <v>0.92445166531275302</v>
      </c>
      <c r="Y19" s="34">
        <v>0.96273232566827205</v>
      </c>
      <c r="Z19" s="34">
        <v>0.91939934225305198</v>
      </c>
      <c r="AB19" s="33">
        <v>106.661114360787</v>
      </c>
      <c r="AC19" s="33">
        <v>101.602110328994</v>
      </c>
      <c r="AE19" s="15">
        <v>4.0574646868847597E-2</v>
      </c>
      <c r="AF19" s="15">
        <v>-8.0177001510689499E-3</v>
      </c>
      <c r="AI19" s="12"/>
      <c r="AJ19"/>
      <c r="AK19"/>
      <c r="AL19"/>
      <c r="AM19"/>
      <c r="AN19"/>
      <c r="AO19"/>
      <c r="AP19"/>
      <c r="AQ19" s="24">
        <f>SUM(AQ22:AQ176)</f>
        <v>4.3502793683705104E-2</v>
      </c>
      <c r="AR19" s="24">
        <f>AR176</f>
        <v>4.3502793683705104E-2</v>
      </c>
      <c r="AU19"/>
      <c r="AV19"/>
      <c r="AW19"/>
      <c r="AX19"/>
      <c r="AY19"/>
      <c r="AZ19"/>
      <c r="BA19"/>
      <c r="BB19" s="24">
        <f>SUM(BB22:BB176)</f>
        <v>3.5934765102103056E-2</v>
      </c>
      <c r="BC19" s="24">
        <f>BC176</f>
        <v>3.5934765102103056E-2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111.23</v>
      </c>
      <c r="C20" s="33">
        <v>104.61</v>
      </c>
      <c r="D20" s="15">
        <v>3.9636120713563696E-3</v>
      </c>
      <c r="E20" s="15">
        <v>2.1157143321265202E-2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111.23</v>
      </c>
      <c r="M20" s="33">
        <v>104.61</v>
      </c>
      <c r="N20" s="34">
        <v>0.94048368245976799</v>
      </c>
      <c r="O20" s="34">
        <v>0.96273232566827205</v>
      </c>
      <c r="P20" s="34">
        <v>0.92305311456855699</v>
      </c>
      <c r="R20" s="33">
        <v>107.08471658408099</v>
      </c>
      <c r="S20" s="33">
        <v>102.26478883880699</v>
      </c>
      <c r="U20" s="15">
        <v>2.33811156189387E-2</v>
      </c>
      <c r="V20" s="15">
        <v>-2.2673730770902002E-2</v>
      </c>
      <c r="X20" s="34">
        <v>0.94048368245976799</v>
      </c>
      <c r="Y20" s="34">
        <v>0.96273232566827205</v>
      </c>
      <c r="Z20" s="34">
        <v>0.92305311456855699</v>
      </c>
      <c r="AB20" s="33">
        <v>107.08471658408099</v>
      </c>
      <c r="AC20" s="33">
        <v>102.26478883880699</v>
      </c>
      <c r="AE20" s="15">
        <v>2.33811156189387E-2</v>
      </c>
      <c r="AF20" s="15">
        <v>-2.2673730770902002E-2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LEN log rtn</v>
      </c>
      <c r="AP20" s="7" t="str">
        <f>E1</f>
        <v>LEN B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LEN log rtn</v>
      </c>
      <c r="BA20" s="24" t="str">
        <f>E1</f>
        <v>LEN B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109.35</v>
      </c>
      <c r="C21" s="33">
        <v>101.26</v>
      </c>
      <c r="D21" s="15">
        <v>-1.7046382481161099E-2</v>
      </c>
      <c r="E21" s="15">
        <v>-3.2547682813906298E-2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109.35</v>
      </c>
      <c r="M21" s="33">
        <v>101.26</v>
      </c>
      <c r="N21" s="34">
        <v>0.92601737540009099</v>
      </c>
      <c r="O21" s="34">
        <v>0.96273232566827205</v>
      </c>
      <c r="P21" s="34">
        <v>0.92490638585089702</v>
      </c>
      <c r="Q21" s="34">
        <v>0.91940635293694295</v>
      </c>
      <c r="R21" s="33">
        <v>105.274779811825</v>
      </c>
      <c r="S21" s="33">
        <v>100.93585807807101</v>
      </c>
      <c r="U21" s="15">
        <v>3.8882415951683902E-2</v>
      </c>
      <c r="V21" s="15">
        <v>-3.2062199758857899E-3</v>
      </c>
      <c r="X21" s="34">
        <v>0.92601737540009099</v>
      </c>
      <c r="Y21" s="34">
        <v>0.96273232566827205</v>
      </c>
      <c r="Z21" s="34">
        <v>0.92490638585089702</v>
      </c>
      <c r="AA21" s="34">
        <v>0.91940635293694295</v>
      </c>
      <c r="AB21" s="33">
        <v>105.274779811825</v>
      </c>
      <c r="AC21" s="33">
        <v>100.93585807807101</v>
      </c>
      <c r="AE21" s="15">
        <v>3.8882415951683902E-2</v>
      </c>
      <c r="AF21" s="15">
        <v>-3.2062199758857899E-3</v>
      </c>
      <c r="AI21" s="26">
        <v>-4.0000000000000001E-3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4.0000000000000001E-3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108.8</v>
      </c>
      <c r="C22" s="33">
        <v>101.51</v>
      </c>
      <c r="D22" s="15">
        <v>-5.0424127009346198E-3</v>
      </c>
      <c r="E22" s="15">
        <v>2.46584925457668E-3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108.8</v>
      </c>
      <c r="M22" s="33">
        <v>101.51</v>
      </c>
      <c r="N22" s="34">
        <v>0.93299632352941098</v>
      </c>
      <c r="O22" s="34">
        <v>0.96273232566827205</v>
      </c>
      <c r="P22" s="34">
        <v>0.92783583522044999</v>
      </c>
      <c r="Q22" s="34">
        <v>0.92019644928996303</v>
      </c>
      <c r="R22" s="33">
        <v>104.745277032708</v>
      </c>
      <c r="S22" s="33">
        <v>100.62981478057699</v>
      </c>
      <c r="T22" s="33">
        <v>100.03141119953899</v>
      </c>
      <c r="U22" s="15">
        <v>3.1374153996172799E-2</v>
      </c>
      <c r="V22" s="15">
        <v>-8.7087324512446496E-3</v>
      </c>
      <c r="W22" s="15">
        <v>-1.46730671356984E-2</v>
      </c>
      <c r="X22" s="34">
        <v>0.93299632352941098</v>
      </c>
      <c r="Y22" s="34">
        <v>0.96273232566827205</v>
      </c>
      <c r="Z22" s="34">
        <v>0.92783583522044999</v>
      </c>
      <c r="AA22" s="34">
        <v>0.92019644928996303</v>
      </c>
      <c r="AB22" s="33">
        <v>104.745277032708</v>
      </c>
      <c r="AC22" s="33">
        <v>100.62981478057699</v>
      </c>
      <c r="AD22" s="33">
        <v>100.03141119953899</v>
      </c>
      <c r="AE22" s="15">
        <v>3.1374153996172799E-2</v>
      </c>
      <c r="AF22" s="15">
        <v>-8.7087324512446496E-3</v>
      </c>
      <c r="AG22" s="15">
        <v>-1.46730671356984E-2</v>
      </c>
      <c r="AI22" s="26">
        <v>-2E-3</v>
      </c>
      <c r="AJ22">
        <f t="shared" ref="AJ22:AJ85" si="6">IF($AG22&lt;AI$21,1,0)</f>
        <v>1</v>
      </c>
      <c r="AK22">
        <f t="shared" ref="AK22:AK85" si="7">IF($AG22&gt;AI$22,1,0)</f>
        <v>0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2E-3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112.53</v>
      </c>
      <c r="C23" s="33">
        <v>103.74</v>
      </c>
      <c r="D23" s="15">
        <v>3.3708518340063498E-2</v>
      </c>
      <c r="E23" s="15">
        <v>2.1730453126914202E-2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112.53</v>
      </c>
      <c r="M23" s="33">
        <v>103.74</v>
      </c>
      <c r="N23" s="34">
        <v>0.92188749666755498</v>
      </c>
      <c r="O23" s="34">
        <v>0.96273232566827205</v>
      </c>
      <c r="P23" s="34">
        <v>0.92853448415778606</v>
      </c>
      <c r="Q23" s="34">
        <v>0.91993883171347401</v>
      </c>
      <c r="R23" s="33">
        <v>108.33626860744999</v>
      </c>
      <c r="S23" s="33">
        <v>104.409366537357</v>
      </c>
      <c r="T23" s="33">
        <v>103.549706438599</v>
      </c>
      <c r="U23" s="15">
        <v>4.3352219209321703E-2</v>
      </c>
      <c r="V23" s="15">
        <v>6.4316202916630703E-3</v>
      </c>
      <c r="W23" s="15">
        <v>-1.8360160581601601E-3</v>
      </c>
      <c r="X23" s="34">
        <v>0.92188749666755498</v>
      </c>
      <c r="Y23" s="34">
        <v>0.96273232566827205</v>
      </c>
      <c r="Z23" s="34">
        <v>0.92853448415778606</v>
      </c>
      <c r="AA23" s="34">
        <v>0.91993883171347401</v>
      </c>
      <c r="AB23" s="33">
        <v>108.33626860744999</v>
      </c>
      <c r="AC23" s="33">
        <v>104.409366537357</v>
      </c>
      <c r="AD23" s="33">
        <v>103.549706438599</v>
      </c>
      <c r="AE23" s="15">
        <v>4.3352219209321703E-2</v>
      </c>
      <c r="AF23" s="15">
        <v>6.4316202916630703E-3</v>
      </c>
      <c r="AG23" s="15">
        <v>-1.8360160581601601E-3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1</v>
      </c>
      <c r="AM23">
        <f t="shared" si="4"/>
        <v>1</v>
      </c>
      <c r="AN23">
        <f t="shared" ref="AN23:AN86" si="15">IF(AJ22,1,IF(AK22,0,AL22))*AM22</f>
        <v>1</v>
      </c>
      <c r="AO23" s="28">
        <f t="shared" si="8"/>
        <v>3.3708518340063498E-2</v>
      </c>
      <c r="AP23" s="28">
        <f t="shared" si="9"/>
        <v>-2.1730453126914202E-2</v>
      </c>
      <c r="AQ23" s="28">
        <f t="shared" ref="AQ23:AQ86" si="16">AO23+AP23</f>
        <v>1.1978065213149296E-2</v>
      </c>
      <c r="AR23" s="29">
        <f t="shared" ref="AR23:AR86" si="17">AR22+AQ23</f>
        <v>1.1978065213149296E-2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1.1978065213149296E-2</v>
      </c>
      <c r="BF23" s="29">
        <f t="shared" ref="BF23:BF86" si="23">BF22+BE23</f>
        <v>1.1978065213149296E-2</v>
      </c>
      <c r="BH23" s="29"/>
    </row>
    <row r="24" spans="1:124" x14ac:dyDescent="0.25">
      <c r="A24" s="1">
        <v>46057</v>
      </c>
      <c r="B24" s="33">
        <v>115.27</v>
      </c>
      <c r="C24" s="33">
        <v>107.5</v>
      </c>
      <c r="D24" s="15">
        <v>2.4057349851015399E-2</v>
      </c>
      <c r="E24" s="15">
        <v>3.56030786444635E-2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115.27</v>
      </c>
      <c r="M24" s="33">
        <v>107.5</v>
      </c>
      <c r="N24" s="34">
        <v>0.93259304242213903</v>
      </c>
      <c r="O24" s="34">
        <v>0.96273232566827205</v>
      </c>
      <c r="P24" s="34">
        <v>0.93010734772203396</v>
      </c>
      <c r="Q24" s="34">
        <v>0.920484429678883</v>
      </c>
      <c r="R24" s="33">
        <v>110.97415517978099</v>
      </c>
      <c r="S24" s="33">
        <v>107.03216998886801</v>
      </c>
      <c r="T24" s="33">
        <v>106.04134913161199</v>
      </c>
      <c r="U24" s="15">
        <v>3.1806490415873898E-2</v>
      </c>
      <c r="V24" s="15">
        <v>-4.3614041916281796E-3</v>
      </c>
      <c r="W24" s="15">
        <v>-1.3661743372186201E-2</v>
      </c>
      <c r="X24" s="34">
        <v>0.93259304242213903</v>
      </c>
      <c r="Y24" s="34">
        <v>0.96273232566827205</v>
      </c>
      <c r="Z24" s="34">
        <v>0.93010734772203396</v>
      </c>
      <c r="AA24" s="34">
        <v>0.920484429678883</v>
      </c>
      <c r="AB24" s="33">
        <v>110.97415517978099</v>
      </c>
      <c r="AC24" s="33">
        <v>107.03216998886801</v>
      </c>
      <c r="AD24" s="33">
        <v>106.04134913161199</v>
      </c>
      <c r="AE24" s="15">
        <v>3.1806490415873898E-2</v>
      </c>
      <c r="AF24" s="15">
        <v>-4.3614041916281796E-3</v>
      </c>
      <c r="AG24" s="15">
        <v>-1.3661743372186201E-2</v>
      </c>
      <c r="AI24" s="12"/>
      <c r="AJ24">
        <f t="shared" si="6"/>
        <v>1</v>
      </c>
      <c r="AK24">
        <f t="shared" si="7"/>
        <v>0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1.1978065213149296E-2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1.1978065213149296E-2</v>
      </c>
      <c r="BH24" s="29"/>
    </row>
    <row r="25" spans="1:124" x14ac:dyDescent="0.25">
      <c r="A25" s="1">
        <v>46058</v>
      </c>
      <c r="B25" s="33">
        <v>115.37</v>
      </c>
      <c r="C25" s="33">
        <v>106.46</v>
      </c>
      <c r="D25" s="15">
        <v>8.6715232627720398E-4</v>
      </c>
      <c r="E25" s="15">
        <v>-9.7215198231062304E-3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115.37</v>
      </c>
      <c r="M25" s="33">
        <v>106.46</v>
      </c>
      <c r="N25" s="34">
        <v>0.92277021756089095</v>
      </c>
      <c r="O25" s="34">
        <v>0.96273232566827205</v>
      </c>
      <c r="P25" s="34">
        <v>0.92997743024004398</v>
      </c>
      <c r="Q25" s="34">
        <v>0.92034178978236802</v>
      </c>
      <c r="R25" s="33">
        <v>111.07042841234799</v>
      </c>
      <c r="S25" s="33">
        <v>107.30648470669099</v>
      </c>
      <c r="T25" s="33">
        <v>106.196288652052</v>
      </c>
      <c r="U25" s="15">
        <v>4.2395162565257299E-2</v>
      </c>
      <c r="V25" s="15">
        <v>7.9197553565935608E-3</v>
      </c>
      <c r="W25" s="15">
        <v>-2.4801663265891102E-3</v>
      </c>
      <c r="X25" s="34">
        <v>0.92277021756089095</v>
      </c>
      <c r="Y25" s="34">
        <v>0.96273232566827205</v>
      </c>
      <c r="Z25" s="34">
        <v>0.92997743024004398</v>
      </c>
      <c r="AA25" s="34">
        <v>0.92034178978236802</v>
      </c>
      <c r="AB25" s="33">
        <v>111.07042841234799</v>
      </c>
      <c r="AC25" s="33">
        <v>107.30648470669099</v>
      </c>
      <c r="AD25" s="33">
        <v>106.196288652052</v>
      </c>
      <c r="AE25" s="15">
        <v>4.2395162565257299E-2</v>
      </c>
      <c r="AF25" s="15">
        <v>7.9197553565935608E-3</v>
      </c>
      <c r="AG25" s="15">
        <v>-2.4801663265891102E-3</v>
      </c>
      <c r="AI25" s="12"/>
      <c r="AJ25">
        <f t="shared" si="6"/>
        <v>0</v>
      </c>
      <c r="AK25">
        <f t="shared" si="7"/>
        <v>0</v>
      </c>
      <c r="AL25">
        <f t="shared" si="14"/>
        <v>1</v>
      </c>
      <c r="AM25">
        <f t="shared" si="4"/>
        <v>1</v>
      </c>
      <c r="AN25">
        <f t="shared" si="15"/>
        <v>1</v>
      </c>
      <c r="AO25" s="28">
        <f t="shared" si="8"/>
        <v>8.6715232627720398E-4</v>
      </c>
      <c r="AP25" s="28">
        <f t="shared" si="9"/>
        <v>9.7215198231062304E-3</v>
      </c>
      <c r="AQ25" s="28">
        <f t="shared" si="16"/>
        <v>1.0588672149383435E-2</v>
      </c>
      <c r="AR25" s="29">
        <f t="shared" si="17"/>
        <v>2.2566737362532729E-2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1.0588672149383435E-2</v>
      </c>
      <c r="BF25" s="29">
        <f t="shared" si="23"/>
        <v>2.2566737362532729E-2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114.02</v>
      </c>
      <c r="C26" s="33">
        <v>106.67</v>
      </c>
      <c r="D26" s="15">
        <v>-1.1770483335762499E-2</v>
      </c>
      <c r="E26" s="15">
        <v>1.9706288927801401E-3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114.02</v>
      </c>
      <c r="M26" s="33">
        <v>106.67</v>
      </c>
      <c r="N26" s="34">
        <v>0.93553762497807402</v>
      </c>
      <c r="O26" s="34">
        <v>0.96273232566827205</v>
      </c>
      <c r="P26" s="34">
        <v>0.93015672921853798</v>
      </c>
      <c r="Q26" s="34">
        <v>0.92105294761730505</v>
      </c>
      <c r="R26" s="33">
        <v>109.770739772696</v>
      </c>
      <c r="S26" s="33">
        <v>106.03602659596901</v>
      </c>
      <c r="T26" s="33">
        <v>104.93737087098501</v>
      </c>
      <c r="U26" s="15">
        <v>2.86540503367145E-2</v>
      </c>
      <c r="V26" s="15">
        <v>-5.9610467223690598E-3</v>
      </c>
      <c r="W26" s="15">
        <v>-1.6376252332985401E-2</v>
      </c>
      <c r="X26" s="34">
        <v>0.93553762497807402</v>
      </c>
      <c r="Y26" s="34">
        <v>0.96273232566827205</v>
      </c>
      <c r="Z26" s="34">
        <v>0.93015672921853798</v>
      </c>
      <c r="AA26" s="34">
        <v>0.92105294761730505</v>
      </c>
      <c r="AB26" s="33">
        <v>109.770739772696</v>
      </c>
      <c r="AC26" s="33">
        <v>106.03602659596901</v>
      </c>
      <c r="AD26" s="33">
        <v>104.93737087098501</v>
      </c>
      <c r="AE26" s="15">
        <v>2.86540503367145E-2</v>
      </c>
      <c r="AF26" s="15">
        <v>-5.9610467223690598E-3</v>
      </c>
      <c r="AG26" s="15">
        <v>-1.6376252332985401E-2</v>
      </c>
      <c r="AI26" s="12"/>
      <c r="AJ26">
        <f t="shared" si="6"/>
        <v>1</v>
      </c>
      <c r="AK26">
        <f t="shared" si="7"/>
        <v>0</v>
      </c>
      <c r="AL26">
        <f t="shared" si="14"/>
        <v>1</v>
      </c>
      <c r="AM26">
        <f t="shared" si="4"/>
        <v>1</v>
      </c>
      <c r="AN26">
        <f t="shared" si="15"/>
        <v>1</v>
      </c>
      <c r="AO26" s="28">
        <f t="shared" si="8"/>
        <v>-1.1770483335762499E-2</v>
      </c>
      <c r="AP26" s="28">
        <f t="shared" si="9"/>
        <v>-1.9706288927801401E-3</v>
      </c>
      <c r="AQ26" s="28">
        <f t="shared" si="16"/>
        <v>-1.3741112228542639E-2</v>
      </c>
      <c r="AR26" s="29">
        <f t="shared" si="17"/>
        <v>8.82562513399009E-3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-1.3741112228542639E-2</v>
      </c>
      <c r="BF26" s="29">
        <f t="shared" si="23"/>
        <v>8.82562513399009E-3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114.08</v>
      </c>
      <c r="C27" s="33">
        <v>106.4</v>
      </c>
      <c r="D27" s="15">
        <v>5.26085062549912E-4</v>
      </c>
      <c r="E27" s="15">
        <v>-2.5343797298473599E-3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114.08</v>
      </c>
      <c r="M27" s="33">
        <v>106.4</v>
      </c>
      <c r="N27" s="34">
        <v>0.932678821879383</v>
      </c>
      <c r="O27" s="34">
        <v>0.96273232566827205</v>
      </c>
      <c r="P27" s="34">
        <v>0.92966443777652596</v>
      </c>
      <c r="Q27" s="34">
        <v>0.92230324091253302</v>
      </c>
      <c r="R27" s="33">
        <v>109.828503712236</v>
      </c>
      <c r="S27" s="33">
        <v>106.11227966925</v>
      </c>
      <c r="T27" s="33">
        <v>105.073720264182</v>
      </c>
      <c r="U27" s="15">
        <v>3.17145151291119E-2</v>
      </c>
      <c r="V27" s="15">
        <v>-2.7078012338721601E-3</v>
      </c>
      <c r="W27" s="15">
        <v>-1.25433753512285E-2</v>
      </c>
      <c r="X27" s="34">
        <v>0.932678821879383</v>
      </c>
      <c r="Y27" s="34">
        <v>0.96273232566827205</v>
      </c>
      <c r="Z27" s="34">
        <v>0.92966443777652596</v>
      </c>
      <c r="AA27" s="34">
        <v>0.92230324091253302</v>
      </c>
      <c r="AB27" s="33">
        <v>109.828503712236</v>
      </c>
      <c r="AC27" s="33">
        <v>106.11227966925</v>
      </c>
      <c r="AD27" s="33">
        <v>105.073720264182</v>
      </c>
      <c r="AE27" s="15">
        <v>3.17145151291119E-2</v>
      </c>
      <c r="AF27" s="15">
        <v>-2.7078012338721601E-3</v>
      </c>
      <c r="AG27" s="15">
        <v>-1.25433753512285E-2</v>
      </c>
      <c r="AI27" s="12"/>
      <c r="AJ27">
        <f t="shared" si="6"/>
        <v>1</v>
      </c>
      <c r="AK27">
        <f t="shared" si="7"/>
        <v>0</v>
      </c>
      <c r="AL27">
        <f t="shared" si="14"/>
        <v>1</v>
      </c>
      <c r="AM27">
        <f t="shared" si="4"/>
        <v>1</v>
      </c>
      <c r="AN27">
        <f t="shared" si="15"/>
        <v>1</v>
      </c>
      <c r="AO27" s="28">
        <f t="shared" si="8"/>
        <v>5.26085062549912E-4</v>
      </c>
      <c r="AP27" s="28">
        <f t="shared" si="9"/>
        <v>2.5343797298473599E-3</v>
      </c>
      <c r="AQ27" s="28">
        <f t="shared" si="16"/>
        <v>3.0604647923972716E-3</v>
      </c>
      <c r="AR27" s="29">
        <f t="shared" si="17"/>
        <v>1.1886089926387362E-2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3.0604647923972716E-3</v>
      </c>
      <c r="BF27" s="29">
        <f t="shared" si="23"/>
        <v>1.1886089926387362E-2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119.4</v>
      </c>
      <c r="C28" s="33">
        <v>111</v>
      </c>
      <c r="D28" s="15">
        <v>4.5579244292515801E-2</v>
      </c>
      <c r="E28" s="15">
        <v>4.2324624404789998E-2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119.4</v>
      </c>
      <c r="M28" s="33">
        <v>111</v>
      </c>
      <c r="N28" s="34">
        <v>0.92964824120602996</v>
      </c>
      <c r="O28" s="34">
        <v>0.96273232566827205</v>
      </c>
      <c r="P28" s="34">
        <v>0.92990644914160903</v>
      </c>
      <c r="Q28" s="34">
        <v>0.92348788622345401</v>
      </c>
      <c r="R28" s="33">
        <v>114.950239684791</v>
      </c>
      <c r="S28" s="33">
        <v>111.00193387051701</v>
      </c>
      <c r="T28" s="33">
        <v>110.12300696495601</v>
      </c>
      <c r="U28" s="15">
        <v>3.4969135016837703E-2</v>
      </c>
      <c r="V28" s="15">
        <v>1.74221051462811E-5</v>
      </c>
      <c r="W28" s="15">
        <v>-7.9322151543211906E-3</v>
      </c>
      <c r="X28" s="34">
        <v>0.92964824120602996</v>
      </c>
      <c r="Y28" s="34">
        <v>0.96273232566827205</v>
      </c>
      <c r="Z28" s="34">
        <v>0.92990644914160903</v>
      </c>
      <c r="AA28" s="34">
        <v>0.92348788622345401</v>
      </c>
      <c r="AB28" s="33">
        <v>114.950239684791</v>
      </c>
      <c r="AC28" s="33">
        <v>111.00193387051701</v>
      </c>
      <c r="AD28" s="33">
        <v>110.12300696495601</v>
      </c>
      <c r="AE28" s="15">
        <v>3.4969135016837703E-2</v>
      </c>
      <c r="AF28" s="15">
        <v>1.74221051462811E-5</v>
      </c>
      <c r="AG28" s="15">
        <v>-7.9322151543211906E-3</v>
      </c>
      <c r="AI28" s="12"/>
      <c r="AJ28">
        <f t="shared" si="6"/>
        <v>1</v>
      </c>
      <c r="AK28">
        <f t="shared" si="7"/>
        <v>0</v>
      </c>
      <c r="AL28">
        <f t="shared" si="14"/>
        <v>1</v>
      </c>
      <c r="AM28">
        <f t="shared" si="4"/>
        <v>1</v>
      </c>
      <c r="AN28">
        <f t="shared" si="15"/>
        <v>1</v>
      </c>
      <c r="AO28" s="28">
        <f t="shared" si="8"/>
        <v>4.5579244292515801E-2</v>
      </c>
      <c r="AP28" s="28">
        <f t="shared" si="9"/>
        <v>-4.2324624404789998E-2</v>
      </c>
      <c r="AQ28" s="28">
        <f t="shared" si="16"/>
        <v>3.2546198877258029E-3</v>
      </c>
      <c r="AR28" s="29">
        <f t="shared" si="17"/>
        <v>1.5140709814113164E-2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3.2546198877258029E-3</v>
      </c>
      <c r="BF28" s="29">
        <f t="shared" si="23"/>
        <v>1.5140709814113164E-2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120.99</v>
      </c>
      <c r="C29" s="33">
        <v>112.13</v>
      </c>
      <c r="D29" s="15">
        <v>1.32286965948846E-2</v>
      </c>
      <c r="E29" s="15">
        <v>1.01287111604552E-2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120.99</v>
      </c>
      <c r="M29" s="33">
        <v>112.13</v>
      </c>
      <c r="N29" s="34">
        <v>0.92677080750475205</v>
      </c>
      <c r="O29" s="34">
        <v>0.96273232566827205</v>
      </c>
      <c r="P29" s="34">
        <v>0.93013836336080902</v>
      </c>
      <c r="Q29" s="34">
        <v>0.924768852806931</v>
      </c>
      <c r="R29" s="33">
        <v>116.480984082604</v>
      </c>
      <c r="S29" s="33">
        <v>112.509381281643</v>
      </c>
      <c r="T29" s="33">
        <v>111.732799354175</v>
      </c>
      <c r="U29" s="15">
        <v>3.8069120451267299E-2</v>
      </c>
      <c r="V29" s="15">
        <v>3.3776948651653101E-3</v>
      </c>
      <c r="W29" s="15">
        <v>-3.5486115941301701E-3</v>
      </c>
      <c r="X29" s="34">
        <v>0.92677080750475205</v>
      </c>
      <c r="Y29" s="34">
        <v>0.96273232566827205</v>
      </c>
      <c r="Z29" s="34">
        <v>0.93013836336080902</v>
      </c>
      <c r="AA29" s="34">
        <v>0.924768852806931</v>
      </c>
      <c r="AB29" s="33">
        <v>116.480984082604</v>
      </c>
      <c r="AC29" s="33">
        <v>112.509381281643</v>
      </c>
      <c r="AD29" s="33">
        <v>111.732799354175</v>
      </c>
      <c r="AE29" s="15">
        <v>3.8069120451267299E-2</v>
      </c>
      <c r="AF29" s="15">
        <v>3.3776948651653101E-3</v>
      </c>
      <c r="AG29" s="15">
        <v>-3.5486115941301701E-3</v>
      </c>
      <c r="AI29" s="12"/>
      <c r="AJ29">
        <f t="shared" si="6"/>
        <v>0</v>
      </c>
      <c r="AK29">
        <f t="shared" si="7"/>
        <v>0</v>
      </c>
      <c r="AL29">
        <f t="shared" si="14"/>
        <v>1</v>
      </c>
      <c r="AM29">
        <f t="shared" si="4"/>
        <v>1</v>
      </c>
      <c r="AN29">
        <f t="shared" si="15"/>
        <v>1</v>
      </c>
      <c r="AO29" s="28">
        <f t="shared" si="8"/>
        <v>1.32286965948846E-2</v>
      </c>
      <c r="AP29" s="28">
        <f t="shared" si="9"/>
        <v>-1.01287111604552E-2</v>
      </c>
      <c r="AQ29" s="28">
        <f t="shared" si="16"/>
        <v>3.0999854344294E-3</v>
      </c>
      <c r="AR29" s="29">
        <f t="shared" si="17"/>
        <v>1.8240695248542563E-2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3.0999854344294E-3</v>
      </c>
      <c r="BF29" s="29">
        <f t="shared" si="23"/>
        <v>1.8240695248542563E-2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120.83</v>
      </c>
      <c r="C30" s="33">
        <v>111.82</v>
      </c>
      <c r="D30" s="15">
        <v>-1.32329851416961E-3</v>
      </c>
      <c r="E30" s="15">
        <v>-2.7684768742900802E-3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120.83</v>
      </c>
      <c r="M30" s="33">
        <v>111.82</v>
      </c>
      <c r="N30" s="34">
        <v>0.92543242572208795</v>
      </c>
      <c r="O30" s="34">
        <v>0.96273232566827205</v>
      </c>
      <c r="P30" s="34">
        <v>0.92863323768704098</v>
      </c>
      <c r="Q30" s="34">
        <v>0.92584317612779898</v>
      </c>
      <c r="R30" s="33">
        <v>116.326946910497</v>
      </c>
      <c r="S30" s="33">
        <v>112.38861844488601</v>
      </c>
      <c r="T30" s="33">
        <v>111.739820484661</v>
      </c>
      <c r="U30" s="15">
        <v>3.95142988113878E-2</v>
      </c>
      <c r="V30" s="15">
        <v>5.0722373468840296E-3</v>
      </c>
      <c r="W30" s="15">
        <v>-7.1729811378895797E-4</v>
      </c>
      <c r="X30" s="34">
        <v>0.92543242572208795</v>
      </c>
      <c r="Y30" s="34">
        <v>0.96273232566827205</v>
      </c>
      <c r="Z30" s="34">
        <v>0.92863323768704098</v>
      </c>
      <c r="AA30" s="34">
        <v>0.92584317612779898</v>
      </c>
      <c r="AB30" s="33">
        <v>116.326946910497</v>
      </c>
      <c r="AC30" s="33">
        <v>112.38861844488601</v>
      </c>
      <c r="AD30" s="33">
        <v>111.739820484661</v>
      </c>
      <c r="AE30" s="15">
        <v>3.95142988113878E-2</v>
      </c>
      <c r="AF30" s="15">
        <v>5.0722373468840296E-3</v>
      </c>
      <c r="AG30" s="15">
        <v>-7.1729811378895797E-4</v>
      </c>
      <c r="AI30" s="12"/>
      <c r="AJ30">
        <f t="shared" si="6"/>
        <v>0</v>
      </c>
      <c r="AK30">
        <f t="shared" si="7"/>
        <v>1</v>
      </c>
      <c r="AL30">
        <f t="shared" si="14"/>
        <v>1</v>
      </c>
      <c r="AM30">
        <f t="shared" si="4"/>
        <v>1</v>
      </c>
      <c r="AN30">
        <f t="shared" si="15"/>
        <v>1</v>
      </c>
      <c r="AO30" s="28">
        <f t="shared" si="8"/>
        <v>-1.32329851416961E-3</v>
      </c>
      <c r="AP30" s="28">
        <f t="shared" si="9"/>
        <v>2.7684768742900802E-3</v>
      </c>
      <c r="AQ30" s="28">
        <f t="shared" si="16"/>
        <v>1.4451783601204702E-3</v>
      </c>
      <c r="AR30" s="29">
        <f t="shared" si="17"/>
        <v>1.9685873608663033E-2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1.4451783601204702E-3</v>
      </c>
      <c r="BF30" s="29">
        <f t="shared" si="23"/>
        <v>1.9685873608663033E-2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122.28</v>
      </c>
      <c r="C31" s="33">
        <v>114.25</v>
      </c>
      <c r="D31" s="15">
        <v>1.1928897983416901E-2</v>
      </c>
      <c r="E31" s="15">
        <v>2.14985941758149E-2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122.28</v>
      </c>
      <c r="M31" s="33">
        <v>114.25</v>
      </c>
      <c r="N31" s="34">
        <v>0.93433104350670504</v>
      </c>
      <c r="O31" s="34">
        <v>0.96273232566827205</v>
      </c>
      <c r="P31" s="34">
        <v>0.92946460449770296</v>
      </c>
      <c r="Q31" s="34">
        <v>0.92718549517430005</v>
      </c>
      <c r="R31" s="33">
        <v>117.722908782716</v>
      </c>
      <c r="S31" s="33">
        <v>113.55327230437101</v>
      </c>
      <c r="T31" s="33">
        <v>113.212103576907</v>
      </c>
      <c r="U31" s="15">
        <v>2.9944602618989801E-2</v>
      </c>
      <c r="V31" s="15">
        <v>-6.1169434576964603E-3</v>
      </c>
      <c r="W31" s="15">
        <v>-9.1259476635021097E-3</v>
      </c>
      <c r="X31" s="34">
        <v>0.93433104350670504</v>
      </c>
      <c r="Y31" s="34">
        <v>0.96273232566827205</v>
      </c>
      <c r="Z31" s="34">
        <v>0.92946460449770296</v>
      </c>
      <c r="AA31" s="34">
        <v>0.92718549517430005</v>
      </c>
      <c r="AB31" s="33">
        <v>117.722908782716</v>
      </c>
      <c r="AC31" s="33">
        <v>113.55327230437101</v>
      </c>
      <c r="AD31" s="33">
        <v>113.212103576907</v>
      </c>
      <c r="AE31" s="15">
        <v>2.9944602618989801E-2</v>
      </c>
      <c r="AF31" s="15">
        <v>-6.1169434576964603E-3</v>
      </c>
      <c r="AG31" s="15">
        <v>-9.1259476635021097E-3</v>
      </c>
      <c r="AI31" s="12"/>
      <c r="AJ31">
        <f t="shared" si="6"/>
        <v>1</v>
      </c>
      <c r="AK31">
        <f t="shared" si="7"/>
        <v>0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1.9685873608663033E-2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1.9685873608663033E-2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121.44</v>
      </c>
      <c r="C32" s="33">
        <v>113.99</v>
      </c>
      <c r="D32" s="15">
        <v>-6.8931833753139802E-3</v>
      </c>
      <c r="E32" s="15">
        <v>-2.2783045256269201E-3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121.44</v>
      </c>
      <c r="M32" s="33">
        <v>113.99</v>
      </c>
      <c r="N32" s="34">
        <v>0.938652832674571</v>
      </c>
      <c r="O32" s="34">
        <v>0.96273232566827205</v>
      </c>
      <c r="P32" s="34">
        <v>0.93003025541221895</v>
      </c>
      <c r="Q32" s="34">
        <v>0.92893304531633503</v>
      </c>
      <c r="R32" s="33">
        <v>116.914213629155</v>
      </c>
      <c r="S32" s="33">
        <v>112.874181570201</v>
      </c>
      <c r="T32" s="33">
        <v>112.597406533967</v>
      </c>
      <c r="U32" s="15">
        <v>2.5329723769302901E-2</v>
      </c>
      <c r="V32" s="15">
        <v>-9.8369643001627594E-3</v>
      </c>
      <c r="W32" s="15">
        <v>-1.22920423663695E-2</v>
      </c>
      <c r="X32" s="34">
        <v>0.938652832674571</v>
      </c>
      <c r="Y32" s="34">
        <v>0.96273232566827205</v>
      </c>
      <c r="Z32" s="34">
        <v>0.93003025541221895</v>
      </c>
      <c r="AA32" s="34">
        <v>0.92893304531633503</v>
      </c>
      <c r="AB32" s="33">
        <v>116.914213629155</v>
      </c>
      <c r="AC32" s="33">
        <v>112.874181570201</v>
      </c>
      <c r="AD32" s="33">
        <v>112.597406533967</v>
      </c>
      <c r="AE32" s="15">
        <v>2.5329723769302901E-2</v>
      </c>
      <c r="AF32" s="15">
        <v>-9.8369643001627594E-3</v>
      </c>
      <c r="AG32" s="15">
        <v>-1.22920423663695E-2</v>
      </c>
      <c r="AI32" s="12"/>
      <c r="AJ32">
        <f t="shared" si="6"/>
        <v>1</v>
      </c>
      <c r="AK32">
        <f t="shared" si="7"/>
        <v>0</v>
      </c>
      <c r="AL32">
        <f t="shared" si="14"/>
        <v>1</v>
      </c>
      <c r="AM32">
        <f t="shared" si="4"/>
        <v>1</v>
      </c>
      <c r="AN32">
        <f t="shared" si="15"/>
        <v>1</v>
      </c>
      <c r="AO32" s="28">
        <f t="shared" si="8"/>
        <v>-6.8931833753139802E-3</v>
      </c>
      <c r="AP32" s="28">
        <f t="shared" si="9"/>
        <v>2.2783045256269201E-3</v>
      </c>
      <c r="AQ32" s="28">
        <f t="shared" si="16"/>
        <v>-4.6148788496870596E-3</v>
      </c>
      <c r="AR32" s="29">
        <f t="shared" si="17"/>
        <v>1.5070994758975973E-2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-4.6148788496870596E-3</v>
      </c>
      <c r="BF32" s="29">
        <f t="shared" si="23"/>
        <v>1.5070994758975973E-2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121.26</v>
      </c>
      <c r="C33" s="33">
        <v>113.45</v>
      </c>
      <c r="D33" s="15">
        <v>-1.4833130037350799E-3</v>
      </c>
      <c r="E33" s="15">
        <v>-4.7485140228363601E-3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121.26</v>
      </c>
      <c r="M33" s="33">
        <v>113.45</v>
      </c>
      <c r="N33" s="34">
        <v>0.93559294078838795</v>
      </c>
      <c r="O33" s="34">
        <v>0.96273232566827205</v>
      </c>
      <c r="P33" s="34">
        <v>0.93140079982430202</v>
      </c>
      <c r="Q33" s="34">
        <v>0.92996764199104398</v>
      </c>
      <c r="R33" s="33">
        <v>116.740921810534</v>
      </c>
      <c r="S33" s="33">
        <v>112.77546877128501</v>
      </c>
      <c r="T33" s="33">
        <v>112.642421075058</v>
      </c>
      <c r="U33" s="15">
        <v>2.85949247884042E-2</v>
      </c>
      <c r="V33" s="15">
        <v>-5.9633712449673904E-3</v>
      </c>
      <c r="W33" s="15">
        <v>-7.1438251279084203E-3</v>
      </c>
      <c r="X33" s="34">
        <v>0.93559294078838795</v>
      </c>
      <c r="Y33" s="34">
        <v>0.96273232566827205</v>
      </c>
      <c r="Z33" s="34">
        <v>0.93140079982430202</v>
      </c>
      <c r="AA33" s="34">
        <v>0.92996764199104398</v>
      </c>
      <c r="AB33" s="33">
        <v>116.740921810534</v>
      </c>
      <c r="AC33" s="33">
        <v>112.77546877128501</v>
      </c>
      <c r="AD33" s="33">
        <v>112.642421075058</v>
      </c>
      <c r="AE33" s="15">
        <v>2.85949247884042E-2</v>
      </c>
      <c r="AF33" s="15">
        <v>-5.9633712449673904E-3</v>
      </c>
      <c r="AG33" s="15">
        <v>-7.1438251279084203E-3</v>
      </c>
      <c r="AI33" s="12"/>
      <c r="AJ33">
        <f t="shared" si="6"/>
        <v>1</v>
      </c>
      <c r="AK33">
        <f t="shared" si="7"/>
        <v>0</v>
      </c>
      <c r="AL33">
        <f t="shared" si="14"/>
        <v>1</v>
      </c>
      <c r="AM33">
        <f t="shared" si="4"/>
        <v>1</v>
      </c>
      <c r="AN33">
        <f t="shared" si="15"/>
        <v>1</v>
      </c>
      <c r="AO33" s="28">
        <f t="shared" si="8"/>
        <v>-1.4833130037350799E-3</v>
      </c>
      <c r="AP33" s="28">
        <f t="shared" si="9"/>
        <v>4.7485140228363601E-3</v>
      </c>
      <c r="AQ33" s="28">
        <f t="shared" si="16"/>
        <v>3.2652010191012801E-3</v>
      </c>
      <c r="AR33" s="29">
        <f t="shared" si="17"/>
        <v>1.8336195778077255E-2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3.2652010191012801E-3</v>
      </c>
      <c r="BF33" s="29">
        <f t="shared" si="23"/>
        <v>1.8336195778077255E-2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116.12</v>
      </c>
      <c r="C34" s="33">
        <v>108.64</v>
      </c>
      <c r="D34" s="15">
        <v>-4.3312861487155498E-2</v>
      </c>
      <c r="E34" s="15">
        <v>-4.33225474154647E-2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116.12</v>
      </c>
      <c r="M34" s="33">
        <v>108.64</v>
      </c>
      <c r="N34" s="34">
        <v>0.93558387874612403</v>
      </c>
      <c r="O34" s="34">
        <v>0.96273232566827205</v>
      </c>
      <c r="P34" s="34">
        <v>0.93169988345670096</v>
      </c>
      <c r="Q34" s="34">
        <v>0.93090361558936696</v>
      </c>
      <c r="R34" s="33">
        <v>111.792477656599</v>
      </c>
      <c r="S34" s="33">
        <v>108.154260875598</v>
      </c>
      <c r="T34" s="33">
        <v>107.98784258800001</v>
      </c>
      <c r="U34" s="15">
        <v>2.8604610716713399E-2</v>
      </c>
      <c r="V34" s="15">
        <v>-4.4811143547710298E-3</v>
      </c>
      <c r="W34" s="15">
        <v>-6.0210116521189202E-3</v>
      </c>
      <c r="X34" s="34">
        <v>0.93558387874612403</v>
      </c>
      <c r="Y34" s="34">
        <v>0.96273232566827205</v>
      </c>
      <c r="Z34" s="34">
        <v>0.93169988345670096</v>
      </c>
      <c r="AA34" s="34">
        <v>0.93090361558936696</v>
      </c>
      <c r="AB34" s="33">
        <v>111.792477656599</v>
      </c>
      <c r="AC34" s="33">
        <v>108.154260875598</v>
      </c>
      <c r="AD34" s="33">
        <v>107.98784258800001</v>
      </c>
      <c r="AE34" s="15">
        <v>2.8604610716713399E-2</v>
      </c>
      <c r="AF34" s="15">
        <v>-4.4811143547710298E-3</v>
      </c>
      <c r="AG34" s="15">
        <v>-6.0210116521189202E-3</v>
      </c>
      <c r="AI34" s="12"/>
      <c r="AJ34">
        <f t="shared" si="6"/>
        <v>1</v>
      </c>
      <c r="AK34">
        <f t="shared" si="7"/>
        <v>0</v>
      </c>
      <c r="AL34">
        <f t="shared" si="14"/>
        <v>1</v>
      </c>
      <c r="AM34">
        <f t="shared" si="4"/>
        <v>1</v>
      </c>
      <c r="AN34">
        <f t="shared" si="15"/>
        <v>1</v>
      </c>
      <c r="AO34" s="28">
        <f t="shared" si="8"/>
        <v>-4.3312861487155498E-2</v>
      </c>
      <c r="AP34" s="28">
        <f t="shared" si="9"/>
        <v>4.33225474154647E-2</v>
      </c>
      <c r="AQ34" s="28">
        <f t="shared" si="16"/>
        <v>9.6859283092026738E-6</v>
      </c>
      <c r="AR34" s="29">
        <f t="shared" si="17"/>
        <v>1.8345881706386458E-2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9.6859283092026738E-6</v>
      </c>
      <c r="BF34" s="29">
        <f t="shared" si="23"/>
        <v>1.8345881706386458E-2</v>
      </c>
      <c r="BH34" s="29"/>
    </row>
    <row r="35" spans="1:124" x14ac:dyDescent="0.25">
      <c r="A35" s="1">
        <v>46073</v>
      </c>
      <c r="B35" s="33">
        <v>116.46</v>
      </c>
      <c r="C35" s="33">
        <v>108.62</v>
      </c>
      <c r="D35" s="15">
        <v>2.9237272525446702E-3</v>
      </c>
      <c r="E35" s="15">
        <v>-1.8411120368677899E-4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116.46</v>
      </c>
      <c r="M35" s="33">
        <v>108.62</v>
      </c>
      <c r="N35" s="34">
        <v>0.93268074875493701</v>
      </c>
      <c r="O35" s="34">
        <v>0.96273232566827205</v>
      </c>
      <c r="P35" s="34">
        <v>0.93269093657610502</v>
      </c>
      <c r="Q35" s="34">
        <v>0.93133418340807494</v>
      </c>
      <c r="R35" s="33">
        <v>112.119806647327</v>
      </c>
      <c r="S35" s="33">
        <v>108.505768427367</v>
      </c>
      <c r="T35" s="33">
        <v>108.413035071537</v>
      </c>
      <c r="U35" s="15">
        <v>3.1712449172944801E-2</v>
      </c>
      <c r="V35" s="15">
        <v>-1.05221581021325E-3</v>
      </c>
      <c r="W35" s="15">
        <v>-1.90722109314034E-3</v>
      </c>
      <c r="X35" s="34">
        <v>0.93268074875493701</v>
      </c>
      <c r="Y35" s="34">
        <v>0.96273232566827205</v>
      </c>
      <c r="Z35" s="34">
        <v>0.93269093657610502</v>
      </c>
      <c r="AA35" s="34">
        <v>0.93133418340807494</v>
      </c>
      <c r="AB35" s="33">
        <v>112.119806647327</v>
      </c>
      <c r="AC35" s="33">
        <v>108.505768427367</v>
      </c>
      <c r="AD35" s="33">
        <v>108.413035071537</v>
      </c>
      <c r="AE35" s="15">
        <v>3.1712449172944801E-2</v>
      </c>
      <c r="AF35" s="15">
        <v>-1.05221581021325E-3</v>
      </c>
      <c r="AG35" s="15">
        <v>-1.90722109314034E-3</v>
      </c>
      <c r="AI35" s="12"/>
      <c r="AJ35">
        <f t="shared" si="6"/>
        <v>0</v>
      </c>
      <c r="AK35">
        <f t="shared" si="7"/>
        <v>1</v>
      </c>
      <c r="AL35">
        <f t="shared" si="14"/>
        <v>1</v>
      </c>
      <c r="AM35">
        <f t="shared" si="4"/>
        <v>1</v>
      </c>
      <c r="AN35">
        <f t="shared" si="15"/>
        <v>1</v>
      </c>
      <c r="AO35" s="28">
        <f t="shared" si="8"/>
        <v>2.9237272525446702E-3</v>
      </c>
      <c r="AP35" s="28">
        <f t="shared" si="9"/>
        <v>1.8411120368677899E-4</v>
      </c>
      <c r="AQ35" s="28">
        <f t="shared" si="16"/>
        <v>3.1078384562314492E-3</v>
      </c>
      <c r="AR35" s="29">
        <f t="shared" si="17"/>
        <v>2.1453720162617908E-2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3.1078384562314492E-3</v>
      </c>
      <c r="BF35" s="29">
        <f t="shared" si="23"/>
        <v>2.1453720162617908E-2</v>
      </c>
      <c r="BH35" s="29"/>
    </row>
    <row r="36" spans="1:124" x14ac:dyDescent="0.25">
      <c r="A36" s="1">
        <v>46076</v>
      </c>
      <c r="B36" s="33">
        <v>116.2</v>
      </c>
      <c r="C36" s="33">
        <v>107.73</v>
      </c>
      <c r="D36" s="15">
        <v>-2.2350219911629098E-3</v>
      </c>
      <c r="E36" s="15">
        <v>-8.2274557005979996E-3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116.2</v>
      </c>
      <c r="M36" s="33">
        <v>107.73</v>
      </c>
      <c r="N36" s="34">
        <v>0.92710843373493901</v>
      </c>
      <c r="O36" s="34">
        <v>0.96273232566827205</v>
      </c>
      <c r="P36" s="34">
        <v>0.93184801745179202</v>
      </c>
      <c r="Q36" s="34">
        <v>0.931002373335165</v>
      </c>
      <c r="R36" s="33">
        <v>111.869496242653</v>
      </c>
      <c r="S36" s="33">
        <v>108.378686830143</v>
      </c>
      <c r="T36" s="33">
        <v>108.22103211201799</v>
      </c>
      <c r="U36" s="15">
        <v>3.7704882882379998E-2</v>
      </c>
      <c r="V36" s="15">
        <v>6.0033568099072902E-3</v>
      </c>
      <c r="W36" s="15">
        <v>4.5476324282132698E-3</v>
      </c>
      <c r="X36" s="34">
        <v>0.92710843373493901</v>
      </c>
      <c r="Y36" s="34">
        <v>0.96273232566827205</v>
      </c>
      <c r="Z36" s="34">
        <v>0.93184801745179202</v>
      </c>
      <c r="AA36" s="34">
        <v>0.931002373335165</v>
      </c>
      <c r="AB36" s="33">
        <v>111.869496242653</v>
      </c>
      <c r="AC36" s="33">
        <v>108.378686830143</v>
      </c>
      <c r="AD36" s="33">
        <v>108.22103211201799</v>
      </c>
      <c r="AE36" s="15">
        <v>3.7704882882379998E-2</v>
      </c>
      <c r="AF36" s="15">
        <v>6.0033568099072902E-3</v>
      </c>
      <c r="AG36" s="15">
        <v>4.5476324282132698E-3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2.1453720162617908E-2</v>
      </c>
      <c r="AT36" s="12"/>
      <c r="AU36">
        <f t="shared" si="10"/>
        <v>1</v>
      </c>
      <c r="AV36">
        <f t="shared" si="11"/>
        <v>0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2.1453720162617908E-2</v>
      </c>
      <c r="BH36" s="29"/>
    </row>
    <row r="37" spans="1:124" x14ac:dyDescent="0.25">
      <c r="A37" s="1">
        <v>46077</v>
      </c>
      <c r="B37" s="33">
        <v>116.4</v>
      </c>
      <c r="C37" s="33">
        <v>108.34</v>
      </c>
      <c r="D37" s="15">
        <v>1.7196908795266701E-3</v>
      </c>
      <c r="E37" s="15">
        <v>5.6463333236517E-3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116.4</v>
      </c>
      <c r="M37" s="33">
        <v>108.34</v>
      </c>
      <c r="N37" s="34">
        <v>0.93075601374570405</v>
      </c>
      <c r="O37" s="34">
        <v>0.96273232566827205</v>
      </c>
      <c r="P37" s="34">
        <v>0.93165573663842405</v>
      </c>
      <c r="Q37" s="34">
        <v>0.93066008720747495</v>
      </c>
      <c r="R37" s="33">
        <v>112.06204270778601</v>
      </c>
      <c r="S37" s="33">
        <v>108.46710923138799</v>
      </c>
      <c r="T37" s="33">
        <v>108.36867625621301</v>
      </c>
      <c r="U37" s="15">
        <v>3.3778240438255003E-2</v>
      </c>
      <c r="V37" s="15">
        <v>1.17255606979542E-3</v>
      </c>
      <c r="W37" s="15">
        <v>2.6465259145179801E-4</v>
      </c>
      <c r="X37" s="34">
        <v>0.93075601374570405</v>
      </c>
      <c r="Y37" s="34">
        <v>0.96273232566827205</v>
      </c>
      <c r="Z37" s="34">
        <v>0.93165573663842405</v>
      </c>
      <c r="AA37" s="34">
        <v>0.93066008720747495</v>
      </c>
      <c r="AB37" s="33">
        <v>112.06204270778601</v>
      </c>
      <c r="AC37" s="33">
        <v>108.46710923138799</v>
      </c>
      <c r="AD37" s="33">
        <v>108.36867625621301</v>
      </c>
      <c r="AE37" s="15">
        <v>3.3778240438255003E-2</v>
      </c>
      <c r="AF37" s="15">
        <v>1.17255606979542E-3</v>
      </c>
      <c r="AG37" s="15">
        <v>2.6465259145179801E-4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2.1453720162617908E-2</v>
      </c>
      <c r="AT37" s="12"/>
      <c r="AU37">
        <f t="shared" si="10"/>
        <v>0</v>
      </c>
      <c r="AV37">
        <f t="shared" si="11"/>
        <v>1</v>
      </c>
      <c r="AW37">
        <f t="shared" si="18"/>
        <v>1</v>
      </c>
      <c r="AX37">
        <f t="shared" si="5"/>
        <v>1</v>
      </c>
      <c r="AY37">
        <f t="shared" si="19"/>
        <v>1</v>
      </c>
      <c r="AZ37" s="28">
        <f t="shared" si="12"/>
        <v>-1.7196908795266701E-3</v>
      </c>
      <c r="BA37" s="28">
        <f t="shared" si="13"/>
        <v>5.6463333236517E-3</v>
      </c>
      <c r="BB37" s="28">
        <f t="shared" si="20"/>
        <v>3.9266424441250294E-3</v>
      </c>
      <c r="BC37" s="29">
        <f t="shared" si="21"/>
        <v>3.9266424441250294E-3</v>
      </c>
      <c r="BE37" s="29">
        <f t="shared" si="22"/>
        <v>3.9266424441250294E-3</v>
      </c>
      <c r="BF37" s="29">
        <f t="shared" si="23"/>
        <v>2.5380362606742937E-2</v>
      </c>
      <c r="BH37" s="29"/>
    </row>
    <row r="38" spans="1:124" x14ac:dyDescent="0.25">
      <c r="A38" s="1">
        <v>46078</v>
      </c>
      <c r="B38" s="33">
        <v>110.73</v>
      </c>
      <c r="C38" s="33">
        <v>104.12</v>
      </c>
      <c r="D38" s="15">
        <v>-4.9937729587320602E-2</v>
      </c>
      <c r="E38" s="15">
        <v>-3.9730350103388198E-2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110.73</v>
      </c>
      <c r="M38" s="33">
        <v>104.12</v>
      </c>
      <c r="N38" s="34">
        <v>0.94030524699719997</v>
      </c>
      <c r="O38" s="34">
        <v>0.96273232566827205</v>
      </c>
      <c r="P38" s="34">
        <v>0.93272143721754097</v>
      </c>
      <c r="Q38" s="34">
        <v>0.93131394317957505</v>
      </c>
      <c r="R38" s="33">
        <v>106.603350421247</v>
      </c>
      <c r="S38" s="33">
        <v>103.162239717972</v>
      </c>
      <c r="T38" s="33">
        <v>103.05199145648299</v>
      </c>
      <c r="U38" s="15">
        <v>2.3570860954322401E-2</v>
      </c>
      <c r="V38" s="15">
        <v>-9.2411882402106092E-3</v>
      </c>
      <c r="W38" s="15">
        <v>-1.03104478287961E-2</v>
      </c>
      <c r="X38" s="34">
        <v>0.94030524699719997</v>
      </c>
      <c r="Y38" s="34">
        <v>0.96273232566827205</v>
      </c>
      <c r="Z38" s="34">
        <v>0.93272143721754097</v>
      </c>
      <c r="AA38" s="34">
        <v>0.93131394317957505</v>
      </c>
      <c r="AB38" s="33">
        <v>106.603350421247</v>
      </c>
      <c r="AC38" s="33">
        <v>103.162239717972</v>
      </c>
      <c r="AD38" s="33">
        <v>103.05199145648299</v>
      </c>
      <c r="AE38" s="15">
        <v>2.3570860954322401E-2</v>
      </c>
      <c r="AF38" s="15">
        <v>-9.2411882402106092E-3</v>
      </c>
      <c r="AG38" s="15">
        <v>-1.03104478287961E-2</v>
      </c>
      <c r="AI38" s="12"/>
      <c r="AJ38">
        <f t="shared" si="6"/>
        <v>1</v>
      </c>
      <c r="AK38">
        <f t="shared" si="7"/>
        <v>0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2.1453720162617908E-2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3.9266424441250294E-3</v>
      </c>
      <c r="BE38" s="29">
        <f t="shared" si="22"/>
        <v>0</v>
      </c>
      <c r="BF38" s="29">
        <f t="shared" si="23"/>
        <v>2.5380362606742937E-2</v>
      </c>
      <c r="BH38" s="29"/>
    </row>
    <row r="39" spans="1:124" x14ac:dyDescent="0.25">
      <c r="A39" s="1">
        <v>46079</v>
      </c>
      <c r="B39" s="33">
        <v>112</v>
      </c>
      <c r="C39" s="33">
        <v>105.31</v>
      </c>
      <c r="D39" s="15">
        <v>1.1404065585077601E-2</v>
      </c>
      <c r="E39" s="15">
        <v>1.1364301266141E-2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112</v>
      </c>
      <c r="M39" s="33">
        <v>105.31</v>
      </c>
      <c r="N39" s="34">
        <v>0.94026785714285699</v>
      </c>
      <c r="O39" s="34">
        <v>0.96273232566827205</v>
      </c>
      <c r="P39" s="34">
        <v>0.93407114218135201</v>
      </c>
      <c r="Q39" s="34">
        <v>0.93210475277107996</v>
      </c>
      <c r="R39" s="33">
        <v>107.826020474846</v>
      </c>
      <c r="S39" s="33">
        <v>104.464800968364</v>
      </c>
      <c r="T39" s="33">
        <v>104.307161636112</v>
      </c>
      <c r="U39" s="15">
        <v>2.3610625273258901E-2</v>
      </c>
      <c r="V39" s="15">
        <v>-8.0581995671784503E-3</v>
      </c>
      <c r="W39" s="15">
        <v>-9.5683579260370799E-3</v>
      </c>
      <c r="X39" s="34">
        <v>0.94026785714285699</v>
      </c>
      <c r="Y39" s="34">
        <v>0.96273232566827205</v>
      </c>
      <c r="Z39" s="34">
        <v>0.93407114218135201</v>
      </c>
      <c r="AA39" s="34">
        <v>0.93210475277107996</v>
      </c>
      <c r="AB39" s="33">
        <v>107.826020474846</v>
      </c>
      <c r="AC39" s="33">
        <v>104.464800968364</v>
      </c>
      <c r="AD39" s="33">
        <v>104.307161636112</v>
      </c>
      <c r="AE39" s="15">
        <v>2.3610625273258901E-2</v>
      </c>
      <c r="AF39" s="15">
        <v>-8.0581995671784503E-3</v>
      </c>
      <c r="AG39" s="15">
        <v>-9.5683579260370799E-3</v>
      </c>
      <c r="AI39" s="12"/>
      <c r="AJ39">
        <f t="shared" si="6"/>
        <v>1</v>
      </c>
      <c r="AK39">
        <f t="shared" si="7"/>
        <v>0</v>
      </c>
      <c r="AL39">
        <f t="shared" si="14"/>
        <v>1</v>
      </c>
      <c r="AM39">
        <f t="shared" si="4"/>
        <v>1</v>
      </c>
      <c r="AN39">
        <f t="shared" si="15"/>
        <v>1</v>
      </c>
      <c r="AO39" s="28">
        <f t="shared" si="8"/>
        <v>1.1404065585077601E-2</v>
      </c>
      <c r="AP39" s="28">
        <f t="shared" si="9"/>
        <v>-1.1364301266141E-2</v>
      </c>
      <c r="AQ39" s="28">
        <f t="shared" si="16"/>
        <v>3.9764318936600512E-5</v>
      </c>
      <c r="AR39" s="29">
        <f t="shared" si="17"/>
        <v>2.1493484481554508E-2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3.9266424441250294E-3</v>
      </c>
      <c r="BE39" s="29">
        <f t="shared" si="22"/>
        <v>3.9764318936600512E-5</v>
      </c>
      <c r="BF39" s="29">
        <f t="shared" si="23"/>
        <v>2.5420126925679538E-2</v>
      </c>
      <c r="BH39" s="29"/>
    </row>
    <row r="40" spans="1:124" x14ac:dyDescent="0.25">
      <c r="A40" s="1">
        <v>46080</v>
      </c>
      <c r="B40" s="33">
        <v>114.36</v>
      </c>
      <c r="C40" s="33">
        <v>106.73</v>
      </c>
      <c r="D40" s="15">
        <v>2.0852496159016499E-2</v>
      </c>
      <c r="E40" s="15">
        <v>1.33938995333677E-2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114.36</v>
      </c>
      <c r="M40" s="33">
        <v>106.73</v>
      </c>
      <c r="N40" s="34">
        <v>0.93328086743616601</v>
      </c>
      <c r="O40" s="34">
        <v>0.96273232566827205</v>
      </c>
      <c r="P40" s="34">
        <v>0.93485598635275902</v>
      </c>
      <c r="Q40" s="34">
        <v>0.9317446120199</v>
      </c>
      <c r="R40" s="33">
        <v>110.098068763423</v>
      </c>
      <c r="S40" s="33">
        <v>106.820375819859</v>
      </c>
      <c r="T40" s="33">
        <v>106.5954995269</v>
      </c>
      <c r="U40" s="15">
        <v>3.1069221898907502E-2</v>
      </c>
      <c r="V40" s="15">
        <v>8.46412233253975E-4</v>
      </c>
      <c r="W40" s="15">
        <v>-1.2609884071041501E-3</v>
      </c>
      <c r="X40" s="34">
        <v>0.93328086743616601</v>
      </c>
      <c r="Y40" s="34">
        <v>0.96273232566827205</v>
      </c>
      <c r="Z40" s="34">
        <v>0.93485598635275902</v>
      </c>
      <c r="AA40" s="34">
        <v>0.9317446120199</v>
      </c>
      <c r="AB40" s="33">
        <v>110.098068763423</v>
      </c>
      <c r="AC40" s="33">
        <v>106.820375819859</v>
      </c>
      <c r="AD40" s="33">
        <v>106.5954995269</v>
      </c>
      <c r="AE40" s="15">
        <v>3.1069221898907502E-2</v>
      </c>
      <c r="AF40" s="15">
        <v>8.46412233253975E-4</v>
      </c>
      <c r="AG40" s="15">
        <v>-1.2609884071041501E-3</v>
      </c>
      <c r="AI40" s="12"/>
      <c r="AJ40">
        <f t="shared" si="6"/>
        <v>0</v>
      </c>
      <c r="AK40">
        <f t="shared" si="7"/>
        <v>1</v>
      </c>
      <c r="AL40">
        <f t="shared" si="14"/>
        <v>1</v>
      </c>
      <c r="AM40">
        <f t="shared" si="4"/>
        <v>1</v>
      </c>
      <c r="AN40">
        <f t="shared" si="15"/>
        <v>1</v>
      </c>
      <c r="AO40" s="28">
        <f t="shared" si="8"/>
        <v>2.0852496159016499E-2</v>
      </c>
      <c r="AP40" s="28">
        <f t="shared" si="9"/>
        <v>-1.33938995333677E-2</v>
      </c>
      <c r="AQ40" s="28">
        <f t="shared" si="16"/>
        <v>7.4585966256487998E-3</v>
      </c>
      <c r="AR40" s="29">
        <f t="shared" si="17"/>
        <v>2.8952081107203306E-2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3.9266424441250294E-3</v>
      </c>
      <c r="BE40" s="29">
        <f t="shared" si="22"/>
        <v>7.4585966256487998E-3</v>
      </c>
      <c r="BF40" s="29">
        <f t="shared" si="23"/>
        <v>3.2878723551328336E-2</v>
      </c>
      <c r="BH40" s="29"/>
    </row>
    <row r="41" spans="1:124" x14ac:dyDescent="0.25">
      <c r="A41" s="1">
        <v>46083</v>
      </c>
      <c r="B41" s="33">
        <v>110.61</v>
      </c>
      <c r="C41" s="33">
        <v>103.89</v>
      </c>
      <c r="D41" s="15">
        <v>-3.3340866539948201E-2</v>
      </c>
      <c r="E41" s="15">
        <v>-2.6969633843433299E-2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110.61</v>
      </c>
      <c r="M41" s="33">
        <v>103.89</v>
      </c>
      <c r="N41" s="34">
        <v>0.93924599945755305</v>
      </c>
      <c r="O41" s="34">
        <v>0.96273232566827205</v>
      </c>
      <c r="P41" s="34">
        <v>0.93534748194784401</v>
      </c>
      <c r="Q41" s="34">
        <v>0.93240604322277298</v>
      </c>
      <c r="R41" s="33">
        <v>106.487822542167</v>
      </c>
      <c r="S41" s="33">
        <v>103.404420650478</v>
      </c>
      <c r="T41" s="33">
        <v>103.060271535521</v>
      </c>
      <c r="U41" s="15">
        <v>2.46979892023928E-2</v>
      </c>
      <c r="V41" s="15">
        <v>-4.6849330160070096E-3</v>
      </c>
      <c r="W41" s="15">
        <v>-8.0186694534323099E-3</v>
      </c>
      <c r="X41" s="34">
        <v>0.93924599945755305</v>
      </c>
      <c r="Y41" s="34">
        <v>0.96273232566827205</v>
      </c>
      <c r="Z41" s="34">
        <v>0.93534748194784401</v>
      </c>
      <c r="AA41" s="34">
        <v>0.93240604322277298</v>
      </c>
      <c r="AB41" s="33">
        <v>106.487822542167</v>
      </c>
      <c r="AC41" s="33">
        <v>103.404420650478</v>
      </c>
      <c r="AD41" s="33">
        <v>103.060271535521</v>
      </c>
      <c r="AE41" s="15">
        <v>2.46979892023928E-2</v>
      </c>
      <c r="AF41" s="15">
        <v>-4.6849330160070096E-3</v>
      </c>
      <c r="AG41" s="15">
        <v>-8.0186694534323099E-3</v>
      </c>
      <c r="AI41" s="12"/>
      <c r="AJ41">
        <f t="shared" si="6"/>
        <v>1</v>
      </c>
      <c r="AK41">
        <f t="shared" si="7"/>
        <v>0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2.8952081107203306E-2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3.9266424441250294E-3</v>
      </c>
      <c r="BE41" s="29">
        <f t="shared" si="22"/>
        <v>0</v>
      </c>
      <c r="BF41" s="29">
        <f t="shared" si="23"/>
        <v>3.2878723551328336E-2</v>
      </c>
      <c r="BH41" s="29"/>
    </row>
    <row r="42" spans="1:124" x14ac:dyDescent="0.25">
      <c r="A42" s="1">
        <v>46084</v>
      </c>
      <c r="B42" s="33">
        <v>108.41</v>
      </c>
      <c r="C42" s="33">
        <v>101.34</v>
      </c>
      <c r="D42" s="15">
        <v>-2.00901652409625E-2</v>
      </c>
      <c r="E42" s="15">
        <v>-2.48514470346765E-2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108.41</v>
      </c>
      <c r="M42" s="33">
        <v>101.34</v>
      </c>
      <c r="N42" s="34">
        <v>0.93478461396550105</v>
      </c>
      <c r="O42" s="34">
        <v>0.96273232566827205</v>
      </c>
      <c r="P42" s="34">
        <v>0.93496066007693701</v>
      </c>
      <c r="Q42" s="34">
        <v>0.93249545774457798</v>
      </c>
      <c r="R42" s="33">
        <v>104.36981142569699</v>
      </c>
      <c r="S42" s="33">
        <v>101.40102051796499</v>
      </c>
      <c r="T42" s="33">
        <v>101.08213914578</v>
      </c>
      <c r="U42" s="15">
        <v>2.9459270996106901E-2</v>
      </c>
      <c r="V42" s="15">
        <v>6.0195533841630403E-4</v>
      </c>
      <c r="W42" s="15">
        <v>-2.5477548531959702E-3</v>
      </c>
      <c r="X42" s="34">
        <v>0.93478461396550105</v>
      </c>
      <c r="Y42" s="34">
        <v>0.96273232566827205</v>
      </c>
      <c r="Z42" s="34">
        <v>0.93496066007693701</v>
      </c>
      <c r="AA42" s="34">
        <v>0.93249545774457798</v>
      </c>
      <c r="AB42" s="33">
        <v>104.36981142569699</v>
      </c>
      <c r="AC42" s="33">
        <v>101.40102051796499</v>
      </c>
      <c r="AD42" s="33">
        <v>101.08213914578</v>
      </c>
      <c r="AE42" s="15">
        <v>2.9459270996106901E-2</v>
      </c>
      <c r="AF42" s="15">
        <v>6.0195533841630403E-4</v>
      </c>
      <c r="AG42" s="15">
        <v>-2.5477548531959702E-3</v>
      </c>
      <c r="AI42" s="12"/>
      <c r="AJ42">
        <f t="shared" si="6"/>
        <v>0</v>
      </c>
      <c r="AK42">
        <f t="shared" si="7"/>
        <v>0</v>
      </c>
      <c r="AL42">
        <f t="shared" si="14"/>
        <v>1</v>
      </c>
      <c r="AM42">
        <f t="shared" si="4"/>
        <v>1</v>
      </c>
      <c r="AN42">
        <f t="shared" si="15"/>
        <v>1</v>
      </c>
      <c r="AO42" s="28">
        <f t="shared" si="8"/>
        <v>-2.00901652409625E-2</v>
      </c>
      <c r="AP42" s="28">
        <f t="shared" si="9"/>
        <v>2.48514470346765E-2</v>
      </c>
      <c r="AQ42" s="28">
        <f t="shared" si="16"/>
        <v>4.7612817937139999E-3</v>
      </c>
      <c r="AR42" s="29">
        <f t="shared" si="17"/>
        <v>3.371336290091731E-2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3.9266424441250294E-3</v>
      </c>
      <c r="BE42" s="29">
        <f t="shared" si="22"/>
        <v>4.7612817937139999E-3</v>
      </c>
      <c r="BF42" s="29">
        <f t="shared" si="23"/>
        <v>3.7640005345042332E-2</v>
      </c>
      <c r="BH42" s="29"/>
    </row>
    <row r="43" spans="1:124" x14ac:dyDescent="0.25">
      <c r="A43" s="1">
        <v>46085</v>
      </c>
      <c r="B43" s="33">
        <v>106.53</v>
      </c>
      <c r="C43" s="33">
        <v>100.23</v>
      </c>
      <c r="D43" s="15">
        <v>-1.74937000500941E-2</v>
      </c>
      <c r="E43" s="15">
        <v>-1.1013655010988801E-2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106.53</v>
      </c>
      <c r="M43" s="33">
        <v>100.23</v>
      </c>
      <c r="N43" s="34">
        <v>0.940861729090397</v>
      </c>
      <c r="O43" s="34">
        <v>0.96273232566827205</v>
      </c>
      <c r="P43" s="34">
        <v>0.93548753890713798</v>
      </c>
      <c r="Q43" s="34">
        <v>0.93344416936571994</v>
      </c>
      <c r="R43" s="33">
        <v>102.559874653441</v>
      </c>
      <c r="S43" s="33">
        <v>99.601359117996097</v>
      </c>
      <c r="T43" s="33">
        <v>99.338741113529906</v>
      </c>
      <c r="U43" s="15">
        <v>2.2979225957001501E-2</v>
      </c>
      <c r="V43" s="15">
        <v>-6.2917347763113097E-3</v>
      </c>
      <c r="W43" s="15">
        <v>-8.9319079410892198E-3</v>
      </c>
      <c r="X43" s="34">
        <v>0.940861729090397</v>
      </c>
      <c r="Y43" s="34">
        <v>0.96273232566827205</v>
      </c>
      <c r="Z43" s="34">
        <v>0.93548753890713798</v>
      </c>
      <c r="AA43" s="34">
        <v>0.93344416936571994</v>
      </c>
      <c r="AB43" s="33">
        <v>102.559874653441</v>
      </c>
      <c r="AC43" s="33">
        <v>99.601359117996097</v>
      </c>
      <c r="AD43" s="33">
        <v>99.338741113529906</v>
      </c>
      <c r="AE43" s="15">
        <v>2.2979225957001501E-2</v>
      </c>
      <c r="AF43" s="15">
        <v>-6.2917347763113097E-3</v>
      </c>
      <c r="AG43" s="15">
        <v>-8.9319079410892198E-3</v>
      </c>
      <c r="AI43" s="12"/>
      <c r="AJ43">
        <f t="shared" si="6"/>
        <v>1</v>
      </c>
      <c r="AK43">
        <f t="shared" si="7"/>
        <v>0</v>
      </c>
      <c r="AL43">
        <f t="shared" si="14"/>
        <v>1</v>
      </c>
      <c r="AM43">
        <f t="shared" si="4"/>
        <v>1</v>
      </c>
      <c r="AN43">
        <f t="shared" si="15"/>
        <v>1</v>
      </c>
      <c r="AO43" s="28">
        <f t="shared" si="8"/>
        <v>-1.74937000500941E-2</v>
      </c>
      <c r="AP43" s="28">
        <f t="shared" si="9"/>
        <v>1.1013655010988801E-2</v>
      </c>
      <c r="AQ43" s="28">
        <f t="shared" si="16"/>
        <v>-6.4800450391052991E-3</v>
      </c>
      <c r="AR43" s="29">
        <f t="shared" si="17"/>
        <v>2.7233317861812011E-2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3.9266424441250294E-3</v>
      </c>
      <c r="BE43" s="29">
        <f t="shared" si="22"/>
        <v>-6.4800450391052991E-3</v>
      </c>
      <c r="BF43" s="29">
        <f t="shared" si="23"/>
        <v>3.1159960305937033E-2</v>
      </c>
      <c r="BH43" s="29"/>
    </row>
    <row r="44" spans="1:124" x14ac:dyDescent="0.25">
      <c r="A44" s="1">
        <v>46086</v>
      </c>
      <c r="B44" s="33">
        <v>104.3</v>
      </c>
      <c r="C44" s="33">
        <v>98.06</v>
      </c>
      <c r="D44" s="15">
        <v>-2.1155273616379498E-2</v>
      </c>
      <c r="E44" s="15">
        <v>-2.1888008813687701E-2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104.3</v>
      </c>
      <c r="M44" s="33">
        <v>98.06</v>
      </c>
      <c r="N44" s="34">
        <v>0.94017257909875296</v>
      </c>
      <c r="O44" s="34">
        <v>0.96273232566827205</v>
      </c>
      <c r="P44" s="34">
        <v>0.935946408942401</v>
      </c>
      <c r="Q44" s="34">
        <v>0.93382314619955098</v>
      </c>
      <c r="R44" s="33">
        <v>100.41298156720001</v>
      </c>
      <c r="S44" s="33">
        <v>97.571350308014502</v>
      </c>
      <c r="T44" s="33">
        <v>97.358226864844596</v>
      </c>
      <c r="U44" s="15">
        <v>2.3711961154309701E-2</v>
      </c>
      <c r="V44" s="15">
        <v>-4.9956278219853104E-3</v>
      </c>
      <c r="W44" s="15">
        <v>-7.1822998620351399E-3</v>
      </c>
      <c r="X44" s="34">
        <v>0.94017257909875296</v>
      </c>
      <c r="Y44" s="34">
        <v>0.96273232566827205</v>
      </c>
      <c r="Z44" s="34">
        <v>0.935946408942401</v>
      </c>
      <c r="AA44" s="34">
        <v>0.93382314619955098</v>
      </c>
      <c r="AB44" s="33">
        <v>100.41298156720001</v>
      </c>
      <c r="AC44" s="33">
        <v>97.571350308014502</v>
      </c>
      <c r="AD44" s="33">
        <v>97.358226864844596</v>
      </c>
      <c r="AE44" s="15">
        <v>2.3711961154309701E-2</v>
      </c>
      <c r="AF44" s="15">
        <v>-4.9956278219853104E-3</v>
      </c>
      <c r="AG44" s="15">
        <v>-7.1822998620351399E-3</v>
      </c>
      <c r="AI44" s="12"/>
      <c r="AJ44">
        <f t="shared" si="6"/>
        <v>1</v>
      </c>
      <c r="AK44">
        <f t="shared" si="7"/>
        <v>0</v>
      </c>
      <c r="AL44">
        <f t="shared" si="14"/>
        <v>1</v>
      </c>
      <c r="AM44">
        <f t="shared" si="4"/>
        <v>1</v>
      </c>
      <c r="AN44">
        <f t="shared" si="15"/>
        <v>1</v>
      </c>
      <c r="AO44" s="28">
        <f t="shared" si="8"/>
        <v>-2.1155273616379498E-2</v>
      </c>
      <c r="AP44" s="28">
        <f t="shared" si="9"/>
        <v>2.1888008813687701E-2</v>
      </c>
      <c r="AQ44" s="28">
        <f t="shared" si="16"/>
        <v>7.3273519730820275E-4</v>
      </c>
      <c r="AR44" s="29">
        <f t="shared" si="17"/>
        <v>2.7966053059120213E-2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3.9266424441250294E-3</v>
      </c>
      <c r="BE44" s="29">
        <f t="shared" si="22"/>
        <v>7.3273519730820275E-4</v>
      </c>
      <c r="BF44" s="29">
        <f t="shared" si="23"/>
        <v>3.1892695503245236E-2</v>
      </c>
      <c r="BH44" s="29"/>
    </row>
    <row r="45" spans="1:124" x14ac:dyDescent="0.25">
      <c r="A45" s="1">
        <v>46087</v>
      </c>
      <c r="B45" s="33">
        <v>101.17</v>
      </c>
      <c r="C45" s="33">
        <v>95.09</v>
      </c>
      <c r="D45" s="15">
        <v>-3.0469091788927601E-2</v>
      </c>
      <c r="E45" s="15">
        <v>-3.0755724671734298E-2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101.17</v>
      </c>
      <c r="M45" s="33">
        <v>95.09</v>
      </c>
      <c r="N45" s="34">
        <v>0.93990313333992204</v>
      </c>
      <c r="O45" s="34">
        <v>0.96273232566827205</v>
      </c>
      <c r="P45" s="34">
        <v>0.93666864740089895</v>
      </c>
      <c r="Q45" s="34">
        <v>0.93467979198850204</v>
      </c>
      <c r="R45" s="33">
        <v>97.399629387859093</v>
      </c>
      <c r="S45" s="33">
        <v>94.689698192702707</v>
      </c>
      <c r="T45" s="33">
        <v>94.474887701008498</v>
      </c>
      <c r="U45" s="15">
        <v>2.3998594037116201E-2</v>
      </c>
      <c r="V45" s="15">
        <v>-4.2186008806695098E-3</v>
      </c>
      <c r="W45" s="15">
        <v>-6.4897509800834804E-3</v>
      </c>
      <c r="X45" s="34">
        <v>0.93990313333992204</v>
      </c>
      <c r="Y45" s="34">
        <v>0.96273232566827205</v>
      </c>
      <c r="Z45" s="34">
        <v>0.93666864740089895</v>
      </c>
      <c r="AA45" s="34">
        <v>0.93467979198850204</v>
      </c>
      <c r="AB45" s="33">
        <v>97.399629387859093</v>
      </c>
      <c r="AC45" s="33">
        <v>94.689698192702707</v>
      </c>
      <c r="AD45" s="33">
        <v>94.474887701008498</v>
      </c>
      <c r="AE45" s="15">
        <v>2.3998594037116201E-2</v>
      </c>
      <c r="AF45" s="15">
        <v>-4.2186008806695098E-3</v>
      </c>
      <c r="AG45" s="15">
        <v>-6.4897509800834804E-3</v>
      </c>
      <c r="AI45" s="12"/>
      <c r="AJ45">
        <f t="shared" si="6"/>
        <v>1</v>
      </c>
      <c r="AK45">
        <f t="shared" si="7"/>
        <v>0</v>
      </c>
      <c r="AL45">
        <f t="shared" si="14"/>
        <v>1</v>
      </c>
      <c r="AM45">
        <f t="shared" si="4"/>
        <v>1</v>
      </c>
      <c r="AN45">
        <f t="shared" si="15"/>
        <v>1</v>
      </c>
      <c r="AO45" s="28">
        <f t="shared" si="8"/>
        <v>-3.0469091788927601E-2</v>
      </c>
      <c r="AP45" s="28">
        <f t="shared" si="9"/>
        <v>3.0755724671734298E-2</v>
      </c>
      <c r="AQ45" s="28">
        <f t="shared" si="16"/>
        <v>2.8663288280669774E-4</v>
      </c>
      <c r="AR45" s="29">
        <f t="shared" si="17"/>
        <v>2.8252685941926911E-2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3.9266424441250294E-3</v>
      </c>
      <c r="BE45" s="29">
        <f t="shared" si="22"/>
        <v>2.8663288280669774E-4</v>
      </c>
      <c r="BF45" s="29">
        <f t="shared" si="23"/>
        <v>3.2179328386051934E-2</v>
      </c>
      <c r="BH45" s="29"/>
    </row>
    <row r="46" spans="1:124" x14ac:dyDescent="0.25">
      <c r="A46" s="1">
        <v>46090</v>
      </c>
      <c r="B46" s="33">
        <v>99.94</v>
      </c>
      <c r="C46" s="33">
        <v>93.95</v>
      </c>
      <c r="D46" s="15">
        <v>-1.22322643017401E-2</v>
      </c>
      <c r="E46" s="15">
        <v>-1.20610856918785E-2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99.94</v>
      </c>
      <c r="M46" s="33">
        <v>93.95</v>
      </c>
      <c r="N46" s="34">
        <v>0.94006403842305297</v>
      </c>
      <c r="O46" s="34">
        <v>0.96273232566827205</v>
      </c>
      <c r="P46" s="34">
        <v>0.93796420786971102</v>
      </c>
      <c r="Q46" s="34">
        <v>0.93490611266075097</v>
      </c>
      <c r="R46" s="33">
        <v>96.215468627287095</v>
      </c>
      <c r="S46" s="33">
        <v>93.610664621245903</v>
      </c>
      <c r="T46" s="33">
        <v>93.411898411330895</v>
      </c>
      <c r="U46" s="15">
        <v>2.3827415427254799E-2</v>
      </c>
      <c r="V46" s="15">
        <v>-3.6184106052243401E-3</v>
      </c>
      <c r="W46" s="15">
        <v>-5.7439967540756998E-3</v>
      </c>
      <c r="X46" s="34">
        <v>0.94006403842305297</v>
      </c>
      <c r="Y46" s="34">
        <v>0.96273232566827205</v>
      </c>
      <c r="Z46" s="34">
        <v>0.93796420786971102</v>
      </c>
      <c r="AA46" s="34">
        <v>0.93490611266075097</v>
      </c>
      <c r="AB46" s="33">
        <v>96.215468627287095</v>
      </c>
      <c r="AC46" s="33">
        <v>93.610664621245903</v>
      </c>
      <c r="AD46" s="33">
        <v>93.411898411330895</v>
      </c>
      <c r="AE46" s="15">
        <v>2.3827415427254799E-2</v>
      </c>
      <c r="AF46" s="15">
        <v>-3.6184106052243401E-3</v>
      </c>
      <c r="AG46" s="15">
        <v>-5.7439967540756998E-3</v>
      </c>
      <c r="AI46" s="12"/>
      <c r="AJ46">
        <f t="shared" si="6"/>
        <v>1</v>
      </c>
      <c r="AK46">
        <f t="shared" si="7"/>
        <v>0</v>
      </c>
      <c r="AL46">
        <f t="shared" si="14"/>
        <v>1</v>
      </c>
      <c r="AM46">
        <f t="shared" si="4"/>
        <v>1</v>
      </c>
      <c r="AN46">
        <f t="shared" si="15"/>
        <v>1</v>
      </c>
      <c r="AO46" s="28">
        <f t="shared" si="8"/>
        <v>-1.22322643017401E-2</v>
      </c>
      <c r="AP46" s="28">
        <f t="shared" si="9"/>
        <v>1.20610856918785E-2</v>
      </c>
      <c r="AQ46" s="28">
        <f t="shared" si="16"/>
        <v>-1.7117860986159972E-4</v>
      </c>
      <c r="AR46" s="29">
        <f t="shared" si="17"/>
        <v>2.8081507332065311E-2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3.9266424441250294E-3</v>
      </c>
      <c r="BE46" s="29">
        <f t="shared" si="22"/>
        <v>-1.7117860986159972E-4</v>
      </c>
      <c r="BF46" s="29">
        <f t="shared" si="23"/>
        <v>3.2008149776190334E-2</v>
      </c>
      <c r="BH46" s="29"/>
    </row>
    <row r="47" spans="1:124" x14ac:dyDescent="0.25">
      <c r="A47" s="1">
        <v>46091</v>
      </c>
      <c r="B47" s="33">
        <v>98.72</v>
      </c>
      <c r="C47" s="33">
        <v>92.71</v>
      </c>
      <c r="D47" s="15">
        <v>-1.22824457589812E-2</v>
      </c>
      <c r="E47" s="15">
        <v>-1.32863842405834E-2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98.72</v>
      </c>
      <c r="M47" s="33">
        <v>92.71</v>
      </c>
      <c r="N47" s="34">
        <v>0.939120745542949</v>
      </c>
      <c r="O47" s="34">
        <v>0.96273232566827205</v>
      </c>
      <c r="P47" s="34">
        <v>0.93880068104943504</v>
      </c>
      <c r="Q47" s="34">
        <v>0.93522820884392899</v>
      </c>
      <c r="R47" s="33">
        <v>95.040935189971805</v>
      </c>
      <c r="S47" s="33">
        <v>92.595826600897794</v>
      </c>
      <c r="T47" s="33">
        <v>92.293931441869404</v>
      </c>
      <c r="U47" s="15">
        <v>2.48313539088569E-2</v>
      </c>
      <c r="V47" s="15">
        <v>-1.23227008717458E-3</v>
      </c>
      <c r="W47" s="15">
        <v>-4.4979504636889602E-3</v>
      </c>
      <c r="X47" s="34">
        <v>0.939120745542949</v>
      </c>
      <c r="Y47" s="34">
        <v>0.96273232566827205</v>
      </c>
      <c r="Z47" s="34">
        <v>0.93880068104943504</v>
      </c>
      <c r="AA47" s="34">
        <v>0.93522820884392899</v>
      </c>
      <c r="AB47" s="33">
        <v>95.040935189971805</v>
      </c>
      <c r="AC47" s="33">
        <v>92.595826600897794</v>
      </c>
      <c r="AD47" s="33">
        <v>92.293931441869404</v>
      </c>
      <c r="AE47" s="15">
        <v>2.48313539088569E-2</v>
      </c>
      <c r="AF47" s="15">
        <v>-1.23227008717458E-3</v>
      </c>
      <c r="AG47" s="15">
        <v>-4.4979504636889602E-3</v>
      </c>
      <c r="AI47" s="12"/>
      <c r="AJ47">
        <f t="shared" si="6"/>
        <v>1</v>
      </c>
      <c r="AK47">
        <f t="shared" si="7"/>
        <v>0</v>
      </c>
      <c r="AL47">
        <f t="shared" si="14"/>
        <v>1</v>
      </c>
      <c r="AM47">
        <f t="shared" si="4"/>
        <v>1</v>
      </c>
      <c r="AN47">
        <f t="shared" si="15"/>
        <v>1</v>
      </c>
      <c r="AO47" s="28">
        <f t="shared" si="8"/>
        <v>-1.22824457589812E-2</v>
      </c>
      <c r="AP47" s="28">
        <f t="shared" si="9"/>
        <v>1.32863842405834E-2</v>
      </c>
      <c r="AQ47" s="28">
        <f t="shared" si="16"/>
        <v>1.0039384816022002E-3</v>
      </c>
      <c r="AR47" s="29">
        <f t="shared" si="17"/>
        <v>2.908544581366751E-2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3.9266424441250294E-3</v>
      </c>
      <c r="BE47" s="29">
        <f t="shared" si="22"/>
        <v>1.0039384816022002E-3</v>
      </c>
      <c r="BF47" s="29">
        <f t="shared" si="23"/>
        <v>3.3012088257792532E-2</v>
      </c>
      <c r="BH47" s="29"/>
    </row>
    <row r="48" spans="1:124" x14ac:dyDescent="0.25">
      <c r="A48" s="1">
        <v>46092</v>
      </c>
      <c r="B48" s="33">
        <v>96.57</v>
      </c>
      <c r="C48" s="33">
        <v>90.93</v>
      </c>
      <c r="D48" s="15">
        <v>-2.20194261782512E-2</v>
      </c>
      <c r="E48" s="15">
        <v>-1.9386361881069399E-2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96.57</v>
      </c>
      <c r="M48" s="33">
        <v>90.93</v>
      </c>
      <c r="N48" s="34">
        <v>0.94159676918297597</v>
      </c>
      <c r="O48" s="34">
        <v>0.96273232566827205</v>
      </c>
      <c r="P48" s="34">
        <v>0.93892983326801305</v>
      </c>
      <c r="Q48" s="34">
        <v>0.93582563524277695</v>
      </c>
      <c r="R48" s="33">
        <v>92.971060689785006</v>
      </c>
      <c r="S48" s="33">
        <v>90.659981768943993</v>
      </c>
      <c r="T48" s="33">
        <v>90.314988128058303</v>
      </c>
      <c r="U48" s="15">
        <v>2.2198289611675099E-2</v>
      </c>
      <c r="V48" s="15">
        <v>-2.9739353177483498E-3</v>
      </c>
      <c r="W48" s="15">
        <v>-6.7865516036962796E-3</v>
      </c>
      <c r="X48" s="34">
        <v>0.94159676918297597</v>
      </c>
      <c r="Y48" s="34">
        <v>0.96273232566827205</v>
      </c>
      <c r="Z48" s="34">
        <v>0.93892983326801305</v>
      </c>
      <c r="AA48" s="34">
        <v>0.93582563524277695</v>
      </c>
      <c r="AB48" s="33">
        <v>92.971060689785006</v>
      </c>
      <c r="AC48" s="33">
        <v>90.659981768943993</v>
      </c>
      <c r="AD48" s="33">
        <v>90.314988128058303</v>
      </c>
      <c r="AE48" s="15">
        <v>2.2198289611675099E-2</v>
      </c>
      <c r="AF48" s="15">
        <v>-2.9739353177483498E-3</v>
      </c>
      <c r="AG48" s="15">
        <v>-6.7865516036962796E-3</v>
      </c>
      <c r="AI48" s="12"/>
      <c r="AJ48">
        <f t="shared" si="6"/>
        <v>1</v>
      </c>
      <c r="AK48">
        <f t="shared" si="7"/>
        <v>0</v>
      </c>
      <c r="AL48">
        <f t="shared" si="14"/>
        <v>1</v>
      </c>
      <c r="AM48">
        <f t="shared" si="4"/>
        <v>1</v>
      </c>
      <c r="AN48">
        <f t="shared" si="15"/>
        <v>1</v>
      </c>
      <c r="AO48" s="28">
        <f t="shared" si="8"/>
        <v>-2.20194261782512E-2</v>
      </c>
      <c r="AP48" s="28">
        <f t="shared" si="9"/>
        <v>1.9386361881069399E-2</v>
      </c>
      <c r="AQ48" s="28">
        <f t="shared" si="16"/>
        <v>-2.6330642971818009E-3</v>
      </c>
      <c r="AR48" s="29">
        <f t="shared" si="17"/>
        <v>2.6452381516485709E-2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3.9266424441250294E-3</v>
      </c>
      <c r="BE48" s="29">
        <f t="shared" si="22"/>
        <v>-2.6330642971818009E-3</v>
      </c>
      <c r="BF48" s="29">
        <f t="shared" si="23"/>
        <v>3.0379023960610731E-2</v>
      </c>
      <c r="BH48" s="29"/>
    </row>
    <row r="49" spans="1:60" x14ac:dyDescent="0.25">
      <c r="A49" s="1">
        <v>46093</v>
      </c>
      <c r="B49" s="33">
        <v>92.54</v>
      </c>
      <c r="C49" s="33">
        <v>87.56</v>
      </c>
      <c r="D49" s="15">
        <v>-4.2627150499972802E-2</v>
      </c>
      <c r="E49" s="15">
        <v>-3.7765707083159197E-2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92.54</v>
      </c>
      <c r="M49" s="33">
        <v>87.56</v>
      </c>
      <c r="N49" s="34">
        <v>0.94618543332612903</v>
      </c>
      <c r="O49" s="34">
        <v>0.96273232566827205</v>
      </c>
      <c r="P49" s="34">
        <v>0.93952159088634002</v>
      </c>
      <c r="Q49" s="34">
        <v>0.93679636653384601</v>
      </c>
      <c r="R49" s="33">
        <v>89.091249417341899</v>
      </c>
      <c r="S49" s="33">
        <v>86.888566770621907</v>
      </c>
      <c r="T49" s="33">
        <v>86.601304285366595</v>
      </c>
      <c r="U49" s="15">
        <v>1.7336846194861699E-2</v>
      </c>
      <c r="V49" s="15">
        <v>-7.6978166959237402E-3</v>
      </c>
      <c r="W49" s="15">
        <v>-1.10093961677416E-2</v>
      </c>
      <c r="X49" s="34">
        <v>0.94618543332612903</v>
      </c>
      <c r="Y49" s="34">
        <v>0.96273232566827205</v>
      </c>
      <c r="Z49" s="34">
        <v>0.93952159088634002</v>
      </c>
      <c r="AA49" s="34">
        <v>0.93679636653384601</v>
      </c>
      <c r="AB49" s="33">
        <v>89.091249417341899</v>
      </c>
      <c r="AC49" s="33">
        <v>86.888566770621907</v>
      </c>
      <c r="AD49" s="33">
        <v>86.601304285366595</v>
      </c>
      <c r="AE49" s="15">
        <v>1.7336846194861699E-2</v>
      </c>
      <c r="AF49" s="15">
        <v>-7.6978166959237402E-3</v>
      </c>
      <c r="AG49" s="15">
        <v>-1.10093961677416E-2</v>
      </c>
      <c r="AI49" s="12"/>
      <c r="AJ49">
        <f t="shared" si="6"/>
        <v>1</v>
      </c>
      <c r="AK49">
        <f t="shared" si="7"/>
        <v>0</v>
      </c>
      <c r="AL49">
        <f t="shared" si="14"/>
        <v>1</v>
      </c>
      <c r="AM49">
        <f t="shared" si="4"/>
        <v>1</v>
      </c>
      <c r="AN49">
        <f t="shared" si="15"/>
        <v>1</v>
      </c>
      <c r="AO49" s="28">
        <f t="shared" si="8"/>
        <v>-4.2627150499972802E-2</v>
      </c>
      <c r="AP49" s="28">
        <f t="shared" si="9"/>
        <v>3.7765707083159197E-2</v>
      </c>
      <c r="AQ49" s="28">
        <f t="shared" si="16"/>
        <v>-4.8614434168136045E-3</v>
      </c>
      <c r="AR49" s="29">
        <f t="shared" si="17"/>
        <v>2.1590938099672104E-2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3.9266424441250294E-3</v>
      </c>
      <c r="BE49" s="29">
        <f t="shared" si="22"/>
        <v>-4.8614434168136045E-3</v>
      </c>
      <c r="BF49" s="29">
        <f t="shared" si="23"/>
        <v>2.5517580543797127E-2</v>
      </c>
      <c r="BH49" s="29"/>
    </row>
    <row r="50" spans="1:60" x14ac:dyDescent="0.25">
      <c r="A50" s="1">
        <v>46094</v>
      </c>
      <c r="B50" s="33">
        <v>94.96</v>
      </c>
      <c r="C50" s="33">
        <v>89.74</v>
      </c>
      <c r="D50" s="15">
        <v>2.5814766822558899E-2</v>
      </c>
      <c r="E50" s="15">
        <v>2.4592327893175E-2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94.96</v>
      </c>
      <c r="M50" s="33">
        <v>89.74</v>
      </c>
      <c r="N50" s="34">
        <v>0.94502948609940995</v>
      </c>
      <c r="O50" s="34">
        <v>0.96273232566827205</v>
      </c>
      <c r="P50" s="34">
        <v>0.940696452752664</v>
      </c>
      <c r="Q50" s="34">
        <v>0.93777621955271195</v>
      </c>
      <c r="R50" s="33">
        <v>91.421061645459105</v>
      </c>
      <c r="S50" s="33">
        <v>89.216970270566804</v>
      </c>
      <c r="T50" s="33">
        <v>88.958182966053997</v>
      </c>
      <c r="U50" s="15">
        <v>1.85592851242454E-2</v>
      </c>
      <c r="V50" s="15">
        <v>-5.8453293870148497E-3</v>
      </c>
      <c r="W50" s="15">
        <v>-8.7501955458228198E-3</v>
      </c>
      <c r="X50" s="34">
        <v>0.94502948609940995</v>
      </c>
      <c r="Y50" s="34">
        <v>0.96273232566827205</v>
      </c>
      <c r="Z50" s="34">
        <v>0.940696452752664</v>
      </c>
      <c r="AA50" s="34">
        <v>0.93777621955271195</v>
      </c>
      <c r="AB50" s="33">
        <v>91.421061645459105</v>
      </c>
      <c r="AC50" s="33">
        <v>89.216970270566804</v>
      </c>
      <c r="AD50" s="33">
        <v>88.958182966053997</v>
      </c>
      <c r="AE50" s="15">
        <v>1.85592851242454E-2</v>
      </c>
      <c r="AF50" s="15">
        <v>-5.8453293870148497E-3</v>
      </c>
      <c r="AG50" s="15">
        <v>-8.7501955458228198E-3</v>
      </c>
      <c r="AI50" s="12"/>
      <c r="AJ50">
        <f t="shared" si="6"/>
        <v>1</v>
      </c>
      <c r="AK50">
        <f t="shared" si="7"/>
        <v>0</v>
      </c>
      <c r="AL50">
        <f t="shared" si="14"/>
        <v>1</v>
      </c>
      <c r="AM50">
        <f t="shared" si="4"/>
        <v>1</v>
      </c>
      <c r="AN50">
        <f t="shared" si="15"/>
        <v>1</v>
      </c>
      <c r="AO50" s="28">
        <f t="shared" si="8"/>
        <v>2.5814766822558899E-2</v>
      </c>
      <c r="AP50" s="28">
        <f t="shared" si="9"/>
        <v>-2.4592327893175E-2</v>
      </c>
      <c r="AQ50" s="28">
        <f t="shared" si="16"/>
        <v>1.222438929383899E-3</v>
      </c>
      <c r="AR50" s="29">
        <f t="shared" si="17"/>
        <v>2.2813377029056003E-2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3.9266424441250294E-3</v>
      </c>
      <c r="BE50" s="29">
        <f t="shared" si="22"/>
        <v>1.222438929383899E-3</v>
      </c>
      <c r="BF50" s="29">
        <f t="shared" si="23"/>
        <v>2.6740019473181026E-2</v>
      </c>
      <c r="BH50" s="29"/>
    </row>
    <row r="51" spans="1:60" x14ac:dyDescent="0.25">
      <c r="A51" s="1">
        <v>46097</v>
      </c>
      <c r="B51" s="33">
        <v>95.95</v>
      </c>
      <c r="C51" s="33">
        <v>90.37</v>
      </c>
      <c r="D51" s="15">
        <v>1.03714721522965E-2</v>
      </c>
      <c r="E51" s="15">
        <v>6.9957533660272098E-3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95.95</v>
      </c>
      <c r="M51" s="33">
        <v>90.37</v>
      </c>
      <c r="N51" s="34">
        <v>0.94184471078686804</v>
      </c>
      <c r="O51" s="34">
        <v>0.96273232566827205</v>
      </c>
      <c r="P51" s="34">
        <v>0.94095632388559602</v>
      </c>
      <c r="Q51" s="34">
        <v>0.93815190291672002</v>
      </c>
      <c r="R51" s="33">
        <v>92.374166647870695</v>
      </c>
      <c r="S51" s="33">
        <v>90.259824641618195</v>
      </c>
      <c r="T51" s="33">
        <v>89.979628266082699</v>
      </c>
      <c r="U51" s="15">
        <v>2.19350039105147E-2</v>
      </c>
      <c r="V51" s="15">
        <v>-1.21990233078765E-3</v>
      </c>
      <c r="W51" s="15">
        <v>-4.329061804296E-3</v>
      </c>
      <c r="X51" s="34">
        <v>0.94184471078686804</v>
      </c>
      <c r="Y51" s="34">
        <v>0.96273232566827205</v>
      </c>
      <c r="Z51" s="34">
        <v>0.94095632388559602</v>
      </c>
      <c r="AA51" s="34">
        <v>0.93815190291672002</v>
      </c>
      <c r="AB51" s="33">
        <v>92.374166647870695</v>
      </c>
      <c r="AC51" s="33">
        <v>90.259824641618195</v>
      </c>
      <c r="AD51" s="33">
        <v>89.979628266082699</v>
      </c>
      <c r="AE51" s="15">
        <v>2.19350039105147E-2</v>
      </c>
      <c r="AF51" s="15">
        <v>-1.21990233078765E-3</v>
      </c>
      <c r="AG51" s="15">
        <v>-4.329061804296E-3</v>
      </c>
      <c r="AI51" s="12"/>
      <c r="AJ51">
        <f t="shared" si="6"/>
        <v>1</v>
      </c>
      <c r="AK51">
        <f t="shared" si="7"/>
        <v>0</v>
      </c>
      <c r="AL51">
        <f t="shared" si="14"/>
        <v>1</v>
      </c>
      <c r="AM51">
        <f t="shared" si="4"/>
        <v>1</v>
      </c>
      <c r="AN51">
        <f t="shared" si="15"/>
        <v>1</v>
      </c>
      <c r="AO51" s="28">
        <f t="shared" si="8"/>
        <v>1.03714721522965E-2</v>
      </c>
      <c r="AP51" s="28">
        <f t="shared" si="9"/>
        <v>-6.9957533660272098E-3</v>
      </c>
      <c r="AQ51" s="28">
        <f t="shared" si="16"/>
        <v>3.3757187862692899E-3</v>
      </c>
      <c r="AR51" s="29">
        <f t="shared" si="17"/>
        <v>2.6189095815325292E-2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3.9266424441250294E-3</v>
      </c>
      <c r="BE51" s="29">
        <f t="shared" si="22"/>
        <v>3.3757187862692899E-3</v>
      </c>
      <c r="BF51" s="29">
        <f t="shared" si="23"/>
        <v>3.0115738259450315E-2</v>
      </c>
      <c r="BH51" s="29"/>
    </row>
    <row r="52" spans="1:60" x14ac:dyDescent="0.25">
      <c r="A52" s="1">
        <v>46098</v>
      </c>
      <c r="B52" s="33">
        <v>97.03</v>
      </c>
      <c r="C52" s="33">
        <v>90.48</v>
      </c>
      <c r="D52" s="15">
        <v>1.11929865834991E-2</v>
      </c>
      <c r="E52" s="15">
        <v>1.2164778940006501E-3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97.03</v>
      </c>
      <c r="M52" s="33">
        <v>90.48</v>
      </c>
      <c r="N52" s="34">
        <v>0.93249510460682195</v>
      </c>
      <c r="O52" s="34">
        <v>0.96273232566827205</v>
      </c>
      <c r="P52" s="34">
        <v>0.94072737294972797</v>
      </c>
      <c r="Q52" s="34">
        <v>0.93784401651333205</v>
      </c>
      <c r="R52" s="33">
        <v>93.413917559592406</v>
      </c>
      <c r="S52" s="33">
        <v>91.300992106619304</v>
      </c>
      <c r="T52" s="33">
        <v>91.028879140009394</v>
      </c>
      <c r="U52" s="15">
        <v>3.1911512600013098E-2</v>
      </c>
      <c r="V52" s="15">
        <v>9.0328221811092207E-3</v>
      </c>
      <c r="W52" s="15">
        <v>6.0479775500301E-3</v>
      </c>
      <c r="X52" s="34">
        <v>0.93249510460682195</v>
      </c>
      <c r="Y52" s="34">
        <v>0.96273232566827205</v>
      </c>
      <c r="Z52" s="34">
        <v>0.94072737294972797</v>
      </c>
      <c r="AA52" s="34">
        <v>0.93784401651333205</v>
      </c>
      <c r="AB52" s="33">
        <v>93.413917559592406</v>
      </c>
      <c r="AC52" s="33">
        <v>91.300992106619304</v>
      </c>
      <c r="AD52" s="33">
        <v>91.028879140009394</v>
      </c>
      <c r="AE52" s="15">
        <v>3.1911512600013098E-2</v>
      </c>
      <c r="AF52" s="15">
        <v>9.0328221811092207E-3</v>
      </c>
      <c r="AG52" s="15">
        <v>6.0479775500301E-3</v>
      </c>
      <c r="AI52" s="12"/>
      <c r="AJ52">
        <f t="shared" si="6"/>
        <v>0</v>
      </c>
      <c r="AK52">
        <f t="shared" si="7"/>
        <v>1</v>
      </c>
      <c r="AL52">
        <f t="shared" si="14"/>
        <v>1</v>
      </c>
      <c r="AM52">
        <f t="shared" si="4"/>
        <v>1</v>
      </c>
      <c r="AN52">
        <f t="shared" si="15"/>
        <v>1</v>
      </c>
      <c r="AO52" s="28">
        <f t="shared" si="8"/>
        <v>1.11929865834991E-2</v>
      </c>
      <c r="AP52" s="28">
        <f t="shared" si="9"/>
        <v>-1.2164778940006501E-3</v>
      </c>
      <c r="AQ52" s="28">
        <f t="shared" si="16"/>
        <v>9.9765086894984499E-3</v>
      </c>
      <c r="AR52" s="29">
        <f t="shared" si="17"/>
        <v>3.6165604504823742E-2</v>
      </c>
      <c r="AT52" s="12"/>
      <c r="AU52">
        <f t="shared" si="10"/>
        <v>1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3.9266424441250294E-3</v>
      </c>
      <c r="BE52" s="29">
        <f t="shared" si="22"/>
        <v>9.9765086894984499E-3</v>
      </c>
      <c r="BF52" s="29">
        <f t="shared" si="23"/>
        <v>4.0092246948948765E-2</v>
      </c>
      <c r="BH52" s="29"/>
    </row>
    <row r="53" spans="1:60" x14ac:dyDescent="0.25">
      <c r="A53" s="1">
        <v>46099</v>
      </c>
      <c r="B53" s="33">
        <v>94.75</v>
      </c>
      <c r="C53" s="33">
        <v>88.97</v>
      </c>
      <c r="D53" s="15">
        <v>-2.3778365074672399E-2</v>
      </c>
      <c r="E53" s="15">
        <v>-1.68295975511891E-2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94.75</v>
      </c>
      <c r="M53" s="33">
        <v>88.97</v>
      </c>
      <c r="N53" s="34">
        <v>0.93899736147757196</v>
      </c>
      <c r="O53" s="34">
        <v>0.96273232566827205</v>
      </c>
      <c r="P53" s="34">
        <v>0.94054093618844503</v>
      </c>
      <c r="Q53" s="34">
        <v>0.93801423754779201</v>
      </c>
      <c r="R53" s="33">
        <v>91.218887857068793</v>
      </c>
      <c r="S53" s="33">
        <v>89.133918586986695</v>
      </c>
      <c r="T53" s="33">
        <v>88.8607205646382</v>
      </c>
      <c r="U53" s="15">
        <v>2.49627450765301E-2</v>
      </c>
      <c r="V53" s="15">
        <v>1.8407077684727401E-3</v>
      </c>
      <c r="W53" s="15">
        <v>-1.2290277941895799E-3</v>
      </c>
      <c r="X53" s="34">
        <v>0.93899736147757196</v>
      </c>
      <c r="Y53" s="34">
        <v>0.96273232566827205</v>
      </c>
      <c r="Z53" s="34">
        <v>0.94054093618844503</v>
      </c>
      <c r="AA53" s="34">
        <v>0.93801423754779201</v>
      </c>
      <c r="AB53" s="33">
        <v>91.218887857068793</v>
      </c>
      <c r="AC53" s="33">
        <v>89.133918586986695</v>
      </c>
      <c r="AD53" s="33">
        <v>88.8607205646382</v>
      </c>
      <c r="AE53" s="15">
        <v>2.49627450765301E-2</v>
      </c>
      <c r="AF53" s="15">
        <v>1.8407077684727401E-3</v>
      </c>
      <c r="AG53" s="15">
        <v>-1.2290277941895799E-3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3.6165604504823742E-2</v>
      </c>
      <c r="AT53" s="12"/>
      <c r="AU53">
        <f t="shared" si="10"/>
        <v>0</v>
      </c>
      <c r="AV53">
        <f t="shared" si="11"/>
        <v>1</v>
      </c>
      <c r="AW53">
        <f t="shared" si="18"/>
        <v>1</v>
      </c>
      <c r="AX53">
        <f t="shared" si="5"/>
        <v>1</v>
      </c>
      <c r="AY53">
        <f t="shared" si="19"/>
        <v>1</v>
      </c>
      <c r="AZ53" s="28">
        <f t="shared" si="12"/>
        <v>2.3778365074672399E-2</v>
      </c>
      <c r="BA53" s="28">
        <f t="shared" si="13"/>
        <v>-1.68295975511891E-2</v>
      </c>
      <c r="BB53" s="28">
        <f t="shared" si="20"/>
        <v>6.9487675234832999E-3</v>
      </c>
      <c r="BC53" s="29">
        <f t="shared" si="21"/>
        <v>1.0875409967608329E-2</v>
      </c>
      <c r="BE53" s="29">
        <f t="shared" si="22"/>
        <v>6.9487675234832999E-3</v>
      </c>
      <c r="BF53" s="29">
        <f t="shared" si="23"/>
        <v>4.7041014472432065E-2</v>
      </c>
      <c r="BH53" s="29"/>
    </row>
    <row r="54" spans="1:60" x14ac:dyDescent="0.25">
      <c r="A54" s="1">
        <v>46100</v>
      </c>
      <c r="B54" s="33">
        <v>93.72</v>
      </c>
      <c r="C54" s="33">
        <v>88.32</v>
      </c>
      <c r="D54" s="15">
        <v>-1.09302303229408E-2</v>
      </c>
      <c r="E54" s="15">
        <v>-7.3326517278909098E-3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93.72</v>
      </c>
      <c r="M54" s="33">
        <v>88.32</v>
      </c>
      <c r="N54" s="34">
        <v>0.94238156209987101</v>
      </c>
      <c r="O54" s="34">
        <v>0.96273232566827205</v>
      </c>
      <c r="P54" s="34">
        <v>0.94076183448855699</v>
      </c>
      <c r="Q54" s="34">
        <v>0.93835412171547905</v>
      </c>
      <c r="R54" s="33">
        <v>90.227273561630497</v>
      </c>
      <c r="S54" s="33">
        <v>88.147496539581098</v>
      </c>
      <c r="T54" s="33">
        <v>87.910694342978999</v>
      </c>
      <c r="U54" s="15">
        <v>2.13651664814801E-2</v>
      </c>
      <c r="V54" s="15">
        <v>-1.9550740929450902E-3</v>
      </c>
      <c r="W54" s="15">
        <v>-4.6451203579169001E-3</v>
      </c>
      <c r="X54" s="34">
        <v>0.94238156209987101</v>
      </c>
      <c r="Y54" s="34">
        <v>0.96273232566827205</v>
      </c>
      <c r="Z54" s="34">
        <v>0.94076183448855699</v>
      </c>
      <c r="AA54" s="34">
        <v>0.93835412171547905</v>
      </c>
      <c r="AB54" s="33">
        <v>90.227273561630497</v>
      </c>
      <c r="AC54" s="33">
        <v>88.147496539581098</v>
      </c>
      <c r="AD54" s="33">
        <v>87.910694342978999</v>
      </c>
      <c r="AE54" s="15">
        <v>2.13651664814801E-2</v>
      </c>
      <c r="AF54" s="15">
        <v>-1.9550740929450902E-3</v>
      </c>
      <c r="AG54" s="15">
        <v>-4.6451203579169001E-3</v>
      </c>
      <c r="AI54" s="12"/>
      <c r="AJ54">
        <f t="shared" si="6"/>
        <v>1</v>
      </c>
      <c r="AK54">
        <f t="shared" si="7"/>
        <v>0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3.6165604504823742E-2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1.0875409967608329E-2</v>
      </c>
      <c r="BE54" s="29">
        <f t="shared" si="22"/>
        <v>0</v>
      </c>
      <c r="BF54" s="29">
        <f t="shared" si="23"/>
        <v>4.7041014472432065E-2</v>
      </c>
      <c r="BH54" s="29"/>
    </row>
    <row r="55" spans="1:60" x14ac:dyDescent="0.25">
      <c r="A55" s="1">
        <v>46101</v>
      </c>
      <c r="B55" s="33">
        <v>90.55</v>
      </c>
      <c r="C55" s="33">
        <v>86.28</v>
      </c>
      <c r="D55" s="15">
        <v>-3.44094293101724E-2</v>
      </c>
      <c r="E55" s="15">
        <v>-2.3368761007829399E-2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90.55</v>
      </c>
      <c r="M55" s="33">
        <v>86.28</v>
      </c>
      <c r="N55" s="34">
        <v>0.95284373274433998</v>
      </c>
      <c r="O55" s="34">
        <v>0.96273232566827205</v>
      </c>
      <c r="P55" s="34">
        <v>0.94205589442899895</v>
      </c>
      <c r="Q55" s="34">
        <v>0.93936227091494895</v>
      </c>
      <c r="R55" s="33">
        <v>87.175412089261997</v>
      </c>
      <c r="S55" s="33">
        <v>85.185984112938897</v>
      </c>
      <c r="T55" s="33">
        <v>84.967965721336597</v>
      </c>
      <c r="U55" s="15">
        <v>1.0324498179136899E-2</v>
      </c>
      <c r="V55" s="15">
        <v>-1.27609069349147E-2</v>
      </c>
      <c r="W55" s="15">
        <v>-1.53235099320702E-2</v>
      </c>
      <c r="X55" s="34">
        <v>0.95284373274433998</v>
      </c>
      <c r="Y55" s="34">
        <v>0.96273232566827205</v>
      </c>
      <c r="Z55" s="34">
        <v>0.94205589442899895</v>
      </c>
      <c r="AA55" s="34">
        <v>0.93936227091494895</v>
      </c>
      <c r="AB55" s="33">
        <v>87.175412089261997</v>
      </c>
      <c r="AC55" s="33">
        <v>85.185984112938897</v>
      </c>
      <c r="AD55" s="33">
        <v>84.967965721336597</v>
      </c>
      <c r="AE55" s="15">
        <v>1.0324498179136899E-2</v>
      </c>
      <c r="AF55" s="15">
        <v>-1.27609069349147E-2</v>
      </c>
      <c r="AG55" s="15">
        <v>-1.53235099320702E-2</v>
      </c>
      <c r="AI55" s="12"/>
      <c r="AJ55">
        <f t="shared" si="6"/>
        <v>1</v>
      </c>
      <c r="AK55">
        <f t="shared" si="7"/>
        <v>0</v>
      </c>
      <c r="AL55">
        <f t="shared" si="14"/>
        <v>1</v>
      </c>
      <c r="AM55">
        <f t="shared" si="4"/>
        <v>1</v>
      </c>
      <c r="AN55">
        <f t="shared" si="15"/>
        <v>1</v>
      </c>
      <c r="AO55" s="28">
        <f t="shared" si="8"/>
        <v>-3.44094293101724E-2</v>
      </c>
      <c r="AP55" s="28">
        <f t="shared" si="9"/>
        <v>2.3368761007829399E-2</v>
      </c>
      <c r="AQ55" s="28">
        <f t="shared" si="16"/>
        <v>-1.1040668302343001E-2</v>
      </c>
      <c r="AR55" s="29">
        <f t="shared" si="17"/>
        <v>2.5124936202480741E-2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1.0875409967608329E-2</v>
      </c>
      <c r="BE55" s="29">
        <f t="shared" si="22"/>
        <v>-1.1040668302343001E-2</v>
      </c>
      <c r="BF55" s="29">
        <f t="shared" si="23"/>
        <v>3.6000346170089063E-2</v>
      </c>
      <c r="BH55" s="29"/>
    </row>
    <row r="56" spans="1:60" x14ac:dyDescent="0.25">
      <c r="A56" s="1">
        <v>46104</v>
      </c>
      <c r="B56" s="33">
        <v>93.46</v>
      </c>
      <c r="C56" s="33">
        <v>88.87</v>
      </c>
      <c r="D56" s="15">
        <v>3.1631352942857599E-2</v>
      </c>
      <c r="E56" s="15">
        <v>2.95768062294283E-2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93.46</v>
      </c>
      <c r="M56" s="33">
        <v>88.87</v>
      </c>
      <c r="N56" s="34">
        <v>0.95088808046222995</v>
      </c>
      <c r="O56" s="34">
        <v>0.96273232566827205</v>
      </c>
      <c r="P56" s="34">
        <v>0.94313829863291698</v>
      </c>
      <c r="Q56" s="34">
        <v>0.94055125325131395</v>
      </c>
      <c r="R56" s="33">
        <v>89.9769631569567</v>
      </c>
      <c r="S56" s="33">
        <v>88.044543893334193</v>
      </c>
      <c r="T56" s="33">
        <v>87.792797839711199</v>
      </c>
      <c r="U56" s="15">
        <v>1.23790448925665E-2</v>
      </c>
      <c r="V56" s="15">
        <v>-9.3317607322944505E-3</v>
      </c>
      <c r="W56" s="15">
        <v>-1.2195159634353201E-2</v>
      </c>
      <c r="X56" s="34">
        <v>0.95088808046222995</v>
      </c>
      <c r="Y56" s="34">
        <v>0.96273232566827205</v>
      </c>
      <c r="Z56" s="34">
        <v>0.94313829863291698</v>
      </c>
      <c r="AA56" s="34">
        <v>0.94055125325131395</v>
      </c>
      <c r="AB56" s="33">
        <v>89.9769631569567</v>
      </c>
      <c r="AC56" s="33">
        <v>88.044543893334193</v>
      </c>
      <c r="AD56" s="33">
        <v>87.792797839711199</v>
      </c>
      <c r="AE56" s="15">
        <v>1.23790448925665E-2</v>
      </c>
      <c r="AF56" s="15">
        <v>-9.3317607322944505E-3</v>
      </c>
      <c r="AG56" s="15">
        <v>-1.2195159634353201E-2</v>
      </c>
      <c r="AI56" s="12"/>
      <c r="AJ56">
        <f t="shared" si="6"/>
        <v>1</v>
      </c>
      <c r="AK56">
        <f t="shared" si="7"/>
        <v>0</v>
      </c>
      <c r="AL56">
        <f t="shared" si="14"/>
        <v>1</v>
      </c>
      <c r="AM56">
        <f t="shared" si="4"/>
        <v>1</v>
      </c>
      <c r="AN56">
        <f t="shared" si="15"/>
        <v>1</v>
      </c>
      <c r="AO56" s="28">
        <f t="shared" si="8"/>
        <v>3.1631352942857599E-2</v>
      </c>
      <c r="AP56" s="28">
        <f t="shared" si="9"/>
        <v>-2.95768062294283E-2</v>
      </c>
      <c r="AQ56" s="28">
        <f t="shared" si="16"/>
        <v>2.0545467134292991E-3</v>
      </c>
      <c r="AR56" s="29">
        <f t="shared" si="17"/>
        <v>2.717948291591004E-2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1.0875409967608329E-2</v>
      </c>
      <c r="BE56" s="29">
        <f t="shared" si="22"/>
        <v>2.0545467134292991E-3</v>
      </c>
      <c r="BF56" s="29">
        <f t="shared" si="23"/>
        <v>3.8054892883518363E-2</v>
      </c>
      <c r="BH56" s="29"/>
    </row>
    <row r="57" spans="1:60" x14ac:dyDescent="0.25">
      <c r="A57" s="1">
        <v>46105</v>
      </c>
      <c r="B57" s="33">
        <v>92.38</v>
      </c>
      <c r="C57" s="33">
        <v>88.32</v>
      </c>
      <c r="D57" s="15">
        <v>-1.1623032269820701E-2</v>
      </c>
      <c r="E57" s="15">
        <v>-6.2080452215987599E-3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92.38</v>
      </c>
      <c r="M57" s="33">
        <v>88.32</v>
      </c>
      <c r="N57" s="34">
        <v>0.95605109331023996</v>
      </c>
      <c r="O57" s="34">
        <v>0.96273232566827205</v>
      </c>
      <c r="P57" s="34">
        <v>0.94483133340964598</v>
      </c>
      <c r="Q57" s="34">
        <v>0.94181600722954095</v>
      </c>
      <c r="R57" s="33">
        <v>88.937212245235003</v>
      </c>
      <c r="S57" s="33">
        <v>87.127116027708894</v>
      </c>
      <c r="T57" s="33">
        <v>86.888124775356303</v>
      </c>
      <c r="U57" s="15">
        <v>6.9640578443443003E-3</v>
      </c>
      <c r="V57" s="15">
        <v>-1.3598426480945801E-2</v>
      </c>
      <c r="W57" s="15">
        <v>-1.6345213503876799E-2</v>
      </c>
      <c r="X57" s="34">
        <v>0.95605109331023996</v>
      </c>
      <c r="Y57" s="34">
        <v>0.96273232566827205</v>
      </c>
      <c r="Z57" s="34">
        <v>0.94483133340964598</v>
      </c>
      <c r="AA57" s="34">
        <v>0.94181600722954095</v>
      </c>
      <c r="AB57" s="33">
        <v>88.937212245235003</v>
      </c>
      <c r="AC57" s="33">
        <v>87.127116027708894</v>
      </c>
      <c r="AD57" s="33">
        <v>86.888124775356303</v>
      </c>
      <c r="AE57" s="15">
        <v>6.9640578443443003E-3</v>
      </c>
      <c r="AF57" s="15">
        <v>-1.3598426480945801E-2</v>
      </c>
      <c r="AG57" s="15">
        <v>-1.6345213503876799E-2</v>
      </c>
      <c r="AI57" s="12"/>
      <c r="AJ57">
        <f t="shared" si="6"/>
        <v>1</v>
      </c>
      <c r="AK57">
        <f t="shared" si="7"/>
        <v>0</v>
      </c>
      <c r="AL57">
        <f t="shared" si="14"/>
        <v>1</v>
      </c>
      <c r="AM57">
        <f t="shared" si="4"/>
        <v>1</v>
      </c>
      <c r="AN57">
        <f t="shared" si="15"/>
        <v>1</v>
      </c>
      <c r="AO57" s="28">
        <f t="shared" si="8"/>
        <v>-1.1623032269820701E-2</v>
      </c>
      <c r="AP57" s="28">
        <f t="shared" si="9"/>
        <v>6.2080452215987599E-3</v>
      </c>
      <c r="AQ57" s="28">
        <f t="shared" si="16"/>
        <v>-5.4149870482219408E-3</v>
      </c>
      <c r="AR57" s="29">
        <f t="shared" si="17"/>
        <v>2.17644958676881E-2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1.0875409967608329E-2</v>
      </c>
      <c r="BE57" s="29">
        <f t="shared" si="22"/>
        <v>-5.4149870482219408E-3</v>
      </c>
      <c r="BF57" s="29">
        <f t="shared" si="23"/>
        <v>3.2639905835296419E-2</v>
      </c>
      <c r="BH57" s="29"/>
    </row>
    <row r="58" spans="1:60" x14ac:dyDescent="0.25">
      <c r="A58" s="1">
        <v>46106</v>
      </c>
      <c r="B58" s="33">
        <v>92.19</v>
      </c>
      <c r="C58" s="33">
        <v>88.33</v>
      </c>
      <c r="D58" s="15">
        <v>-2.0588401919563E-3</v>
      </c>
      <c r="E58" s="15">
        <v>1.13218228255662E-4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92.19</v>
      </c>
      <c r="M58" s="33">
        <v>88.33</v>
      </c>
      <c r="N58" s="34">
        <v>0.95812994901833104</v>
      </c>
      <c r="O58" s="34">
        <v>0.96273232566827205</v>
      </c>
      <c r="P58" s="34">
        <v>0.94648465139318105</v>
      </c>
      <c r="Q58" s="34">
        <v>0.942707242330597</v>
      </c>
      <c r="R58" s="33">
        <v>88.754293103357995</v>
      </c>
      <c r="S58" s="33">
        <v>87.104000627035205</v>
      </c>
      <c r="T58" s="33">
        <v>86.826017706491299</v>
      </c>
      <c r="U58" s="15">
        <v>4.7919994241323498E-3</v>
      </c>
      <c r="V58" s="15">
        <v>-1.39769865293432E-2</v>
      </c>
      <c r="W58" s="15">
        <v>-1.7173480842399998E-2</v>
      </c>
      <c r="X58" s="34">
        <v>0.95812994901833104</v>
      </c>
      <c r="Y58" s="34">
        <v>0.96273232566827205</v>
      </c>
      <c r="Z58" s="34">
        <v>0.94648465139318105</v>
      </c>
      <c r="AA58" s="34">
        <v>0.942707242330597</v>
      </c>
      <c r="AB58" s="33">
        <v>88.754293103357995</v>
      </c>
      <c r="AC58" s="33">
        <v>87.104000627035205</v>
      </c>
      <c r="AD58" s="33">
        <v>86.826017706491299</v>
      </c>
      <c r="AE58" s="15">
        <v>4.7919994241323498E-3</v>
      </c>
      <c r="AF58" s="15">
        <v>-1.39769865293432E-2</v>
      </c>
      <c r="AG58" s="15">
        <v>-1.7173480842399998E-2</v>
      </c>
      <c r="AI58" s="12"/>
      <c r="AJ58">
        <f t="shared" si="6"/>
        <v>1</v>
      </c>
      <c r="AK58">
        <f t="shared" si="7"/>
        <v>0</v>
      </c>
      <c r="AL58">
        <f t="shared" si="14"/>
        <v>1</v>
      </c>
      <c r="AM58">
        <f t="shared" si="4"/>
        <v>1</v>
      </c>
      <c r="AN58">
        <f t="shared" si="15"/>
        <v>1</v>
      </c>
      <c r="AO58" s="28">
        <f t="shared" si="8"/>
        <v>-2.0588401919563E-3</v>
      </c>
      <c r="AP58" s="28">
        <f t="shared" si="9"/>
        <v>-1.13218228255662E-4</v>
      </c>
      <c r="AQ58" s="28">
        <f t="shared" si="16"/>
        <v>-2.1720584202119622E-3</v>
      </c>
      <c r="AR58" s="29">
        <f t="shared" si="17"/>
        <v>1.9592437447476137E-2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1.0875409967608329E-2</v>
      </c>
      <c r="BE58" s="29">
        <f t="shared" si="22"/>
        <v>-2.1720584202119622E-3</v>
      </c>
      <c r="BF58" s="29">
        <f t="shared" si="23"/>
        <v>3.0467847415084456E-2</v>
      </c>
      <c r="BH58" s="29"/>
    </row>
    <row r="59" spans="1:60" x14ac:dyDescent="0.25">
      <c r="A59" s="1">
        <v>46107</v>
      </c>
      <c r="B59" s="33">
        <v>91.11</v>
      </c>
      <c r="C59" s="33">
        <v>87.11</v>
      </c>
      <c r="D59" s="15">
        <v>-1.17840970847358E-2</v>
      </c>
      <c r="E59" s="15">
        <v>-1.3908112926240199E-2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91.11</v>
      </c>
      <c r="M59" s="33">
        <v>87.11</v>
      </c>
      <c r="N59" s="34">
        <v>0.95609702557348197</v>
      </c>
      <c r="O59" s="34">
        <v>0.96273232566827205</v>
      </c>
      <c r="P59" s="34">
        <v>0.94747581061791697</v>
      </c>
      <c r="Q59" s="34">
        <v>0.94349870075212805</v>
      </c>
      <c r="R59" s="33">
        <v>87.714542191636298</v>
      </c>
      <c r="S59" s="33">
        <v>86.234216588432702</v>
      </c>
      <c r="T59" s="33">
        <v>85.890056848740699</v>
      </c>
      <c r="U59" s="15">
        <v>6.9160152656365503E-3</v>
      </c>
      <c r="V59" s="15">
        <v>-1.0104644741298E-2</v>
      </c>
      <c r="W59" s="15">
        <v>-1.41036181744286E-2</v>
      </c>
      <c r="X59" s="34">
        <v>0.95609702557348197</v>
      </c>
      <c r="Y59" s="34">
        <v>0.96273232566827205</v>
      </c>
      <c r="Z59" s="34">
        <v>0.94747581061791697</v>
      </c>
      <c r="AA59" s="34">
        <v>0.94349870075212805</v>
      </c>
      <c r="AB59" s="33">
        <v>87.714542191636298</v>
      </c>
      <c r="AC59" s="33">
        <v>86.234216588432702</v>
      </c>
      <c r="AD59" s="33">
        <v>85.890056848740699</v>
      </c>
      <c r="AE59" s="15">
        <v>6.9160152656365503E-3</v>
      </c>
      <c r="AF59" s="15">
        <v>-1.0104644741298E-2</v>
      </c>
      <c r="AG59" s="15">
        <v>-1.41036181744286E-2</v>
      </c>
      <c r="AI59" s="12"/>
      <c r="AJ59">
        <f t="shared" si="6"/>
        <v>1</v>
      </c>
      <c r="AK59">
        <f t="shared" si="7"/>
        <v>0</v>
      </c>
      <c r="AL59">
        <f t="shared" si="14"/>
        <v>1</v>
      </c>
      <c r="AM59">
        <f t="shared" si="4"/>
        <v>1</v>
      </c>
      <c r="AN59">
        <f t="shared" si="15"/>
        <v>1</v>
      </c>
      <c r="AO59" s="28">
        <f t="shared" si="8"/>
        <v>-1.17840970847358E-2</v>
      </c>
      <c r="AP59" s="28">
        <f t="shared" si="9"/>
        <v>1.3908112926240199E-2</v>
      </c>
      <c r="AQ59" s="28">
        <f t="shared" si="16"/>
        <v>2.1240158415043991E-3</v>
      </c>
      <c r="AR59" s="29">
        <f t="shared" si="17"/>
        <v>2.1716453288980538E-2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1.0875409967608329E-2</v>
      </c>
      <c r="BE59" s="29">
        <f t="shared" si="22"/>
        <v>2.1240158415043991E-3</v>
      </c>
      <c r="BF59" s="29">
        <f t="shared" si="23"/>
        <v>3.2591863256588853E-2</v>
      </c>
      <c r="BH59" s="29"/>
    </row>
    <row r="60" spans="1:60" x14ac:dyDescent="0.25">
      <c r="A60" s="1">
        <v>46108</v>
      </c>
      <c r="B60" s="33">
        <v>90.25</v>
      </c>
      <c r="C60" s="33">
        <v>86.2</v>
      </c>
      <c r="D60" s="15">
        <v>-9.4839705127768206E-3</v>
      </c>
      <c r="E60" s="15">
        <v>-1.0501510161153201E-2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90.25</v>
      </c>
      <c r="M60" s="33">
        <v>86.2</v>
      </c>
      <c r="N60" s="34">
        <v>0.95512465373961197</v>
      </c>
      <c r="O60" s="34">
        <v>0.96273232566827205</v>
      </c>
      <c r="P60" s="34">
        <v>0.94848532738193703</v>
      </c>
      <c r="Q60" s="34">
        <v>0.94459089006730101</v>
      </c>
      <c r="R60" s="33">
        <v>86.886592391561607</v>
      </c>
      <c r="S60" s="33">
        <v>85.509691908267001</v>
      </c>
      <c r="T60" s="33">
        <v>85.150757742879605</v>
      </c>
      <c r="U60" s="15">
        <v>7.9335549140130603E-3</v>
      </c>
      <c r="V60" s="15">
        <v>-8.0404524989534393E-3</v>
      </c>
      <c r="W60" s="15">
        <v>-1.22468716824052E-2</v>
      </c>
      <c r="X60" s="34">
        <v>0.95512465373961197</v>
      </c>
      <c r="Y60" s="34">
        <v>0.96273232566827205</v>
      </c>
      <c r="Z60" s="34">
        <v>0.94848532738193703</v>
      </c>
      <c r="AA60" s="34">
        <v>0.94459089006730101</v>
      </c>
      <c r="AB60" s="33">
        <v>86.886592391561607</v>
      </c>
      <c r="AC60" s="33">
        <v>85.509691908267001</v>
      </c>
      <c r="AD60" s="33">
        <v>85.150757742879605</v>
      </c>
      <c r="AE60" s="15">
        <v>7.9335549140130603E-3</v>
      </c>
      <c r="AF60" s="15">
        <v>-8.0404524989534393E-3</v>
      </c>
      <c r="AG60" s="15">
        <v>-1.22468716824052E-2</v>
      </c>
      <c r="AI60" s="12"/>
      <c r="AJ60">
        <f t="shared" si="6"/>
        <v>1</v>
      </c>
      <c r="AK60">
        <f t="shared" si="7"/>
        <v>0</v>
      </c>
      <c r="AL60">
        <f t="shared" si="14"/>
        <v>1</v>
      </c>
      <c r="AM60">
        <f t="shared" si="4"/>
        <v>1</v>
      </c>
      <c r="AN60">
        <f t="shared" si="15"/>
        <v>1</v>
      </c>
      <c r="AO60" s="28">
        <f t="shared" si="8"/>
        <v>-9.4839705127768206E-3</v>
      </c>
      <c r="AP60" s="28">
        <f t="shared" si="9"/>
        <v>1.0501510161153201E-2</v>
      </c>
      <c r="AQ60" s="28">
        <f t="shared" si="16"/>
        <v>1.01753964837638E-3</v>
      </c>
      <c r="AR60" s="29">
        <f t="shared" si="17"/>
        <v>2.2733992937356916E-2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1.0875409967608329E-2</v>
      </c>
      <c r="BE60" s="29">
        <f t="shared" si="22"/>
        <v>1.01753964837638E-3</v>
      </c>
      <c r="BF60" s="29">
        <f t="shared" si="23"/>
        <v>3.3609402904965231E-2</v>
      </c>
      <c r="BH60" s="29"/>
    </row>
    <row r="61" spans="1:60" x14ac:dyDescent="0.25">
      <c r="A61" s="1">
        <v>46111</v>
      </c>
      <c r="B61" s="33">
        <v>84.88</v>
      </c>
      <c r="C61" s="33">
        <v>81.84</v>
      </c>
      <c r="D61" s="15">
        <v>-6.1345102907262701E-2</v>
      </c>
      <c r="E61" s="15">
        <v>-5.1904056026276298E-2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84.88</v>
      </c>
      <c r="M61" s="33">
        <v>81.84</v>
      </c>
      <c r="N61" s="34">
        <v>0.96418473138548499</v>
      </c>
      <c r="O61" s="34">
        <v>0.96273232566827205</v>
      </c>
      <c r="P61" s="34">
        <v>0.95071932944179804</v>
      </c>
      <c r="Q61" s="34">
        <v>0.94583782666369698</v>
      </c>
      <c r="R61" s="33">
        <v>81.716719802722906</v>
      </c>
      <c r="S61" s="33">
        <v>80.507434588178796</v>
      </c>
      <c r="T61" s="33">
        <v>80.176874748912496</v>
      </c>
      <c r="U61" s="15">
        <v>-1.5074919669732E-3</v>
      </c>
      <c r="V61" s="15">
        <v>-1.64165863506699E-2</v>
      </c>
      <c r="W61" s="15">
        <v>-2.0530993126902299E-2</v>
      </c>
      <c r="X61" s="34">
        <v>0.96418473138548499</v>
      </c>
      <c r="Y61" s="34">
        <v>0.96273232566827205</v>
      </c>
      <c r="Z61" s="34">
        <v>0.95071932944179804</v>
      </c>
      <c r="AA61" s="34">
        <v>0.94583782666369698</v>
      </c>
      <c r="AB61" s="33">
        <v>81.716719802722906</v>
      </c>
      <c r="AC61" s="33">
        <v>80.507434588178796</v>
      </c>
      <c r="AD61" s="33">
        <v>80.176874748912496</v>
      </c>
      <c r="AE61" s="15">
        <v>-1.5074919669732E-3</v>
      </c>
      <c r="AF61" s="15">
        <v>-1.64165863506699E-2</v>
      </c>
      <c r="AG61" s="15">
        <v>-2.0530993126902299E-2</v>
      </c>
      <c r="AI61" s="12"/>
      <c r="AJ61">
        <f t="shared" si="6"/>
        <v>1</v>
      </c>
      <c r="AK61">
        <f t="shared" si="7"/>
        <v>0</v>
      </c>
      <c r="AL61">
        <f t="shared" si="14"/>
        <v>1</v>
      </c>
      <c r="AM61">
        <f t="shared" si="4"/>
        <v>1</v>
      </c>
      <c r="AN61">
        <f t="shared" si="15"/>
        <v>1</v>
      </c>
      <c r="AO61" s="28">
        <f t="shared" si="8"/>
        <v>-6.1345102907262701E-2</v>
      </c>
      <c r="AP61" s="28">
        <f t="shared" si="9"/>
        <v>5.1904056026276298E-2</v>
      </c>
      <c r="AQ61" s="28">
        <f t="shared" si="16"/>
        <v>-9.4410468809864034E-3</v>
      </c>
      <c r="AR61" s="29">
        <f t="shared" si="17"/>
        <v>1.3292946056370512E-2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1.0875409967608329E-2</v>
      </c>
      <c r="BE61" s="29">
        <f t="shared" si="22"/>
        <v>-9.4410468809864034E-3</v>
      </c>
      <c r="BF61" s="29">
        <f t="shared" si="23"/>
        <v>2.4168356023978828E-2</v>
      </c>
      <c r="BH61" s="29"/>
    </row>
    <row r="62" spans="1:60" x14ac:dyDescent="0.25">
      <c r="A62" s="1">
        <v>46112</v>
      </c>
      <c r="B62" s="33">
        <v>86.84</v>
      </c>
      <c r="C62" s="33">
        <v>84.12</v>
      </c>
      <c r="D62" s="15">
        <v>2.2828850704363499E-2</v>
      </c>
      <c r="E62" s="15">
        <v>2.7478229191127902E-2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86.84</v>
      </c>
      <c r="M62" s="33">
        <v>84.12</v>
      </c>
      <c r="N62" s="34">
        <v>0.96867802855826801</v>
      </c>
      <c r="O62" s="34">
        <v>0.96273232566827205</v>
      </c>
      <c r="P62" s="34">
        <v>0.95433762183694304</v>
      </c>
      <c r="Q62" s="34">
        <v>0.947532497393335</v>
      </c>
      <c r="R62" s="33">
        <v>83.603675161032797</v>
      </c>
      <c r="S62" s="33">
        <v>82.560466568725801</v>
      </c>
      <c r="T62" s="33">
        <v>82.136556867475406</v>
      </c>
      <c r="U62" s="15">
        <v>-6.1568704537376898E-3</v>
      </c>
      <c r="V62" s="15">
        <v>-1.8713397848733399E-2</v>
      </c>
      <c r="W62" s="15">
        <v>-2.38611610386271E-2</v>
      </c>
      <c r="X62" s="34">
        <v>0.96867802855826801</v>
      </c>
      <c r="Y62" s="34">
        <v>0.96273232566827205</v>
      </c>
      <c r="Z62" s="34">
        <v>0.95433762183694304</v>
      </c>
      <c r="AA62" s="34">
        <v>0.947532497393335</v>
      </c>
      <c r="AB62" s="33">
        <v>83.603675161032797</v>
      </c>
      <c r="AC62" s="33">
        <v>82.560466568725801</v>
      </c>
      <c r="AD62" s="33">
        <v>82.136556867475406</v>
      </c>
      <c r="AE62" s="15">
        <v>-6.1568704537376898E-3</v>
      </c>
      <c r="AF62" s="15">
        <v>-1.8713397848733399E-2</v>
      </c>
      <c r="AG62" s="15">
        <v>-2.38611610386271E-2</v>
      </c>
      <c r="AI62" s="12"/>
      <c r="AJ62">
        <f t="shared" si="6"/>
        <v>1</v>
      </c>
      <c r="AK62">
        <f t="shared" si="7"/>
        <v>0</v>
      </c>
      <c r="AL62">
        <f t="shared" si="14"/>
        <v>1</v>
      </c>
      <c r="AM62">
        <f t="shared" si="4"/>
        <v>1</v>
      </c>
      <c r="AN62">
        <f t="shared" si="15"/>
        <v>1</v>
      </c>
      <c r="AO62" s="28">
        <f t="shared" si="8"/>
        <v>2.2828850704363499E-2</v>
      </c>
      <c r="AP62" s="28">
        <f t="shared" si="9"/>
        <v>-2.7478229191127902E-2</v>
      </c>
      <c r="AQ62" s="28">
        <f t="shared" si="16"/>
        <v>-4.6493784867644022E-3</v>
      </c>
      <c r="AR62" s="29">
        <f t="shared" si="17"/>
        <v>8.6435675696061101E-3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1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1.0875409967608329E-2</v>
      </c>
      <c r="BE62" s="29">
        <f t="shared" si="22"/>
        <v>-4.6493784867644022E-3</v>
      </c>
      <c r="BF62" s="29">
        <f t="shared" si="23"/>
        <v>1.9518977537214426E-2</v>
      </c>
      <c r="BH62" s="29"/>
    </row>
    <row r="63" spans="1:60" x14ac:dyDescent="0.25">
      <c r="A63" s="1">
        <v>46113</v>
      </c>
      <c r="B63" s="33">
        <v>85.44</v>
      </c>
      <c r="C63" s="33">
        <v>83.27</v>
      </c>
      <c r="D63" s="15">
        <v>-1.6252969798206399E-2</v>
      </c>
      <c r="E63" s="15">
        <v>-1.0156010586771199E-2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85.44</v>
      </c>
      <c r="M63" s="33">
        <v>83.27</v>
      </c>
      <c r="N63" s="34">
        <v>0.97460205992509297</v>
      </c>
      <c r="O63" s="34">
        <v>0.96273232566827205</v>
      </c>
      <c r="P63" s="34">
        <v>0.95789809168169504</v>
      </c>
      <c r="Q63" s="34">
        <v>0.94921951393506998</v>
      </c>
      <c r="R63" s="33">
        <v>82.255849905097193</v>
      </c>
      <c r="S63" s="33">
        <v>81.538606409748397</v>
      </c>
      <c r="T63" s="33">
        <v>80.957176577286603</v>
      </c>
      <c r="U63" s="15">
        <v>-1.22538296651729E-2</v>
      </c>
      <c r="V63" s="15">
        <v>-2.1011733881399999E-2</v>
      </c>
      <c r="W63" s="15">
        <v>-2.8168009609103099E-2</v>
      </c>
      <c r="X63" s="34">
        <v>0.97460205992509297</v>
      </c>
      <c r="Y63" s="34">
        <v>0.96273232566827205</v>
      </c>
      <c r="Z63" s="34">
        <v>0.95789809168169504</v>
      </c>
      <c r="AA63" s="34">
        <v>0.94921951393506998</v>
      </c>
      <c r="AB63" s="33">
        <v>82.255849905097193</v>
      </c>
      <c r="AC63" s="33">
        <v>81.538606409748397</v>
      </c>
      <c r="AD63" s="33">
        <v>80.957176577286603</v>
      </c>
      <c r="AE63" s="15">
        <v>-1.22538296651729E-2</v>
      </c>
      <c r="AF63" s="15">
        <v>-2.1011733881399999E-2</v>
      </c>
      <c r="AG63" s="15">
        <v>-2.8168009609103099E-2</v>
      </c>
      <c r="AI63" s="12"/>
      <c r="AJ63">
        <f t="shared" si="6"/>
        <v>1</v>
      </c>
      <c r="AK63">
        <f t="shared" si="7"/>
        <v>0</v>
      </c>
      <c r="AL63">
        <f t="shared" si="14"/>
        <v>1</v>
      </c>
      <c r="AM63">
        <f t="shared" si="4"/>
        <v>1</v>
      </c>
      <c r="AN63">
        <f t="shared" si="15"/>
        <v>1</v>
      </c>
      <c r="AO63" s="28">
        <f t="shared" si="8"/>
        <v>-1.6252969798206399E-2</v>
      </c>
      <c r="AP63" s="28">
        <f t="shared" si="9"/>
        <v>1.0156010586771199E-2</v>
      </c>
      <c r="AQ63" s="28">
        <f t="shared" si="16"/>
        <v>-6.0969592114352E-3</v>
      </c>
      <c r="AR63" s="29">
        <f t="shared" si="17"/>
        <v>2.5466083581709101E-3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1.0875409967608329E-2</v>
      </c>
      <c r="BE63" s="29">
        <f t="shared" si="22"/>
        <v>-6.0969592114352E-3</v>
      </c>
      <c r="BF63" s="29">
        <f t="shared" si="23"/>
        <v>1.3422018325779226E-2</v>
      </c>
      <c r="BH63" s="29"/>
    </row>
    <row r="64" spans="1:60" x14ac:dyDescent="0.25">
      <c r="A64" s="1">
        <v>46114</v>
      </c>
      <c r="B64" s="33">
        <v>86.49</v>
      </c>
      <c r="C64" s="33">
        <v>84.32</v>
      </c>
      <c r="D64" s="15">
        <v>1.22144251065357E-2</v>
      </c>
      <c r="E64" s="15">
        <v>1.2530744545324201E-2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86.49</v>
      </c>
      <c r="M64" s="33">
        <v>84.32</v>
      </c>
      <c r="N64" s="34">
        <v>0.97491039426523296</v>
      </c>
      <c r="O64" s="34">
        <v>0.96273232566827205</v>
      </c>
      <c r="P64" s="34">
        <v>0.96115097489823098</v>
      </c>
      <c r="Q64" s="34">
        <v>0.95095640469339404</v>
      </c>
      <c r="R64" s="33">
        <v>83.266718847048793</v>
      </c>
      <c r="S64" s="33">
        <v>82.848605949549807</v>
      </c>
      <c r="T64" s="33">
        <v>82.097995760244203</v>
      </c>
      <c r="U64" s="15">
        <v>-1.2570149103961301E-2</v>
      </c>
      <c r="V64" s="15">
        <v>-1.7604167259388601E-2</v>
      </c>
      <c r="W64" s="15">
        <v>-2.67054808099444E-2</v>
      </c>
      <c r="X64" s="34">
        <v>0.97491039426523296</v>
      </c>
      <c r="Y64" s="34">
        <v>0.96273232566827205</v>
      </c>
      <c r="Z64" s="34">
        <v>0.96115097489823098</v>
      </c>
      <c r="AA64" s="34">
        <v>0.95095640469339404</v>
      </c>
      <c r="AB64" s="33">
        <v>83.266718847048793</v>
      </c>
      <c r="AC64" s="33">
        <v>82.848605949549807</v>
      </c>
      <c r="AD64" s="33">
        <v>82.097995760244203</v>
      </c>
      <c r="AE64" s="15">
        <v>-1.2570149103961301E-2</v>
      </c>
      <c r="AF64" s="15">
        <v>-1.7604167259388601E-2</v>
      </c>
      <c r="AG64" s="15">
        <v>-2.67054808099444E-2</v>
      </c>
      <c r="AI64" s="12"/>
      <c r="AJ64">
        <f t="shared" si="6"/>
        <v>1</v>
      </c>
      <c r="AK64">
        <f t="shared" si="7"/>
        <v>0</v>
      </c>
      <c r="AL64">
        <f t="shared" si="14"/>
        <v>1</v>
      </c>
      <c r="AM64">
        <f t="shared" si="4"/>
        <v>1</v>
      </c>
      <c r="AN64">
        <f t="shared" si="15"/>
        <v>1</v>
      </c>
      <c r="AO64" s="28">
        <f t="shared" si="8"/>
        <v>1.22144251065357E-2</v>
      </c>
      <c r="AP64" s="28">
        <f t="shared" si="9"/>
        <v>-1.2530744545324201E-2</v>
      </c>
      <c r="AQ64" s="28">
        <f t="shared" si="16"/>
        <v>-3.16319438788501E-4</v>
      </c>
      <c r="AR64" s="29">
        <f t="shared" si="17"/>
        <v>2.2302889193824092E-3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1.0875409967608329E-2</v>
      </c>
      <c r="BE64" s="29">
        <f t="shared" si="22"/>
        <v>-3.16319438788501E-4</v>
      </c>
      <c r="BF64" s="29">
        <f t="shared" si="23"/>
        <v>1.3105698886990725E-2</v>
      </c>
      <c r="BH64" s="29"/>
    </row>
    <row r="65" spans="1:60" x14ac:dyDescent="0.25">
      <c r="A65" s="1">
        <v>46118</v>
      </c>
      <c r="B65" s="33">
        <v>88.57</v>
      </c>
      <c r="C65" s="33">
        <v>86.53</v>
      </c>
      <c r="D65" s="15">
        <v>2.3764399503071E-2</v>
      </c>
      <c r="E65" s="15">
        <v>2.5872089825595398E-2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88.57</v>
      </c>
      <c r="M65" s="33">
        <v>86.53</v>
      </c>
      <c r="N65" s="34">
        <v>0.97696737044145798</v>
      </c>
      <c r="O65" s="34">
        <v>0.96273232566827205</v>
      </c>
      <c r="P65" s="34">
        <v>0.96356333866794297</v>
      </c>
      <c r="Q65" s="34">
        <v>0.95280961654847096</v>
      </c>
      <c r="R65" s="33">
        <v>85.269202084438902</v>
      </c>
      <c r="S65" s="33">
        <v>85.129141846736303</v>
      </c>
      <c r="T65" s="33">
        <v>84.226208763693904</v>
      </c>
      <c r="U65" s="15">
        <v>-1.46778394264855E-2</v>
      </c>
      <c r="V65" s="15">
        <v>-1.6321755276998199E-2</v>
      </c>
      <c r="W65" s="15">
        <v>-2.6985033826829902E-2</v>
      </c>
      <c r="X65" s="34">
        <v>0.97696737044145798</v>
      </c>
      <c r="Y65" s="34">
        <v>0.96273232566827205</v>
      </c>
      <c r="Z65" s="34">
        <v>0.96356333866794297</v>
      </c>
      <c r="AA65" s="34">
        <v>0.95280961654847096</v>
      </c>
      <c r="AB65" s="33">
        <v>85.269202084438902</v>
      </c>
      <c r="AC65" s="33">
        <v>85.129141846736303</v>
      </c>
      <c r="AD65" s="33">
        <v>84.226208763693904</v>
      </c>
      <c r="AE65" s="15">
        <v>-1.46778394264855E-2</v>
      </c>
      <c r="AF65" s="15">
        <v>-1.6321755276998199E-2</v>
      </c>
      <c r="AG65" s="15">
        <v>-2.6985033826829902E-2</v>
      </c>
      <c r="AI65" s="12"/>
      <c r="AJ65">
        <f t="shared" si="6"/>
        <v>1</v>
      </c>
      <c r="AK65">
        <f t="shared" si="7"/>
        <v>0</v>
      </c>
      <c r="AL65">
        <f t="shared" si="14"/>
        <v>1</v>
      </c>
      <c r="AM65">
        <f t="shared" si="4"/>
        <v>1</v>
      </c>
      <c r="AN65">
        <f t="shared" si="15"/>
        <v>1</v>
      </c>
      <c r="AO65" s="28">
        <f t="shared" si="8"/>
        <v>2.3764399503071E-2</v>
      </c>
      <c r="AP65" s="28">
        <f t="shared" si="9"/>
        <v>-2.5872089825595398E-2</v>
      </c>
      <c r="AQ65" s="28">
        <f t="shared" si="16"/>
        <v>-2.1076903225243984E-3</v>
      </c>
      <c r="AR65" s="29">
        <f t="shared" si="17"/>
        <v>1.2259859685801074E-4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1.0875409967608329E-2</v>
      </c>
      <c r="BE65" s="29">
        <f t="shared" si="22"/>
        <v>-2.1076903225243984E-3</v>
      </c>
      <c r="BF65" s="29">
        <f t="shared" si="23"/>
        <v>1.0998008564466326E-2</v>
      </c>
      <c r="BH65" s="29"/>
    </row>
    <row r="66" spans="1:60" x14ac:dyDescent="0.25">
      <c r="A66" s="1">
        <v>46119</v>
      </c>
      <c r="B66" s="33">
        <v>85.62</v>
      </c>
      <c r="C66" s="33">
        <v>83.19</v>
      </c>
      <c r="D66" s="15">
        <v>-3.3874299104691398E-2</v>
      </c>
      <c r="E66" s="15">
        <v>-3.9364026322851103E-2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85.62</v>
      </c>
      <c r="M66" s="33">
        <v>83.19</v>
      </c>
      <c r="N66" s="34">
        <v>0.97161878065872398</v>
      </c>
      <c r="O66" s="34">
        <v>0.96273232566827205</v>
      </c>
      <c r="P66" s="34">
        <v>0.96563640868759304</v>
      </c>
      <c r="Q66" s="34">
        <v>0.95438735366025496</v>
      </c>
      <c r="R66" s="33">
        <v>82.429141723717507</v>
      </c>
      <c r="S66" s="33">
        <v>82.5002930567493</v>
      </c>
      <c r="T66" s="33">
        <v>81.579559368880098</v>
      </c>
      <c r="U66" s="15">
        <v>-9.1881122083259104E-3</v>
      </c>
      <c r="V66" s="15">
        <v>-8.3253027584477193E-3</v>
      </c>
      <c r="W66" s="15">
        <v>-1.9548415635972399E-2</v>
      </c>
      <c r="X66" s="34">
        <v>0.97161878065872398</v>
      </c>
      <c r="Y66" s="34">
        <v>0.96273232566827205</v>
      </c>
      <c r="Z66" s="34">
        <v>0.96563640868759304</v>
      </c>
      <c r="AA66" s="34">
        <v>0.95438735366025496</v>
      </c>
      <c r="AB66" s="33">
        <v>82.429141723717507</v>
      </c>
      <c r="AC66" s="33">
        <v>82.5002930567493</v>
      </c>
      <c r="AD66" s="33">
        <v>81.579559368880098</v>
      </c>
      <c r="AE66" s="15">
        <v>-9.1881122083259104E-3</v>
      </c>
      <c r="AF66" s="15">
        <v>-8.3253027584477193E-3</v>
      </c>
      <c r="AG66" s="15">
        <v>-1.9548415635972399E-2</v>
      </c>
      <c r="AI66" s="12"/>
      <c r="AJ66">
        <f t="shared" si="6"/>
        <v>1</v>
      </c>
      <c r="AK66">
        <f t="shared" si="7"/>
        <v>0</v>
      </c>
      <c r="AL66">
        <f t="shared" si="14"/>
        <v>1</v>
      </c>
      <c r="AM66">
        <f t="shared" si="4"/>
        <v>1</v>
      </c>
      <c r="AN66">
        <f t="shared" si="15"/>
        <v>1</v>
      </c>
      <c r="AO66" s="28">
        <f t="shared" si="8"/>
        <v>-3.3874299104691398E-2</v>
      </c>
      <c r="AP66" s="28">
        <f t="shared" si="9"/>
        <v>3.9364026322851103E-2</v>
      </c>
      <c r="AQ66" s="28">
        <f t="shared" si="16"/>
        <v>5.4897272181597054E-3</v>
      </c>
      <c r="AR66" s="29">
        <f t="shared" si="17"/>
        <v>5.6123258150177161E-3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1.0875409967608329E-2</v>
      </c>
      <c r="BE66" s="29">
        <f t="shared" si="22"/>
        <v>5.4897272181597054E-3</v>
      </c>
      <c r="BF66" s="29">
        <f t="shared" si="23"/>
        <v>1.648773578262603E-2</v>
      </c>
      <c r="BH66" s="29"/>
    </row>
    <row r="67" spans="1:60" x14ac:dyDescent="0.25">
      <c r="A67" s="1">
        <v>46120</v>
      </c>
      <c r="B67" s="33">
        <v>88.63</v>
      </c>
      <c r="C67" s="33">
        <v>86.75</v>
      </c>
      <c r="D67" s="15">
        <v>3.4551500033506398E-2</v>
      </c>
      <c r="E67" s="15">
        <v>4.1903270531172203E-2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88.63</v>
      </c>
      <c r="M67" s="33">
        <v>86.75</v>
      </c>
      <c r="N67" s="34">
        <v>0.97878822069276705</v>
      </c>
      <c r="O67" s="34">
        <v>0.96273232566827205</v>
      </c>
      <c r="P67" s="34">
        <v>0.96791012142584498</v>
      </c>
      <c r="Q67" s="34">
        <v>0.95637072741774598</v>
      </c>
      <c r="R67" s="33">
        <v>85.326966023978997</v>
      </c>
      <c r="S67" s="33">
        <v>85.5843549019813</v>
      </c>
      <c r="T67" s="33">
        <v>84.587351154908404</v>
      </c>
      <c r="U67" s="15">
        <v>-1.6539882705991701E-2</v>
      </c>
      <c r="V67" s="15">
        <v>-1.35279222203803E-2</v>
      </c>
      <c r="W67" s="15">
        <v>-2.5245676928415402E-2</v>
      </c>
      <c r="X67" s="34">
        <v>0.97878822069276705</v>
      </c>
      <c r="Y67" s="34">
        <v>0.96273232566827205</v>
      </c>
      <c r="Z67" s="34">
        <v>0.96791012142584498</v>
      </c>
      <c r="AA67" s="34">
        <v>0.95637072741774598</v>
      </c>
      <c r="AB67" s="33">
        <v>85.326966023978997</v>
      </c>
      <c r="AC67" s="33">
        <v>85.5843549019813</v>
      </c>
      <c r="AD67" s="33">
        <v>84.587351154908404</v>
      </c>
      <c r="AE67" s="15">
        <v>-1.6539882705991701E-2</v>
      </c>
      <c r="AF67" s="15">
        <v>-1.35279222203803E-2</v>
      </c>
      <c r="AG67" s="15">
        <v>-2.5245676928415402E-2</v>
      </c>
      <c r="AI67" s="12"/>
      <c r="AJ67">
        <f t="shared" si="6"/>
        <v>1</v>
      </c>
      <c r="AK67">
        <f t="shared" si="7"/>
        <v>0</v>
      </c>
      <c r="AL67">
        <f t="shared" si="14"/>
        <v>1</v>
      </c>
      <c r="AM67">
        <f t="shared" si="4"/>
        <v>1</v>
      </c>
      <c r="AN67">
        <f t="shared" si="15"/>
        <v>1</v>
      </c>
      <c r="AO67" s="28">
        <f t="shared" si="8"/>
        <v>3.4551500033506398E-2</v>
      </c>
      <c r="AP67" s="28">
        <f t="shared" si="9"/>
        <v>-4.1903270531172203E-2</v>
      </c>
      <c r="AQ67" s="28">
        <f t="shared" si="16"/>
        <v>-7.3517704976658049E-3</v>
      </c>
      <c r="AR67" s="29">
        <f t="shared" si="17"/>
        <v>-1.7394446826480888E-3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1.0875409967608329E-2</v>
      </c>
      <c r="BE67" s="29">
        <f t="shared" si="22"/>
        <v>-7.3517704976658049E-3</v>
      </c>
      <c r="BF67" s="29">
        <f t="shared" si="23"/>
        <v>9.1359652849602249E-3</v>
      </c>
      <c r="BH67" s="29"/>
    </row>
    <row r="68" spans="1:60" x14ac:dyDescent="0.25">
      <c r="A68" s="1">
        <v>46121</v>
      </c>
      <c r="B68" s="33">
        <v>88.93</v>
      </c>
      <c r="C68" s="33">
        <v>86.85</v>
      </c>
      <c r="D68" s="15">
        <v>3.3791426612422302E-3</v>
      </c>
      <c r="E68" s="15">
        <v>1.15207386014538E-3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88.93</v>
      </c>
      <c r="M68" s="33">
        <v>86.85</v>
      </c>
      <c r="N68" s="34">
        <v>0.97661081749690704</v>
      </c>
      <c r="O68" s="34">
        <v>0.96273232566827205</v>
      </c>
      <c r="P68" s="34">
        <v>0.96975820827370296</v>
      </c>
      <c r="Q68" s="34">
        <v>0.95812142983344195</v>
      </c>
      <c r="R68" s="33">
        <v>85.615785721679401</v>
      </c>
      <c r="S68" s="33">
        <v>86.076247098400401</v>
      </c>
      <c r="T68" s="33">
        <v>85.050048789260103</v>
      </c>
      <c r="U68" s="15">
        <v>-1.43128139048948E-2</v>
      </c>
      <c r="V68" s="15">
        <v>-8.9489950586198602E-3</v>
      </c>
      <c r="W68" s="15">
        <v>-2.0942600191555E-2</v>
      </c>
      <c r="X68" s="34">
        <v>0.97661081749690704</v>
      </c>
      <c r="Y68" s="34">
        <v>0.96273232566827205</v>
      </c>
      <c r="Z68" s="34">
        <v>0.96975820827370296</v>
      </c>
      <c r="AA68" s="34">
        <v>0.95812142983344195</v>
      </c>
      <c r="AB68" s="33">
        <v>85.615785721679401</v>
      </c>
      <c r="AC68" s="33">
        <v>86.076247098400401</v>
      </c>
      <c r="AD68" s="33">
        <v>85.050048789260103</v>
      </c>
      <c r="AE68" s="15">
        <v>-1.43128139048948E-2</v>
      </c>
      <c r="AF68" s="15">
        <v>-8.9489950586198602E-3</v>
      </c>
      <c r="AG68" s="15">
        <v>-2.0942600191555E-2</v>
      </c>
      <c r="AI68" s="12"/>
      <c r="AJ68">
        <f t="shared" si="6"/>
        <v>1</v>
      </c>
      <c r="AK68">
        <f t="shared" si="7"/>
        <v>0</v>
      </c>
      <c r="AL68">
        <f t="shared" si="14"/>
        <v>1</v>
      </c>
      <c r="AM68">
        <f t="shared" si="4"/>
        <v>1</v>
      </c>
      <c r="AN68">
        <f t="shared" si="15"/>
        <v>1</v>
      </c>
      <c r="AO68" s="28">
        <f t="shared" si="8"/>
        <v>3.3791426612422302E-3</v>
      </c>
      <c r="AP68" s="28">
        <f t="shared" si="9"/>
        <v>-1.15207386014538E-3</v>
      </c>
      <c r="AQ68" s="28">
        <f t="shared" si="16"/>
        <v>2.2270688010968499E-3</v>
      </c>
      <c r="AR68" s="29">
        <f t="shared" si="17"/>
        <v>4.8762411844876109E-4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1.0875409967608329E-2</v>
      </c>
      <c r="BE68" s="29">
        <f t="shared" si="22"/>
        <v>2.2270688010968499E-3</v>
      </c>
      <c r="BF68" s="29">
        <f t="shared" si="23"/>
        <v>1.1363034086057076E-2</v>
      </c>
      <c r="BH68" s="29"/>
    </row>
    <row r="69" spans="1:60" x14ac:dyDescent="0.25">
      <c r="A69" s="1">
        <v>46122</v>
      </c>
      <c r="B69" s="33">
        <v>88.97</v>
      </c>
      <c r="C69" s="33">
        <v>86.62</v>
      </c>
      <c r="D69" s="15">
        <v>4.4969084512717802E-4</v>
      </c>
      <c r="E69" s="15">
        <v>-2.6517569006332298E-3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88.97</v>
      </c>
      <c r="M69" s="33">
        <v>86.62</v>
      </c>
      <c r="N69" s="34">
        <v>0.973586602225469</v>
      </c>
      <c r="O69" s="34">
        <v>0.96273232566827205</v>
      </c>
      <c r="P69" s="34">
        <v>0.97150716593890196</v>
      </c>
      <c r="Q69" s="34">
        <v>0.95949148827840902</v>
      </c>
      <c r="R69" s="33">
        <v>85.654295014706193</v>
      </c>
      <c r="S69" s="33">
        <v>86.279387790111301</v>
      </c>
      <c r="T69" s="33">
        <v>85.244063612281295</v>
      </c>
      <c r="U69" s="15">
        <v>-1.1211366159134499E-2</v>
      </c>
      <c r="V69" s="15">
        <v>-3.9400099083231801E-3</v>
      </c>
      <c r="W69" s="15">
        <v>-1.60122570940395E-2</v>
      </c>
      <c r="X69" s="34">
        <v>0.973586602225469</v>
      </c>
      <c r="Y69" s="34">
        <v>0.96273232566827205</v>
      </c>
      <c r="Z69" s="34">
        <v>0.97150716593890196</v>
      </c>
      <c r="AA69" s="34">
        <v>0.95949148827840902</v>
      </c>
      <c r="AB69" s="33">
        <v>85.654295014706193</v>
      </c>
      <c r="AC69" s="33">
        <v>86.279387790111301</v>
      </c>
      <c r="AD69" s="33">
        <v>85.244063612281295</v>
      </c>
      <c r="AE69" s="15">
        <v>-1.1211366159134499E-2</v>
      </c>
      <c r="AF69" s="15">
        <v>-3.9400099083231801E-3</v>
      </c>
      <c r="AG69" s="15">
        <v>-1.60122570940395E-2</v>
      </c>
      <c r="AI69" s="12"/>
      <c r="AJ69">
        <f t="shared" si="6"/>
        <v>1</v>
      </c>
      <c r="AK69">
        <f t="shared" si="7"/>
        <v>0</v>
      </c>
      <c r="AL69">
        <f t="shared" si="14"/>
        <v>1</v>
      </c>
      <c r="AM69">
        <f t="shared" si="4"/>
        <v>1</v>
      </c>
      <c r="AN69">
        <f t="shared" si="15"/>
        <v>1</v>
      </c>
      <c r="AO69" s="28">
        <f t="shared" si="8"/>
        <v>4.4969084512717802E-4</v>
      </c>
      <c r="AP69" s="28">
        <f t="shared" si="9"/>
        <v>2.6517569006332298E-3</v>
      </c>
      <c r="AQ69" s="28">
        <f t="shared" si="16"/>
        <v>3.1014477457604077E-3</v>
      </c>
      <c r="AR69" s="29">
        <f t="shared" si="17"/>
        <v>3.5890718642091687E-3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1.0875409967608329E-2</v>
      </c>
      <c r="BE69" s="29">
        <f t="shared" si="22"/>
        <v>3.1014477457604077E-3</v>
      </c>
      <c r="BF69" s="29">
        <f t="shared" si="23"/>
        <v>1.4464481831817484E-2</v>
      </c>
      <c r="BH69" s="29"/>
    </row>
    <row r="70" spans="1:60" x14ac:dyDescent="0.25">
      <c r="A70" s="1">
        <v>46125</v>
      </c>
      <c r="B70" s="33">
        <v>89.79</v>
      </c>
      <c r="C70" s="33">
        <v>87.38</v>
      </c>
      <c r="D70" s="15">
        <v>9.1743762760414498E-3</v>
      </c>
      <c r="E70" s="15">
        <v>8.7356877368091699E-3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89.79</v>
      </c>
      <c r="M70" s="33">
        <v>87.38</v>
      </c>
      <c r="N70" s="34">
        <v>0.97315959460964396</v>
      </c>
      <c r="O70" s="34">
        <v>0.96273232566827205</v>
      </c>
      <c r="P70" s="34">
        <v>0.97331066002590505</v>
      </c>
      <c r="Q70" s="34">
        <v>0.96089799370392104</v>
      </c>
      <c r="R70" s="33">
        <v>86.443735521754206</v>
      </c>
      <c r="S70" s="33">
        <v>87.231628429653995</v>
      </c>
      <c r="T70" s="33">
        <v>86.152740732518296</v>
      </c>
      <c r="U70" s="15">
        <v>-1.07726776199021E-2</v>
      </c>
      <c r="V70" s="15">
        <v>-1.6994470229723399E-3</v>
      </c>
      <c r="W70" s="15">
        <v>-1.41446475612702E-2</v>
      </c>
      <c r="X70" s="34">
        <v>0.97315959460964396</v>
      </c>
      <c r="Y70" s="34">
        <v>0.96273232566827205</v>
      </c>
      <c r="Z70" s="34">
        <v>0.97331066002590505</v>
      </c>
      <c r="AA70" s="34">
        <v>0.96089799370392104</v>
      </c>
      <c r="AB70" s="33">
        <v>86.443735521754206</v>
      </c>
      <c r="AC70" s="33">
        <v>87.231628429653995</v>
      </c>
      <c r="AD70" s="33">
        <v>86.152740732518296</v>
      </c>
      <c r="AE70" s="15">
        <v>-1.07726776199021E-2</v>
      </c>
      <c r="AF70" s="15">
        <v>-1.6994470229723399E-3</v>
      </c>
      <c r="AG70" s="15">
        <v>-1.41446475612702E-2</v>
      </c>
      <c r="AI70" s="12"/>
      <c r="AJ70">
        <f t="shared" si="6"/>
        <v>1</v>
      </c>
      <c r="AK70">
        <f t="shared" si="7"/>
        <v>0</v>
      </c>
      <c r="AL70">
        <f t="shared" si="14"/>
        <v>1</v>
      </c>
      <c r="AM70">
        <f t="shared" si="4"/>
        <v>1</v>
      </c>
      <c r="AN70">
        <f t="shared" si="15"/>
        <v>1</v>
      </c>
      <c r="AO70" s="28">
        <f t="shared" si="8"/>
        <v>9.1743762760414498E-3</v>
      </c>
      <c r="AP70" s="28">
        <f t="shared" si="9"/>
        <v>-8.7356877368091699E-3</v>
      </c>
      <c r="AQ70" s="28">
        <f t="shared" si="16"/>
        <v>4.3868853923227993E-4</v>
      </c>
      <c r="AR70" s="29">
        <f t="shared" si="17"/>
        <v>4.0277604034414487E-3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1.0875409967608329E-2</v>
      </c>
      <c r="BE70" s="29">
        <f t="shared" si="22"/>
        <v>4.3868853923227993E-4</v>
      </c>
      <c r="BF70" s="29">
        <f t="shared" si="23"/>
        <v>1.4903170371049764E-2</v>
      </c>
      <c r="BH70" s="29"/>
    </row>
    <row r="71" spans="1:60" x14ac:dyDescent="0.25">
      <c r="A71" s="1">
        <v>46126</v>
      </c>
      <c r="B71" s="33">
        <v>88.83</v>
      </c>
      <c r="C71" s="33">
        <v>86.61</v>
      </c>
      <c r="D71" s="15">
        <v>-1.07491797511077E-2</v>
      </c>
      <c r="E71" s="15">
        <v>-8.8511411803363707E-3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88.83</v>
      </c>
      <c r="M71" s="33">
        <v>86.61</v>
      </c>
      <c r="N71" s="34">
        <v>0.97500844309354895</v>
      </c>
      <c r="O71" s="34">
        <v>0.96273232566827205</v>
      </c>
      <c r="P71" s="34">
        <v>0.97439303119671095</v>
      </c>
      <c r="Q71" s="34">
        <v>0.96255618031925505</v>
      </c>
      <c r="R71" s="33">
        <v>85.5195124891126</v>
      </c>
      <c r="S71" s="33">
        <v>86.4591859301011</v>
      </c>
      <c r="T71" s="33">
        <v>85.3565687807193</v>
      </c>
      <c r="U71" s="15">
        <v>-1.26707161906735E-2</v>
      </c>
      <c r="V71" s="15">
        <v>-1.7428187145170501E-3</v>
      </c>
      <c r="W71" s="15">
        <v>-1.45778731967486E-2</v>
      </c>
      <c r="X71" s="34">
        <v>0.97500844309354895</v>
      </c>
      <c r="Y71" s="34">
        <v>0.96273232566827205</v>
      </c>
      <c r="Z71" s="34">
        <v>0.97439303119671095</v>
      </c>
      <c r="AA71" s="34">
        <v>0.96255618031925505</v>
      </c>
      <c r="AB71" s="33">
        <v>85.5195124891126</v>
      </c>
      <c r="AC71" s="33">
        <v>86.4591859301011</v>
      </c>
      <c r="AD71" s="33">
        <v>85.3565687807193</v>
      </c>
      <c r="AE71" s="15">
        <v>-1.26707161906735E-2</v>
      </c>
      <c r="AF71" s="15">
        <v>-1.7428187145170501E-3</v>
      </c>
      <c r="AG71" s="15">
        <v>-1.45778731967486E-2</v>
      </c>
      <c r="AI71" s="12"/>
      <c r="AJ71">
        <f t="shared" si="6"/>
        <v>1</v>
      </c>
      <c r="AK71">
        <f t="shared" si="7"/>
        <v>0</v>
      </c>
      <c r="AL71">
        <f t="shared" si="14"/>
        <v>1</v>
      </c>
      <c r="AM71">
        <f t="shared" si="4"/>
        <v>1</v>
      </c>
      <c r="AN71">
        <f t="shared" si="15"/>
        <v>1</v>
      </c>
      <c r="AO71" s="28">
        <f t="shared" si="8"/>
        <v>-1.07491797511077E-2</v>
      </c>
      <c r="AP71" s="28">
        <f t="shared" si="9"/>
        <v>8.8511411803363707E-3</v>
      </c>
      <c r="AQ71" s="28">
        <f t="shared" si="16"/>
        <v>-1.898038570771329E-3</v>
      </c>
      <c r="AR71" s="29">
        <f t="shared" si="17"/>
        <v>2.1297218326701197E-3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1.0875409967608329E-2</v>
      </c>
      <c r="BE71" s="29">
        <f t="shared" si="22"/>
        <v>-1.898038570771329E-3</v>
      </c>
      <c r="BF71" s="29">
        <f t="shared" si="23"/>
        <v>1.3005131800278435E-2</v>
      </c>
      <c r="BH71" s="29"/>
    </row>
    <row r="72" spans="1:60" x14ac:dyDescent="0.25">
      <c r="A72" s="1">
        <v>46127</v>
      </c>
      <c r="B72" s="33">
        <v>88.44</v>
      </c>
      <c r="C72" s="33">
        <v>86.07</v>
      </c>
      <c r="D72" s="15">
        <v>-4.4000747923640697E-3</v>
      </c>
      <c r="E72" s="15">
        <v>-6.2543636815703702E-3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88.44</v>
      </c>
      <c r="M72" s="33">
        <v>86.07</v>
      </c>
      <c r="N72" s="34">
        <v>0.97320217096336403</v>
      </c>
      <c r="O72" s="34">
        <v>0.96273232566827205</v>
      </c>
      <c r="P72" s="34">
        <v>0.97484544543722096</v>
      </c>
      <c r="Q72" s="34">
        <v>0.96459153363708205</v>
      </c>
      <c r="R72" s="33">
        <v>85.144046882102003</v>
      </c>
      <c r="S72" s="33">
        <v>86.175319679037102</v>
      </c>
      <c r="T72" s="33">
        <v>85.128468587434895</v>
      </c>
      <c r="U72" s="15">
        <v>-1.08164273014671E-2</v>
      </c>
      <c r="V72" s="15">
        <v>1.22290338406701E-3</v>
      </c>
      <c r="W72" s="15">
        <v>-1.0999408032886E-2</v>
      </c>
      <c r="X72" s="34">
        <v>0.97320217096336403</v>
      </c>
      <c r="Y72" s="34">
        <v>0.96273232566827205</v>
      </c>
      <c r="Z72" s="34">
        <v>0.97484544543722096</v>
      </c>
      <c r="AA72" s="34">
        <v>0.96459153363708205</v>
      </c>
      <c r="AB72" s="33">
        <v>85.144046882102003</v>
      </c>
      <c r="AC72" s="33">
        <v>86.175319679037102</v>
      </c>
      <c r="AD72" s="33">
        <v>85.128468587434895</v>
      </c>
      <c r="AE72" s="15">
        <v>-1.08164273014671E-2</v>
      </c>
      <c r="AF72" s="15">
        <v>1.22290338406701E-3</v>
      </c>
      <c r="AG72" s="15">
        <v>-1.0999408032886E-2</v>
      </c>
      <c r="AI72" s="12"/>
      <c r="AJ72">
        <f t="shared" si="6"/>
        <v>1</v>
      </c>
      <c r="AK72">
        <f t="shared" si="7"/>
        <v>0</v>
      </c>
      <c r="AL72">
        <f t="shared" si="14"/>
        <v>1</v>
      </c>
      <c r="AM72">
        <f t="shared" si="4"/>
        <v>1</v>
      </c>
      <c r="AN72">
        <f t="shared" si="15"/>
        <v>1</v>
      </c>
      <c r="AO72" s="28">
        <f t="shared" si="8"/>
        <v>-4.4000747923640697E-3</v>
      </c>
      <c r="AP72" s="28">
        <f t="shared" si="9"/>
        <v>6.2543636815703702E-3</v>
      </c>
      <c r="AQ72" s="28">
        <f t="shared" si="16"/>
        <v>1.8542888892063005E-3</v>
      </c>
      <c r="AR72" s="29">
        <f t="shared" si="17"/>
        <v>3.9840107218764203E-3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1.0875409967608329E-2</v>
      </c>
      <c r="BE72" s="29">
        <f t="shared" si="22"/>
        <v>1.8542888892063005E-3</v>
      </c>
      <c r="BF72" s="29">
        <f t="shared" si="23"/>
        <v>1.4859420689484735E-2</v>
      </c>
      <c r="BH72" s="29"/>
    </row>
    <row r="73" spans="1:60" x14ac:dyDescent="0.25">
      <c r="A73" s="1">
        <v>46128</v>
      </c>
      <c r="B73" s="33">
        <v>88.8</v>
      </c>
      <c r="C73" s="33">
        <v>86.67</v>
      </c>
      <c r="D73" s="15">
        <v>4.0622940088789203E-3</v>
      </c>
      <c r="E73" s="15">
        <v>6.9468844848705903E-3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88.8</v>
      </c>
      <c r="M73" s="33">
        <v>86.67</v>
      </c>
      <c r="N73" s="34">
        <v>0.97601351351351295</v>
      </c>
      <c r="O73" s="34">
        <v>0.96273232566827205</v>
      </c>
      <c r="P73" s="34">
        <v>0.97498659079606298</v>
      </c>
      <c r="Q73" s="34">
        <v>0.96644234123887895</v>
      </c>
      <c r="R73" s="33">
        <v>85.490630519342602</v>
      </c>
      <c r="S73" s="33">
        <v>86.566275554825197</v>
      </c>
      <c r="T73" s="33">
        <v>85.655728186972894</v>
      </c>
      <c r="U73" s="15">
        <v>-1.37010177774589E-2</v>
      </c>
      <c r="V73" s="15">
        <v>-1.19749119793172E-3</v>
      </c>
      <c r="W73" s="15">
        <v>-1.1771701605153E-2</v>
      </c>
      <c r="X73" s="34">
        <v>0.97601351351351295</v>
      </c>
      <c r="Y73" s="34">
        <v>0.96273232566827205</v>
      </c>
      <c r="Z73" s="34">
        <v>0.97498659079606298</v>
      </c>
      <c r="AA73" s="34">
        <v>0.96644234123887895</v>
      </c>
      <c r="AB73" s="33">
        <v>85.490630519342602</v>
      </c>
      <c r="AC73" s="33">
        <v>86.566275554825197</v>
      </c>
      <c r="AD73" s="33">
        <v>85.655728186972894</v>
      </c>
      <c r="AE73" s="15">
        <v>-1.37010177774589E-2</v>
      </c>
      <c r="AF73" s="15">
        <v>-1.19749119793172E-3</v>
      </c>
      <c r="AG73" s="15">
        <v>-1.1771701605153E-2</v>
      </c>
      <c r="AI73" s="12"/>
      <c r="AJ73">
        <f t="shared" si="6"/>
        <v>1</v>
      </c>
      <c r="AK73">
        <f t="shared" si="7"/>
        <v>0</v>
      </c>
      <c r="AL73">
        <f t="shared" si="14"/>
        <v>1</v>
      </c>
      <c r="AM73">
        <f t="shared" si="4"/>
        <v>1</v>
      </c>
      <c r="AN73">
        <f t="shared" si="15"/>
        <v>1</v>
      </c>
      <c r="AO73" s="28">
        <f t="shared" si="8"/>
        <v>4.0622940088789203E-3</v>
      </c>
      <c r="AP73" s="28">
        <f t="shared" si="9"/>
        <v>-6.9468844848705903E-3</v>
      </c>
      <c r="AQ73" s="28">
        <f t="shared" si="16"/>
        <v>-2.8845904759916699E-3</v>
      </c>
      <c r="AR73" s="29">
        <f t="shared" si="17"/>
        <v>1.0994202458847503E-3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1.0875409967608329E-2</v>
      </c>
      <c r="BE73" s="29">
        <f t="shared" si="22"/>
        <v>-2.8845904759916699E-3</v>
      </c>
      <c r="BF73" s="29">
        <f t="shared" si="23"/>
        <v>1.1974830213493066E-2</v>
      </c>
      <c r="BH73" s="29"/>
    </row>
    <row r="74" spans="1:60" x14ac:dyDescent="0.25">
      <c r="A74" s="1">
        <v>46129</v>
      </c>
      <c r="B74" s="33">
        <v>92.79</v>
      </c>
      <c r="C74" s="33">
        <v>90.15</v>
      </c>
      <c r="D74" s="15">
        <v>4.3952225366963603E-2</v>
      </c>
      <c r="E74" s="15">
        <v>3.93671465030727E-2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92.79</v>
      </c>
      <c r="M74" s="33">
        <v>90.15</v>
      </c>
      <c r="N74" s="34">
        <v>0.97154865826058801</v>
      </c>
      <c r="O74" s="34">
        <v>0.96273232566827205</v>
      </c>
      <c r="P74" s="34">
        <v>0.97465041719559797</v>
      </c>
      <c r="Q74" s="34">
        <v>0.96790069604691498</v>
      </c>
      <c r="R74" s="33">
        <v>89.331932498759002</v>
      </c>
      <c r="S74" s="33">
        <v>90.469005759966706</v>
      </c>
      <c r="T74" s="33">
        <v>89.676184843555603</v>
      </c>
      <c r="U74" s="15">
        <v>-9.1159389135680793E-3</v>
      </c>
      <c r="V74" s="15">
        <v>3.53236460721935E-3</v>
      </c>
      <c r="W74" s="15">
        <v>-5.2697136775566996E-3</v>
      </c>
      <c r="X74" s="34">
        <v>0.97154865826058801</v>
      </c>
      <c r="Y74" s="34">
        <v>0.96273232566827205</v>
      </c>
      <c r="Z74" s="34">
        <v>0.97465041719559797</v>
      </c>
      <c r="AA74" s="34">
        <v>0.96790069604691498</v>
      </c>
      <c r="AB74" s="33">
        <v>89.331932498759002</v>
      </c>
      <c r="AC74" s="33">
        <v>90.469005759966706</v>
      </c>
      <c r="AD74" s="33">
        <v>89.676184843555603</v>
      </c>
      <c r="AE74" s="15">
        <v>-9.1159389135680793E-3</v>
      </c>
      <c r="AF74" s="15">
        <v>3.53236460721935E-3</v>
      </c>
      <c r="AG74" s="15">
        <v>-5.2697136775566996E-3</v>
      </c>
      <c r="AI74" s="12"/>
      <c r="AJ74">
        <f t="shared" si="6"/>
        <v>1</v>
      </c>
      <c r="AK74">
        <f t="shared" si="7"/>
        <v>0</v>
      </c>
      <c r="AL74">
        <f t="shared" si="14"/>
        <v>1</v>
      </c>
      <c r="AM74">
        <f t="shared" si="4"/>
        <v>1</v>
      </c>
      <c r="AN74">
        <f t="shared" si="15"/>
        <v>1</v>
      </c>
      <c r="AO74" s="28">
        <f t="shared" si="8"/>
        <v>4.3952225366963603E-2</v>
      </c>
      <c r="AP74" s="28">
        <f t="shared" si="9"/>
        <v>-3.93671465030727E-2</v>
      </c>
      <c r="AQ74" s="28">
        <f t="shared" si="16"/>
        <v>4.5850788638909026E-3</v>
      </c>
      <c r="AR74" s="29">
        <f t="shared" si="17"/>
        <v>5.684499109775653E-3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1.0875409967608329E-2</v>
      </c>
      <c r="BE74" s="29">
        <f t="shared" si="22"/>
        <v>4.5850788638909026E-3</v>
      </c>
      <c r="BF74" s="29">
        <f t="shared" si="23"/>
        <v>1.6559909077383968E-2</v>
      </c>
      <c r="BH74" s="29"/>
    </row>
    <row r="75" spans="1:60" x14ac:dyDescent="0.25">
      <c r="A75" s="1">
        <v>46132</v>
      </c>
      <c r="B75" s="33">
        <v>94.12</v>
      </c>
      <c r="C75" s="33">
        <v>91.96</v>
      </c>
      <c r="D75" s="15">
        <v>1.42316884940737E-2</v>
      </c>
      <c r="E75" s="15">
        <v>1.98787502456543E-2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94.12</v>
      </c>
      <c r="M75" s="33">
        <v>91.96</v>
      </c>
      <c r="N75" s="34">
        <v>0.97705057373565596</v>
      </c>
      <c r="O75" s="34">
        <v>0.96273232566827205</v>
      </c>
      <c r="P75" s="34">
        <v>0.97465873752501797</v>
      </c>
      <c r="Q75" s="34">
        <v>0.96911103809648103</v>
      </c>
      <c r="R75" s="33">
        <v>90.612366491897802</v>
      </c>
      <c r="S75" s="33">
        <v>91.734097266449695</v>
      </c>
      <c r="T75" s="33">
        <v>91.098813511935603</v>
      </c>
      <c r="U75" s="15">
        <v>-1.47630006651487E-2</v>
      </c>
      <c r="V75" s="15">
        <v>-2.4595547793139902E-3</v>
      </c>
      <c r="W75" s="15">
        <v>-9.4089197321507792E-3</v>
      </c>
      <c r="X75" s="34">
        <v>0.97705057373565596</v>
      </c>
      <c r="Y75" s="34">
        <v>0.96273232566827205</v>
      </c>
      <c r="Z75" s="34">
        <v>0.97465873752501797</v>
      </c>
      <c r="AA75" s="34">
        <v>0.96911103809648103</v>
      </c>
      <c r="AB75" s="33">
        <v>90.612366491897802</v>
      </c>
      <c r="AC75" s="33">
        <v>91.734097266449695</v>
      </c>
      <c r="AD75" s="33">
        <v>91.098813511935603</v>
      </c>
      <c r="AE75" s="15">
        <v>-1.47630006651487E-2</v>
      </c>
      <c r="AF75" s="15">
        <v>-2.4595547793139902E-3</v>
      </c>
      <c r="AG75" s="15">
        <v>-9.4089197321507792E-3</v>
      </c>
      <c r="AI75" s="12"/>
      <c r="AJ75">
        <f t="shared" si="6"/>
        <v>1</v>
      </c>
      <c r="AK75">
        <f t="shared" si="7"/>
        <v>0</v>
      </c>
      <c r="AL75">
        <f t="shared" si="14"/>
        <v>1</v>
      </c>
      <c r="AM75">
        <f t="shared" si="4"/>
        <v>1</v>
      </c>
      <c r="AN75">
        <f t="shared" si="15"/>
        <v>1</v>
      </c>
      <c r="AO75" s="28">
        <f t="shared" si="8"/>
        <v>1.42316884940737E-2</v>
      </c>
      <c r="AP75" s="28">
        <f t="shared" si="9"/>
        <v>-1.98787502456543E-2</v>
      </c>
      <c r="AQ75" s="28">
        <f t="shared" si="16"/>
        <v>-5.6470617515805999E-3</v>
      </c>
      <c r="AR75" s="29">
        <f t="shared" si="17"/>
        <v>3.7437358195053019E-5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1.0875409967608329E-2</v>
      </c>
      <c r="BE75" s="29">
        <f t="shared" si="22"/>
        <v>-5.6470617515805999E-3</v>
      </c>
      <c r="BF75" s="29">
        <f t="shared" si="23"/>
        <v>1.0912847325803368E-2</v>
      </c>
      <c r="BH75" s="29"/>
    </row>
    <row r="76" spans="1:60" x14ac:dyDescent="0.25">
      <c r="A76" s="1">
        <v>46133</v>
      </c>
      <c r="B76" s="33">
        <v>94.81</v>
      </c>
      <c r="C76" s="33">
        <v>92.22</v>
      </c>
      <c r="D76" s="15">
        <v>7.3043250707060499E-3</v>
      </c>
      <c r="E76" s="15">
        <v>2.8233268835787099E-3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94.81</v>
      </c>
      <c r="M76" s="33">
        <v>92.22</v>
      </c>
      <c r="N76" s="34">
        <v>0.97268220651829895</v>
      </c>
      <c r="O76" s="34">
        <v>0.96273232566827205</v>
      </c>
      <c r="P76" s="34">
        <v>0.97476508011097596</v>
      </c>
      <c r="Q76" s="34">
        <v>0.97020074439928405</v>
      </c>
      <c r="R76" s="33">
        <v>91.276651796608903</v>
      </c>
      <c r="S76" s="33">
        <v>92.407394904746994</v>
      </c>
      <c r="T76" s="33">
        <v>91.881417521927304</v>
      </c>
      <c r="U76" s="15">
        <v>-1.02820024780214E-2</v>
      </c>
      <c r="V76" s="15">
        <v>2.0299801033904202E-3</v>
      </c>
      <c r="W76" s="15">
        <v>-3.6782211061954602E-3</v>
      </c>
      <c r="X76" s="34">
        <v>0.97268220651829895</v>
      </c>
      <c r="Y76" s="34">
        <v>0.96273232566827205</v>
      </c>
      <c r="Z76" s="34">
        <v>0.97476508011097596</v>
      </c>
      <c r="AA76" s="34">
        <v>0.97020074439928405</v>
      </c>
      <c r="AB76" s="33">
        <v>91.276651796608903</v>
      </c>
      <c r="AC76" s="33">
        <v>92.407394904746994</v>
      </c>
      <c r="AD76" s="33">
        <v>91.881417521927304</v>
      </c>
      <c r="AE76" s="15">
        <v>-1.02820024780214E-2</v>
      </c>
      <c r="AF76" s="15">
        <v>2.0299801033904202E-3</v>
      </c>
      <c r="AG76" s="15">
        <v>-3.6782211061954602E-3</v>
      </c>
      <c r="AI76" s="12"/>
      <c r="AJ76">
        <f t="shared" si="6"/>
        <v>0</v>
      </c>
      <c r="AK76">
        <f t="shared" si="7"/>
        <v>0</v>
      </c>
      <c r="AL76">
        <f t="shared" si="14"/>
        <v>1</v>
      </c>
      <c r="AM76">
        <f t="shared" si="4"/>
        <v>1</v>
      </c>
      <c r="AN76">
        <f t="shared" si="15"/>
        <v>1</v>
      </c>
      <c r="AO76" s="28">
        <f t="shared" si="8"/>
        <v>7.3043250707060499E-3</v>
      </c>
      <c r="AP76" s="28">
        <f t="shared" si="9"/>
        <v>-2.8233268835787099E-3</v>
      </c>
      <c r="AQ76" s="28">
        <f t="shared" si="16"/>
        <v>4.4809981871273396E-3</v>
      </c>
      <c r="AR76" s="29">
        <f t="shared" si="17"/>
        <v>4.5184355453223926E-3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1.0875409967608329E-2</v>
      </c>
      <c r="BE76" s="29">
        <f t="shared" si="22"/>
        <v>4.4809981871273396E-3</v>
      </c>
      <c r="BF76" s="29">
        <f t="shared" si="23"/>
        <v>1.5393845512930708E-2</v>
      </c>
      <c r="BH76" s="29"/>
    </row>
    <row r="77" spans="1:60" x14ac:dyDescent="0.25">
      <c r="A77" s="1">
        <v>46134</v>
      </c>
      <c r="B77" s="33">
        <v>94.45</v>
      </c>
      <c r="C77" s="33">
        <v>91.83</v>
      </c>
      <c r="D77" s="15">
        <v>-3.8042949823492E-3</v>
      </c>
      <c r="E77" s="15">
        <v>-4.23798515312867E-3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94.45</v>
      </c>
      <c r="M77" s="33">
        <v>91.83</v>
      </c>
      <c r="N77" s="34">
        <v>0.97226045526733695</v>
      </c>
      <c r="O77" s="34">
        <v>0.96273232566827205</v>
      </c>
      <c r="P77" s="34">
        <v>0.97411230356843304</v>
      </c>
      <c r="Q77" s="34">
        <v>0.97101121249713895</v>
      </c>
      <c r="R77" s="33">
        <v>90.930068159368304</v>
      </c>
      <c r="S77" s="33">
        <v>92.066561816481695</v>
      </c>
      <c r="T77" s="33">
        <v>91.635460308512407</v>
      </c>
      <c r="U77" s="15">
        <v>-9.8483123072419607E-3</v>
      </c>
      <c r="V77" s="15">
        <v>2.5727718303334098E-3</v>
      </c>
      <c r="W77" s="15">
        <v>-2.1207235854832402E-3</v>
      </c>
      <c r="X77" s="34">
        <v>0.97226045526733695</v>
      </c>
      <c r="Y77" s="34">
        <v>0.96273232566827205</v>
      </c>
      <c r="Z77" s="34">
        <v>0.97411230356843304</v>
      </c>
      <c r="AA77" s="34">
        <v>0.97101121249713895</v>
      </c>
      <c r="AB77" s="33">
        <v>90.930068159368304</v>
      </c>
      <c r="AC77" s="33">
        <v>92.066561816481695</v>
      </c>
      <c r="AD77" s="33">
        <v>91.635460308512407</v>
      </c>
      <c r="AE77" s="15">
        <v>-9.8483123072419607E-3</v>
      </c>
      <c r="AF77" s="15">
        <v>2.5727718303334098E-3</v>
      </c>
      <c r="AG77" s="15">
        <v>-2.1207235854832402E-3</v>
      </c>
      <c r="AI77" s="12"/>
      <c r="AJ77">
        <f t="shared" si="6"/>
        <v>0</v>
      </c>
      <c r="AK77">
        <f t="shared" si="7"/>
        <v>0</v>
      </c>
      <c r="AL77">
        <f t="shared" si="14"/>
        <v>1</v>
      </c>
      <c r="AM77">
        <f t="shared" si="4"/>
        <v>1</v>
      </c>
      <c r="AN77">
        <f t="shared" si="15"/>
        <v>1</v>
      </c>
      <c r="AO77" s="28">
        <f t="shared" si="8"/>
        <v>-3.8042949823492E-3</v>
      </c>
      <c r="AP77" s="28">
        <f t="shared" si="9"/>
        <v>4.23798515312867E-3</v>
      </c>
      <c r="AQ77" s="28">
        <f t="shared" si="16"/>
        <v>4.3369017077947002E-4</v>
      </c>
      <c r="AR77" s="29">
        <f t="shared" si="17"/>
        <v>4.9521257161018626E-3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1.0875409967608329E-2</v>
      </c>
      <c r="BE77" s="29">
        <f t="shared" si="22"/>
        <v>4.3369017077947002E-4</v>
      </c>
      <c r="BF77" s="29">
        <f t="shared" si="23"/>
        <v>1.5827535683710179E-2</v>
      </c>
      <c r="BH77" s="29"/>
    </row>
    <row r="78" spans="1:60" x14ac:dyDescent="0.25">
      <c r="A78" s="1">
        <v>46135</v>
      </c>
      <c r="B78" s="33">
        <v>94.18</v>
      </c>
      <c r="C78" s="33">
        <v>92.14</v>
      </c>
      <c r="D78" s="15">
        <v>-2.86274913210997E-3</v>
      </c>
      <c r="E78" s="15">
        <v>3.3701178823401E-3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94.18</v>
      </c>
      <c r="M78" s="33">
        <v>92.14</v>
      </c>
      <c r="N78" s="34">
        <v>0.978339350180505</v>
      </c>
      <c r="O78" s="34">
        <v>0.96273232566827205</v>
      </c>
      <c r="P78" s="34">
        <v>0.97428515683679195</v>
      </c>
      <c r="Q78" s="34">
        <v>0.97202168255524801</v>
      </c>
      <c r="R78" s="33">
        <v>90.670130431437897</v>
      </c>
      <c r="S78" s="33">
        <v>91.741896750075</v>
      </c>
      <c r="T78" s="33">
        <v>91.449835992980596</v>
      </c>
      <c r="U78" s="15">
        <v>-1.6081179321692E-2</v>
      </c>
      <c r="V78" s="15">
        <v>-4.3299952736981402E-3</v>
      </c>
      <c r="W78" s="15">
        <v>-7.5185780789492904E-3</v>
      </c>
      <c r="X78" s="34">
        <v>0.978339350180505</v>
      </c>
      <c r="Y78" s="34">
        <v>0.96273232566827205</v>
      </c>
      <c r="Z78" s="34">
        <v>0.97428515683679195</v>
      </c>
      <c r="AA78" s="34">
        <v>0.97202168255524801</v>
      </c>
      <c r="AB78" s="33">
        <v>90.670130431437897</v>
      </c>
      <c r="AC78" s="33">
        <v>91.741896750075</v>
      </c>
      <c r="AD78" s="33">
        <v>91.449835992980596</v>
      </c>
      <c r="AE78" s="15">
        <v>-1.6081179321692E-2</v>
      </c>
      <c r="AF78" s="15">
        <v>-4.3299952736981402E-3</v>
      </c>
      <c r="AG78" s="15">
        <v>-7.5185780789492904E-3</v>
      </c>
      <c r="AI78" s="12"/>
      <c r="AJ78">
        <f t="shared" si="6"/>
        <v>1</v>
      </c>
      <c r="AK78">
        <f t="shared" si="7"/>
        <v>0</v>
      </c>
      <c r="AL78">
        <f t="shared" si="14"/>
        <v>1</v>
      </c>
      <c r="AM78">
        <f t="shared" si="4"/>
        <v>1</v>
      </c>
      <c r="AN78">
        <f t="shared" si="15"/>
        <v>1</v>
      </c>
      <c r="AO78" s="28">
        <f t="shared" si="8"/>
        <v>-2.86274913210997E-3</v>
      </c>
      <c r="AP78" s="28">
        <f t="shared" si="9"/>
        <v>-3.3701178823401E-3</v>
      </c>
      <c r="AQ78" s="28">
        <f t="shared" si="16"/>
        <v>-6.2328670144500701E-3</v>
      </c>
      <c r="AR78" s="29">
        <f t="shared" si="17"/>
        <v>-1.2807412983482074E-3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1.0875409967608329E-2</v>
      </c>
      <c r="BE78" s="29">
        <f t="shared" si="22"/>
        <v>-6.2328670144500701E-3</v>
      </c>
      <c r="BF78" s="29">
        <f t="shared" si="23"/>
        <v>9.5946686692601098E-3</v>
      </c>
      <c r="BH78" s="29"/>
    </row>
    <row r="79" spans="1:60" x14ac:dyDescent="0.25">
      <c r="A79" s="1">
        <v>46136</v>
      </c>
      <c r="B79" s="33">
        <v>94.05</v>
      </c>
      <c r="C79" s="33">
        <v>91.5</v>
      </c>
      <c r="D79" s="15">
        <v>-1.3812890683692299E-3</v>
      </c>
      <c r="E79" s="15">
        <v>-6.9701872262952604E-3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94.05</v>
      </c>
      <c r="M79" s="33">
        <v>91.5</v>
      </c>
      <c r="N79" s="34">
        <v>0.97288676236044602</v>
      </c>
      <c r="O79" s="34">
        <v>0.96273232566827205</v>
      </c>
      <c r="P79" s="34">
        <v>0.97421517285029002</v>
      </c>
      <c r="Q79" s="34">
        <v>0.97286116939459599</v>
      </c>
      <c r="R79" s="33">
        <v>90.544975229100999</v>
      </c>
      <c r="S79" s="33">
        <v>91.631519000500305</v>
      </c>
      <c r="T79" s="33">
        <v>91.418639244321099</v>
      </c>
      <c r="U79" s="15">
        <v>-1.0492281163765899E-2</v>
      </c>
      <c r="V79" s="15">
        <v>1.4363341038078699E-3</v>
      </c>
      <c r="W79" s="15">
        <v>-8.8958414932990002E-4</v>
      </c>
      <c r="X79" s="34">
        <v>0.97288676236044602</v>
      </c>
      <c r="Y79" s="34">
        <v>0.96273232566827205</v>
      </c>
      <c r="Z79" s="34">
        <v>0.97421517285029002</v>
      </c>
      <c r="AA79" s="34">
        <v>0.97286116939459599</v>
      </c>
      <c r="AB79" s="33">
        <v>90.544975229100999</v>
      </c>
      <c r="AC79" s="33">
        <v>91.631519000500305</v>
      </c>
      <c r="AD79" s="33">
        <v>91.418639244321099</v>
      </c>
      <c r="AE79" s="15">
        <v>-1.0492281163765899E-2</v>
      </c>
      <c r="AF79" s="15">
        <v>1.4363341038078699E-3</v>
      </c>
      <c r="AG79" s="15">
        <v>-8.8958414932990002E-4</v>
      </c>
      <c r="AI79" s="12"/>
      <c r="AJ79">
        <f t="shared" si="6"/>
        <v>0</v>
      </c>
      <c r="AK79">
        <f t="shared" si="7"/>
        <v>1</v>
      </c>
      <c r="AL79">
        <f t="shared" si="14"/>
        <v>1</v>
      </c>
      <c r="AM79">
        <f t="shared" si="4"/>
        <v>1</v>
      </c>
      <c r="AN79">
        <f t="shared" si="15"/>
        <v>1</v>
      </c>
      <c r="AO79" s="28">
        <f t="shared" si="8"/>
        <v>-1.3812890683692299E-3</v>
      </c>
      <c r="AP79" s="28">
        <f t="shared" si="9"/>
        <v>6.9701872262952604E-3</v>
      </c>
      <c r="AQ79" s="28">
        <f t="shared" si="16"/>
        <v>5.58889815792603E-3</v>
      </c>
      <c r="AR79" s="29">
        <f t="shared" si="17"/>
        <v>4.3081568595778226E-3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1.0875409967608329E-2</v>
      </c>
      <c r="BE79" s="29">
        <f t="shared" si="22"/>
        <v>5.58889815792603E-3</v>
      </c>
      <c r="BF79" s="29">
        <f t="shared" si="23"/>
        <v>1.518356682718614E-2</v>
      </c>
      <c r="BH79" s="29"/>
    </row>
    <row r="80" spans="1:60" x14ac:dyDescent="0.25">
      <c r="A80" s="1">
        <v>46139</v>
      </c>
      <c r="B80" s="33">
        <v>93.25</v>
      </c>
      <c r="C80" s="33">
        <v>90.98</v>
      </c>
      <c r="D80" s="15">
        <v>-8.54249722311449E-3</v>
      </c>
      <c r="E80" s="15">
        <v>-5.69927013961752E-3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93.25</v>
      </c>
      <c r="M80" s="33">
        <v>90.98</v>
      </c>
      <c r="N80" s="34">
        <v>0.975656836461126</v>
      </c>
      <c r="O80" s="34">
        <v>0.96273232566827205</v>
      </c>
      <c r="P80" s="34">
        <v>0.97446489703543804</v>
      </c>
      <c r="Q80" s="34">
        <v>0.97388777853067199</v>
      </c>
      <c r="R80" s="33">
        <v>89.774789368566402</v>
      </c>
      <c r="S80" s="33">
        <v>90.8455648682896</v>
      </c>
      <c r="T80" s="33">
        <v>90.719304046046105</v>
      </c>
      <c r="U80" s="15">
        <v>-1.33355082472628E-2</v>
      </c>
      <c r="V80" s="15">
        <v>-1.47872667195585E-3</v>
      </c>
      <c r="W80" s="15">
        <v>-2.8695336419508801E-3</v>
      </c>
      <c r="X80" s="34">
        <v>0.975656836461126</v>
      </c>
      <c r="Y80" s="34">
        <v>0.96273232566827205</v>
      </c>
      <c r="Z80" s="34">
        <v>0.97446489703543804</v>
      </c>
      <c r="AA80" s="34">
        <v>0.97388777853067199</v>
      </c>
      <c r="AB80" s="33">
        <v>89.774789368566402</v>
      </c>
      <c r="AC80" s="33">
        <v>90.8455648682896</v>
      </c>
      <c r="AD80" s="33">
        <v>90.719304046046105</v>
      </c>
      <c r="AE80" s="15">
        <v>-1.33355082472628E-2</v>
      </c>
      <c r="AF80" s="15">
        <v>-1.47872667195585E-3</v>
      </c>
      <c r="AG80" s="15">
        <v>-2.8695336419508801E-3</v>
      </c>
      <c r="AI80" s="12"/>
      <c r="AJ80">
        <f t="shared" si="6"/>
        <v>0</v>
      </c>
      <c r="AK80">
        <f t="shared" si="7"/>
        <v>0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4.3081568595778226E-3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1.0875409967608329E-2</v>
      </c>
      <c r="BE80" s="29">
        <f t="shared" si="22"/>
        <v>0</v>
      </c>
      <c r="BF80" s="29">
        <f t="shared" si="23"/>
        <v>1.518356682718614E-2</v>
      </c>
      <c r="BH80" s="29"/>
    </row>
    <row r="81" spans="1:60" x14ac:dyDescent="0.25">
      <c r="A81" s="1">
        <v>46140</v>
      </c>
      <c r="B81" s="33">
        <v>92.32</v>
      </c>
      <c r="C81" s="33">
        <v>89.93</v>
      </c>
      <c r="D81" s="15">
        <v>-1.00232557641355E-2</v>
      </c>
      <c r="E81" s="15">
        <v>-1.16081122154339E-2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92.32</v>
      </c>
      <c r="M81" s="33">
        <v>89.93</v>
      </c>
      <c r="N81" s="34">
        <v>0.97411178509532004</v>
      </c>
      <c r="O81" s="34">
        <v>0.96273232566827205</v>
      </c>
      <c r="P81" s="34">
        <v>0.97437523123561598</v>
      </c>
      <c r="Q81" s="34">
        <v>0.97438413121616296</v>
      </c>
      <c r="R81" s="33">
        <v>88.879448305694893</v>
      </c>
      <c r="S81" s="33">
        <v>89.962599294311701</v>
      </c>
      <c r="T81" s="33">
        <v>89.909319713951604</v>
      </c>
      <c r="U81" s="15">
        <v>-1.17506517959645E-2</v>
      </c>
      <c r="V81" s="15">
        <v>3.6243063690690402E-4</v>
      </c>
      <c r="W81" s="15">
        <v>-2.29986258538182E-4</v>
      </c>
      <c r="X81" s="34">
        <v>0.97411178509532004</v>
      </c>
      <c r="Y81" s="34">
        <v>0.96273232566827205</v>
      </c>
      <c r="Z81" s="34">
        <v>0.97437523123561598</v>
      </c>
      <c r="AA81" s="34">
        <v>0.97438413121616296</v>
      </c>
      <c r="AB81" s="33">
        <v>88.879448305694893</v>
      </c>
      <c r="AC81" s="33">
        <v>89.962599294311701</v>
      </c>
      <c r="AD81" s="33">
        <v>89.909319713951604</v>
      </c>
      <c r="AE81" s="15">
        <v>-1.17506517959645E-2</v>
      </c>
      <c r="AF81" s="15">
        <v>3.6243063690690402E-4</v>
      </c>
      <c r="AG81" s="15">
        <v>-2.29986258538182E-4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4.3081568595778226E-3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1.0875409967608329E-2</v>
      </c>
      <c r="BE81" s="29">
        <f t="shared" si="22"/>
        <v>0</v>
      </c>
      <c r="BF81" s="29">
        <f t="shared" si="23"/>
        <v>1.518356682718614E-2</v>
      </c>
      <c r="BH81" s="29"/>
    </row>
    <row r="82" spans="1:60" x14ac:dyDescent="0.25">
      <c r="A82" s="1">
        <v>46141</v>
      </c>
      <c r="B82" s="33">
        <v>88.71</v>
      </c>
      <c r="C82" s="33">
        <v>86.17</v>
      </c>
      <c r="D82" s="15">
        <v>-3.9888180227293797E-2</v>
      </c>
      <c r="E82" s="15">
        <v>-4.2709500674748699E-2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88.71</v>
      </c>
      <c r="M82" s="33">
        <v>86.17</v>
      </c>
      <c r="N82" s="34">
        <v>0.97136737684590202</v>
      </c>
      <c r="O82" s="34">
        <v>0.96273232566827205</v>
      </c>
      <c r="P82" s="34">
        <v>0.97419175182386897</v>
      </c>
      <c r="Q82" s="34">
        <v>0.97451859863054502</v>
      </c>
      <c r="R82" s="33">
        <v>85.403984610032396</v>
      </c>
      <c r="S82" s="33">
        <v>86.436826762911494</v>
      </c>
      <c r="T82" s="33">
        <v>86.437616280185793</v>
      </c>
      <c r="U82" s="15">
        <v>-8.92933134850981E-3</v>
      </c>
      <c r="V82" s="15">
        <v>3.0917314275562798E-3</v>
      </c>
      <c r="W82" s="15">
        <v>3.1008654240048698E-3</v>
      </c>
      <c r="X82" s="34">
        <v>0.97136737684590202</v>
      </c>
      <c r="Y82" s="34">
        <v>0.96273232566827205</v>
      </c>
      <c r="Z82" s="34">
        <v>0.97419175182386897</v>
      </c>
      <c r="AA82" s="34">
        <v>0.97451859863054502</v>
      </c>
      <c r="AB82" s="33">
        <v>85.403984610032396</v>
      </c>
      <c r="AC82" s="33">
        <v>86.436826762911494</v>
      </c>
      <c r="AD82" s="33">
        <v>86.437616280185793</v>
      </c>
      <c r="AE82" s="15">
        <v>-8.92933134850981E-3</v>
      </c>
      <c r="AF82" s="15">
        <v>3.0917314275562798E-3</v>
      </c>
      <c r="AG82" s="15">
        <v>3.1008654240048698E-3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4.3081568595778226E-3</v>
      </c>
      <c r="AT82" s="12"/>
      <c r="AU82">
        <f t="shared" si="10"/>
        <v>0</v>
      </c>
      <c r="AV82">
        <f t="shared" si="11"/>
        <v>0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1.0875409967608329E-2</v>
      </c>
      <c r="BE82" s="29">
        <f t="shared" si="22"/>
        <v>0</v>
      </c>
      <c r="BF82" s="29">
        <f t="shared" si="23"/>
        <v>1.518356682718614E-2</v>
      </c>
      <c r="BH82" s="29"/>
    </row>
    <row r="83" spans="1:60" x14ac:dyDescent="0.25">
      <c r="A83" s="1">
        <v>46142</v>
      </c>
      <c r="B83" s="33">
        <v>90.3</v>
      </c>
      <c r="C83" s="33">
        <v>88.38</v>
      </c>
      <c r="D83" s="15">
        <v>1.7764837890444099E-2</v>
      </c>
      <c r="E83" s="15">
        <v>2.53236104509184E-2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90.3</v>
      </c>
      <c r="M83" s="33">
        <v>88.38</v>
      </c>
      <c r="N83" s="34">
        <v>0.978737541528239</v>
      </c>
      <c r="O83" s="34">
        <v>0.96273232566827205</v>
      </c>
      <c r="P83" s="34">
        <v>0.97446415462534197</v>
      </c>
      <c r="Q83" s="34">
        <v>0.97472537271070203</v>
      </c>
      <c r="R83" s="33">
        <v>86.934729007844993</v>
      </c>
      <c r="S83" s="33">
        <v>87.9695151896954</v>
      </c>
      <c r="T83" s="33">
        <v>87.999029456338207</v>
      </c>
      <c r="U83" s="15">
        <v>-1.6488103908983899E-2</v>
      </c>
      <c r="V83" s="15">
        <v>-4.65536353998291E-3</v>
      </c>
      <c r="W83" s="15">
        <v>-4.3199141904533399E-3</v>
      </c>
      <c r="X83" s="34">
        <v>0.978737541528239</v>
      </c>
      <c r="Y83" s="34">
        <v>0.96273232566827205</v>
      </c>
      <c r="Z83" s="34">
        <v>0.97446415462534197</v>
      </c>
      <c r="AA83" s="34">
        <v>0.97472537271070203</v>
      </c>
      <c r="AB83" s="33">
        <v>86.934729007844993</v>
      </c>
      <c r="AC83" s="33">
        <v>87.9695151896954</v>
      </c>
      <c r="AD83" s="33">
        <v>87.999029456338207</v>
      </c>
      <c r="AE83" s="15">
        <v>-1.6488103908983899E-2</v>
      </c>
      <c r="AF83" s="15">
        <v>-4.65536353998291E-3</v>
      </c>
      <c r="AG83" s="15">
        <v>-4.3199141904533399E-3</v>
      </c>
      <c r="AI83" s="12"/>
      <c r="AJ83">
        <f t="shared" si="6"/>
        <v>1</v>
      </c>
      <c r="AK83">
        <f t="shared" si="7"/>
        <v>0</v>
      </c>
      <c r="AL83">
        <f t="shared" si="14"/>
        <v>0</v>
      </c>
      <c r="AM83">
        <f t="shared" si="4"/>
        <v>1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4.3081568595778226E-3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1.0875409967608329E-2</v>
      </c>
      <c r="BE83" s="29">
        <f t="shared" si="22"/>
        <v>0</v>
      </c>
      <c r="BF83" s="29">
        <f t="shared" si="23"/>
        <v>1.518356682718614E-2</v>
      </c>
      <c r="BH83" s="29"/>
    </row>
    <row r="84" spans="1:60" x14ac:dyDescent="0.25">
      <c r="A84" s="1">
        <v>46143</v>
      </c>
      <c r="B84" s="33">
        <v>88.45</v>
      </c>
      <c r="C84" s="33">
        <v>86.31</v>
      </c>
      <c r="D84" s="15">
        <v>-2.0700039817145299E-2</v>
      </c>
      <c r="E84" s="15">
        <v>-2.3700233471027499E-2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88.45</v>
      </c>
      <c r="M84" s="33">
        <v>86.31</v>
      </c>
      <c r="N84" s="34">
        <v>0.97580553985302398</v>
      </c>
      <c r="O84" s="34">
        <v>0.96273232566827205</v>
      </c>
      <c r="P84" s="34">
        <v>0.97488984278458501</v>
      </c>
      <c r="Q84" s="34">
        <v>0.97477012999009205</v>
      </c>
      <c r="R84" s="33">
        <v>85.153674205358698</v>
      </c>
      <c r="S84" s="33">
        <v>86.191354476611494</v>
      </c>
      <c r="T84" s="33">
        <v>86.214459216261602</v>
      </c>
      <c r="U84" s="15">
        <v>-1.34879102551016E-2</v>
      </c>
      <c r="V84" s="15">
        <v>-1.3755896869022399E-3</v>
      </c>
      <c r="W84" s="15">
        <v>-1.10756230089301E-3</v>
      </c>
      <c r="X84" s="34">
        <v>0.97580553985302398</v>
      </c>
      <c r="Y84" s="34">
        <v>0.96273232566827205</v>
      </c>
      <c r="Z84" s="34">
        <v>0.97488984278458501</v>
      </c>
      <c r="AA84" s="34">
        <v>0.97477012999009205</v>
      </c>
      <c r="AB84" s="33">
        <v>85.153674205358698</v>
      </c>
      <c r="AC84" s="33">
        <v>86.191354476611494</v>
      </c>
      <c r="AD84" s="33">
        <v>86.214459216261602</v>
      </c>
      <c r="AE84" s="15">
        <v>-1.34879102551016E-2</v>
      </c>
      <c r="AF84" s="15">
        <v>-1.3755896869022399E-3</v>
      </c>
      <c r="AG84" s="15">
        <v>-1.10756230089301E-3</v>
      </c>
      <c r="AI84" s="12"/>
      <c r="AJ84">
        <f t="shared" si="6"/>
        <v>0</v>
      </c>
      <c r="AK84">
        <f t="shared" si="7"/>
        <v>1</v>
      </c>
      <c r="AL84">
        <f t="shared" si="14"/>
        <v>1</v>
      </c>
      <c r="AM84">
        <f t="shared" si="4"/>
        <v>1</v>
      </c>
      <c r="AN84">
        <f t="shared" si="15"/>
        <v>1</v>
      </c>
      <c r="AO84" s="28">
        <f t="shared" si="8"/>
        <v>-2.0700039817145299E-2</v>
      </c>
      <c r="AP84" s="28">
        <f t="shared" si="9"/>
        <v>2.3700233471027499E-2</v>
      </c>
      <c r="AQ84" s="28">
        <f t="shared" si="16"/>
        <v>3.0001936538822001E-3</v>
      </c>
      <c r="AR84" s="29">
        <f t="shared" si="17"/>
        <v>7.3083505134600227E-3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1.0875409967608329E-2</v>
      </c>
      <c r="BE84" s="29">
        <f t="shared" si="22"/>
        <v>3.0001936538822001E-3</v>
      </c>
      <c r="BF84" s="29">
        <f t="shared" si="23"/>
        <v>1.8183760481068338E-2</v>
      </c>
      <c r="BH84" s="29"/>
    </row>
    <row r="85" spans="1:60" x14ac:dyDescent="0.25">
      <c r="A85" s="1">
        <v>46146</v>
      </c>
      <c r="B85" s="33">
        <v>84.36</v>
      </c>
      <c r="C85" s="33">
        <v>82.06</v>
      </c>
      <c r="D85" s="15">
        <v>-4.7344064995220501E-2</v>
      </c>
      <c r="E85" s="15">
        <v>-5.0494779217526202E-2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84.36</v>
      </c>
      <c r="M85" s="33">
        <v>82.06</v>
      </c>
      <c r="N85" s="34">
        <v>0.97273589378852499</v>
      </c>
      <c r="O85" s="34">
        <v>0.96273232566827205</v>
      </c>
      <c r="P85" s="34">
        <v>0.97445837478987196</v>
      </c>
      <c r="Q85" s="34">
        <v>0.97455855615744502</v>
      </c>
      <c r="R85" s="33">
        <v>81.216098993375397</v>
      </c>
      <c r="S85" s="33">
        <v>82.2417071373076</v>
      </c>
      <c r="T85" s="33">
        <v>82.231608165964104</v>
      </c>
      <c r="U85" s="15">
        <v>-1.0337196032795801E-2</v>
      </c>
      <c r="V85" s="15">
        <v>2.2118724699248999E-3</v>
      </c>
      <c r="W85" s="15">
        <v>2.0890687027906498E-3</v>
      </c>
      <c r="X85" s="34">
        <v>0.97273589378852499</v>
      </c>
      <c r="Y85" s="34">
        <v>0.96273232566827205</v>
      </c>
      <c r="Z85" s="34">
        <v>0.97445837478987196</v>
      </c>
      <c r="AA85" s="34">
        <v>0.97455855615744502</v>
      </c>
      <c r="AB85" s="33">
        <v>81.216098993375397</v>
      </c>
      <c r="AC85" s="33">
        <v>82.2417071373076</v>
      </c>
      <c r="AD85" s="33">
        <v>82.231608165964104</v>
      </c>
      <c r="AE85" s="15">
        <v>-1.0337196032795801E-2</v>
      </c>
      <c r="AF85" s="15">
        <v>2.2118724699248999E-3</v>
      </c>
      <c r="AG85" s="15">
        <v>2.0890687027906498E-3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7.3083505134600227E-3</v>
      </c>
      <c r="AT85" s="12"/>
      <c r="AU85">
        <f t="shared" si="10"/>
        <v>0</v>
      </c>
      <c r="AV85">
        <f t="shared" si="11"/>
        <v>0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1.0875409967608329E-2</v>
      </c>
      <c r="BE85" s="29">
        <f t="shared" si="22"/>
        <v>0</v>
      </c>
      <c r="BF85" s="29">
        <f t="shared" si="23"/>
        <v>1.8183760481068338E-2</v>
      </c>
      <c r="BH85" s="29"/>
    </row>
    <row r="86" spans="1:60" x14ac:dyDescent="0.25">
      <c r="A86" s="1">
        <v>46147</v>
      </c>
      <c r="B86" s="33">
        <v>86.2</v>
      </c>
      <c r="C86" s="33">
        <v>84.13</v>
      </c>
      <c r="D86" s="15">
        <v>2.1576822059073599E-2</v>
      </c>
      <c r="E86" s="15">
        <v>2.49125345486821E-2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86.2</v>
      </c>
      <c r="M86" s="33">
        <v>84.13</v>
      </c>
      <c r="N86" s="34">
        <v>0.97598607888630995</v>
      </c>
      <c r="O86" s="34">
        <v>0.96273232566827205</v>
      </c>
      <c r="P86" s="34">
        <v>0.97478876202667297</v>
      </c>
      <c r="Q86" s="34">
        <v>0.97477692106882396</v>
      </c>
      <c r="R86" s="33">
        <v>82.987526472605097</v>
      </c>
      <c r="S86" s="33">
        <v>83.998311906886997</v>
      </c>
      <c r="T86" s="33">
        <v>84.006947540771804</v>
      </c>
      <c r="U86" s="15">
        <v>-1.3672908522404501E-2</v>
      </c>
      <c r="V86" s="15">
        <v>-1.5665192679258E-3</v>
      </c>
      <c r="W86" s="15">
        <v>-1.4637173208819801E-3</v>
      </c>
      <c r="X86" s="34">
        <v>0.97598607888630995</v>
      </c>
      <c r="Y86" s="34">
        <v>0.96273232566827205</v>
      </c>
      <c r="Z86" s="34">
        <v>0.97478876202667297</v>
      </c>
      <c r="AA86" s="34">
        <v>0.97477692106882396</v>
      </c>
      <c r="AB86" s="33">
        <v>82.987526472605097</v>
      </c>
      <c r="AC86" s="33">
        <v>83.998311906886997</v>
      </c>
      <c r="AD86" s="33">
        <v>84.006947540771804</v>
      </c>
      <c r="AE86" s="15">
        <v>-1.3672908522404501E-2</v>
      </c>
      <c r="AF86" s="15">
        <v>-1.5665192679258E-3</v>
      </c>
      <c r="AG86" s="15">
        <v>-1.4637173208819801E-3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7.3083505134600227E-3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1.0875409967608329E-2</v>
      </c>
      <c r="BE86" s="29">
        <f t="shared" si="22"/>
        <v>0</v>
      </c>
      <c r="BF86" s="29">
        <f t="shared" si="23"/>
        <v>1.8183760481068338E-2</v>
      </c>
      <c r="BH86" s="29"/>
    </row>
    <row r="87" spans="1:60" x14ac:dyDescent="0.25">
      <c r="A87" s="1">
        <v>46148</v>
      </c>
      <c r="B87" s="33">
        <v>90.54</v>
      </c>
      <c r="C87" s="33">
        <v>88.07</v>
      </c>
      <c r="D87" s="15">
        <v>4.9121564338165197E-2</v>
      </c>
      <c r="E87" s="15">
        <v>4.5768731254645902E-2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90.54</v>
      </c>
      <c r="M87" s="33">
        <v>88.07</v>
      </c>
      <c r="N87" s="34">
        <v>0.97271924011486599</v>
      </c>
      <c r="O87" s="34">
        <v>0.96273232566827205</v>
      </c>
      <c r="P87" s="34">
        <v>0.97483464051142599</v>
      </c>
      <c r="Q87" s="34">
        <v>0.97447347203992896</v>
      </c>
      <c r="R87" s="33">
        <v>87.165784766005402</v>
      </c>
      <c r="S87" s="33">
        <v>88.257374513895002</v>
      </c>
      <c r="T87" s="33">
        <v>88.256302433571406</v>
      </c>
      <c r="U87" s="15">
        <v>-1.03200754388852E-2</v>
      </c>
      <c r="V87" s="15">
        <v>2.1253034015979101E-3</v>
      </c>
      <c r="W87" s="15">
        <v>2.11315612392301E-3</v>
      </c>
      <c r="X87" s="34">
        <v>0.97271924011486599</v>
      </c>
      <c r="Y87" s="34">
        <v>0.96273232566827205</v>
      </c>
      <c r="Z87" s="34">
        <v>0.97483464051142599</v>
      </c>
      <c r="AA87" s="34">
        <v>0.97447347203992896</v>
      </c>
      <c r="AB87" s="33">
        <v>87.165784766005402</v>
      </c>
      <c r="AC87" s="33">
        <v>88.257374513895002</v>
      </c>
      <c r="AD87" s="33">
        <v>88.256302433571406</v>
      </c>
      <c r="AE87" s="15">
        <v>-1.03200754388852E-2</v>
      </c>
      <c r="AF87" s="15">
        <v>2.1253034015979101E-3</v>
      </c>
      <c r="AG87" s="15">
        <v>2.11315612392301E-3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7.3083505134600227E-3</v>
      </c>
      <c r="AT87" s="12"/>
      <c r="AU87">
        <f t="shared" si="30"/>
        <v>0</v>
      </c>
      <c r="AV87">
        <f t="shared" si="31"/>
        <v>0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1.0875409967608329E-2</v>
      </c>
      <c r="BE87" s="29">
        <f t="shared" ref="BE87:BE150" si="42">AQ87+BB87</f>
        <v>0</v>
      </c>
      <c r="BF87" s="29">
        <f t="shared" ref="BF87:BF150" si="43">BF86+BE87</f>
        <v>1.8183760481068338E-2</v>
      </c>
      <c r="BH87" s="29"/>
    </row>
    <row r="88" spans="1:60" x14ac:dyDescent="0.25">
      <c r="A88" s="1">
        <v>46149</v>
      </c>
      <c r="B88" s="33">
        <v>87.74</v>
      </c>
      <c r="C88" s="33">
        <v>84.68</v>
      </c>
      <c r="D88" s="15">
        <v>-3.1413846269744701E-2</v>
      </c>
      <c r="E88" s="15">
        <v>-3.9252506550703503E-2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87.74</v>
      </c>
      <c r="M88" s="33">
        <v>84.68</v>
      </c>
      <c r="N88" s="34">
        <v>0.96512423068155895</v>
      </c>
      <c r="O88" s="34">
        <v>0.96273232566827205</v>
      </c>
      <c r="P88" s="34">
        <v>0.97351312856153205</v>
      </c>
      <c r="Q88" s="34">
        <v>0.973899142699162</v>
      </c>
      <c r="R88" s="33">
        <v>84.470134254134194</v>
      </c>
      <c r="S88" s="33">
        <v>85.531991358472496</v>
      </c>
      <c r="T88" s="33">
        <v>85.5003024367834</v>
      </c>
      <c r="U88" s="15">
        <v>-2.4814151579263602E-3</v>
      </c>
      <c r="V88" s="15">
        <v>1.0011027628036399E-2</v>
      </c>
      <c r="W88" s="15">
        <v>9.6404669421147997E-3</v>
      </c>
      <c r="X88" s="34">
        <v>0.96512423068155895</v>
      </c>
      <c r="Y88" s="34">
        <v>0.96273232566827205</v>
      </c>
      <c r="Z88" s="34">
        <v>0.97351312856153205</v>
      </c>
      <c r="AA88" s="34">
        <v>0.973899142699162</v>
      </c>
      <c r="AB88" s="33">
        <v>84.470134254134194</v>
      </c>
      <c r="AC88" s="33">
        <v>85.531991358472496</v>
      </c>
      <c r="AD88" s="33">
        <v>85.5003024367834</v>
      </c>
      <c r="AE88" s="15">
        <v>-2.4814151579263602E-3</v>
      </c>
      <c r="AF88" s="15">
        <v>1.0011027628036399E-2</v>
      </c>
      <c r="AG88" s="15">
        <v>9.6404669421147997E-3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7.3083505134600227E-3</v>
      </c>
      <c r="AT88" s="12"/>
      <c r="AU88">
        <f t="shared" si="30"/>
        <v>1</v>
      </c>
      <c r="AV88">
        <f t="shared" si="31"/>
        <v>0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1.0875409967608329E-2</v>
      </c>
      <c r="BE88" s="29">
        <f t="shared" si="42"/>
        <v>0</v>
      </c>
      <c r="BF88" s="29">
        <f t="shared" si="43"/>
        <v>1.8183760481068338E-2</v>
      </c>
      <c r="BH88" s="29"/>
    </row>
    <row r="89" spans="1:60" x14ac:dyDescent="0.25">
      <c r="A89" s="1">
        <v>46150</v>
      </c>
      <c r="B89" s="33">
        <v>88.38</v>
      </c>
      <c r="C89" s="33">
        <v>86.09</v>
      </c>
      <c r="D89" s="15">
        <v>7.2678039645259398E-3</v>
      </c>
      <c r="E89" s="15">
        <v>1.6513814403198698E-2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88.38</v>
      </c>
      <c r="M89" s="33">
        <v>86.09</v>
      </c>
      <c r="N89" s="34">
        <v>0.97408916044353899</v>
      </c>
      <c r="O89" s="34">
        <v>0.96273232566827205</v>
      </c>
      <c r="P89" s="34">
        <v>0.97363336836984105</v>
      </c>
      <c r="Q89" s="34">
        <v>0.97392427061006603</v>
      </c>
      <c r="R89" s="33">
        <v>85.086282942561894</v>
      </c>
      <c r="S89" s="33">
        <v>86.039090302268093</v>
      </c>
      <c r="T89" s="33">
        <v>86.073206231751897</v>
      </c>
      <c r="U89" s="15">
        <v>-1.17274255965992E-2</v>
      </c>
      <c r="V89" s="15">
        <v>-5.9152928917344803E-4</v>
      </c>
      <c r="W89" s="15">
        <v>-1.9509125868268201E-4</v>
      </c>
      <c r="X89" s="34">
        <v>0.97408916044353899</v>
      </c>
      <c r="Y89" s="34">
        <v>0.96273232566827205</v>
      </c>
      <c r="Z89" s="34">
        <v>0.97363336836984105</v>
      </c>
      <c r="AA89" s="34">
        <v>0.97392427061006603</v>
      </c>
      <c r="AB89" s="33">
        <v>85.086282942561894</v>
      </c>
      <c r="AC89" s="33">
        <v>86.039090302268093</v>
      </c>
      <c r="AD89" s="33">
        <v>86.073206231751897</v>
      </c>
      <c r="AE89" s="15">
        <v>-1.17274255965992E-2</v>
      </c>
      <c r="AF89" s="15">
        <v>-5.9152928917344803E-4</v>
      </c>
      <c r="AG89" s="15">
        <v>-1.9509125868268201E-4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7.3083505134600227E-3</v>
      </c>
      <c r="AT89" s="12"/>
      <c r="AU89">
        <f t="shared" si="30"/>
        <v>0</v>
      </c>
      <c r="AV89">
        <f t="shared" si="31"/>
        <v>1</v>
      </c>
      <c r="AW89">
        <f t="shared" si="38"/>
        <v>1</v>
      </c>
      <c r="AX89">
        <f t="shared" si="25"/>
        <v>1</v>
      </c>
      <c r="AY89">
        <f t="shared" si="39"/>
        <v>1</v>
      </c>
      <c r="AZ89" s="28">
        <f t="shared" si="32"/>
        <v>-7.2678039645259398E-3</v>
      </c>
      <c r="BA89" s="28">
        <f t="shared" si="33"/>
        <v>1.6513814403198698E-2</v>
      </c>
      <c r="BB89" s="28">
        <f t="shared" si="40"/>
        <v>9.2460104386727585E-3</v>
      </c>
      <c r="BC89" s="29">
        <f t="shared" si="41"/>
        <v>2.0121420406281086E-2</v>
      </c>
      <c r="BE89" s="29">
        <f t="shared" si="42"/>
        <v>9.2460104386727585E-3</v>
      </c>
      <c r="BF89" s="29">
        <f t="shared" si="43"/>
        <v>2.7429770919741095E-2</v>
      </c>
      <c r="BH89" s="29"/>
    </row>
    <row r="90" spans="1:60" x14ac:dyDescent="0.25">
      <c r="A90" s="1">
        <v>46153</v>
      </c>
      <c r="B90" s="33">
        <v>87.09</v>
      </c>
      <c r="C90" s="33">
        <v>84.88</v>
      </c>
      <c r="D90" s="15">
        <v>-1.4703632997945601E-2</v>
      </c>
      <c r="E90" s="15">
        <v>-1.41547663641357E-2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87.09</v>
      </c>
      <c r="M90" s="33">
        <v>84.88</v>
      </c>
      <c r="N90" s="34">
        <v>0.97462395223332099</v>
      </c>
      <c r="O90" s="34">
        <v>0.96273232566827205</v>
      </c>
      <c r="P90" s="34">
        <v>0.97353007994706098</v>
      </c>
      <c r="Q90" s="34">
        <v>0.97399748849124901</v>
      </c>
      <c r="R90" s="33">
        <v>83.8443582424498</v>
      </c>
      <c r="S90" s="33">
        <v>84.793730051329405</v>
      </c>
      <c r="T90" s="33">
        <v>84.8190647274306</v>
      </c>
      <c r="U90" s="15">
        <v>-1.2276292230409E-2</v>
      </c>
      <c r="V90" s="15">
        <v>-1.01689231536907E-3</v>
      </c>
      <c r="W90" s="15">
        <v>-7.1815687713018095E-4</v>
      </c>
      <c r="X90" s="34">
        <v>0.97462395223332099</v>
      </c>
      <c r="Y90" s="34">
        <v>0.96273232566827205</v>
      </c>
      <c r="Z90" s="34">
        <v>0.97353007994706098</v>
      </c>
      <c r="AA90" s="34">
        <v>0.97399748849124901</v>
      </c>
      <c r="AB90" s="33">
        <v>83.8443582424498</v>
      </c>
      <c r="AC90" s="33">
        <v>84.793730051329405</v>
      </c>
      <c r="AD90" s="33">
        <v>84.8190647274306</v>
      </c>
      <c r="AE90" s="15">
        <v>-1.2276292230409E-2</v>
      </c>
      <c r="AF90" s="15">
        <v>-1.01689231536907E-3</v>
      </c>
      <c r="AG90" s="15">
        <v>-7.1815687713018095E-4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7.3083505134600227E-3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2.0121420406281086E-2</v>
      </c>
      <c r="BE90" s="29">
        <f t="shared" si="42"/>
        <v>0</v>
      </c>
      <c r="BF90" s="29">
        <f t="shared" si="43"/>
        <v>2.7429770919741095E-2</v>
      </c>
      <c r="BH90" s="29"/>
    </row>
    <row r="91" spans="1:60" x14ac:dyDescent="0.25">
      <c r="A91" s="1">
        <v>46154</v>
      </c>
      <c r="B91" s="33">
        <v>85.86</v>
      </c>
      <c r="C91" s="33">
        <v>83.99</v>
      </c>
      <c r="D91" s="15">
        <v>-1.4224003908233701E-2</v>
      </c>
      <c r="E91" s="15">
        <v>-1.0540750168191899E-2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85.86</v>
      </c>
      <c r="M91" s="33">
        <v>83.99</v>
      </c>
      <c r="N91" s="34">
        <v>0.97822035872350299</v>
      </c>
      <c r="O91" s="34">
        <v>0.96273232566827205</v>
      </c>
      <c r="P91" s="34">
        <v>0.97394093730987896</v>
      </c>
      <c r="Q91" s="34">
        <v>0.97415808427274697</v>
      </c>
      <c r="R91" s="33">
        <v>82.660197481877802</v>
      </c>
      <c r="S91" s="33">
        <v>83.587292664254605</v>
      </c>
      <c r="T91" s="33">
        <v>83.627424361858701</v>
      </c>
      <c r="U91" s="15">
        <v>-1.5959545970450802E-2</v>
      </c>
      <c r="V91" s="15">
        <v>-4.8062372240454104E-3</v>
      </c>
      <c r="W91" s="15">
        <v>-4.3262352351259104E-3</v>
      </c>
      <c r="X91" s="34">
        <v>0.97822035872350299</v>
      </c>
      <c r="Y91" s="34">
        <v>0.96273232566827205</v>
      </c>
      <c r="Z91" s="34">
        <v>0.97394093730987896</v>
      </c>
      <c r="AA91" s="34">
        <v>0.97415808427274697</v>
      </c>
      <c r="AB91" s="33">
        <v>82.660197481877802</v>
      </c>
      <c r="AC91" s="33">
        <v>83.587292664254605</v>
      </c>
      <c r="AD91" s="33">
        <v>83.627424361858701</v>
      </c>
      <c r="AE91" s="15">
        <v>-1.5959545970450802E-2</v>
      </c>
      <c r="AF91" s="15">
        <v>-4.8062372240454104E-3</v>
      </c>
      <c r="AG91" s="15">
        <v>-4.3262352351259104E-3</v>
      </c>
      <c r="AI91" s="12"/>
      <c r="AJ91">
        <f t="shared" si="26"/>
        <v>1</v>
      </c>
      <c r="AK91">
        <f t="shared" si="27"/>
        <v>0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7.3083505134600227E-3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2.0121420406281086E-2</v>
      </c>
      <c r="BE91" s="29">
        <f t="shared" si="42"/>
        <v>0</v>
      </c>
      <c r="BF91" s="29">
        <f t="shared" si="43"/>
        <v>2.7429770919741095E-2</v>
      </c>
      <c r="BH91" s="29"/>
    </row>
    <row r="92" spans="1:60" x14ac:dyDescent="0.25">
      <c r="A92" s="1">
        <v>46155</v>
      </c>
      <c r="B92" s="33">
        <v>84.97</v>
      </c>
      <c r="C92" s="33">
        <v>82.99</v>
      </c>
      <c r="D92" s="15">
        <v>-1.04198097809645E-2</v>
      </c>
      <c r="E92" s="15">
        <v>-1.1977625527179099E-2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84.97</v>
      </c>
      <c r="M92" s="33">
        <v>82.99</v>
      </c>
      <c r="N92" s="34">
        <v>0.97669765799693997</v>
      </c>
      <c r="O92" s="34">
        <v>0.96273232566827205</v>
      </c>
      <c r="P92" s="34">
        <v>0.97447396542498299</v>
      </c>
      <c r="Q92" s="34">
        <v>0.97433285862442598</v>
      </c>
      <c r="R92" s="33">
        <v>81.803365712033099</v>
      </c>
      <c r="S92" s="33">
        <v>82.755761443220393</v>
      </c>
      <c r="T92" s="33">
        <v>82.774212420655303</v>
      </c>
      <c r="U92" s="15">
        <v>-1.4401730224236201E-2</v>
      </c>
      <c r="V92" s="15">
        <v>-2.82648208538509E-3</v>
      </c>
      <c r="W92" s="15">
        <v>-2.6035499229415601E-3</v>
      </c>
      <c r="X92" s="34">
        <v>0.97669765799693997</v>
      </c>
      <c r="Y92" s="34">
        <v>0.96273232566827205</v>
      </c>
      <c r="Z92" s="34">
        <v>0.97447396542498299</v>
      </c>
      <c r="AA92" s="34">
        <v>0.97433285862442598</v>
      </c>
      <c r="AB92" s="33">
        <v>81.803365712033099</v>
      </c>
      <c r="AC92" s="33">
        <v>82.755761443220393</v>
      </c>
      <c r="AD92" s="33">
        <v>82.774212420655303</v>
      </c>
      <c r="AE92" s="15">
        <v>-1.4401730224236201E-2</v>
      </c>
      <c r="AF92" s="15">
        <v>-2.82648208538509E-3</v>
      </c>
      <c r="AG92" s="15">
        <v>-2.6035499229415601E-3</v>
      </c>
      <c r="AI92" s="12"/>
      <c r="AJ92">
        <f t="shared" si="26"/>
        <v>0</v>
      </c>
      <c r="AK92">
        <f t="shared" si="27"/>
        <v>0</v>
      </c>
      <c r="AL92">
        <f t="shared" si="34"/>
        <v>1</v>
      </c>
      <c r="AM92">
        <f t="shared" si="24"/>
        <v>1</v>
      </c>
      <c r="AN92">
        <f t="shared" si="35"/>
        <v>1</v>
      </c>
      <c r="AO92" s="28">
        <f t="shared" si="28"/>
        <v>-1.04198097809645E-2</v>
      </c>
      <c r="AP92" s="28">
        <f t="shared" si="29"/>
        <v>1.1977625527179099E-2</v>
      </c>
      <c r="AQ92" s="28">
        <f t="shared" si="36"/>
        <v>1.5578157462145994E-3</v>
      </c>
      <c r="AR92" s="29">
        <f t="shared" si="37"/>
        <v>8.8661662596746221E-3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2.0121420406281086E-2</v>
      </c>
      <c r="BE92" s="29">
        <f t="shared" si="42"/>
        <v>1.5578157462145994E-3</v>
      </c>
      <c r="BF92" s="29">
        <f t="shared" si="43"/>
        <v>2.8987586665955696E-2</v>
      </c>
      <c r="BH92" s="29"/>
    </row>
    <row r="93" spans="1:60" x14ac:dyDescent="0.25">
      <c r="A93" s="1">
        <v>46156</v>
      </c>
      <c r="B93" s="33">
        <v>85.25</v>
      </c>
      <c r="C93" s="33">
        <v>83.27</v>
      </c>
      <c r="D93" s="15">
        <v>3.28986314817625E-3</v>
      </c>
      <c r="E93" s="15">
        <v>3.3682216373714402E-3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85.25</v>
      </c>
      <c r="M93" s="33">
        <v>83.27</v>
      </c>
      <c r="N93" s="34">
        <v>0.97677419354838702</v>
      </c>
      <c r="O93" s="34">
        <v>0.96273232566827205</v>
      </c>
      <c r="P93" s="34">
        <v>0.97427763062699702</v>
      </c>
      <c r="Q93" s="34">
        <v>0.97437089262617005</v>
      </c>
      <c r="R93" s="33">
        <v>82.072930763220199</v>
      </c>
      <c r="S93" s="33">
        <v>83.0739055524798</v>
      </c>
      <c r="T93" s="33">
        <v>83.061876197732303</v>
      </c>
      <c r="U93" s="15">
        <v>-1.4480088713431399E-2</v>
      </c>
      <c r="V93" s="15">
        <v>-2.3577003041448702E-3</v>
      </c>
      <c r="W93" s="15">
        <v>-2.5025138372892501E-3</v>
      </c>
      <c r="X93" s="34">
        <v>0.97677419354838702</v>
      </c>
      <c r="Y93" s="34">
        <v>0.96273232566827205</v>
      </c>
      <c r="Z93" s="34">
        <v>0.97427763062699702</v>
      </c>
      <c r="AA93" s="34">
        <v>0.97437089262617005</v>
      </c>
      <c r="AB93" s="33">
        <v>82.072930763220199</v>
      </c>
      <c r="AC93" s="33">
        <v>83.0739055524798</v>
      </c>
      <c r="AD93" s="33">
        <v>83.061876197732303</v>
      </c>
      <c r="AE93" s="15">
        <v>-1.4480088713431399E-2</v>
      </c>
      <c r="AF93" s="15">
        <v>-2.3577003041448702E-3</v>
      </c>
      <c r="AG93" s="15">
        <v>-2.5025138372892501E-3</v>
      </c>
      <c r="AI93" s="12"/>
      <c r="AJ93">
        <f t="shared" si="26"/>
        <v>0</v>
      </c>
      <c r="AK93">
        <f t="shared" si="27"/>
        <v>0</v>
      </c>
      <c r="AL93">
        <f t="shared" si="34"/>
        <v>1</v>
      </c>
      <c r="AM93">
        <f t="shared" si="24"/>
        <v>1</v>
      </c>
      <c r="AN93">
        <f t="shared" si="35"/>
        <v>1</v>
      </c>
      <c r="AO93" s="28">
        <f t="shared" si="28"/>
        <v>3.28986314817625E-3</v>
      </c>
      <c r="AP93" s="28">
        <f t="shared" si="29"/>
        <v>-3.3682216373714402E-3</v>
      </c>
      <c r="AQ93" s="28">
        <f t="shared" si="36"/>
        <v>-7.8358489195190159E-5</v>
      </c>
      <c r="AR93" s="29">
        <f t="shared" si="37"/>
        <v>8.7878077704794319E-3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2.0121420406281086E-2</v>
      </c>
      <c r="BE93" s="29">
        <f t="shared" si="42"/>
        <v>-7.8358489195190159E-5</v>
      </c>
      <c r="BF93" s="29">
        <f t="shared" si="43"/>
        <v>2.8909228176760504E-2</v>
      </c>
      <c r="BH93" s="29"/>
    </row>
    <row r="94" spans="1:60" x14ac:dyDescent="0.25">
      <c r="A94" s="1">
        <v>46157</v>
      </c>
      <c r="B94" s="33">
        <v>82.3</v>
      </c>
      <c r="C94" s="33">
        <v>80.319999999999993</v>
      </c>
      <c r="D94" s="15">
        <v>-3.5217008480602101E-2</v>
      </c>
      <c r="E94" s="15">
        <v>-3.6069684304308902E-2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82.3</v>
      </c>
      <c r="M94" s="33">
        <v>80.319999999999993</v>
      </c>
      <c r="N94" s="34">
        <v>0.97594167679222299</v>
      </c>
      <c r="O94" s="34">
        <v>0.96273232566827205</v>
      </c>
      <c r="P94" s="34">
        <v>0.97429124432091696</v>
      </c>
      <c r="Q94" s="34">
        <v>0.97459054355275099</v>
      </c>
      <c r="R94" s="33">
        <v>79.232870402498804</v>
      </c>
      <c r="S94" s="33">
        <v>80.183049000601898</v>
      </c>
      <c r="T94" s="33">
        <v>80.190724463133705</v>
      </c>
      <c r="U94" s="15">
        <v>-1.36274128897246E-2</v>
      </c>
      <c r="V94" s="15">
        <v>-1.7065225051706701E-3</v>
      </c>
      <c r="W94" s="15">
        <v>-1.6108028326586501E-3</v>
      </c>
      <c r="X94" s="34">
        <v>0.97594167679222299</v>
      </c>
      <c r="Y94" s="34">
        <v>0.96273232566827205</v>
      </c>
      <c r="Z94" s="34">
        <v>0.97429124432091696</v>
      </c>
      <c r="AA94" s="34">
        <v>0.97459054355275099</v>
      </c>
      <c r="AB94" s="33">
        <v>79.232870402498804</v>
      </c>
      <c r="AC94" s="33">
        <v>80.183049000601898</v>
      </c>
      <c r="AD94" s="33">
        <v>80.190724463133705</v>
      </c>
      <c r="AE94" s="15">
        <v>-1.36274128897246E-2</v>
      </c>
      <c r="AF94" s="15">
        <v>-1.7065225051706701E-3</v>
      </c>
      <c r="AG94" s="15">
        <v>-1.6108028326586501E-3</v>
      </c>
      <c r="AI94" s="12"/>
      <c r="AJ94">
        <f t="shared" si="26"/>
        <v>0</v>
      </c>
      <c r="AK94">
        <f t="shared" si="27"/>
        <v>1</v>
      </c>
      <c r="AL94">
        <f t="shared" si="34"/>
        <v>1</v>
      </c>
      <c r="AM94">
        <f t="shared" si="24"/>
        <v>1</v>
      </c>
      <c r="AN94">
        <f t="shared" si="35"/>
        <v>1</v>
      </c>
      <c r="AO94" s="28">
        <f t="shared" si="28"/>
        <v>-3.5217008480602101E-2</v>
      </c>
      <c r="AP94" s="28">
        <f t="shared" si="29"/>
        <v>3.6069684304308902E-2</v>
      </c>
      <c r="AQ94" s="28">
        <f t="shared" si="36"/>
        <v>8.5267582370680134E-4</v>
      </c>
      <c r="AR94" s="29">
        <f t="shared" si="37"/>
        <v>9.6404835941862332E-3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2.0121420406281086E-2</v>
      </c>
      <c r="BE94" s="29">
        <f t="shared" si="42"/>
        <v>8.5267582370680134E-4</v>
      </c>
      <c r="BF94" s="29">
        <f t="shared" si="43"/>
        <v>2.9761904000467305E-2</v>
      </c>
      <c r="BH94" s="29"/>
    </row>
    <row r="95" spans="1:60" x14ac:dyDescent="0.25">
      <c r="A95" s="1">
        <v>46160</v>
      </c>
      <c r="B95" s="33">
        <v>83.82</v>
      </c>
      <c r="C95" s="33">
        <v>82.27</v>
      </c>
      <c r="D95" s="15">
        <v>1.83005348139012E-2</v>
      </c>
      <c r="E95" s="15">
        <v>2.39878652374198E-2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83.82</v>
      </c>
      <c r="M95" s="33">
        <v>82.27</v>
      </c>
      <c r="N95" s="34">
        <v>0.98150799331901695</v>
      </c>
      <c r="O95" s="34">
        <v>0.96273232566827205</v>
      </c>
      <c r="P95" s="34">
        <v>0.97516845427396603</v>
      </c>
      <c r="Q95" s="34">
        <v>0.97481341453191905</v>
      </c>
      <c r="R95" s="33">
        <v>80.696223537514598</v>
      </c>
      <c r="S95" s="33">
        <v>81.665092098979301</v>
      </c>
      <c r="T95" s="33">
        <v>81.6901793605916</v>
      </c>
      <c r="U95" s="15">
        <v>-1.9314743313243201E-2</v>
      </c>
      <c r="V95" s="15">
        <v>-7.3798799107526103E-3</v>
      </c>
      <c r="W95" s="15">
        <v>-7.0727302046500297E-3</v>
      </c>
      <c r="X95" s="34">
        <v>0.98150799331901695</v>
      </c>
      <c r="Y95" s="34">
        <v>0.96273232566827205</v>
      </c>
      <c r="Z95" s="34">
        <v>0.97516845427396603</v>
      </c>
      <c r="AA95" s="34">
        <v>0.97481341453191905</v>
      </c>
      <c r="AB95" s="33">
        <v>80.696223537514598</v>
      </c>
      <c r="AC95" s="33">
        <v>81.665092098979301</v>
      </c>
      <c r="AD95" s="33">
        <v>81.6901793605916</v>
      </c>
      <c r="AE95" s="15">
        <v>-1.9314743313243201E-2</v>
      </c>
      <c r="AF95" s="15">
        <v>-7.3798799107526103E-3</v>
      </c>
      <c r="AG95" s="15">
        <v>-7.0727302046500297E-3</v>
      </c>
      <c r="AI95" s="12"/>
      <c r="AJ95">
        <f t="shared" si="26"/>
        <v>1</v>
      </c>
      <c r="AK95">
        <f t="shared" si="27"/>
        <v>0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9.6404835941862332E-3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2.0121420406281086E-2</v>
      </c>
      <c r="BE95" s="29">
        <f t="shared" si="42"/>
        <v>0</v>
      </c>
      <c r="BF95" s="29">
        <f t="shared" si="43"/>
        <v>2.9761904000467305E-2</v>
      </c>
      <c r="BH95" s="29"/>
    </row>
    <row r="96" spans="1:60" x14ac:dyDescent="0.25">
      <c r="A96" s="1">
        <v>46161</v>
      </c>
      <c r="B96" s="33">
        <v>83</v>
      </c>
      <c r="C96" s="33">
        <v>81.209999999999994</v>
      </c>
      <c r="D96" s="15">
        <v>-9.83103470032742E-3</v>
      </c>
      <c r="E96" s="15">
        <v>-1.2968128886519501E-2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83</v>
      </c>
      <c r="M96" s="33">
        <v>81.209999999999994</v>
      </c>
      <c r="N96" s="34">
        <v>0.97843373493975805</v>
      </c>
      <c r="O96" s="34">
        <v>0.96273232566827205</v>
      </c>
      <c r="P96" s="34">
        <v>0.97541321987931096</v>
      </c>
      <c r="Q96" s="34">
        <v>0.97510099095299196</v>
      </c>
      <c r="R96" s="33">
        <v>79.906783030466599</v>
      </c>
      <c r="S96" s="33">
        <v>80.938981704739206</v>
      </c>
      <c r="T96" s="33">
        <v>80.909513406149301</v>
      </c>
      <c r="U96" s="15">
        <v>-1.6177649127051101E-2</v>
      </c>
      <c r="V96" s="15">
        <v>-3.3428337913283699E-3</v>
      </c>
      <c r="W96" s="15">
        <v>-3.7069805063825001E-3</v>
      </c>
      <c r="X96" s="34">
        <v>0.97843373493975805</v>
      </c>
      <c r="Y96" s="34">
        <v>0.96273232566827205</v>
      </c>
      <c r="Z96" s="34">
        <v>0.97541321987931096</v>
      </c>
      <c r="AA96" s="34">
        <v>0.97510099095299196</v>
      </c>
      <c r="AB96" s="33">
        <v>79.906783030466599</v>
      </c>
      <c r="AC96" s="33">
        <v>80.938981704739206</v>
      </c>
      <c r="AD96" s="33">
        <v>80.909513406149301</v>
      </c>
      <c r="AE96" s="15">
        <v>-1.6177649127051101E-2</v>
      </c>
      <c r="AF96" s="15">
        <v>-3.3428337913283699E-3</v>
      </c>
      <c r="AG96" s="15">
        <v>-3.7069805063825001E-3</v>
      </c>
      <c r="AI96" s="12"/>
      <c r="AJ96">
        <f t="shared" si="26"/>
        <v>0</v>
      </c>
      <c r="AK96">
        <f t="shared" si="27"/>
        <v>0</v>
      </c>
      <c r="AL96">
        <f t="shared" si="34"/>
        <v>1</v>
      </c>
      <c r="AM96">
        <f t="shared" si="24"/>
        <v>1</v>
      </c>
      <c r="AN96">
        <f t="shared" si="35"/>
        <v>1</v>
      </c>
      <c r="AO96" s="28">
        <f t="shared" si="28"/>
        <v>-9.83103470032742E-3</v>
      </c>
      <c r="AP96" s="28">
        <f t="shared" si="29"/>
        <v>1.2968128886519501E-2</v>
      </c>
      <c r="AQ96" s="28">
        <f t="shared" si="36"/>
        <v>3.1370941861920808E-3</v>
      </c>
      <c r="AR96" s="29">
        <f t="shared" si="37"/>
        <v>1.2777577780378314E-2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2.0121420406281086E-2</v>
      </c>
      <c r="BE96" s="29">
        <f t="shared" si="42"/>
        <v>3.1370941861920808E-3</v>
      </c>
      <c r="BF96" s="29">
        <f t="shared" si="43"/>
        <v>3.2898998186659388E-2</v>
      </c>
      <c r="BH96" s="29"/>
    </row>
    <row r="97" spans="1:60" x14ac:dyDescent="0.25">
      <c r="A97" s="1">
        <v>46162</v>
      </c>
      <c r="B97" s="33">
        <v>87.31</v>
      </c>
      <c r="C97" s="33">
        <v>85.95</v>
      </c>
      <c r="D97" s="15">
        <v>5.0624396026118401E-2</v>
      </c>
      <c r="E97" s="15">
        <v>5.6727339534538797E-2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87.31</v>
      </c>
      <c r="M97" s="33">
        <v>85.95</v>
      </c>
      <c r="N97" s="34">
        <v>0.98442331920742099</v>
      </c>
      <c r="O97" s="34">
        <v>0.96273232566827205</v>
      </c>
      <c r="P97" s="34">
        <v>0.976583627788567</v>
      </c>
      <c r="Q97" s="34">
        <v>0.97570913414999605</v>
      </c>
      <c r="R97" s="33">
        <v>84.056159354096806</v>
      </c>
      <c r="S97" s="33">
        <v>85.163328227662603</v>
      </c>
      <c r="T97" s="33">
        <v>85.136067520105797</v>
      </c>
      <c r="U97" s="15">
        <v>-2.2280592635471799E-2</v>
      </c>
      <c r="V97" s="15">
        <v>-9.1948105139201698E-3</v>
      </c>
      <c r="W97" s="15">
        <v>-9.5149608899096905E-3</v>
      </c>
      <c r="X97" s="34">
        <v>0.98442331920742099</v>
      </c>
      <c r="Y97" s="34">
        <v>0.96273232566827205</v>
      </c>
      <c r="Z97" s="34">
        <v>0.976583627788567</v>
      </c>
      <c r="AA97" s="34">
        <v>0.97570913414999605</v>
      </c>
      <c r="AB97" s="33">
        <v>84.056159354096806</v>
      </c>
      <c r="AC97" s="33">
        <v>85.163328227662603</v>
      </c>
      <c r="AD97" s="33">
        <v>85.136067520105797</v>
      </c>
      <c r="AE97" s="15">
        <v>-2.2280592635471799E-2</v>
      </c>
      <c r="AF97" s="15">
        <v>-9.1948105139201698E-3</v>
      </c>
      <c r="AG97" s="15">
        <v>-9.5149608899096905E-3</v>
      </c>
      <c r="AI97" s="12"/>
      <c r="AJ97">
        <f t="shared" si="26"/>
        <v>1</v>
      </c>
      <c r="AK97">
        <f t="shared" si="27"/>
        <v>0</v>
      </c>
      <c r="AL97">
        <f t="shared" si="34"/>
        <v>1</v>
      </c>
      <c r="AM97">
        <f t="shared" si="24"/>
        <v>1</v>
      </c>
      <c r="AN97">
        <f t="shared" si="35"/>
        <v>1</v>
      </c>
      <c r="AO97" s="28">
        <f t="shared" si="28"/>
        <v>5.0624396026118401E-2</v>
      </c>
      <c r="AP97" s="28">
        <f t="shared" si="29"/>
        <v>-5.6727339534538797E-2</v>
      </c>
      <c r="AQ97" s="28">
        <f t="shared" si="36"/>
        <v>-6.1029435084203956E-3</v>
      </c>
      <c r="AR97" s="29">
        <f t="shared" si="37"/>
        <v>6.6746342719579185E-3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2.0121420406281086E-2</v>
      </c>
      <c r="BE97" s="29">
        <f t="shared" si="42"/>
        <v>-6.1029435084203956E-3</v>
      </c>
      <c r="BF97" s="29">
        <f t="shared" si="43"/>
        <v>2.6796054678238992E-2</v>
      </c>
      <c r="BH97" s="29"/>
    </row>
    <row r="98" spans="1:60" x14ac:dyDescent="0.25">
      <c r="A98" s="1">
        <v>46163</v>
      </c>
      <c r="B98" s="33">
        <v>88.83</v>
      </c>
      <c r="C98" s="33">
        <v>87.03</v>
      </c>
      <c r="D98" s="15">
        <v>1.7259426958893199E-2</v>
      </c>
      <c r="E98" s="15">
        <v>1.2487154972564101E-2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88.83</v>
      </c>
      <c r="M98" s="33">
        <v>87.03</v>
      </c>
      <c r="N98" s="34">
        <v>0.97973657548125603</v>
      </c>
      <c r="O98" s="34">
        <v>0.96273232566827205</v>
      </c>
      <c r="P98" s="34">
        <v>0.97804486226853604</v>
      </c>
      <c r="Q98" s="34">
        <v>0.97577899541503399</v>
      </c>
      <c r="R98" s="33">
        <v>85.5195124891126</v>
      </c>
      <c r="S98" s="33">
        <v>86.749923656458407</v>
      </c>
      <c r="T98" s="33">
        <v>86.672242386544198</v>
      </c>
      <c r="U98" s="15">
        <v>-1.7508320649142501E-2</v>
      </c>
      <c r="V98" s="15">
        <v>-3.2233480156661099E-3</v>
      </c>
      <c r="W98" s="15">
        <v>-4.11921129407014E-3</v>
      </c>
      <c r="X98" s="34">
        <v>0.97973657548125603</v>
      </c>
      <c r="Y98" s="34">
        <v>0.96273232566827205</v>
      </c>
      <c r="Z98" s="34">
        <v>0.97804486226853604</v>
      </c>
      <c r="AA98" s="34">
        <v>0.97577899541503399</v>
      </c>
      <c r="AB98" s="33">
        <v>85.5195124891126</v>
      </c>
      <c r="AC98" s="33">
        <v>86.749923656458407</v>
      </c>
      <c r="AD98" s="33">
        <v>86.672242386544198</v>
      </c>
      <c r="AE98" s="15">
        <v>-1.7508320649142501E-2</v>
      </c>
      <c r="AF98" s="15">
        <v>-3.2233480156661099E-3</v>
      </c>
      <c r="AG98" s="15">
        <v>-4.11921129407014E-3</v>
      </c>
      <c r="AI98" s="12"/>
      <c r="AJ98">
        <f t="shared" si="26"/>
        <v>1</v>
      </c>
      <c r="AK98">
        <f t="shared" si="27"/>
        <v>0</v>
      </c>
      <c r="AL98">
        <f t="shared" si="34"/>
        <v>1</v>
      </c>
      <c r="AM98">
        <f t="shared" si="24"/>
        <v>1</v>
      </c>
      <c r="AN98">
        <f t="shared" si="35"/>
        <v>1</v>
      </c>
      <c r="AO98" s="28">
        <f t="shared" si="28"/>
        <v>1.7259426958893199E-2</v>
      </c>
      <c r="AP98" s="28">
        <f t="shared" si="29"/>
        <v>-1.2487154972564101E-2</v>
      </c>
      <c r="AQ98" s="28">
        <f t="shared" si="36"/>
        <v>4.7722719863290981E-3</v>
      </c>
      <c r="AR98" s="29">
        <f t="shared" si="37"/>
        <v>1.1446906258287017E-2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2.0121420406281086E-2</v>
      </c>
      <c r="BE98" s="29">
        <f t="shared" si="42"/>
        <v>4.7722719863290981E-3</v>
      </c>
      <c r="BF98" s="29">
        <f t="shared" si="43"/>
        <v>3.1568326664568089E-2</v>
      </c>
      <c r="BH98" s="29"/>
    </row>
    <row r="99" spans="1:60" x14ac:dyDescent="0.25">
      <c r="A99" s="1">
        <v>46164</v>
      </c>
      <c r="B99" s="33">
        <v>88.86</v>
      </c>
      <c r="C99" s="33">
        <v>86.82</v>
      </c>
      <c r="D99" s="15">
        <v>3.37666726152801E-4</v>
      </c>
      <c r="E99" s="15">
        <v>-2.4158769299748801E-3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88.86</v>
      </c>
      <c r="M99" s="33">
        <v>86.82</v>
      </c>
      <c r="N99" s="34">
        <v>0.97704253882511805</v>
      </c>
      <c r="O99" s="34">
        <v>0.96273232566827205</v>
      </c>
      <c r="P99" s="34">
        <v>0.97834020010669398</v>
      </c>
      <c r="Q99" s="34">
        <v>0.97598678423826801</v>
      </c>
      <c r="R99" s="33">
        <v>85.548394458882697</v>
      </c>
      <c r="S99" s="33">
        <v>86.909066461182107</v>
      </c>
      <c r="T99" s="33">
        <v>86.707721532579896</v>
      </c>
      <c r="U99" s="15">
        <v>-1.47547769930148E-2</v>
      </c>
      <c r="V99" s="15">
        <v>1.0253490771546499E-3</v>
      </c>
      <c r="W99" s="15">
        <v>-1.2940696978789099E-3</v>
      </c>
      <c r="X99" s="34">
        <v>0.97704253882511805</v>
      </c>
      <c r="Y99" s="34">
        <v>0.96273232566827205</v>
      </c>
      <c r="Z99" s="34">
        <v>0.97834020010669398</v>
      </c>
      <c r="AA99" s="34">
        <v>0.97598678423826801</v>
      </c>
      <c r="AB99" s="33">
        <v>85.548394458882697</v>
      </c>
      <c r="AC99" s="33">
        <v>86.909066461182107</v>
      </c>
      <c r="AD99" s="33">
        <v>86.707721532579896</v>
      </c>
      <c r="AE99" s="15">
        <v>-1.47547769930148E-2</v>
      </c>
      <c r="AF99" s="15">
        <v>1.0253490771546499E-3</v>
      </c>
      <c r="AG99" s="15">
        <v>-1.2940696978789099E-3</v>
      </c>
      <c r="AI99" s="12"/>
      <c r="AJ99">
        <f t="shared" si="26"/>
        <v>0</v>
      </c>
      <c r="AK99">
        <f t="shared" si="27"/>
        <v>1</v>
      </c>
      <c r="AL99">
        <f t="shared" si="34"/>
        <v>1</v>
      </c>
      <c r="AM99">
        <f t="shared" si="24"/>
        <v>1</v>
      </c>
      <c r="AN99">
        <f t="shared" si="35"/>
        <v>1</v>
      </c>
      <c r="AO99" s="28">
        <f t="shared" si="28"/>
        <v>3.37666726152801E-4</v>
      </c>
      <c r="AP99" s="28">
        <f t="shared" si="29"/>
        <v>2.4158769299748801E-3</v>
      </c>
      <c r="AQ99" s="28">
        <f t="shared" si="36"/>
        <v>2.7535436561276811E-3</v>
      </c>
      <c r="AR99" s="29">
        <f t="shared" si="37"/>
        <v>1.4200449914414697E-2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2.0121420406281086E-2</v>
      </c>
      <c r="BE99" s="29">
        <f t="shared" si="42"/>
        <v>2.7535436561276811E-3</v>
      </c>
      <c r="BF99" s="29">
        <f t="shared" si="43"/>
        <v>3.4321870320695773E-2</v>
      </c>
      <c r="BH99" s="29"/>
    </row>
    <row r="100" spans="1:60" x14ac:dyDescent="0.25">
      <c r="A100" s="1">
        <v>46168</v>
      </c>
      <c r="B100" s="33">
        <v>89.29</v>
      </c>
      <c r="C100" s="33">
        <v>87.52</v>
      </c>
      <c r="D100" s="15">
        <v>4.8274020213627403E-3</v>
      </c>
      <c r="E100" s="15">
        <v>8.0303288022236796E-3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89.29</v>
      </c>
      <c r="M100" s="33">
        <v>87.52</v>
      </c>
      <c r="N100" s="34">
        <v>0.980176951506327</v>
      </c>
      <c r="O100" s="34">
        <v>0.96273232566827205</v>
      </c>
      <c r="P100" s="34">
        <v>0.97889550003399495</v>
      </c>
      <c r="Q100" s="34">
        <v>0.97621278999052796</v>
      </c>
      <c r="R100" s="33">
        <v>85.96236935892</v>
      </c>
      <c r="S100" s="33">
        <v>87.355996467526694</v>
      </c>
      <c r="T100" s="33">
        <v>87.145859964634894</v>
      </c>
      <c r="U100" s="15">
        <v>-1.7957703773875601E-2</v>
      </c>
      <c r="V100" s="15">
        <v>-1.87565570881753E-3</v>
      </c>
      <c r="W100" s="15">
        <v>-4.2840725447464796E-3</v>
      </c>
      <c r="X100" s="34">
        <v>0.980176951506327</v>
      </c>
      <c r="Y100" s="34">
        <v>0.96273232566827205</v>
      </c>
      <c r="Z100" s="34">
        <v>0.97889550003399495</v>
      </c>
      <c r="AA100" s="34">
        <v>0.97621278999052796</v>
      </c>
      <c r="AB100" s="33">
        <v>85.96236935892</v>
      </c>
      <c r="AC100" s="33">
        <v>87.355996467526694</v>
      </c>
      <c r="AD100" s="33">
        <v>87.145859964634894</v>
      </c>
      <c r="AE100" s="15">
        <v>-1.7957703773875601E-2</v>
      </c>
      <c r="AF100" s="15">
        <v>-1.87565570881753E-3</v>
      </c>
      <c r="AG100" s="15">
        <v>-4.2840725447464796E-3</v>
      </c>
      <c r="AI100" s="12"/>
      <c r="AJ100">
        <f t="shared" si="26"/>
        <v>1</v>
      </c>
      <c r="AK100">
        <f t="shared" si="27"/>
        <v>0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1.4200449914414697E-2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2.0121420406281086E-2</v>
      </c>
      <c r="BE100" s="29">
        <f t="shared" si="42"/>
        <v>0</v>
      </c>
      <c r="BF100" s="29">
        <f t="shared" si="43"/>
        <v>3.4321870320695773E-2</v>
      </c>
      <c r="BH100" s="29"/>
    </row>
    <row r="101" spans="1:60" x14ac:dyDescent="0.25">
      <c r="A101" s="1">
        <v>46169</v>
      </c>
      <c r="B101" s="33">
        <v>90.96</v>
      </c>
      <c r="C101" s="33">
        <v>88.35</v>
      </c>
      <c r="D101" s="15">
        <v>1.8530349913155299E-2</v>
      </c>
      <c r="E101" s="15">
        <v>9.43886009203437E-3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90.96</v>
      </c>
      <c r="M101" s="33">
        <v>88.35</v>
      </c>
      <c r="N101" s="34">
        <v>0.97130606860158297</v>
      </c>
      <c r="O101" s="34">
        <v>0.96273232566827205</v>
      </c>
      <c r="P101" s="34">
        <v>0.97820407102180296</v>
      </c>
      <c r="Q101" s="34">
        <v>0.97607250416584102</v>
      </c>
      <c r="R101" s="33">
        <v>87.570132342785996</v>
      </c>
      <c r="S101" s="33">
        <v>89.040334683092198</v>
      </c>
      <c r="T101" s="33">
        <v>88.796315377538406</v>
      </c>
      <c r="U101" s="15">
        <v>-8.86621395275459E-3</v>
      </c>
      <c r="V101" s="15">
        <v>7.7832669893560498E-3</v>
      </c>
      <c r="W101" s="15">
        <v>5.0389568753512401E-3</v>
      </c>
      <c r="X101" s="34">
        <v>0.97130606860158297</v>
      </c>
      <c r="Y101" s="34">
        <v>0.96273232566827205</v>
      </c>
      <c r="Z101" s="34">
        <v>0.97820407102180296</v>
      </c>
      <c r="AA101" s="34">
        <v>0.97607250416584102</v>
      </c>
      <c r="AB101" s="33">
        <v>87.570132342785996</v>
      </c>
      <c r="AC101" s="33">
        <v>89.040334683092198</v>
      </c>
      <c r="AD101" s="33">
        <v>88.796315377538406</v>
      </c>
      <c r="AE101" s="15">
        <v>-8.86621395275459E-3</v>
      </c>
      <c r="AF101" s="15">
        <v>7.7832669893560498E-3</v>
      </c>
      <c r="AG101" s="15">
        <v>5.0389568753512401E-3</v>
      </c>
      <c r="AI101" s="12"/>
      <c r="AJ101">
        <f t="shared" si="26"/>
        <v>0</v>
      </c>
      <c r="AK101">
        <f t="shared" si="27"/>
        <v>1</v>
      </c>
      <c r="AL101">
        <f t="shared" si="34"/>
        <v>1</v>
      </c>
      <c r="AM101">
        <f t="shared" si="24"/>
        <v>1</v>
      </c>
      <c r="AN101">
        <f t="shared" si="35"/>
        <v>1</v>
      </c>
      <c r="AO101" s="28">
        <f t="shared" si="28"/>
        <v>1.8530349913155299E-2</v>
      </c>
      <c r="AP101" s="28">
        <f t="shared" si="29"/>
        <v>-9.43886009203437E-3</v>
      </c>
      <c r="AQ101" s="28">
        <f t="shared" si="36"/>
        <v>9.0914898211209294E-3</v>
      </c>
      <c r="AR101" s="29">
        <f t="shared" si="37"/>
        <v>2.3291939735535627E-2</v>
      </c>
      <c r="AT101" s="12"/>
      <c r="AU101">
        <f t="shared" si="30"/>
        <v>1</v>
      </c>
      <c r="AV101">
        <f t="shared" si="31"/>
        <v>0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2.0121420406281086E-2</v>
      </c>
      <c r="BE101" s="29">
        <f t="shared" si="42"/>
        <v>9.0914898211209294E-3</v>
      </c>
      <c r="BF101" s="29">
        <f t="shared" si="43"/>
        <v>4.3413360141816702E-2</v>
      </c>
      <c r="BH101" s="29"/>
    </row>
    <row r="102" spans="1:60" x14ac:dyDescent="0.25">
      <c r="A102" s="1">
        <v>46170</v>
      </c>
      <c r="B102" s="33">
        <v>89.75</v>
      </c>
      <c r="C102" s="33">
        <v>87.59</v>
      </c>
      <c r="D102" s="15">
        <v>-1.33918220738923E-2</v>
      </c>
      <c r="E102" s="15">
        <v>-8.6393625907077408E-3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89.75</v>
      </c>
      <c r="M102" s="33">
        <v>87.59</v>
      </c>
      <c r="N102" s="34">
        <v>0.97593314763231198</v>
      </c>
      <c r="O102" s="34">
        <v>0.96273232566827205</v>
      </c>
      <c r="P102" s="34">
        <v>0.97812761998534004</v>
      </c>
      <c r="Q102" s="34">
        <v>0.97630079270516101</v>
      </c>
      <c r="R102" s="33">
        <v>86.4052262287274</v>
      </c>
      <c r="S102" s="33">
        <v>87.793815374206801</v>
      </c>
      <c r="T102" s="33">
        <v>87.602507248884194</v>
      </c>
      <c r="U102" s="15">
        <v>-1.3618673435939E-2</v>
      </c>
      <c r="V102" s="15">
        <v>2.3242220557581801E-3</v>
      </c>
      <c r="W102" s="15">
        <v>1.4278292036462001E-4</v>
      </c>
      <c r="X102" s="34">
        <v>0.97593314763231198</v>
      </c>
      <c r="Y102" s="34">
        <v>0.96273232566827205</v>
      </c>
      <c r="Z102" s="34">
        <v>0.97812761998534004</v>
      </c>
      <c r="AA102" s="34">
        <v>0.97630079270516101</v>
      </c>
      <c r="AB102" s="33">
        <v>86.4052262287274</v>
      </c>
      <c r="AC102" s="33">
        <v>87.793815374206801</v>
      </c>
      <c r="AD102" s="33">
        <v>87.602507248884194</v>
      </c>
      <c r="AE102" s="15">
        <v>-1.3618673435939E-2</v>
      </c>
      <c r="AF102" s="15">
        <v>2.3242220557581801E-3</v>
      </c>
      <c r="AG102" s="15">
        <v>1.4278292036462001E-4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2.3291939735535627E-2</v>
      </c>
      <c r="AT102" s="12"/>
      <c r="AU102">
        <f t="shared" si="30"/>
        <v>0</v>
      </c>
      <c r="AV102">
        <f t="shared" si="31"/>
        <v>1</v>
      </c>
      <c r="AW102">
        <f t="shared" si="38"/>
        <v>1</v>
      </c>
      <c r="AX102">
        <f t="shared" si="25"/>
        <v>1</v>
      </c>
      <c r="AY102">
        <f t="shared" si="39"/>
        <v>1</v>
      </c>
      <c r="AZ102" s="28">
        <f t="shared" si="32"/>
        <v>1.33918220738923E-2</v>
      </c>
      <c r="BA102" s="28">
        <f t="shared" si="33"/>
        <v>-8.6393625907077408E-3</v>
      </c>
      <c r="BB102" s="28">
        <f t="shared" si="40"/>
        <v>4.7524594831845589E-3</v>
      </c>
      <c r="BC102" s="29">
        <f t="shared" si="41"/>
        <v>2.4873879889465645E-2</v>
      </c>
      <c r="BE102" s="29">
        <f t="shared" si="42"/>
        <v>4.7524594831845589E-3</v>
      </c>
      <c r="BF102" s="29">
        <f t="shared" si="43"/>
        <v>4.8165819625001258E-2</v>
      </c>
      <c r="BH102" s="29"/>
    </row>
    <row r="103" spans="1:60" x14ac:dyDescent="0.25">
      <c r="A103" s="1">
        <v>46171</v>
      </c>
      <c r="B103" s="33">
        <v>89.78</v>
      </c>
      <c r="C103" s="33">
        <v>88.08</v>
      </c>
      <c r="D103" s="15">
        <v>3.3420598539779203E-4</v>
      </c>
      <c r="E103" s="15">
        <v>5.5786562394267401E-3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89.78</v>
      </c>
      <c r="M103" s="33">
        <v>88.08</v>
      </c>
      <c r="N103" s="34">
        <v>0.98106482512809001</v>
      </c>
      <c r="O103" s="34">
        <v>0.96273232566827205</v>
      </c>
      <c r="P103" s="34">
        <v>0.97855668314331101</v>
      </c>
      <c r="Q103" s="34">
        <v>0.97641715688515396</v>
      </c>
      <c r="R103" s="33">
        <v>86.434108198497498</v>
      </c>
      <c r="S103" s="33">
        <v>87.816297722283807</v>
      </c>
      <c r="T103" s="33">
        <v>87.652285169069401</v>
      </c>
      <c r="U103" s="15">
        <v>-1.88631236899682E-2</v>
      </c>
      <c r="V103" s="15">
        <v>-2.9983857385830199E-3</v>
      </c>
      <c r="W103" s="15">
        <v>-4.8678098631418903E-3</v>
      </c>
      <c r="X103" s="34">
        <v>0.98106482512809001</v>
      </c>
      <c r="Y103" s="34">
        <v>0.96273232566827205</v>
      </c>
      <c r="Z103" s="34">
        <v>0.97855668314331101</v>
      </c>
      <c r="AA103" s="34">
        <v>0.97641715688515396</v>
      </c>
      <c r="AB103" s="33">
        <v>86.434108198497498</v>
      </c>
      <c r="AC103" s="33">
        <v>87.816297722283807</v>
      </c>
      <c r="AD103" s="33">
        <v>87.652285169069401</v>
      </c>
      <c r="AE103" s="15">
        <v>-1.88631236899682E-2</v>
      </c>
      <c r="AF103" s="15">
        <v>-2.9983857385830199E-3</v>
      </c>
      <c r="AG103" s="15">
        <v>-4.8678098631418903E-3</v>
      </c>
      <c r="AI103" s="12"/>
      <c r="AJ103">
        <f t="shared" si="26"/>
        <v>1</v>
      </c>
      <c r="AK103">
        <f t="shared" si="27"/>
        <v>0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2.3291939735535627E-2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2.4873879889465645E-2</v>
      </c>
      <c r="BE103" s="29">
        <f t="shared" si="42"/>
        <v>0</v>
      </c>
      <c r="BF103" s="29">
        <f t="shared" si="43"/>
        <v>4.8165819625001258E-2</v>
      </c>
      <c r="BH103" s="29"/>
    </row>
    <row r="104" spans="1:60" x14ac:dyDescent="0.25">
      <c r="A104" s="1">
        <v>46174</v>
      </c>
      <c r="B104" s="33">
        <v>90.11</v>
      </c>
      <c r="C104" s="33">
        <v>87.85</v>
      </c>
      <c r="D104" s="15">
        <v>3.6689128931598099E-3</v>
      </c>
      <c r="E104" s="15">
        <v>-2.61467778131837E-3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90.11</v>
      </c>
      <c r="M104" s="33">
        <v>87.85</v>
      </c>
      <c r="N104" s="34">
        <v>0.97491954278104498</v>
      </c>
      <c r="O104" s="34">
        <v>0.96273232566827205</v>
      </c>
      <c r="P104" s="34">
        <v>0.97845446974219297</v>
      </c>
      <c r="Q104" s="34">
        <v>0.97637285703155496</v>
      </c>
      <c r="R104" s="33">
        <v>86.751809865967999</v>
      </c>
      <c r="S104" s="33">
        <v>88.177742718043703</v>
      </c>
      <c r="T104" s="33">
        <v>87.984950006921196</v>
      </c>
      <c r="U104" s="15">
        <v>-1.25795330154899E-2</v>
      </c>
      <c r="V104" s="15">
        <v>3.7237663984281901E-3</v>
      </c>
      <c r="W104" s="15">
        <v>1.5349625704375099E-3</v>
      </c>
      <c r="X104" s="34">
        <v>0.97491954278104498</v>
      </c>
      <c r="Y104" s="34">
        <v>0.96273232566827205</v>
      </c>
      <c r="Z104" s="34">
        <v>0.97845446974219297</v>
      </c>
      <c r="AA104" s="34">
        <v>0.97637285703155496</v>
      </c>
      <c r="AB104" s="33">
        <v>86.751809865967999</v>
      </c>
      <c r="AC104" s="33">
        <v>88.177742718043703</v>
      </c>
      <c r="AD104" s="33">
        <v>87.984950006921196</v>
      </c>
      <c r="AE104" s="15">
        <v>-1.25795330154899E-2</v>
      </c>
      <c r="AF104" s="15">
        <v>3.7237663984281901E-3</v>
      </c>
      <c r="AG104" s="15">
        <v>1.5349625704375099E-3</v>
      </c>
      <c r="AI104" s="12"/>
      <c r="AJ104">
        <f t="shared" si="26"/>
        <v>0</v>
      </c>
      <c r="AK104">
        <f t="shared" si="27"/>
        <v>1</v>
      </c>
      <c r="AL104">
        <f t="shared" si="34"/>
        <v>1</v>
      </c>
      <c r="AM104">
        <f t="shared" si="24"/>
        <v>1</v>
      </c>
      <c r="AN104">
        <f t="shared" si="35"/>
        <v>1</v>
      </c>
      <c r="AO104" s="28">
        <f t="shared" si="28"/>
        <v>3.6689128931598099E-3</v>
      </c>
      <c r="AP104" s="28">
        <f t="shared" si="29"/>
        <v>2.61467778131837E-3</v>
      </c>
      <c r="AQ104" s="28">
        <f t="shared" si="36"/>
        <v>6.2835906744781803E-3</v>
      </c>
      <c r="AR104" s="29">
        <f t="shared" si="37"/>
        <v>2.9575530410013807E-2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2.4873879889465645E-2</v>
      </c>
      <c r="BE104" s="29">
        <f t="shared" si="42"/>
        <v>6.2835906744781803E-3</v>
      </c>
      <c r="BF104" s="29">
        <f t="shared" si="43"/>
        <v>5.4449410299479438E-2</v>
      </c>
      <c r="BH104" s="29"/>
    </row>
    <row r="105" spans="1:60" x14ac:dyDescent="0.25">
      <c r="A105" s="1">
        <v>46175</v>
      </c>
      <c r="B105" s="33">
        <v>90.9</v>
      </c>
      <c r="C105" s="33">
        <v>89.18</v>
      </c>
      <c r="D105" s="15">
        <v>8.7288549364873194E-3</v>
      </c>
      <c r="E105" s="15">
        <v>1.50259845662244E-2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90.9</v>
      </c>
      <c r="M105" s="33">
        <v>89.18</v>
      </c>
      <c r="N105" s="34">
        <v>0.98107810781078097</v>
      </c>
      <c r="O105" s="34">
        <v>0.96273232566827205</v>
      </c>
      <c r="P105" s="34">
        <v>0.978411481191369</v>
      </c>
      <c r="Q105" s="34">
        <v>0.97678996773266802</v>
      </c>
      <c r="R105" s="33">
        <v>87.512368403245901</v>
      </c>
      <c r="S105" s="33">
        <v>88.941511299565306</v>
      </c>
      <c r="T105" s="33">
        <v>88.752292704168298</v>
      </c>
      <c r="U105" s="15">
        <v>-1.88766626452272E-2</v>
      </c>
      <c r="V105" s="15">
        <v>-2.6778219116392801E-3</v>
      </c>
      <c r="W105" s="15">
        <v>-4.8075378910747398E-3</v>
      </c>
      <c r="X105" s="34">
        <v>0.98107810781078097</v>
      </c>
      <c r="Y105" s="34">
        <v>0.96273232566827205</v>
      </c>
      <c r="Z105" s="34">
        <v>0.978411481191369</v>
      </c>
      <c r="AA105" s="34">
        <v>0.97678996773266802</v>
      </c>
      <c r="AB105" s="33">
        <v>87.512368403245901</v>
      </c>
      <c r="AC105" s="33">
        <v>88.941511299565306</v>
      </c>
      <c r="AD105" s="33">
        <v>88.752292704168298</v>
      </c>
      <c r="AE105" s="15">
        <v>-1.88766626452272E-2</v>
      </c>
      <c r="AF105" s="15">
        <v>-2.6778219116392801E-3</v>
      </c>
      <c r="AG105" s="15">
        <v>-4.8075378910747398E-3</v>
      </c>
      <c r="AI105" s="12"/>
      <c r="AJ105">
        <f t="shared" si="26"/>
        <v>1</v>
      </c>
      <c r="AK105">
        <f t="shared" si="27"/>
        <v>0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2.9575530410013807E-2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2.4873879889465645E-2</v>
      </c>
      <c r="BE105" s="29">
        <f t="shared" si="42"/>
        <v>0</v>
      </c>
      <c r="BF105" s="29">
        <f t="shared" si="43"/>
        <v>5.4449410299479438E-2</v>
      </c>
      <c r="BH105" s="29"/>
    </row>
    <row r="106" spans="1:60" x14ac:dyDescent="0.25">
      <c r="A106" s="1">
        <v>46176</v>
      </c>
      <c r="B106" s="33">
        <v>89.46</v>
      </c>
      <c r="C106" s="33">
        <v>87.57</v>
      </c>
      <c r="D106" s="15">
        <v>-1.5968403178731199E-2</v>
      </c>
      <c r="E106" s="15">
        <v>-1.8218325665197599E-2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89.46</v>
      </c>
      <c r="M106" s="33">
        <v>87.57</v>
      </c>
      <c r="N106" s="34">
        <v>0.97887323943661897</v>
      </c>
      <c r="O106" s="34">
        <v>0.96273232566827205</v>
      </c>
      <c r="P106" s="34">
        <v>0.97845543164105497</v>
      </c>
      <c r="Q106" s="34">
        <v>0.97693432576018302</v>
      </c>
      <c r="R106" s="33">
        <v>86.126033854283605</v>
      </c>
      <c r="S106" s="33">
        <v>87.528691107379899</v>
      </c>
      <c r="T106" s="33">
        <v>87.383630513364395</v>
      </c>
      <c r="U106" s="15">
        <v>-1.66267401587607E-2</v>
      </c>
      <c r="V106" s="15">
        <v>-4.7183554743014899E-4</v>
      </c>
      <c r="W106" s="15">
        <v>-2.1305023117672E-3</v>
      </c>
      <c r="X106" s="34">
        <v>0.97887323943661897</v>
      </c>
      <c r="Y106" s="34">
        <v>0.96273232566827205</v>
      </c>
      <c r="Z106" s="34">
        <v>0.97845543164105497</v>
      </c>
      <c r="AA106" s="34">
        <v>0.97693432576018302</v>
      </c>
      <c r="AB106" s="33">
        <v>86.126033854283605</v>
      </c>
      <c r="AC106" s="33">
        <v>87.528691107379899</v>
      </c>
      <c r="AD106" s="33">
        <v>87.383630513364395</v>
      </c>
      <c r="AE106" s="15">
        <v>-1.66267401587607E-2</v>
      </c>
      <c r="AF106" s="15">
        <v>-4.7183554743014899E-4</v>
      </c>
      <c r="AG106" s="15">
        <v>-2.1305023117672E-3</v>
      </c>
      <c r="AI106" s="12"/>
      <c r="AJ106">
        <f t="shared" si="26"/>
        <v>0</v>
      </c>
      <c r="AK106">
        <f t="shared" si="27"/>
        <v>0</v>
      </c>
      <c r="AL106">
        <f t="shared" si="34"/>
        <v>1</v>
      </c>
      <c r="AM106">
        <f t="shared" si="24"/>
        <v>1</v>
      </c>
      <c r="AN106">
        <f t="shared" si="35"/>
        <v>1</v>
      </c>
      <c r="AO106" s="28">
        <f t="shared" si="28"/>
        <v>-1.5968403178731199E-2</v>
      </c>
      <c r="AP106" s="28">
        <f t="shared" si="29"/>
        <v>1.8218325665197599E-2</v>
      </c>
      <c r="AQ106" s="28">
        <f t="shared" si="36"/>
        <v>2.2499224864663998E-3</v>
      </c>
      <c r="AR106" s="29">
        <f t="shared" si="37"/>
        <v>3.1825452896480207E-2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2.4873879889465645E-2</v>
      </c>
      <c r="BE106" s="29">
        <f t="shared" si="42"/>
        <v>2.2499224864663998E-3</v>
      </c>
      <c r="BF106" s="29">
        <f t="shared" si="43"/>
        <v>5.6699332785945841E-2</v>
      </c>
      <c r="BH106" s="29"/>
    </row>
    <row r="107" spans="1:60" x14ac:dyDescent="0.25">
      <c r="A107" s="1">
        <v>46177</v>
      </c>
      <c r="B107" s="33">
        <v>91.88</v>
      </c>
      <c r="C107" s="33">
        <v>89.78</v>
      </c>
      <c r="D107" s="15">
        <v>2.6691779816195398E-2</v>
      </c>
      <c r="E107" s="15">
        <v>2.4923759819653099E-2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91.88</v>
      </c>
      <c r="M107" s="33">
        <v>89.78</v>
      </c>
      <c r="N107" s="34">
        <v>0.977144101001306</v>
      </c>
      <c r="O107" s="34">
        <v>0.96273232566827205</v>
      </c>
      <c r="P107" s="34">
        <v>0.97772750982044399</v>
      </c>
      <c r="Q107" s="34">
        <v>0.97715556880450505</v>
      </c>
      <c r="R107" s="33">
        <v>88.455846082400797</v>
      </c>
      <c r="S107" s="33">
        <v>89.900485059180099</v>
      </c>
      <c r="T107" s="33">
        <v>89.760725850845603</v>
      </c>
      <c r="U107" s="15">
        <v>-1.4858720162218401E-2</v>
      </c>
      <c r="V107" s="15">
        <v>1.34110365072529E-3</v>
      </c>
      <c r="W107" s="15">
        <v>-2.1470503850353501E-4</v>
      </c>
      <c r="X107" s="34">
        <v>0.977144101001306</v>
      </c>
      <c r="Y107" s="34">
        <v>0.96273232566827205</v>
      </c>
      <c r="Z107" s="34">
        <v>0.97772750982044399</v>
      </c>
      <c r="AA107" s="34">
        <v>0.97715556880450505</v>
      </c>
      <c r="AB107" s="33">
        <v>88.455846082400797</v>
      </c>
      <c r="AC107" s="33">
        <v>89.900485059180099</v>
      </c>
      <c r="AD107" s="33">
        <v>89.760725850845603</v>
      </c>
      <c r="AE107" s="15">
        <v>-1.4858720162218401E-2</v>
      </c>
      <c r="AF107" s="15">
        <v>1.34110365072529E-3</v>
      </c>
      <c r="AG107" s="15">
        <v>-2.1470503850353501E-4</v>
      </c>
      <c r="AI107" s="12"/>
      <c r="AJ107">
        <f t="shared" si="26"/>
        <v>0</v>
      </c>
      <c r="AK107">
        <f t="shared" si="27"/>
        <v>1</v>
      </c>
      <c r="AL107">
        <f t="shared" si="34"/>
        <v>1</v>
      </c>
      <c r="AM107">
        <f t="shared" si="24"/>
        <v>1</v>
      </c>
      <c r="AN107">
        <f t="shared" si="35"/>
        <v>1</v>
      </c>
      <c r="AO107" s="28">
        <f t="shared" si="28"/>
        <v>2.6691779816195398E-2</v>
      </c>
      <c r="AP107" s="28">
        <f t="shared" si="29"/>
        <v>-2.4923759819653099E-2</v>
      </c>
      <c r="AQ107" s="28">
        <f t="shared" si="36"/>
        <v>1.7680199965422992E-3</v>
      </c>
      <c r="AR107" s="29">
        <f t="shared" si="37"/>
        <v>3.3593472893022502E-2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2.4873879889465645E-2</v>
      </c>
      <c r="BE107" s="29">
        <f t="shared" si="42"/>
        <v>1.7680199965422992E-3</v>
      </c>
      <c r="BF107" s="29">
        <f t="shared" si="43"/>
        <v>5.8467352782488144E-2</v>
      </c>
      <c r="BH107" s="29"/>
    </row>
    <row r="108" spans="1:60" x14ac:dyDescent="0.25">
      <c r="A108" s="1">
        <v>46178</v>
      </c>
      <c r="B108" s="33">
        <v>90.49</v>
      </c>
      <c r="C108" s="33">
        <v>88.66</v>
      </c>
      <c r="D108" s="15">
        <v>-1.5244030457855599E-2</v>
      </c>
      <c r="E108" s="15">
        <v>-1.25534040368786E-2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90.49</v>
      </c>
      <c r="M108" s="33">
        <v>88.66</v>
      </c>
      <c r="N108" s="34">
        <v>0.97977677091391302</v>
      </c>
      <c r="O108" s="34">
        <v>0.96273232566827205</v>
      </c>
      <c r="P108" s="34">
        <v>0.977731529363709</v>
      </c>
      <c r="Q108" s="34">
        <v>0.97788819581612296</v>
      </c>
      <c r="R108" s="33">
        <v>87.117648149721902</v>
      </c>
      <c r="S108" s="33">
        <v>88.474562363651899</v>
      </c>
      <c r="T108" s="33">
        <v>88.4228074211197</v>
      </c>
      <c r="U108" s="15">
        <v>-1.7549346583195201E-2</v>
      </c>
      <c r="V108" s="15">
        <v>-2.09374953839423E-3</v>
      </c>
      <c r="W108" s="15">
        <v>-2.6788904488772099E-3</v>
      </c>
      <c r="X108" s="34">
        <v>0.97977677091391302</v>
      </c>
      <c r="Y108" s="34">
        <v>0.96273232566827205</v>
      </c>
      <c r="Z108" s="34">
        <v>0.977731529363709</v>
      </c>
      <c r="AA108" s="34">
        <v>0.97788819581612296</v>
      </c>
      <c r="AB108" s="33">
        <v>87.117648149721902</v>
      </c>
      <c r="AC108" s="33">
        <v>88.474562363651899</v>
      </c>
      <c r="AD108" s="33">
        <v>88.4228074211197</v>
      </c>
      <c r="AE108" s="15">
        <v>-1.7549346583195201E-2</v>
      </c>
      <c r="AF108" s="15">
        <v>-2.09374953839423E-3</v>
      </c>
      <c r="AG108" s="15">
        <v>-2.6788904488772099E-3</v>
      </c>
      <c r="AI108" s="12"/>
      <c r="AJ108">
        <f t="shared" si="26"/>
        <v>0</v>
      </c>
      <c r="AK108">
        <f t="shared" si="27"/>
        <v>0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3.3593472893022502E-2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2.4873879889465645E-2</v>
      </c>
      <c r="BE108" s="29">
        <f t="shared" si="42"/>
        <v>0</v>
      </c>
      <c r="BF108" s="29">
        <f t="shared" si="43"/>
        <v>5.8467352782488144E-2</v>
      </c>
      <c r="BH108" s="29"/>
    </row>
    <row r="109" spans="1:60" x14ac:dyDescent="0.25">
      <c r="A109" s="1">
        <v>46181</v>
      </c>
      <c r="B109" s="33">
        <v>90.74</v>
      </c>
      <c r="C109" s="33">
        <v>89.03</v>
      </c>
      <c r="D109" s="15">
        <v>2.7589268727758499E-3</v>
      </c>
      <c r="E109" s="15">
        <v>4.16456226867241E-3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90.74</v>
      </c>
      <c r="M109" s="33">
        <v>89.03</v>
      </c>
      <c r="N109" s="34">
        <v>0.98115494820365801</v>
      </c>
      <c r="O109" s="34">
        <v>0.96273232566827205</v>
      </c>
      <c r="P109" s="34">
        <v>0.97814277030156305</v>
      </c>
      <c r="Q109" s="34">
        <v>0.97824148520412901</v>
      </c>
      <c r="R109" s="33">
        <v>87.358331231139005</v>
      </c>
      <c r="S109" s="33">
        <v>88.719358974463006</v>
      </c>
      <c r="T109" s="33">
        <v>88.733574888354994</v>
      </c>
      <c r="U109" s="15">
        <v>-1.89549819790918E-2</v>
      </c>
      <c r="V109" s="15">
        <v>-3.4952738348658298E-3</v>
      </c>
      <c r="W109" s="15">
        <v>-3.33505203843832E-3</v>
      </c>
      <c r="X109" s="34">
        <v>0.98115494820365801</v>
      </c>
      <c r="Y109" s="34">
        <v>0.96273232566827205</v>
      </c>
      <c r="Z109" s="34">
        <v>0.97814277030156305</v>
      </c>
      <c r="AA109" s="34">
        <v>0.97824148520412901</v>
      </c>
      <c r="AB109" s="33">
        <v>87.358331231139005</v>
      </c>
      <c r="AC109" s="33">
        <v>88.719358974463006</v>
      </c>
      <c r="AD109" s="33">
        <v>88.733574888354994</v>
      </c>
      <c r="AE109" s="15">
        <v>-1.89549819790918E-2</v>
      </c>
      <c r="AF109" s="15">
        <v>-3.4952738348658298E-3</v>
      </c>
      <c r="AG109" s="15">
        <v>-3.33505203843832E-3</v>
      </c>
      <c r="AI109" s="12"/>
      <c r="AJ109">
        <f t="shared" si="26"/>
        <v>0</v>
      </c>
      <c r="AK109">
        <f t="shared" si="27"/>
        <v>0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3.3593472893022502E-2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2.4873879889465645E-2</v>
      </c>
      <c r="BE109" s="29">
        <f t="shared" si="42"/>
        <v>0</v>
      </c>
      <c r="BF109" s="29">
        <f t="shared" si="43"/>
        <v>5.8467352782488144E-2</v>
      </c>
      <c r="BH109" s="29"/>
    </row>
    <row r="110" spans="1:60" x14ac:dyDescent="0.25">
      <c r="A110" s="1">
        <v>46182</v>
      </c>
      <c r="B110" s="33">
        <v>92.56</v>
      </c>
      <c r="C110" s="33">
        <v>90.88</v>
      </c>
      <c r="D110" s="15">
        <v>1.9858808649603401E-2</v>
      </c>
      <c r="E110" s="15">
        <v>2.0566563387261299E-2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92.56</v>
      </c>
      <c r="M110" s="33">
        <v>90.88</v>
      </c>
      <c r="N110" s="34">
        <v>0.98184961106309399</v>
      </c>
      <c r="O110" s="34">
        <v>0.96273232566827205</v>
      </c>
      <c r="P110" s="34">
        <v>0.97831003625724</v>
      </c>
      <c r="Q110" s="34">
        <v>0.97860276814561797</v>
      </c>
      <c r="R110" s="33">
        <v>89.110504063855302</v>
      </c>
      <c r="S110" s="33">
        <v>90.536894819112703</v>
      </c>
      <c r="T110" s="33">
        <v>90.546031870494204</v>
      </c>
      <c r="U110" s="15">
        <v>-1.9662736716749601E-2</v>
      </c>
      <c r="V110" s="15">
        <v>-3.7825097856214198E-3</v>
      </c>
      <c r="W110" s="15">
        <v>-3.6815941271853198E-3</v>
      </c>
      <c r="X110" s="34">
        <v>0.98184961106309399</v>
      </c>
      <c r="Y110" s="34">
        <v>0.96273232566827205</v>
      </c>
      <c r="Z110" s="34">
        <v>0.97831003625724</v>
      </c>
      <c r="AA110" s="34">
        <v>0.97860276814561797</v>
      </c>
      <c r="AB110" s="33">
        <v>89.110504063855302</v>
      </c>
      <c r="AC110" s="33">
        <v>90.536894819112703</v>
      </c>
      <c r="AD110" s="33">
        <v>90.546031870494204</v>
      </c>
      <c r="AE110" s="15">
        <v>-1.9662736716749601E-2</v>
      </c>
      <c r="AF110" s="15">
        <v>-3.7825097856214198E-3</v>
      </c>
      <c r="AG110" s="15">
        <v>-3.6815941271853198E-3</v>
      </c>
      <c r="AI110" s="12"/>
      <c r="AJ110">
        <f t="shared" si="26"/>
        <v>0</v>
      </c>
      <c r="AK110">
        <f t="shared" si="27"/>
        <v>0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3.3593472893022502E-2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2.4873879889465645E-2</v>
      </c>
      <c r="BE110" s="29">
        <f t="shared" si="42"/>
        <v>0</v>
      </c>
      <c r="BF110" s="29">
        <f t="shared" si="43"/>
        <v>5.8467352782488144E-2</v>
      </c>
      <c r="BH110" s="29"/>
    </row>
    <row r="111" spans="1:60" x14ac:dyDescent="0.25">
      <c r="A111" s="1">
        <v>46183</v>
      </c>
      <c r="B111" s="33">
        <v>89.85</v>
      </c>
      <c r="C111" s="33">
        <v>87.83</v>
      </c>
      <c r="D111" s="15">
        <v>-2.9715469655853099E-2</v>
      </c>
      <c r="E111" s="15">
        <v>-3.4136827043815099E-2</v>
      </c>
      <c r="F111" s="33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89.85</v>
      </c>
      <c r="M111" s="33">
        <v>87.83</v>
      </c>
      <c r="N111" s="34">
        <v>0.97751808569838605</v>
      </c>
      <c r="O111" s="34">
        <v>0.96273232566827205</v>
      </c>
      <c r="P111" s="34">
        <v>0.97893123796692005</v>
      </c>
      <c r="Q111" s="34">
        <v>0.978567654494362</v>
      </c>
      <c r="R111" s="33">
        <v>86.501499461294202</v>
      </c>
      <c r="S111" s="33">
        <v>87.901156757712997</v>
      </c>
      <c r="T111" s="33">
        <v>87.927458717883695</v>
      </c>
      <c r="U111" s="15">
        <v>-1.52413793287878E-2</v>
      </c>
      <c r="V111" s="15">
        <v>8.0983660399037397E-4</v>
      </c>
      <c r="W111" s="15">
        <v>1.1090138487835201E-3</v>
      </c>
      <c r="X111" s="34">
        <v>0.97751808569838605</v>
      </c>
      <c r="Y111" s="34">
        <v>0.96273232566827205</v>
      </c>
      <c r="Z111" s="34">
        <v>0.97893123796692005</v>
      </c>
      <c r="AA111" s="34">
        <v>0.978567654494362</v>
      </c>
      <c r="AB111" s="33">
        <v>86.501499461294202</v>
      </c>
      <c r="AC111" s="33">
        <v>87.901156757712997</v>
      </c>
      <c r="AD111" s="33">
        <v>87.927458717883695</v>
      </c>
      <c r="AE111" s="15">
        <v>-1.52413793287878E-2</v>
      </c>
      <c r="AF111" s="15">
        <v>8.0983660399037397E-4</v>
      </c>
      <c r="AG111" s="15">
        <v>1.1090138487835201E-3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3.3593472893022502E-2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2.4873879889465645E-2</v>
      </c>
      <c r="BE111" s="29">
        <f t="shared" si="42"/>
        <v>0</v>
      </c>
      <c r="BF111" s="29">
        <f t="shared" si="43"/>
        <v>5.8467352782488144E-2</v>
      </c>
      <c r="BH111" s="29"/>
    </row>
    <row r="112" spans="1:60" x14ac:dyDescent="0.25">
      <c r="A112" s="1">
        <v>46184</v>
      </c>
      <c r="B112" s="33">
        <v>94.95</v>
      </c>
      <c r="C112" s="33">
        <v>92.93</v>
      </c>
      <c r="D112" s="15">
        <v>5.5208824028726802E-2</v>
      </c>
      <c r="E112" s="15">
        <v>5.6443393640222002E-2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94.95</v>
      </c>
      <c r="M112" s="33">
        <v>92.93</v>
      </c>
      <c r="N112" s="34">
        <v>0.97872564507635595</v>
      </c>
      <c r="O112" s="34">
        <v>0.96273232566827205</v>
      </c>
      <c r="P112" s="34">
        <v>0.97921048771132502</v>
      </c>
      <c r="Q112" s="34">
        <v>0.97866905384833203</v>
      </c>
      <c r="R112" s="33">
        <v>91.411434322202396</v>
      </c>
      <c r="S112" s="33">
        <v>92.949521044959099</v>
      </c>
      <c r="T112" s="33">
        <v>92.914998794239594</v>
      </c>
      <c r="U112" s="15">
        <v>-1.6475948940282901E-2</v>
      </c>
      <c r="V112" s="15">
        <v>2.1003976039044801E-4</v>
      </c>
      <c r="W112" s="15">
        <v>-1.6143782065957101E-4</v>
      </c>
      <c r="X112" s="34">
        <v>0.97872564507635595</v>
      </c>
      <c r="Y112" s="34">
        <v>0.96273232566827205</v>
      </c>
      <c r="Z112" s="34">
        <v>0.97921048771132502</v>
      </c>
      <c r="AA112" s="34">
        <v>0.97866905384833203</v>
      </c>
      <c r="AB112" s="33">
        <v>91.411434322202396</v>
      </c>
      <c r="AC112" s="33">
        <v>92.949521044959099</v>
      </c>
      <c r="AD112" s="33">
        <v>92.914998794239594</v>
      </c>
      <c r="AE112" s="15">
        <v>-1.6475948940282901E-2</v>
      </c>
      <c r="AF112" s="15">
        <v>2.1003976039044801E-4</v>
      </c>
      <c r="AG112" s="15">
        <v>-1.6143782065957101E-4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3.3593472893022502E-2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2.4873879889465645E-2</v>
      </c>
      <c r="BE112" s="29">
        <f t="shared" si="42"/>
        <v>0</v>
      </c>
      <c r="BF112" s="29">
        <f t="shared" si="43"/>
        <v>5.8467352782488144E-2</v>
      </c>
      <c r="BH112" s="29"/>
    </row>
    <row r="113" spans="1:60" x14ac:dyDescent="0.25">
      <c r="A113" s="1">
        <v>46185</v>
      </c>
      <c r="B113" s="33">
        <v>90.3</v>
      </c>
      <c r="C113" s="33">
        <v>88.5</v>
      </c>
      <c r="D113" s="15">
        <v>-5.0212976835355201E-2</v>
      </c>
      <c r="E113" s="15">
        <v>-4.8843969555364103E-2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90.3</v>
      </c>
      <c r="M113" s="33">
        <v>88.5</v>
      </c>
      <c r="N113" s="34">
        <v>0.98006644518272401</v>
      </c>
      <c r="O113" s="34">
        <v>0.96273232566827205</v>
      </c>
      <c r="P113" s="34">
        <v>0.97911064971678796</v>
      </c>
      <c r="Q113" s="34">
        <v>0.97883366643004899</v>
      </c>
      <c r="R113" s="33">
        <v>86.934729007844993</v>
      </c>
      <c r="S113" s="33">
        <v>88.422707040332597</v>
      </c>
      <c r="T113" s="33">
        <v>88.373815562504404</v>
      </c>
      <c r="U113" s="15">
        <v>-1.7844956220273898E-2</v>
      </c>
      <c r="V113" s="15">
        <v>-8.7374838286958503E-4</v>
      </c>
      <c r="W113" s="15">
        <v>-1.4268302914357601E-3</v>
      </c>
      <c r="X113" s="34">
        <v>0.98006644518272401</v>
      </c>
      <c r="Y113" s="34">
        <v>0.96273232566827205</v>
      </c>
      <c r="Z113" s="34">
        <v>0.97911064971678796</v>
      </c>
      <c r="AA113" s="34">
        <v>0.97883366643004899</v>
      </c>
      <c r="AB113" s="33">
        <v>86.934729007844993</v>
      </c>
      <c r="AC113" s="33">
        <v>88.422707040332597</v>
      </c>
      <c r="AD113" s="33">
        <v>88.373815562504404</v>
      </c>
      <c r="AE113" s="15">
        <v>-1.7844956220273898E-2</v>
      </c>
      <c r="AF113" s="15">
        <v>-8.7374838286958503E-4</v>
      </c>
      <c r="AG113" s="15">
        <v>-1.4268302914357601E-3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3.3593472893022502E-2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2.4873879889465645E-2</v>
      </c>
      <c r="BE113" s="29">
        <f t="shared" si="42"/>
        <v>0</v>
      </c>
      <c r="BF113" s="29">
        <f t="shared" si="43"/>
        <v>5.8467352782488144E-2</v>
      </c>
      <c r="BH113" s="29"/>
    </row>
    <row r="114" spans="1:60" x14ac:dyDescent="0.25">
      <c r="A114" s="1">
        <v>46188</v>
      </c>
      <c r="B114" s="33">
        <v>89.75</v>
      </c>
      <c r="C114" s="33">
        <v>87.93</v>
      </c>
      <c r="D114" s="15">
        <v>-6.1094330545514199E-3</v>
      </c>
      <c r="E114" s="15">
        <v>-6.4615086229729696E-3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89.75</v>
      </c>
      <c r="M114" s="33">
        <v>87.93</v>
      </c>
      <c r="N114" s="34">
        <v>0.97972144846796605</v>
      </c>
      <c r="O114" s="34">
        <v>0.96273232566827205</v>
      </c>
      <c r="P114" s="34">
        <v>0.97959084028548005</v>
      </c>
      <c r="Q114" s="34">
        <v>0.97902265501383601</v>
      </c>
      <c r="R114" s="33">
        <v>86.4052262287274</v>
      </c>
      <c r="S114" s="33">
        <v>87.875180812081695</v>
      </c>
      <c r="T114" s="33">
        <v>87.850321562096894</v>
      </c>
      <c r="U114" s="15">
        <v>-1.74928806518522E-2</v>
      </c>
      <c r="V114" s="15">
        <v>-6.2363565671636303E-4</v>
      </c>
      <c r="W114" s="15">
        <v>-9.06568410525847E-4</v>
      </c>
      <c r="X114" s="34">
        <v>0.97972144846796605</v>
      </c>
      <c r="Y114" s="34">
        <v>0.96273232566827205</v>
      </c>
      <c r="Z114" s="34">
        <v>0.97959084028548005</v>
      </c>
      <c r="AA114" s="34">
        <v>0.97902265501383601</v>
      </c>
      <c r="AB114" s="33">
        <v>86.4052262287274</v>
      </c>
      <c r="AC114" s="33">
        <v>87.875180812081695</v>
      </c>
      <c r="AD114" s="33">
        <v>87.850321562096894</v>
      </c>
      <c r="AE114" s="15">
        <v>-1.74928806518522E-2</v>
      </c>
      <c r="AF114" s="15">
        <v>-6.2363565671636303E-4</v>
      </c>
      <c r="AG114" s="15">
        <v>-9.06568410525847E-4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3.3593472893022502E-2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2.4873879889465645E-2</v>
      </c>
      <c r="BE114" s="29">
        <f t="shared" si="42"/>
        <v>0</v>
      </c>
      <c r="BF114" s="29">
        <f t="shared" si="43"/>
        <v>5.8467352782488144E-2</v>
      </c>
      <c r="BH114" s="29"/>
    </row>
    <row r="115" spans="1:60" x14ac:dyDescent="0.25">
      <c r="A115" s="1">
        <v>46189</v>
      </c>
      <c r="B115" s="33">
        <v>89.78</v>
      </c>
      <c r="C115" s="33">
        <v>87.66</v>
      </c>
      <c r="D115" s="15">
        <v>3.3420598539779203E-4</v>
      </c>
      <c r="E115" s="15">
        <v>-3.0753484002477602E-3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89.78</v>
      </c>
      <c r="M115" s="33">
        <v>87.66</v>
      </c>
      <c r="N115" s="34">
        <v>0.97638672310091301</v>
      </c>
      <c r="O115" s="34">
        <v>0.96273232566827205</v>
      </c>
      <c r="P115" s="34">
        <v>0.97912170181449398</v>
      </c>
      <c r="Q115" s="34">
        <v>0.97876659150293099</v>
      </c>
      <c r="R115" s="33">
        <v>86.434108198497498</v>
      </c>
      <c r="S115" s="33">
        <v>87.947665640830394</v>
      </c>
      <c r="T115" s="33">
        <v>87.8966539671422</v>
      </c>
      <c r="U115" s="15">
        <v>-1.4083326266206699E-2</v>
      </c>
      <c r="V115" s="15">
        <v>3.27623395129798E-3</v>
      </c>
      <c r="W115" s="15">
        <v>2.6960426180451698E-3</v>
      </c>
      <c r="X115" s="34">
        <v>0.97638672310091301</v>
      </c>
      <c r="Y115" s="34">
        <v>0.96273232566827205</v>
      </c>
      <c r="Z115" s="34">
        <v>0.97912170181449398</v>
      </c>
      <c r="AA115" s="34">
        <v>0.97876659150293099</v>
      </c>
      <c r="AB115" s="33">
        <v>86.434108198497498</v>
      </c>
      <c r="AC115" s="33">
        <v>87.947665640830394</v>
      </c>
      <c r="AD115" s="33">
        <v>87.8966539671422</v>
      </c>
      <c r="AE115" s="15">
        <v>-1.4083326266206699E-2</v>
      </c>
      <c r="AF115" s="15">
        <v>3.27623395129798E-3</v>
      </c>
      <c r="AG115" s="15">
        <v>2.6960426180451698E-3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3.3593472893022502E-2</v>
      </c>
      <c r="AT115" s="12"/>
      <c r="AU115">
        <f t="shared" si="30"/>
        <v>0</v>
      </c>
      <c r="AV115">
        <f t="shared" si="31"/>
        <v>0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2.4873879889465645E-2</v>
      </c>
      <c r="BE115" s="29">
        <f t="shared" si="42"/>
        <v>0</v>
      </c>
      <c r="BF115" s="29">
        <f t="shared" si="43"/>
        <v>5.8467352782488144E-2</v>
      </c>
      <c r="BH115" s="29"/>
    </row>
    <row r="116" spans="1:60" x14ac:dyDescent="0.25">
      <c r="A116" s="1">
        <v>46190</v>
      </c>
      <c r="B116" s="33">
        <v>86.48</v>
      </c>
      <c r="C116" s="33">
        <v>84.77</v>
      </c>
      <c r="D116" s="15">
        <v>-3.74490600228332E-2</v>
      </c>
      <c r="E116" s="15">
        <v>-3.3523988370348798E-2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86.48</v>
      </c>
      <c r="M116" s="33">
        <v>84.77</v>
      </c>
      <c r="N116" s="34">
        <v>0.98022664199814902</v>
      </c>
      <c r="O116" s="34">
        <v>0.96273232566827205</v>
      </c>
      <c r="P116" s="34">
        <v>0.97925704207064601</v>
      </c>
      <c r="Q116" s="34">
        <v>0.97885623685585099</v>
      </c>
      <c r="R116" s="33">
        <v>83.257091523792198</v>
      </c>
      <c r="S116" s="33">
        <v>84.674444772917397</v>
      </c>
      <c r="T116" s="33">
        <v>84.643734833173497</v>
      </c>
      <c r="U116" s="15">
        <v>-1.8008397918691101E-2</v>
      </c>
      <c r="V116" s="15">
        <v>-1.1278650927753801E-3</v>
      </c>
      <c r="W116" s="15">
        <v>-1.49061338303108E-3</v>
      </c>
      <c r="X116" s="34">
        <v>0.98022664199814902</v>
      </c>
      <c r="Y116" s="34">
        <v>0.96273232566827205</v>
      </c>
      <c r="Z116" s="34">
        <v>0.97925704207064601</v>
      </c>
      <c r="AA116" s="34">
        <v>0.97885623685585099</v>
      </c>
      <c r="AB116" s="33">
        <v>83.257091523792198</v>
      </c>
      <c r="AC116" s="33">
        <v>84.674444772917397</v>
      </c>
      <c r="AD116" s="33">
        <v>84.643734833173497</v>
      </c>
      <c r="AE116" s="15">
        <v>-1.8008397918691101E-2</v>
      </c>
      <c r="AF116" s="15">
        <v>-1.1278650927753801E-3</v>
      </c>
      <c r="AG116" s="15">
        <v>-1.49061338303108E-3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3.3593472893022502E-2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2.4873879889465645E-2</v>
      </c>
      <c r="BE116" s="29">
        <f t="shared" si="42"/>
        <v>0</v>
      </c>
      <c r="BF116" s="29">
        <f t="shared" si="43"/>
        <v>5.8467352782488144E-2</v>
      </c>
      <c r="BH116" s="29"/>
    </row>
    <row r="117" spans="1:60" x14ac:dyDescent="0.25">
      <c r="A117" s="1">
        <v>46191</v>
      </c>
      <c r="B117" s="33">
        <v>89.73</v>
      </c>
      <c r="C117" s="33">
        <v>87.44</v>
      </c>
      <c r="D117" s="15">
        <v>3.68919879790136E-2</v>
      </c>
      <c r="E117" s="15">
        <v>3.1011137247969001E-2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89.73</v>
      </c>
      <c r="M117" s="33">
        <v>87.44</v>
      </c>
      <c r="N117" s="34">
        <v>0.97447899253315495</v>
      </c>
      <c r="O117" s="34">
        <v>0.96273232566827205</v>
      </c>
      <c r="P117" s="34">
        <v>0.97899053122383095</v>
      </c>
      <c r="Q117" s="34">
        <v>0.97835902052213797</v>
      </c>
      <c r="R117" s="33">
        <v>86.385971582214097</v>
      </c>
      <c r="S117" s="33">
        <v>87.868734384999101</v>
      </c>
      <c r="T117" s="33">
        <v>87.832770133075499</v>
      </c>
      <c r="U117" s="15">
        <v>-1.21275471876463E-2</v>
      </c>
      <c r="V117" s="15">
        <v>4.8912022695423397E-3</v>
      </c>
      <c r="W117" s="15">
        <v>4.4818232773185798E-3</v>
      </c>
      <c r="X117" s="34">
        <v>0.97447899253315495</v>
      </c>
      <c r="Y117" s="34">
        <v>0.96273232566827205</v>
      </c>
      <c r="Z117" s="34">
        <v>0.97899053122383095</v>
      </c>
      <c r="AA117" s="34">
        <v>0.97835902052213797</v>
      </c>
      <c r="AB117" s="33">
        <v>86.385971582214097</v>
      </c>
      <c r="AC117" s="33">
        <v>87.868734384999101</v>
      </c>
      <c r="AD117" s="33">
        <v>87.832770133075499</v>
      </c>
      <c r="AE117" s="15">
        <v>-1.21275471876463E-2</v>
      </c>
      <c r="AF117" s="15">
        <v>4.8912022695423397E-3</v>
      </c>
      <c r="AG117" s="15">
        <v>4.4818232773185798E-3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3.3593472893022502E-2</v>
      </c>
      <c r="AT117" s="12"/>
      <c r="AU117">
        <f t="shared" si="30"/>
        <v>1</v>
      </c>
      <c r="AV117">
        <f t="shared" si="31"/>
        <v>0</v>
      </c>
      <c r="AW117">
        <f t="shared" si="38"/>
        <v>0</v>
      </c>
      <c r="AX117">
        <f t="shared" si="25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2.4873879889465645E-2</v>
      </c>
      <c r="BE117" s="29">
        <f t="shared" si="42"/>
        <v>0</v>
      </c>
      <c r="BF117" s="29">
        <f t="shared" si="43"/>
        <v>5.8467352782488144E-2</v>
      </c>
      <c r="BH117" s="29"/>
    </row>
    <row r="118" spans="1:60" x14ac:dyDescent="0.25">
      <c r="A118" s="1">
        <v>46195</v>
      </c>
      <c r="B118" s="33">
        <v>87.44</v>
      </c>
      <c r="C118" s="33">
        <v>85.23</v>
      </c>
      <c r="D118" s="15">
        <v>-2.58523174416832E-2</v>
      </c>
      <c r="E118" s="15">
        <v>-2.5599359334076699E-2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87.44</v>
      </c>
      <c r="M118" s="33">
        <v>85.23</v>
      </c>
      <c r="N118" s="34">
        <v>0.97472552607502205</v>
      </c>
      <c r="O118" s="34">
        <v>0.96273232566827205</v>
      </c>
      <c r="P118" s="34">
        <v>0.978485406739942</v>
      </c>
      <c r="Q118" s="34">
        <v>0.97810846805182605</v>
      </c>
      <c r="R118" s="33">
        <v>84.181314556433705</v>
      </c>
      <c r="S118" s="33">
        <v>85.602932050211805</v>
      </c>
      <c r="T118" s="33">
        <v>85.547712754455702</v>
      </c>
      <c r="U118" s="15">
        <v>-1.23805052952529E-2</v>
      </c>
      <c r="V118" s="15">
        <v>4.3660509499077E-3</v>
      </c>
      <c r="W118" s="15">
        <v>3.7207796716708301E-3</v>
      </c>
      <c r="X118" s="34">
        <v>0.97472552607502205</v>
      </c>
      <c r="Y118" s="34">
        <v>0.96273232566827205</v>
      </c>
      <c r="Z118" s="34">
        <v>0.978485406739942</v>
      </c>
      <c r="AA118" s="34">
        <v>0.97810846805182605</v>
      </c>
      <c r="AB118" s="33">
        <v>84.181314556433705</v>
      </c>
      <c r="AC118" s="33">
        <v>85.602932050211805</v>
      </c>
      <c r="AD118" s="33">
        <v>85.547712754455702</v>
      </c>
      <c r="AE118" s="15">
        <v>-1.23805052952529E-2</v>
      </c>
      <c r="AF118" s="15">
        <v>4.3660509499077E-3</v>
      </c>
      <c r="AG118" s="15">
        <v>3.7207796716708301E-3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3.3593472893022502E-2</v>
      </c>
      <c r="AT118" s="12"/>
      <c r="AU118">
        <f t="shared" si="30"/>
        <v>0</v>
      </c>
      <c r="AV118">
        <f t="shared" si="31"/>
        <v>0</v>
      </c>
      <c r="AW118">
        <f t="shared" si="38"/>
        <v>1</v>
      </c>
      <c r="AX118">
        <f t="shared" si="25"/>
        <v>1</v>
      </c>
      <c r="AY118">
        <f t="shared" si="39"/>
        <v>1</v>
      </c>
      <c r="AZ118" s="28">
        <f t="shared" si="32"/>
        <v>2.58523174416832E-2</v>
      </c>
      <c r="BA118" s="28">
        <f t="shared" si="33"/>
        <v>-2.5599359334076699E-2</v>
      </c>
      <c r="BB118" s="28">
        <f t="shared" si="40"/>
        <v>2.5295810760650114E-4</v>
      </c>
      <c r="BC118" s="29">
        <f t="shared" si="41"/>
        <v>2.5126837997072146E-2</v>
      </c>
      <c r="BE118" s="29">
        <f t="shared" si="42"/>
        <v>2.5295810760650114E-4</v>
      </c>
      <c r="BF118" s="29">
        <f t="shared" si="43"/>
        <v>5.8720310890094649E-2</v>
      </c>
      <c r="BH118" s="29"/>
    </row>
    <row r="119" spans="1:60" x14ac:dyDescent="0.25">
      <c r="A119" s="1">
        <v>46196</v>
      </c>
      <c r="B119" s="33">
        <v>87.35</v>
      </c>
      <c r="C119" s="33">
        <v>85.03</v>
      </c>
      <c r="D119" s="15">
        <v>-1.0298072882176199E-3</v>
      </c>
      <c r="E119" s="15">
        <v>-2.3493491365051198E-3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87.35</v>
      </c>
      <c r="M119" s="33">
        <v>85.03</v>
      </c>
      <c r="N119" s="34">
        <v>0.97344018317115</v>
      </c>
      <c r="O119" s="34">
        <v>0.96273232566827205</v>
      </c>
      <c r="P119" s="34">
        <v>0.97771393023669195</v>
      </c>
      <c r="Q119" s="34">
        <v>0.97792835026912694</v>
      </c>
      <c r="R119" s="33">
        <v>84.094668647123598</v>
      </c>
      <c r="S119" s="33">
        <v>85.470700278734</v>
      </c>
      <c r="T119" s="33">
        <v>85.437774684326996</v>
      </c>
      <c r="U119" s="15">
        <v>-1.10609634469653E-2</v>
      </c>
      <c r="V119" s="15">
        <v>5.1694950160419799E-3</v>
      </c>
      <c r="W119" s="15">
        <v>4.7841941136561299E-3</v>
      </c>
      <c r="X119" s="34">
        <v>0.97344018317115</v>
      </c>
      <c r="Y119" s="34">
        <v>0.96273232566827205</v>
      </c>
      <c r="Z119" s="34">
        <v>0.97771393023669195</v>
      </c>
      <c r="AA119" s="34">
        <v>0.97792835026912694</v>
      </c>
      <c r="AB119" s="33">
        <v>84.094668647123598</v>
      </c>
      <c r="AC119" s="33">
        <v>85.470700278734</v>
      </c>
      <c r="AD119" s="33">
        <v>85.437774684326996</v>
      </c>
      <c r="AE119" s="15">
        <v>-1.10609634469653E-2</v>
      </c>
      <c r="AF119" s="15">
        <v>5.1694950160419799E-3</v>
      </c>
      <c r="AG119" s="15">
        <v>4.7841941136561299E-3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3.3593472893022502E-2</v>
      </c>
      <c r="AT119" s="12"/>
      <c r="AU119">
        <f t="shared" si="30"/>
        <v>1</v>
      </c>
      <c r="AV119">
        <f t="shared" si="31"/>
        <v>0</v>
      </c>
      <c r="AW119">
        <f t="shared" si="38"/>
        <v>1</v>
      </c>
      <c r="AX119">
        <f t="shared" si="25"/>
        <v>1</v>
      </c>
      <c r="AY119">
        <f t="shared" si="39"/>
        <v>1</v>
      </c>
      <c r="AZ119" s="28">
        <f t="shared" si="32"/>
        <v>1.0298072882176199E-3</v>
      </c>
      <c r="BA119" s="28">
        <f t="shared" si="33"/>
        <v>-2.3493491365051198E-3</v>
      </c>
      <c r="BB119" s="28">
        <f t="shared" si="40"/>
        <v>-1.3195418482875E-3</v>
      </c>
      <c r="BC119" s="29">
        <f t="shared" si="41"/>
        <v>2.3807296148784646E-2</v>
      </c>
      <c r="BE119" s="29">
        <f t="shared" si="42"/>
        <v>-1.3195418482875E-3</v>
      </c>
      <c r="BF119" s="29">
        <f t="shared" si="43"/>
        <v>5.7400769041807145E-2</v>
      </c>
      <c r="BH119" s="29"/>
    </row>
    <row r="120" spans="1:60" x14ac:dyDescent="0.25">
      <c r="A120" s="1">
        <v>46197</v>
      </c>
      <c r="B120" s="33">
        <v>92.95</v>
      </c>
      <c r="C120" s="33">
        <v>91.17</v>
      </c>
      <c r="D120" s="15">
        <v>6.21386775873876E-2</v>
      </c>
      <c r="E120" s="15">
        <v>6.9721760199110194E-2</v>
      </c>
      <c r="F120" s="33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92.95</v>
      </c>
      <c r="M120" s="33">
        <v>91.17</v>
      </c>
      <c r="N120" s="34">
        <v>0.98084991931145704</v>
      </c>
      <c r="O120" s="34">
        <v>0.96273232566827205</v>
      </c>
      <c r="P120" s="34">
        <v>0.97761396106152798</v>
      </c>
      <c r="Q120" s="34">
        <v>0.97796199865938405</v>
      </c>
      <c r="R120" s="33">
        <v>89.485969670865899</v>
      </c>
      <c r="S120" s="33">
        <v>90.878509815500493</v>
      </c>
      <c r="T120" s="33">
        <v>90.898440157515395</v>
      </c>
      <c r="U120" s="15">
        <v>-1.86440460586881E-2</v>
      </c>
      <c r="V120" s="15">
        <v>-3.2023380350298001E-3</v>
      </c>
      <c r="W120" s="15">
        <v>-2.9830545439409901E-3</v>
      </c>
      <c r="X120" s="34">
        <v>0.98084991931145704</v>
      </c>
      <c r="Y120" s="34">
        <v>0.96273232566827205</v>
      </c>
      <c r="Z120" s="34">
        <v>0.97761396106152798</v>
      </c>
      <c r="AA120" s="34">
        <v>0.97796199865938405</v>
      </c>
      <c r="AB120" s="33">
        <v>89.485969670865899</v>
      </c>
      <c r="AC120" s="33">
        <v>90.878509815500493</v>
      </c>
      <c r="AD120" s="33">
        <v>90.898440157515395</v>
      </c>
      <c r="AE120" s="15">
        <v>-1.86440460586881E-2</v>
      </c>
      <c r="AF120" s="15">
        <v>-3.2023380350298001E-3</v>
      </c>
      <c r="AG120" s="15">
        <v>-2.9830545439409901E-3</v>
      </c>
      <c r="AI120" s="12"/>
      <c r="AJ120">
        <f t="shared" si="26"/>
        <v>0</v>
      </c>
      <c r="AK120">
        <f t="shared" si="27"/>
        <v>0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3.3593472893022502E-2</v>
      </c>
      <c r="AT120" s="12"/>
      <c r="AU120">
        <f t="shared" si="30"/>
        <v>0</v>
      </c>
      <c r="AV120">
        <f t="shared" si="31"/>
        <v>1</v>
      </c>
      <c r="AW120">
        <f t="shared" si="38"/>
        <v>1</v>
      </c>
      <c r="AX120">
        <f t="shared" si="25"/>
        <v>1</v>
      </c>
      <c r="AY120">
        <f t="shared" si="39"/>
        <v>1</v>
      </c>
      <c r="AZ120" s="28">
        <f t="shared" si="32"/>
        <v>-6.21386775873876E-2</v>
      </c>
      <c r="BA120" s="28">
        <f t="shared" si="33"/>
        <v>6.9721760199110194E-2</v>
      </c>
      <c r="BB120" s="28">
        <f t="shared" si="40"/>
        <v>7.5830826117225941E-3</v>
      </c>
      <c r="BC120" s="29">
        <f t="shared" si="41"/>
        <v>3.1390378760507237E-2</v>
      </c>
      <c r="BE120" s="29">
        <f t="shared" si="42"/>
        <v>7.5830826117225941E-3</v>
      </c>
      <c r="BF120" s="29">
        <f t="shared" si="43"/>
        <v>6.4983851653529739E-2</v>
      </c>
      <c r="BH120" s="29"/>
    </row>
    <row r="121" spans="1:60" x14ac:dyDescent="0.25">
      <c r="A121" s="1">
        <v>46198</v>
      </c>
      <c r="B121" s="33">
        <v>93.86</v>
      </c>
      <c r="C121" s="33">
        <v>91.72</v>
      </c>
      <c r="D121" s="15">
        <v>9.7425961988186205E-3</v>
      </c>
      <c r="E121" s="15">
        <v>6.0145623928921999E-3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93.86</v>
      </c>
      <c r="M121" s="33">
        <v>91.72</v>
      </c>
      <c r="N121" s="34">
        <v>0.97720008523332602</v>
      </c>
      <c r="O121" s="34">
        <v>0.96273232566827205</v>
      </c>
      <c r="P121" s="34">
        <v>0.97758216101502204</v>
      </c>
      <c r="Q121" s="34">
        <v>0.97825669949097105</v>
      </c>
      <c r="R121" s="33">
        <v>90.362056087224005</v>
      </c>
      <c r="S121" s="33">
        <v>91.758846385235003</v>
      </c>
      <c r="T121" s="33">
        <v>91.791513194169795</v>
      </c>
      <c r="U121" s="15">
        <v>-1.4916012252761899E-2</v>
      </c>
      <c r="V121" s="15">
        <v>4.2344266470814899E-4</v>
      </c>
      <c r="W121" s="15">
        <v>7.7938649782890296E-4</v>
      </c>
      <c r="X121" s="34">
        <v>0.97720008523332602</v>
      </c>
      <c r="Y121" s="34">
        <v>0.96273232566827205</v>
      </c>
      <c r="Z121" s="34">
        <v>0.97758216101502204</v>
      </c>
      <c r="AA121" s="34">
        <v>0.97825669949097105</v>
      </c>
      <c r="AB121" s="33">
        <v>90.362056087224005</v>
      </c>
      <c r="AC121" s="33">
        <v>91.758846385235003</v>
      </c>
      <c r="AD121" s="33">
        <v>91.791513194169795</v>
      </c>
      <c r="AE121" s="15">
        <v>-1.4916012252761899E-2</v>
      </c>
      <c r="AF121" s="15">
        <v>4.2344266470814899E-4</v>
      </c>
      <c r="AG121" s="15">
        <v>7.7938649782890296E-4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3.3593472893022502E-2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3.1390378760507237E-2</v>
      </c>
      <c r="BE121" s="29">
        <f t="shared" si="42"/>
        <v>0</v>
      </c>
      <c r="BF121" s="29">
        <f t="shared" si="43"/>
        <v>6.4983851653529739E-2</v>
      </c>
      <c r="BH121" s="29"/>
    </row>
    <row r="122" spans="1:60" x14ac:dyDescent="0.25">
      <c r="A122" s="1">
        <v>46199</v>
      </c>
      <c r="B122" s="33">
        <v>93.52</v>
      </c>
      <c r="C122" s="33">
        <v>91.9</v>
      </c>
      <c r="D122" s="15">
        <v>-3.6289932024586402E-3</v>
      </c>
      <c r="E122" s="15">
        <v>1.9605713719377102E-3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93.52</v>
      </c>
      <c r="M122" s="33">
        <v>91.9</v>
      </c>
      <c r="N122" s="34">
        <v>0.98267750213857996</v>
      </c>
      <c r="O122" s="34">
        <v>0.96273232566827205</v>
      </c>
      <c r="P122" s="34">
        <v>0.97797734672124403</v>
      </c>
      <c r="Q122" s="34">
        <v>0.97859391721628497</v>
      </c>
      <c r="R122" s="33">
        <v>90.034727096496795</v>
      </c>
      <c r="S122" s="33">
        <v>91.423483698124798</v>
      </c>
      <c r="T122" s="33">
        <v>91.4865665363956</v>
      </c>
      <c r="U122" s="15">
        <v>-2.0505576827158201E-2</v>
      </c>
      <c r="V122" s="15">
        <v>-5.1986506633509002E-3</v>
      </c>
      <c r="W122" s="15">
        <v>-4.5088816682516096E-3</v>
      </c>
      <c r="X122" s="34">
        <v>0.98267750213857996</v>
      </c>
      <c r="Y122" s="34">
        <v>0.96273232566827205</v>
      </c>
      <c r="Z122" s="34">
        <v>0.97797734672124403</v>
      </c>
      <c r="AA122" s="34">
        <v>0.97859391721628497</v>
      </c>
      <c r="AB122" s="33">
        <v>90.034727096496795</v>
      </c>
      <c r="AC122" s="33">
        <v>91.423483698124798</v>
      </c>
      <c r="AD122" s="33">
        <v>91.4865665363956</v>
      </c>
      <c r="AE122" s="15">
        <v>-2.0505576827158201E-2</v>
      </c>
      <c r="AF122" s="15">
        <v>-5.1986506633509002E-3</v>
      </c>
      <c r="AG122" s="15">
        <v>-4.5088816682516096E-3</v>
      </c>
      <c r="AI122" s="12"/>
      <c r="AJ122">
        <f t="shared" si="26"/>
        <v>1</v>
      </c>
      <c r="AK122">
        <f t="shared" si="27"/>
        <v>0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3.3593472893022502E-2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3.1390378760507237E-2</v>
      </c>
      <c r="BE122" s="29">
        <f t="shared" si="42"/>
        <v>0</v>
      </c>
      <c r="BF122" s="29">
        <f t="shared" si="43"/>
        <v>6.4983851653529739E-2</v>
      </c>
      <c r="BH122" s="29"/>
    </row>
    <row r="123" spans="1:60" x14ac:dyDescent="0.25">
      <c r="A123" s="1">
        <v>46202</v>
      </c>
      <c r="B123" s="33">
        <v>90.85</v>
      </c>
      <c r="C123" s="33">
        <v>88.89</v>
      </c>
      <c r="D123" s="15">
        <v>-2.89655223216327E-2</v>
      </c>
      <c r="E123" s="15">
        <v>-3.3301379108057798E-2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90.85</v>
      </c>
      <c r="M123" s="33">
        <v>88.89</v>
      </c>
      <c r="N123" s="34">
        <v>0.97842597688497501</v>
      </c>
      <c r="O123" s="34">
        <v>0.96273232566827205</v>
      </c>
      <c r="P123" s="34">
        <v>0.97781329989146903</v>
      </c>
      <c r="Q123" s="34">
        <v>0.978461974804129</v>
      </c>
      <c r="R123" s="33">
        <v>87.4642317869625</v>
      </c>
      <c r="S123" s="33">
        <v>88.849241949624997</v>
      </c>
      <c r="T123" s="33">
        <v>88.905257379099396</v>
      </c>
      <c r="U123" s="15">
        <v>-1.61697200407332E-2</v>
      </c>
      <c r="V123" s="15">
        <v>-4.5862748869926598E-4</v>
      </c>
      <c r="W123" s="15">
        <v>1.7162864028935401E-4</v>
      </c>
      <c r="X123" s="34">
        <v>0.97842597688497501</v>
      </c>
      <c r="Y123" s="34">
        <v>0.96273232566827205</v>
      </c>
      <c r="Z123" s="34">
        <v>0.97781329989146903</v>
      </c>
      <c r="AA123" s="34">
        <v>0.978461974804129</v>
      </c>
      <c r="AB123" s="33">
        <v>87.4642317869625</v>
      </c>
      <c r="AC123" s="33">
        <v>88.849241949624997</v>
      </c>
      <c r="AD123" s="33">
        <v>88.905257379099396</v>
      </c>
      <c r="AE123" s="15">
        <v>-1.61697200407332E-2</v>
      </c>
      <c r="AF123" s="15">
        <v>-4.5862748869926598E-4</v>
      </c>
      <c r="AG123" s="15">
        <v>1.7162864028935401E-4</v>
      </c>
      <c r="AI123" s="12"/>
      <c r="AJ123">
        <f t="shared" si="26"/>
        <v>0</v>
      </c>
      <c r="AK123">
        <f t="shared" si="27"/>
        <v>1</v>
      </c>
      <c r="AL123">
        <f t="shared" si="34"/>
        <v>1</v>
      </c>
      <c r="AM123">
        <f t="shared" si="24"/>
        <v>1</v>
      </c>
      <c r="AN123">
        <f t="shared" si="35"/>
        <v>1</v>
      </c>
      <c r="AO123" s="28">
        <f t="shared" si="28"/>
        <v>-2.89655223216327E-2</v>
      </c>
      <c r="AP123" s="28">
        <f t="shared" si="29"/>
        <v>3.3301379108057798E-2</v>
      </c>
      <c r="AQ123" s="28">
        <f t="shared" si="36"/>
        <v>4.3358567864250977E-3</v>
      </c>
      <c r="AR123" s="29">
        <f t="shared" si="37"/>
        <v>3.79293296794476E-2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3.1390378760507237E-2</v>
      </c>
      <c r="BE123" s="29">
        <f t="shared" si="42"/>
        <v>4.3358567864250977E-3</v>
      </c>
      <c r="BF123" s="29">
        <f t="shared" si="43"/>
        <v>6.931970843995483E-2</v>
      </c>
      <c r="BH123" s="29"/>
    </row>
    <row r="124" spans="1:60" x14ac:dyDescent="0.25">
      <c r="A124" s="1">
        <v>46203</v>
      </c>
      <c r="B124" s="33">
        <v>90.49</v>
      </c>
      <c r="C124" s="33">
        <v>88.71</v>
      </c>
      <c r="D124" s="15">
        <v>-3.9704474791383204E-3</v>
      </c>
      <c r="E124" s="15">
        <v>-2.0270277210881001E-3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90.49</v>
      </c>
      <c r="M124" s="33">
        <v>88.71</v>
      </c>
      <c r="N124" s="34">
        <v>0.98032931815670199</v>
      </c>
      <c r="O124" s="34">
        <v>0.96273232566827205</v>
      </c>
      <c r="P124" s="34">
        <v>0.97787408686034305</v>
      </c>
      <c r="Q124" s="34">
        <v>0.97873246357291099</v>
      </c>
      <c r="R124" s="33">
        <v>87.117648149721902</v>
      </c>
      <c r="S124" s="33">
        <v>88.482325507179098</v>
      </c>
      <c r="T124" s="33">
        <v>88.541024100025595</v>
      </c>
      <c r="U124" s="15">
        <v>-1.81131397987833E-2</v>
      </c>
      <c r="V124" s="15">
        <v>-2.56980224695235E-3</v>
      </c>
      <c r="W124" s="15">
        <v>-1.9066287714972999E-3</v>
      </c>
      <c r="X124" s="34">
        <v>0.98032931815670199</v>
      </c>
      <c r="Y124" s="34">
        <v>0.96273232566827205</v>
      </c>
      <c r="Z124" s="34">
        <v>0.97787408686034305</v>
      </c>
      <c r="AA124" s="34">
        <v>0.97873246357291099</v>
      </c>
      <c r="AB124" s="33">
        <v>87.117648149721902</v>
      </c>
      <c r="AC124" s="33">
        <v>88.482325507179098</v>
      </c>
      <c r="AD124" s="33">
        <v>88.541024100025595</v>
      </c>
      <c r="AE124" s="15">
        <v>-1.81131397987833E-2</v>
      </c>
      <c r="AF124" s="15">
        <v>-2.56980224695235E-3</v>
      </c>
      <c r="AG124" s="15">
        <v>-1.9066287714972999E-3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1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3.79293296794476E-2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3.1390378760507237E-2</v>
      </c>
      <c r="BE124" s="29">
        <f t="shared" si="42"/>
        <v>0</v>
      </c>
      <c r="BF124" s="29">
        <f t="shared" si="43"/>
        <v>6.931970843995483E-2</v>
      </c>
      <c r="BH124" s="29"/>
    </row>
    <row r="125" spans="1:60" x14ac:dyDescent="0.25">
      <c r="A125" s="1">
        <v>46204</v>
      </c>
      <c r="B125" s="33">
        <v>87.06</v>
      </c>
      <c r="C125" s="33">
        <v>85.04</v>
      </c>
      <c r="D125" s="15">
        <v>-3.8641811238890197E-2</v>
      </c>
      <c r="E125" s="15">
        <v>-4.2250888498802902E-2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87.06</v>
      </c>
      <c r="M125" s="33">
        <v>85.04</v>
      </c>
      <c r="N125" s="34">
        <v>0.97679761084309602</v>
      </c>
      <c r="O125" s="34">
        <v>0.96273232566827205</v>
      </c>
      <c r="P125" s="34">
        <v>0.97791517563456098</v>
      </c>
      <c r="Q125" s="34">
        <v>0.97851843872452704</v>
      </c>
      <c r="R125" s="33">
        <v>83.815476272679803</v>
      </c>
      <c r="S125" s="33">
        <v>85.133718002061499</v>
      </c>
      <c r="T125" s="33">
        <v>85.208448278657698</v>
      </c>
      <c r="U125" s="15">
        <v>-1.45040625388707E-2</v>
      </c>
      <c r="V125" s="15">
        <v>1.1014393131493899E-3</v>
      </c>
      <c r="W125" s="15">
        <v>1.97885308593605E-3</v>
      </c>
      <c r="X125" s="34">
        <v>0.97679761084309602</v>
      </c>
      <c r="Y125" s="34">
        <v>0.96273232566827205</v>
      </c>
      <c r="Z125" s="34">
        <v>0.97791517563456098</v>
      </c>
      <c r="AA125" s="34">
        <v>0.97851843872452704</v>
      </c>
      <c r="AB125" s="33">
        <v>83.815476272679803</v>
      </c>
      <c r="AC125" s="33">
        <v>85.133718002061499</v>
      </c>
      <c r="AD125" s="33">
        <v>85.208448278657698</v>
      </c>
      <c r="AE125" s="15">
        <v>-1.45040625388707E-2</v>
      </c>
      <c r="AF125" s="15">
        <v>1.1014393131493899E-3</v>
      </c>
      <c r="AG125" s="15">
        <v>1.97885308593605E-3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3.79293296794476E-2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3.1390378760507237E-2</v>
      </c>
      <c r="BE125" s="29">
        <f t="shared" si="42"/>
        <v>0</v>
      </c>
      <c r="BF125" s="29">
        <f t="shared" si="43"/>
        <v>6.931970843995483E-2</v>
      </c>
      <c r="BH125" s="29"/>
    </row>
    <row r="126" spans="1:60" x14ac:dyDescent="0.25">
      <c r="A126" s="1">
        <v>46205</v>
      </c>
      <c r="B126" s="33">
        <v>88.21</v>
      </c>
      <c r="C126" s="33">
        <v>86.27</v>
      </c>
      <c r="D126" s="15">
        <v>1.3122799146524E-2</v>
      </c>
      <c r="E126" s="15">
        <v>1.4360179054794701E-2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88.21</v>
      </c>
      <c r="M126" s="33">
        <v>86.27</v>
      </c>
      <c r="N126" s="34">
        <v>0.97800702868155498</v>
      </c>
      <c r="O126" s="34">
        <v>0.96273232566827205</v>
      </c>
      <c r="P126" s="34">
        <v>0.97769321430290201</v>
      </c>
      <c r="Q126" s="34">
        <v>0.97847512818677396</v>
      </c>
      <c r="R126" s="33">
        <v>84.922618447198303</v>
      </c>
      <c r="S126" s="33">
        <v>86.261897642724605</v>
      </c>
      <c r="T126" s="33">
        <v>86.315111479890504</v>
      </c>
      <c r="U126" s="15">
        <v>-1.5741442447141599E-2</v>
      </c>
      <c r="V126" s="15">
        <v>-9.3923006608899194E-5</v>
      </c>
      <c r="W126" s="15">
        <v>5.2277372632142903E-4</v>
      </c>
      <c r="X126" s="34">
        <v>0.97800702868155498</v>
      </c>
      <c r="Y126" s="34">
        <v>0.96273232566827205</v>
      </c>
      <c r="Z126" s="34">
        <v>0.97769321430290201</v>
      </c>
      <c r="AA126" s="34">
        <v>0.97847512818677396</v>
      </c>
      <c r="AB126" s="33">
        <v>84.922618447198303</v>
      </c>
      <c r="AC126" s="33">
        <v>86.261897642724605</v>
      </c>
      <c r="AD126" s="33">
        <v>86.315111479890504</v>
      </c>
      <c r="AE126" s="15">
        <v>-1.5741442447141599E-2</v>
      </c>
      <c r="AF126" s="15">
        <v>-9.3923006608899194E-5</v>
      </c>
      <c r="AG126" s="15">
        <v>5.2277372632142903E-4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3.79293296794476E-2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3.1390378760507237E-2</v>
      </c>
      <c r="BE126" s="29">
        <f t="shared" si="42"/>
        <v>0</v>
      </c>
      <c r="BF126" s="29">
        <f t="shared" si="43"/>
        <v>6.931970843995483E-2</v>
      </c>
      <c r="BH126" s="29"/>
    </row>
    <row r="127" spans="1:60" x14ac:dyDescent="0.25">
      <c r="A127" s="1">
        <v>46209</v>
      </c>
      <c r="B127" s="33">
        <v>87.65</v>
      </c>
      <c r="C127" s="33">
        <v>85.92</v>
      </c>
      <c r="D127" s="15">
        <v>-6.3687239034319297E-3</v>
      </c>
      <c r="E127" s="15">
        <v>-4.0652823279327399E-3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87.65</v>
      </c>
      <c r="M127" s="33">
        <v>85.92</v>
      </c>
      <c r="N127" s="34">
        <v>0.98026240730176795</v>
      </c>
      <c r="O127" s="34">
        <v>0.96273232566827205</v>
      </c>
      <c r="P127" s="34">
        <v>0.97827155577976299</v>
      </c>
      <c r="Q127" s="34">
        <v>0.97863104350179697</v>
      </c>
      <c r="R127" s="33">
        <v>84.383488344824102</v>
      </c>
      <c r="S127" s="33">
        <v>85.694810233649306</v>
      </c>
      <c r="T127" s="33">
        <v>85.763344985570797</v>
      </c>
      <c r="U127" s="15">
        <v>-1.8044884022640699E-2</v>
      </c>
      <c r="V127" s="15">
        <v>-2.6243643574767701E-3</v>
      </c>
      <c r="W127" s="15">
        <v>-1.8249301691896701E-3</v>
      </c>
      <c r="X127" s="34">
        <v>0.98026240730176795</v>
      </c>
      <c r="Y127" s="34">
        <v>0.96273232566827205</v>
      </c>
      <c r="Z127" s="34">
        <v>0.97827155577976299</v>
      </c>
      <c r="AA127" s="34">
        <v>0.97863104350179697</v>
      </c>
      <c r="AB127" s="33">
        <v>84.383488344824102</v>
      </c>
      <c r="AC127" s="33">
        <v>85.694810233649306</v>
      </c>
      <c r="AD127" s="33">
        <v>85.763344985570797</v>
      </c>
      <c r="AE127" s="15">
        <v>-1.8044884022640699E-2</v>
      </c>
      <c r="AF127" s="15">
        <v>-2.6243643574767701E-3</v>
      </c>
      <c r="AG127" s="15">
        <v>-1.8249301691896701E-3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3.79293296794476E-2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3.1390378760507237E-2</v>
      </c>
      <c r="BE127" s="29">
        <f t="shared" si="42"/>
        <v>0</v>
      </c>
      <c r="BF127" s="29">
        <f t="shared" si="43"/>
        <v>6.931970843995483E-2</v>
      </c>
      <c r="BH127" s="29"/>
    </row>
    <row r="128" spans="1:60" x14ac:dyDescent="0.25">
      <c r="A128" s="1">
        <v>46210</v>
      </c>
      <c r="B128" s="33">
        <v>86.74</v>
      </c>
      <c r="C128" s="33">
        <v>85.02</v>
      </c>
      <c r="D128" s="15">
        <v>-1.04364729600234E-2</v>
      </c>
      <c r="E128" s="15">
        <v>-1.05301078299105E-2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86.74</v>
      </c>
      <c r="M128" s="33">
        <v>85.02</v>
      </c>
      <c r="N128" s="34">
        <v>0.98017062485589102</v>
      </c>
      <c r="O128" s="34">
        <v>0.96273232566827205</v>
      </c>
      <c r="P128" s="34">
        <v>0.97881606565784995</v>
      </c>
      <c r="Q128" s="34">
        <v>0.97865073619889598</v>
      </c>
      <c r="R128" s="33">
        <v>83.507401928465896</v>
      </c>
      <c r="S128" s="33">
        <v>84.855274748336598</v>
      </c>
      <c r="T128" s="33">
        <v>84.886456713345893</v>
      </c>
      <c r="U128" s="15">
        <v>-1.79512491527535E-2</v>
      </c>
      <c r="V128" s="15">
        <v>-1.9393676158816701E-3</v>
      </c>
      <c r="W128" s="15">
        <v>-1.57196279337283E-3</v>
      </c>
      <c r="X128" s="34">
        <v>0.98017062485589102</v>
      </c>
      <c r="Y128" s="34">
        <v>0.96273232566827205</v>
      </c>
      <c r="Z128" s="34">
        <v>0.97881606565784995</v>
      </c>
      <c r="AA128" s="34">
        <v>0.97865073619889598</v>
      </c>
      <c r="AB128" s="33">
        <v>83.507401928465896</v>
      </c>
      <c r="AC128" s="33">
        <v>84.855274748336598</v>
      </c>
      <c r="AD128" s="33">
        <v>84.886456713345893</v>
      </c>
      <c r="AE128" s="15">
        <v>-1.79512491527535E-2</v>
      </c>
      <c r="AF128" s="15">
        <v>-1.9393676158816701E-3</v>
      </c>
      <c r="AG128" s="15">
        <v>-1.57196279337283E-3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3.79293296794476E-2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3.1390378760507237E-2</v>
      </c>
      <c r="BE128" s="29">
        <f t="shared" si="42"/>
        <v>0</v>
      </c>
      <c r="BF128" s="29">
        <f t="shared" si="43"/>
        <v>6.931970843995483E-2</v>
      </c>
      <c r="BH128" s="29"/>
    </row>
    <row r="129" spans="1:60" x14ac:dyDescent="0.25">
      <c r="A129" s="1">
        <v>46211</v>
      </c>
      <c r="B129" s="33">
        <v>83.59</v>
      </c>
      <c r="C129" s="33">
        <v>81.599999999999994</v>
      </c>
      <c r="D129" s="15">
        <v>-3.6991242696155301E-2</v>
      </c>
      <c r="E129" s="15">
        <v>-4.1057260960582799E-2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83.59</v>
      </c>
      <c r="M129" s="33">
        <v>81.599999999999994</v>
      </c>
      <c r="N129" s="34">
        <v>0.97619332456035401</v>
      </c>
      <c r="O129" s="34">
        <v>0.96273232566827205</v>
      </c>
      <c r="P129" s="34">
        <v>0.97909137979676997</v>
      </c>
      <c r="Q129" s="34">
        <v>0.97840265501673096</v>
      </c>
      <c r="R129" s="33">
        <v>80.474795102610898</v>
      </c>
      <c r="S129" s="33">
        <v>81.819234928339696</v>
      </c>
      <c r="T129" s="33">
        <v>81.805415038865704</v>
      </c>
      <c r="U129" s="15">
        <v>-1.38852308883261E-2</v>
      </c>
      <c r="V129" s="15">
        <v>2.6830998194180299E-3</v>
      </c>
      <c r="W129" s="15">
        <v>2.5141779667564599E-3</v>
      </c>
      <c r="X129" s="34">
        <v>0.97619332456035401</v>
      </c>
      <c r="Y129" s="34">
        <v>0.96273232566827205</v>
      </c>
      <c r="Z129" s="34">
        <v>0.97909137979676997</v>
      </c>
      <c r="AA129" s="34">
        <v>0.97840265501673096</v>
      </c>
      <c r="AB129" s="33">
        <v>80.474795102610898</v>
      </c>
      <c r="AC129" s="33">
        <v>81.819234928339696</v>
      </c>
      <c r="AD129" s="33">
        <v>81.805415038865704</v>
      </c>
      <c r="AE129" s="15">
        <v>-1.38852308883261E-2</v>
      </c>
      <c r="AF129" s="15">
        <v>2.6830998194180299E-3</v>
      </c>
      <c r="AG129" s="15">
        <v>2.5141779667564599E-3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3.79293296794476E-2</v>
      </c>
      <c r="AT129" s="12"/>
      <c r="AU129">
        <f t="shared" si="30"/>
        <v>0</v>
      </c>
      <c r="AV129">
        <f t="shared" si="31"/>
        <v>0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3.1390378760507237E-2</v>
      </c>
      <c r="BE129" s="29">
        <f t="shared" si="42"/>
        <v>0</v>
      </c>
      <c r="BF129" s="29">
        <f t="shared" si="43"/>
        <v>6.931970843995483E-2</v>
      </c>
      <c r="BH129" s="29"/>
    </row>
    <row r="130" spans="1:60" x14ac:dyDescent="0.25">
      <c r="A130" s="1">
        <v>46212</v>
      </c>
      <c r="B130" s="33">
        <v>84.35</v>
      </c>
      <c r="C130" s="33">
        <v>82.67</v>
      </c>
      <c r="D130" s="15">
        <v>9.0509132809124294E-3</v>
      </c>
      <c r="E130" s="15">
        <v>1.30275172945229E-2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84.35</v>
      </c>
      <c r="M130" s="33">
        <v>82.67</v>
      </c>
      <c r="N130" s="34">
        <v>0.98008298755186696</v>
      </c>
      <c r="O130" s="34">
        <v>0.96273232566827205</v>
      </c>
      <c r="P130" s="34">
        <v>0.97901468662081104</v>
      </c>
      <c r="Q130" s="34">
        <v>0.97831432384117001</v>
      </c>
      <c r="R130" s="33">
        <v>81.206471670118702</v>
      </c>
      <c r="S130" s="33">
        <v>82.586357885857595</v>
      </c>
      <c r="T130" s="33">
        <v>82.528263950661199</v>
      </c>
      <c r="U130" s="15">
        <v>-1.7861834901936699E-2</v>
      </c>
      <c r="V130" s="15">
        <v>-1.0122711447199399E-3</v>
      </c>
      <c r="W130" s="15">
        <v>-1.71595125429889E-3</v>
      </c>
      <c r="X130" s="34">
        <v>0.98008298755186696</v>
      </c>
      <c r="Y130" s="34">
        <v>0.96273232566827205</v>
      </c>
      <c r="Z130" s="34">
        <v>0.97901468662081104</v>
      </c>
      <c r="AA130" s="34">
        <v>0.97831432384117001</v>
      </c>
      <c r="AB130" s="33">
        <v>81.206471670118702</v>
      </c>
      <c r="AC130" s="33">
        <v>82.586357885857595</v>
      </c>
      <c r="AD130" s="33">
        <v>82.528263950661199</v>
      </c>
      <c r="AE130" s="15">
        <v>-1.7861834901936699E-2</v>
      </c>
      <c r="AF130" s="15">
        <v>-1.0122711447199399E-3</v>
      </c>
      <c r="AG130" s="15">
        <v>-1.71595125429889E-3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3.79293296794476E-2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3.1390378760507237E-2</v>
      </c>
      <c r="BE130" s="29">
        <f t="shared" si="42"/>
        <v>0</v>
      </c>
      <c r="BF130" s="29">
        <f t="shared" si="43"/>
        <v>6.931970843995483E-2</v>
      </c>
      <c r="BH130" s="29"/>
    </row>
    <row r="131" spans="1:60" x14ac:dyDescent="0.25">
      <c r="A131" s="1">
        <v>46213</v>
      </c>
      <c r="B131" s="33">
        <v>84.27</v>
      </c>
      <c r="C131" s="33">
        <v>82.55</v>
      </c>
      <c r="D131" s="15">
        <v>-9.4887920771531198E-4</v>
      </c>
      <c r="E131" s="15">
        <v>-1.45260889844731E-3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84.27</v>
      </c>
      <c r="M131" s="33">
        <v>82.55</v>
      </c>
      <c r="N131" s="34">
        <v>0.97958941497567298</v>
      </c>
      <c r="O131" s="34">
        <v>0.96273232566827205</v>
      </c>
      <c r="P131" s="34">
        <v>0.97925361959504598</v>
      </c>
      <c r="Q131" s="34">
        <v>0.97841789030503401</v>
      </c>
      <c r="R131" s="33">
        <v>81.129453084065304</v>
      </c>
      <c r="S131" s="33">
        <v>82.5015676415358</v>
      </c>
      <c r="T131" s="33">
        <v>82.442548070095398</v>
      </c>
      <c r="U131" s="15">
        <v>-1.7358105211204702E-2</v>
      </c>
      <c r="V131" s="15">
        <v>-5.8687549044652198E-4</v>
      </c>
      <c r="W131" s="15">
        <v>-1.3025066447264499E-3</v>
      </c>
      <c r="X131" s="34">
        <v>0.97958941497567298</v>
      </c>
      <c r="Y131" s="34">
        <v>0.96273232566827205</v>
      </c>
      <c r="Z131" s="34">
        <v>0.97925361959504598</v>
      </c>
      <c r="AA131" s="34">
        <v>0.97841789030503401</v>
      </c>
      <c r="AB131" s="33">
        <v>81.129453084065304</v>
      </c>
      <c r="AC131" s="33">
        <v>82.5015676415358</v>
      </c>
      <c r="AD131" s="33">
        <v>82.442548070095398</v>
      </c>
      <c r="AE131" s="15">
        <v>-1.7358105211204702E-2</v>
      </c>
      <c r="AF131" s="15">
        <v>-5.8687549044652198E-4</v>
      </c>
      <c r="AG131" s="15">
        <v>-1.3025066447264499E-3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3.79293296794476E-2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3.1390378760507237E-2</v>
      </c>
      <c r="BE131" s="29">
        <f t="shared" si="42"/>
        <v>0</v>
      </c>
      <c r="BF131" s="29">
        <f t="shared" si="43"/>
        <v>6.931970843995483E-2</v>
      </c>
      <c r="BH131" s="29"/>
    </row>
    <row r="132" spans="1:60" x14ac:dyDescent="0.25">
      <c r="A132" s="1">
        <v>46216</v>
      </c>
      <c r="B132" s="33">
        <v>82.84</v>
      </c>
      <c r="C132" s="33">
        <v>81.19</v>
      </c>
      <c r="D132" s="15">
        <v>-1.71148932568784E-2</v>
      </c>
      <c r="E132" s="15">
        <v>-1.66120834917819E-2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82.84</v>
      </c>
      <c r="M132" s="33">
        <v>81.19</v>
      </c>
      <c r="N132" s="34">
        <v>0.98008208594881696</v>
      </c>
      <c r="O132" s="34">
        <v>0.96273232566827205</v>
      </c>
      <c r="P132" s="34">
        <v>0.97899407797606997</v>
      </c>
      <c r="Q132" s="34">
        <v>0.978485712348657</v>
      </c>
      <c r="R132" s="33">
        <v>79.752745858359702</v>
      </c>
      <c r="S132" s="33">
        <v>81.121369847253604</v>
      </c>
      <c r="T132" s="33">
        <v>81.052138032868996</v>
      </c>
      <c r="U132" s="15">
        <v>-1.7860914976301299E-2</v>
      </c>
      <c r="V132" s="15">
        <v>-8.4566049687030004E-4</v>
      </c>
      <c r="W132" s="15">
        <v>-1.69945985652249E-3</v>
      </c>
      <c r="X132" s="34">
        <v>0.98008208594881696</v>
      </c>
      <c r="Y132" s="34">
        <v>0.96273232566827205</v>
      </c>
      <c r="Z132" s="34">
        <v>0.97899407797606997</v>
      </c>
      <c r="AA132" s="34">
        <v>0.978485712348657</v>
      </c>
      <c r="AB132" s="33">
        <v>79.752745858359702</v>
      </c>
      <c r="AC132" s="33">
        <v>81.121369847253604</v>
      </c>
      <c r="AD132" s="33">
        <v>81.052138032868996</v>
      </c>
      <c r="AE132" s="15">
        <v>-1.7860914976301299E-2</v>
      </c>
      <c r="AF132" s="15">
        <v>-8.4566049687030004E-4</v>
      </c>
      <c r="AG132" s="15">
        <v>-1.69945985652249E-3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3.79293296794476E-2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3.1390378760507237E-2</v>
      </c>
      <c r="BE132" s="29">
        <f t="shared" si="42"/>
        <v>0</v>
      </c>
      <c r="BF132" s="29">
        <f t="shared" si="43"/>
        <v>6.931970843995483E-2</v>
      </c>
      <c r="BH132" s="29"/>
    </row>
    <row r="133" spans="1:60" x14ac:dyDescent="0.25">
      <c r="A133" s="1">
        <v>46217</v>
      </c>
      <c r="B133" s="33">
        <v>83.71</v>
      </c>
      <c r="C133" s="33">
        <v>82.2</v>
      </c>
      <c r="D133" s="15">
        <v>1.04474081445815E-2</v>
      </c>
      <c r="E133" s="15">
        <v>1.23632151877791E-2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83.71</v>
      </c>
      <c r="M133" s="33">
        <v>82.2</v>
      </c>
      <c r="N133" s="34">
        <v>0.98196153386692098</v>
      </c>
      <c r="O133" s="34">
        <v>0.96273232566827205</v>
      </c>
      <c r="P133" s="34">
        <v>0.97934763367426403</v>
      </c>
      <c r="Q133" s="34">
        <v>0.97858046678286703</v>
      </c>
      <c r="R133" s="33">
        <v>80.590322981691003</v>
      </c>
      <c r="S133" s="33">
        <v>81.951594267376805</v>
      </c>
      <c r="T133" s="33">
        <v>81.909038980706001</v>
      </c>
      <c r="U133" s="15">
        <v>-1.97767220194991E-2</v>
      </c>
      <c r="V133" s="15">
        <v>-3.0265429141567799E-3</v>
      </c>
      <c r="W133" s="15">
        <v>-3.5459512282091702E-3</v>
      </c>
      <c r="X133" s="34">
        <v>0.98196153386692098</v>
      </c>
      <c r="Y133" s="34">
        <v>0.96273232566827205</v>
      </c>
      <c r="Z133" s="34">
        <v>0.97934763367426403</v>
      </c>
      <c r="AA133" s="34">
        <v>0.97858046678286703</v>
      </c>
      <c r="AB133" s="33">
        <v>80.590322981691003</v>
      </c>
      <c r="AC133" s="33">
        <v>81.951594267376805</v>
      </c>
      <c r="AD133" s="33">
        <v>81.909038980706001</v>
      </c>
      <c r="AE133" s="15">
        <v>-1.97767220194991E-2</v>
      </c>
      <c r="AF133" s="15">
        <v>-3.0265429141567799E-3</v>
      </c>
      <c r="AG133" s="15">
        <v>-3.5459512282091702E-3</v>
      </c>
      <c r="AI133" s="12"/>
      <c r="AJ133">
        <f t="shared" si="26"/>
        <v>0</v>
      </c>
      <c r="AK133">
        <f t="shared" si="27"/>
        <v>0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3.79293296794476E-2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3.1390378760507237E-2</v>
      </c>
      <c r="BE133" s="29">
        <f t="shared" si="42"/>
        <v>0</v>
      </c>
      <c r="BF133" s="29">
        <f t="shared" si="43"/>
        <v>6.931970843995483E-2</v>
      </c>
      <c r="BH133" s="29"/>
    </row>
    <row r="134" spans="1:60" x14ac:dyDescent="0.25">
      <c r="A134" s="1">
        <v>46218</v>
      </c>
      <c r="B134" s="33">
        <v>85.29</v>
      </c>
      <c r="C134" s="33">
        <v>83.4</v>
      </c>
      <c r="D134" s="15">
        <v>1.8698769659053101E-2</v>
      </c>
      <c r="E134" s="15">
        <v>1.44930073025668E-2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85.29</v>
      </c>
      <c r="M134" s="33">
        <v>83.4</v>
      </c>
      <c r="N134" s="34">
        <v>0.97784030953218404</v>
      </c>
      <c r="O134" s="34">
        <v>0.96273232566827205</v>
      </c>
      <c r="P134" s="34">
        <v>0.97909873281181203</v>
      </c>
      <c r="Q134" s="34">
        <v>0.97848640983607804</v>
      </c>
      <c r="R134" s="33">
        <v>82.111440056246906</v>
      </c>
      <c r="S134" s="33">
        <v>83.528559676078004</v>
      </c>
      <c r="T134" s="33">
        <v>83.463128011910698</v>
      </c>
      <c r="U134" s="15">
        <v>-1.5570959663012701E-2</v>
      </c>
      <c r="V134" s="15">
        <v>1.54029606132028E-3</v>
      </c>
      <c r="W134" s="15">
        <v>7.5664427096242405E-4</v>
      </c>
      <c r="X134" s="34">
        <v>0.97784030953218404</v>
      </c>
      <c r="Y134" s="34">
        <v>0.96273232566827205</v>
      </c>
      <c r="Z134" s="34">
        <v>0.97909873281181203</v>
      </c>
      <c r="AA134" s="34">
        <v>0.97848640983607804</v>
      </c>
      <c r="AB134" s="33">
        <v>82.111440056246906</v>
      </c>
      <c r="AC134" s="33">
        <v>83.528559676078004</v>
      </c>
      <c r="AD134" s="33">
        <v>83.463128011910698</v>
      </c>
      <c r="AE134" s="15">
        <v>-1.5570959663012701E-2</v>
      </c>
      <c r="AF134" s="15">
        <v>1.54029606132028E-3</v>
      </c>
      <c r="AG134" s="15">
        <v>7.5664427096242405E-4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3.79293296794476E-2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3.1390378760507237E-2</v>
      </c>
      <c r="BE134" s="29">
        <f t="shared" si="42"/>
        <v>0</v>
      </c>
      <c r="BF134" s="29">
        <f t="shared" si="43"/>
        <v>6.931970843995483E-2</v>
      </c>
      <c r="BH134" s="29"/>
    </row>
    <row r="135" spans="1:60" x14ac:dyDescent="0.25">
      <c r="A135" s="1">
        <v>46219</v>
      </c>
      <c r="B135" s="33">
        <v>86.4</v>
      </c>
      <c r="C135" s="33">
        <v>84.74</v>
      </c>
      <c r="D135" s="15">
        <v>1.29304614789918E-2</v>
      </c>
      <c r="E135" s="15">
        <v>1.5939435833712001E-2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86.4</v>
      </c>
      <c r="M135" s="33">
        <v>84.74</v>
      </c>
      <c r="N135" s="34">
        <v>0.98078703703703696</v>
      </c>
      <c r="O135" s="34">
        <v>0.96273232566827205</v>
      </c>
      <c r="P135" s="34">
        <v>0.97949767543120603</v>
      </c>
      <c r="Q135" s="34">
        <v>0.97870642553288401</v>
      </c>
      <c r="R135" s="33">
        <v>83.1800729377387</v>
      </c>
      <c r="S135" s="33">
        <v>84.594130514940602</v>
      </c>
      <c r="T135" s="33">
        <v>84.541225809837101</v>
      </c>
      <c r="U135" s="15">
        <v>-1.8579934017732901E-2</v>
      </c>
      <c r="V135" s="15">
        <v>-1.7228602491081301E-3</v>
      </c>
      <c r="W135" s="15">
        <v>-2.3484504033904302E-3</v>
      </c>
      <c r="X135" s="34">
        <v>0.98078703703703696</v>
      </c>
      <c r="Y135" s="34">
        <v>0.96273232566827205</v>
      </c>
      <c r="Z135" s="34">
        <v>0.97949767543120603</v>
      </c>
      <c r="AA135" s="34">
        <v>0.97870642553288401</v>
      </c>
      <c r="AB135" s="33">
        <v>83.1800729377387</v>
      </c>
      <c r="AC135" s="33">
        <v>84.594130514940602</v>
      </c>
      <c r="AD135" s="33">
        <v>84.541225809837101</v>
      </c>
      <c r="AE135" s="15">
        <v>-1.8579934017732901E-2</v>
      </c>
      <c r="AF135" s="15">
        <v>-1.7228602491081301E-3</v>
      </c>
      <c r="AG135" s="15">
        <v>-2.3484504033904302E-3</v>
      </c>
      <c r="AI135" s="12"/>
      <c r="AJ135">
        <f t="shared" si="26"/>
        <v>0</v>
      </c>
      <c r="AK135">
        <f t="shared" si="27"/>
        <v>0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3.79293296794476E-2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3.1390378760507237E-2</v>
      </c>
      <c r="BE135" s="29">
        <f t="shared" si="42"/>
        <v>0</v>
      </c>
      <c r="BF135" s="29">
        <f t="shared" si="43"/>
        <v>6.931970843995483E-2</v>
      </c>
      <c r="BH135" s="29"/>
    </row>
    <row r="136" spans="1:60" x14ac:dyDescent="0.25">
      <c r="A136" s="1">
        <v>46220</v>
      </c>
      <c r="B136" s="33">
        <v>83.89</v>
      </c>
      <c r="C136" s="33">
        <v>82.17</v>
      </c>
      <c r="D136" s="15">
        <v>-2.9481258951806699E-2</v>
      </c>
      <c r="E136" s="15">
        <v>-3.07974732553166E-2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83.89</v>
      </c>
      <c r="M136" s="33">
        <v>82.17</v>
      </c>
      <c r="N136" s="34">
        <v>0.97949696030516098</v>
      </c>
      <c r="O136" s="34">
        <v>0.96273232566827205</v>
      </c>
      <c r="P136" s="34">
        <v>0.97964666859356697</v>
      </c>
      <c r="Q136" s="34">
        <v>0.97866994144823405</v>
      </c>
      <c r="R136" s="33">
        <v>80.763614800311302</v>
      </c>
      <c r="S136" s="33">
        <v>82.170059991923907</v>
      </c>
      <c r="T136" s="33">
        <v>82.103682037953604</v>
      </c>
      <c r="U136" s="15">
        <v>-1.7263719714223E-2</v>
      </c>
      <c r="V136" s="15">
        <v>7.3009494998630496E-7</v>
      </c>
      <c r="W136" s="15">
        <v>-8.0740828142859703E-4</v>
      </c>
      <c r="X136" s="34">
        <v>0.97949696030516098</v>
      </c>
      <c r="Y136" s="34">
        <v>0.96273232566827205</v>
      </c>
      <c r="Z136" s="34">
        <v>0.97964666859356697</v>
      </c>
      <c r="AA136" s="34">
        <v>0.97866994144823405</v>
      </c>
      <c r="AB136" s="33">
        <v>80.763614800311302</v>
      </c>
      <c r="AC136" s="33">
        <v>82.170059991923907</v>
      </c>
      <c r="AD136" s="33">
        <v>82.103682037953604</v>
      </c>
      <c r="AE136" s="15">
        <v>-1.7263719714223E-2</v>
      </c>
      <c r="AF136" s="15">
        <v>7.3009494998630496E-7</v>
      </c>
      <c r="AG136" s="15">
        <v>-8.0740828142859703E-4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3.79293296794476E-2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3.1390378760507237E-2</v>
      </c>
      <c r="BE136" s="29">
        <f t="shared" si="42"/>
        <v>0</v>
      </c>
      <c r="BF136" s="29">
        <f t="shared" si="43"/>
        <v>6.931970843995483E-2</v>
      </c>
      <c r="BH136" s="29"/>
    </row>
    <row r="137" spans="1:60" x14ac:dyDescent="0.25">
      <c r="A137" s="1">
        <v>46223</v>
      </c>
      <c r="B137" s="33">
        <v>82.9</v>
      </c>
      <c r="C137" s="33">
        <v>81.349999999999994</v>
      </c>
      <c r="D137" s="15">
        <v>-1.18713547169539E-2</v>
      </c>
      <c r="E137" s="15">
        <v>-1.0029438278049699E-2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82.9</v>
      </c>
      <c r="M137" s="33">
        <v>81.349999999999994</v>
      </c>
      <c r="N137" s="34">
        <v>0.98130277442701996</v>
      </c>
      <c r="O137" s="34">
        <v>0.96273232566827205</v>
      </c>
      <c r="P137" s="34">
        <v>0.97975070530609198</v>
      </c>
      <c r="Q137" s="34">
        <v>0.97901113054292799</v>
      </c>
      <c r="R137" s="33">
        <v>79.810509797899797</v>
      </c>
      <c r="S137" s="33">
        <v>81.212708826406697</v>
      </c>
      <c r="T137" s="33">
        <v>81.131738146058595</v>
      </c>
      <c r="U137" s="15">
        <v>-1.91056361531271E-2</v>
      </c>
      <c r="V137" s="15">
        <v>-1.68908610376248E-3</v>
      </c>
      <c r="W137" s="15">
        <v>-2.6866032787838902E-3</v>
      </c>
      <c r="X137" s="34">
        <v>0.98130277442701996</v>
      </c>
      <c r="Y137" s="34">
        <v>0.96273232566827205</v>
      </c>
      <c r="Z137" s="34">
        <v>0.97975070530609198</v>
      </c>
      <c r="AA137" s="34">
        <v>0.97901113054292799</v>
      </c>
      <c r="AB137" s="33">
        <v>79.810509797899797</v>
      </c>
      <c r="AC137" s="33">
        <v>81.212708826406697</v>
      </c>
      <c r="AD137" s="33">
        <v>81.131738146058595</v>
      </c>
      <c r="AE137" s="15">
        <v>-1.91056361531271E-2</v>
      </c>
      <c r="AF137" s="15">
        <v>-1.68908610376248E-3</v>
      </c>
      <c r="AG137" s="15">
        <v>-2.6866032787838902E-3</v>
      </c>
      <c r="AI137" s="12"/>
      <c r="AJ137">
        <f t="shared" si="26"/>
        <v>0</v>
      </c>
      <c r="AK137">
        <f t="shared" si="27"/>
        <v>0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3.79293296794476E-2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3.1390378760507237E-2</v>
      </c>
      <c r="BE137" s="29">
        <f t="shared" si="42"/>
        <v>0</v>
      </c>
      <c r="BF137" s="29">
        <f t="shared" si="43"/>
        <v>6.931970843995483E-2</v>
      </c>
      <c r="BH137" s="29"/>
    </row>
    <row r="138" spans="1:60" x14ac:dyDescent="0.25">
      <c r="A138" s="1">
        <v>46224</v>
      </c>
      <c r="B138" s="33">
        <v>81.84</v>
      </c>
      <c r="C138" s="33">
        <v>80.41</v>
      </c>
      <c r="D138" s="15">
        <v>-1.2868940497878199E-2</v>
      </c>
      <c r="E138" s="15">
        <v>-1.1622287104989E-2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81.84</v>
      </c>
      <c r="M138" s="33">
        <v>80.41</v>
      </c>
      <c r="N138" s="34">
        <v>0.98252688172043001</v>
      </c>
      <c r="O138" s="34">
        <v>0.96273232566827205</v>
      </c>
      <c r="P138" s="34">
        <v>0.97998633099254595</v>
      </c>
      <c r="Q138" s="34">
        <v>0.97940119832519801</v>
      </c>
      <c r="R138" s="33">
        <v>78.790013532691404</v>
      </c>
      <c r="S138" s="33">
        <v>80.182797722250598</v>
      </c>
      <c r="T138" s="33">
        <v>80.122270923633195</v>
      </c>
      <c r="U138" s="15">
        <v>-2.0352289546016301E-2</v>
      </c>
      <c r="V138" s="15">
        <v>-2.8295469356033102E-3</v>
      </c>
      <c r="W138" s="15">
        <v>-3.58469213475316E-3</v>
      </c>
      <c r="X138" s="34">
        <v>0.98252688172043001</v>
      </c>
      <c r="Y138" s="34">
        <v>0.96273232566827205</v>
      </c>
      <c r="Z138" s="34">
        <v>0.97998633099254595</v>
      </c>
      <c r="AA138" s="34">
        <v>0.97940119832519801</v>
      </c>
      <c r="AB138" s="33">
        <v>78.790013532691404</v>
      </c>
      <c r="AC138" s="33">
        <v>80.182797722250598</v>
      </c>
      <c r="AD138" s="33">
        <v>80.122270923633195</v>
      </c>
      <c r="AE138" s="15">
        <v>-2.0352289546016301E-2</v>
      </c>
      <c r="AF138" s="15">
        <v>-2.8295469356033102E-3</v>
      </c>
      <c r="AG138" s="15">
        <v>-3.58469213475316E-3</v>
      </c>
      <c r="AI138" s="12"/>
      <c r="AJ138">
        <f t="shared" si="26"/>
        <v>0</v>
      </c>
      <c r="AK138">
        <f t="shared" si="27"/>
        <v>0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3.79293296794476E-2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3.1390378760507237E-2</v>
      </c>
      <c r="BE138" s="29">
        <f t="shared" si="42"/>
        <v>0</v>
      </c>
      <c r="BF138" s="29">
        <f t="shared" si="43"/>
        <v>6.931970843995483E-2</v>
      </c>
      <c r="BH138" s="29"/>
    </row>
    <row r="139" spans="1:60" x14ac:dyDescent="0.25">
      <c r="A139" s="1">
        <v>46225</v>
      </c>
      <c r="B139" s="33">
        <v>82.15</v>
      </c>
      <c r="C139" s="33">
        <v>80.569999999999993</v>
      </c>
      <c r="D139" s="15">
        <v>3.7807228399061501E-3</v>
      </c>
      <c r="E139" s="15">
        <v>1.9878252290467802E-3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82.15</v>
      </c>
      <c r="M139" s="33">
        <v>80.569999999999993</v>
      </c>
      <c r="N139" s="34">
        <v>0.98076688983566596</v>
      </c>
      <c r="O139" s="34">
        <v>0.96273232566827205</v>
      </c>
      <c r="P139" s="34">
        <v>0.98044368752007804</v>
      </c>
      <c r="Q139" s="34">
        <v>0.97976753365842395</v>
      </c>
      <c r="R139" s="33">
        <v>79.088460553648602</v>
      </c>
      <c r="S139" s="33">
        <v>80.505877091037704</v>
      </c>
      <c r="T139" s="33">
        <v>80.457808442415001</v>
      </c>
      <c r="U139" s="15">
        <v>-1.8559391935157099E-2</v>
      </c>
      <c r="V139" s="15">
        <v>-7.9618268740966303E-4</v>
      </c>
      <c r="W139" s="15">
        <v>-1.3934434905810401E-3</v>
      </c>
      <c r="X139" s="34">
        <v>0.98076688983566596</v>
      </c>
      <c r="Y139" s="34">
        <v>0.96273232566827205</v>
      </c>
      <c r="Z139" s="34">
        <v>0.98044368752007804</v>
      </c>
      <c r="AA139" s="34">
        <v>0.97976753365842395</v>
      </c>
      <c r="AB139" s="33">
        <v>79.088460553648602</v>
      </c>
      <c r="AC139" s="33">
        <v>80.505877091037704</v>
      </c>
      <c r="AD139" s="33">
        <v>80.457808442415001</v>
      </c>
      <c r="AE139" s="15">
        <v>-1.8559391935157099E-2</v>
      </c>
      <c r="AF139" s="15">
        <v>-7.9618268740966303E-4</v>
      </c>
      <c r="AG139" s="15">
        <v>-1.3934434905810401E-3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3.79293296794476E-2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3.1390378760507237E-2</v>
      </c>
      <c r="BE139" s="29">
        <f t="shared" si="42"/>
        <v>0</v>
      </c>
      <c r="BF139" s="29">
        <f t="shared" si="43"/>
        <v>6.931970843995483E-2</v>
      </c>
      <c r="BH139" s="29"/>
    </row>
    <row r="140" spans="1:60" x14ac:dyDescent="0.25">
      <c r="A140" s="1">
        <v>46226</v>
      </c>
      <c r="B140" s="33">
        <v>82.13</v>
      </c>
      <c r="C140" s="33">
        <v>80.72</v>
      </c>
      <c r="D140" s="15">
        <v>-2.4348673117624E-4</v>
      </c>
      <c r="E140" s="15">
        <v>1.86000425624904E-3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82.13</v>
      </c>
      <c r="M140" s="33">
        <v>80.72</v>
      </c>
      <c r="N140" s="34">
        <v>0.98283209545841899</v>
      </c>
      <c r="O140" s="34">
        <v>0.96273232566827205</v>
      </c>
      <c r="P140" s="34">
        <v>0.98071859831073305</v>
      </c>
      <c r="Q140" s="34">
        <v>0.97986664246577204</v>
      </c>
      <c r="R140" s="33">
        <v>79.069205907135199</v>
      </c>
      <c r="S140" s="33">
        <v>80.523840056024</v>
      </c>
      <c r="T140" s="33">
        <v>80.468307539366293</v>
      </c>
      <c r="U140" s="15">
        <v>-2.0662882922582199E-2</v>
      </c>
      <c r="V140" s="15">
        <v>-2.43308570024798E-3</v>
      </c>
      <c r="W140" s="15">
        <v>-3.1229643022734599E-3</v>
      </c>
      <c r="X140" s="34">
        <v>0.98283209545841899</v>
      </c>
      <c r="Y140" s="34">
        <v>0.96273232566827205</v>
      </c>
      <c r="Z140" s="34">
        <v>0.98071859831073305</v>
      </c>
      <c r="AA140" s="34">
        <v>0.97986664246577204</v>
      </c>
      <c r="AB140" s="33">
        <v>79.069205907135199</v>
      </c>
      <c r="AC140" s="33">
        <v>80.523840056024</v>
      </c>
      <c r="AD140" s="33">
        <v>80.468307539366293</v>
      </c>
      <c r="AE140" s="15">
        <v>-2.0662882922582199E-2</v>
      </c>
      <c r="AF140" s="15">
        <v>-2.43308570024798E-3</v>
      </c>
      <c r="AG140" s="15">
        <v>-3.1229643022734599E-3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3.79293296794476E-2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3.1390378760507237E-2</v>
      </c>
      <c r="BE140" s="29">
        <f t="shared" si="42"/>
        <v>0</v>
      </c>
      <c r="BF140" s="29">
        <f t="shared" si="43"/>
        <v>6.931970843995483E-2</v>
      </c>
      <c r="BH140" s="29"/>
    </row>
    <row r="141" spans="1:60" x14ac:dyDescent="0.25">
      <c r="A141" s="1">
        <v>46227</v>
      </c>
      <c r="B141" s="33">
        <v>84.64</v>
      </c>
      <c r="C141" s="33">
        <v>82.92</v>
      </c>
      <c r="D141" s="15">
        <v>3.0103610357888399E-2</v>
      </c>
      <c r="E141" s="15">
        <v>2.68899115222252E-2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84.64</v>
      </c>
      <c r="M141" s="33">
        <v>82.92</v>
      </c>
      <c r="N141" s="34">
        <v>0.97967863894139795</v>
      </c>
      <c r="O141" s="34">
        <v>0.96273232566827205</v>
      </c>
      <c r="P141" s="34">
        <v>0.98072752070730496</v>
      </c>
      <c r="Q141" s="34">
        <v>0.97999057015117597</v>
      </c>
      <c r="R141" s="33">
        <v>81.485664044562597</v>
      </c>
      <c r="S141" s="33">
        <v>83.008022161020406</v>
      </c>
      <c r="T141" s="33">
        <v>82.935912618302893</v>
      </c>
      <c r="U141" s="15">
        <v>-1.7449184086919301E-2</v>
      </c>
      <c r="V141" s="15">
        <v>1.06096810087815E-3</v>
      </c>
      <c r="W141" s="15">
        <v>1.91884848728946E-4</v>
      </c>
      <c r="X141" s="34">
        <v>0.97967863894139795</v>
      </c>
      <c r="Y141" s="34">
        <v>0.96273232566827205</v>
      </c>
      <c r="Z141" s="34">
        <v>0.98072752070730496</v>
      </c>
      <c r="AA141" s="34">
        <v>0.97999057015117597</v>
      </c>
      <c r="AB141" s="33">
        <v>81.485664044562597</v>
      </c>
      <c r="AC141" s="33">
        <v>83.008022161020406</v>
      </c>
      <c r="AD141" s="33">
        <v>82.935912618302893</v>
      </c>
      <c r="AE141" s="15">
        <v>-1.7449184086919301E-2</v>
      </c>
      <c r="AF141" s="15">
        <v>1.06096810087815E-3</v>
      </c>
      <c r="AG141" s="15">
        <v>1.91884848728946E-4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3.79293296794476E-2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3.1390378760507237E-2</v>
      </c>
      <c r="BE141" s="29">
        <f t="shared" si="42"/>
        <v>0</v>
      </c>
      <c r="BF141" s="29">
        <f t="shared" si="43"/>
        <v>6.931970843995483E-2</v>
      </c>
      <c r="BH141" s="29"/>
    </row>
    <row r="142" spans="1:60" x14ac:dyDescent="0.25">
      <c r="A142" s="1">
        <v>46230</v>
      </c>
      <c r="B142" s="33">
        <v>85.04</v>
      </c>
      <c r="C142" s="33">
        <v>83.3</v>
      </c>
      <c r="D142" s="15">
        <v>4.7147659237033899E-3</v>
      </c>
      <c r="E142" s="15">
        <v>4.5722616052181596E-3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85.04</v>
      </c>
      <c r="M142" s="33">
        <v>83.3</v>
      </c>
      <c r="N142" s="34">
        <v>0.97953904045155205</v>
      </c>
      <c r="O142" s="34">
        <v>0.96273232566827205</v>
      </c>
      <c r="P142" s="34">
        <v>0.98067321615757896</v>
      </c>
      <c r="Q142" s="34">
        <v>0.97983364706682397</v>
      </c>
      <c r="R142" s="33">
        <v>81.870756974829902</v>
      </c>
      <c r="S142" s="33">
        <v>83.401068360949196</v>
      </c>
      <c r="T142" s="33">
        <v>83.338398085655996</v>
      </c>
      <c r="U142" s="15">
        <v>-1.73066797684342E-2</v>
      </c>
      <c r="V142" s="15">
        <v>1.2125701931804901E-3</v>
      </c>
      <c r="W142" s="15">
        <v>4.6085520236337598E-4</v>
      </c>
      <c r="X142" s="34">
        <v>0.97953904045155205</v>
      </c>
      <c r="Y142" s="34">
        <v>0.96273232566827205</v>
      </c>
      <c r="Z142" s="34">
        <v>0.98067321615757896</v>
      </c>
      <c r="AA142" s="34">
        <v>0.97983364706682397</v>
      </c>
      <c r="AB142" s="33">
        <v>81.870756974829902</v>
      </c>
      <c r="AC142" s="33">
        <v>83.401068360949196</v>
      </c>
      <c r="AD142" s="33">
        <v>83.338398085655996</v>
      </c>
      <c r="AE142" s="15">
        <v>-1.73066797684342E-2</v>
      </c>
      <c r="AF142" s="15">
        <v>1.2125701931804901E-3</v>
      </c>
      <c r="AG142" s="15">
        <v>4.6085520236337598E-4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3.79293296794476E-2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3.1390378760507237E-2</v>
      </c>
      <c r="BE142" s="29">
        <f t="shared" si="42"/>
        <v>0</v>
      </c>
      <c r="BF142" s="29">
        <f t="shared" si="43"/>
        <v>6.931970843995483E-2</v>
      </c>
      <c r="BH142" s="29"/>
    </row>
    <row r="143" spans="1:60" x14ac:dyDescent="0.25">
      <c r="A143" s="1">
        <v>46231</v>
      </c>
      <c r="B143" s="33">
        <v>87.65</v>
      </c>
      <c r="C143" s="33">
        <v>86.12</v>
      </c>
      <c r="D143" s="15">
        <v>3.0229877333550901E-2</v>
      </c>
      <c r="E143" s="15">
        <v>3.3293123323365398E-2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87.65</v>
      </c>
      <c r="M143" s="33">
        <v>86.12</v>
      </c>
      <c r="N143" s="34">
        <v>0.98254420992584102</v>
      </c>
      <c r="O143" s="34">
        <v>0.96273232566827205</v>
      </c>
      <c r="P143" s="34">
        <v>0.98073148376347097</v>
      </c>
      <c r="Q143" s="34">
        <v>0.98003955871886705</v>
      </c>
      <c r="R143" s="33">
        <v>84.383488344824102</v>
      </c>
      <c r="S143" s="33">
        <v>85.956007396211803</v>
      </c>
      <c r="T143" s="33">
        <v>85.8824191654071</v>
      </c>
      <c r="U143" s="15">
        <v>-2.0369925758248399E-2</v>
      </c>
      <c r="V143" s="15">
        <v>-1.9060490293647901E-3</v>
      </c>
      <c r="W143" s="15">
        <v>-2.7625307462372998E-3</v>
      </c>
      <c r="X143" s="34">
        <v>0.98254420992584102</v>
      </c>
      <c r="Y143" s="34">
        <v>0.96273232566827205</v>
      </c>
      <c r="Z143" s="34">
        <v>0.98073148376347097</v>
      </c>
      <c r="AA143" s="34">
        <v>0.98003955871886705</v>
      </c>
      <c r="AB143" s="33">
        <v>84.383488344824102</v>
      </c>
      <c r="AC143" s="33">
        <v>85.956007396211803</v>
      </c>
      <c r="AD143" s="33">
        <v>85.8824191654071</v>
      </c>
      <c r="AE143" s="15">
        <v>-2.0369925758248399E-2</v>
      </c>
      <c r="AF143" s="15">
        <v>-1.9060490293647901E-3</v>
      </c>
      <c r="AG143" s="15">
        <v>-2.7625307462372998E-3</v>
      </c>
      <c r="AI143" s="12"/>
      <c r="AJ143">
        <f t="shared" si="26"/>
        <v>0</v>
      </c>
      <c r="AK143">
        <f t="shared" si="27"/>
        <v>0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3.79293296794476E-2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3.1390378760507237E-2</v>
      </c>
      <c r="BE143" s="29">
        <f t="shared" si="42"/>
        <v>0</v>
      </c>
      <c r="BF143" s="29">
        <f t="shared" si="43"/>
        <v>6.931970843995483E-2</v>
      </c>
      <c r="BH143" s="29"/>
    </row>
    <row r="144" spans="1:60" x14ac:dyDescent="0.25">
      <c r="A144" s="1">
        <v>46232</v>
      </c>
      <c r="B144" s="33">
        <v>84.56</v>
      </c>
      <c r="C144" s="33">
        <v>82.49</v>
      </c>
      <c r="D144" s="15">
        <v>-3.5890269805261298E-2</v>
      </c>
      <c r="E144" s="15">
        <v>-4.3064598623522E-2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84.56</v>
      </c>
      <c r="M144" s="33">
        <v>82.49</v>
      </c>
      <c r="N144" s="34">
        <v>0.975520340586565</v>
      </c>
      <c r="O144" s="34">
        <v>0.96273232566827205</v>
      </c>
      <c r="P144" s="34">
        <v>0.98049948686890898</v>
      </c>
      <c r="Q144" s="34">
        <v>0.979799109840361</v>
      </c>
      <c r="R144" s="33">
        <v>81.408645458509099</v>
      </c>
      <c r="S144" s="33">
        <v>82.930654267039102</v>
      </c>
      <c r="T144" s="33">
        <v>82.872145085267405</v>
      </c>
      <c r="U144" s="15">
        <v>-1.31955969399878E-2</v>
      </c>
      <c r="V144" s="15">
        <v>5.3276939484638904E-3</v>
      </c>
      <c r="W144" s="15">
        <v>4.6219255967969502E-3</v>
      </c>
      <c r="X144" s="34">
        <v>0.975520340586565</v>
      </c>
      <c r="Y144" s="34">
        <v>0.96273232566827205</v>
      </c>
      <c r="Z144" s="34">
        <v>0.98049948686890898</v>
      </c>
      <c r="AA144" s="34">
        <v>0.979799109840361</v>
      </c>
      <c r="AB144" s="33">
        <v>81.408645458509099</v>
      </c>
      <c r="AC144" s="33">
        <v>82.930654267039102</v>
      </c>
      <c r="AD144" s="33">
        <v>82.872145085267405</v>
      </c>
      <c r="AE144" s="15">
        <v>-1.31955969399878E-2</v>
      </c>
      <c r="AF144" s="15">
        <v>5.3276939484638904E-3</v>
      </c>
      <c r="AG144" s="15">
        <v>4.6219255967969502E-3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3.79293296794476E-2</v>
      </c>
      <c r="AT144" s="12"/>
      <c r="AU144">
        <f t="shared" si="30"/>
        <v>1</v>
      </c>
      <c r="AV144">
        <f t="shared" si="31"/>
        <v>0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3.1390378760507237E-2</v>
      </c>
      <c r="BE144" s="29">
        <f t="shared" si="42"/>
        <v>0</v>
      </c>
      <c r="BF144" s="29">
        <f t="shared" si="43"/>
        <v>6.931970843995483E-2</v>
      </c>
      <c r="BH144" s="29"/>
    </row>
    <row r="145" spans="1:60" x14ac:dyDescent="0.25">
      <c r="A145" s="1">
        <v>46233</v>
      </c>
      <c r="B145" s="33">
        <v>83.75</v>
      </c>
      <c r="C145" s="33">
        <v>81.760000000000005</v>
      </c>
      <c r="D145" s="15">
        <v>-9.6251708568064406E-3</v>
      </c>
      <c r="E145" s="15">
        <v>-8.8889474172459196E-3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83.75</v>
      </c>
      <c r="M145" s="33">
        <v>81.760000000000005</v>
      </c>
      <c r="N145" s="34">
        <v>0.976238805970149</v>
      </c>
      <c r="O145" s="34">
        <v>0.96273232566827205</v>
      </c>
      <c r="P145" s="34">
        <v>0.98004466376221999</v>
      </c>
      <c r="Q145" s="34">
        <v>0.97977116959671295</v>
      </c>
      <c r="R145" s="33">
        <v>80.628832274717794</v>
      </c>
      <c r="S145" s="33">
        <v>82.116832025271094</v>
      </c>
      <c r="T145" s="33">
        <v>82.058175449130204</v>
      </c>
      <c r="U145" s="15">
        <v>-1.3931820379548199E-2</v>
      </c>
      <c r="V145" s="15">
        <v>4.3548875677628896E-3</v>
      </c>
      <c r="W145" s="15">
        <v>3.64032596013344E-3</v>
      </c>
      <c r="X145" s="34">
        <v>0.976238805970149</v>
      </c>
      <c r="Y145" s="34">
        <v>0.96273232566827205</v>
      </c>
      <c r="Z145" s="34">
        <v>0.98004466376221999</v>
      </c>
      <c r="AA145" s="34">
        <v>0.97977116959671295</v>
      </c>
      <c r="AB145" s="33">
        <v>80.628832274717794</v>
      </c>
      <c r="AC145" s="33">
        <v>82.116832025271094</v>
      </c>
      <c r="AD145" s="33">
        <v>82.058175449130204</v>
      </c>
      <c r="AE145" s="15">
        <v>-1.3931820379548199E-2</v>
      </c>
      <c r="AF145" s="15">
        <v>4.3548875677628896E-3</v>
      </c>
      <c r="AG145" s="15">
        <v>3.64032596013344E-3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3.79293296794476E-2</v>
      </c>
      <c r="AT145" s="12"/>
      <c r="AU145">
        <f t="shared" si="30"/>
        <v>0</v>
      </c>
      <c r="AV145">
        <f t="shared" si="31"/>
        <v>0</v>
      </c>
      <c r="AW145">
        <f t="shared" si="38"/>
        <v>1</v>
      </c>
      <c r="AX145">
        <f t="shared" si="25"/>
        <v>1</v>
      </c>
      <c r="AY145">
        <f t="shared" si="39"/>
        <v>1</v>
      </c>
      <c r="AZ145" s="28">
        <f t="shared" si="32"/>
        <v>9.6251708568064406E-3</v>
      </c>
      <c r="BA145" s="28">
        <f t="shared" si="33"/>
        <v>-8.8889474172459196E-3</v>
      </c>
      <c r="BB145" s="28">
        <f t="shared" si="40"/>
        <v>7.3622343956052105E-4</v>
      </c>
      <c r="BC145" s="29">
        <f t="shared" si="41"/>
        <v>3.2126602200067758E-2</v>
      </c>
      <c r="BE145" s="29">
        <f t="shared" si="42"/>
        <v>7.3622343956052105E-4</v>
      </c>
      <c r="BF145" s="29">
        <f t="shared" si="43"/>
        <v>7.0055931879515351E-2</v>
      </c>
      <c r="BH145" s="29"/>
    </row>
    <row r="146" spans="1:60" x14ac:dyDescent="0.25">
      <c r="A146" s="1">
        <v>46234</v>
      </c>
      <c r="B146" s="33">
        <v>82.35</v>
      </c>
      <c r="C146" s="33">
        <v>80.7</v>
      </c>
      <c r="D146" s="15">
        <v>-1.68577140815265E-2</v>
      </c>
      <c r="E146" s="15">
        <v>-1.3049551179491199E-2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82.35</v>
      </c>
      <c r="M146" s="33">
        <v>80.7</v>
      </c>
      <c r="N146" s="34">
        <v>0.97996357012750401</v>
      </c>
      <c r="O146" s="34">
        <v>0.96273232566827205</v>
      </c>
      <c r="P146" s="34">
        <v>0.98009132474445404</v>
      </c>
      <c r="Q146" s="34">
        <v>0.97986899666901095</v>
      </c>
      <c r="R146" s="33">
        <v>79.281007018782205</v>
      </c>
      <c r="S146" s="33">
        <v>80.706678060818803</v>
      </c>
      <c r="T146" s="33">
        <v>80.684155816289305</v>
      </c>
      <c r="U146" s="15">
        <v>-1.7739983281583601E-2</v>
      </c>
      <c r="V146" s="15">
        <v>8.2748259277665704E-5</v>
      </c>
      <c r="W146" s="15">
        <v>-1.96353646755337E-4</v>
      </c>
      <c r="X146" s="34">
        <v>0.97996357012750401</v>
      </c>
      <c r="Y146" s="34">
        <v>0.96273232566827205</v>
      </c>
      <c r="Z146" s="34">
        <v>0.98009132474445404</v>
      </c>
      <c r="AA146" s="34">
        <v>0.97986899666901095</v>
      </c>
      <c r="AB146" s="33">
        <v>79.281007018782205</v>
      </c>
      <c r="AC146" s="33">
        <v>80.706678060818803</v>
      </c>
      <c r="AD146" s="33">
        <v>80.684155816289305</v>
      </c>
      <c r="AE146" s="15">
        <v>-1.7739983281583601E-2</v>
      </c>
      <c r="AF146" s="15">
        <v>8.2748259277665704E-5</v>
      </c>
      <c r="AG146" s="15">
        <v>-1.96353646755337E-4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1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3.79293296794476E-2</v>
      </c>
      <c r="AT146" s="12"/>
      <c r="AU146">
        <f t="shared" si="30"/>
        <v>0</v>
      </c>
      <c r="AV146">
        <f t="shared" si="31"/>
        <v>1</v>
      </c>
      <c r="AW146">
        <f t="shared" si="38"/>
        <v>1</v>
      </c>
      <c r="AX146">
        <f t="shared" si="25"/>
        <v>1</v>
      </c>
      <c r="AY146">
        <f t="shared" si="39"/>
        <v>1</v>
      </c>
      <c r="AZ146" s="28">
        <f t="shared" si="32"/>
        <v>1.68577140815265E-2</v>
      </c>
      <c r="BA146" s="28">
        <f t="shared" si="33"/>
        <v>-1.3049551179491199E-2</v>
      </c>
      <c r="BB146" s="28">
        <f t="shared" si="40"/>
        <v>3.808162902035301E-3</v>
      </c>
      <c r="BC146" s="29">
        <f t="shared" si="41"/>
        <v>3.5934765102103056E-2</v>
      </c>
      <c r="BE146" s="29">
        <f t="shared" si="42"/>
        <v>3.808162902035301E-3</v>
      </c>
      <c r="BF146" s="29">
        <f t="shared" si="43"/>
        <v>7.3864094781550649E-2</v>
      </c>
      <c r="BH146" s="29"/>
    </row>
    <row r="147" spans="1:60" x14ac:dyDescent="0.25">
      <c r="A147" s="1">
        <v>46237</v>
      </c>
      <c r="B147" s="33">
        <v>85.2</v>
      </c>
      <c r="C147" s="33">
        <v>83.39</v>
      </c>
      <c r="D147" s="15">
        <v>3.4022977211620897E-2</v>
      </c>
      <c r="E147" s="15">
        <v>3.27898228229907E-2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85.2</v>
      </c>
      <c r="M147" s="33">
        <v>83.39</v>
      </c>
      <c r="N147" s="34">
        <v>0.97875586854460095</v>
      </c>
      <c r="O147" s="34">
        <v>0.96273232566827205</v>
      </c>
      <c r="P147" s="34">
        <v>0.97983663415621203</v>
      </c>
      <c r="Q147" s="34">
        <v>0.97979366973115201</v>
      </c>
      <c r="R147" s="33">
        <v>82.024794146936799</v>
      </c>
      <c r="S147" s="33">
        <v>83.503780868227494</v>
      </c>
      <c r="T147" s="33">
        <v>83.484838516199702</v>
      </c>
      <c r="U147" s="15">
        <v>-1.6506828892953601E-2</v>
      </c>
      <c r="V147" s="15">
        <v>1.3635125918265299E-3</v>
      </c>
      <c r="W147" s="15">
        <v>1.1366426149518299E-3</v>
      </c>
      <c r="X147" s="34">
        <v>0.97875586854460095</v>
      </c>
      <c r="Y147" s="34">
        <v>0.96273232566827205</v>
      </c>
      <c r="Z147" s="34">
        <v>0.97983663415621203</v>
      </c>
      <c r="AA147" s="34">
        <v>0.97979366973115201</v>
      </c>
      <c r="AB147" s="33">
        <v>82.024794146936799</v>
      </c>
      <c r="AC147" s="33">
        <v>83.503780868227494</v>
      </c>
      <c r="AD147" s="33">
        <v>83.484838516199702</v>
      </c>
      <c r="AE147" s="15">
        <v>-1.6506828892953601E-2</v>
      </c>
      <c r="AF147" s="15">
        <v>1.3635125918265299E-3</v>
      </c>
      <c r="AG147" s="15">
        <v>1.1366426149518299E-3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3.79293296794476E-2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3.5934765102103056E-2</v>
      </c>
      <c r="BE147" s="29">
        <f t="shared" si="42"/>
        <v>0</v>
      </c>
      <c r="BF147" s="29">
        <f t="shared" si="43"/>
        <v>7.3864094781550649E-2</v>
      </c>
      <c r="BH147" s="29"/>
    </row>
    <row r="148" spans="1:60" x14ac:dyDescent="0.25">
      <c r="A148" s="1">
        <v>46238</v>
      </c>
      <c r="B148" s="33">
        <v>87.02</v>
      </c>
      <c r="C148" s="33">
        <v>85.41</v>
      </c>
      <c r="D148" s="15">
        <v>2.1136543457264002E-2</v>
      </c>
      <c r="E148" s="15">
        <v>2.3934791859161801E-2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87.02</v>
      </c>
      <c r="M148" s="33">
        <v>85.41</v>
      </c>
      <c r="N148" s="34">
        <v>0.981498506090553</v>
      </c>
      <c r="O148" s="34">
        <v>0.96273232566827205</v>
      </c>
      <c r="P148" s="34">
        <v>0.97973379659322501</v>
      </c>
      <c r="Q148" s="34">
        <v>0.97986006379288504</v>
      </c>
      <c r="R148" s="33">
        <v>83.776966979652997</v>
      </c>
      <c r="S148" s="33">
        <v>85.265383904273605</v>
      </c>
      <c r="T148" s="33">
        <v>85.261645140004902</v>
      </c>
      <c r="U148" s="15">
        <v>-1.9305077294851401E-2</v>
      </c>
      <c r="V148" s="15">
        <v>-1.6946337196030699E-3</v>
      </c>
      <c r="W148" s="15">
        <v>-1.73848324058849E-3</v>
      </c>
      <c r="X148" s="34">
        <v>0.981498506090553</v>
      </c>
      <c r="Y148" s="34">
        <v>0.96273232566827205</v>
      </c>
      <c r="Z148" s="34">
        <v>0.97973379659322501</v>
      </c>
      <c r="AA148" s="34">
        <v>0.97986006379288504</v>
      </c>
      <c r="AB148" s="33">
        <v>83.776966979652997</v>
      </c>
      <c r="AC148" s="33">
        <v>85.265383904273605</v>
      </c>
      <c r="AD148" s="33">
        <v>85.261645140004902</v>
      </c>
      <c r="AE148" s="15">
        <v>-1.9305077294851401E-2</v>
      </c>
      <c r="AF148" s="15">
        <v>-1.6946337196030699E-3</v>
      </c>
      <c r="AG148" s="15">
        <v>-1.73848324058849E-3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3.79293296794476E-2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3.5934765102103056E-2</v>
      </c>
      <c r="BE148" s="29">
        <f t="shared" si="42"/>
        <v>0</v>
      </c>
      <c r="BF148" s="29">
        <f t="shared" si="43"/>
        <v>7.3864094781550649E-2</v>
      </c>
      <c r="BH148" s="29"/>
    </row>
    <row r="149" spans="1:60" x14ac:dyDescent="0.25">
      <c r="A149" s="1">
        <v>46239</v>
      </c>
      <c r="B149" s="33">
        <v>87.88</v>
      </c>
      <c r="C149" s="33">
        <v>86.44</v>
      </c>
      <c r="D149" s="15">
        <v>9.8342702238754104E-3</v>
      </c>
      <c r="E149" s="15">
        <v>1.1987341680629199E-2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87.88</v>
      </c>
      <c r="M149" s="33">
        <v>86.44</v>
      </c>
      <c r="N149" s="34">
        <v>0.98361401911697699</v>
      </c>
      <c r="O149" s="34">
        <v>0.96273232566827205</v>
      </c>
      <c r="P149" s="34">
        <v>0.98001850952135605</v>
      </c>
      <c r="Q149" s="34">
        <v>0.98023109852071699</v>
      </c>
      <c r="R149" s="33">
        <v>84.604916779727702</v>
      </c>
      <c r="S149" s="33">
        <v>86.099006044612594</v>
      </c>
      <c r="T149" s="33">
        <v>86.110102406118799</v>
      </c>
      <c r="U149" s="15">
        <v>-2.14581487516056E-2</v>
      </c>
      <c r="V149" s="15">
        <v>-3.9526644689328698E-3</v>
      </c>
      <c r="W149" s="15">
        <v>-3.8237936836260102E-3</v>
      </c>
      <c r="X149" s="34">
        <v>0.98361401911697699</v>
      </c>
      <c r="Y149" s="34">
        <v>0.96273232566827205</v>
      </c>
      <c r="Z149" s="34">
        <v>0.98001850952135605</v>
      </c>
      <c r="AA149" s="34">
        <v>0.98023109852071699</v>
      </c>
      <c r="AB149" s="33">
        <v>84.604916779727702</v>
      </c>
      <c r="AC149" s="33">
        <v>86.099006044612594</v>
      </c>
      <c r="AD149" s="33">
        <v>86.110102406118799</v>
      </c>
      <c r="AE149" s="15">
        <v>-2.14581487516056E-2</v>
      </c>
      <c r="AF149" s="15">
        <v>-3.9526644689328698E-3</v>
      </c>
      <c r="AG149" s="15">
        <v>-3.8237936836260102E-3</v>
      </c>
      <c r="AI149" s="12"/>
      <c r="AJ149">
        <f t="shared" si="26"/>
        <v>0</v>
      </c>
      <c r="AK149">
        <f t="shared" si="27"/>
        <v>0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3.79293296794476E-2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3.5934765102103056E-2</v>
      </c>
      <c r="BE149" s="29">
        <f t="shared" si="42"/>
        <v>0</v>
      </c>
      <c r="BF149" s="29">
        <f t="shared" si="43"/>
        <v>7.3864094781550649E-2</v>
      </c>
      <c r="BH149" s="29"/>
    </row>
    <row r="150" spans="1:60" x14ac:dyDescent="0.25">
      <c r="A150" s="1">
        <v>46240</v>
      </c>
      <c r="B150" s="33">
        <v>84.82</v>
      </c>
      <c r="C150" s="33">
        <v>83.28</v>
      </c>
      <c r="D150" s="15">
        <v>-3.5440883469964699E-2</v>
      </c>
      <c r="E150" s="15">
        <v>-3.7242107331971697E-2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84.82</v>
      </c>
      <c r="M150" s="33">
        <v>83.28</v>
      </c>
      <c r="N150" s="34">
        <v>0.98184390473944805</v>
      </c>
      <c r="O150" s="34">
        <v>0.96273232566827205</v>
      </c>
      <c r="P150" s="34">
        <v>0.97991969044945904</v>
      </c>
      <c r="Q150" s="34">
        <v>0.98031914438009604</v>
      </c>
      <c r="R150" s="33">
        <v>81.658955863182797</v>
      </c>
      <c r="S150" s="33">
        <v>83.125169977601402</v>
      </c>
      <c r="T150" s="33">
        <v>83.143201776527206</v>
      </c>
      <c r="U150" s="15">
        <v>-1.9656924889598502E-2</v>
      </c>
      <c r="V150" s="15">
        <v>-1.8608804894602901E-3</v>
      </c>
      <c r="W150" s="15">
        <v>-1.64398056067366E-3</v>
      </c>
      <c r="X150" s="34">
        <v>0.98184390473944805</v>
      </c>
      <c r="Y150" s="34">
        <v>0.96273232566827205</v>
      </c>
      <c r="Z150" s="34">
        <v>0.97991969044945904</v>
      </c>
      <c r="AA150" s="34">
        <v>0.98031914438009604</v>
      </c>
      <c r="AB150" s="33">
        <v>81.658955863182797</v>
      </c>
      <c r="AC150" s="33">
        <v>83.125169977601402</v>
      </c>
      <c r="AD150" s="33">
        <v>83.143201776527206</v>
      </c>
      <c r="AE150" s="15">
        <v>-1.9656924889598502E-2</v>
      </c>
      <c r="AF150" s="15">
        <v>-1.8608804894602901E-3</v>
      </c>
      <c r="AG150" s="15">
        <v>-1.64398056067366E-3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3.79293296794476E-2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3.5934765102103056E-2</v>
      </c>
      <c r="BE150" s="29">
        <f t="shared" si="42"/>
        <v>0</v>
      </c>
      <c r="BF150" s="29">
        <f t="shared" si="43"/>
        <v>7.3864094781550649E-2</v>
      </c>
      <c r="BH150" s="29"/>
    </row>
    <row r="151" spans="1:60" x14ac:dyDescent="0.25">
      <c r="A151" s="1">
        <v>46241</v>
      </c>
      <c r="B151" s="33">
        <v>88.18</v>
      </c>
      <c r="C151" s="33">
        <v>86.48</v>
      </c>
      <c r="D151" s="15">
        <v>3.8848815883347002E-2</v>
      </c>
      <c r="E151" s="15">
        <v>3.7704749024239301E-2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88.18</v>
      </c>
      <c r="M151" s="33">
        <v>86.48</v>
      </c>
      <c r="N151" s="34">
        <v>0.98072125198457605</v>
      </c>
      <c r="O151" s="34">
        <v>0.96273232566827205</v>
      </c>
      <c r="P151" s="34">
        <v>0.98002395175377699</v>
      </c>
      <c r="Q151" s="34">
        <v>0.98037573623054097</v>
      </c>
      <c r="R151" s="33">
        <v>84.893736477428206</v>
      </c>
      <c r="S151" s="33">
        <v>86.409318303833302</v>
      </c>
      <c r="T151" s="33">
        <v>86.444542151436806</v>
      </c>
      <c r="U151" s="15">
        <v>-1.8512858030490902E-2</v>
      </c>
      <c r="V151" s="15">
        <v>-8.1765259760408697E-4</v>
      </c>
      <c r="W151" s="15">
        <v>-4.1009620287437402E-4</v>
      </c>
      <c r="X151" s="34">
        <v>0.98072125198457605</v>
      </c>
      <c r="Y151" s="34">
        <v>0.96273232566827205</v>
      </c>
      <c r="Z151" s="34">
        <v>0.98002395175377699</v>
      </c>
      <c r="AA151" s="34">
        <v>0.98037573623054097</v>
      </c>
      <c r="AB151" s="33">
        <v>84.893736477428206</v>
      </c>
      <c r="AC151" s="33">
        <v>86.409318303833302</v>
      </c>
      <c r="AD151" s="33">
        <v>86.444542151436806</v>
      </c>
      <c r="AE151" s="15">
        <v>-1.8512858030490902E-2</v>
      </c>
      <c r="AF151" s="15">
        <v>-8.1765259760408697E-4</v>
      </c>
      <c r="AG151" s="15">
        <v>-4.1009620287437402E-4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3.79293296794476E-2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3.5934765102103056E-2</v>
      </c>
      <c r="BE151" s="29">
        <f t="shared" ref="BE151:BE176" si="62">AQ151+BB151</f>
        <v>0</v>
      </c>
      <c r="BF151" s="29">
        <f t="shared" ref="BF151:BF176" si="63">BF150+BE151</f>
        <v>7.3864094781550649E-2</v>
      </c>
      <c r="BH151" s="29"/>
    </row>
    <row r="152" spans="1:60" x14ac:dyDescent="0.25">
      <c r="A152" s="1">
        <v>46244</v>
      </c>
      <c r="B152" s="33">
        <v>85.6</v>
      </c>
      <c r="C152" s="33">
        <v>83.82</v>
      </c>
      <c r="D152" s="15">
        <v>-2.96948967820953E-2</v>
      </c>
      <c r="E152" s="15">
        <v>-3.1241530834027399E-2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85.6</v>
      </c>
      <c r="M152" s="33">
        <v>83.82</v>
      </c>
      <c r="N152" s="34">
        <v>0.97920560747663499</v>
      </c>
      <c r="O152" s="34">
        <v>0.96273232566827205</v>
      </c>
      <c r="P152" s="34">
        <v>0.97999060845628505</v>
      </c>
      <c r="Q152" s="34">
        <v>0.98033191230693195</v>
      </c>
      <c r="R152" s="33">
        <v>82.409887077204104</v>
      </c>
      <c r="S152" s="33">
        <v>83.890050270123297</v>
      </c>
      <c r="T152" s="33">
        <v>83.920163021334304</v>
      </c>
      <c r="U152" s="15">
        <v>-1.6966223978558698E-2</v>
      </c>
      <c r="V152" s="15">
        <v>8.3537359966452196E-4</v>
      </c>
      <c r="W152" s="15">
        <v>1.1942641694765101E-3</v>
      </c>
      <c r="X152" s="34">
        <v>0.97920560747663499</v>
      </c>
      <c r="Y152" s="34">
        <v>0.96273232566827205</v>
      </c>
      <c r="Z152" s="34">
        <v>0.97999060845628505</v>
      </c>
      <c r="AA152" s="34">
        <v>0.98033191230693195</v>
      </c>
      <c r="AB152" s="33">
        <v>82.409887077204104</v>
      </c>
      <c r="AC152" s="33">
        <v>83.890050270123297</v>
      </c>
      <c r="AD152" s="33">
        <v>83.920163021334304</v>
      </c>
      <c r="AE152" s="15">
        <v>-1.6966223978558698E-2</v>
      </c>
      <c r="AF152" s="15">
        <v>8.3537359966452196E-4</v>
      </c>
      <c r="AG152" s="15">
        <v>1.1942641694765101E-3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3.79293296794476E-2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3.5934765102103056E-2</v>
      </c>
      <c r="BE152" s="29">
        <f t="shared" si="62"/>
        <v>0</v>
      </c>
      <c r="BF152" s="29">
        <f t="shared" si="63"/>
        <v>7.3864094781550649E-2</v>
      </c>
      <c r="BH152" s="29"/>
    </row>
    <row r="153" spans="1:60" x14ac:dyDescent="0.25">
      <c r="A153" s="1">
        <v>46245</v>
      </c>
      <c r="B153" s="33">
        <v>87.55</v>
      </c>
      <c r="C153" s="33">
        <v>86.2</v>
      </c>
      <c r="D153" s="15">
        <v>2.2524775584164498E-2</v>
      </c>
      <c r="E153" s="15">
        <v>2.7998535172722001E-2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87.55</v>
      </c>
      <c r="M153" s="33">
        <v>86.2</v>
      </c>
      <c r="N153" s="34">
        <v>0.98458023986293497</v>
      </c>
      <c r="O153" s="34">
        <v>0.96273232566827205</v>
      </c>
      <c r="P153" s="34">
        <v>0.98019421144999497</v>
      </c>
      <c r="Q153" s="34">
        <v>0.98046284760673297</v>
      </c>
      <c r="R153" s="33">
        <v>84.287215112257201</v>
      </c>
      <c r="S153" s="33">
        <v>85.798177770347706</v>
      </c>
      <c r="T153" s="33">
        <v>85.828058922471897</v>
      </c>
      <c r="U153" s="15">
        <v>-2.2439983567116399E-2</v>
      </c>
      <c r="V153" s="15">
        <v>-4.6724095090972702E-3</v>
      </c>
      <c r="W153" s="15">
        <v>-4.3241975689899603E-3</v>
      </c>
      <c r="X153" s="34">
        <v>0.98458023986293497</v>
      </c>
      <c r="Y153" s="34">
        <v>0.96273232566827205</v>
      </c>
      <c r="Z153" s="34">
        <v>0.98019421144999497</v>
      </c>
      <c r="AA153" s="34">
        <v>0.98046284760673297</v>
      </c>
      <c r="AB153" s="33">
        <v>84.287215112257201</v>
      </c>
      <c r="AC153" s="33">
        <v>85.798177770347706</v>
      </c>
      <c r="AD153" s="33">
        <v>85.828058922471897</v>
      </c>
      <c r="AE153" s="15">
        <v>-2.2439983567116399E-2</v>
      </c>
      <c r="AF153" s="15">
        <v>-4.6724095090972702E-3</v>
      </c>
      <c r="AG153" s="15">
        <v>-4.3241975689899603E-3</v>
      </c>
      <c r="AI153" s="12"/>
      <c r="AJ153">
        <f t="shared" si="46"/>
        <v>1</v>
      </c>
      <c r="AK153">
        <f t="shared" si="47"/>
        <v>0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3.79293296794476E-2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3.5934765102103056E-2</v>
      </c>
      <c r="BE153" s="29">
        <f t="shared" si="62"/>
        <v>0</v>
      </c>
      <c r="BF153" s="29">
        <f t="shared" si="63"/>
        <v>7.3864094781550649E-2</v>
      </c>
      <c r="BH153" s="29"/>
    </row>
    <row r="154" spans="1:60" x14ac:dyDescent="0.25">
      <c r="A154" s="1">
        <v>46246</v>
      </c>
      <c r="B154" s="33">
        <v>85.2</v>
      </c>
      <c r="C154" s="33">
        <v>83.42</v>
      </c>
      <c r="D154" s="15">
        <v>-2.7208624896590702E-2</v>
      </c>
      <c r="E154" s="15">
        <v>-3.2782088900848202E-2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85.2</v>
      </c>
      <c r="M154" s="33">
        <v>83.42</v>
      </c>
      <c r="N154" s="34">
        <v>0.97910798122065701</v>
      </c>
      <c r="O154" s="34">
        <v>0.96273232566827205</v>
      </c>
      <c r="P154" s="34">
        <v>0.98055297551340403</v>
      </c>
      <c r="Q154" s="34">
        <v>0.98052623119115601</v>
      </c>
      <c r="R154" s="33">
        <v>82.024794146936799</v>
      </c>
      <c r="S154" s="33">
        <v>83.512546815539494</v>
      </c>
      <c r="T154" s="33">
        <v>83.535434616093596</v>
      </c>
      <c r="U154" s="15">
        <v>-1.6866519562858898E-2</v>
      </c>
      <c r="V154" s="15">
        <v>1.1087930638647499E-3</v>
      </c>
      <c r="W154" s="15">
        <v>1.3828197297502201E-3</v>
      </c>
      <c r="X154" s="34">
        <v>0.97910798122065701</v>
      </c>
      <c r="Y154" s="34">
        <v>0.96273232566827205</v>
      </c>
      <c r="Z154" s="34">
        <v>0.98055297551340403</v>
      </c>
      <c r="AA154" s="34">
        <v>0.98052623119115601</v>
      </c>
      <c r="AB154" s="33">
        <v>82.024794146936799</v>
      </c>
      <c r="AC154" s="33">
        <v>83.512546815539494</v>
      </c>
      <c r="AD154" s="33">
        <v>83.535434616093596</v>
      </c>
      <c r="AE154" s="15">
        <v>-1.6866519562858898E-2</v>
      </c>
      <c r="AF154" s="15">
        <v>1.1087930638647499E-3</v>
      </c>
      <c r="AG154" s="15">
        <v>1.3828197297502201E-3</v>
      </c>
      <c r="AI154" s="12"/>
      <c r="AJ154">
        <f t="shared" si="46"/>
        <v>0</v>
      </c>
      <c r="AK154">
        <f t="shared" si="47"/>
        <v>1</v>
      </c>
      <c r="AL154">
        <f t="shared" si="54"/>
        <v>1</v>
      </c>
      <c r="AM154">
        <f t="shared" si="44"/>
        <v>1</v>
      </c>
      <c r="AN154">
        <f t="shared" si="55"/>
        <v>1</v>
      </c>
      <c r="AO154" s="28">
        <f t="shared" si="48"/>
        <v>-2.7208624896590702E-2</v>
      </c>
      <c r="AP154" s="28">
        <f t="shared" si="49"/>
        <v>3.2782088900848202E-2</v>
      </c>
      <c r="AQ154" s="28">
        <f t="shared" si="56"/>
        <v>5.5734640042575008E-3</v>
      </c>
      <c r="AR154" s="29">
        <f t="shared" si="57"/>
        <v>4.3502793683705104E-2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3.5934765102103056E-2</v>
      </c>
      <c r="BE154" s="29">
        <f t="shared" si="62"/>
        <v>5.5734640042575008E-3</v>
      </c>
      <c r="BF154" s="29">
        <f t="shared" si="63"/>
        <v>7.9437558785808146E-2</v>
      </c>
      <c r="BH154" s="29"/>
    </row>
    <row r="155" spans="1:60" x14ac:dyDescent="0.25">
      <c r="A155" s="1">
        <v>46247</v>
      </c>
      <c r="B155" s="33">
        <v>87.54</v>
      </c>
      <c r="C155" s="33">
        <v>85.82</v>
      </c>
      <c r="D155" s="15">
        <v>2.7094397927479301E-2</v>
      </c>
      <c r="E155" s="15">
        <v>2.83639907945793E-2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87.54</v>
      </c>
      <c r="M155" s="33">
        <v>85.82</v>
      </c>
      <c r="N155" s="34">
        <v>0.98035183915924096</v>
      </c>
      <c r="O155" s="34">
        <v>0.96273232566827205</v>
      </c>
      <c r="P155" s="34">
        <v>0.98096427883231296</v>
      </c>
      <c r="Q155" s="34">
        <v>0.98050447129726603</v>
      </c>
      <c r="R155" s="33">
        <v>84.277587789000506</v>
      </c>
      <c r="S155" s="33">
        <v>85.837607476443395</v>
      </c>
      <c r="T155" s="33">
        <v>85.835266278473796</v>
      </c>
      <c r="U155" s="15">
        <v>-1.8136112429958901E-2</v>
      </c>
      <c r="V155" s="15">
        <v>2.0514647458978001E-4</v>
      </c>
      <c r="W155" s="15">
        <v>1.7787136794698499E-4</v>
      </c>
      <c r="X155" s="34">
        <v>0.98035183915924096</v>
      </c>
      <c r="Y155" s="34">
        <v>0.96273232566827205</v>
      </c>
      <c r="Z155" s="34">
        <v>0.98096427883231296</v>
      </c>
      <c r="AA155" s="34">
        <v>0.98050447129726603</v>
      </c>
      <c r="AB155" s="33">
        <v>84.277587789000506</v>
      </c>
      <c r="AC155" s="33">
        <v>85.837607476443395</v>
      </c>
      <c r="AD155" s="33">
        <v>85.835266278473796</v>
      </c>
      <c r="AE155" s="15">
        <v>-1.8136112429958901E-2</v>
      </c>
      <c r="AF155" s="15">
        <v>2.0514647458978001E-4</v>
      </c>
      <c r="AG155" s="15">
        <v>1.7787136794698499E-4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4.3502793683705104E-2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3.5934765102103056E-2</v>
      </c>
      <c r="BE155" s="29">
        <f t="shared" si="62"/>
        <v>0</v>
      </c>
      <c r="BF155" s="29">
        <f t="shared" si="63"/>
        <v>7.9437558785808146E-2</v>
      </c>
      <c r="BH155" s="29"/>
    </row>
    <row r="156" spans="1:60" x14ac:dyDescent="0.25">
      <c r="A156" s="1">
        <v>46248</v>
      </c>
      <c r="B156" s="33">
        <v>86.83</v>
      </c>
      <c r="C156" s="33">
        <v>85.36</v>
      </c>
      <c r="D156" s="15">
        <v>-8.1436476901955504E-3</v>
      </c>
      <c r="E156" s="15">
        <v>-5.3744725698806001E-3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86.83</v>
      </c>
      <c r="M156" s="33">
        <v>85.36</v>
      </c>
      <c r="N156" s="34">
        <v>0.98307036738454401</v>
      </c>
      <c r="O156" s="34">
        <v>0.96273232566827205</v>
      </c>
      <c r="P156" s="34">
        <v>0.98127495855801705</v>
      </c>
      <c r="Q156" s="34">
        <v>0.98068314165123605</v>
      </c>
      <c r="R156" s="33">
        <v>83.594047837776102</v>
      </c>
      <c r="S156" s="33">
        <v>85.177128331009698</v>
      </c>
      <c r="T156" s="33">
        <v>85.137203242741606</v>
      </c>
      <c r="U156" s="15">
        <v>-2.0905287550274002E-2</v>
      </c>
      <c r="V156" s="15">
        <v>-2.1446560156592699E-3</v>
      </c>
      <c r="W156" s="15">
        <v>-2.6134960554902199E-3</v>
      </c>
      <c r="X156" s="34">
        <v>0.98307036738454401</v>
      </c>
      <c r="Y156" s="34">
        <v>0.96273232566827205</v>
      </c>
      <c r="Z156" s="34">
        <v>0.98127495855801705</v>
      </c>
      <c r="AA156" s="34">
        <v>0.98068314165123605</v>
      </c>
      <c r="AB156" s="33">
        <v>83.594047837776102</v>
      </c>
      <c r="AC156" s="33">
        <v>85.177128331009698</v>
      </c>
      <c r="AD156" s="33">
        <v>85.137203242741606</v>
      </c>
      <c r="AE156" s="15">
        <v>-2.0905287550274002E-2</v>
      </c>
      <c r="AF156" s="15">
        <v>-2.1446560156592699E-3</v>
      </c>
      <c r="AG156" s="15">
        <v>-2.6134960554902199E-3</v>
      </c>
      <c r="AI156" s="12"/>
      <c r="AJ156">
        <f t="shared" si="46"/>
        <v>0</v>
      </c>
      <c r="AK156">
        <f t="shared" si="47"/>
        <v>0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4.3502793683705104E-2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3.5934765102103056E-2</v>
      </c>
      <c r="BE156" s="29">
        <f t="shared" si="62"/>
        <v>0</v>
      </c>
      <c r="BF156" s="29">
        <f t="shared" si="63"/>
        <v>7.9437558785808146E-2</v>
      </c>
      <c r="BH156" s="29"/>
    </row>
    <row r="157" spans="1:60" x14ac:dyDescent="0.25">
      <c r="A157" s="1">
        <v>46251</v>
      </c>
      <c r="B157" s="33">
        <v>86.54</v>
      </c>
      <c r="C157" s="33">
        <v>84.8</v>
      </c>
      <c r="D157" s="15">
        <v>-3.3454492758149298E-3</v>
      </c>
      <c r="E157" s="15">
        <v>-6.5820641956405501E-3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86.54</v>
      </c>
      <c r="M157" s="33">
        <v>84.8</v>
      </c>
      <c r="N157" s="34">
        <v>0.97989369077883004</v>
      </c>
      <c r="O157" s="34">
        <v>0.96273232566827205</v>
      </c>
      <c r="P157" s="34">
        <v>0.98138874078144001</v>
      </c>
      <c r="Q157" s="34">
        <v>0.98061268746882602</v>
      </c>
      <c r="R157" s="33">
        <v>83.314855463332293</v>
      </c>
      <c r="S157" s="33">
        <v>84.919534913610804</v>
      </c>
      <c r="T157" s="33">
        <v>84.868319078497905</v>
      </c>
      <c r="U157" s="15">
        <v>-1.76686726304482E-2</v>
      </c>
      <c r="V157" s="15">
        <v>1.4086172630249599E-3</v>
      </c>
      <c r="W157" s="15">
        <v>8.0532514922521396E-4</v>
      </c>
      <c r="X157" s="34">
        <v>0.97989369077883004</v>
      </c>
      <c r="Y157" s="34">
        <v>0.96273232566827205</v>
      </c>
      <c r="Z157" s="34">
        <v>0.98138874078144001</v>
      </c>
      <c r="AA157" s="34">
        <v>0.98061268746882602</v>
      </c>
      <c r="AB157" s="33">
        <v>83.314855463332293</v>
      </c>
      <c r="AC157" s="33">
        <v>84.919534913610804</v>
      </c>
      <c r="AD157" s="33">
        <v>84.868319078497905</v>
      </c>
      <c r="AE157" s="15">
        <v>-1.76686726304482E-2</v>
      </c>
      <c r="AF157" s="15">
        <v>1.4086172630249599E-3</v>
      </c>
      <c r="AG157" s="15">
        <v>8.0532514922521396E-4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4.3502793683705104E-2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3.5934765102103056E-2</v>
      </c>
      <c r="BE157" s="29">
        <f t="shared" si="62"/>
        <v>0</v>
      </c>
      <c r="BF157" s="29">
        <f t="shared" si="63"/>
        <v>7.9437558785808146E-2</v>
      </c>
      <c r="BH157" s="29"/>
    </row>
    <row r="158" spans="1:60" x14ac:dyDescent="0.25">
      <c r="A158" s="1">
        <v>46252</v>
      </c>
      <c r="B158" s="33">
        <v>84.94</v>
      </c>
      <c r="C158" s="33">
        <v>83.5</v>
      </c>
      <c r="D158" s="15">
        <v>-1.86616099116137E-2</v>
      </c>
      <c r="E158" s="15">
        <v>-1.5448910941047601E-2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84.94</v>
      </c>
      <c r="M158" s="33">
        <v>83.5</v>
      </c>
      <c r="N158" s="34">
        <v>0.98304685660466196</v>
      </c>
      <c r="O158" s="34">
        <v>0.96273232566827205</v>
      </c>
      <c r="P158" s="34">
        <v>0.98154357583285001</v>
      </c>
      <c r="Q158" s="34">
        <v>0.98063868621303796</v>
      </c>
      <c r="R158" s="33">
        <v>81.774483742263001</v>
      </c>
      <c r="S158" s="33">
        <v>83.359159641975495</v>
      </c>
      <c r="T158" s="33">
        <v>83.293241673602097</v>
      </c>
      <c r="U158" s="15">
        <v>-2.0881371601014401E-2</v>
      </c>
      <c r="V158" s="15">
        <v>-1.6881349729183301E-3</v>
      </c>
      <c r="W158" s="15">
        <v>-2.4792183451439499E-3</v>
      </c>
      <c r="X158" s="34">
        <v>0.98304685660466196</v>
      </c>
      <c r="Y158" s="34">
        <v>0.96273232566827205</v>
      </c>
      <c r="Z158" s="34">
        <v>0.98154357583285001</v>
      </c>
      <c r="AA158" s="34">
        <v>0.98063868621303796</v>
      </c>
      <c r="AB158" s="33">
        <v>81.774483742263001</v>
      </c>
      <c r="AC158" s="33">
        <v>83.359159641975495</v>
      </c>
      <c r="AD158" s="33">
        <v>83.293241673602097</v>
      </c>
      <c r="AE158" s="15">
        <v>-2.0881371601014401E-2</v>
      </c>
      <c r="AF158" s="15">
        <v>-1.6881349729183301E-3</v>
      </c>
      <c r="AG158" s="15">
        <v>-2.4792183451439499E-3</v>
      </c>
      <c r="AI158" s="12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4.3502793683705104E-2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3.5934765102103056E-2</v>
      </c>
      <c r="BE158" s="29">
        <f t="shared" si="62"/>
        <v>0</v>
      </c>
      <c r="BF158" s="29">
        <f t="shared" si="63"/>
        <v>7.9437558785808146E-2</v>
      </c>
      <c r="BH158" s="29"/>
    </row>
    <row r="159" spans="1:60" x14ac:dyDescent="0.25">
      <c r="A159" s="1">
        <v>46253</v>
      </c>
      <c r="B159" s="33">
        <v>87.3</v>
      </c>
      <c r="C159" s="33">
        <v>85.87</v>
      </c>
      <c r="D159" s="15">
        <v>2.7405337960431399E-2</v>
      </c>
      <c r="E159" s="15">
        <v>2.7987892827583499E-2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87.3</v>
      </c>
      <c r="M159" s="33">
        <v>85.87</v>
      </c>
      <c r="N159" s="34">
        <v>0.98361970217640304</v>
      </c>
      <c r="O159" s="34">
        <v>0.96273232566827205</v>
      </c>
      <c r="P159" s="34">
        <v>0.98154414413879298</v>
      </c>
      <c r="Q159" s="34">
        <v>0.98078132683007502</v>
      </c>
      <c r="R159" s="33">
        <v>84.046532030840197</v>
      </c>
      <c r="S159" s="33">
        <v>85.688754170207801</v>
      </c>
      <c r="T159" s="33">
        <v>85.609757306398194</v>
      </c>
      <c r="U159" s="15">
        <v>-2.1463926468166701E-2</v>
      </c>
      <c r="V159" s="15">
        <v>-2.1129309092902601E-3</v>
      </c>
      <c r="W159" s="15">
        <v>-3.0352608084686702E-3</v>
      </c>
      <c r="X159" s="34">
        <v>0.98361970217640304</v>
      </c>
      <c r="Y159" s="34">
        <v>0.96273232566827205</v>
      </c>
      <c r="Z159" s="34">
        <v>0.98154414413879298</v>
      </c>
      <c r="AA159" s="34">
        <v>0.98078132683007502</v>
      </c>
      <c r="AB159" s="33">
        <v>84.046532030840197</v>
      </c>
      <c r="AC159" s="33">
        <v>85.688754170207801</v>
      </c>
      <c r="AD159" s="33">
        <v>85.609757306398194</v>
      </c>
      <c r="AE159" s="15">
        <v>-2.1463926468166701E-2</v>
      </c>
      <c r="AF159" s="15">
        <v>-2.1129309092902601E-3</v>
      </c>
      <c r="AG159" s="15">
        <v>-3.0352608084686702E-3</v>
      </c>
      <c r="AI159" s="12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4.3502793683705104E-2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3.5934765102103056E-2</v>
      </c>
      <c r="BE159" s="29">
        <f t="shared" si="62"/>
        <v>0</v>
      </c>
      <c r="BF159" s="29">
        <f t="shared" si="63"/>
        <v>7.9437558785808146E-2</v>
      </c>
      <c r="BH159" s="29"/>
    </row>
    <row r="160" spans="1:60" x14ac:dyDescent="0.25">
      <c r="A160" s="1">
        <v>46254</v>
      </c>
      <c r="B160" s="33">
        <v>85.42</v>
      </c>
      <c r="C160" s="33">
        <v>83.84</v>
      </c>
      <c r="D160" s="15">
        <v>-2.1770197432235999E-2</v>
      </c>
      <c r="E160" s="15">
        <v>-2.3924304111661299E-2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85.42</v>
      </c>
      <c r="M160" s="33">
        <v>83.84</v>
      </c>
      <c r="N160" s="34">
        <v>0.98150316085225897</v>
      </c>
      <c r="O160" s="34">
        <v>0.96273232566827205</v>
      </c>
      <c r="P160" s="34">
        <v>0.98151006975007404</v>
      </c>
      <c r="Q160" s="34">
        <v>0.98071488009976604</v>
      </c>
      <c r="R160" s="33">
        <v>82.236595258583804</v>
      </c>
      <c r="S160" s="33">
        <v>83.843500792335703</v>
      </c>
      <c r="T160" s="33">
        <v>83.778340937825007</v>
      </c>
      <c r="U160" s="15">
        <v>-1.93098197887413E-2</v>
      </c>
      <c r="V160" s="15">
        <v>4.1754762033077299E-5</v>
      </c>
      <c r="W160" s="15">
        <v>-7.3570785405908002E-4</v>
      </c>
      <c r="X160" s="34">
        <v>0.98150316085225897</v>
      </c>
      <c r="Y160" s="34">
        <v>0.96273232566827205</v>
      </c>
      <c r="Z160" s="34">
        <v>0.98151006975007404</v>
      </c>
      <c r="AA160" s="34">
        <v>0.98071488009976604</v>
      </c>
      <c r="AB160" s="33">
        <v>82.236595258583804</v>
      </c>
      <c r="AC160" s="33">
        <v>83.843500792335703</v>
      </c>
      <c r="AD160" s="33">
        <v>83.778340937825007</v>
      </c>
      <c r="AE160" s="15">
        <v>-1.93098197887413E-2</v>
      </c>
      <c r="AF160" s="15">
        <v>4.1754762033077299E-5</v>
      </c>
      <c r="AG160" s="15">
        <v>-7.3570785405908002E-4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4.3502793683705104E-2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3.5934765102103056E-2</v>
      </c>
      <c r="BE160" s="29">
        <f t="shared" si="62"/>
        <v>0</v>
      </c>
      <c r="BF160" s="29">
        <f t="shared" si="63"/>
        <v>7.9437558785808146E-2</v>
      </c>
      <c r="BH160" s="29"/>
    </row>
    <row r="161" spans="1:60" x14ac:dyDescent="0.25">
      <c r="A161" s="1">
        <v>46255</v>
      </c>
      <c r="B161" s="33">
        <v>87.02</v>
      </c>
      <c r="C161" s="33">
        <v>85.49</v>
      </c>
      <c r="D161" s="15">
        <v>1.8557711879213599E-2</v>
      </c>
      <c r="E161" s="15">
        <v>1.94891894654102E-2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87.02</v>
      </c>
      <c r="M161" s="33">
        <v>85.49</v>
      </c>
      <c r="N161" s="34">
        <v>0.98241783498046398</v>
      </c>
      <c r="O161" s="34">
        <v>0.96273232566827205</v>
      </c>
      <c r="P161" s="34">
        <v>0.98167972804966297</v>
      </c>
      <c r="Q161" s="34">
        <v>0.98085183990171998</v>
      </c>
      <c r="R161" s="33">
        <v>83.776966979652997</v>
      </c>
      <c r="S161" s="33">
        <v>85.411006269651494</v>
      </c>
      <c r="T161" s="33">
        <v>85.341808866281696</v>
      </c>
      <c r="U161" s="15">
        <v>-2.0241297374937899E-2</v>
      </c>
      <c r="V161" s="15">
        <v>-9.2443851207579201E-4</v>
      </c>
      <c r="W161" s="15">
        <v>-1.7349365071187099E-3</v>
      </c>
      <c r="X161" s="34">
        <v>0.98241783498046398</v>
      </c>
      <c r="Y161" s="34">
        <v>0.96273232566827205</v>
      </c>
      <c r="Z161" s="34">
        <v>0.98167972804966297</v>
      </c>
      <c r="AA161" s="34">
        <v>0.98085183990171998</v>
      </c>
      <c r="AB161" s="33">
        <v>83.776966979652997</v>
      </c>
      <c r="AC161" s="33">
        <v>85.411006269651494</v>
      </c>
      <c r="AD161" s="33">
        <v>85.341808866281696</v>
      </c>
      <c r="AE161" s="15">
        <v>-2.0241297374937899E-2</v>
      </c>
      <c r="AF161" s="15">
        <v>-9.2443851207579201E-4</v>
      </c>
      <c r="AG161" s="15">
        <v>-1.7349365071187099E-3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4.3502793683705104E-2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3.5934765102103056E-2</v>
      </c>
      <c r="BE161" s="29">
        <f t="shared" si="62"/>
        <v>0</v>
      </c>
      <c r="BF161" s="29">
        <f t="shared" si="63"/>
        <v>7.9437558785808146E-2</v>
      </c>
      <c r="BH161" s="29"/>
    </row>
    <row r="162" spans="1:60" x14ac:dyDescent="0.25">
      <c r="A162" s="1">
        <v>46258</v>
      </c>
      <c r="B162" s="33">
        <v>88.16</v>
      </c>
      <c r="C162" s="33">
        <v>86.77</v>
      </c>
      <c r="D162" s="15">
        <v>1.30153681120702E-2</v>
      </c>
      <c r="E162" s="15">
        <v>1.4861529767256E-2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88.16</v>
      </c>
      <c r="M162" s="33">
        <v>86.77</v>
      </c>
      <c r="N162" s="34">
        <v>0.98423321234119698</v>
      </c>
      <c r="O162" s="34">
        <v>0.96273232566827205</v>
      </c>
      <c r="P162" s="34">
        <v>0.982182488536119</v>
      </c>
      <c r="Q162" s="34">
        <v>0.98108654849620203</v>
      </c>
      <c r="R162" s="33">
        <v>84.874481830914903</v>
      </c>
      <c r="S162" s="33">
        <v>86.5448848248583</v>
      </c>
      <c r="T162" s="33">
        <v>86.471898205735599</v>
      </c>
      <c r="U162" s="15">
        <v>-2.2087459030123699E-2</v>
      </c>
      <c r="V162" s="15">
        <v>-2.5977607401198601E-3</v>
      </c>
      <c r="W162" s="15">
        <v>-3.44145488555092E-3</v>
      </c>
      <c r="X162" s="34">
        <v>0.98423321234119698</v>
      </c>
      <c r="Y162" s="34">
        <v>0.96273232566827205</v>
      </c>
      <c r="Z162" s="34">
        <v>0.982182488536119</v>
      </c>
      <c r="AA162" s="34">
        <v>0.98108654849620203</v>
      </c>
      <c r="AB162" s="33">
        <v>84.874481830914903</v>
      </c>
      <c r="AC162" s="33">
        <v>86.5448848248583</v>
      </c>
      <c r="AD162" s="33">
        <v>86.471898205735599</v>
      </c>
      <c r="AE162" s="15">
        <v>-2.2087459030123699E-2</v>
      </c>
      <c r="AF162" s="15">
        <v>-2.5977607401198601E-3</v>
      </c>
      <c r="AG162" s="15">
        <v>-3.44145488555092E-3</v>
      </c>
      <c r="AI162" s="12"/>
      <c r="AJ162">
        <f t="shared" si="46"/>
        <v>0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4.3502793683705104E-2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3.5934765102103056E-2</v>
      </c>
      <c r="BE162" s="29">
        <f t="shared" si="62"/>
        <v>0</v>
      </c>
      <c r="BF162" s="29">
        <f t="shared" si="63"/>
        <v>7.9437558785808146E-2</v>
      </c>
      <c r="BH162" s="29"/>
    </row>
    <row r="163" spans="1:60" x14ac:dyDescent="0.25">
      <c r="A163" s="1">
        <v>46259</v>
      </c>
      <c r="B163" s="33">
        <v>87.68</v>
      </c>
      <c r="C163" s="33">
        <v>86.12</v>
      </c>
      <c r="D163" s="15">
        <v>-5.4595222048988701E-3</v>
      </c>
      <c r="E163" s="15">
        <v>-7.5192673092359698E-3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87.68</v>
      </c>
      <c r="M163" s="33">
        <v>86.12</v>
      </c>
      <c r="N163" s="34">
        <v>0.98220802919707995</v>
      </c>
      <c r="O163" s="34">
        <v>0.96273232566827205</v>
      </c>
      <c r="P163" s="34">
        <v>0.98194526746953303</v>
      </c>
      <c r="Q163" s="34">
        <v>0.98106973945976395</v>
      </c>
      <c r="R163" s="33">
        <v>84.412370314594099</v>
      </c>
      <c r="S163" s="33">
        <v>86.117760594846899</v>
      </c>
      <c r="T163" s="33">
        <v>86.021668572146993</v>
      </c>
      <c r="U163" s="15">
        <v>-2.00277139257867E-2</v>
      </c>
      <c r="V163" s="15">
        <v>-2.60036492047542E-5</v>
      </c>
      <c r="W163" s="15">
        <v>-1.1424478380355999E-3</v>
      </c>
      <c r="X163" s="34">
        <v>0.98220802919707995</v>
      </c>
      <c r="Y163" s="34">
        <v>0.96273232566827205</v>
      </c>
      <c r="Z163" s="34">
        <v>0.98194526746953303</v>
      </c>
      <c r="AA163" s="34">
        <v>0.98106973945976395</v>
      </c>
      <c r="AB163" s="33">
        <v>84.412370314594099</v>
      </c>
      <c r="AC163" s="33">
        <v>86.117760594846899</v>
      </c>
      <c r="AD163" s="33">
        <v>86.021668572146993</v>
      </c>
      <c r="AE163" s="15">
        <v>-2.00277139257867E-2</v>
      </c>
      <c r="AF163" s="15">
        <v>-2.60036492047542E-5</v>
      </c>
      <c r="AG163" s="15">
        <v>-1.1424478380355999E-3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4.3502793683705104E-2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3.5934765102103056E-2</v>
      </c>
      <c r="BE163" s="29">
        <f t="shared" si="62"/>
        <v>0</v>
      </c>
      <c r="BF163" s="29">
        <f t="shared" si="63"/>
        <v>7.9437558785808146E-2</v>
      </c>
      <c r="BH163" s="29"/>
    </row>
    <row r="164" spans="1:60" x14ac:dyDescent="0.25">
      <c r="A164" s="1">
        <v>46260</v>
      </c>
      <c r="B164" s="33">
        <v>87.15</v>
      </c>
      <c r="C164" s="33">
        <v>85.61</v>
      </c>
      <c r="D164" s="15">
        <v>-6.0630512336754903E-3</v>
      </c>
      <c r="E164" s="15">
        <v>-5.9395737417680403E-3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87.15</v>
      </c>
      <c r="M164" s="33">
        <v>85.61</v>
      </c>
      <c r="N164" s="34">
        <v>0.98232931726907602</v>
      </c>
      <c r="O164" s="34">
        <v>0.96273232566827205</v>
      </c>
      <c r="P164" s="34">
        <v>0.98226740107437505</v>
      </c>
      <c r="Q164" s="34">
        <v>0.98141018829389004</v>
      </c>
      <c r="R164" s="33">
        <v>83.902122181989895</v>
      </c>
      <c r="S164" s="33">
        <v>85.576530059969798</v>
      </c>
      <c r="T164" s="33">
        <v>85.500227793918398</v>
      </c>
      <c r="U164" s="15">
        <v>-2.0151191417693899E-2</v>
      </c>
      <c r="V164" s="15">
        <v>-3.9103474373686198E-4</v>
      </c>
      <c r="W164" s="15">
        <v>-1.28305855887234E-3</v>
      </c>
      <c r="X164" s="34">
        <v>0.98232931726907602</v>
      </c>
      <c r="Y164" s="34">
        <v>0.96273232566827205</v>
      </c>
      <c r="Z164" s="34">
        <v>0.98226740107437505</v>
      </c>
      <c r="AA164" s="34">
        <v>0.98141018829389004</v>
      </c>
      <c r="AB164" s="33">
        <v>83.902122181989895</v>
      </c>
      <c r="AC164" s="33">
        <v>85.576530059969798</v>
      </c>
      <c r="AD164" s="33">
        <v>85.500227793918398</v>
      </c>
      <c r="AE164" s="15">
        <v>-2.0151191417693899E-2</v>
      </c>
      <c r="AF164" s="15">
        <v>-3.9103474373686198E-4</v>
      </c>
      <c r="AG164" s="15">
        <v>-1.28305855887234E-3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4.3502793683705104E-2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3.5934765102103056E-2</v>
      </c>
      <c r="BE164" s="29">
        <f t="shared" si="62"/>
        <v>0</v>
      </c>
      <c r="BF164" s="29">
        <f t="shared" si="63"/>
        <v>7.9437558785808146E-2</v>
      </c>
      <c r="BH164" s="29"/>
    </row>
    <row r="165" spans="1:60" x14ac:dyDescent="0.25">
      <c r="A165" s="1">
        <v>46261</v>
      </c>
      <c r="B165" s="33">
        <v>85.11</v>
      </c>
      <c r="C165" s="33">
        <v>83.45</v>
      </c>
      <c r="D165" s="15">
        <v>-2.3686234477160301E-2</v>
      </c>
      <c r="E165" s="15">
        <v>-2.5554448646550099E-2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85.11</v>
      </c>
      <c r="M165" s="33">
        <v>83.45</v>
      </c>
      <c r="N165" s="34">
        <v>0.98049582892727005</v>
      </c>
      <c r="O165" s="34">
        <v>0.96273232566827205</v>
      </c>
      <c r="P165" s="34">
        <v>0.98228180005117804</v>
      </c>
      <c r="Q165" s="34">
        <v>0.981623039441746</v>
      </c>
      <c r="R165" s="33">
        <v>81.938148237626606</v>
      </c>
      <c r="S165" s="33">
        <v>83.600778505440104</v>
      </c>
      <c r="T165" s="33">
        <v>83.527821125692995</v>
      </c>
      <c r="U165" s="15">
        <v>-1.8282977248304199E-2</v>
      </c>
      <c r="V165" s="15">
        <v>1.8051822054831301E-3</v>
      </c>
      <c r="W165" s="15">
        <v>9.3211338850663597E-4</v>
      </c>
      <c r="X165" s="34">
        <v>0.98049582892727005</v>
      </c>
      <c r="Y165" s="34">
        <v>0.96273232566827205</v>
      </c>
      <c r="Z165" s="34">
        <v>0.98228180005117804</v>
      </c>
      <c r="AA165" s="34">
        <v>0.981623039441746</v>
      </c>
      <c r="AB165" s="33">
        <v>81.938148237626606</v>
      </c>
      <c r="AC165" s="33">
        <v>83.600778505440104</v>
      </c>
      <c r="AD165" s="33">
        <v>83.527821125692995</v>
      </c>
      <c r="AE165" s="15">
        <v>-1.8282977248304199E-2</v>
      </c>
      <c r="AF165" s="15">
        <v>1.8051822054831301E-3</v>
      </c>
      <c r="AG165" s="15">
        <v>9.3211338850663597E-4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4.3502793683705104E-2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3.5934765102103056E-2</v>
      </c>
      <c r="BE165" s="29">
        <f t="shared" si="62"/>
        <v>0</v>
      </c>
      <c r="BF165" s="29">
        <f t="shared" si="63"/>
        <v>7.9437558785808146E-2</v>
      </c>
      <c r="BH165" s="29"/>
    </row>
    <row r="166" spans="1:60" x14ac:dyDescent="0.25">
      <c r="A166" s="1">
        <v>46262</v>
      </c>
      <c r="B166" s="33">
        <v>86.33</v>
      </c>
      <c r="C166" s="33">
        <v>84.95</v>
      </c>
      <c r="D166" s="15">
        <v>1.42326247585616E-2</v>
      </c>
      <c r="E166" s="15">
        <v>1.7815198010096799E-2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86.33</v>
      </c>
      <c r="M166" s="33">
        <v>84.95</v>
      </c>
      <c r="N166" s="34">
        <v>0.98401482682729002</v>
      </c>
      <c r="O166" s="34">
        <v>0.96273232566827205</v>
      </c>
      <c r="P166" s="34">
        <v>0.98237624599545303</v>
      </c>
      <c r="Q166" s="34">
        <v>0.98182560227673499</v>
      </c>
      <c r="R166" s="33">
        <v>83.112681674941896</v>
      </c>
      <c r="S166" s="33">
        <v>84.8003877984182</v>
      </c>
      <c r="T166" s="33">
        <v>84.743516995005905</v>
      </c>
      <c r="U166" s="15">
        <v>-2.1865550499839501E-2</v>
      </c>
      <c r="V166" s="15">
        <v>-1.7627322359852001E-3</v>
      </c>
      <c r="W166" s="15">
        <v>-2.43360041746989E-3</v>
      </c>
      <c r="X166" s="34">
        <v>0.98401482682729002</v>
      </c>
      <c r="Y166" s="34">
        <v>0.96273232566827205</v>
      </c>
      <c r="Z166" s="34">
        <v>0.98237624599545303</v>
      </c>
      <c r="AA166" s="34">
        <v>0.98182560227673499</v>
      </c>
      <c r="AB166" s="33">
        <v>83.112681674941896</v>
      </c>
      <c r="AC166" s="33">
        <v>84.8003877984182</v>
      </c>
      <c r="AD166" s="33">
        <v>84.743516995005905</v>
      </c>
      <c r="AE166" s="15">
        <v>-2.1865550499839501E-2</v>
      </c>
      <c r="AF166" s="15">
        <v>-1.7627322359852001E-3</v>
      </c>
      <c r="AG166" s="15">
        <v>-2.43360041746989E-3</v>
      </c>
      <c r="AI166" s="12"/>
      <c r="AJ166">
        <f t="shared" si="46"/>
        <v>0</v>
      </c>
      <c r="AK166">
        <f t="shared" si="47"/>
        <v>0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4.3502793683705104E-2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3.5934765102103056E-2</v>
      </c>
      <c r="BE166" s="29">
        <f t="shared" si="62"/>
        <v>0</v>
      </c>
      <c r="BF166" s="29">
        <f t="shared" si="63"/>
        <v>7.9437558785808146E-2</v>
      </c>
      <c r="BH166" s="29"/>
    </row>
    <row r="167" spans="1:60" x14ac:dyDescent="0.25">
      <c r="A167" s="1">
        <v>46265</v>
      </c>
      <c r="B167" s="33">
        <v>84.11</v>
      </c>
      <c r="C167" s="33">
        <v>82.26</v>
      </c>
      <c r="D167" s="15">
        <v>-2.60516962730853E-2</v>
      </c>
      <c r="E167" s="15">
        <v>-3.2177885315662902E-2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84.11</v>
      </c>
      <c r="M167" s="33">
        <v>82.26</v>
      </c>
      <c r="N167" s="34">
        <v>0.97800499346094405</v>
      </c>
      <c r="O167" s="34">
        <v>0.96273232566827205</v>
      </c>
      <c r="P167" s="34">
        <v>0.98218737626366404</v>
      </c>
      <c r="Q167" s="34">
        <v>0.98178805852255202</v>
      </c>
      <c r="R167" s="33">
        <v>80.975415911958393</v>
      </c>
      <c r="S167" s="33">
        <v>82.627666050677504</v>
      </c>
      <c r="T167" s="33">
        <v>82.5813514074962</v>
      </c>
      <c r="U167" s="15">
        <v>-1.5739361457261899E-2</v>
      </c>
      <c r="V167" s="15">
        <v>4.45960172558968E-3</v>
      </c>
      <c r="W167" s="15">
        <v>3.8989223497631698E-3</v>
      </c>
      <c r="X167" s="34">
        <v>0.97800499346094405</v>
      </c>
      <c r="Y167" s="34">
        <v>0.96273232566827205</v>
      </c>
      <c r="Z167" s="34">
        <v>0.98218737626366404</v>
      </c>
      <c r="AA167" s="34">
        <v>0.98178805852255202</v>
      </c>
      <c r="AB167" s="33">
        <v>80.975415911958393</v>
      </c>
      <c r="AC167" s="33">
        <v>82.627666050677504</v>
      </c>
      <c r="AD167" s="33">
        <v>82.5813514074962</v>
      </c>
      <c r="AE167" s="15">
        <v>-1.5739361457261899E-2</v>
      </c>
      <c r="AF167" s="15">
        <v>4.45960172558968E-3</v>
      </c>
      <c r="AG167" s="15">
        <v>3.8989223497631698E-3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4.3502793683705104E-2</v>
      </c>
      <c r="AT167" s="12"/>
      <c r="AU167">
        <f t="shared" si="50"/>
        <v>0</v>
      </c>
      <c r="AV167">
        <f t="shared" si="51"/>
        <v>0</v>
      </c>
      <c r="AW167">
        <f t="shared" si="58"/>
        <v>0</v>
      </c>
      <c r="AX167">
        <f t="shared" si="45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3.5934765102103056E-2</v>
      </c>
      <c r="BE167" s="29">
        <f t="shared" si="62"/>
        <v>0</v>
      </c>
      <c r="BF167" s="29">
        <f t="shared" si="63"/>
        <v>7.9437558785808146E-2</v>
      </c>
      <c r="BH167" s="29"/>
    </row>
    <row r="168" spans="1:60" x14ac:dyDescent="0.25">
      <c r="A168" s="1">
        <v>46266</v>
      </c>
      <c r="B168" s="33">
        <v>82.75</v>
      </c>
      <c r="C168" s="33">
        <v>81.400000000000006</v>
      </c>
      <c r="D168" s="15">
        <v>-1.6301451717173499E-2</v>
      </c>
      <c r="E168" s="15">
        <v>-1.0509689793783399E-2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82.75</v>
      </c>
      <c r="M168" s="33">
        <v>81.400000000000006</v>
      </c>
      <c r="N168" s="34">
        <v>0.98368580060422905</v>
      </c>
      <c r="O168" s="34">
        <v>0.96273232566827205</v>
      </c>
      <c r="P168" s="34">
        <v>0.98225127066362095</v>
      </c>
      <c r="Q168" s="34">
        <v>0.98189742324823603</v>
      </c>
      <c r="R168" s="33">
        <v>79.666099949049496</v>
      </c>
      <c r="S168" s="33">
        <v>81.276005385818195</v>
      </c>
      <c r="T168" s="33">
        <v>81.242961842741195</v>
      </c>
      <c r="U168" s="15">
        <v>-2.15311233806522E-2</v>
      </c>
      <c r="V168" s="15">
        <v>-1.5244367219409999E-3</v>
      </c>
      <c r="W168" s="15">
        <v>-1.93107902463175E-3</v>
      </c>
      <c r="X168" s="34">
        <v>0.98368580060422905</v>
      </c>
      <c r="Y168" s="34">
        <v>0.96273232566827205</v>
      </c>
      <c r="Z168" s="34">
        <v>0.98225127066362095</v>
      </c>
      <c r="AA168" s="34">
        <v>0.98189742324823603</v>
      </c>
      <c r="AB168" s="33">
        <v>79.666099949049496</v>
      </c>
      <c r="AC168" s="33">
        <v>81.276005385818195</v>
      </c>
      <c r="AD168" s="33">
        <v>81.242961842741195</v>
      </c>
      <c r="AE168" s="15">
        <v>-2.15311233806522E-2</v>
      </c>
      <c r="AF168" s="15">
        <v>-1.5244367219409999E-3</v>
      </c>
      <c r="AG168" s="15">
        <v>-1.93107902463175E-3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4.3502793683705104E-2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3.5934765102103056E-2</v>
      </c>
      <c r="BE168" s="29">
        <f t="shared" si="62"/>
        <v>0</v>
      </c>
      <c r="BF168" s="29">
        <f t="shared" si="63"/>
        <v>7.9437558785808146E-2</v>
      </c>
      <c r="BH168" s="29"/>
    </row>
    <row r="169" spans="1:60" x14ac:dyDescent="0.25">
      <c r="A169" s="1">
        <v>46267</v>
      </c>
      <c r="B169" s="33">
        <v>83.58</v>
      </c>
      <c r="C169" s="33">
        <v>82.15</v>
      </c>
      <c r="D169" s="15">
        <v>9.98024276259705E-3</v>
      </c>
      <c r="E169" s="15">
        <v>9.1715714747823696E-3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83.58</v>
      </c>
      <c r="M169" s="33">
        <v>82.15</v>
      </c>
      <c r="N169" s="34">
        <v>0.98289064369466295</v>
      </c>
      <c r="O169" s="34">
        <v>0.96273232566827205</v>
      </c>
      <c r="P169" s="34">
        <v>0.98217836481544696</v>
      </c>
      <c r="Q169" s="34">
        <v>0.98186125447712003</v>
      </c>
      <c r="R169" s="33">
        <v>80.465167779354204</v>
      </c>
      <c r="S169" s="33">
        <v>82.096561202065502</v>
      </c>
      <c r="T169" s="33">
        <v>82.066986635087503</v>
      </c>
      <c r="U169" s="15">
        <v>-2.0722452092837601E-2</v>
      </c>
      <c r="V169" s="15">
        <v>-6.5071438243864796E-4</v>
      </c>
      <c r="W169" s="15">
        <v>-1.01102052454515E-3</v>
      </c>
      <c r="X169" s="34">
        <v>0.98289064369466295</v>
      </c>
      <c r="Y169" s="34">
        <v>0.96273232566827205</v>
      </c>
      <c r="Z169" s="34">
        <v>0.98217836481544696</v>
      </c>
      <c r="AA169" s="34">
        <v>0.98186125447712003</v>
      </c>
      <c r="AB169" s="33">
        <v>80.465167779354204</v>
      </c>
      <c r="AC169" s="33">
        <v>82.096561202065502</v>
      </c>
      <c r="AD169" s="33">
        <v>82.066986635087503</v>
      </c>
      <c r="AE169" s="15">
        <v>-2.0722452092837601E-2</v>
      </c>
      <c r="AF169" s="15">
        <v>-6.5071438243864796E-4</v>
      </c>
      <c r="AG169" s="15">
        <v>-1.01102052454515E-3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4.3502793683705104E-2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3.5934765102103056E-2</v>
      </c>
      <c r="BE169" s="29">
        <f t="shared" si="62"/>
        <v>0</v>
      </c>
      <c r="BF169" s="29">
        <f t="shared" si="63"/>
        <v>7.9437558785808146E-2</v>
      </c>
      <c r="BH169" s="29"/>
    </row>
    <row r="170" spans="1:60" x14ac:dyDescent="0.25">
      <c r="A170" s="1">
        <v>46268</v>
      </c>
      <c r="B170" s="33">
        <v>84.45</v>
      </c>
      <c r="C170" s="33">
        <v>82.84</v>
      </c>
      <c r="D170" s="15">
        <v>1.03553862340397E-2</v>
      </c>
      <c r="E170" s="15">
        <v>8.3641920441062199E-3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84.45</v>
      </c>
      <c r="M170" s="33">
        <v>82.84</v>
      </c>
      <c r="N170" s="34">
        <v>0.98093546477205396</v>
      </c>
      <c r="O170" s="34">
        <v>0.96273232566827205</v>
      </c>
      <c r="P170" s="34">
        <v>0.98212159520742703</v>
      </c>
      <c r="Q170" s="34">
        <v>0.98181583247875004</v>
      </c>
      <c r="R170" s="33">
        <v>81.302744902685603</v>
      </c>
      <c r="S170" s="33">
        <v>82.944962908664493</v>
      </c>
      <c r="T170" s="33">
        <v>82.9181829405928</v>
      </c>
      <c r="U170" s="15">
        <v>-1.87312579029041E-2</v>
      </c>
      <c r="V170" s="15">
        <v>1.2662538368713499E-3</v>
      </c>
      <c r="W170" s="15">
        <v>9.4333739672668203E-4</v>
      </c>
      <c r="X170" s="34">
        <v>0.98093546477205396</v>
      </c>
      <c r="Y170" s="34">
        <v>0.96273232566827205</v>
      </c>
      <c r="Z170" s="34">
        <v>0.98212159520742703</v>
      </c>
      <c r="AA170" s="34">
        <v>0.98181583247875004</v>
      </c>
      <c r="AB170" s="33">
        <v>81.302744902685603</v>
      </c>
      <c r="AC170" s="33">
        <v>82.944962908664493</v>
      </c>
      <c r="AD170" s="33">
        <v>82.9181829405928</v>
      </c>
      <c r="AE170" s="15">
        <v>-1.87312579029041E-2</v>
      </c>
      <c r="AF170" s="15">
        <v>1.2662538368713499E-3</v>
      </c>
      <c r="AG170" s="15">
        <v>9.4333739672668203E-4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4.3502793683705104E-2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3.5934765102103056E-2</v>
      </c>
      <c r="BE170" s="29">
        <f t="shared" si="62"/>
        <v>0</v>
      </c>
      <c r="BF170" s="29">
        <f t="shared" si="63"/>
        <v>7.9437558785808146E-2</v>
      </c>
      <c r="BH170" s="29"/>
    </row>
    <row r="171" spans="1:60" x14ac:dyDescent="0.25">
      <c r="A171" s="1">
        <v>46269</v>
      </c>
      <c r="B171" s="33">
        <v>83.58</v>
      </c>
      <c r="C171" s="33">
        <v>82.17</v>
      </c>
      <c r="D171" s="15">
        <v>-1.0355386234039801E-2</v>
      </c>
      <c r="E171" s="15">
        <v>-8.1207645842869096E-3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83.58</v>
      </c>
      <c r="M171" s="33">
        <v>82.17</v>
      </c>
      <c r="N171" s="34">
        <v>0.98312993539124105</v>
      </c>
      <c r="O171" s="34">
        <v>0.96273232566827205</v>
      </c>
      <c r="P171" s="34">
        <v>0.98219280524850405</v>
      </c>
      <c r="Q171" s="34">
        <v>0.98193626664908396</v>
      </c>
      <c r="R171" s="33">
        <v>80.465167779354204</v>
      </c>
      <c r="S171" s="33">
        <v>82.085722927436706</v>
      </c>
      <c r="T171" s="33">
        <v>82.060167278573999</v>
      </c>
      <c r="U171" s="15">
        <v>-2.0965879552657E-2</v>
      </c>
      <c r="V171" s="15">
        <v>-1.0261691764121201E-3</v>
      </c>
      <c r="W171" s="15">
        <v>-1.33754644010321E-3</v>
      </c>
      <c r="X171" s="34">
        <v>0.98312993539124105</v>
      </c>
      <c r="Y171" s="34">
        <v>0.96273232566827205</v>
      </c>
      <c r="Z171" s="34">
        <v>0.98219280524850405</v>
      </c>
      <c r="AA171" s="34">
        <v>0.98193626664908396</v>
      </c>
      <c r="AB171" s="33">
        <v>80.465167779354204</v>
      </c>
      <c r="AC171" s="33">
        <v>82.085722927436706</v>
      </c>
      <c r="AD171" s="33">
        <v>82.060167278573999</v>
      </c>
      <c r="AE171" s="15">
        <v>-2.0965879552657E-2</v>
      </c>
      <c r="AF171" s="15">
        <v>-1.0261691764121201E-3</v>
      </c>
      <c r="AG171" s="15">
        <v>-1.33754644010321E-3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4.3502793683705104E-2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3.5934765102103056E-2</v>
      </c>
      <c r="BE171" s="29">
        <f t="shared" si="62"/>
        <v>0</v>
      </c>
      <c r="BF171" s="29">
        <f t="shared" si="63"/>
        <v>7.9437558785808146E-2</v>
      </c>
      <c r="BH171" s="29"/>
    </row>
    <row r="172" spans="1:60" x14ac:dyDescent="0.25">
      <c r="A172" s="1">
        <v>46273</v>
      </c>
      <c r="B172" s="33">
        <v>80.37</v>
      </c>
      <c r="C172" s="33">
        <v>78.98</v>
      </c>
      <c r="D172" s="15">
        <v>-3.9163284795142098E-2</v>
      </c>
      <c r="E172" s="15">
        <v>-3.9595616084592999E-2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80.37</v>
      </c>
      <c r="M172" s="33">
        <v>78.98</v>
      </c>
      <c r="N172" s="34">
        <v>0.98270498942391404</v>
      </c>
      <c r="O172" s="34">
        <v>0.96273232566827205</v>
      </c>
      <c r="P172" s="34">
        <v>0.98203998295677597</v>
      </c>
      <c r="Q172" s="34">
        <v>0.98211123574644799</v>
      </c>
      <c r="R172" s="33">
        <v>77.374797013958997</v>
      </c>
      <c r="S172" s="33">
        <v>78.938835757822304</v>
      </c>
      <c r="T172" s="33">
        <v>78.918217750586905</v>
      </c>
      <c r="U172" s="15">
        <v>-2.0533548263206001E-2</v>
      </c>
      <c r="V172" s="15">
        <v>-5.2133417666681196E-4</v>
      </c>
      <c r="W172" s="15">
        <v>-7.82557947090017E-4</v>
      </c>
      <c r="X172" s="34">
        <v>0.98270498942391404</v>
      </c>
      <c r="Y172" s="34">
        <v>0.96273232566827205</v>
      </c>
      <c r="Z172" s="34">
        <v>0.98203998295677597</v>
      </c>
      <c r="AA172" s="34">
        <v>0.98211123574644799</v>
      </c>
      <c r="AB172" s="33">
        <v>77.374797013958997</v>
      </c>
      <c r="AC172" s="33">
        <v>78.938835757822304</v>
      </c>
      <c r="AD172" s="33">
        <v>78.918217750586905</v>
      </c>
      <c r="AE172" s="15">
        <v>-2.0533548263206001E-2</v>
      </c>
      <c r="AF172" s="15">
        <v>-5.2133417666681196E-4</v>
      </c>
      <c r="AG172" s="15">
        <v>-7.82557947090017E-4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4.3502793683705104E-2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3.5934765102103056E-2</v>
      </c>
      <c r="BE172" s="29">
        <f t="shared" si="62"/>
        <v>0</v>
      </c>
      <c r="BF172" s="29">
        <f t="shared" si="63"/>
        <v>7.9437558785808146E-2</v>
      </c>
      <c r="BH172" s="29"/>
    </row>
    <row r="173" spans="1:60" x14ac:dyDescent="0.25">
      <c r="A173" s="1">
        <v>46274</v>
      </c>
      <c r="B173" s="33">
        <v>80.760000000000005</v>
      </c>
      <c r="C173" s="33">
        <v>79.13</v>
      </c>
      <c r="D173" s="15">
        <v>4.8408212200097096E-3</v>
      </c>
      <c r="E173" s="15">
        <v>1.89741376259862E-3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80.760000000000005</v>
      </c>
      <c r="M173" s="33">
        <v>79.13</v>
      </c>
      <c r="N173" s="34">
        <v>0.97981674096087101</v>
      </c>
      <c r="O173" s="34">
        <v>0.96273232566827205</v>
      </c>
      <c r="P173" s="34">
        <v>0.98180085413315499</v>
      </c>
      <c r="Q173" s="34">
        <v>0.98187306080134495</v>
      </c>
      <c r="R173" s="33">
        <v>77.750262620969707</v>
      </c>
      <c r="S173" s="33">
        <v>79.309549023589298</v>
      </c>
      <c r="T173" s="33">
        <v>79.315303398883103</v>
      </c>
      <c r="U173" s="15">
        <v>-1.75901408057948E-2</v>
      </c>
      <c r="V173" s="15">
        <v>2.2664682089278999E-3</v>
      </c>
      <c r="W173" s="15">
        <v>2.33902147165446E-3</v>
      </c>
      <c r="X173" s="34">
        <v>0.97981674096087101</v>
      </c>
      <c r="Y173" s="34">
        <v>0.96273232566827205</v>
      </c>
      <c r="Z173" s="34">
        <v>0.98180085413315499</v>
      </c>
      <c r="AA173" s="34">
        <v>0.98187306080134495</v>
      </c>
      <c r="AB173" s="33">
        <v>77.750262620969707</v>
      </c>
      <c r="AC173" s="33">
        <v>79.309549023589298</v>
      </c>
      <c r="AD173" s="33">
        <v>79.315303398883103</v>
      </c>
      <c r="AE173" s="15">
        <v>-1.75901408057948E-2</v>
      </c>
      <c r="AF173" s="15">
        <v>2.2664682089278999E-3</v>
      </c>
      <c r="AG173" s="15">
        <v>2.33902147165446E-3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4.3502793683705104E-2</v>
      </c>
      <c r="AT173" s="12"/>
      <c r="AU173">
        <f t="shared" si="50"/>
        <v>0</v>
      </c>
      <c r="AV173">
        <f t="shared" si="51"/>
        <v>0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3.5934765102103056E-2</v>
      </c>
      <c r="BE173" s="29">
        <f t="shared" si="62"/>
        <v>0</v>
      </c>
      <c r="BF173" s="29">
        <f t="shared" si="63"/>
        <v>7.9437558785808146E-2</v>
      </c>
      <c r="BH173" s="29"/>
    </row>
    <row r="174" spans="1:60" x14ac:dyDescent="0.25">
      <c r="A174" s="1">
        <v>46275</v>
      </c>
      <c r="B174" s="33">
        <v>77.900000000000006</v>
      </c>
      <c r="C174" s="33">
        <v>76.56</v>
      </c>
      <c r="D174" s="15">
        <v>-3.6055840567934101E-2</v>
      </c>
      <c r="E174" s="15">
        <v>-3.3017322476403099E-2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77.900000000000006</v>
      </c>
      <c r="M174" s="33">
        <v>76.56</v>
      </c>
      <c r="N174" s="34">
        <v>0.98279845956354295</v>
      </c>
      <c r="O174" s="34">
        <v>0.96273232566827205</v>
      </c>
      <c r="P174" s="34">
        <v>0.98184776836260201</v>
      </c>
      <c r="Q174" s="34">
        <v>0.98205758471848903</v>
      </c>
      <c r="R174" s="33">
        <v>74.996848169558405</v>
      </c>
      <c r="S174" s="33">
        <v>76.482286536972794</v>
      </c>
      <c r="T174" s="33">
        <v>76.487911436424696</v>
      </c>
      <c r="U174" s="15">
        <v>-2.0628658897325802E-2</v>
      </c>
      <c r="V174" s="15">
        <v>-1.0155816600126899E-3</v>
      </c>
      <c r="W174" s="15">
        <v>-9.4203923764545603E-4</v>
      </c>
      <c r="X174" s="34">
        <v>0.98279845956354295</v>
      </c>
      <c r="Y174" s="34">
        <v>0.96273232566827205</v>
      </c>
      <c r="Z174" s="34">
        <v>0.98184776836260201</v>
      </c>
      <c r="AA174" s="34">
        <v>0.98205758471848903</v>
      </c>
      <c r="AB174" s="33">
        <v>74.996848169558405</v>
      </c>
      <c r="AC174" s="33">
        <v>76.482286536972794</v>
      </c>
      <c r="AD174" s="33">
        <v>76.487911436424696</v>
      </c>
      <c r="AE174" s="15">
        <v>-2.0628658897325802E-2</v>
      </c>
      <c r="AF174" s="15">
        <v>-1.0155816600126899E-3</v>
      </c>
      <c r="AG174" s="15">
        <v>-9.4203923764545603E-4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4.3502793683705104E-2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3.5934765102103056E-2</v>
      </c>
      <c r="BE174" s="29">
        <f t="shared" si="62"/>
        <v>0</v>
      </c>
      <c r="BF174" s="29">
        <f t="shared" si="63"/>
        <v>7.9437558785808146E-2</v>
      </c>
      <c r="BH174" s="29"/>
    </row>
    <row r="175" spans="1:60" x14ac:dyDescent="0.25">
      <c r="A175" s="1">
        <v>46276</v>
      </c>
      <c r="B175" s="33">
        <v>79.599999999999994</v>
      </c>
      <c r="C175" s="33">
        <v>78.27</v>
      </c>
      <c r="D175" s="15">
        <v>2.1588139973634599E-2</v>
      </c>
      <c r="E175" s="15">
        <v>2.2089640672047901E-2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79.599999999999994</v>
      </c>
      <c r="M175" s="33">
        <v>78.27</v>
      </c>
      <c r="N175" s="34">
        <v>0.98329145728643197</v>
      </c>
      <c r="O175" s="34">
        <v>0.96273232566827205</v>
      </c>
      <c r="P175" s="34">
        <v>0.98212733119851803</v>
      </c>
      <c r="Q175" s="34">
        <v>0.98220456562484804</v>
      </c>
      <c r="R175" s="33">
        <v>76.633493123194498</v>
      </c>
      <c r="S175" s="33">
        <v>78.155082361663105</v>
      </c>
      <c r="T175" s="33">
        <v>78.171783743591703</v>
      </c>
      <c r="U175" s="15">
        <v>-2.1130159595738999E-2</v>
      </c>
      <c r="V175" s="15">
        <v>-1.46929964524786E-3</v>
      </c>
      <c r="W175" s="15">
        <v>-1.2556270704917501E-3</v>
      </c>
      <c r="X175" s="34">
        <v>0.98329145728643197</v>
      </c>
      <c r="Y175" s="34">
        <v>0.96273232566827205</v>
      </c>
      <c r="Z175" s="34">
        <v>0.98212733119851803</v>
      </c>
      <c r="AA175" s="34">
        <v>0.98220456562484804</v>
      </c>
      <c r="AB175" s="33">
        <v>76.633493123194498</v>
      </c>
      <c r="AC175" s="33">
        <v>78.155082361663105</v>
      </c>
      <c r="AD175" s="33">
        <v>78.171783743591703</v>
      </c>
      <c r="AE175" s="15">
        <v>-2.1130159595738999E-2</v>
      </c>
      <c r="AF175" s="15">
        <v>-1.46929964524786E-3</v>
      </c>
      <c r="AG175" s="15">
        <v>-1.2556270704917501E-3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4.3502793683705104E-2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3.5934765102103056E-2</v>
      </c>
      <c r="BE175" s="29">
        <f t="shared" si="62"/>
        <v>0</v>
      </c>
      <c r="BF175" s="29">
        <f t="shared" si="63"/>
        <v>7.9437558785808146E-2</v>
      </c>
      <c r="BH175" s="29"/>
    </row>
    <row r="176" spans="1:60" x14ac:dyDescent="0.25">
      <c r="A176" s="1">
        <v>46279</v>
      </c>
      <c r="B176" s="33">
        <v>79.989999999999995</v>
      </c>
      <c r="C176" s="33">
        <v>78.67</v>
      </c>
      <c r="D176" s="15">
        <v>4.8875340103932199E-3</v>
      </c>
      <c r="E176" s="15">
        <v>5.0975005244044101E-3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79.989999999999995</v>
      </c>
      <c r="M176" s="33">
        <v>78.67</v>
      </c>
      <c r="N176" s="34">
        <v>0.98349793724215495</v>
      </c>
      <c r="O176" s="34">
        <v>0.96273232566827205</v>
      </c>
      <c r="P176" s="34">
        <v>0.98207564224000499</v>
      </c>
      <c r="Q176" s="34">
        <v>0.98222594411772901</v>
      </c>
      <c r="R176" s="33">
        <v>77.008958730205094</v>
      </c>
      <c r="S176" s="33">
        <v>78.560365222569501</v>
      </c>
      <c r="T176" s="33">
        <v>78.566543204331595</v>
      </c>
      <c r="U176" s="15">
        <v>-2.1340126109750401E-2</v>
      </c>
      <c r="V176" s="15">
        <v>-1.39457534228601E-3</v>
      </c>
      <c r="W176" s="15">
        <v>-1.3159385024578199E-3</v>
      </c>
      <c r="X176" s="34">
        <v>0.98349793724215495</v>
      </c>
      <c r="Y176" s="34">
        <v>0.96273232566827205</v>
      </c>
      <c r="Z176" s="34">
        <v>0.98207564224000499</v>
      </c>
      <c r="AA176" s="34">
        <v>0.98222594411772901</v>
      </c>
      <c r="AB176" s="33">
        <v>77.008958730205094</v>
      </c>
      <c r="AC176" s="33">
        <v>78.560365222569501</v>
      </c>
      <c r="AD176" s="33">
        <v>78.566543204331595</v>
      </c>
      <c r="AE176" s="15">
        <v>-2.1340126109750401E-2</v>
      </c>
      <c r="AF176" s="15">
        <v>-1.39457534228601E-3</v>
      </c>
      <c r="AG176" s="15">
        <v>-1.3159385024578199E-3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4.3502793683705104E-2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3.5934765102103056E-2</v>
      </c>
      <c r="BE176" s="29">
        <f t="shared" si="62"/>
        <v>0</v>
      </c>
      <c r="BF176" s="29">
        <f t="shared" si="63"/>
        <v>7.9437558785808146E-2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2026-09-22T19:38:06Z</dcterms:created>
  <dcterms:modified xsi:type="dcterms:W3CDTF">2026-09-22T20:11:40Z</dcterms:modified>
</cp:coreProperties>
</file>