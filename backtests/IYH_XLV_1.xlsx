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4C950C93-9690-4696-BF2D-70B31D0EB4C7}" xr6:coauthVersionLast="47" xr6:coauthVersionMax="47" xr10:uidLastSave="{00000000-0000-0000-0000-000000000000}"/>
  <bookViews>
    <workbookView xWindow="28680" yWindow="-120" windowWidth="29040" windowHeight="15720" xr2:uid="{DCB87BAF-4E1E-4F3A-A9C4-EB93F4DD636F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M165" i="1"/>
  <c r="AK165" i="1"/>
  <c r="AJ165" i="1"/>
  <c r="AX164" i="1"/>
  <c r="AV164" i="1"/>
  <c r="AU164" i="1"/>
  <c r="AM164" i="1"/>
  <c r="AK164" i="1"/>
  <c r="AJ164" i="1"/>
  <c r="AX163" i="1"/>
  <c r="AV163" i="1"/>
  <c r="AU163" i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M156" i="1"/>
  <c r="AK156" i="1"/>
  <c r="AJ156" i="1"/>
  <c r="AN157" i="1" s="1"/>
  <c r="AX155" i="1"/>
  <c r="AV155" i="1"/>
  <c r="AU155" i="1"/>
  <c r="AM155" i="1"/>
  <c r="AK155" i="1"/>
  <c r="AJ155" i="1"/>
  <c r="AX154" i="1"/>
  <c r="AV154" i="1"/>
  <c r="AU154" i="1"/>
  <c r="AM154" i="1"/>
  <c r="AK154" i="1"/>
  <c r="AJ154" i="1"/>
  <c r="AN155" i="1" s="1"/>
  <c r="AX153" i="1"/>
  <c r="AV153" i="1"/>
  <c r="AU153" i="1"/>
  <c r="AM153" i="1"/>
  <c r="AK153" i="1"/>
  <c r="AJ153" i="1"/>
  <c r="AX152" i="1"/>
  <c r="AV152" i="1"/>
  <c r="AU152" i="1"/>
  <c r="AM152" i="1"/>
  <c r="AK152" i="1"/>
  <c r="AJ152" i="1"/>
  <c r="AX151" i="1"/>
  <c r="AV151" i="1"/>
  <c r="AU151" i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M148" i="1"/>
  <c r="AK148" i="1"/>
  <c r="AJ148" i="1"/>
  <c r="AX147" i="1"/>
  <c r="AV147" i="1"/>
  <c r="AU147" i="1"/>
  <c r="AY148" i="1" s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N144" i="1" s="1"/>
  <c r="AX142" i="1"/>
  <c r="AV142" i="1"/>
  <c r="AU142" i="1"/>
  <c r="AM142" i="1"/>
  <c r="AK142" i="1"/>
  <c r="AJ142" i="1"/>
  <c r="AN143" i="1" s="1"/>
  <c r="AX141" i="1"/>
  <c r="AV141" i="1"/>
  <c r="AU141" i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N138" i="1" s="1"/>
  <c r="AX136" i="1"/>
  <c r="AV136" i="1"/>
  <c r="AU136" i="1"/>
  <c r="AM136" i="1"/>
  <c r="AK136" i="1"/>
  <c r="AJ136" i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M134" i="1"/>
  <c r="AK134" i="1"/>
  <c r="AJ134" i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N121" i="1" s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M116" i="1"/>
  <c r="AK116" i="1"/>
  <c r="AJ116" i="1"/>
  <c r="AX115" i="1"/>
  <c r="AV115" i="1"/>
  <c r="AU115" i="1"/>
  <c r="AY116" i="1" s="1"/>
  <c r="AM115" i="1"/>
  <c r="AK115" i="1"/>
  <c r="AJ115" i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M113" i="1"/>
  <c r="AK113" i="1"/>
  <c r="AJ113" i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Y108" i="1" s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M105" i="1"/>
  <c r="AK105" i="1"/>
  <c r="AJ105" i="1"/>
  <c r="AN106" i="1" s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N101" i="1" s="1"/>
  <c r="AX99" i="1"/>
  <c r="AV99" i="1"/>
  <c r="AU99" i="1"/>
  <c r="AY100" i="1" s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N98" i="1" s="1"/>
  <c r="AX96" i="1"/>
  <c r="AV96" i="1"/>
  <c r="AU96" i="1"/>
  <c r="AY97" i="1" s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N93" i="1" s="1"/>
  <c r="AX91" i="1"/>
  <c r="AV91" i="1"/>
  <c r="AU91" i="1"/>
  <c r="AY92" i="1" s="1"/>
  <c r="AM91" i="1"/>
  <c r="AK91" i="1"/>
  <c r="AJ91" i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N89" i="1" s="1"/>
  <c r="AX87" i="1"/>
  <c r="AV87" i="1"/>
  <c r="AU87" i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N71" i="1" s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Y66" i="1" s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N61" i="1" s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X51" i="1"/>
  <c r="AV51" i="1"/>
  <c r="AU51" i="1"/>
  <c r="AY52" i="1" s="1"/>
  <c r="AM51" i="1"/>
  <c r="AK51" i="1"/>
  <c r="AJ51" i="1"/>
  <c r="AX50" i="1"/>
  <c r="AV50" i="1"/>
  <c r="AU50" i="1"/>
  <c r="AY51" i="1" s="1"/>
  <c r="AM50" i="1"/>
  <c r="AK50" i="1"/>
  <c r="AJ50" i="1"/>
  <c r="AN51" i="1" s="1"/>
  <c r="AX49" i="1"/>
  <c r="AV49" i="1"/>
  <c r="AU49" i="1"/>
  <c r="AY50" i="1" s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Y45" i="1" s="1"/>
  <c r="AM44" i="1"/>
  <c r="AK44" i="1"/>
  <c r="AJ44" i="1"/>
  <c r="AN45" i="1" s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N38" i="1" s="1"/>
  <c r="AX36" i="1"/>
  <c r="AV36" i="1"/>
  <c r="AU36" i="1"/>
  <c r="AM36" i="1"/>
  <c r="AK36" i="1"/>
  <c r="AJ36" i="1"/>
  <c r="AX35" i="1"/>
  <c r="AV35" i="1"/>
  <c r="AU35" i="1"/>
  <c r="AY36" i="1" s="1"/>
  <c r="AM35" i="1"/>
  <c r="AK35" i="1"/>
  <c r="AJ35" i="1"/>
  <c r="AN36" i="1" s="1"/>
  <c r="AX34" i="1"/>
  <c r="AV34" i="1"/>
  <c r="AU34" i="1"/>
  <c r="AM34" i="1"/>
  <c r="AK34" i="1"/>
  <c r="AJ34" i="1"/>
  <c r="AX33" i="1"/>
  <c r="AV33" i="1"/>
  <c r="AU33" i="1"/>
  <c r="AM33" i="1"/>
  <c r="AK33" i="1"/>
  <c r="AJ33" i="1"/>
  <c r="AN34" i="1" s="1"/>
  <c r="AX32" i="1"/>
  <c r="AV32" i="1"/>
  <c r="AU32" i="1"/>
  <c r="AY33" i="1" s="1"/>
  <c r="AM32" i="1"/>
  <c r="AK32" i="1"/>
  <c r="AJ32" i="1"/>
  <c r="AN33" i="1" s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X28" i="1"/>
  <c r="AV28" i="1"/>
  <c r="AU28" i="1"/>
  <c r="AM28" i="1"/>
  <c r="AK28" i="1"/>
  <c r="AJ28" i="1"/>
  <c r="AN29" i="1" s="1"/>
  <c r="AX27" i="1"/>
  <c r="AV27" i="1"/>
  <c r="AU27" i="1"/>
  <c r="AY28" i="1" s="1"/>
  <c r="AM27" i="1"/>
  <c r="AK27" i="1"/>
  <c r="AJ27" i="1"/>
  <c r="AX26" i="1"/>
  <c r="AV26" i="1"/>
  <c r="AU26" i="1"/>
  <c r="AY27" i="1" s="1"/>
  <c r="AM26" i="1"/>
  <c r="AK26" i="1"/>
  <c r="AJ26" i="1"/>
  <c r="AX25" i="1"/>
  <c r="AV25" i="1"/>
  <c r="AU25" i="1"/>
  <c r="AM25" i="1"/>
  <c r="AK25" i="1"/>
  <c r="AJ25" i="1"/>
  <c r="AX24" i="1"/>
  <c r="AV24" i="1"/>
  <c r="AU24" i="1"/>
  <c r="AM24" i="1"/>
  <c r="AK24" i="1"/>
  <c r="AJ24" i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73" i="1" l="1"/>
  <c r="AY140" i="1"/>
  <c r="AY137" i="1"/>
  <c r="AY110" i="1"/>
  <c r="AY90" i="1"/>
  <c r="AY35" i="1"/>
  <c r="AY171" i="1"/>
  <c r="AY120" i="1"/>
  <c r="AY114" i="1"/>
  <c r="AY111" i="1"/>
  <c r="AY109" i="1"/>
  <c r="AY99" i="1"/>
  <c r="AY98" i="1"/>
  <c r="AY93" i="1"/>
  <c r="AY91" i="1"/>
  <c r="AY82" i="1"/>
  <c r="AY31" i="1"/>
  <c r="AY26" i="1"/>
  <c r="AY24" i="1"/>
  <c r="AY149" i="1"/>
  <c r="AY144" i="1"/>
  <c r="AY133" i="1"/>
  <c r="AY85" i="1"/>
  <c r="AY79" i="1"/>
  <c r="AY40" i="1"/>
  <c r="AY34" i="1"/>
  <c r="AY32" i="1"/>
  <c r="AY30" i="1"/>
  <c r="AY29" i="1"/>
  <c r="AY176" i="1"/>
  <c r="AY106" i="1"/>
  <c r="AY49" i="1"/>
  <c r="AY25" i="1"/>
  <c r="AY146" i="1"/>
  <c r="AY143" i="1"/>
  <c r="AY135" i="1"/>
  <c r="AY117" i="1"/>
  <c r="AY102" i="1"/>
  <c r="AY94" i="1"/>
  <c r="AY53" i="1"/>
  <c r="AY46" i="1"/>
  <c r="AY142" i="1"/>
  <c r="AN130" i="1"/>
  <c r="AN128" i="1"/>
  <c r="AN127" i="1"/>
  <c r="AN85" i="1"/>
  <c r="AN80" i="1"/>
  <c r="AN77" i="1"/>
  <c r="AN75" i="1"/>
  <c r="AN68" i="1"/>
  <c r="AN64" i="1"/>
  <c r="AN46" i="1"/>
  <c r="AN135" i="1"/>
  <c r="AN129" i="1"/>
  <c r="AN117" i="1"/>
  <c r="AN76" i="1"/>
  <c r="AN73" i="1"/>
  <c r="AN69" i="1"/>
  <c r="AN67" i="1"/>
  <c r="AN62" i="1"/>
  <c r="AP62" i="1" s="1"/>
  <c r="AN58" i="1"/>
  <c r="AN49" i="1"/>
  <c r="AN146" i="1"/>
  <c r="AN126" i="1"/>
  <c r="AN124" i="1"/>
  <c r="AN122" i="1"/>
  <c r="AO122" i="1" s="1"/>
  <c r="AN120" i="1"/>
  <c r="AN104" i="1"/>
  <c r="AN94" i="1"/>
  <c r="AN90" i="1"/>
  <c r="AN88" i="1"/>
  <c r="AN86" i="1"/>
  <c r="AN65" i="1"/>
  <c r="AN60" i="1"/>
  <c r="AN55" i="1"/>
  <c r="AN53" i="1"/>
  <c r="AN48" i="1"/>
  <c r="AN44" i="1"/>
  <c r="AN40" i="1"/>
  <c r="AN25" i="1"/>
  <c r="AN149" i="1"/>
  <c r="AN82" i="1"/>
  <c r="AN59" i="1"/>
  <c r="AN56" i="1"/>
  <c r="AN54" i="1"/>
  <c r="AN52" i="1"/>
  <c r="AN125" i="1"/>
  <c r="AN123" i="1"/>
  <c r="AN103" i="1"/>
  <c r="AN99" i="1"/>
  <c r="AN92" i="1"/>
  <c r="AN72" i="1"/>
  <c r="AN70" i="1"/>
  <c r="AN66" i="1"/>
  <c r="AN50" i="1"/>
  <c r="AY83" i="1"/>
  <c r="AY95" i="1"/>
  <c r="AY37" i="1"/>
  <c r="BA37" i="1" s="1"/>
  <c r="AY124" i="1"/>
  <c r="AN156" i="1"/>
  <c r="AN153" i="1"/>
  <c r="AN57" i="1"/>
  <c r="AN87" i="1"/>
  <c r="AN78" i="1"/>
  <c r="AN165" i="1"/>
  <c r="AN145" i="1"/>
  <c r="AN100" i="1"/>
  <c r="AY169" i="1"/>
  <c r="AN166" i="1"/>
  <c r="AY84" i="1"/>
  <c r="AN154" i="1"/>
  <c r="AY23" i="1"/>
  <c r="AY160" i="1"/>
  <c r="AN107" i="1"/>
  <c r="AZ176" i="1"/>
  <c r="BA176" i="1"/>
  <c r="AW176" i="1"/>
  <c r="AO176" i="1"/>
  <c r="AP176" i="1"/>
  <c r="AL176" i="1"/>
  <c r="AZ175" i="1"/>
  <c r="BA175" i="1"/>
  <c r="AW175" i="1"/>
  <c r="AO175" i="1"/>
  <c r="AP175" i="1"/>
  <c r="AL175" i="1"/>
  <c r="AZ174" i="1"/>
  <c r="BA174" i="1"/>
  <c r="AW174" i="1"/>
  <c r="AO174" i="1"/>
  <c r="AP174" i="1"/>
  <c r="AL174" i="1"/>
  <c r="AZ173" i="1"/>
  <c r="BA173" i="1"/>
  <c r="AW173" i="1"/>
  <c r="AO173" i="1"/>
  <c r="AP173" i="1"/>
  <c r="AL173" i="1"/>
  <c r="AZ172" i="1"/>
  <c r="BA172" i="1"/>
  <c r="AW172" i="1"/>
  <c r="AO172" i="1"/>
  <c r="AP172" i="1"/>
  <c r="AL172" i="1"/>
  <c r="BA171" i="1"/>
  <c r="AZ171" i="1"/>
  <c r="BB171" i="1" s="1"/>
  <c r="AW171" i="1"/>
  <c r="AL171" i="1"/>
  <c r="AO171" i="1"/>
  <c r="AP171" i="1"/>
  <c r="AW170" i="1"/>
  <c r="BA170" i="1"/>
  <c r="AZ170" i="1"/>
  <c r="BB170" i="1" s="1"/>
  <c r="AO170" i="1"/>
  <c r="AL170" i="1"/>
  <c r="AP170" i="1"/>
  <c r="AL169" i="1"/>
  <c r="AO169" i="1"/>
  <c r="AP169" i="1"/>
  <c r="AZ168" i="1"/>
  <c r="BA168" i="1"/>
  <c r="AW168" i="1"/>
  <c r="AO168" i="1"/>
  <c r="AL168" i="1"/>
  <c r="AP168" i="1"/>
  <c r="BA167" i="1"/>
  <c r="AW167" i="1"/>
  <c r="AZ167" i="1"/>
  <c r="BB167" i="1" s="1"/>
  <c r="AO167" i="1"/>
  <c r="AL167" i="1"/>
  <c r="AP167" i="1"/>
  <c r="AP164" i="1"/>
  <c r="AO164" i="1"/>
  <c r="AQ164" i="1" s="1"/>
  <c r="AL164" i="1"/>
  <c r="AL163" i="1"/>
  <c r="AP163" i="1"/>
  <c r="AO163" i="1"/>
  <c r="AQ163" i="1" s="1"/>
  <c r="AP162" i="1"/>
  <c r="AL162" i="1"/>
  <c r="AO162" i="1"/>
  <c r="AQ162" i="1" s="1"/>
  <c r="AZ161" i="1"/>
  <c r="BA161" i="1"/>
  <c r="AW161" i="1"/>
  <c r="AY162" i="1" s="1"/>
  <c r="AL161" i="1"/>
  <c r="AO161" i="1"/>
  <c r="AP161" i="1"/>
  <c r="AL160" i="1"/>
  <c r="AO160" i="1"/>
  <c r="AP160" i="1"/>
  <c r="AL159" i="1"/>
  <c r="AO159" i="1"/>
  <c r="AP159" i="1"/>
  <c r="AP158" i="1"/>
  <c r="AL158" i="1"/>
  <c r="AO158" i="1"/>
  <c r="AQ158" i="1" s="1"/>
  <c r="AL157" i="1"/>
  <c r="AP157" i="1"/>
  <c r="AO157" i="1"/>
  <c r="AQ157" i="1" s="1"/>
  <c r="AL156" i="1"/>
  <c r="AO156" i="1"/>
  <c r="AP156" i="1"/>
  <c r="AL155" i="1"/>
  <c r="AO155" i="1"/>
  <c r="AP155" i="1"/>
  <c r="AL153" i="1"/>
  <c r="AO153" i="1"/>
  <c r="AP153" i="1"/>
  <c r="AL152" i="1"/>
  <c r="AO152" i="1"/>
  <c r="AP152" i="1"/>
  <c r="AZ151" i="1"/>
  <c r="BA151" i="1"/>
  <c r="AW151" i="1"/>
  <c r="AY152" i="1" s="1"/>
  <c r="AL151" i="1"/>
  <c r="AO151" i="1"/>
  <c r="AP151" i="1"/>
  <c r="AZ150" i="1"/>
  <c r="BA150" i="1"/>
  <c r="AW150" i="1"/>
  <c r="AO150" i="1"/>
  <c r="AP150" i="1"/>
  <c r="AL150" i="1"/>
  <c r="AZ149" i="1"/>
  <c r="AW149" i="1"/>
  <c r="BA149" i="1"/>
  <c r="AL149" i="1"/>
  <c r="AO149" i="1"/>
  <c r="AP149" i="1"/>
  <c r="AW148" i="1"/>
  <c r="AZ148" i="1"/>
  <c r="BA148" i="1"/>
  <c r="AO148" i="1"/>
  <c r="AL148" i="1"/>
  <c r="AP148" i="1"/>
  <c r="AW147" i="1"/>
  <c r="AZ147" i="1"/>
  <c r="BA147" i="1"/>
  <c r="AZ146" i="1"/>
  <c r="BA146" i="1"/>
  <c r="AW146" i="1"/>
  <c r="AP146" i="1"/>
  <c r="AL146" i="1"/>
  <c r="AN147" i="1" s="1"/>
  <c r="AO146" i="1"/>
  <c r="AQ146" i="1" s="1"/>
  <c r="BA145" i="1"/>
  <c r="AW145" i="1"/>
  <c r="AZ145" i="1"/>
  <c r="BB145" i="1" s="1"/>
  <c r="BA144" i="1"/>
  <c r="AW144" i="1"/>
  <c r="AZ144" i="1"/>
  <c r="BB144" i="1" s="1"/>
  <c r="AP144" i="1"/>
  <c r="AO144" i="1"/>
  <c r="AQ144" i="1" s="1"/>
  <c r="AL144" i="1"/>
  <c r="AW143" i="1"/>
  <c r="AZ143" i="1"/>
  <c r="BA143" i="1"/>
  <c r="AP143" i="1"/>
  <c r="AO143" i="1"/>
  <c r="AL143" i="1"/>
  <c r="AW142" i="1"/>
  <c r="AZ142" i="1"/>
  <c r="BA142" i="1"/>
  <c r="AW141" i="1"/>
  <c r="AZ141" i="1"/>
  <c r="BA141" i="1"/>
  <c r="BA140" i="1"/>
  <c r="AZ140" i="1"/>
  <c r="BB140" i="1" s="1"/>
  <c r="AW140" i="1"/>
  <c r="BA139" i="1"/>
  <c r="AW139" i="1"/>
  <c r="AZ139" i="1"/>
  <c r="BB139" i="1" s="1"/>
  <c r="BA138" i="1"/>
  <c r="AW138" i="1"/>
  <c r="AZ138" i="1"/>
  <c r="BB138" i="1" s="1"/>
  <c r="AL138" i="1"/>
  <c r="AN139" i="1" s="1"/>
  <c r="AO138" i="1"/>
  <c r="AP138" i="1"/>
  <c r="BA137" i="1"/>
  <c r="AZ137" i="1"/>
  <c r="BB137" i="1" s="1"/>
  <c r="AW137" i="1"/>
  <c r="AZ136" i="1"/>
  <c r="AW136" i="1"/>
  <c r="BA136" i="1"/>
  <c r="AL136" i="1"/>
  <c r="AN137" i="1" s="1"/>
  <c r="AP136" i="1"/>
  <c r="AO136" i="1"/>
  <c r="AQ136" i="1" s="1"/>
  <c r="AZ135" i="1"/>
  <c r="BA135" i="1"/>
  <c r="AW135" i="1"/>
  <c r="AP135" i="1"/>
  <c r="AL135" i="1"/>
  <c r="AO135" i="1"/>
  <c r="AQ135" i="1" s="1"/>
  <c r="AZ134" i="1"/>
  <c r="AW134" i="1"/>
  <c r="BA134" i="1"/>
  <c r="AP134" i="1"/>
  <c r="AL134" i="1"/>
  <c r="AO134" i="1"/>
  <c r="AW133" i="1"/>
  <c r="BA133" i="1"/>
  <c r="AZ133" i="1"/>
  <c r="BB133" i="1" s="1"/>
  <c r="AO133" i="1"/>
  <c r="AP133" i="1"/>
  <c r="AL133" i="1"/>
  <c r="AP132" i="1"/>
  <c r="AO132" i="1"/>
  <c r="AL132" i="1"/>
  <c r="BA131" i="1"/>
  <c r="AZ131" i="1"/>
  <c r="BB131" i="1" s="1"/>
  <c r="AW131" i="1"/>
  <c r="AY132" i="1" s="1"/>
  <c r="AP131" i="1"/>
  <c r="AL131" i="1"/>
  <c r="AO131" i="1"/>
  <c r="AQ131" i="1" s="1"/>
  <c r="AL130" i="1"/>
  <c r="AO130" i="1"/>
  <c r="AP130" i="1"/>
  <c r="AL129" i="1"/>
  <c r="AO129" i="1"/>
  <c r="AP129" i="1"/>
  <c r="AO128" i="1"/>
  <c r="AP128" i="1"/>
  <c r="AL128" i="1"/>
  <c r="BA127" i="1"/>
  <c r="AW127" i="1"/>
  <c r="AY128" i="1" s="1"/>
  <c r="AZ127" i="1"/>
  <c r="BB127" i="1" s="1"/>
  <c r="AO127" i="1"/>
  <c r="AL127" i="1"/>
  <c r="AP127" i="1"/>
  <c r="AP126" i="1"/>
  <c r="AO126" i="1"/>
  <c r="AQ126" i="1" s="1"/>
  <c r="AL126" i="1"/>
  <c r="AZ125" i="1"/>
  <c r="BA125" i="1"/>
  <c r="AW125" i="1"/>
  <c r="AY126" i="1" s="1"/>
  <c r="AL125" i="1"/>
  <c r="AP125" i="1"/>
  <c r="AO125" i="1"/>
  <c r="AQ125" i="1" s="1"/>
  <c r="AW124" i="1"/>
  <c r="AZ124" i="1"/>
  <c r="BA124" i="1"/>
  <c r="AP122" i="1"/>
  <c r="AL122" i="1"/>
  <c r="AO121" i="1"/>
  <c r="AL121" i="1"/>
  <c r="AP121" i="1"/>
  <c r="AW120" i="1"/>
  <c r="AY121" i="1" s="1"/>
  <c r="AZ120" i="1"/>
  <c r="BA120" i="1"/>
  <c r="AL120" i="1"/>
  <c r="AO120" i="1"/>
  <c r="AP120" i="1"/>
  <c r="AL119" i="1"/>
  <c r="AO119" i="1"/>
  <c r="AP119" i="1"/>
  <c r="AZ118" i="1"/>
  <c r="AW118" i="1"/>
  <c r="AY119" i="1" s="1"/>
  <c r="BA118" i="1"/>
  <c r="AO118" i="1"/>
  <c r="AP118" i="1"/>
  <c r="AL118" i="1"/>
  <c r="AZ117" i="1"/>
  <c r="AW117" i="1"/>
  <c r="BA117" i="1"/>
  <c r="AL117" i="1"/>
  <c r="AP117" i="1"/>
  <c r="AO117" i="1"/>
  <c r="AQ117" i="1" s="1"/>
  <c r="BA116" i="1"/>
  <c r="AZ116" i="1"/>
  <c r="AW116" i="1"/>
  <c r="BA115" i="1"/>
  <c r="AW115" i="1"/>
  <c r="AZ115" i="1"/>
  <c r="BB115" i="1" s="1"/>
  <c r="AL115" i="1"/>
  <c r="AN116" i="1" s="1"/>
  <c r="AO115" i="1"/>
  <c r="AP115" i="1"/>
  <c r="AZ114" i="1"/>
  <c r="BA114" i="1"/>
  <c r="AW114" i="1"/>
  <c r="BA113" i="1"/>
  <c r="AZ113" i="1"/>
  <c r="BB113" i="1" s="1"/>
  <c r="AW113" i="1"/>
  <c r="AZ112" i="1"/>
  <c r="BA112" i="1"/>
  <c r="AW112" i="1"/>
  <c r="BA111" i="1"/>
  <c r="AW111" i="1"/>
  <c r="AZ111" i="1"/>
  <c r="BB111" i="1" s="1"/>
  <c r="AO111" i="1"/>
  <c r="AP111" i="1"/>
  <c r="AL111" i="1"/>
  <c r="AN112" i="1" s="1"/>
  <c r="BA110" i="1"/>
  <c r="AZ110" i="1"/>
  <c r="BB110" i="1" s="1"/>
  <c r="AW110" i="1"/>
  <c r="AW109" i="1"/>
  <c r="AZ109" i="1"/>
  <c r="BA109" i="1"/>
  <c r="AZ108" i="1"/>
  <c r="AW108" i="1"/>
  <c r="BA108" i="1"/>
  <c r="AL108" i="1"/>
  <c r="AN109" i="1" s="1"/>
  <c r="AO108" i="1"/>
  <c r="AP108" i="1"/>
  <c r="AZ106" i="1"/>
  <c r="AW106" i="1"/>
  <c r="AY107" i="1" s="1"/>
  <c r="BA106" i="1"/>
  <c r="AP106" i="1"/>
  <c r="AO106" i="1"/>
  <c r="AQ106" i="1" s="1"/>
  <c r="AL106" i="1"/>
  <c r="AP105" i="1"/>
  <c r="AO105" i="1"/>
  <c r="AQ105" i="1" s="1"/>
  <c r="AL105" i="1"/>
  <c r="AL104" i="1"/>
  <c r="AO104" i="1"/>
  <c r="AP104" i="1"/>
  <c r="AW103" i="1"/>
  <c r="AY104" i="1" s="1"/>
  <c r="BA103" i="1"/>
  <c r="AZ103" i="1"/>
  <c r="AL103" i="1"/>
  <c r="AP103" i="1"/>
  <c r="AO103" i="1"/>
  <c r="AQ103" i="1" s="1"/>
  <c r="AZ102" i="1"/>
  <c r="BA102" i="1"/>
  <c r="AW102" i="1"/>
  <c r="AP102" i="1"/>
  <c r="AL102" i="1"/>
  <c r="AO102" i="1"/>
  <c r="AQ102" i="1" s="1"/>
  <c r="BA101" i="1"/>
  <c r="AZ101" i="1"/>
  <c r="AW101" i="1"/>
  <c r="AL101" i="1"/>
  <c r="AO101" i="1"/>
  <c r="AP101" i="1"/>
  <c r="AZ100" i="1"/>
  <c r="AW100" i="1"/>
  <c r="BA100" i="1"/>
  <c r="AZ99" i="1"/>
  <c r="AW99" i="1"/>
  <c r="BA99" i="1"/>
  <c r="AO99" i="1"/>
  <c r="AL99" i="1"/>
  <c r="AP99" i="1"/>
  <c r="AZ98" i="1"/>
  <c r="AW98" i="1"/>
  <c r="BA98" i="1"/>
  <c r="AP98" i="1"/>
  <c r="AO98" i="1"/>
  <c r="AQ98" i="1" s="1"/>
  <c r="AL98" i="1"/>
  <c r="AZ97" i="1"/>
  <c r="AW97" i="1"/>
  <c r="BA97" i="1"/>
  <c r="AZ96" i="1"/>
  <c r="BA96" i="1"/>
  <c r="AW96" i="1"/>
  <c r="BA94" i="1"/>
  <c r="AW94" i="1"/>
  <c r="AZ94" i="1"/>
  <c r="BB94" i="1" s="1"/>
  <c r="AL94" i="1"/>
  <c r="AN95" i="1" s="1"/>
  <c r="AP94" i="1"/>
  <c r="AO94" i="1"/>
  <c r="AQ94" i="1" s="1"/>
  <c r="AW93" i="1"/>
  <c r="BA93" i="1"/>
  <c r="AZ93" i="1"/>
  <c r="BB93" i="1" s="1"/>
  <c r="AO93" i="1"/>
  <c r="AL93" i="1"/>
  <c r="AP93" i="1"/>
  <c r="BA92" i="1"/>
  <c r="AW92" i="1"/>
  <c r="AZ92" i="1"/>
  <c r="BB92" i="1" s="1"/>
  <c r="AO92" i="1"/>
  <c r="AL92" i="1"/>
  <c r="AP92" i="1"/>
  <c r="AW91" i="1"/>
  <c r="AZ91" i="1"/>
  <c r="BA91" i="1"/>
  <c r="AO91" i="1"/>
  <c r="AP91" i="1"/>
  <c r="AL91" i="1"/>
  <c r="AW90" i="1"/>
  <c r="BA90" i="1"/>
  <c r="AZ90" i="1"/>
  <c r="BB90" i="1" s="1"/>
  <c r="AL90" i="1"/>
  <c r="AP90" i="1"/>
  <c r="AO90" i="1"/>
  <c r="AQ90" i="1" s="1"/>
  <c r="AO89" i="1"/>
  <c r="AL89" i="1"/>
  <c r="AP89" i="1"/>
  <c r="AL88" i="1"/>
  <c r="AP88" i="1"/>
  <c r="AO88" i="1"/>
  <c r="AO87" i="1"/>
  <c r="AL87" i="1"/>
  <c r="AP87" i="1"/>
  <c r="AL86" i="1"/>
  <c r="AO86" i="1"/>
  <c r="AP86" i="1"/>
  <c r="AW85" i="1"/>
  <c r="AY86" i="1" s="1"/>
  <c r="BA85" i="1"/>
  <c r="AZ85" i="1"/>
  <c r="BB85" i="1" s="1"/>
  <c r="AL85" i="1"/>
  <c r="AP85" i="1"/>
  <c r="AO85" i="1"/>
  <c r="AQ85" i="1" s="1"/>
  <c r="AO84" i="1"/>
  <c r="AL84" i="1"/>
  <c r="AP84" i="1"/>
  <c r="AP83" i="1"/>
  <c r="AO83" i="1"/>
  <c r="AQ83" i="1" s="1"/>
  <c r="AL83" i="1"/>
  <c r="AW82" i="1"/>
  <c r="BA82" i="1"/>
  <c r="AZ82" i="1"/>
  <c r="BB82" i="1" s="1"/>
  <c r="AP82" i="1"/>
  <c r="AO82" i="1"/>
  <c r="AQ82" i="1" s="1"/>
  <c r="BE82" i="1" s="1"/>
  <c r="AL82" i="1"/>
  <c r="AW81" i="1"/>
  <c r="AZ81" i="1"/>
  <c r="BA81" i="1"/>
  <c r="AO81" i="1"/>
  <c r="AL81" i="1"/>
  <c r="AP81" i="1"/>
  <c r="AW80" i="1"/>
  <c r="AZ80" i="1"/>
  <c r="BA80" i="1"/>
  <c r="AL80" i="1"/>
  <c r="AO80" i="1"/>
  <c r="AP80" i="1"/>
  <c r="AZ79" i="1"/>
  <c r="AW79" i="1"/>
  <c r="BA79" i="1"/>
  <c r="AO79" i="1"/>
  <c r="AL79" i="1"/>
  <c r="AP79" i="1"/>
  <c r="AL78" i="1"/>
  <c r="AP78" i="1"/>
  <c r="AO78" i="1"/>
  <c r="AQ78" i="1" s="1"/>
  <c r="AP77" i="1"/>
  <c r="AL77" i="1"/>
  <c r="AO77" i="1"/>
  <c r="AQ77" i="1" s="1"/>
  <c r="AP76" i="1"/>
  <c r="AL76" i="1"/>
  <c r="AO76" i="1"/>
  <c r="AQ76" i="1" s="1"/>
  <c r="AL75" i="1"/>
  <c r="AO75" i="1"/>
  <c r="AP75" i="1"/>
  <c r="AL74" i="1"/>
  <c r="AO74" i="1"/>
  <c r="AP74" i="1"/>
  <c r="AW73" i="1"/>
  <c r="AY74" i="1" s="1"/>
  <c r="BA73" i="1"/>
  <c r="AZ73" i="1"/>
  <c r="BB73" i="1" s="1"/>
  <c r="AO73" i="1"/>
  <c r="AL73" i="1"/>
  <c r="AP73" i="1"/>
  <c r="AL72" i="1"/>
  <c r="AP72" i="1"/>
  <c r="AO72" i="1"/>
  <c r="AL71" i="1"/>
  <c r="AO71" i="1"/>
  <c r="AP71" i="1"/>
  <c r="AW70" i="1"/>
  <c r="AY71" i="1" s="1"/>
  <c r="AZ70" i="1"/>
  <c r="BA70" i="1"/>
  <c r="AL70" i="1"/>
  <c r="AP70" i="1"/>
  <c r="AO70" i="1"/>
  <c r="AZ69" i="1"/>
  <c r="AW69" i="1"/>
  <c r="BA69" i="1"/>
  <c r="AP69" i="1"/>
  <c r="AL69" i="1"/>
  <c r="AO69" i="1"/>
  <c r="AQ69" i="1" s="1"/>
  <c r="AL68" i="1"/>
  <c r="AO68" i="1"/>
  <c r="AP68" i="1"/>
  <c r="AL67" i="1"/>
  <c r="AO67" i="1"/>
  <c r="AP67" i="1"/>
  <c r="AZ66" i="1"/>
  <c r="BA66" i="1"/>
  <c r="AW66" i="1"/>
  <c r="AY67" i="1" s="1"/>
  <c r="AP66" i="1"/>
  <c r="AL66" i="1"/>
  <c r="AO66" i="1"/>
  <c r="AQ66" i="1" s="1"/>
  <c r="AL65" i="1"/>
  <c r="AP65" i="1"/>
  <c r="AO65" i="1"/>
  <c r="AQ65" i="1" s="1"/>
  <c r="BA64" i="1"/>
  <c r="AZ64" i="1"/>
  <c r="BB64" i="1" s="1"/>
  <c r="AW64" i="1"/>
  <c r="AY65" i="1" s="1"/>
  <c r="AO64" i="1"/>
  <c r="AL64" i="1"/>
  <c r="AP64" i="1"/>
  <c r="AL63" i="1"/>
  <c r="AO63" i="1"/>
  <c r="AP63" i="1"/>
  <c r="AL62" i="1"/>
  <c r="AO62" i="1"/>
  <c r="AL61" i="1"/>
  <c r="AO61" i="1"/>
  <c r="AP61" i="1"/>
  <c r="AW52" i="1"/>
  <c r="AZ52" i="1"/>
  <c r="BA52" i="1"/>
  <c r="AZ51" i="1"/>
  <c r="AW51" i="1"/>
  <c r="BA51" i="1"/>
  <c r="AP51" i="1"/>
  <c r="AL51" i="1"/>
  <c r="AO51" i="1"/>
  <c r="AQ51" i="1" s="1"/>
  <c r="BA50" i="1"/>
  <c r="AW50" i="1"/>
  <c r="AZ50" i="1"/>
  <c r="BB50" i="1" s="1"/>
  <c r="AO49" i="1"/>
  <c r="AL49" i="1"/>
  <c r="AP49" i="1"/>
  <c r="AO48" i="1"/>
  <c r="AL48" i="1"/>
  <c r="AP48" i="1"/>
  <c r="AZ47" i="1"/>
  <c r="BA47" i="1"/>
  <c r="AW47" i="1"/>
  <c r="AY48" i="1" s="1"/>
  <c r="AL47" i="1"/>
  <c r="AO47" i="1"/>
  <c r="AP47" i="1"/>
  <c r="AP46" i="1"/>
  <c r="AL46" i="1"/>
  <c r="AO46" i="1"/>
  <c r="AQ46" i="1" s="1"/>
  <c r="BA45" i="1"/>
  <c r="AZ45" i="1"/>
  <c r="BB45" i="1" s="1"/>
  <c r="AW45" i="1"/>
  <c r="AL45" i="1"/>
  <c r="AO45" i="1"/>
  <c r="AP45" i="1"/>
  <c r="BA44" i="1"/>
  <c r="AW44" i="1"/>
  <c r="AZ44" i="1"/>
  <c r="BB44" i="1" s="1"/>
  <c r="AL44" i="1"/>
  <c r="AO44" i="1"/>
  <c r="AP44" i="1"/>
  <c r="BA43" i="1"/>
  <c r="AZ43" i="1"/>
  <c r="BB43" i="1" s="1"/>
  <c r="AW43" i="1"/>
  <c r="AZ42" i="1"/>
  <c r="BA42" i="1"/>
  <c r="AW42" i="1"/>
  <c r="BA41" i="1"/>
  <c r="AW41" i="1"/>
  <c r="AZ41" i="1"/>
  <c r="BB41" i="1" s="1"/>
  <c r="BA40" i="1"/>
  <c r="AZ40" i="1"/>
  <c r="BB40" i="1" s="1"/>
  <c r="AW40" i="1"/>
  <c r="AO40" i="1"/>
  <c r="AL40" i="1"/>
  <c r="AN41" i="1" s="1"/>
  <c r="AP40" i="1"/>
  <c r="AZ39" i="1"/>
  <c r="AW39" i="1"/>
  <c r="BA39" i="1"/>
  <c r="AL39" i="1"/>
  <c r="AO39" i="1"/>
  <c r="AP39" i="1"/>
  <c r="BA38" i="1"/>
  <c r="AW38" i="1"/>
  <c r="AZ38" i="1"/>
  <c r="BB38" i="1" s="1"/>
  <c r="AP38" i="1"/>
  <c r="AL38" i="1"/>
  <c r="AO38" i="1"/>
  <c r="AQ38" i="1" s="1"/>
  <c r="BE38" i="1" s="1"/>
  <c r="AW37" i="1"/>
  <c r="AZ37" i="1"/>
  <c r="BA36" i="1"/>
  <c r="AW36" i="1"/>
  <c r="AZ36" i="1"/>
  <c r="BB36" i="1" s="1"/>
  <c r="AP36" i="1"/>
  <c r="AL36" i="1"/>
  <c r="AN37" i="1" s="1"/>
  <c r="AO36" i="1"/>
  <c r="AQ36" i="1" s="1"/>
  <c r="BE36" i="1" s="1"/>
  <c r="AW35" i="1"/>
  <c r="BA35" i="1"/>
  <c r="AZ35" i="1"/>
  <c r="BB35" i="1" s="1"/>
  <c r="BA34" i="1"/>
  <c r="AW34" i="1"/>
  <c r="AZ34" i="1"/>
  <c r="BB34" i="1" s="1"/>
  <c r="AP34" i="1"/>
  <c r="AO34" i="1"/>
  <c r="AQ34" i="1" s="1"/>
  <c r="BE34" i="1" s="1"/>
  <c r="AL34" i="1"/>
  <c r="AN35" i="1" s="1"/>
  <c r="BA33" i="1"/>
  <c r="AZ33" i="1"/>
  <c r="BB33" i="1" s="1"/>
  <c r="AW33" i="1"/>
  <c r="AO33" i="1"/>
  <c r="AL33" i="1"/>
  <c r="AP33" i="1"/>
  <c r="AZ32" i="1"/>
  <c r="BA32" i="1"/>
  <c r="AW32" i="1"/>
  <c r="AW31" i="1"/>
  <c r="AZ31" i="1"/>
  <c r="BA31" i="1"/>
  <c r="AZ30" i="1"/>
  <c r="AW30" i="1"/>
  <c r="BA30" i="1"/>
  <c r="AW29" i="1"/>
  <c r="BA29" i="1"/>
  <c r="AZ29" i="1"/>
  <c r="BB29" i="1" s="1"/>
  <c r="AP29" i="1"/>
  <c r="AO29" i="1"/>
  <c r="AQ29" i="1" s="1"/>
  <c r="AL29" i="1"/>
  <c r="AN30" i="1" s="1"/>
  <c r="AW28" i="1"/>
  <c r="AZ28" i="1"/>
  <c r="BA28" i="1"/>
  <c r="AW27" i="1"/>
  <c r="AZ27" i="1"/>
  <c r="BA27" i="1"/>
  <c r="BA26" i="1"/>
  <c r="AZ26" i="1"/>
  <c r="BB26" i="1" s="1"/>
  <c r="AW26" i="1"/>
  <c r="AW25" i="1"/>
  <c r="BA25" i="1"/>
  <c r="AZ25" i="1"/>
  <c r="AO25" i="1"/>
  <c r="AL25" i="1"/>
  <c r="AN26" i="1" s="1"/>
  <c r="AP25" i="1"/>
  <c r="AZ24" i="1"/>
  <c r="AW24" i="1"/>
  <c r="BA24" i="1"/>
  <c r="AZ23" i="1"/>
  <c r="BA23" i="1"/>
  <c r="AW23" i="1"/>
  <c r="AO23" i="1"/>
  <c r="AL23" i="1"/>
  <c r="AN24" i="1" s="1"/>
  <c r="AP23" i="1"/>
  <c r="BA22" i="1"/>
  <c r="AZ22" i="1"/>
  <c r="BB22" i="1" s="1"/>
  <c r="AO22" i="1"/>
  <c r="AP22" i="1"/>
  <c r="BE94" i="1" l="1"/>
  <c r="BB37" i="1"/>
  <c r="BB101" i="1"/>
  <c r="BB103" i="1"/>
  <c r="BE103" i="1" s="1"/>
  <c r="BE90" i="1"/>
  <c r="AW65" i="1"/>
  <c r="BA65" i="1"/>
  <c r="AZ65" i="1"/>
  <c r="BB65" i="1" s="1"/>
  <c r="AZ49" i="1"/>
  <c r="AW49" i="1"/>
  <c r="BA49" i="1"/>
  <c r="AW53" i="1"/>
  <c r="AY54" i="1" s="1"/>
  <c r="AZ53" i="1"/>
  <c r="BA53" i="1"/>
  <c r="BA46" i="1"/>
  <c r="AW46" i="1"/>
  <c r="AZ46" i="1"/>
  <c r="BB46" i="1" s="1"/>
  <c r="BE46" i="1" s="1"/>
  <c r="AW162" i="1"/>
  <c r="AY163" i="1" s="1"/>
  <c r="AZ162" i="1"/>
  <c r="BA162" i="1"/>
  <c r="AZ152" i="1"/>
  <c r="AW152" i="1"/>
  <c r="AY153" i="1" s="1"/>
  <c r="BA152" i="1"/>
  <c r="AZ132" i="1"/>
  <c r="AW132" i="1"/>
  <c r="BA132" i="1"/>
  <c r="BA121" i="1"/>
  <c r="AZ121" i="1"/>
  <c r="AW121" i="1"/>
  <c r="AY122" i="1" s="1"/>
  <c r="AW119" i="1"/>
  <c r="BA119" i="1"/>
  <c r="AZ119" i="1"/>
  <c r="AZ107" i="1"/>
  <c r="AW107" i="1"/>
  <c r="BA107" i="1"/>
  <c r="BA104" i="1"/>
  <c r="AW104" i="1"/>
  <c r="AY105" i="1" s="1"/>
  <c r="AZ104" i="1"/>
  <c r="BB104" i="1" s="1"/>
  <c r="AW86" i="1"/>
  <c r="AY87" i="1" s="1"/>
  <c r="BA86" i="1"/>
  <c r="AZ86" i="1"/>
  <c r="BB86" i="1" s="1"/>
  <c r="AW74" i="1"/>
  <c r="AY75" i="1" s="1"/>
  <c r="BA74" i="1"/>
  <c r="AZ74" i="1"/>
  <c r="AW71" i="1"/>
  <c r="AY72" i="1" s="1"/>
  <c r="BA71" i="1"/>
  <c r="AZ71" i="1"/>
  <c r="BB71" i="1" s="1"/>
  <c r="BA67" i="1"/>
  <c r="AW67" i="1"/>
  <c r="AY68" i="1" s="1"/>
  <c r="AZ67" i="1"/>
  <c r="AZ48" i="1"/>
  <c r="BB48" i="1" s="1"/>
  <c r="BA48" i="1"/>
  <c r="AW48" i="1"/>
  <c r="BE144" i="1"/>
  <c r="BE131" i="1"/>
  <c r="BE85" i="1"/>
  <c r="BE65" i="1"/>
  <c r="BB116" i="1"/>
  <c r="AO58" i="1"/>
  <c r="AL58" i="1"/>
  <c r="AP58" i="1"/>
  <c r="AP124" i="1"/>
  <c r="AL124" i="1"/>
  <c r="AO124" i="1"/>
  <c r="AL60" i="1"/>
  <c r="AP60" i="1"/>
  <c r="AO60" i="1"/>
  <c r="AP55" i="1"/>
  <c r="AO55" i="1"/>
  <c r="AQ55" i="1" s="1"/>
  <c r="AL55" i="1"/>
  <c r="AL53" i="1"/>
  <c r="AP53" i="1"/>
  <c r="AO53" i="1"/>
  <c r="AQ53" i="1" s="1"/>
  <c r="AP59" i="1"/>
  <c r="AO59" i="1"/>
  <c r="AQ59" i="1" s="1"/>
  <c r="AL59" i="1"/>
  <c r="AP56" i="1"/>
  <c r="AL56" i="1"/>
  <c r="AO56" i="1"/>
  <c r="AQ56" i="1" s="1"/>
  <c r="AL54" i="1"/>
  <c r="AP54" i="1"/>
  <c r="AO54" i="1"/>
  <c r="AQ54" i="1" s="1"/>
  <c r="AP52" i="1"/>
  <c r="AL52" i="1"/>
  <c r="AO52" i="1"/>
  <c r="AQ52" i="1" s="1"/>
  <c r="AO123" i="1"/>
  <c r="AP123" i="1"/>
  <c r="AL123" i="1"/>
  <c r="AO50" i="1"/>
  <c r="AQ50" i="1" s="1"/>
  <c r="BE50" i="1" s="1"/>
  <c r="AL50" i="1"/>
  <c r="AP50" i="1"/>
  <c r="AO57" i="1"/>
  <c r="AL57" i="1"/>
  <c r="AP57" i="1"/>
  <c r="AO147" i="1"/>
  <c r="AP147" i="1"/>
  <c r="AL147" i="1"/>
  <c r="AP139" i="1"/>
  <c r="AO139" i="1"/>
  <c r="AL139" i="1"/>
  <c r="AN140" i="1" s="1"/>
  <c r="AP137" i="1"/>
  <c r="AL137" i="1"/>
  <c r="AO137" i="1"/>
  <c r="AL116" i="1"/>
  <c r="AP116" i="1"/>
  <c r="AO116" i="1"/>
  <c r="AL112" i="1"/>
  <c r="AN113" i="1" s="1"/>
  <c r="AO112" i="1"/>
  <c r="AP112" i="1"/>
  <c r="AL109" i="1"/>
  <c r="AN110" i="1" s="1"/>
  <c r="AP109" i="1"/>
  <c r="AO109" i="1"/>
  <c r="AL95" i="1"/>
  <c r="AN96" i="1" s="1"/>
  <c r="AP96" i="1" s="1"/>
  <c r="AP95" i="1"/>
  <c r="AO95" i="1"/>
  <c r="AO41" i="1"/>
  <c r="AL41" i="1"/>
  <c r="AN42" i="1" s="1"/>
  <c r="AP41" i="1"/>
  <c r="AL37" i="1"/>
  <c r="AP37" i="1"/>
  <c r="AO37" i="1"/>
  <c r="AO35" i="1"/>
  <c r="AP35" i="1"/>
  <c r="AL35" i="1"/>
  <c r="AP24" i="1"/>
  <c r="AL24" i="1"/>
  <c r="AO24" i="1"/>
  <c r="AQ132" i="1"/>
  <c r="AQ143" i="1"/>
  <c r="AQ134" i="1"/>
  <c r="AQ45" i="1"/>
  <c r="BE45" i="1" s="1"/>
  <c r="AQ44" i="1"/>
  <c r="BE44" i="1" s="1"/>
  <c r="BB112" i="1"/>
  <c r="BB106" i="1"/>
  <c r="BE106" i="1" s="1"/>
  <c r="BB98" i="1"/>
  <c r="BE98" i="1" s="1"/>
  <c r="BB70" i="1"/>
  <c r="BB52" i="1"/>
  <c r="BE52" i="1" s="1"/>
  <c r="BB47" i="1"/>
  <c r="BE29" i="1"/>
  <c r="BB25" i="1"/>
  <c r="BA83" i="1"/>
  <c r="AW83" i="1"/>
  <c r="AZ83" i="1"/>
  <c r="BB83" i="1" s="1"/>
  <c r="BE83" i="1" s="1"/>
  <c r="AW95" i="1"/>
  <c r="BA95" i="1"/>
  <c r="AZ95" i="1"/>
  <c r="BB95" i="1" s="1"/>
  <c r="BA87" i="1"/>
  <c r="AW87" i="1"/>
  <c r="AY88" i="1" s="1"/>
  <c r="AZ87" i="1"/>
  <c r="BB87" i="1" s="1"/>
  <c r="AW84" i="1"/>
  <c r="BA84" i="1"/>
  <c r="AZ84" i="1"/>
  <c r="BB84" i="1" s="1"/>
  <c r="AQ70" i="1"/>
  <c r="BE70" i="1" s="1"/>
  <c r="AQ60" i="1"/>
  <c r="AQ61" i="1"/>
  <c r="AQ116" i="1"/>
  <c r="BE116" i="1" s="1"/>
  <c r="AQ111" i="1"/>
  <c r="AQ109" i="1"/>
  <c r="AQ86" i="1"/>
  <c r="BE86" i="1" s="1"/>
  <c r="AQ80" i="1"/>
  <c r="AQ75" i="1"/>
  <c r="AQ72" i="1"/>
  <c r="BB80" i="1"/>
  <c r="BE80" i="1" s="1"/>
  <c r="AQ63" i="1"/>
  <c r="BB100" i="1"/>
  <c r="BB69" i="1"/>
  <c r="BE69" i="1" s="1"/>
  <c r="BB108" i="1"/>
  <c r="BB96" i="1"/>
  <c r="AQ47" i="1"/>
  <c r="BE47" i="1" s="1"/>
  <c r="BB91" i="1"/>
  <c r="AQ124" i="1"/>
  <c r="AQ101" i="1"/>
  <c r="BE101" i="1" s="1"/>
  <c r="AQ92" i="1"/>
  <c r="BE92" i="1" s="1"/>
  <c r="BB53" i="1"/>
  <c r="BE53" i="1" s="1"/>
  <c r="AL165" i="1"/>
  <c r="AP165" i="1"/>
  <c r="AO165" i="1"/>
  <c r="AP145" i="1"/>
  <c r="AL145" i="1"/>
  <c r="AO145" i="1"/>
  <c r="AQ145" i="1" s="1"/>
  <c r="BE145" i="1" s="1"/>
  <c r="AO110" i="1"/>
  <c r="AL110" i="1"/>
  <c r="AP110" i="1"/>
  <c r="AL100" i="1"/>
  <c r="AO100" i="1"/>
  <c r="AP100" i="1"/>
  <c r="AW169" i="1"/>
  <c r="BA169" i="1"/>
  <c r="AZ169" i="1"/>
  <c r="BB169" i="1" s="1"/>
  <c r="AL166" i="1"/>
  <c r="AO166" i="1"/>
  <c r="AP166" i="1"/>
  <c r="AO96" i="1"/>
  <c r="AQ96" i="1" s="1"/>
  <c r="BE96" i="1" s="1"/>
  <c r="AL96" i="1"/>
  <c r="AN97" i="1" s="1"/>
  <c r="AL154" i="1"/>
  <c r="AP154" i="1"/>
  <c r="AO154" i="1"/>
  <c r="AQ154" i="1" s="1"/>
  <c r="AZ160" i="1"/>
  <c r="BA160" i="1"/>
  <c r="AW160" i="1"/>
  <c r="AL140" i="1"/>
  <c r="AN141" i="1" s="1"/>
  <c r="AP140" i="1"/>
  <c r="AO140" i="1"/>
  <c r="AO107" i="1"/>
  <c r="AL107" i="1"/>
  <c r="AP107" i="1"/>
  <c r="AZ128" i="1"/>
  <c r="BA128" i="1"/>
  <c r="AW128" i="1"/>
  <c r="AY129" i="1" s="1"/>
  <c r="AW126" i="1"/>
  <c r="AZ126" i="1"/>
  <c r="BA126" i="1"/>
  <c r="AZ88" i="1"/>
  <c r="BA88" i="1"/>
  <c r="AW88" i="1"/>
  <c r="AY89" i="1" s="1"/>
  <c r="AL30" i="1"/>
  <c r="AN31" i="1" s="1"/>
  <c r="AO30" i="1"/>
  <c r="AP30" i="1"/>
  <c r="AL26" i="1"/>
  <c r="AN27" i="1" s="1"/>
  <c r="AO26" i="1"/>
  <c r="AP26" i="1"/>
  <c r="BC22" i="1"/>
  <c r="BB176" i="1"/>
  <c r="AQ176" i="1"/>
  <c r="BB175" i="1"/>
  <c r="AQ175" i="1"/>
  <c r="BE175" i="1" s="1"/>
  <c r="BB174" i="1"/>
  <c r="AQ174" i="1"/>
  <c r="BB173" i="1"/>
  <c r="AQ173" i="1"/>
  <c r="BE173" i="1" s="1"/>
  <c r="BB172" i="1"/>
  <c r="AQ172" i="1"/>
  <c r="BE172" i="1" s="1"/>
  <c r="AQ171" i="1"/>
  <c r="BE171" i="1" s="1"/>
  <c r="AQ170" i="1"/>
  <c r="BE170" i="1" s="1"/>
  <c r="AQ169" i="1"/>
  <c r="BB168" i="1"/>
  <c r="AQ168" i="1"/>
  <c r="BE168" i="1" s="1"/>
  <c r="AQ167" i="1"/>
  <c r="BE167" i="1" s="1"/>
  <c r="BB162" i="1"/>
  <c r="BE162" i="1" s="1"/>
  <c r="BB161" i="1"/>
  <c r="AQ161" i="1"/>
  <c r="AQ160" i="1"/>
  <c r="AQ159" i="1"/>
  <c r="AQ156" i="1"/>
  <c r="AQ155" i="1"/>
  <c r="AQ153" i="1"/>
  <c r="AQ152" i="1"/>
  <c r="BB151" i="1"/>
  <c r="AQ151" i="1"/>
  <c r="BB150" i="1"/>
  <c r="AQ150" i="1"/>
  <c r="BE150" i="1" s="1"/>
  <c r="BB149" i="1"/>
  <c r="AQ149" i="1"/>
  <c r="BE149" i="1" s="1"/>
  <c r="BB148" i="1"/>
  <c r="AQ148" i="1"/>
  <c r="BB147" i="1"/>
  <c r="BB146" i="1"/>
  <c r="BE146" i="1" s="1"/>
  <c r="BB143" i="1"/>
  <c r="BE143" i="1" s="1"/>
  <c r="BB142" i="1"/>
  <c r="BB141" i="1"/>
  <c r="AQ139" i="1"/>
  <c r="BE139" i="1" s="1"/>
  <c r="AQ138" i="1"/>
  <c r="BE138" i="1" s="1"/>
  <c r="AQ137" i="1"/>
  <c r="BE137" i="1" s="1"/>
  <c r="BB136" i="1"/>
  <c r="BE136" i="1" s="1"/>
  <c r="BB135" i="1"/>
  <c r="BE135" i="1" s="1"/>
  <c r="BB134" i="1"/>
  <c r="BE134" i="1" s="1"/>
  <c r="AQ133" i="1"/>
  <c r="BE133" i="1" s="1"/>
  <c r="AQ130" i="1"/>
  <c r="AQ129" i="1"/>
  <c r="AQ128" i="1"/>
  <c r="AQ127" i="1"/>
  <c r="BE127" i="1" s="1"/>
  <c r="BB125" i="1"/>
  <c r="BE125" i="1" s="1"/>
  <c r="BB124" i="1"/>
  <c r="AQ123" i="1"/>
  <c r="AQ122" i="1"/>
  <c r="BB121" i="1"/>
  <c r="AQ121" i="1"/>
  <c r="BE121" i="1" s="1"/>
  <c r="BB120" i="1"/>
  <c r="AQ120" i="1"/>
  <c r="BE120" i="1" s="1"/>
  <c r="BB119" i="1"/>
  <c r="AQ119" i="1"/>
  <c r="BE119" i="1" s="1"/>
  <c r="BB118" i="1"/>
  <c r="AQ118" i="1"/>
  <c r="BB117" i="1"/>
  <c r="BE117" i="1" s="1"/>
  <c r="AQ115" i="1"/>
  <c r="BE115" i="1" s="1"/>
  <c r="BB114" i="1"/>
  <c r="AQ108" i="1"/>
  <c r="AQ81" i="1"/>
  <c r="BB79" i="1"/>
  <c r="AQ74" i="1"/>
  <c r="AQ40" i="1"/>
  <c r="BE40" i="1" s="1"/>
  <c r="BB39" i="1"/>
  <c r="AQ39" i="1"/>
  <c r="BE39" i="1" s="1"/>
  <c r="AQ37" i="1"/>
  <c r="BE37" i="1" s="1"/>
  <c r="AQ33" i="1"/>
  <c r="BE33" i="1" s="1"/>
  <c r="BB32" i="1"/>
  <c r="BB31" i="1"/>
  <c r="BB30" i="1"/>
  <c r="BB28" i="1"/>
  <c r="BB27" i="1"/>
  <c r="AQ25" i="1"/>
  <c r="BE25" i="1" s="1"/>
  <c r="BB24" i="1"/>
  <c r="AQ24" i="1"/>
  <c r="BB23" i="1"/>
  <c r="AQ23" i="1"/>
  <c r="BE23" i="1" s="1"/>
  <c r="AQ22" i="1"/>
  <c r="BE111" i="1"/>
  <c r="BB102" i="1"/>
  <c r="BE102" i="1" s="1"/>
  <c r="AQ99" i="1"/>
  <c r="BB97" i="1"/>
  <c r="AQ95" i="1"/>
  <c r="BE95" i="1" s="1"/>
  <c r="AQ91" i="1"/>
  <c r="AQ88" i="1"/>
  <c r="BB81" i="1"/>
  <c r="AQ71" i="1"/>
  <c r="BE71" i="1" s="1"/>
  <c r="AQ73" i="1"/>
  <c r="BE73" i="1" s="1"/>
  <c r="AQ67" i="1"/>
  <c r="AQ57" i="1"/>
  <c r="BB42" i="1"/>
  <c r="BB109" i="1"/>
  <c r="BE109" i="1" s="1"/>
  <c r="AQ104" i="1"/>
  <c r="BE104" i="1" s="1"/>
  <c r="AQ84" i="1"/>
  <c r="BE84" i="1" s="1"/>
  <c r="AQ79" i="1"/>
  <c r="BB74" i="1"/>
  <c r="BB67" i="1"/>
  <c r="AQ62" i="1"/>
  <c r="BB49" i="1"/>
  <c r="AQ87" i="1"/>
  <c r="BE87" i="1" s="1"/>
  <c r="BB66" i="1"/>
  <c r="BE66" i="1" s="1"/>
  <c r="AQ64" i="1"/>
  <c r="BE64" i="1" s="1"/>
  <c r="AQ48" i="1"/>
  <c r="BE48" i="1" s="1"/>
  <c r="BB99" i="1"/>
  <c r="AQ93" i="1"/>
  <c r="BE93" i="1" s="1"/>
  <c r="AQ89" i="1"/>
  <c r="AQ68" i="1"/>
  <c r="AQ58" i="1"/>
  <c r="BB51" i="1"/>
  <c r="BE51" i="1" s="1"/>
  <c r="AQ49" i="1"/>
  <c r="BE49" i="1" s="1"/>
  <c r="BE148" i="1" l="1"/>
  <c r="BE161" i="1"/>
  <c r="AZ54" i="1"/>
  <c r="BA54" i="1"/>
  <c r="AW54" i="1"/>
  <c r="AY55" i="1" s="1"/>
  <c r="AZ163" i="1"/>
  <c r="AW163" i="1"/>
  <c r="AY164" i="1" s="1"/>
  <c r="BA163" i="1"/>
  <c r="AW153" i="1"/>
  <c r="AY154" i="1" s="1"/>
  <c r="BA153" i="1"/>
  <c r="AZ153" i="1"/>
  <c r="BB153" i="1" s="1"/>
  <c r="BE153" i="1" s="1"/>
  <c r="AW122" i="1"/>
  <c r="AY123" i="1" s="1"/>
  <c r="BA122" i="1"/>
  <c r="AZ122" i="1"/>
  <c r="BB122" i="1" s="1"/>
  <c r="BE122" i="1" s="1"/>
  <c r="AZ105" i="1"/>
  <c r="BA105" i="1"/>
  <c r="AW105" i="1"/>
  <c r="AZ75" i="1"/>
  <c r="BA75" i="1"/>
  <c r="AW75" i="1"/>
  <c r="AY76" i="1" s="1"/>
  <c r="BA72" i="1"/>
  <c r="AW72" i="1"/>
  <c r="AZ72" i="1"/>
  <c r="BB72" i="1" s="1"/>
  <c r="BE72" i="1" s="1"/>
  <c r="AZ68" i="1"/>
  <c r="BA68" i="1"/>
  <c r="AW68" i="1"/>
  <c r="BE176" i="1"/>
  <c r="BE24" i="1"/>
  <c r="BE79" i="1"/>
  <c r="BB152" i="1"/>
  <c r="BE152" i="1" s="1"/>
  <c r="BB132" i="1"/>
  <c r="BE132" i="1" s="1"/>
  <c r="BB107" i="1"/>
  <c r="AW89" i="1"/>
  <c r="AZ89" i="1"/>
  <c r="BA89" i="1"/>
  <c r="BE118" i="1"/>
  <c r="BE174" i="1"/>
  <c r="BE151" i="1"/>
  <c r="AP113" i="1"/>
  <c r="AL113" i="1"/>
  <c r="AN114" i="1" s="1"/>
  <c r="AO113" i="1"/>
  <c r="AQ113" i="1" s="1"/>
  <c r="BE113" i="1" s="1"/>
  <c r="AO42" i="1"/>
  <c r="AL42" i="1"/>
  <c r="AN43" i="1" s="1"/>
  <c r="AP42" i="1"/>
  <c r="AQ147" i="1"/>
  <c r="BE147" i="1" s="1"/>
  <c r="AQ112" i="1"/>
  <c r="BE112" i="1" s="1"/>
  <c r="AQ41" i="1"/>
  <c r="BE41" i="1" s="1"/>
  <c r="AQ35" i="1"/>
  <c r="BE35" i="1" s="1"/>
  <c r="AP97" i="1"/>
  <c r="AO97" i="1"/>
  <c r="AQ97" i="1" s="1"/>
  <c r="BE97" i="1" s="1"/>
  <c r="AL97" i="1"/>
  <c r="AO141" i="1"/>
  <c r="AL141" i="1"/>
  <c r="AN142" i="1" s="1"/>
  <c r="AP141" i="1"/>
  <c r="BB160" i="1"/>
  <c r="AQ110" i="1"/>
  <c r="BE110" i="1" s="1"/>
  <c r="AQ100" i="1"/>
  <c r="BE100" i="1" s="1"/>
  <c r="AQ166" i="1"/>
  <c r="BE160" i="1"/>
  <c r="AQ140" i="1"/>
  <c r="BE140" i="1" s="1"/>
  <c r="AQ107" i="1"/>
  <c r="BE107" i="1" s="1"/>
  <c r="BE169" i="1"/>
  <c r="AQ26" i="1"/>
  <c r="BE26" i="1" s="1"/>
  <c r="BE124" i="1"/>
  <c r="BE108" i="1"/>
  <c r="BE91" i="1"/>
  <c r="AQ165" i="1"/>
  <c r="AZ129" i="1"/>
  <c r="AW129" i="1"/>
  <c r="AY130" i="1" s="1"/>
  <c r="BA129" i="1"/>
  <c r="AO31" i="1"/>
  <c r="AP31" i="1"/>
  <c r="AL31" i="1"/>
  <c r="AN32" i="1" s="1"/>
  <c r="AO27" i="1"/>
  <c r="AP27" i="1"/>
  <c r="AL27" i="1"/>
  <c r="AN28" i="1" s="1"/>
  <c r="AR22" i="1"/>
  <c r="AR23" i="1" s="1"/>
  <c r="AR24" i="1" s="1"/>
  <c r="AR25" i="1" s="1"/>
  <c r="BE22" i="1"/>
  <c r="BE67" i="1"/>
  <c r="BB128" i="1"/>
  <c r="BE128" i="1" s="1"/>
  <c r="BB88" i="1"/>
  <c r="AQ30" i="1"/>
  <c r="BE30" i="1" s="1"/>
  <c r="BE81" i="1"/>
  <c r="BB126" i="1"/>
  <c r="BE126" i="1" s="1"/>
  <c r="BC23" i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E74" i="1"/>
  <c r="BE99" i="1"/>
  <c r="BB68" i="1" l="1"/>
  <c r="BE68" i="1" s="1"/>
  <c r="BB105" i="1"/>
  <c r="BE105" i="1" s="1"/>
  <c r="AW55" i="1"/>
  <c r="AY56" i="1" s="1"/>
  <c r="AZ55" i="1"/>
  <c r="BA55" i="1"/>
  <c r="AZ164" i="1"/>
  <c r="BA164" i="1"/>
  <c r="AW164" i="1"/>
  <c r="AY165" i="1" s="1"/>
  <c r="AW154" i="1"/>
  <c r="AY155" i="1" s="1"/>
  <c r="BA154" i="1"/>
  <c r="AZ154" i="1"/>
  <c r="AZ123" i="1"/>
  <c r="AW123" i="1"/>
  <c r="BA123" i="1"/>
  <c r="BA76" i="1"/>
  <c r="AZ76" i="1"/>
  <c r="BB76" i="1" s="1"/>
  <c r="BE76" i="1" s="1"/>
  <c r="AW76" i="1"/>
  <c r="AY77" i="1" s="1"/>
  <c r="BB54" i="1"/>
  <c r="BB75" i="1"/>
  <c r="BE75" i="1" s="1"/>
  <c r="BB89" i="1"/>
  <c r="BE89" i="1" s="1"/>
  <c r="BB163" i="1"/>
  <c r="BE163" i="1" s="1"/>
  <c r="AZ130" i="1"/>
  <c r="AW130" i="1"/>
  <c r="BA130" i="1"/>
  <c r="AQ42" i="1"/>
  <c r="BE42" i="1" s="1"/>
  <c r="AP114" i="1"/>
  <c r="AO114" i="1"/>
  <c r="AQ114" i="1" s="1"/>
  <c r="BE114" i="1" s="1"/>
  <c r="AL114" i="1"/>
  <c r="AP43" i="1"/>
  <c r="AL43" i="1"/>
  <c r="AO43" i="1"/>
  <c r="AQ43" i="1" s="1"/>
  <c r="BE43" i="1" s="1"/>
  <c r="AP142" i="1"/>
  <c r="AL142" i="1"/>
  <c r="AO142" i="1"/>
  <c r="AQ142" i="1" s="1"/>
  <c r="BE142" i="1" s="1"/>
  <c r="AQ141" i="1"/>
  <c r="BE141" i="1" s="1"/>
  <c r="AR26" i="1"/>
  <c r="AP32" i="1"/>
  <c r="AO32" i="1"/>
  <c r="AL32" i="1"/>
  <c r="AP28" i="1"/>
  <c r="AL28" i="1"/>
  <c r="AO28" i="1"/>
  <c r="AQ28" i="1" s="1"/>
  <c r="BE28" i="1" s="1"/>
  <c r="BF22" i="1"/>
  <c r="BF23" i="1" s="1"/>
  <c r="BF24" i="1" s="1"/>
  <c r="BF25" i="1" s="1"/>
  <c r="BF26" i="1" s="1"/>
  <c r="BB129" i="1"/>
  <c r="AQ31" i="1"/>
  <c r="BE31" i="1" s="1"/>
  <c r="AQ27" i="1"/>
  <c r="BE88" i="1"/>
  <c r="AW56" i="1" l="1"/>
  <c r="AY57" i="1" s="1"/>
  <c r="BA56" i="1"/>
  <c r="AZ56" i="1"/>
  <c r="BB56" i="1" s="1"/>
  <c r="BE56" i="1" s="1"/>
  <c r="AZ165" i="1"/>
  <c r="BA165" i="1"/>
  <c r="AW165" i="1"/>
  <c r="AY166" i="1" s="1"/>
  <c r="AZ155" i="1"/>
  <c r="BA155" i="1"/>
  <c r="AW155" i="1"/>
  <c r="AY156" i="1" s="1"/>
  <c r="AZ77" i="1"/>
  <c r="BA77" i="1"/>
  <c r="AW77" i="1"/>
  <c r="AY78" i="1" s="1"/>
  <c r="BC54" i="1"/>
  <c r="BE54" i="1"/>
  <c r="BB55" i="1"/>
  <c r="BB164" i="1"/>
  <c r="BE164" i="1" s="1"/>
  <c r="BB154" i="1"/>
  <c r="BE154" i="1" s="1"/>
  <c r="BB123" i="1"/>
  <c r="BE123" i="1" s="1"/>
  <c r="BB130" i="1"/>
  <c r="BE130" i="1" s="1"/>
  <c r="AQ32" i="1"/>
  <c r="BE32" i="1" s="1"/>
  <c r="BE129" i="1"/>
  <c r="AR27" i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AQ14" i="1"/>
  <c r="AQ16" i="1" s="1"/>
  <c r="AI1" i="1" s="1"/>
  <c r="AQ19" i="1"/>
  <c r="BE27" i="1"/>
  <c r="BA57" i="1" l="1"/>
  <c r="AW57" i="1"/>
  <c r="AY58" i="1" s="1"/>
  <c r="AZ57" i="1"/>
  <c r="BB57" i="1" s="1"/>
  <c r="BE57" i="1" s="1"/>
  <c r="AW166" i="1"/>
  <c r="AZ166" i="1"/>
  <c r="BB166" i="1" s="1"/>
  <c r="BE166" i="1" s="1"/>
  <c r="BA166" i="1"/>
  <c r="AW156" i="1"/>
  <c r="AY157" i="1" s="1"/>
  <c r="AZ156" i="1"/>
  <c r="BA156" i="1"/>
  <c r="AW78" i="1"/>
  <c r="BA78" i="1"/>
  <c r="AZ78" i="1"/>
  <c r="BB78" i="1" s="1"/>
  <c r="BE78" i="1" s="1"/>
  <c r="BE55" i="1"/>
  <c r="BB165" i="1"/>
  <c r="BE165" i="1" s="1"/>
  <c r="BB155" i="1"/>
  <c r="BE155" i="1" s="1"/>
  <c r="BB77" i="1"/>
  <c r="BE77" i="1" s="1"/>
  <c r="BC55" i="1"/>
  <c r="BC56" i="1" s="1"/>
  <c r="BC57" i="1" s="1"/>
  <c r="BF27" i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A58" i="1" l="1"/>
  <c r="AZ58" i="1"/>
  <c r="BB58" i="1" s="1"/>
  <c r="AW58" i="1"/>
  <c r="AY59" i="1" s="1"/>
  <c r="AW157" i="1"/>
  <c r="AY158" i="1" s="1"/>
  <c r="BA157" i="1"/>
  <c r="AZ157" i="1"/>
  <c r="BB157" i="1" s="1"/>
  <c r="BE157" i="1" s="1"/>
  <c r="BB156" i="1"/>
  <c r="BE156" i="1" s="1"/>
  <c r="BC58" i="1" l="1"/>
  <c r="BE58" i="1"/>
  <c r="AZ59" i="1"/>
  <c r="AW59" i="1"/>
  <c r="AY60" i="1" s="1"/>
  <c r="BA59" i="1"/>
  <c r="AZ158" i="1"/>
  <c r="AW158" i="1"/>
  <c r="AY159" i="1" s="1"/>
  <c r="BA158" i="1"/>
  <c r="BF58" i="1" l="1"/>
  <c r="AZ60" i="1"/>
  <c r="AW60" i="1"/>
  <c r="AY61" i="1" s="1"/>
  <c r="BA60" i="1"/>
  <c r="AW159" i="1"/>
  <c r="AZ159" i="1"/>
  <c r="BA159" i="1"/>
  <c r="BB59" i="1"/>
  <c r="BB158" i="1"/>
  <c r="BE158" i="1" s="1"/>
  <c r="BA61" i="1" l="1"/>
  <c r="AW61" i="1"/>
  <c r="AY62" i="1" s="1"/>
  <c r="AZ61" i="1"/>
  <c r="BB61" i="1" s="1"/>
  <c r="BE61" i="1" s="1"/>
  <c r="BC59" i="1"/>
  <c r="BE59" i="1"/>
  <c r="BB60" i="1"/>
  <c r="BB159" i="1"/>
  <c r="BE159" i="1" s="1"/>
  <c r="AZ62" i="1" l="1"/>
  <c r="BA62" i="1"/>
  <c r="AW62" i="1"/>
  <c r="AY63" i="1" s="1"/>
  <c r="BF59" i="1"/>
  <c r="BC60" i="1"/>
  <c r="BC61" i="1" s="1"/>
  <c r="BE60" i="1"/>
  <c r="BF60" i="1" l="1"/>
  <c r="BF61" i="1" s="1"/>
  <c r="AZ63" i="1"/>
  <c r="BA63" i="1"/>
  <c r="AW63" i="1"/>
  <c r="BB62" i="1"/>
  <c r="BE62" i="1" l="1"/>
  <c r="BB14" i="1"/>
  <c r="BB15" i="1"/>
  <c r="BC62" i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63" i="1"/>
  <c r="BF62" i="1" l="1"/>
  <c r="BE63" i="1"/>
  <c r="BB19" i="1"/>
  <c r="BB16" i="1"/>
  <c r="AT1" i="1" s="1"/>
  <c r="BF63" i="1" l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5" i="1"/>
  <c r="BE14" i="1"/>
  <c r="BE16" i="1" l="1"/>
</calcChain>
</file>

<file path=xl/sharedStrings.xml><?xml version="1.0" encoding="utf-8"?>
<sst xmlns="http://schemas.openxmlformats.org/spreadsheetml/2006/main" count="74" uniqueCount="53">
  <si>
    <t>date</t>
  </si>
  <si>
    <t>IYH</t>
  </si>
  <si>
    <t>XLV</t>
  </si>
  <si>
    <t>IYH log rtn</t>
  </si>
  <si>
    <t>XLV log rtn</t>
  </si>
  <si>
    <t>IYH div</t>
  </si>
  <si>
    <t>IYH div cumsum</t>
  </si>
  <si>
    <t>XLV div</t>
  </si>
  <si>
    <t>XLV div cumsum</t>
  </si>
  <si>
    <t>IYH div adjustment</t>
  </si>
  <si>
    <t>XLV div adjustment</t>
  </si>
  <si>
    <t>IYH*</t>
  </si>
  <si>
    <t>XLV*</t>
  </si>
  <si>
    <t>XLV/IYH</t>
  </si>
  <si>
    <t>XLV/IYH avg</t>
  </si>
  <si>
    <t>XLV/IYH 10 dma</t>
  </si>
  <si>
    <t>XLV/IYH 20 dma</t>
  </si>
  <si>
    <t>IYH x avg</t>
  </si>
  <si>
    <t>IYH x 10 dma</t>
  </si>
  <si>
    <t>IYH x 20 dma</t>
  </si>
  <si>
    <t>log diff IYH x avg / XLV</t>
  </si>
  <si>
    <t>log diff IYH x 10 dma / XLV</t>
  </si>
  <si>
    <t>log diff IYH x 20 dma / XLV</t>
  </si>
  <si>
    <t>XLV*/IYH*</t>
  </si>
  <si>
    <t>XLV*/IYH* avg</t>
  </si>
  <si>
    <t>XLV*/IYH* 10 dma</t>
  </si>
  <si>
    <t>XLV*/IYH* 20 dma</t>
  </si>
  <si>
    <t>IYH* x avg</t>
  </si>
  <si>
    <t>IYH* x 10 dma</t>
  </si>
  <si>
    <t>IYH* x 20 dma</t>
  </si>
  <si>
    <t>log diff IYH* x avg / XLV*</t>
  </si>
  <si>
    <t>log diff IYH* x 10 dma / XLV*</t>
  </si>
  <si>
    <t>log diff IYH* x 20 dma / XLV*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</si>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</sst>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XLV/IYH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2.3788372149221799</c:v>
                </c:pt>
                <c:pt idx="1">
                  <c:v>2.3788372149221799</c:v>
                </c:pt>
                <c:pt idx="2">
                  <c:v>2.3788372149221799</c:v>
                </c:pt>
                <c:pt idx="3">
                  <c:v>2.3788372149221799</c:v>
                </c:pt>
                <c:pt idx="4">
                  <c:v>2.3788372149221799</c:v>
                </c:pt>
                <c:pt idx="5">
                  <c:v>2.3788372149221799</c:v>
                </c:pt>
                <c:pt idx="6">
                  <c:v>2.3788372149221799</c:v>
                </c:pt>
                <c:pt idx="7">
                  <c:v>2.3788372149221799</c:v>
                </c:pt>
                <c:pt idx="8">
                  <c:v>2.3788372149221799</c:v>
                </c:pt>
                <c:pt idx="9">
                  <c:v>2.3788372149221799</c:v>
                </c:pt>
                <c:pt idx="10">
                  <c:v>2.3788372149221799</c:v>
                </c:pt>
                <c:pt idx="11">
                  <c:v>2.3788372149221799</c:v>
                </c:pt>
                <c:pt idx="12">
                  <c:v>2.3788372149221799</c:v>
                </c:pt>
                <c:pt idx="13">
                  <c:v>2.3788372149221799</c:v>
                </c:pt>
                <c:pt idx="14">
                  <c:v>2.3788372149221799</c:v>
                </c:pt>
                <c:pt idx="15">
                  <c:v>2.3788372149221799</c:v>
                </c:pt>
                <c:pt idx="16">
                  <c:v>2.3788372149221799</c:v>
                </c:pt>
                <c:pt idx="17">
                  <c:v>2.3788372149221799</c:v>
                </c:pt>
                <c:pt idx="18">
                  <c:v>2.3788372149221799</c:v>
                </c:pt>
                <c:pt idx="19">
                  <c:v>2.3788372149221799</c:v>
                </c:pt>
                <c:pt idx="20">
                  <c:v>2.3788372149221799</c:v>
                </c:pt>
                <c:pt idx="21">
                  <c:v>2.3788372149221799</c:v>
                </c:pt>
                <c:pt idx="22">
                  <c:v>2.3788372149221799</c:v>
                </c:pt>
                <c:pt idx="23">
                  <c:v>2.3788372149221799</c:v>
                </c:pt>
                <c:pt idx="24">
                  <c:v>2.3788372149221799</c:v>
                </c:pt>
                <c:pt idx="25">
                  <c:v>2.3788372149221799</c:v>
                </c:pt>
                <c:pt idx="26">
                  <c:v>2.3788372149221799</c:v>
                </c:pt>
                <c:pt idx="27">
                  <c:v>2.3788372149221799</c:v>
                </c:pt>
                <c:pt idx="28">
                  <c:v>2.3788372149221799</c:v>
                </c:pt>
                <c:pt idx="29">
                  <c:v>2.3788372149221799</c:v>
                </c:pt>
                <c:pt idx="30">
                  <c:v>2.3788372149221799</c:v>
                </c:pt>
                <c:pt idx="31">
                  <c:v>2.3788372149221799</c:v>
                </c:pt>
                <c:pt idx="32">
                  <c:v>2.3788372149221799</c:v>
                </c:pt>
                <c:pt idx="33">
                  <c:v>2.3788372149221799</c:v>
                </c:pt>
                <c:pt idx="34">
                  <c:v>2.3788372149221799</c:v>
                </c:pt>
                <c:pt idx="35">
                  <c:v>2.3788372149221799</c:v>
                </c:pt>
                <c:pt idx="36">
                  <c:v>2.3788372149221799</c:v>
                </c:pt>
                <c:pt idx="37">
                  <c:v>2.3788372149221799</c:v>
                </c:pt>
                <c:pt idx="38">
                  <c:v>2.3788372149221799</c:v>
                </c:pt>
                <c:pt idx="39">
                  <c:v>2.3788372149221799</c:v>
                </c:pt>
                <c:pt idx="40">
                  <c:v>2.3788372149221799</c:v>
                </c:pt>
                <c:pt idx="41">
                  <c:v>2.3788372149221799</c:v>
                </c:pt>
                <c:pt idx="42">
                  <c:v>2.3788372149221799</c:v>
                </c:pt>
                <c:pt idx="43">
                  <c:v>2.3788372149221799</c:v>
                </c:pt>
                <c:pt idx="44">
                  <c:v>2.3788372149221799</c:v>
                </c:pt>
                <c:pt idx="45">
                  <c:v>2.3788372149221799</c:v>
                </c:pt>
                <c:pt idx="46">
                  <c:v>2.3788372149221799</c:v>
                </c:pt>
                <c:pt idx="47">
                  <c:v>2.3788372149221799</c:v>
                </c:pt>
                <c:pt idx="48">
                  <c:v>2.3788372149221799</c:v>
                </c:pt>
                <c:pt idx="49">
                  <c:v>2.3788372149221799</c:v>
                </c:pt>
                <c:pt idx="50">
                  <c:v>2.3788372149221799</c:v>
                </c:pt>
                <c:pt idx="51">
                  <c:v>2.3788372149221799</c:v>
                </c:pt>
                <c:pt idx="52">
                  <c:v>2.3788372149221799</c:v>
                </c:pt>
                <c:pt idx="53">
                  <c:v>2.3788372149221799</c:v>
                </c:pt>
                <c:pt idx="54">
                  <c:v>2.3788372149221799</c:v>
                </c:pt>
                <c:pt idx="55">
                  <c:v>2.3788372149221799</c:v>
                </c:pt>
                <c:pt idx="56">
                  <c:v>2.3788372149221799</c:v>
                </c:pt>
                <c:pt idx="57">
                  <c:v>2.3788372149221799</c:v>
                </c:pt>
                <c:pt idx="58">
                  <c:v>2.3788372149221799</c:v>
                </c:pt>
                <c:pt idx="59">
                  <c:v>2.3788372149221799</c:v>
                </c:pt>
                <c:pt idx="60">
                  <c:v>2.3788372149221799</c:v>
                </c:pt>
                <c:pt idx="61">
                  <c:v>2.3788372149221799</c:v>
                </c:pt>
                <c:pt idx="62">
                  <c:v>2.3788372149221799</c:v>
                </c:pt>
                <c:pt idx="63">
                  <c:v>2.3788372149221799</c:v>
                </c:pt>
                <c:pt idx="64">
                  <c:v>2.3788372149221799</c:v>
                </c:pt>
                <c:pt idx="65">
                  <c:v>2.3788372149221799</c:v>
                </c:pt>
                <c:pt idx="66">
                  <c:v>2.3788372149221799</c:v>
                </c:pt>
                <c:pt idx="67">
                  <c:v>2.3788372149221799</c:v>
                </c:pt>
                <c:pt idx="68">
                  <c:v>2.3788372149221799</c:v>
                </c:pt>
                <c:pt idx="69">
                  <c:v>2.3788372149221799</c:v>
                </c:pt>
                <c:pt idx="70">
                  <c:v>2.3788372149221799</c:v>
                </c:pt>
                <c:pt idx="71">
                  <c:v>2.3788372149221799</c:v>
                </c:pt>
                <c:pt idx="72">
                  <c:v>2.3788372149221799</c:v>
                </c:pt>
                <c:pt idx="73">
                  <c:v>2.3788372149221799</c:v>
                </c:pt>
                <c:pt idx="74">
                  <c:v>2.3788372149221799</c:v>
                </c:pt>
                <c:pt idx="75">
                  <c:v>2.3788372149221799</c:v>
                </c:pt>
                <c:pt idx="76">
                  <c:v>2.3788372149221799</c:v>
                </c:pt>
                <c:pt idx="77">
                  <c:v>2.3788372149221799</c:v>
                </c:pt>
                <c:pt idx="78">
                  <c:v>2.3788372149221799</c:v>
                </c:pt>
                <c:pt idx="79">
                  <c:v>2.3788372149221799</c:v>
                </c:pt>
                <c:pt idx="80">
                  <c:v>2.3788372149221799</c:v>
                </c:pt>
                <c:pt idx="81">
                  <c:v>2.3788372149221799</c:v>
                </c:pt>
                <c:pt idx="82">
                  <c:v>2.3788372149221799</c:v>
                </c:pt>
                <c:pt idx="83">
                  <c:v>2.3788372149221799</c:v>
                </c:pt>
                <c:pt idx="84">
                  <c:v>2.3788372149221799</c:v>
                </c:pt>
                <c:pt idx="85">
                  <c:v>2.3788372149221799</c:v>
                </c:pt>
                <c:pt idx="86">
                  <c:v>2.3788372149221799</c:v>
                </c:pt>
                <c:pt idx="87">
                  <c:v>2.3788372149221799</c:v>
                </c:pt>
                <c:pt idx="88">
                  <c:v>2.3788372149221799</c:v>
                </c:pt>
                <c:pt idx="89">
                  <c:v>2.3788372149221799</c:v>
                </c:pt>
                <c:pt idx="90">
                  <c:v>2.3788372149221799</c:v>
                </c:pt>
                <c:pt idx="91">
                  <c:v>2.3788372149221799</c:v>
                </c:pt>
                <c:pt idx="92">
                  <c:v>2.3788372149221799</c:v>
                </c:pt>
                <c:pt idx="93">
                  <c:v>2.3788372149221799</c:v>
                </c:pt>
                <c:pt idx="94">
                  <c:v>2.3788372149221799</c:v>
                </c:pt>
                <c:pt idx="95">
                  <c:v>2.3788372149221799</c:v>
                </c:pt>
                <c:pt idx="96">
                  <c:v>2.3788372149221799</c:v>
                </c:pt>
                <c:pt idx="97">
                  <c:v>2.3788372149221799</c:v>
                </c:pt>
                <c:pt idx="98">
                  <c:v>2.3788372149221799</c:v>
                </c:pt>
                <c:pt idx="99">
                  <c:v>2.3788372149221799</c:v>
                </c:pt>
                <c:pt idx="100">
                  <c:v>2.3788372149221799</c:v>
                </c:pt>
                <c:pt idx="101">
                  <c:v>2.3788372149221799</c:v>
                </c:pt>
                <c:pt idx="102">
                  <c:v>2.3788372149221799</c:v>
                </c:pt>
                <c:pt idx="103">
                  <c:v>2.3788372149221799</c:v>
                </c:pt>
                <c:pt idx="104">
                  <c:v>2.3788372149221799</c:v>
                </c:pt>
                <c:pt idx="105">
                  <c:v>2.3788372149221799</c:v>
                </c:pt>
                <c:pt idx="106">
                  <c:v>2.3788372149221799</c:v>
                </c:pt>
                <c:pt idx="107">
                  <c:v>2.3788372149221799</c:v>
                </c:pt>
                <c:pt idx="108">
                  <c:v>2.3788372149221799</c:v>
                </c:pt>
                <c:pt idx="109">
                  <c:v>2.3788372149221799</c:v>
                </c:pt>
                <c:pt idx="110">
                  <c:v>2.3788372149221799</c:v>
                </c:pt>
                <c:pt idx="111">
                  <c:v>2.3788372149221799</c:v>
                </c:pt>
                <c:pt idx="112">
                  <c:v>2.3788372149221799</c:v>
                </c:pt>
                <c:pt idx="113">
                  <c:v>2.3788372149221799</c:v>
                </c:pt>
                <c:pt idx="114">
                  <c:v>2.3788372149221799</c:v>
                </c:pt>
                <c:pt idx="115">
                  <c:v>2.3788372149221799</c:v>
                </c:pt>
                <c:pt idx="116">
                  <c:v>2.3788372149221799</c:v>
                </c:pt>
                <c:pt idx="117">
                  <c:v>2.3788372149221799</c:v>
                </c:pt>
                <c:pt idx="118">
                  <c:v>2.3788372149221799</c:v>
                </c:pt>
                <c:pt idx="119">
                  <c:v>2.3788372149221799</c:v>
                </c:pt>
                <c:pt idx="120">
                  <c:v>2.3788372149221799</c:v>
                </c:pt>
                <c:pt idx="121">
                  <c:v>2.3788372149221799</c:v>
                </c:pt>
                <c:pt idx="122">
                  <c:v>2.3788372149221799</c:v>
                </c:pt>
                <c:pt idx="123">
                  <c:v>2.3788372149221799</c:v>
                </c:pt>
                <c:pt idx="124">
                  <c:v>2.3788372149221799</c:v>
                </c:pt>
                <c:pt idx="125">
                  <c:v>2.3788372149221799</c:v>
                </c:pt>
                <c:pt idx="126">
                  <c:v>2.3788372149221799</c:v>
                </c:pt>
                <c:pt idx="127">
                  <c:v>2.3788372149221799</c:v>
                </c:pt>
                <c:pt idx="128">
                  <c:v>2.3788372149221799</c:v>
                </c:pt>
                <c:pt idx="129">
                  <c:v>2.3788372149221799</c:v>
                </c:pt>
                <c:pt idx="130">
                  <c:v>2.3788372149221799</c:v>
                </c:pt>
                <c:pt idx="131">
                  <c:v>2.3788372149221799</c:v>
                </c:pt>
                <c:pt idx="132">
                  <c:v>2.3788372149221799</c:v>
                </c:pt>
                <c:pt idx="133">
                  <c:v>2.3788372149221799</c:v>
                </c:pt>
                <c:pt idx="134">
                  <c:v>2.3788372149221799</c:v>
                </c:pt>
                <c:pt idx="135">
                  <c:v>2.3788372149221799</c:v>
                </c:pt>
                <c:pt idx="136">
                  <c:v>2.3788372149221799</c:v>
                </c:pt>
                <c:pt idx="137">
                  <c:v>2.3788372149221799</c:v>
                </c:pt>
                <c:pt idx="138">
                  <c:v>2.3788372149221799</c:v>
                </c:pt>
                <c:pt idx="139">
                  <c:v>2.3788372149221799</c:v>
                </c:pt>
                <c:pt idx="140">
                  <c:v>2.3788372149221799</c:v>
                </c:pt>
                <c:pt idx="141">
                  <c:v>2.3788372149221799</c:v>
                </c:pt>
                <c:pt idx="142">
                  <c:v>2.3788372149221799</c:v>
                </c:pt>
                <c:pt idx="143">
                  <c:v>2.3788372149221799</c:v>
                </c:pt>
                <c:pt idx="144">
                  <c:v>2.3788372149221799</c:v>
                </c:pt>
                <c:pt idx="145">
                  <c:v>2.3788372149221799</c:v>
                </c:pt>
                <c:pt idx="146">
                  <c:v>2.3788372149221799</c:v>
                </c:pt>
                <c:pt idx="147">
                  <c:v>2.3788372149221799</c:v>
                </c:pt>
                <c:pt idx="148">
                  <c:v>2.3788372149221799</c:v>
                </c:pt>
                <c:pt idx="149">
                  <c:v>2.3788372149221799</c:v>
                </c:pt>
                <c:pt idx="150">
                  <c:v>2.3788372149221799</c:v>
                </c:pt>
                <c:pt idx="151">
                  <c:v>2.3788372149221799</c:v>
                </c:pt>
                <c:pt idx="152">
                  <c:v>2.3788372149221799</c:v>
                </c:pt>
                <c:pt idx="153">
                  <c:v>2.3788372149221799</c:v>
                </c:pt>
                <c:pt idx="154">
                  <c:v>2.3788372149221799</c:v>
                </c:pt>
                <c:pt idx="155">
                  <c:v>2.3788372149221799</c:v>
                </c:pt>
                <c:pt idx="156">
                  <c:v>2.3788372149221799</c:v>
                </c:pt>
                <c:pt idx="157">
                  <c:v>2.3788372149221799</c:v>
                </c:pt>
                <c:pt idx="158">
                  <c:v>2.3788372149221799</c:v>
                </c:pt>
                <c:pt idx="159">
                  <c:v>2.3788372149221799</c:v>
                </c:pt>
                <c:pt idx="160">
                  <c:v>2.3788372149221799</c:v>
                </c:pt>
                <c:pt idx="161">
                  <c:v>2.3788372149221799</c:v>
                </c:pt>
                <c:pt idx="162">
                  <c:v>2.3788372149221799</c:v>
                </c:pt>
                <c:pt idx="163">
                  <c:v>2.3788372149221799</c:v>
                </c:pt>
                <c:pt idx="164">
                  <c:v>2.3788372149221799</c:v>
                </c:pt>
                <c:pt idx="165">
                  <c:v>2.3788372149221799</c:v>
                </c:pt>
                <c:pt idx="166">
                  <c:v>2.3788372149221799</c:v>
                </c:pt>
                <c:pt idx="167">
                  <c:v>2.3788372149221799</c:v>
                </c:pt>
                <c:pt idx="168">
                  <c:v>2.3788372149221799</c:v>
                </c:pt>
                <c:pt idx="169">
                  <c:v>2.3788372149221799</c:v>
                </c:pt>
                <c:pt idx="170">
                  <c:v>2.3788372149221799</c:v>
                </c:pt>
                <c:pt idx="171">
                  <c:v>2.3788372149221799</c:v>
                </c:pt>
                <c:pt idx="172">
                  <c:v>2.3788372149221799</c:v>
                </c:pt>
                <c:pt idx="173">
                  <c:v>2.3788372149221799</c:v>
                </c:pt>
                <c:pt idx="174">
                  <c:v>2.3788372149221799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A-4CF1-B402-302DF33531CD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XLV/IYH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2.3951025923518601</c:v>
                </c:pt>
                <c:pt idx="51">
                  <c:v>2.3950489304164799</c:v>
                </c:pt>
                <c:pt idx="52">
                  <c:v>2.3952864711530202</c:v>
                </c:pt>
                <c:pt idx="53">
                  <c:v>2.3957216468031</c:v>
                </c:pt>
                <c:pt idx="54">
                  <c:v>2.39487413848599</c:v>
                </c:pt>
                <c:pt idx="55">
                  <c:v>2.3946126330584701</c:v>
                </c:pt>
                <c:pt idx="56">
                  <c:v>2.39374473271794</c:v>
                </c:pt>
                <c:pt idx="57">
                  <c:v>2.3924349184703702</c:v>
                </c:pt>
                <c:pt idx="58">
                  <c:v>2.3913373971040901</c:v>
                </c:pt>
                <c:pt idx="59">
                  <c:v>2.3900629313343802</c:v>
                </c:pt>
                <c:pt idx="60">
                  <c:v>2.38787323225894</c:v>
                </c:pt>
                <c:pt idx="61">
                  <c:v>2.3860064110624601</c:v>
                </c:pt>
                <c:pt idx="62">
                  <c:v>2.3845039057247499</c:v>
                </c:pt>
                <c:pt idx="63">
                  <c:v>2.3826182043141202</c:v>
                </c:pt>
                <c:pt idx="64">
                  <c:v>2.3823263843289002</c:v>
                </c:pt>
                <c:pt idx="65">
                  <c:v>2.3817679006960799</c:v>
                </c:pt>
                <c:pt idx="66">
                  <c:v>2.3818672576179201</c:v>
                </c:pt>
                <c:pt idx="67">
                  <c:v>2.3819005782402898</c:v>
                </c:pt>
                <c:pt idx="68">
                  <c:v>2.3811898617629299</c:v>
                </c:pt>
                <c:pt idx="69">
                  <c:v>2.3804757880486198</c:v>
                </c:pt>
                <c:pt idx="70">
                  <c:v>2.3798560783092899</c:v>
                </c:pt>
                <c:pt idx="71">
                  <c:v>2.3795441946925702</c:v>
                </c:pt>
                <c:pt idx="72">
                  <c:v>2.37891953976869</c:v>
                </c:pt>
                <c:pt idx="73">
                  <c:v>2.3785336647372599</c:v>
                </c:pt>
                <c:pt idx="74">
                  <c:v>2.3778246609992499</c:v>
                </c:pt>
                <c:pt idx="75">
                  <c:v>2.3767793123789702</c:v>
                </c:pt>
                <c:pt idx="76">
                  <c:v>2.3762919201892201</c:v>
                </c:pt>
                <c:pt idx="77">
                  <c:v>2.37557310759387</c:v>
                </c:pt>
                <c:pt idx="78">
                  <c:v>2.3755478287554102</c:v>
                </c:pt>
                <c:pt idx="79">
                  <c:v>2.3761371733032099</c:v>
                </c:pt>
                <c:pt idx="80">
                  <c:v>2.3770541322445702</c:v>
                </c:pt>
                <c:pt idx="81">
                  <c:v>2.37778644150087</c:v>
                </c:pt>
                <c:pt idx="82">
                  <c:v>2.3779709144363701</c:v>
                </c:pt>
                <c:pt idx="83">
                  <c:v>2.3778821698027901</c:v>
                </c:pt>
                <c:pt idx="84">
                  <c:v>2.3778392706362599</c:v>
                </c:pt>
                <c:pt idx="85">
                  <c:v>2.3771711732691698</c:v>
                </c:pt>
                <c:pt idx="86">
                  <c:v>2.3765908649563401</c:v>
                </c:pt>
                <c:pt idx="87">
                  <c:v>2.37639299190745</c:v>
                </c:pt>
                <c:pt idx="88">
                  <c:v>2.3760904718065201</c:v>
                </c:pt>
                <c:pt idx="89">
                  <c:v>2.37548475214553</c:v>
                </c:pt>
                <c:pt idx="90">
                  <c:v>2.3750027241981</c:v>
                </c:pt>
                <c:pt idx="91">
                  <c:v>2.3745339161822101</c:v>
                </c:pt>
                <c:pt idx="92">
                  <c:v>2.3750597922590302</c:v>
                </c:pt>
                <c:pt idx="93">
                  <c:v>2.37598001749212</c:v>
                </c:pt>
                <c:pt idx="94">
                  <c:v>2.3767506010053498</c:v>
                </c:pt>
                <c:pt idx="95">
                  <c:v>2.3779021932958599</c:v>
                </c:pt>
                <c:pt idx="96">
                  <c:v>2.3783008077840999</c:v>
                </c:pt>
                <c:pt idx="97">
                  <c:v>2.37880941015877</c:v>
                </c:pt>
                <c:pt idx="98">
                  <c:v>2.3789357870473702</c:v>
                </c:pt>
                <c:pt idx="99">
                  <c:v>2.3790400827902398</c:v>
                </c:pt>
                <c:pt idx="100">
                  <c:v>2.3789075482008801</c:v>
                </c:pt>
                <c:pt idx="101">
                  <c:v>2.3782830659604302</c:v>
                </c:pt>
                <c:pt idx="102">
                  <c:v>2.37736611167717</c:v>
                </c:pt>
                <c:pt idx="103">
                  <c:v>2.3767677730474199</c:v>
                </c:pt>
                <c:pt idx="104">
                  <c:v>2.3758350388454699</c:v>
                </c:pt>
                <c:pt idx="105">
                  <c:v>2.3758060923703801</c:v>
                </c:pt>
                <c:pt idx="106">
                  <c:v>2.3761518843684799</c:v>
                </c:pt>
                <c:pt idx="107">
                  <c:v>2.3764479211401399</c:v>
                </c:pt>
                <c:pt idx="108">
                  <c:v>2.3768882895368701</c:v>
                </c:pt>
                <c:pt idx="109">
                  <c:v>2.3776973280445199</c:v>
                </c:pt>
                <c:pt idx="110">
                  <c:v>2.3786583353205</c:v>
                </c:pt>
                <c:pt idx="111">
                  <c:v>2.3800563732590301</c:v>
                </c:pt>
                <c:pt idx="112">
                  <c:v>2.3815689974740701</c:v>
                </c:pt>
                <c:pt idx="113">
                  <c:v>2.3829488911331298</c:v>
                </c:pt>
                <c:pt idx="114">
                  <c:v>2.3843835465641798</c:v>
                </c:pt>
                <c:pt idx="115">
                  <c:v>2.3850378073384801</c:v>
                </c:pt>
                <c:pt idx="116">
                  <c:v>2.3843647466768298</c:v>
                </c:pt>
                <c:pt idx="117">
                  <c:v>2.3837423629001799</c:v>
                </c:pt>
                <c:pt idx="118">
                  <c:v>2.3829229994539398</c:v>
                </c:pt>
                <c:pt idx="119">
                  <c:v>2.3814543182326902</c:v>
                </c:pt>
                <c:pt idx="120">
                  <c:v>2.3800109081932299</c:v>
                </c:pt>
                <c:pt idx="121">
                  <c:v>2.3780977647734498</c:v>
                </c:pt>
                <c:pt idx="122">
                  <c:v>2.3760524010209498</c:v>
                </c:pt>
                <c:pt idx="123">
                  <c:v>2.3735374181859101</c:v>
                </c:pt>
                <c:pt idx="124">
                  <c:v>2.37139212123604</c:v>
                </c:pt>
                <c:pt idx="125">
                  <c:v>2.3692351668653302</c:v>
                </c:pt>
                <c:pt idx="126">
                  <c:v>2.3680895458404501</c:v>
                </c:pt>
                <c:pt idx="127">
                  <c:v>2.36714665807142</c:v>
                </c:pt>
                <c:pt idx="128">
                  <c:v>2.3662401690055099</c:v>
                </c:pt>
                <c:pt idx="129">
                  <c:v>2.3661287584695598</c:v>
                </c:pt>
                <c:pt idx="130">
                  <c:v>2.36644732214577</c:v>
                </c:pt>
                <c:pt idx="131">
                  <c:v>2.3669954921603802</c:v>
                </c:pt>
                <c:pt idx="132">
                  <c:v>2.36715047084994</c:v>
                </c:pt>
                <c:pt idx="133">
                  <c:v>2.3681066545157798</c:v>
                </c:pt>
                <c:pt idx="134">
                  <c:v>2.36911821609635</c:v>
                </c:pt>
                <c:pt idx="135">
                  <c:v>2.37064367673432</c:v>
                </c:pt>
                <c:pt idx="136">
                  <c:v>2.3719665399368299</c:v>
                </c:pt>
                <c:pt idx="137">
                  <c:v>2.3727693828222498</c:v>
                </c:pt>
                <c:pt idx="138">
                  <c:v>2.3739204791765598</c:v>
                </c:pt>
                <c:pt idx="139">
                  <c:v>2.37464852216053</c:v>
                </c:pt>
                <c:pt idx="140">
                  <c:v>2.3750573593857598</c:v>
                </c:pt>
                <c:pt idx="141">
                  <c:v>2.3758402860452201</c:v>
                </c:pt>
                <c:pt idx="142">
                  <c:v>2.3768422558976301</c:v>
                </c:pt>
                <c:pt idx="143">
                  <c:v>2.37692558321563</c:v>
                </c:pt>
                <c:pt idx="144">
                  <c:v>2.3771845564390501</c:v>
                </c:pt>
                <c:pt idx="145">
                  <c:v>2.3772116291224599</c:v>
                </c:pt>
                <c:pt idx="146">
                  <c:v>2.37706647858497</c:v>
                </c:pt>
                <c:pt idx="147">
                  <c:v>2.3771054221622698</c:v>
                </c:pt>
                <c:pt idx="148">
                  <c:v>2.37713103118277</c:v>
                </c:pt>
                <c:pt idx="149">
                  <c:v>2.3761760496637798</c:v>
                </c:pt>
                <c:pt idx="150">
                  <c:v>2.3751721265267598</c:v>
                </c:pt>
                <c:pt idx="151">
                  <c:v>2.3742160788319602</c:v>
                </c:pt>
                <c:pt idx="152">
                  <c:v>2.37296125441538</c:v>
                </c:pt>
                <c:pt idx="153">
                  <c:v>2.3721439819462802</c:v>
                </c:pt>
                <c:pt idx="154">
                  <c:v>2.3711893508305999</c:v>
                </c:pt>
                <c:pt idx="155">
                  <c:v>2.3700549609584902</c:v>
                </c:pt>
                <c:pt idx="156">
                  <c:v>2.36933254165718</c:v>
                </c:pt>
                <c:pt idx="157">
                  <c:v>2.36811520659468</c:v>
                </c:pt>
                <c:pt idx="158">
                  <c:v>2.3668233868151498</c:v>
                </c:pt>
                <c:pt idx="159">
                  <c:v>2.3664619383299499</c:v>
                </c:pt>
                <c:pt idx="160">
                  <c:v>2.3662820099023101</c:v>
                </c:pt>
                <c:pt idx="161">
                  <c:v>2.3657439929142798</c:v>
                </c:pt>
                <c:pt idx="162">
                  <c:v>2.365501755251</c:v>
                </c:pt>
                <c:pt idx="163">
                  <c:v>2.3649521493895498</c:v>
                </c:pt>
                <c:pt idx="164">
                  <c:v>2.3647550210194601</c:v>
                </c:pt>
                <c:pt idx="165">
                  <c:v>2.3649356247705402</c:v>
                </c:pt>
                <c:pt idx="166">
                  <c:v>2.3652928602546401</c:v>
                </c:pt>
                <c:pt idx="167">
                  <c:v>2.3658268125321098</c:v>
                </c:pt>
                <c:pt idx="168">
                  <c:v>2.3664671868554001</c:v>
                </c:pt>
                <c:pt idx="169">
                  <c:v>2.36695231332008</c:v>
                </c:pt>
                <c:pt idx="170">
                  <c:v>2.3668867114526502</c:v>
                </c:pt>
                <c:pt idx="171">
                  <c:v>2.3669422700312701</c:v>
                </c:pt>
                <c:pt idx="172">
                  <c:v>2.3671688951772398</c:v>
                </c:pt>
                <c:pt idx="173">
                  <c:v>2.36742928206026</c:v>
                </c:pt>
                <c:pt idx="174">
                  <c:v>2.3674271999504701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9A-4CF1-B402-302DF33531CD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XLV/IYH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2.3948318781485498</c:v>
                </c:pt>
                <c:pt idx="51">
                  <c:v>2.3949350012305302</c:v>
                </c:pt>
                <c:pt idx="52">
                  <c:v>2.3951278277195902</c:v>
                </c:pt>
                <c:pt idx="53">
                  <c:v>2.39543361626288</c:v>
                </c:pt>
                <c:pt idx="54">
                  <c:v>2.3949408257075802</c:v>
                </c:pt>
                <c:pt idx="55">
                  <c:v>2.3948028542601598</c:v>
                </c:pt>
                <c:pt idx="56">
                  <c:v>2.3943303094888901</c:v>
                </c:pt>
                <c:pt idx="57">
                  <c:v>2.3938411617570998</c:v>
                </c:pt>
                <c:pt idx="58">
                  <c:v>2.3932668109134498</c:v>
                </c:pt>
                <c:pt idx="59">
                  <c:v>2.39246865332384</c:v>
                </c:pt>
                <c:pt idx="60">
                  <c:v>2.3914879123053998</c:v>
                </c:pt>
                <c:pt idx="61">
                  <c:v>2.3905276707394698</c:v>
                </c:pt>
                <c:pt idx="62">
                  <c:v>2.3898951884388899</c:v>
                </c:pt>
                <c:pt idx="63">
                  <c:v>2.3891699255586101</c:v>
                </c:pt>
                <c:pt idx="64">
                  <c:v>2.3886002614074502</c:v>
                </c:pt>
                <c:pt idx="65">
                  <c:v>2.3881902668772699</c:v>
                </c:pt>
                <c:pt idx="66">
                  <c:v>2.38780599516793</c:v>
                </c:pt>
                <c:pt idx="67">
                  <c:v>2.38716774835533</c:v>
                </c:pt>
                <c:pt idx="68">
                  <c:v>2.3862636294335098</c:v>
                </c:pt>
                <c:pt idx="69">
                  <c:v>2.3852693596914998</c:v>
                </c:pt>
                <c:pt idx="70">
                  <c:v>2.3838646552841101</c:v>
                </c:pt>
                <c:pt idx="71">
                  <c:v>2.38277530287752</c:v>
                </c:pt>
                <c:pt idx="72">
                  <c:v>2.3817117227467199</c:v>
                </c:pt>
                <c:pt idx="73">
                  <c:v>2.3805759345256901</c:v>
                </c:pt>
                <c:pt idx="74">
                  <c:v>2.38007552266407</c:v>
                </c:pt>
                <c:pt idx="75">
                  <c:v>2.3792736065375202</c:v>
                </c:pt>
                <c:pt idx="76">
                  <c:v>2.3790795889035699</c:v>
                </c:pt>
                <c:pt idx="77">
                  <c:v>2.3787368429170801</c:v>
                </c:pt>
                <c:pt idx="78">
                  <c:v>2.3783688452591698</c:v>
                </c:pt>
                <c:pt idx="79">
                  <c:v>2.37830648067591</c:v>
                </c:pt>
                <c:pt idx="80">
                  <c:v>2.37845510527693</c:v>
                </c:pt>
                <c:pt idx="81">
                  <c:v>2.3786653180967199</c:v>
                </c:pt>
                <c:pt idx="82">
                  <c:v>2.3784452271025298</c:v>
                </c:pt>
                <c:pt idx="83">
                  <c:v>2.3782079172700299</c:v>
                </c:pt>
                <c:pt idx="84">
                  <c:v>2.3778319658177498</c:v>
                </c:pt>
                <c:pt idx="85">
                  <c:v>2.37697524282407</c:v>
                </c:pt>
                <c:pt idx="86">
                  <c:v>2.3764413925727799</c:v>
                </c:pt>
                <c:pt idx="87">
                  <c:v>2.3759830497506602</c:v>
                </c:pt>
                <c:pt idx="88">
                  <c:v>2.3758191502809698</c:v>
                </c:pt>
                <c:pt idx="89">
                  <c:v>2.37581096272437</c:v>
                </c:pt>
                <c:pt idx="90">
                  <c:v>2.3760284282213302</c:v>
                </c:pt>
                <c:pt idx="91">
                  <c:v>2.3761601788415398</c:v>
                </c:pt>
                <c:pt idx="92">
                  <c:v>2.3765153533476999</c:v>
                </c:pt>
                <c:pt idx="93">
                  <c:v>2.3769310936474501</c:v>
                </c:pt>
                <c:pt idx="94">
                  <c:v>2.3772949358208</c:v>
                </c:pt>
                <c:pt idx="95">
                  <c:v>2.3775366832825102</c:v>
                </c:pt>
                <c:pt idx="96">
                  <c:v>2.37744583637022</c:v>
                </c:pt>
                <c:pt idx="97">
                  <c:v>2.37760120103311</c:v>
                </c:pt>
                <c:pt idx="98">
                  <c:v>2.37751312942695</c:v>
                </c:pt>
                <c:pt idx="99">
                  <c:v>2.37726241746789</c:v>
                </c:pt>
                <c:pt idx="100">
                  <c:v>2.3769551361994901</c:v>
                </c:pt>
                <c:pt idx="101">
                  <c:v>2.3764084910713201</c:v>
                </c:pt>
                <c:pt idx="102">
                  <c:v>2.3762129519681001</c:v>
                </c:pt>
                <c:pt idx="103">
                  <c:v>2.3763738952697699</c:v>
                </c:pt>
                <c:pt idx="104">
                  <c:v>2.3762928199254101</c:v>
                </c:pt>
                <c:pt idx="105">
                  <c:v>2.3768541428331198</c:v>
                </c:pt>
                <c:pt idx="106">
                  <c:v>2.3772263460762901</c:v>
                </c:pt>
                <c:pt idx="107">
                  <c:v>2.3776286656494601</c:v>
                </c:pt>
                <c:pt idx="108">
                  <c:v>2.3779120382921199</c:v>
                </c:pt>
                <c:pt idx="109">
                  <c:v>2.3783687054173801</c:v>
                </c:pt>
                <c:pt idx="110">
                  <c:v>2.3787829417606901</c:v>
                </c:pt>
                <c:pt idx="111">
                  <c:v>2.3791697196097301</c:v>
                </c:pt>
                <c:pt idx="112">
                  <c:v>2.3794675545756201</c:v>
                </c:pt>
                <c:pt idx="113">
                  <c:v>2.3798583320902802</c:v>
                </c:pt>
                <c:pt idx="114">
                  <c:v>2.38010929270482</c:v>
                </c:pt>
                <c:pt idx="115">
                  <c:v>2.3804219498544299</c:v>
                </c:pt>
                <c:pt idx="116">
                  <c:v>2.38025831552266</c:v>
                </c:pt>
                <c:pt idx="117">
                  <c:v>2.3800951420201599</c:v>
                </c:pt>
                <c:pt idx="118">
                  <c:v>2.3799056444954099</c:v>
                </c:pt>
                <c:pt idx="119">
                  <c:v>2.3795758231386102</c:v>
                </c:pt>
                <c:pt idx="120">
                  <c:v>2.37933462175687</c:v>
                </c:pt>
                <c:pt idx="121">
                  <c:v>2.3790770690162399</c:v>
                </c:pt>
                <c:pt idx="122">
                  <c:v>2.3788106992475102</c:v>
                </c:pt>
                <c:pt idx="123">
                  <c:v>2.3782431546595202</c:v>
                </c:pt>
                <c:pt idx="124">
                  <c:v>2.3778878339001102</c:v>
                </c:pt>
                <c:pt idx="125">
                  <c:v>2.3771364871018998</c:v>
                </c:pt>
                <c:pt idx="126">
                  <c:v>2.37622714625864</c:v>
                </c:pt>
                <c:pt idx="127">
                  <c:v>2.3754445104858002</c:v>
                </c:pt>
                <c:pt idx="128">
                  <c:v>2.37458158422973</c:v>
                </c:pt>
                <c:pt idx="129">
                  <c:v>2.3737915383511301</c:v>
                </c:pt>
                <c:pt idx="130">
                  <c:v>2.3732291151695</c:v>
                </c:pt>
                <c:pt idx="131">
                  <c:v>2.3725466284669099</c:v>
                </c:pt>
                <c:pt idx="132">
                  <c:v>2.37160143593545</c:v>
                </c:pt>
                <c:pt idx="133">
                  <c:v>2.3708220363508499</c:v>
                </c:pt>
                <c:pt idx="134">
                  <c:v>2.3702551686661901</c:v>
                </c:pt>
                <c:pt idx="135">
                  <c:v>2.36993942179982</c:v>
                </c:pt>
                <c:pt idx="136">
                  <c:v>2.3700280428886402</c:v>
                </c:pt>
                <c:pt idx="137">
                  <c:v>2.3699580204468398</c:v>
                </c:pt>
                <c:pt idx="138">
                  <c:v>2.37008032409104</c:v>
                </c:pt>
                <c:pt idx="139">
                  <c:v>2.37038864031505</c:v>
                </c:pt>
                <c:pt idx="140">
                  <c:v>2.3707523407657698</c:v>
                </c:pt>
                <c:pt idx="141">
                  <c:v>2.3714178891027999</c:v>
                </c:pt>
                <c:pt idx="142">
                  <c:v>2.3719963633737802</c:v>
                </c:pt>
                <c:pt idx="143">
                  <c:v>2.3725161188657</c:v>
                </c:pt>
                <c:pt idx="144">
                  <c:v>2.3731513862677001</c:v>
                </c:pt>
                <c:pt idx="145">
                  <c:v>2.3739276529283901</c:v>
                </c:pt>
                <c:pt idx="146">
                  <c:v>2.3745165092609</c:v>
                </c:pt>
                <c:pt idx="147">
                  <c:v>2.37493740249226</c:v>
                </c:pt>
                <c:pt idx="148">
                  <c:v>2.3755257551796598</c:v>
                </c:pt>
                <c:pt idx="149">
                  <c:v>2.3754122859121498</c:v>
                </c:pt>
                <c:pt idx="150">
                  <c:v>2.37511474295626</c:v>
                </c:pt>
                <c:pt idx="151">
                  <c:v>2.3750281824385899</c:v>
                </c:pt>
                <c:pt idx="152">
                  <c:v>2.3749017551564999</c:v>
                </c:pt>
                <c:pt idx="153">
                  <c:v>2.37453478258095</c:v>
                </c:pt>
                <c:pt idx="154">
                  <c:v>2.3741869536348199</c:v>
                </c:pt>
                <c:pt idx="155">
                  <c:v>2.3736332950404799</c:v>
                </c:pt>
                <c:pt idx="156">
                  <c:v>2.3731995101210699</c:v>
                </c:pt>
                <c:pt idx="157">
                  <c:v>2.37261031437848</c:v>
                </c:pt>
                <c:pt idx="158">
                  <c:v>2.3719772089989601</c:v>
                </c:pt>
                <c:pt idx="159">
                  <c:v>2.37131899399686</c:v>
                </c:pt>
                <c:pt idx="160">
                  <c:v>2.3707270682145398</c:v>
                </c:pt>
                <c:pt idx="161">
                  <c:v>2.36998003587312</c:v>
                </c:pt>
                <c:pt idx="162">
                  <c:v>2.36923150483319</c:v>
                </c:pt>
                <c:pt idx="163">
                  <c:v>2.3685480656679201</c:v>
                </c:pt>
                <c:pt idx="164">
                  <c:v>2.36797218592503</c:v>
                </c:pt>
                <c:pt idx="165">
                  <c:v>2.3674952928645099</c:v>
                </c:pt>
                <c:pt idx="166">
                  <c:v>2.3673127009559098</c:v>
                </c:pt>
                <c:pt idx="167">
                  <c:v>2.3669710095633998</c:v>
                </c:pt>
                <c:pt idx="168">
                  <c:v>2.3666452868352801</c:v>
                </c:pt>
                <c:pt idx="169">
                  <c:v>2.3667071258250201</c:v>
                </c:pt>
                <c:pt idx="170">
                  <c:v>2.3665843606774799</c:v>
                </c:pt>
                <c:pt idx="171">
                  <c:v>2.3663431314727799</c:v>
                </c:pt>
                <c:pt idx="172">
                  <c:v>2.3663353252141199</c:v>
                </c:pt>
                <c:pt idx="173">
                  <c:v>2.3661907157248998</c:v>
                </c:pt>
                <c:pt idx="174">
                  <c:v>2.3660911104849598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A-4CF1-B402-302DF3353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IYH* x 10 dma / XLV*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-1.12707743675636E-3</c:v>
                </c:pt>
                <c:pt idx="11">
                  <c:v>-6.4352837252873798E-4</c:v>
                </c:pt>
                <c:pt idx="12">
                  <c:v>-1.12030687756449E-3</c:v>
                </c:pt>
                <c:pt idx="13">
                  <c:v>-2.2578507311114799E-4</c:v>
                </c:pt>
                <c:pt idx="14">
                  <c:v>-1.17958353149355E-3</c:v>
                </c:pt>
                <c:pt idx="15">
                  <c:v>-1.6531615246889099E-3</c:v>
                </c:pt>
                <c:pt idx="16">
                  <c:v>1.09292100403215E-3</c:v>
                </c:pt>
                <c:pt idx="17">
                  <c:v>-5.2991603523340503E-5</c:v>
                </c:pt>
                <c:pt idx="18">
                  <c:v>2.5258774051173898E-4</c:v>
                </c:pt>
                <c:pt idx="19">
                  <c:v>-1.26532542927679E-3</c:v>
                </c:pt>
                <c:pt idx="20">
                  <c:v>-2.7062815718347298E-3</c:v>
                </c:pt>
                <c:pt idx="21">
                  <c:v>-2.1755555222892102E-3</c:v>
                </c:pt>
                <c:pt idx="22">
                  <c:v>-6.4452846567435596E-4</c:v>
                </c:pt>
                <c:pt idx="23">
                  <c:v>-5.6134100693537303E-3</c:v>
                </c:pt>
                <c:pt idx="24">
                  <c:v>-5.1919318032922603E-3</c:v>
                </c:pt>
                <c:pt idx="25">
                  <c:v>-5.0277989107652601E-3</c:v>
                </c:pt>
                <c:pt idx="26">
                  <c:v>-3.3130664631506701E-3</c:v>
                </c:pt>
                <c:pt idx="27">
                  <c:v>-3.5956686978991198E-3</c:v>
                </c:pt>
                <c:pt idx="28">
                  <c:v>-3.4471551962264898E-3</c:v>
                </c:pt>
                <c:pt idx="29">
                  <c:v>-3.2318745605232099E-3</c:v>
                </c:pt>
                <c:pt idx="30">
                  <c:v>-1.2538676644513001E-3</c:v>
                </c:pt>
                <c:pt idx="31">
                  <c:v>-7.80909102326532E-4</c:v>
                </c:pt>
                <c:pt idx="32">
                  <c:v>5.6998091787204203E-4</c:v>
                </c:pt>
                <c:pt idx="33">
                  <c:v>1.53573364883386E-3</c:v>
                </c:pt>
                <c:pt idx="34">
                  <c:v>-7.3989863277724004E-5</c:v>
                </c:pt>
                <c:pt idx="35">
                  <c:v>1.44827546614662E-3</c:v>
                </c:pt>
                <c:pt idx="36">
                  <c:v>3.0277468760996599E-4</c:v>
                </c:pt>
                <c:pt idx="37">
                  <c:v>3.4475414613107801E-4</c:v>
                </c:pt>
                <c:pt idx="38">
                  <c:v>-1.1014198917978599E-3</c:v>
                </c:pt>
                <c:pt idx="39">
                  <c:v>-2.0541805803443699E-3</c:v>
                </c:pt>
                <c:pt idx="40">
                  <c:v>-1.61099723785925E-3</c:v>
                </c:pt>
                <c:pt idx="41">
                  <c:v>-1.1614392521640099E-3</c:v>
                </c:pt>
                <c:pt idx="42">
                  <c:v>3.4460127533655899E-4</c:v>
                </c:pt>
                <c:pt idx="43">
                  <c:v>8.0506974940614104E-4</c:v>
                </c:pt>
                <c:pt idx="44">
                  <c:v>6.9425525285000803E-4</c:v>
                </c:pt>
                <c:pt idx="45">
                  <c:v>1.63256284432444E-3</c:v>
                </c:pt>
                <c:pt idx="46">
                  <c:v>9.2961462100309296E-4</c:v>
                </c:pt>
                <c:pt idx="47">
                  <c:v>-7.8960124960318005E-4</c:v>
                </c:pt>
                <c:pt idx="48">
                  <c:v>-4.2124306456574898E-4</c:v>
                </c:pt>
                <c:pt idx="49">
                  <c:v>-2.7009776522592799E-4</c:v>
                </c:pt>
                <c:pt idx="50">
                  <c:v>8.2188871953453905E-4</c:v>
                </c:pt>
                <c:pt idx="51">
                  <c:v>2.14468881037304E-3</c:v>
                </c:pt>
                <c:pt idx="52">
                  <c:v>1.9983075092451499E-3</c:v>
                </c:pt>
                <c:pt idx="53">
                  <c:v>1.3825615002535901E-3</c:v>
                </c:pt>
                <c:pt idx="54">
                  <c:v>3.2144001228975902E-3</c:v>
                </c:pt>
                <c:pt idx="55">
                  <c:v>1.4031625387925001E-3</c:v>
                </c:pt>
                <c:pt idx="56">
                  <c:v>3.1364203549506201E-3</c:v>
                </c:pt>
                <c:pt idx="57">
                  <c:v>2.9325091071974599E-3</c:v>
                </c:pt>
                <c:pt idx="58">
                  <c:v>1.72527944700989E-3</c:v>
                </c:pt>
                <c:pt idx="59">
                  <c:v>2.1813731909538598E-3</c:v>
                </c:pt>
                <c:pt idx="60">
                  <c:v>3.5841831503048401E-3</c:v>
                </c:pt>
                <c:pt idx="61">
                  <c:v>3.1266540394963901E-3</c:v>
                </c:pt>
                <c:pt idx="62">
                  <c:v>1.3141172317720801E-3</c:v>
                </c:pt>
                <c:pt idx="63">
                  <c:v>2.1835451401261401E-3</c:v>
                </c:pt>
                <c:pt idx="64">
                  <c:v>2.2169959181363901E-4</c:v>
                </c:pt>
                <c:pt idx="65">
                  <c:v>-2.41091399350315E-4</c:v>
                </c:pt>
                <c:pt idx="66">
                  <c:v>-1.3905849608802101E-3</c:v>
                </c:pt>
                <c:pt idx="67">
                  <c:v>-9.1292865414243003E-4</c:v>
                </c:pt>
                <c:pt idx="68">
                  <c:v>1.56567224305181E-3</c:v>
                </c:pt>
                <c:pt idx="69">
                  <c:v>2.1996413727411899E-3</c:v>
                </c:pt>
                <c:pt idx="70">
                  <c:v>3.4442669991638598E-3</c:v>
                </c:pt>
                <c:pt idx="71">
                  <c:v>2.0340510119373702E-3</c:v>
                </c:pt>
                <c:pt idx="72">
                  <c:v>1.8695134501104699E-3</c:v>
                </c:pt>
                <c:pt idx="73">
                  <c:v>1.7846298323042999E-3</c:v>
                </c:pt>
                <c:pt idx="74">
                  <c:v>1.4867530714630199E-3</c:v>
                </c:pt>
                <c:pt idx="75">
                  <c:v>2.2640124781406899E-3</c:v>
                </c:pt>
                <c:pt idx="76">
                  <c:v>-1.44167771861512E-3</c:v>
                </c:pt>
                <c:pt idx="77">
                  <c:v>-2.3676073001719001E-4</c:v>
                </c:pt>
                <c:pt idx="78">
                  <c:v>-9.8804140863955996E-4</c:v>
                </c:pt>
                <c:pt idx="79">
                  <c:v>-2.6499667767939899E-3</c:v>
                </c:pt>
                <c:pt idx="80">
                  <c:v>-2.23781669974204E-3</c:v>
                </c:pt>
                <c:pt idx="81">
                  <c:v>-2.2226393143280499E-3</c:v>
                </c:pt>
                <c:pt idx="82">
                  <c:v>3.5415319698716601E-4</c:v>
                </c:pt>
                <c:pt idx="83">
                  <c:v>1.75956936071083E-3</c:v>
                </c:pt>
                <c:pt idx="84">
                  <c:v>1.3934538141737399E-3</c:v>
                </c:pt>
                <c:pt idx="85">
                  <c:v>5.0901974426457502E-3</c:v>
                </c:pt>
                <c:pt idx="86">
                  <c:v>1.1642129390289501E-3</c:v>
                </c:pt>
                <c:pt idx="87">
                  <c:v>7.2188071991382001E-4</c:v>
                </c:pt>
                <c:pt idx="88">
                  <c:v>6.3004408809765695E-4</c:v>
                </c:pt>
                <c:pt idx="89">
                  <c:v>1.2473726079878999E-4</c:v>
                </c:pt>
                <c:pt idx="90">
                  <c:v>-4.8628991943254599E-4</c:v>
                </c:pt>
                <c:pt idx="91">
                  <c:v>-1.11623346886009E-3</c:v>
                </c:pt>
                <c:pt idx="92">
                  <c:v>-3.22462263188773E-3</c:v>
                </c:pt>
                <c:pt idx="93">
                  <c:v>-3.3344971494646898E-3</c:v>
                </c:pt>
                <c:pt idx="94">
                  <c:v>-2.6466959790790502E-3</c:v>
                </c:pt>
                <c:pt idx="95">
                  <c:v>-2.2367283305401499E-4</c:v>
                </c:pt>
                <c:pt idx="96">
                  <c:v>-2.0570714749451699E-4</c:v>
                </c:pt>
                <c:pt idx="97">
                  <c:v>-6.9818967647793302E-4</c:v>
                </c:pt>
                <c:pt idx="98">
                  <c:v>1.1143753847486101E-3</c:v>
                </c:pt>
                <c:pt idx="99">
                  <c:v>8.8260164979526295E-4</c:v>
                </c:pt>
                <c:pt idx="100">
                  <c:v>1.56707782036319E-3</c:v>
                </c:pt>
                <c:pt idx="101">
                  <c:v>3.1564686708236999E-3</c:v>
                </c:pt>
                <c:pt idx="102">
                  <c:v>2.2096443916467898E-3</c:v>
                </c:pt>
                <c:pt idx="103">
                  <c:v>1.5011727143718101E-4</c:v>
                </c:pt>
                <c:pt idx="104">
                  <c:v>1.60778934907864E-3</c:v>
                </c:pt>
                <c:pt idx="105">
                  <c:v>-4.87192663986187E-4</c:v>
                </c:pt>
                <c:pt idx="106">
                  <c:v>-2.54042188039728E-3</c:v>
                </c:pt>
                <c:pt idx="107">
                  <c:v>-2.8452511450425301E-3</c:v>
                </c:pt>
                <c:pt idx="108">
                  <c:v>-1.73039891253038E-3</c:v>
                </c:pt>
                <c:pt idx="109">
                  <c:v>-3.37651195556703E-3</c:v>
                </c:pt>
                <c:pt idx="110">
                  <c:v>-3.0351396044497299E-3</c:v>
                </c:pt>
                <c:pt idx="111">
                  <c:v>-2.8263721896974901E-3</c:v>
                </c:pt>
                <c:pt idx="112">
                  <c:v>-8.5054785714182605E-4</c:v>
                </c:pt>
                <c:pt idx="113">
                  <c:v>-1.57676689314784E-3</c:v>
                </c:pt>
                <c:pt idx="114">
                  <c:v>2.50949374512511E-4</c:v>
                </c:pt>
                <c:pt idx="115">
                  <c:v>2.1895881580019402E-3</c:v>
                </c:pt>
                <c:pt idx="116">
                  <c:v>3.1387107603865999E-3</c:v>
                </c:pt>
                <c:pt idx="117">
                  <c:v>2.1912906321135098E-3</c:v>
                </c:pt>
                <c:pt idx="118">
                  <c:v>3.7527915037871601E-3</c:v>
                </c:pt>
                <c:pt idx="119">
                  <c:v>4.3066416100631597E-3</c:v>
                </c:pt>
                <c:pt idx="120">
                  <c:v>3.5839267624665902E-3</c:v>
                </c:pt>
                <c:pt idx="121">
                  <c:v>4.7636603400181303E-3</c:v>
                </c:pt>
                <c:pt idx="122">
                  <c:v>3.3473728239332701E-3</c:v>
                </c:pt>
                <c:pt idx="123">
                  <c:v>3.6074044684959402E-3</c:v>
                </c:pt>
                <c:pt idx="124">
                  <c:v>2.72620644654E-3</c:v>
                </c:pt>
                <c:pt idx="125">
                  <c:v>3.72159258314564E-3</c:v>
                </c:pt>
                <c:pt idx="126">
                  <c:v>2.3548665666003302E-3</c:v>
                </c:pt>
                <c:pt idx="127">
                  <c:v>3.4633104217775599E-4</c:v>
                </c:pt>
                <c:pt idx="128">
                  <c:v>1.6241577839677401E-3</c:v>
                </c:pt>
                <c:pt idx="129">
                  <c:v>-1.2190648555405301E-3</c:v>
                </c:pt>
                <c:pt idx="130">
                  <c:v>-3.1848222168097402E-3</c:v>
                </c:pt>
                <c:pt idx="131">
                  <c:v>-2.2345100738621099E-3</c:v>
                </c:pt>
                <c:pt idx="132">
                  <c:v>-9.5459768296008698E-4</c:v>
                </c:pt>
                <c:pt idx="133">
                  <c:v>-3.4032500397498801E-3</c:v>
                </c:pt>
                <c:pt idx="134">
                  <c:v>-3.3102641422722498E-3</c:v>
                </c:pt>
                <c:pt idx="135">
                  <c:v>-3.4141147356580902E-3</c:v>
                </c:pt>
                <c:pt idx="136">
                  <c:v>-2.63187416389355E-3</c:v>
                </c:pt>
                <c:pt idx="137">
                  <c:v>-1.40351749042675E-3</c:v>
                </c:pt>
                <c:pt idx="138">
                  <c:v>-8.6222341492857898E-4</c:v>
                </c:pt>
                <c:pt idx="139">
                  <c:v>-1.04686640255706E-3</c:v>
                </c:pt>
                <c:pt idx="140">
                  <c:v>-1.3114688842470099E-3</c:v>
                </c:pt>
                <c:pt idx="141">
                  <c:v>-1.89835825027898E-3</c:v>
                </c:pt>
                <c:pt idx="142">
                  <c:v>-1.44497522343933E-3</c:v>
                </c:pt>
                <c:pt idx="143">
                  <c:v>3.3191684489930202E-4</c:v>
                </c:pt>
                <c:pt idx="144">
                  <c:v>-6.8251919387327803E-4</c:v>
                </c:pt>
                <c:pt idx="145">
                  <c:v>-1.28989264265639E-4</c:v>
                </c:pt>
                <c:pt idx="146">
                  <c:v>7.45690881332046E-4</c:v>
                </c:pt>
                <c:pt idx="147">
                  <c:v>5.8032420981977203E-4</c:v>
                </c:pt>
                <c:pt idx="148">
                  <c:v>8.5569599822802103E-4</c:v>
                </c:pt>
                <c:pt idx="149">
                  <c:v>4.3313364243883204E-3</c:v>
                </c:pt>
                <c:pt idx="150">
                  <c:v>3.5626569584217001E-3</c:v>
                </c:pt>
                <c:pt idx="151">
                  <c:v>2.1757876131403698E-3</c:v>
                </c:pt>
                <c:pt idx="152">
                  <c:v>3.15908894753042E-3</c:v>
                </c:pt>
                <c:pt idx="153">
                  <c:v>2.1432936262464602E-3</c:v>
                </c:pt>
                <c:pt idx="154">
                  <c:v>1.32535855014921E-3</c:v>
                </c:pt>
                <c:pt idx="155">
                  <c:v>2.1286407595021602E-3</c:v>
                </c:pt>
                <c:pt idx="156">
                  <c:v>7.7645598838302203E-4</c:v>
                </c:pt>
                <c:pt idx="157">
                  <c:v>2.4587679057169799E-3</c:v>
                </c:pt>
                <c:pt idx="158">
                  <c:v>2.5204463732991901E-3</c:v>
                </c:pt>
                <c:pt idx="159">
                  <c:v>1.5140293856747899E-3</c:v>
                </c:pt>
                <c:pt idx="160">
                  <c:v>2.2635976097561201E-4</c:v>
                </c:pt>
                <c:pt idx="161">
                  <c:v>6.9851457654469601E-4</c:v>
                </c:pt>
                <c:pt idx="162">
                  <c:v>6.0837246938756E-4</c:v>
                </c:pt>
                <c:pt idx="163">
                  <c:v>1.3185875831855801E-3</c:v>
                </c:pt>
                <c:pt idx="164">
                  <c:v>-8.78570438800823E-4</c:v>
                </c:pt>
                <c:pt idx="165">
                  <c:v>-1.35158370721184E-3</c:v>
                </c:pt>
                <c:pt idx="166">
                  <c:v>-2.8932095439874899E-3</c:v>
                </c:pt>
                <c:pt idx="167">
                  <c:v>-1.5042720632290701E-3</c:v>
                </c:pt>
                <c:pt idx="168">
                  <c:v>-1.1536645414054001E-3</c:v>
                </c:pt>
                <c:pt idx="169">
                  <c:v>-6.8717493466288304E-4</c:v>
                </c:pt>
                <c:pt idx="170">
                  <c:v>7.1087309522666802E-4</c:v>
                </c:pt>
                <c:pt idx="171">
                  <c:v>7.1910197735898203E-4</c:v>
                </c:pt>
                <c:pt idx="172">
                  <c:v>1.5668760426939399E-4</c:v>
                </c:pt>
                <c:pt idx="173">
                  <c:v>9.2149806955594096E-4</c:v>
                </c:pt>
                <c:pt idx="174">
                  <c:v>1.7711230044837101E-4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2-493B-9265-1C2E925C3077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IYH* x 20 dma / XLV*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-3.2857167137296502E-3</c:v>
                </c:pt>
                <c:pt idx="21">
                  <c:v>-2.9021750414353199E-3</c:v>
                </c:pt>
                <c:pt idx="22">
                  <c:v>-1.5116500364366901E-3</c:v>
                </c:pt>
                <c:pt idx="23">
                  <c:v>-6.45220220247982E-3</c:v>
                </c:pt>
                <c:pt idx="24">
                  <c:v>-6.26285786109557E-3</c:v>
                </c:pt>
                <c:pt idx="25">
                  <c:v>-6.2633181036463896E-3</c:v>
                </c:pt>
                <c:pt idx="26">
                  <c:v>-4.6362344627918798E-3</c:v>
                </c:pt>
                <c:pt idx="27">
                  <c:v>-5.3026227883790199E-3</c:v>
                </c:pt>
                <c:pt idx="28">
                  <c:v>-5.4722424497344099E-3</c:v>
                </c:pt>
                <c:pt idx="29">
                  <c:v>-5.6576037396997899E-3</c:v>
                </c:pt>
                <c:pt idx="30">
                  <c:v>-3.9834698793601098E-3</c:v>
                </c:pt>
                <c:pt idx="31">
                  <c:v>-3.5737728185150702E-3</c:v>
                </c:pt>
                <c:pt idx="32">
                  <c:v>-2.2829677585868499E-3</c:v>
                </c:pt>
                <c:pt idx="33">
                  <c:v>-1.4780771432311201E-3</c:v>
                </c:pt>
                <c:pt idx="34">
                  <c:v>-2.6794766412181598E-3</c:v>
                </c:pt>
                <c:pt idx="35">
                  <c:v>-8.5462443996499901E-4</c:v>
                </c:pt>
                <c:pt idx="36">
                  <c:v>-1.61484163487087E-3</c:v>
                </c:pt>
                <c:pt idx="37">
                  <c:v>-1.23210336857549E-3</c:v>
                </c:pt>
                <c:pt idx="38">
                  <c:v>-2.2917039326041302E-3</c:v>
                </c:pt>
                <c:pt idx="39">
                  <c:v>-2.8592784434448701E-3</c:v>
                </c:pt>
                <c:pt idx="40">
                  <c:v>-2.0969799891056898E-3</c:v>
                </c:pt>
                <c:pt idx="41">
                  <c:v>-1.51348136874317E-3</c:v>
                </c:pt>
                <c:pt idx="42">
                  <c:v>1.47873676095103E-4</c:v>
                </c:pt>
                <c:pt idx="43">
                  <c:v>8.0169422578856497E-4</c:v>
                </c:pt>
                <c:pt idx="44">
                  <c:v>5.9848895351263104E-4</c:v>
                </c:pt>
                <c:pt idx="45">
                  <c:v>1.5706101656954301E-3</c:v>
                </c:pt>
                <c:pt idx="46">
                  <c:v>7.7747711758202403E-4</c:v>
                </c:pt>
                <c:pt idx="47">
                  <c:v>-9.14478521161489E-4</c:v>
                </c:pt>
                <c:pt idx="48">
                  <c:v>-6.5452342688931899E-4</c:v>
                </c:pt>
                <c:pt idx="49">
                  <c:v>-4.9088260456258705E-4</c:v>
                </c:pt>
                <c:pt idx="50">
                  <c:v>6.8997604328786897E-4</c:v>
                </c:pt>
                <c:pt idx="51">
                  <c:v>2.18778587588729E-3</c:v>
                </c:pt>
                <c:pt idx="52">
                  <c:v>2.26527562289366E-3</c:v>
                </c:pt>
                <c:pt idx="53">
                  <c:v>1.7897909970941101E-3</c:v>
                </c:pt>
                <c:pt idx="54">
                  <c:v>3.7280510488665198E-3</c:v>
                </c:pt>
                <c:pt idx="55">
                  <c:v>2.0652115872269198E-3</c:v>
                </c:pt>
                <c:pt idx="56">
                  <c:v>3.85016000361084E-3</c:v>
                </c:pt>
                <c:pt idx="57">
                  <c:v>3.81174769788197E-3</c:v>
                </c:pt>
                <c:pt idx="58">
                  <c:v>2.9481002264174299E-3</c:v>
                </c:pt>
                <c:pt idx="59">
                  <c:v>3.6235191739800001E-3</c:v>
                </c:pt>
                <c:pt idx="60">
                  <c:v>5.2263312364008701E-3</c:v>
                </c:pt>
                <c:pt idx="61">
                  <c:v>4.9627629097126801E-3</c:v>
                </c:pt>
                <c:pt idx="62">
                  <c:v>3.21318342379196E-3</c:v>
                </c:pt>
                <c:pt idx="63">
                  <c:v>4.1289874690840197E-3</c:v>
                </c:pt>
                <c:pt idx="64">
                  <c:v>2.3324271585297802E-3</c:v>
                </c:pt>
                <c:pt idx="65">
                  <c:v>1.7535063651756601E-3</c:v>
                </c:pt>
                <c:pt idx="66">
                  <c:v>6.6669791338028704E-4</c:v>
                </c:pt>
                <c:pt idx="67">
                  <c:v>9.4161923037617797E-4</c:v>
                </c:pt>
                <c:pt idx="68">
                  <c:v>3.13873095199925E-3</c:v>
                </c:pt>
                <c:pt idx="69">
                  <c:v>3.6920727142442998E-3</c:v>
                </c:pt>
                <c:pt idx="70">
                  <c:v>4.81960848237883E-3</c:v>
                </c:pt>
                <c:pt idx="71">
                  <c:v>3.2372362376266702E-3</c:v>
                </c:pt>
                <c:pt idx="72">
                  <c:v>2.9056330994193099E-3</c:v>
                </c:pt>
                <c:pt idx="73">
                  <c:v>2.7964181179225001E-3</c:v>
                </c:pt>
                <c:pt idx="74">
                  <c:v>2.3450102186017801E-3</c:v>
                </c:pt>
                <c:pt idx="75">
                  <c:v>3.2101701299865602E-3</c:v>
                </c:pt>
                <c:pt idx="76">
                  <c:v>-3.9278510545155497E-4</c:v>
                </c:pt>
                <c:pt idx="77">
                  <c:v>9.3566881763924598E-4</c:v>
                </c:pt>
                <c:pt idx="78">
                  <c:v>3.4285027622224799E-4</c:v>
                </c:pt>
                <c:pt idx="79">
                  <c:v>-1.4631488208515201E-3</c:v>
                </c:pt>
                <c:pt idx="80">
                  <c:v>-1.32527774413743E-3</c:v>
                </c:pt>
                <c:pt idx="81">
                  <c:v>-1.6334392926617299E-3</c:v>
                </c:pt>
                <c:pt idx="82">
                  <c:v>7.2370455597198604E-4</c:v>
                </c:pt>
                <c:pt idx="83">
                  <c:v>1.9590105591330001E-3</c:v>
                </c:pt>
                <c:pt idx="84">
                  <c:v>1.53043501586646E-3</c:v>
                </c:pt>
                <c:pt idx="85">
                  <c:v>5.0871253974410302E-3</c:v>
                </c:pt>
                <c:pt idx="86">
                  <c:v>1.08178786076592E-3</c:v>
                </c:pt>
                <c:pt idx="87">
                  <c:v>6.5898513010456802E-4</c:v>
                </c:pt>
                <c:pt idx="88">
                  <c:v>4.5752316205387899E-4</c:v>
                </c:pt>
                <c:pt idx="89">
                  <c:v>1.05425275531887E-5</c:v>
                </c:pt>
                <c:pt idx="90">
                  <c:v>-3.48975553445818E-4</c:v>
                </c:pt>
                <c:pt idx="91">
                  <c:v>-6.8445181714442004E-4</c:v>
                </c:pt>
                <c:pt idx="92">
                  <c:v>-2.5399804763098399E-3</c:v>
                </c:pt>
                <c:pt idx="93">
                  <c:v>-2.72183246897614E-3</c:v>
                </c:pt>
                <c:pt idx="94">
                  <c:v>-2.2464881292820101E-3</c:v>
                </c:pt>
                <c:pt idx="95">
                  <c:v>5.3257382133221996E-6</c:v>
                </c:pt>
                <c:pt idx="96">
                  <c:v>-3.5943008392588701E-4</c:v>
                </c:pt>
                <c:pt idx="97">
                  <c:v>-1.05774264977982E-3</c:v>
                </c:pt>
                <c:pt idx="98">
                  <c:v>6.0634138583065002E-4</c:v>
                </c:pt>
                <c:pt idx="99">
                  <c:v>2.8440005535782702E-4</c:v>
                </c:pt>
                <c:pt idx="100">
                  <c:v>8.1957893650018703E-4</c:v>
                </c:pt>
                <c:pt idx="101">
                  <c:v>2.3354137999687498E-3</c:v>
                </c:pt>
                <c:pt idx="102">
                  <c:v>1.42112847478841E-3</c:v>
                </c:pt>
                <c:pt idx="103">
                  <c:v>-3.3505809485031001E-4</c:v>
                </c:pt>
                <c:pt idx="104">
                  <c:v>1.4420556907777399E-3</c:v>
                </c:pt>
                <c:pt idx="105">
                  <c:v>-2.9452904256788398E-4</c:v>
                </c:pt>
                <c:pt idx="106">
                  <c:v>-2.0993844706689701E-3</c:v>
                </c:pt>
                <c:pt idx="107">
                  <c:v>-2.39316773235442E-3</c:v>
                </c:pt>
                <c:pt idx="108">
                  <c:v>-1.23366962681484E-3</c:v>
                </c:pt>
                <c:pt idx="109">
                  <c:v>-2.9458950208972302E-3</c:v>
                </c:pt>
                <c:pt idx="110">
                  <c:v>-2.75281493839357E-3</c:v>
                </c:pt>
                <c:pt idx="111">
                  <c:v>-2.7739883837979099E-3</c:v>
                </c:pt>
                <c:pt idx="112">
                  <c:v>-1.2231519916187301E-3</c:v>
                </c:pt>
                <c:pt idx="113">
                  <c:v>-2.3320096115020902E-3</c:v>
                </c:pt>
                <c:pt idx="114">
                  <c:v>-7.9175512419538401E-4</c:v>
                </c:pt>
                <c:pt idx="115">
                  <c:v>7.7927965972830705E-4</c:v>
                </c:pt>
                <c:pt idx="116">
                  <c:v>1.71505445937253E-3</c:v>
                </c:pt>
                <c:pt idx="117">
                  <c:v>9.8138645543080993E-4</c:v>
                </c:pt>
                <c:pt idx="118">
                  <c:v>2.73562678264076E-3</c:v>
                </c:pt>
                <c:pt idx="119">
                  <c:v>3.5539581454488399E-3</c:v>
                </c:pt>
                <c:pt idx="120">
                  <c:v>3.30973774875685E-3</c:v>
                </c:pt>
                <c:pt idx="121">
                  <c:v>4.9949641616955599E-3</c:v>
                </c:pt>
                <c:pt idx="122">
                  <c:v>4.2753604720228398E-3</c:v>
                </c:pt>
                <c:pt idx="123">
                  <c:v>5.0286580667720298E-3</c:v>
                </c:pt>
                <c:pt idx="124">
                  <c:v>4.7118408782553202E-3</c:v>
                </c:pt>
                <c:pt idx="125">
                  <c:v>6.2025211317459604E-3</c:v>
                </c:pt>
                <c:pt idx="126">
                  <c:v>5.1682835450846398E-3</c:v>
                </c:pt>
                <c:pt idx="127">
                  <c:v>3.2605984713615799E-3</c:v>
                </c:pt>
                <c:pt idx="128">
                  <c:v>4.6070833615317703E-3</c:v>
                </c:pt>
                <c:pt idx="129">
                  <c:v>1.7833568704941601E-3</c:v>
                </c:pt>
                <c:pt idx="130">
                  <c:v>-4.6825285935535901E-4</c:v>
                </c:pt>
                <c:pt idx="131">
                  <c:v>1.10352496645112E-4</c:v>
                </c:pt>
                <c:pt idx="132">
                  <c:v>8.7088178680319703E-4</c:v>
                </c:pt>
                <c:pt idx="133">
                  <c:v>-1.91370908955025E-3</c:v>
                </c:pt>
                <c:pt idx="134">
                  <c:v>-2.4249257669861899E-3</c:v>
                </c:pt>
                <c:pt idx="135">
                  <c:v>-3.0650352014609402E-3</c:v>
                </c:pt>
                <c:pt idx="136">
                  <c:v>-2.9289915965120101E-3</c:v>
                </c:pt>
                <c:pt idx="137">
                  <c:v>-2.2211047408195201E-3</c:v>
                </c:pt>
                <c:pt idx="138">
                  <c:v>-2.0477702387922698E-3</c:v>
                </c:pt>
                <c:pt idx="139">
                  <c:v>-2.66581887897156E-3</c:v>
                </c:pt>
                <c:pt idx="140">
                  <c:v>-3.1069797913511202E-3</c:v>
                </c:pt>
                <c:pt idx="141">
                  <c:v>-3.71259863192478E-3</c:v>
                </c:pt>
                <c:pt idx="142">
                  <c:v>-3.30811308472315E-3</c:v>
                </c:pt>
                <c:pt idx="143">
                  <c:v>-1.70895865934546E-3</c:v>
                </c:pt>
                <c:pt idx="144">
                  <c:v>-2.5393545414547202E-3</c:v>
                </c:pt>
                <c:pt idx="145">
                  <c:v>-1.82704649183705E-3</c:v>
                </c:pt>
                <c:pt idx="146">
                  <c:v>-6.3670459145794304E-4</c:v>
                </c:pt>
                <c:pt idx="147">
                  <c:v>-4.9298949442877201E-4</c:v>
                </c:pt>
                <c:pt idx="148">
                  <c:v>-5.6762033162298702E-5</c:v>
                </c:pt>
                <c:pt idx="149">
                  <c:v>3.6558085517445502E-3</c:v>
                </c:pt>
                <c:pt idx="150">
                  <c:v>3.2411797157565099E-3</c:v>
                </c:pt>
                <c:pt idx="151">
                  <c:v>2.1516275688822002E-3</c:v>
                </c:pt>
                <c:pt idx="152">
                  <c:v>3.5010817235881799E-3</c:v>
                </c:pt>
                <c:pt idx="153">
                  <c:v>2.9607143670143301E-3</c:v>
                </c:pt>
                <c:pt idx="154">
                  <c:v>2.3327158858576901E-3</c:v>
                </c:pt>
                <c:pt idx="155">
                  <c:v>3.39201926127344E-3</c:v>
                </c:pt>
                <c:pt idx="156">
                  <c:v>2.2851279615798601E-3</c:v>
                </c:pt>
                <c:pt idx="157">
                  <c:v>4.0895293971113496E-3</c:v>
                </c:pt>
                <c:pt idx="158">
                  <c:v>4.4168266260848797E-3</c:v>
                </c:pt>
                <c:pt idx="159">
                  <c:v>3.6891891593909998E-3</c:v>
                </c:pt>
                <c:pt idx="160">
                  <c:v>2.2767109434599E-3</c:v>
                </c:pt>
                <c:pt idx="161">
                  <c:v>2.5752513712590801E-3</c:v>
                </c:pt>
                <c:pt idx="162">
                  <c:v>2.3973466844613499E-3</c:v>
                </c:pt>
                <c:pt idx="163">
                  <c:v>2.89407247274329E-3</c:v>
                </c:pt>
                <c:pt idx="164">
                  <c:v>6.4077753066371505E-4</c:v>
                </c:pt>
                <c:pt idx="165">
                  <c:v>7.9560509155290101E-6</c:v>
                </c:pt>
                <c:pt idx="166">
                  <c:v>-1.81145330152588E-3</c:v>
                </c:pt>
                <c:pt idx="167">
                  <c:v>-6.50686951271141E-4</c:v>
                </c:pt>
                <c:pt idx="168">
                  <c:v>-6.7014629423439395E-4</c:v>
                </c:pt>
                <c:pt idx="169">
                  <c:v>-6.1191791047399396E-4</c:v>
                </c:pt>
                <c:pt idx="170">
                  <c:v>6.0727988222359904E-4</c:v>
                </c:pt>
                <c:pt idx="171">
                  <c:v>5.91351846018334E-4</c:v>
                </c:pt>
                <c:pt idx="172">
                  <c:v>-9.6472098082069004E-5</c:v>
                </c:pt>
                <c:pt idx="173">
                  <c:v>5.6929812088037199E-4</c:v>
                </c:pt>
                <c:pt idx="174">
                  <c:v>-3.4619390672433999E-4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52-493B-9265-1C2E925C3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XLV*/IYH*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2.3785236560114398</c:v>
                </c:pt>
                <c:pt idx="1">
                  <c:v>2.3785236560114398</c:v>
                </c:pt>
                <c:pt idx="2">
                  <c:v>2.3785236560114398</c:v>
                </c:pt>
                <c:pt idx="3">
                  <c:v>2.3785236560114398</c:v>
                </c:pt>
                <c:pt idx="4">
                  <c:v>2.3785236560114398</c:v>
                </c:pt>
                <c:pt idx="5">
                  <c:v>2.3785236560114398</c:v>
                </c:pt>
                <c:pt idx="6">
                  <c:v>2.3785236560114398</c:v>
                </c:pt>
                <c:pt idx="7">
                  <c:v>2.3785236560114398</c:v>
                </c:pt>
                <c:pt idx="8">
                  <c:v>2.3785236560114398</c:v>
                </c:pt>
                <c:pt idx="9">
                  <c:v>2.3785236560114398</c:v>
                </c:pt>
                <c:pt idx="10">
                  <c:v>2.3785236560114398</c:v>
                </c:pt>
                <c:pt idx="11">
                  <c:v>2.3785236560114398</c:v>
                </c:pt>
                <c:pt idx="12">
                  <c:v>2.3785236560114398</c:v>
                </c:pt>
                <c:pt idx="13">
                  <c:v>2.3785236560114398</c:v>
                </c:pt>
                <c:pt idx="14">
                  <c:v>2.3785236560114398</c:v>
                </c:pt>
                <c:pt idx="15">
                  <c:v>2.3785236560114398</c:v>
                </c:pt>
                <c:pt idx="16">
                  <c:v>2.3785236560114398</c:v>
                </c:pt>
                <c:pt idx="17">
                  <c:v>2.3785236560114398</c:v>
                </c:pt>
                <c:pt idx="18">
                  <c:v>2.3785236560114398</c:v>
                </c:pt>
                <c:pt idx="19">
                  <c:v>2.3785236560114398</c:v>
                </c:pt>
                <c:pt idx="20">
                  <c:v>2.3785236560114398</c:v>
                </c:pt>
                <c:pt idx="21">
                  <c:v>2.3785236560114398</c:v>
                </c:pt>
                <c:pt idx="22">
                  <c:v>2.3785236560114398</c:v>
                </c:pt>
                <c:pt idx="23">
                  <c:v>2.3785236560114398</c:v>
                </c:pt>
                <c:pt idx="24">
                  <c:v>2.3785236560114398</c:v>
                </c:pt>
                <c:pt idx="25">
                  <c:v>2.3785236560114398</c:v>
                </c:pt>
                <c:pt idx="26">
                  <c:v>2.3785236560114398</c:v>
                </c:pt>
                <c:pt idx="27">
                  <c:v>2.3785236560114398</c:v>
                </c:pt>
                <c:pt idx="28">
                  <c:v>2.3785236560114398</c:v>
                </c:pt>
                <c:pt idx="29">
                  <c:v>2.3785236560114398</c:v>
                </c:pt>
                <c:pt idx="30">
                  <c:v>2.3785236560114398</c:v>
                </c:pt>
                <c:pt idx="31">
                  <c:v>2.3785236560114398</c:v>
                </c:pt>
                <c:pt idx="32">
                  <c:v>2.3785236560114398</c:v>
                </c:pt>
                <c:pt idx="33">
                  <c:v>2.3785236560114398</c:v>
                </c:pt>
                <c:pt idx="34">
                  <c:v>2.3785236560114398</c:v>
                </c:pt>
                <c:pt idx="35">
                  <c:v>2.3785236560114398</c:v>
                </c:pt>
                <c:pt idx="36">
                  <c:v>2.3785236560114398</c:v>
                </c:pt>
                <c:pt idx="37">
                  <c:v>2.3785236560114398</c:v>
                </c:pt>
                <c:pt idx="38">
                  <c:v>2.3785236560114398</c:v>
                </c:pt>
                <c:pt idx="39">
                  <c:v>2.3785236560114398</c:v>
                </c:pt>
                <c:pt idx="40">
                  <c:v>2.3785236560114398</c:v>
                </c:pt>
                <c:pt idx="41">
                  <c:v>2.3785236560114398</c:v>
                </c:pt>
                <c:pt idx="42">
                  <c:v>2.3785236560114398</c:v>
                </c:pt>
                <c:pt idx="43">
                  <c:v>2.3785236560114398</c:v>
                </c:pt>
                <c:pt idx="44">
                  <c:v>2.3785236560114398</c:v>
                </c:pt>
                <c:pt idx="45">
                  <c:v>2.3785236560114398</c:v>
                </c:pt>
                <c:pt idx="46">
                  <c:v>2.3785236560114398</c:v>
                </c:pt>
                <c:pt idx="47">
                  <c:v>2.3785236560114398</c:v>
                </c:pt>
                <c:pt idx="48">
                  <c:v>2.3785236560114398</c:v>
                </c:pt>
                <c:pt idx="49">
                  <c:v>2.3785236560114398</c:v>
                </c:pt>
                <c:pt idx="50">
                  <c:v>2.3785236560114398</c:v>
                </c:pt>
                <c:pt idx="51">
                  <c:v>2.3785236560114398</c:v>
                </c:pt>
                <c:pt idx="52">
                  <c:v>2.3785236560114398</c:v>
                </c:pt>
                <c:pt idx="53">
                  <c:v>2.3785236560114398</c:v>
                </c:pt>
                <c:pt idx="54">
                  <c:v>2.3785236560114398</c:v>
                </c:pt>
                <c:pt idx="55">
                  <c:v>2.3785236560114398</c:v>
                </c:pt>
                <c:pt idx="56">
                  <c:v>2.3785236560114398</c:v>
                </c:pt>
                <c:pt idx="57">
                  <c:v>2.3785236560114398</c:v>
                </c:pt>
                <c:pt idx="58">
                  <c:v>2.3785236560114398</c:v>
                </c:pt>
                <c:pt idx="59">
                  <c:v>2.3785236560114398</c:v>
                </c:pt>
                <c:pt idx="60">
                  <c:v>2.3785236560114398</c:v>
                </c:pt>
                <c:pt idx="61">
                  <c:v>2.3785236560114398</c:v>
                </c:pt>
                <c:pt idx="62">
                  <c:v>2.3785236560114398</c:v>
                </c:pt>
                <c:pt idx="63">
                  <c:v>2.3785236560114398</c:v>
                </c:pt>
                <c:pt idx="64">
                  <c:v>2.3785236560114398</c:v>
                </c:pt>
                <c:pt idx="65">
                  <c:v>2.3785236560114398</c:v>
                </c:pt>
                <c:pt idx="66">
                  <c:v>2.3785236560114398</c:v>
                </c:pt>
                <c:pt idx="67">
                  <c:v>2.3785236560114398</c:v>
                </c:pt>
                <c:pt idx="68">
                  <c:v>2.3785236560114398</c:v>
                </c:pt>
                <c:pt idx="69">
                  <c:v>2.3785236560114398</c:v>
                </c:pt>
                <c:pt idx="70">
                  <c:v>2.3785236560114398</c:v>
                </c:pt>
                <c:pt idx="71">
                  <c:v>2.3785236560114398</c:v>
                </c:pt>
                <c:pt idx="72">
                  <c:v>2.3785236560114398</c:v>
                </c:pt>
                <c:pt idx="73">
                  <c:v>2.3785236560114398</c:v>
                </c:pt>
                <c:pt idx="74">
                  <c:v>2.3785236560114398</c:v>
                </c:pt>
                <c:pt idx="75">
                  <c:v>2.3785236560114398</c:v>
                </c:pt>
                <c:pt idx="76">
                  <c:v>2.3785236560114398</c:v>
                </c:pt>
                <c:pt idx="77">
                  <c:v>2.3785236560114398</c:v>
                </c:pt>
                <c:pt idx="78">
                  <c:v>2.3785236560114398</c:v>
                </c:pt>
                <c:pt idx="79">
                  <c:v>2.3785236560114398</c:v>
                </c:pt>
                <c:pt idx="80">
                  <c:v>2.3785236560114398</c:v>
                </c:pt>
                <c:pt idx="81">
                  <c:v>2.3785236560114398</c:v>
                </c:pt>
                <c:pt idx="82">
                  <c:v>2.3785236560114398</c:v>
                </c:pt>
                <c:pt idx="83">
                  <c:v>2.3785236560114398</c:v>
                </c:pt>
                <c:pt idx="84">
                  <c:v>2.3785236560114398</c:v>
                </c:pt>
                <c:pt idx="85">
                  <c:v>2.3785236560114398</c:v>
                </c:pt>
                <c:pt idx="86">
                  <c:v>2.3785236560114398</c:v>
                </c:pt>
                <c:pt idx="87">
                  <c:v>2.3785236560114398</c:v>
                </c:pt>
                <c:pt idx="88">
                  <c:v>2.3785236560114398</c:v>
                </c:pt>
                <c:pt idx="89">
                  <c:v>2.3785236560114398</c:v>
                </c:pt>
                <c:pt idx="90">
                  <c:v>2.3785236560114398</c:v>
                </c:pt>
                <c:pt idx="91">
                  <c:v>2.3785236560114398</c:v>
                </c:pt>
                <c:pt idx="92">
                  <c:v>2.3785236560114398</c:v>
                </c:pt>
                <c:pt idx="93">
                  <c:v>2.3785236560114398</c:v>
                </c:pt>
                <c:pt idx="94">
                  <c:v>2.3785236560114398</c:v>
                </c:pt>
                <c:pt idx="95">
                  <c:v>2.3785236560114398</c:v>
                </c:pt>
                <c:pt idx="96">
                  <c:v>2.3785236560114398</c:v>
                </c:pt>
                <c:pt idx="97">
                  <c:v>2.3785236560114398</c:v>
                </c:pt>
                <c:pt idx="98">
                  <c:v>2.3785236560114398</c:v>
                </c:pt>
                <c:pt idx="99">
                  <c:v>2.3785236560114398</c:v>
                </c:pt>
                <c:pt idx="100">
                  <c:v>2.3785236560114398</c:v>
                </c:pt>
                <c:pt idx="101">
                  <c:v>2.3785236560114398</c:v>
                </c:pt>
                <c:pt idx="102">
                  <c:v>2.3785236560114398</c:v>
                </c:pt>
                <c:pt idx="103">
                  <c:v>2.3785236560114398</c:v>
                </c:pt>
                <c:pt idx="104">
                  <c:v>2.3785236560114398</c:v>
                </c:pt>
                <c:pt idx="105">
                  <c:v>2.3785236560114398</c:v>
                </c:pt>
                <c:pt idx="106">
                  <c:v>2.3785236560114398</c:v>
                </c:pt>
                <c:pt idx="107">
                  <c:v>2.3785236560114398</c:v>
                </c:pt>
                <c:pt idx="108">
                  <c:v>2.3785236560114398</c:v>
                </c:pt>
                <c:pt idx="109">
                  <c:v>2.3785236560114398</c:v>
                </c:pt>
                <c:pt idx="110">
                  <c:v>2.3785236560114398</c:v>
                </c:pt>
                <c:pt idx="111">
                  <c:v>2.3785236560114398</c:v>
                </c:pt>
                <c:pt idx="112">
                  <c:v>2.3785236560114398</c:v>
                </c:pt>
                <c:pt idx="113">
                  <c:v>2.3785236560114398</c:v>
                </c:pt>
                <c:pt idx="114">
                  <c:v>2.3785236560114398</c:v>
                </c:pt>
                <c:pt idx="115">
                  <c:v>2.3785236560114398</c:v>
                </c:pt>
                <c:pt idx="116">
                  <c:v>2.3785236560114398</c:v>
                </c:pt>
                <c:pt idx="117">
                  <c:v>2.3785236560114398</c:v>
                </c:pt>
                <c:pt idx="118">
                  <c:v>2.3785236560114398</c:v>
                </c:pt>
                <c:pt idx="119">
                  <c:v>2.3785236560114398</c:v>
                </c:pt>
                <c:pt idx="120">
                  <c:v>2.3785236560114398</c:v>
                </c:pt>
                <c:pt idx="121">
                  <c:v>2.3785236560114398</c:v>
                </c:pt>
                <c:pt idx="122">
                  <c:v>2.3785236560114398</c:v>
                </c:pt>
                <c:pt idx="123">
                  <c:v>2.3785236560114398</c:v>
                </c:pt>
                <c:pt idx="124">
                  <c:v>2.3785236560114398</c:v>
                </c:pt>
                <c:pt idx="125">
                  <c:v>2.3785236560114398</c:v>
                </c:pt>
                <c:pt idx="126">
                  <c:v>2.3785236560114398</c:v>
                </c:pt>
                <c:pt idx="127">
                  <c:v>2.3785236560114398</c:v>
                </c:pt>
                <c:pt idx="128">
                  <c:v>2.3785236560114398</c:v>
                </c:pt>
                <c:pt idx="129">
                  <c:v>2.3785236560114398</c:v>
                </c:pt>
                <c:pt idx="130">
                  <c:v>2.3785236560114398</c:v>
                </c:pt>
                <c:pt idx="131">
                  <c:v>2.3785236560114398</c:v>
                </c:pt>
                <c:pt idx="132">
                  <c:v>2.3785236560114398</c:v>
                </c:pt>
                <c:pt idx="133">
                  <c:v>2.3785236560114398</c:v>
                </c:pt>
                <c:pt idx="134">
                  <c:v>2.3785236560114398</c:v>
                </c:pt>
                <c:pt idx="135">
                  <c:v>2.3785236560114398</c:v>
                </c:pt>
                <c:pt idx="136">
                  <c:v>2.3785236560114398</c:v>
                </c:pt>
                <c:pt idx="137">
                  <c:v>2.3785236560114398</c:v>
                </c:pt>
                <c:pt idx="138">
                  <c:v>2.3785236560114398</c:v>
                </c:pt>
                <c:pt idx="139">
                  <c:v>2.3785236560114398</c:v>
                </c:pt>
                <c:pt idx="140">
                  <c:v>2.3785236560114398</c:v>
                </c:pt>
                <c:pt idx="141">
                  <c:v>2.3785236560114398</c:v>
                </c:pt>
                <c:pt idx="142">
                  <c:v>2.3785236560114398</c:v>
                </c:pt>
                <c:pt idx="143">
                  <c:v>2.3785236560114398</c:v>
                </c:pt>
                <c:pt idx="144">
                  <c:v>2.3785236560114398</c:v>
                </c:pt>
                <c:pt idx="145">
                  <c:v>2.3785236560114398</c:v>
                </c:pt>
                <c:pt idx="146">
                  <c:v>2.3785236560114398</c:v>
                </c:pt>
                <c:pt idx="147">
                  <c:v>2.3785236560114398</c:v>
                </c:pt>
                <c:pt idx="148">
                  <c:v>2.3785236560114398</c:v>
                </c:pt>
                <c:pt idx="149">
                  <c:v>2.3785236560114398</c:v>
                </c:pt>
                <c:pt idx="150">
                  <c:v>2.3785236560114398</c:v>
                </c:pt>
                <c:pt idx="151">
                  <c:v>2.3785236560114398</c:v>
                </c:pt>
                <c:pt idx="152">
                  <c:v>2.3785236560114398</c:v>
                </c:pt>
                <c:pt idx="153">
                  <c:v>2.3785236560114398</c:v>
                </c:pt>
                <c:pt idx="154">
                  <c:v>2.3785236560114398</c:v>
                </c:pt>
                <c:pt idx="155">
                  <c:v>2.3785236560114398</c:v>
                </c:pt>
                <c:pt idx="156">
                  <c:v>2.3785236560114398</c:v>
                </c:pt>
                <c:pt idx="157">
                  <c:v>2.3785236560114398</c:v>
                </c:pt>
                <c:pt idx="158">
                  <c:v>2.3785236560114398</c:v>
                </c:pt>
                <c:pt idx="159">
                  <c:v>2.3785236560114398</c:v>
                </c:pt>
                <c:pt idx="160">
                  <c:v>2.3785236560114398</c:v>
                </c:pt>
                <c:pt idx="161">
                  <c:v>2.3785236560114398</c:v>
                </c:pt>
                <c:pt idx="162">
                  <c:v>2.3785236560114398</c:v>
                </c:pt>
                <c:pt idx="163">
                  <c:v>2.3785236560114398</c:v>
                </c:pt>
                <c:pt idx="164">
                  <c:v>2.3785236560114398</c:v>
                </c:pt>
                <c:pt idx="165">
                  <c:v>2.3785236560114398</c:v>
                </c:pt>
                <c:pt idx="166">
                  <c:v>2.3785236560114398</c:v>
                </c:pt>
                <c:pt idx="167">
                  <c:v>2.3785236560114398</c:v>
                </c:pt>
                <c:pt idx="168">
                  <c:v>2.3785236560114398</c:v>
                </c:pt>
                <c:pt idx="169">
                  <c:v>2.3785236560114398</c:v>
                </c:pt>
                <c:pt idx="170">
                  <c:v>2.3785236560114398</c:v>
                </c:pt>
                <c:pt idx="171">
                  <c:v>2.3785236560114398</c:v>
                </c:pt>
                <c:pt idx="172">
                  <c:v>2.3785236560114398</c:v>
                </c:pt>
                <c:pt idx="173">
                  <c:v>2.3785236560114398</c:v>
                </c:pt>
                <c:pt idx="174">
                  <c:v>2.3785236560114398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B-47C4-8801-25916A7B0DE9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XLV*/IYH*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2.39435478016836</c:v>
                </c:pt>
                <c:pt idx="51">
                  <c:v>2.39354290216981</c:v>
                </c:pt>
                <c:pt idx="52">
                  <c:v>2.3930197709093002</c:v>
                </c:pt>
                <c:pt idx="53">
                  <c:v>2.3926869426073099</c:v>
                </c:pt>
                <c:pt idx="54">
                  <c:v>2.3918394342901901</c:v>
                </c:pt>
                <c:pt idx="55">
                  <c:v>2.3915779288626702</c:v>
                </c:pt>
                <c:pt idx="56">
                  <c:v>2.3907100285221499</c:v>
                </c:pt>
                <c:pt idx="57">
                  <c:v>2.3894002142745698</c:v>
                </c:pt>
                <c:pt idx="58">
                  <c:v>2.3883026929083</c:v>
                </c:pt>
                <c:pt idx="59">
                  <c:v>2.3870282271385901</c:v>
                </c:pt>
                <c:pt idx="60">
                  <c:v>2.38558634024663</c:v>
                </c:pt>
                <c:pt idx="61">
                  <c:v>2.3844777351133399</c:v>
                </c:pt>
                <c:pt idx="62">
                  <c:v>2.38373590177267</c:v>
                </c:pt>
                <c:pt idx="63">
                  <c:v>2.3826182043141202</c:v>
                </c:pt>
                <c:pt idx="64">
                  <c:v>2.3823263843289002</c:v>
                </c:pt>
                <c:pt idx="65">
                  <c:v>2.3817679006960799</c:v>
                </c:pt>
                <c:pt idx="66">
                  <c:v>2.3818672576179201</c:v>
                </c:pt>
                <c:pt idx="67">
                  <c:v>2.3819005782402898</c:v>
                </c:pt>
                <c:pt idx="68">
                  <c:v>2.3811898617629299</c:v>
                </c:pt>
                <c:pt idx="69">
                  <c:v>2.3804757880486198</c:v>
                </c:pt>
                <c:pt idx="70">
                  <c:v>2.3798560783092899</c:v>
                </c:pt>
                <c:pt idx="71">
                  <c:v>2.3795441946925702</c:v>
                </c:pt>
                <c:pt idx="72">
                  <c:v>2.37891953976869</c:v>
                </c:pt>
                <c:pt idx="73">
                  <c:v>2.3785336647372599</c:v>
                </c:pt>
                <c:pt idx="74">
                  <c:v>2.3778246609992499</c:v>
                </c:pt>
                <c:pt idx="75">
                  <c:v>2.3767793123789702</c:v>
                </c:pt>
                <c:pt idx="76">
                  <c:v>2.3762919201892201</c:v>
                </c:pt>
                <c:pt idx="77">
                  <c:v>2.37557310759387</c:v>
                </c:pt>
                <c:pt idx="78">
                  <c:v>2.3755478287554102</c:v>
                </c:pt>
                <c:pt idx="79">
                  <c:v>2.3761371733032099</c:v>
                </c:pt>
                <c:pt idx="80">
                  <c:v>2.3770541322445702</c:v>
                </c:pt>
                <c:pt idx="81">
                  <c:v>2.37778644150087</c:v>
                </c:pt>
                <c:pt idx="82">
                  <c:v>2.3779709144363701</c:v>
                </c:pt>
                <c:pt idx="83">
                  <c:v>2.3778821698027901</c:v>
                </c:pt>
                <c:pt idx="84">
                  <c:v>2.3778392706362599</c:v>
                </c:pt>
                <c:pt idx="85">
                  <c:v>2.3771711732691698</c:v>
                </c:pt>
                <c:pt idx="86">
                  <c:v>2.3765908649563401</c:v>
                </c:pt>
                <c:pt idx="87">
                  <c:v>2.37639299190745</c:v>
                </c:pt>
                <c:pt idx="88">
                  <c:v>2.3760904718065201</c:v>
                </c:pt>
                <c:pt idx="89">
                  <c:v>2.37548475214553</c:v>
                </c:pt>
                <c:pt idx="90">
                  <c:v>2.3750027241981</c:v>
                </c:pt>
                <c:pt idx="91">
                  <c:v>2.3745339161822101</c:v>
                </c:pt>
                <c:pt idx="92">
                  <c:v>2.3750597922590302</c:v>
                </c:pt>
                <c:pt idx="93">
                  <c:v>2.37598001749212</c:v>
                </c:pt>
                <c:pt idx="94">
                  <c:v>2.3767506010053498</c:v>
                </c:pt>
                <c:pt idx="95">
                  <c:v>2.3779021932958599</c:v>
                </c:pt>
                <c:pt idx="96">
                  <c:v>2.3783008077840999</c:v>
                </c:pt>
                <c:pt idx="97">
                  <c:v>2.37880941015877</c:v>
                </c:pt>
                <c:pt idx="98">
                  <c:v>2.3789357870473702</c:v>
                </c:pt>
                <c:pt idx="99">
                  <c:v>2.3790400827902398</c:v>
                </c:pt>
                <c:pt idx="100">
                  <c:v>2.3789075482008801</c:v>
                </c:pt>
                <c:pt idx="101">
                  <c:v>2.3782830659604302</c:v>
                </c:pt>
                <c:pt idx="102">
                  <c:v>2.37736611167717</c:v>
                </c:pt>
                <c:pt idx="103">
                  <c:v>2.3767677730474199</c:v>
                </c:pt>
                <c:pt idx="104">
                  <c:v>2.3758350388454699</c:v>
                </c:pt>
                <c:pt idx="105">
                  <c:v>2.3758060923703801</c:v>
                </c:pt>
                <c:pt idx="106">
                  <c:v>2.3761518843684799</c:v>
                </c:pt>
                <c:pt idx="107">
                  <c:v>2.3764479211401399</c:v>
                </c:pt>
                <c:pt idx="108">
                  <c:v>2.3768882895368701</c:v>
                </c:pt>
                <c:pt idx="109">
                  <c:v>2.3776973280445199</c:v>
                </c:pt>
                <c:pt idx="110">
                  <c:v>2.3786583353205</c:v>
                </c:pt>
                <c:pt idx="111">
                  <c:v>2.3800563732590301</c:v>
                </c:pt>
                <c:pt idx="112">
                  <c:v>2.3809611610980501</c:v>
                </c:pt>
                <c:pt idx="113">
                  <c:v>2.3817320699383799</c:v>
                </c:pt>
                <c:pt idx="114">
                  <c:v>2.3825505648690801</c:v>
                </c:pt>
                <c:pt idx="115">
                  <c:v>2.3825852305964399</c:v>
                </c:pt>
                <c:pt idx="116">
                  <c:v>2.3819121699347998</c:v>
                </c:pt>
                <c:pt idx="117">
                  <c:v>2.3812897861581499</c:v>
                </c:pt>
                <c:pt idx="118">
                  <c:v>2.3804704227119098</c:v>
                </c:pt>
                <c:pt idx="119">
                  <c:v>2.3790017414906601</c:v>
                </c:pt>
                <c:pt idx="120">
                  <c:v>2.3775583314511999</c:v>
                </c:pt>
                <c:pt idx="121">
                  <c:v>2.37564518803141</c:v>
                </c:pt>
                <c:pt idx="122">
                  <c:v>2.3742076606549398</c:v>
                </c:pt>
                <c:pt idx="123">
                  <c:v>2.37230166263863</c:v>
                </c:pt>
                <c:pt idx="124">
                  <c:v>2.3707725261891102</c:v>
                </c:pt>
                <c:pt idx="125">
                  <c:v>2.3692351668653302</c:v>
                </c:pt>
                <c:pt idx="126">
                  <c:v>2.3680895458404501</c:v>
                </c:pt>
                <c:pt idx="127">
                  <c:v>2.36714665807142</c:v>
                </c:pt>
                <c:pt idx="128">
                  <c:v>2.3662401690055099</c:v>
                </c:pt>
                <c:pt idx="129">
                  <c:v>2.3661287584695598</c:v>
                </c:pt>
                <c:pt idx="130">
                  <c:v>2.36644732214577</c:v>
                </c:pt>
                <c:pt idx="131">
                  <c:v>2.3669954921603802</c:v>
                </c:pt>
                <c:pt idx="132">
                  <c:v>2.36715047084994</c:v>
                </c:pt>
                <c:pt idx="133">
                  <c:v>2.3681066545157798</c:v>
                </c:pt>
                <c:pt idx="134">
                  <c:v>2.36911821609635</c:v>
                </c:pt>
                <c:pt idx="135">
                  <c:v>2.37064367673432</c:v>
                </c:pt>
                <c:pt idx="136">
                  <c:v>2.3719665399368299</c:v>
                </c:pt>
                <c:pt idx="137">
                  <c:v>2.3727693828222498</c:v>
                </c:pt>
                <c:pt idx="138">
                  <c:v>2.3739204791765598</c:v>
                </c:pt>
                <c:pt idx="139">
                  <c:v>2.37464852216053</c:v>
                </c:pt>
                <c:pt idx="140">
                  <c:v>2.3750573593857598</c:v>
                </c:pt>
                <c:pt idx="141">
                  <c:v>2.3758402860452201</c:v>
                </c:pt>
                <c:pt idx="142">
                  <c:v>2.3768422558976301</c:v>
                </c:pt>
                <c:pt idx="143">
                  <c:v>2.37692558321563</c:v>
                </c:pt>
                <c:pt idx="144">
                  <c:v>2.3771845564390501</c:v>
                </c:pt>
                <c:pt idx="145">
                  <c:v>2.3772116291224599</c:v>
                </c:pt>
                <c:pt idx="146">
                  <c:v>2.37706647858497</c:v>
                </c:pt>
                <c:pt idx="147">
                  <c:v>2.3771054221622698</c:v>
                </c:pt>
                <c:pt idx="148">
                  <c:v>2.37713103118277</c:v>
                </c:pt>
                <c:pt idx="149">
                  <c:v>2.3761760496637798</c:v>
                </c:pt>
                <c:pt idx="150">
                  <c:v>2.3751721265267598</c:v>
                </c:pt>
                <c:pt idx="151">
                  <c:v>2.3742160788319602</c:v>
                </c:pt>
                <c:pt idx="152">
                  <c:v>2.37296125441538</c:v>
                </c:pt>
                <c:pt idx="153">
                  <c:v>2.3721439819462802</c:v>
                </c:pt>
                <c:pt idx="154">
                  <c:v>2.3711893508305999</c:v>
                </c:pt>
                <c:pt idx="155">
                  <c:v>2.3700549609584902</c:v>
                </c:pt>
                <c:pt idx="156">
                  <c:v>2.36933254165718</c:v>
                </c:pt>
                <c:pt idx="157">
                  <c:v>2.36811520659468</c:v>
                </c:pt>
                <c:pt idx="158">
                  <c:v>2.3668233868151498</c:v>
                </c:pt>
                <c:pt idx="159">
                  <c:v>2.3664619383299499</c:v>
                </c:pt>
                <c:pt idx="160">
                  <c:v>2.3662820099023101</c:v>
                </c:pt>
                <c:pt idx="161">
                  <c:v>2.3657439929142798</c:v>
                </c:pt>
                <c:pt idx="162">
                  <c:v>2.365501755251</c:v>
                </c:pt>
                <c:pt idx="163">
                  <c:v>2.3649521493895498</c:v>
                </c:pt>
                <c:pt idx="164">
                  <c:v>2.3647550210194601</c:v>
                </c:pt>
                <c:pt idx="165">
                  <c:v>2.3649356247705402</c:v>
                </c:pt>
                <c:pt idx="166">
                  <c:v>2.3652928602546401</c:v>
                </c:pt>
                <c:pt idx="167">
                  <c:v>2.3658268125321098</c:v>
                </c:pt>
                <c:pt idx="168">
                  <c:v>2.3664671868554001</c:v>
                </c:pt>
                <c:pt idx="169">
                  <c:v>2.36695231332008</c:v>
                </c:pt>
                <c:pt idx="170">
                  <c:v>2.3668867114526502</c:v>
                </c:pt>
                <c:pt idx="171">
                  <c:v>2.3669422700312701</c:v>
                </c:pt>
                <c:pt idx="172">
                  <c:v>2.3671688951772398</c:v>
                </c:pt>
                <c:pt idx="173">
                  <c:v>2.36742928206026</c:v>
                </c:pt>
                <c:pt idx="174">
                  <c:v>2.3674271999504701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DB-47C4-8801-25916A7B0DE9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XLV*/IYH*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2.3944579720568102</c:v>
                </c:pt>
                <c:pt idx="51">
                  <c:v>2.3941819871071899</c:v>
                </c:pt>
                <c:pt idx="52">
                  <c:v>2.39399447759773</c:v>
                </c:pt>
                <c:pt idx="53">
                  <c:v>2.39391626416498</c:v>
                </c:pt>
                <c:pt idx="54">
                  <c:v>2.3934234736096802</c:v>
                </c:pt>
                <c:pt idx="55">
                  <c:v>2.3932855021622599</c:v>
                </c:pt>
                <c:pt idx="56">
                  <c:v>2.3928129573909902</c:v>
                </c:pt>
                <c:pt idx="57">
                  <c:v>2.3923238096591999</c:v>
                </c:pt>
                <c:pt idx="58">
                  <c:v>2.3917494588155499</c:v>
                </c:pt>
                <c:pt idx="59">
                  <c:v>2.39095130122594</c:v>
                </c:pt>
                <c:pt idx="60">
                  <c:v>2.3899705602074999</c:v>
                </c:pt>
                <c:pt idx="61">
                  <c:v>2.3890103186415699</c:v>
                </c:pt>
                <c:pt idx="62">
                  <c:v>2.38837783634099</c:v>
                </c:pt>
                <c:pt idx="63">
                  <c:v>2.3876525734607101</c:v>
                </c:pt>
                <c:pt idx="64">
                  <c:v>2.3870829093095498</c:v>
                </c:pt>
                <c:pt idx="65">
                  <c:v>2.3866729147793699</c:v>
                </c:pt>
                <c:pt idx="66">
                  <c:v>2.3862886430700301</c:v>
                </c:pt>
                <c:pt idx="67">
                  <c:v>2.38565039625743</c:v>
                </c:pt>
                <c:pt idx="68">
                  <c:v>2.3847462773356098</c:v>
                </c:pt>
                <c:pt idx="69">
                  <c:v>2.3837520075935998</c:v>
                </c:pt>
                <c:pt idx="70">
                  <c:v>2.3827212092779599</c:v>
                </c:pt>
                <c:pt idx="71">
                  <c:v>2.3820109649029502</c:v>
                </c:pt>
                <c:pt idx="72">
                  <c:v>2.3813277207706798</c:v>
                </c:pt>
                <c:pt idx="73">
                  <c:v>2.3805759345256901</c:v>
                </c:pt>
                <c:pt idx="74">
                  <c:v>2.38007552266407</c:v>
                </c:pt>
                <c:pt idx="75">
                  <c:v>2.3792736065375202</c:v>
                </c:pt>
                <c:pt idx="76">
                  <c:v>2.3790795889035699</c:v>
                </c:pt>
                <c:pt idx="77">
                  <c:v>2.3787368429170801</c:v>
                </c:pt>
                <c:pt idx="78">
                  <c:v>2.3783688452591698</c:v>
                </c:pt>
                <c:pt idx="79">
                  <c:v>2.37830648067591</c:v>
                </c:pt>
                <c:pt idx="80">
                  <c:v>2.37845510527693</c:v>
                </c:pt>
                <c:pt idx="81">
                  <c:v>2.3786653180967199</c:v>
                </c:pt>
                <c:pt idx="82">
                  <c:v>2.3784452271025298</c:v>
                </c:pt>
                <c:pt idx="83">
                  <c:v>2.3782079172700299</c:v>
                </c:pt>
                <c:pt idx="84">
                  <c:v>2.3778319658177498</c:v>
                </c:pt>
                <c:pt idx="85">
                  <c:v>2.37697524282407</c:v>
                </c:pt>
                <c:pt idx="86">
                  <c:v>2.3764413925727799</c:v>
                </c:pt>
                <c:pt idx="87">
                  <c:v>2.3759830497506602</c:v>
                </c:pt>
                <c:pt idx="88">
                  <c:v>2.3758191502809698</c:v>
                </c:pt>
                <c:pt idx="89">
                  <c:v>2.37581096272437</c:v>
                </c:pt>
                <c:pt idx="90">
                  <c:v>2.3760284282213302</c:v>
                </c:pt>
                <c:pt idx="91">
                  <c:v>2.3761601788415398</c:v>
                </c:pt>
                <c:pt idx="92">
                  <c:v>2.3765153533476999</c:v>
                </c:pt>
                <c:pt idx="93">
                  <c:v>2.3769310936474501</c:v>
                </c:pt>
                <c:pt idx="94">
                  <c:v>2.3772949358208</c:v>
                </c:pt>
                <c:pt idx="95">
                  <c:v>2.3775366832825102</c:v>
                </c:pt>
                <c:pt idx="96">
                  <c:v>2.37744583637022</c:v>
                </c:pt>
                <c:pt idx="97">
                  <c:v>2.37760120103311</c:v>
                </c:pt>
                <c:pt idx="98">
                  <c:v>2.37751312942695</c:v>
                </c:pt>
                <c:pt idx="99">
                  <c:v>2.37726241746789</c:v>
                </c:pt>
                <c:pt idx="100">
                  <c:v>2.3769551361994901</c:v>
                </c:pt>
                <c:pt idx="101">
                  <c:v>2.3764084910713201</c:v>
                </c:pt>
                <c:pt idx="102">
                  <c:v>2.3762129519681001</c:v>
                </c:pt>
                <c:pt idx="103">
                  <c:v>2.3763738952697699</c:v>
                </c:pt>
                <c:pt idx="104">
                  <c:v>2.3762928199254101</c:v>
                </c:pt>
                <c:pt idx="105">
                  <c:v>2.3768541428331198</c:v>
                </c:pt>
                <c:pt idx="106">
                  <c:v>2.3772263460762901</c:v>
                </c:pt>
                <c:pt idx="107">
                  <c:v>2.3776286656494601</c:v>
                </c:pt>
                <c:pt idx="108">
                  <c:v>2.3779120382921199</c:v>
                </c:pt>
                <c:pt idx="109">
                  <c:v>2.3783687054173801</c:v>
                </c:pt>
                <c:pt idx="110">
                  <c:v>2.3787829417606901</c:v>
                </c:pt>
                <c:pt idx="111">
                  <c:v>2.3791697196097301</c:v>
                </c:pt>
                <c:pt idx="112">
                  <c:v>2.3791636363876099</c:v>
                </c:pt>
                <c:pt idx="113">
                  <c:v>2.3792499214928999</c:v>
                </c:pt>
                <c:pt idx="114">
                  <c:v>2.3791928018572701</c:v>
                </c:pt>
                <c:pt idx="115">
                  <c:v>2.37919566148341</c:v>
                </c:pt>
                <c:pt idx="116">
                  <c:v>2.3790320271516401</c:v>
                </c:pt>
                <c:pt idx="117">
                  <c:v>2.37886885364914</c:v>
                </c:pt>
                <c:pt idx="118">
                  <c:v>2.37867935612439</c:v>
                </c:pt>
                <c:pt idx="119">
                  <c:v>2.3783495347675898</c:v>
                </c:pt>
                <c:pt idx="120">
                  <c:v>2.3781083333858501</c:v>
                </c:pt>
                <c:pt idx="121">
                  <c:v>2.37785078064522</c:v>
                </c:pt>
                <c:pt idx="122">
                  <c:v>2.3775844108764899</c:v>
                </c:pt>
                <c:pt idx="123">
                  <c:v>2.3770168662884998</c:v>
                </c:pt>
                <c:pt idx="124">
                  <c:v>2.3766615455290898</c:v>
                </c:pt>
                <c:pt idx="125">
                  <c:v>2.3759101987308902</c:v>
                </c:pt>
                <c:pt idx="126">
                  <c:v>2.3750008578876201</c:v>
                </c:pt>
                <c:pt idx="127">
                  <c:v>2.3742182221147901</c:v>
                </c:pt>
                <c:pt idx="128">
                  <c:v>2.3733552958587101</c:v>
                </c:pt>
                <c:pt idx="129">
                  <c:v>2.3725652499801102</c:v>
                </c:pt>
                <c:pt idx="130">
                  <c:v>2.3720028267984898</c:v>
                </c:pt>
                <c:pt idx="131">
                  <c:v>2.37132034009589</c:v>
                </c:pt>
                <c:pt idx="132">
                  <c:v>2.3706790657524399</c:v>
                </c:pt>
                <c:pt idx="133">
                  <c:v>2.3702041585772</c:v>
                </c:pt>
                <c:pt idx="134">
                  <c:v>2.3699453711427299</c:v>
                </c:pt>
                <c:pt idx="135">
                  <c:v>2.36993942179982</c:v>
                </c:pt>
                <c:pt idx="136">
                  <c:v>2.3700280428886402</c:v>
                </c:pt>
                <c:pt idx="137">
                  <c:v>2.3699580204468398</c:v>
                </c:pt>
                <c:pt idx="138">
                  <c:v>2.37008032409104</c:v>
                </c:pt>
                <c:pt idx="139">
                  <c:v>2.37038864031505</c:v>
                </c:pt>
                <c:pt idx="140">
                  <c:v>2.3707523407657698</c:v>
                </c:pt>
                <c:pt idx="141">
                  <c:v>2.3714178891027999</c:v>
                </c:pt>
                <c:pt idx="142">
                  <c:v>2.3719963633737802</c:v>
                </c:pt>
                <c:pt idx="143">
                  <c:v>2.3725161188657</c:v>
                </c:pt>
                <c:pt idx="144">
                  <c:v>2.3731513862677001</c:v>
                </c:pt>
                <c:pt idx="145">
                  <c:v>2.3739276529283901</c:v>
                </c:pt>
                <c:pt idx="146">
                  <c:v>2.3745165092609</c:v>
                </c:pt>
                <c:pt idx="147">
                  <c:v>2.37493740249226</c:v>
                </c:pt>
                <c:pt idx="148">
                  <c:v>2.3755257551796598</c:v>
                </c:pt>
                <c:pt idx="149">
                  <c:v>2.3754122859121498</c:v>
                </c:pt>
                <c:pt idx="150">
                  <c:v>2.37511474295626</c:v>
                </c:pt>
                <c:pt idx="151">
                  <c:v>2.3750281824385899</c:v>
                </c:pt>
                <c:pt idx="152">
                  <c:v>2.3749017551564999</c:v>
                </c:pt>
                <c:pt idx="153">
                  <c:v>2.37453478258095</c:v>
                </c:pt>
                <c:pt idx="154">
                  <c:v>2.3741869536348199</c:v>
                </c:pt>
                <c:pt idx="155">
                  <c:v>2.3736332950404799</c:v>
                </c:pt>
                <c:pt idx="156">
                  <c:v>2.3731995101210699</c:v>
                </c:pt>
                <c:pt idx="157">
                  <c:v>2.37261031437848</c:v>
                </c:pt>
                <c:pt idx="158">
                  <c:v>2.3719772089989601</c:v>
                </c:pt>
                <c:pt idx="159">
                  <c:v>2.37131899399686</c:v>
                </c:pt>
                <c:pt idx="160">
                  <c:v>2.3707270682145398</c:v>
                </c:pt>
                <c:pt idx="161">
                  <c:v>2.36998003587312</c:v>
                </c:pt>
                <c:pt idx="162">
                  <c:v>2.36923150483319</c:v>
                </c:pt>
                <c:pt idx="163">
                  <c:v>2.3685480656679201</c:v>
                </c:pt>
                <c:pt idx="164">
                  <c:v>2.36797218592503</c:v>
                </c:pt>
                <c:pt idx="165">
                  <c:v>2.3674952928645099</c:v>
                </c:pt>
                <c:pt idx="166">
                  <c:v>2.3673127009559098</c:v>
                </c:pt>
                <c:pt idx="167">
                  <c:v>2.3669710095633998</c:v>
                </c:pt>
                <c:pt idx="168">
                  <c:v>2.3666452868352801</c:v>
                </c:pt>
                <c:pt idx="169">
                  <c:v>2.3667071258250201</c:v>
                </c:pt>
                <c:pt idx="170">
                  <c:v>2.3665843606774799</c:v>
                </c:pt>
                <c:pt idx="171">
                  <c:v>2.3663431314727799</c:v>
                </c:pt>
                <c:pt idx="172">
                  <c:v>2.3663353252141199</c:v>
                </c:pt>
                <c:pt idx="173">
                  <c:v>2.3661907157248998</c:v>
                </c:pt>
                <c:pt idx="174">
                  <c:v>2.3660911104849598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DB-47C4-8801-25916A7B0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IYH x avg / XLV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6.9482535650882695E-4</c:v>
                </c:pt>
                <c:pt idx="2">
                  <c:v>1.8515441765745201E-3</c:v>
                </c:pt>
                <c:pt idx="3">
                  <c:v>3.1711514773286298E-3</c:v>
                </c:pt>
                <c:pt idx="4">
                  <c:v>2.41249128375279E-3</c:v>
                </c:pt>
                <c:pt idx="5">
                  <c:v>2.8849331304178498E-3</c:v>
                </c:pt>
                <c:pt idx="6">
                  <c:v>4.7793416178597102E-4</c:v>
                </c:pt>
                <c:pt idx="7">
                  <c:v>6.1699463828169296E-4</c:v>
                </c:pt>
                <c:pt idx="8">
                  <c:v>-2.295820220767E-6</c:v>
                </c:pt>
                <c:pt idx="9">
                  <c:v>-4.8231351593741503E-4</c:v>
                </c:pt>
                <c:pt idx="10">
                  <c:v>1.5875441951842899E-5</c:v>
                </c:pt>
                <c:pt idx="11">
                  <c:v>5.1981575599221899E-4</c:v>
                </c:pt>
                <c:pt idx="12">
                  <c:v>2.5526710540811399E-5</c:v>
                </c:pt>
                <c:pt idx="13">
                  <c:v>7.37425562676075E-4</c:v>
                </c:pt>
                <c:pt idx="14">
                  <c:v>-4.59474913776707E-4</c:v>
                </c:pt>
                <c:pt idx="15">
                  <c:v>-1.2201347858058901E-3</c:v>
                </c:pt>
                <c:pt idx="16">
                  <c:v>1.1156887432670799E-3</c:v>
                </c:pt>
                <c:pt idx="17">
                  <c:v>3.3504279642374601E-5</c:v>
                </c:pt>
                <c:pt idx="18">
                  <c:v>2.8075021779029098E-4</c:v>
                </c:pt>
                <c:pt idx="19">
                  <c:v>-1.2088610910770299E-3</c:v>
                </c:pt>
                <c:pt idx="20">
                  <c:v>-2.7225349166652298E-3</c:v>
                </c:pt>
                <c:pt idx="21">
                  <c:v>-2.4659787919258701E-3</c:v>
                </c:pt>
                <c:pt idx="22">
                  <c:v>-1.23369057151382E-3</c:v>
                </c:pt>
                <c:pt idx="23">
                  <c:v>-6.3284878627492503E-3</c:v>
                </c:pt>
                <c:pt idx="24">
                  <c:v>-6.6148234134563401E-3</c:v>
                </c:pt>
                <c:pt idx="25">
                  <c:v>-7.0673389538778103E-3</c:v>
                </c:pt>
                <c:pt idx="26">
                  <c:v>-5.9383878166469504E-3</c:v>
                </c:pt>
                <c:pt idx="27">
                  <c:v>-6.9259996707143499E-3</c:v>
                </c:pt>
                <c:pt idx="28">
                  <c:v>-7.4732765274491096E-3</c:v>
                </c:pt>
                <c:pt idx="29">
                  <c:v>-8.0327670537244603E-3</c:v>
                </c:pt>
                <c:pt idx="30">
                  <c:v>-6.7367965652047898E-3</c:v>
                </c:pt>
                <c:pt idx="31">
                  <c:v>-6.6648817427839699E-3</c:v>
                </c:pt>
                <c:pt idx="32">
                  <c:v>-5.7332411500930101E-3</c:v>
                </c:pt>
                <c:pt idx="33">
                  <c:v>-5.2160762484817101E-3</c:v>
                </c:pt>
                <c:pt idx="34">
                  <c:v>-6.7146613282552297E-3</c:v>
                </c:pt>
                <c:pt idx="35">
                  <c:v>-5.2023799807967199E-3</c:v>
                </c:pt>
                <c:pt idx="36">
                  <c:v>-6.1614636294486701E-3</c:v>
                </c:pt>
                <c:pt idx="37">
                  <c:v>-6.1417822632526499E-3</c:v>
                </c:pt>
                <c:pt idx="38">
                  <c:v>-7.50952776927375E-3</c:v>
                </c:pt>
                <c:pt idx="39">
                  <c:v>-8.4659175046220107E-3</c:v>
                </c:pt>
                <c:pt idx="40">
                  <c:v>-8.0661279351791904E-3</c:v>
                </c:pt>
                <c:pt idx="41">
                  <c:v>-7.7496201030785696E-3</c:v>
                </c:pt>
                <c:pt idx="42">
                  <c:v>-6.3521147004752896E-3</c:v>
                </c:pt>
                <c:pt idx="43">
                  <c:v>-5.9534912065393603E-3</c:v>
                </c:pt>
                <c:pt idx="44">
                  <c:v>-6.1379579828646398E-3</c:v>
                </c:pt>
                <c:pt idx="45">
                  <c:v>-5.1420017982491597E-3</c:v>
                </c:pt>
                <c:pt idx="46">
                  <c:v>-5.8389218522398598E-3</c:v>
                </c:pt>
                <c:pt idx="47">
                  <c:v>-7.5259077983841497E-3</c:v>
                </c:pt>
                <c:pt idx="48">
                  <c:v>-7.2959660991147998E-3</c:v>
                </c:pt>
                <c:pt idx="49">
                  <c:v>-7.1234531248869698E-3</c:v>
                </c:pt>
                <c:pt idx="50">
                  <c:v>-9.0173320029622705E-3</c:v>
                </c:pt>
                <c:pt idx="51">
                  <c:v>-7.5257559269213499E-3</c:v>
                </c:pt>
                <c:pt idx="52">
                  <c:v>-7.34385808962402E-3</c:v>
                </c:pt>
                <c:pt idx="53">
                  <c:v>-7.7703438706301399E-3</c:v>
                </c:pt>
                <c:pt idx="54">
                  <c:v>-2.5907749627076498E-3</c:v>
                </c:pt>
                <c:pt idx="55">
                  <c:v>-4.0477420258812902E-3</c:v>
                </c:pt>
                <c:pt idx="56">
                  <c:v>-2.2051458819424799E-3</c:v>
                </c:pt>
                <c:pt idx="57">
                  <c:v>-2.0460926416559101E-3</c:v>
                </c:pt>
                <c:pt idx="58">
                  <c:v>-2.7052954933288998E-3</c:v>
                </c:pt>
                <c:pt idx="59">
                  <c:v>-1.78976699301542E-3</c:v>
                </c:pt>
                <c:pt idx="60">
                  <c:v>1.46813639533583E-4</c:v>
                </c:pt>
                <c:pt idx="61">
                  <c:v>2.9351808476142899E-4</c:v>
                </c:pt>
                <c:pt idx="62">
                  <c:v>-1.0542010032238199E-3</c:v>
                </c:pt>
                <c:pt idx="63">
                  <c:v>1.26384669083722E-4</c:v>
                </c:pt>
                <c:pt idx="64">
                  <c:v>-1.36646614901852E-3</c:v>
                </c:pt>
                <c:pt idx="65">
                  <c:v>-1.7067709369741799E-3</c:v>
                </c:pt>
                <c:pt idx="66">
                  <c:v>-2.6218091741663598E-3</c:v>
                </c:pt>
                <c:pt idx="67">
                  <c:v>-2.1858676161668699E-3</c:v>
                </c:pt>
                <c:pt idx="68">
                  <c:v>2.78744092839812E-4</c:v>
                </c:pt>
                <c:pt idx="69">
                  <c:v>1.2111398392721899E-3</c:v>
                </c:pt>
                <c:pt idx="70">
                  <c:v>2.7556914883033702E-3</c:v>
                </c:pt>
                <c:pt idx="71">
                  <c:v>1.6058395934232801E-3</c:v>
                </c:pt>
                <c:pt idx="72">
                  <c:v>1.5723620808775901E-3</c:v>
                </c:pt>
                <c:pt idx="73">
                  <c:v>1.7500232516125299E-3</c:v>
                </c:pt>
                <c:pt idx="74">
                  <c:v>1.6143656511873601E-3</c:v>
                </c:pt>
                <c:pt idx="75">
                  <c:v>2.6897538760532001E-3</c:v>
                </c:pt>
                <c:pt idx="76">
                  <c:v>-5.7621572863125802E-4</c:v>
                </c:pt>
                <c:pt idx="77">
                  <c:v>8.3378642179436603E-4</c:v>
                </c:pt>
                <c:pt idx="78">
                  <c:v>3.8504489217380399E-4</c:v>
                </c:pt>
                <c:pt idx="79">
                  <c:v>-1.2662392657084799E-3</c:v>
                </c:pt>
                <c:pt idx="80">
                  <c:v>-1.1021462675928199E-3</c:v>
                </c:pt>
                <c:pt idx="81">
                  <c:v>-1.4727976417608401E-3</c:v>
                </c:pt>
                <c:pt idx="82">
                  <c:v>7.9596802796573897E-4</c:v>
                </c:pt>
                <c:pt idx="83">
                  <c:v>2.1238054080035202E-3</c:v>
                </c:pt>
                <c:pt idx="84">
                  <c:v>1.79501003600376E-3</c:v>
                </c:pt>
                <c:pt idx="85">
                  <c:v>5.5097947407116198E-3</c:v>
                </c:pt>
                <c:pt idx="86">
                  <c:v>1.86481797803276E-3</c:v>
                </c:pt>
                <c:pt idx="87">
                  <c:v>1.66663273600258E-3</c:v>
                </c:pt>
                <c:pt idx="88">
                  <c:v>1.65805876821759E-3</c:v>
                </c:pt>
                <c:pt idx="89">
                  <c:v>1.2800622634666001E-3</c:v>
                </c:pt>
                <c:pt idx="90">
                  <c:v>9.2399039204360902E-4</c:v>
                </c:pt>
                <c:pt idx="91">
                  <c:v>4.9698515220553802E-4</c:v>
                </c:pt>
                <c:pt idx="92">
                  <c:v>-1.41399190395694E-3</c:v>
                </c:pt>
                <c:pt idx="93">
                  <c:v>-1.7453068693897599E-3</c:v>
                </c:pt>
                <c:pt idx="94">
                  <c:v>-1.44488415990605E-3</c:v>
                </c:pt>
                <c:pt idx="95">
                  <c:v>6.5386917920641605E-4</c:v>
                </c:pt>
                <c:pt idx="96">
                  <c:v>1.8742838427176801E-4</c:v>
                </c:pt>
                <c:pt idx="97">
                  <c:v>-4.7267293183397499E-4</c:v>
                </c:pt>
                <c:pt idx="98">
                  <c:v>1.1260638372938799E-3</c:v>
                </c:pt>
                <c:pt idx="99">
                  <c:v>8.4116540423873304E-4</c:v>
                </c:pt>
                <c:pt idx="100">
                  <c:v>1.48180119152486E-3</c:v>
                </c:pt>
                <c:pt idx="101">
                  <c:v>3.1269028650875198E-3</c:v>
                </c:pt>
                <c:pt idx="102">
                  <c:v>2.4426210378252198E-3</c:v>
                </c:pt>
                <c:pt idx="103">
                  <c:v>7.6872130953274903E-4</c:v>
                </c:pt>
                <c:pt idx="104">
                  <c:v>2.47810637945119E-3</c:v>
                </c:pt>
                <c:pt idx="105">
                  <c:v>7.7563947898996602E-4</c:v>
                </c:pt>
                <c:pt idx="106">
                  <c:v>-1.26540595742406E-3</c:v>
                </c:pt>
                <c:pt idx="107">
                  <c:v>-1.71577186208296E-3</c:v>
                </c:pt>
                <c:pt idx="108">
                  <c:v>-7.2549850603973495E-4</c:v>
                </c:pt>
                <c:pt idx="109">
                  <c:v>-2.5568996829159799E-3</c:v>
                </c:pt>
                <c:pt idx="110">
                  <c:v>-2.5558465858961702E-3</c:v>
                </c:pt>
                <c:pt idx="111">
                  <c:v>-2.75117312755413E-3</c:v>
                </c:pt>
                <c:pt idx="112">
                  <c:v>-3.9113708930134496E-3</c:v>
                </c:pt>
                <c:pt idx="113">
                  <c:v>-5.0196610162410197E-3</c:v>
                </c:pt>
                <c:pt idx="114">
                  <c:v>-3.5495649142589002E-3</c:v>
                </c:pt>
                <c:pt idx="115">
                  <c:v>-1.9730520731049798E-3</c:v>
                </c:pt>
                <c:pt idx="116">
                  <c:v>1.5643843941482501E-3</c:v>
                </c:pt>
                <c:pt idx="117">
                  <c:v>8.9949592012605103E-4</c:v>
                </c:pt>
                <c:pt idx="118">
                  <c:v>2.7223267903712599E-3</c:v>
                </c:pt>
                <c:pt idx="119">
                  <c:v>3.62031999431979E-3</c:v>
                </c:pt>
                <c:pt idx="120">
                  <c:v>3.51476655336602E-3</c:v>
                </c:pt>
                <c:pt idx="121">
                  <c:v>5.3014135564301403E-3</c:v>
                </c:pt>
                <c:pt idx="122">
                  <c:v>4.6901172490145101E-3</c:v>
                </c:pt>
                <c:pt idx="123">
                  <c:v>5.55544234840844E-3</c:v>
                </c:pt>
                <c:pt idx="124">
                  <c:v>5.4773600432616396E-3</c:v>
                </c:pt>
                <c:pt idx="125">
                  <c:v>7.1175332701044099E-3</c:v>
                </c:pt>
                <c:pt idx="126">
                  <c:v>6.3994810436642097E-3</c:v>
                </c:pt>
                <c:pt idx="127">
                  <c:v>4.8746029067706703E-3</c:v>
                </c:pt>
                <c:pt idx="128">
                  <c:v>6.5506728368125702E-3</c:v>
                </c:pt>
                <c:pt idx="129">
                  <c:v>4.0904694222742496E-3</c:v>
                </c:pt>
                <c:pt idx="130">
                  <c:v>2.1717965287102099E-3</c:v>
                </c:pt>
                <c:pt idx="131">
                  <c:v>2.9874827633728498E-3</c:v>
                </c:pt>
                <c:pt idx="132">
                  <c:v>4.0357793775308397E-3</c:v>
                </c:pt>
                <c:pt idx="133">
                  <c:v>1.5216543078880301E-3</c:v>
                </c:pt>
                <c:pt idx="134">
                  <c:v>1.21078307426748E-3</c:v>
                </c:pt>
                <c:pt idx="135">
                  <c:v>6.7986320569526199E-4</c:v>
                </c:pt>
                <c:pt idx="136">
                  <c:v>8.1841714292713095E-4</c:v>
                </c:pt>
                <c:pt idx="137">
                  <c:v>1.4889108774686301E-3</c:v>
                </c:pt>
                <c:pt idx="138">
                  <c:v>1.6917908004630601E-3</c:v>
                </c:pt>
                <c:pt idx="139">
                  <c:v>1.0221376645660101E-3</c:v>
                </c:pt>
                <c:pt idx="140">
                  <c:v>4.5089838788923899E-4</c:v>
                </c:pt>
                <c:pt idx="141">
                  <c:v>-3.0814362777369201E-4</c:v>
                </c:pt>
                <c:pt idx="142">
                  <c:v>-1.8435164876596101E-4</c:v>
                </c:pt>
                <c:pt idx="143">
                  <c:v>1.1708964917865701E-3</c:v>
                </c:pt>
                <c:pt idx="144">
                  <c:v>1.21403075023409E-4</c:v>
                </c:pt>
                <c:pt idx="145">
                  <c:v>5.6598591839706399E-4</c:v>
                </c:pt>
                <c:pt idx="146">
                  <c:v>1.4292775795851601E-3</c:v>
                </c:pt>
                <c:pt idx="147">
                  <c:v>1.3249719290113801E-3</c:v>
                </c:pt>
                <c:pt idx="148">
                  <c:v>1.58396081073435E-3</c:v>
                </c:pt>
                <c:pt idx="149">
                  <c:v>5.0488280998220699E-3</c:v>
                </c:pt>
                <c:pt idx="150">
                  <c:v>4.6819663643739799E-3</c:v>
                </c:pt>
                <c:pt idx="151">
                  <c:v>3.7176815634071001E-3</c:v>
                </c:pt>
                <c:pt idx="152">
                  <c:v>5.1035811552446499E-3</c:v>
                </c:pt>
                <c:pt idx="153">
                  <c:v>4.6164471237004397E-3</c:v>
                </c:pt>
                <c:pt idx="154">
                  <c:v>4.1429817427816699E-3</c:v>
                </c:pt>
                <c:pt idx="155">
                  <c:v>5.3487788342225801E-3</c:v>
                </c:pt>
                <c:pt idx="156">
                  <c:v>4.4751139701798099E-3</c:v>
                </c:pt>
                <c:pt idx="157">
                  <c:v>6.46228355382817E-3</c:v>
                </c:pt>
                <c:pt idx="158">
                  <c:v>7.0378822392061797E-3</c:v>
                </c:pt>
                <c:pt idx="159">
                  <c:v>6.5771195556865699E-3</c:v>
                </c:pt>
                <c:pt idx="160">
                  <c:v>5.4421761923779096E-3</c:v>
                </c:pt>
                <c:pt idx="161">
                  <c:v>5.9903665719649802E-3</c:v>
                </c:pt>
                <c:pt idx="162">
                  <c:v>6.12761839291809E-3</c:v>
                </c:pt>
                <c:pt idx="163">
                  <c:v>6.9402326110493701E-3</c:v>
                </c:pt>
                <c:pt idx="164">
                  <c:v>4.9754437760363398E-3</c:v>
                </c:pt>
                <c:pt idx="165">
                  <c:v>4.5857880446175002E-3</c:v>
                </c:pt>
                <c:pt idx="166">
                  <c:v>2.9677919905504199E-3</c:v>
                </c:pt>
                <c:pt idx="167">
                  <c:v>4.2056858226086997E-3</c:v>
                </c:pt>
                <c:pt idx="168">
                  <c:v>4.3305741419311199E-3</c:v>
                </c:pt>
                <c:pt idx="169">
                  <c:v>4.5264236205332002E-3</c:v>
                </c:pt>
                <c:pt idx="170">
                  <c:v>5.7194923679571999E-3</c:v>
                </c:pt>
                <c:pt idx="171">
                  <c:v>5.75543738791638E-3</c:v>
                </c:pt>
                <c:pt idx="172">
                  <c:v>5.16955001703289E-3</c:v>
                </c:pt>
                <c:pt idx="173">
                  <c:v>5.8386191115591696E-3</c:v>
                </c:pt>
                <c:pt idx="174">
                  <c:v>4.9842401081654697E-3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D-4089-8214-AD271D259820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IYH x 10 dma / XLV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-1.12707743675636E-3</c:v>
                </c:pt>
                <c:pt idx="11">
                  <c:v>-6.4352837252873798E-4</c:v>
                </c:pt>
                <c:pt idx="12">
                  <c:v>-1.12030687756449E-3</c:v>
                </c:pt>
                <c:pt idx="13">
                  <c:v>-2.2578507311114799E-4</c:v>
                </c:pt>
                <c:pt idx="14">
                  <c:v>-1.17958353149355E-3</c:v>
                </c:pt>
                <c:pt idx="15">
                  <c:v>-1.6531615246889099E-3</c:v>
                </c:pt>
                <c:pt idx="16">
                  <c:v>1.09292100403215E-3</c:v>
                </c:pt>
                <c:pt idx="17">
                  <c:v>-5.2991603523340503E-5</c:v>
                </c:pt>
                <c:pt idx="18">
                  <c:v>2.5258774051173898E-4</c:v>
                </c:pt>
                <c:pt idx="19">
                  <c:v>-1.26532542927679E-3</c:v>
                </c:pt>
                <c:pt idx="20">
                  <c:v>-2.7062815718347298E-3</c:v>
                </c:pt>
                <c:pt idx="21">
                  <c:v>-2.1755555222892102E-3</c:v>
                </c:pt>
                <c:pt idx="22">
                  <c:v>-6.4452846567435596E-4</c:v>
                </c:pt>
                <c:pt idx="23">
                  <c:v>-5.6134100693537303E-3</c:v>
                </c:pt>
                <c:pt idx="24">
                  <c:v>-5.1919318032922603E-3</c:v>
                </c:pt>
                <c:pt idx="25">
                  <c:v>-5.0277989107652601E-3</c:v>
                </c:pt>
                <c:pt idx="26">
                  <c:v>-3.3130664631506701E-3</c:v>
                </c:pt>
                <c:pt idx="27">
                  <c:v>-3.5956686978991198E-3</c:v>
                </c:pt>
                <c:pt idx="28">
                  <c:v>-3.4471551962264898E-3</c:v>
                </c:pt>
                <c:pt idx="29">
                  <c:v>-3.2318745605232099E-3</c:v>
                </c:pt>
                <c:pt idx="30">
                  <c:v>-1.2538676644513001E-3</c:v>
                </c:pt>
                <c:pt idx="31">
                  <c:v>-7.80909102326532E-4</c:v>
                </c:pt>
                <c:pt idx="32">
                  <c:v>5.6998091787204203E-4</c:v>
                </c:pt>
                <c:pt idx="33">
                  <c:v>1.53573364883386E-3</c:v>
                </c:pt>
                <c:pt idx="34">
                  <c:v>-7.3989863277724004E-5</c:v>
                </c:pt>
                <c:pt idx="35">
                  <c:v>1.44827546614662E-3</c:v>
                </c:pt>
                <c:pt idx="36">
                  <c:v>3.0277468760996599E-4</c:v>
                </c:pt>
                <c:pt idx="37">
                  <c:v>3.4475414613107801E-4</c:v>
                </c:pt>
                <c:pt idx="38">
                  <c:v>-1.1014198917978599E-3</c:v>
                </c:pt>
                <c:pt idx="39">
                  <c:v>-2.0541805803443699E-3</c:v>
                </c:pt>
                <c:pt idx="40">
                  <c:v>-1.61099723785925E-3</c:v>
                </c:pt>
                <c:pt idx="41">
                  <c:v>-1.1614392521640099E-3</c:v>
                </c:pt>
                <c:pt idx="42">
                  <c:v>3.4460127533655899E-4</c:v>
                </c:pt>
                <c:pt idx="43">
                  <c:v>8.0506974940614104E-4</c:v>
                </c:pt>
                <c:pt idx="44">
                  <c:v>6.9425525285000803E-4</c:v>
                </c:pt>
                <c:pt idx="45">
                  <c:v>1.63256284432444E-3</c:v>
                </c:pt>
                <c:pt idx="46">
                  <c:v>9.2961462100309296E-4</c:v>
                </c:pt>
                <c:pt idx="47">
                  <c:v>-7.8960124960318005E-4</c:v>
                </c:pt>
                <c:pt idx="48">
                  <c:v>-4.2124306456574898E-4</c:v>
                </c:pt>
                <c:pt idx="49">
                  <c:v>-2.7009776522592799E-4</c:v>
                </c:pt>
                <c:pt idx="50">
                  <c:v>-2.2983585498992602E-3</c:v>
                </c:pt>
                <c:pt idx="51">
                  <c:v>-7.1149306421406104E-4</c:v>
                </c:pt>
                <c:pt idx="52">
                  <c:v>-5.5200033670261596E-4</c:v>
                </c:pt>
                <c:pt idx="53">
                  <c:v>-8.7931112605432401E-4</c:v>
                </c:pt>
                <c:pt idx="54">
                  <c:v>4.4819212817257797E-3</c:v>
                </c:pt>
                <c:pt idx="55">
                  <c:v>2.6711325379352E-3</c:v>
                </c:pt>
                <c:pt idx="56">
                  <c:v>4.4045289115203796E-3</c:v>
                </c:pt>
                <c:pt idx="57">
                  <c:v>4.2010777338059102E-3</c:v>
                </c:pt>
                <c:pt idx="58">
                  <c:v>2.99454303262913E-3</c:v>
                </c:pt>
                <c:pt idx="59">
                  <c:v>3.4512196841782099E-3</c:v>
                </c:pt>
                <c:pt idx="60">
                  <c:v>4.8547072007580402E-3</c:v>
                </c:pt>
                <c:pt idx="61">
                  <c:v>4.0848237495483596E-3</c:v>
                </c:pt>
                <c:pt idx="62">
                  <c:v>1.9550064809994001E-3</c:v>
                </c:pt>
                <c:pt idx="63">
                  <c:v>2.5056782499214502E-3</c:v>
                </c:pt>
                <c:pt idx="64">
                  <c:v>2.2169959181363901E-4</c:v>
                </c:pt>
                <c:pt idx="65">
                  <c:v>-2.41091399350315E-4</c:v>
                </c:pt>
                <c:pt idx="66">
                  <c:v>-1.3905849608802101E-3</c:v>
                </c:pt>
                <c:pt idx="67">
                  <c:v>-9.1292865414243003E-4</c:v>
                </c:pt>
                <c:pt idx="68">
                  <c:v>1.56567224305181E-3</c:v>
                </c:pt>
                <c:pt idx="69">
                  <c:v>2.1996413727411899E-3</c:v>
                </c:pt>
                <c:pt idx="70">
                  <c:v>3.4442669991638598E-3</c:v>
                </c:pt>
                <c:pt idx="71">
                  <c:v>2.0340510119373702E-3</c:v>
                </c:pt>
                <c:pt idx="72">
                  <c:v>1.8695134501104699E-3</c:v>
                </c:pt>
                <c:pt idx="73">
                  <c:v>1.7846298323042999E-3</c:v>
                </c:pt>
                <c:pt idx="74">
                  <c:v>1.4867530714630199E-3</c:v>
                </c:pt>
                <c:pt idx="75">
                  <c:v>2.2640124781406899E-3</c:v>
                </c:pt>
                <c:pt idx="76">
                  <c:v>-1.44167771861512E-3</c:v>
                </c:pt>
                <c:pt idx="77">
                  <c:v>-2.3676073001719001E-4</c:v>
                </c:pt>
                <c:pt idx="78">
                  <c:v>-9.8804140863955996E-4</c:v>
                </c:pt>
                <c:pt idx="79">
                  <c:v>-2.6499667767939899E-3</c:v>
                </c:pt>
                <c:pt idx="80">
                  <c:v>-2.23781669974204E-3</c:v>
                </c:pt>
                <c:pt idx="81">
                  <c:v>-2.2226393143280499E-3</c:v>
                </c:pt>
                <c:pt idx="82">
                  <c:v>3.5415319698716601E-4</c:v>
                </c:pt>
                <c:pt idx="83">
                  <c:v>1.75956936071083E-3</c:v>
                </c:pt>
                <c:pt idx="84">
                  <c:v>1.3934538141737399E-3</c:v>
                </c:pt>
                <c:pt idx="85">
                  <c:v>5.0901974426457502E-3</c:v>
                </c:pt>
                <c:pt idx="86">
                  <c:v>1.1642129390289501E-3</c:v>
                </c:pt>
                <c:pt idx="87">
                  <c:v>7.2188071991382001E-4</c:v>
                </c:pt>
                <c:pt idx="88">
                  <c:v>6.3004408809765695E-4</c:v>
                </c:pt>
                <c:pt idx="89">
                  <c:v>1.24737260798568E-4</c:v>
                </c:pt>
                <c:pt idx="90">
                  <c:v>-4.8628991943254599E-4</c:v>
                </c:pt>
                <c:pt idx="91">
                  <c:v>-1.1162334688603101E-3</c:v>
                </c:pt>
                <c:pt idx="92">
                  <c:v>-3.22462263188773E-3</c:v>
                </c:pt>
                <c:pt idx="93">
                  <c:v>-3.3344971494646898E-3</c:v>
                </c:pt>
                <c:pt idx="94">
                  <c:v>-2.6466959790790502E-3</c:v>
                </c:pt>
                <c:pt idx="95">
                  <c:v>-2.2367283305401499E-4</c:v>
                </c:pt>
                <c:pt idx="96">
                  <c:v>-2.0570714749451699E-4</c:v>
                </c:pt>
                <c:pt idx="97">
                  <c:v>-6.9818967647793302E-4</c:v>
                </c:pt>
                <c:pt idx="98">
                  <c:v>1.1143753847486101E-3</c:v>
                </c:pt>
                <c:pt idx="99">
                  <c:v>8.8260164979548402E-4</c:v>
                </c:pt>
                <c:pt idx="100">
                  <c:v>1.5670778203629701E-3</c:v>
                </c:pt>
                <c:pt idx="101">
                  <c:v>3.1564686708234701E-3</c:v>
                </c:pt>
                <c:pt idx="102">
                  <c:v>2.2096443916467898E-3</c:v>
                </c:pt>
                <c:pt idx="103">
                  <c:v>1.50117271437403E-4</c:v>
                </c:pt>
                <c:pt idx="104">
                  <c:v>1.60778934907864E-3</c:v>
                </c:pt>
                <c:pt idx="105">
                  <c:v>-4.87192663986187E-4</c:v>
                </c:pt>
                <c:pt idx="106">
                  <c:v>-2.54042188039728E-3</c:v>
                </c:pt>
                <c:pt idx="107">
                  <c:v>-2.8452511450425301E-3</c:v>
                </c:pt>
                <c:pt idx="108">
                  <c:v>-1.73039891253038E-3</c:v>
                </c:pt>
                <c:pt idx="109">
                  <c:v>-3.37651195556703E-3</c:v>
                </c:pt>
                <c:pt idx="110">
                  <c:v>-3.0351396044496202E-3</c:v>
                </c:pt>
                <c:pt idx="111">
                  <c:v>-2.8263721896974901E-3</c:v>
                </c:pt>
                <c:pt idx="112">
                  <c:v>-3.39900038464621E-3</c:v>
                </c:pt>
                <c:pt idx="113">
                  <c:v>-3.87195103945459E-3</c:v>
                </c:pt>
                <c:pt idx="114">
                  <c:v>-1.8226174448669199E-3</c:v>
                </c:pt>
                <c:pt idx="115">
                  <c:v>3.5576467774044602E-4</c:v>
                </c:pt>
                <c:pt idx="116">
                  <c:v>4.1675576045526203E-3</c:v>
                </c:pt>
                <c:pt idx="117">
                  <c:v>3.2204280496020499E-3</c:v>
                </c:pt>
                <c:pt idx="118">
                  <c:v>4.7821977625030297E-3</c:v>
                </c:pt>
                <c:pt idx="119">
                  <c:v>5.3364020104317402E-3</c:v>
                </c:pt>
                <c:pt idx="120">
                  <c:v>4.6143225599529197E-3</c:v>
                </c:pt>
                <c:pt idx="121">
                  <c:v>5.7946813659887396E-3</c:v>
                </c:pt>
                <c:pt idx="122">
                  <c:v>4.3792237186875502E-3</c:v>
                </c:pt>
                <c:pt idx="123">
                  <c:v>4.3840947695719702E-3</c:v>
                </c:pt>
                <c:pt idx="124">
                  <c:v>3.2469807729207799E-3</c:v>
                </c:pt>
                <c:pt idx="125">
                  <c:v>3.9829057582545903E-3</c:v>
                </c:pt>
                <c:pt idx="126">
                  <c:v>2.3548665666001099E-3</c:v>
                </c:pt>
                <c:pt idx="127">
                  <c:v>3.4633104217797798E-4</c:v>
                </c:pt>
                <c:pt idx="128">
                  <c:v>1.6241577839677401E-3</c:v>
                </c:pt>
                <c:pt idx="129">
                  <c:v>-1.2190648555405301E-3</c:v>
                </c:pt>
                <c:pt idx="130">
                  <c:v>-3.1848222168095199E-3</c:v>
                </c:pt>
                <c:pt idx="131">
                  <c:v>-2.2345100738621099E-3</c:v>
                </c:pt>
                <c:pt idx="132">
                  <c:v>-9.5459768296008698E-4</c:v>
                </c:pt>
                <c:pt idx="133">
                  <c:v>-3.4032500397503198E-3</c:v>
                </c:pt>
                <c:pt idx="134">
                  <c:v>-3.3102641422722498E-3</c:v>
                </c:pt>
                <c:pt idx="135">
                  <c:v>-3.4141147356580902E-3</c:v>
                </c:pt>
                <c:pt idx="136">
                  <c:v>-2.6318741638933301E-3</c:v>
                </c:pt>
                <c:pt idx="137">
                  <c:v>-1.4035174904268601E-3</c:v>
                </c:pt>
                <c:pt idx="138">
                  <c:v>-8.6222341492846796E-4</c:v>
                </c:pt>
                <c:pt idx="139">
                  <c:v>-1.04686640255706E-3</c:v>
                </c:pt>
                <c:pt idx="140">
                  <c:v>-1.3114688842470099E-3</c:v>
                </c:pt>
                <c:pt idx="141">
                  <c:v>-1.89835825027898E-3</c:v>
                </c:pt>
                <c:pt idx="142">
                  <c:v>-1.44497522343933E-3</c:v>
                </c:pt>
                <c:pt idx="143">
                  <c:v>3.3191684489930202E-4</c:v>
                </c:pt>
                <c:pt idx="144">
                  <c:v>-6.8251919387338905E-4</c:v>
                </c:pt>
                <c:pt idx="145">
                  <c:v>-1.2898926426552801E-4</c:v>
                </c:pt>
                <c:pt idx="146">
                  <c:v>7.45690881332046E-4</c:v>
                </c:pt>
                <c:pt idx="147">
                  <c:v>5.8032420981955096E-4</c:v>
                </c:pt>
                <c:pt idx="148">
                  <c:v>8.5569599822779899E-4</c:v>
                </c:pt>
                <c:pt idx="149">
                  <c:v>4.3313364243883204E-3</c:v>
                </c:pt>
                <c:pt idx="150">
                  <c:v>3.5626569584217001E-3</c:v>
                </c:pt>
                <c:pt idx="151">
                  <c:v>2.1757876131403698E-3</c:v>
                </c:pt>
                <c:pt idx="152">
                  <c:v>3.15908894753042E-3</c:v>
                </c:pt>
                <c:pt idx="153">
                  <c:v>2.1432936262464602E-3</c:v>
                </c:pt>
                <c:pt idx="154">
                  <c:v>1.32535855014921E-3</c:v>
                </c:pt>
                <c:pt idx="155">
                  <c:v>2.1286407595021602E-3</c:v>
                </c:pt>
                <c:pt idx="156">
                  <c:v>7.7645598838302203E-4</c:v>
                </c:pt>
                <c:pt idx="157">
                  <c:v>2.4587679057169799E-3</c:v>
                </c:pt>
                <c:pt idx="158">
                  <c:v>2.5204463732991901E-3</c:v>
                </c:pt>
                <c:pt idx="159">
                  <c:v>1.5140293856747899E-3</c:v>
                </c:pt>
                <c:pt idx="160">
                  <c:v>2.2635976097561201E-4</c:v>
                </c:pt>
                <c:pt idx="161">
                  <c:v>6.9851457654469601E-4</c:v>
                </c:pt>
                <c:pt idx="162">
                  <c:v>6.0837246938756E-4</c:v>
                </c:pt>
                <c:pt idx="163">
                  <c:v>1.3185875831855801E-3</c:v>
                </c:pt>
                <c:pt idx="164">
                  <c:v>-8.78570438800823E-4</c:v>
                </c:pt>
                <c:pt idx="165">
                  <c:v>-1.35158370721184E-3</c:v>
                </c:pt>
                <c:pt idx="166">
                  <c:v>-2.8932095439874899E-3</c:v>
                </c:pt>
                <c:pt idx="167">
                  <c:v>-1.5042720632290701E-3</c:v>
                </c:pt>
                <c:pt idx="168">
                  <c:v>-1.1536645414054001E-3</c:v>
                </c:pt>
                <c:pt idx="169">
                  <c:v>-6.8717493466288304E-4</c:v>
                </c:pt>
                <c:pt idx="170">
                  <c:v>7.1087309522644597E-4</c:v>
                </c:pt>
                <c:pt idx="171">
                  <c:v>7.1910197735898203E-4</c:v>
                </c:pt>
                <c:pt idx="172">
                  <c:v>1.5668760426939399E-4</c:v>
                </c:pt>
                <c:pt idx="173">
                  <c:v>9.2149806955594096E-4</c:v>
                </c:pt>
                <c:pt idx="174">
                  <c:v>1.7711230044837101E-4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DD-4089-8214-AD271D259820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IYH x 20 dma / XLV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-3.2857167137296502E-3</c:v>
                </c:pt>
                <c:pt idx="21">
                  <c:v>-2.9021750414353199E-3</c:v>
                </c:pt>
                <c:pt idx="22">
                  <c:v>-1.5116500364366901E-3</c:v>
                </c:pt>
                <c:pt idx="23">
                  <c:v>-6.45220220247982E-3</c:v>
                </c:pt>
                <c:pt idx="24">
                  <c:v>-6.26285786109557E-3</c:v>
                </c:pt>
                <c:pt idx="25">
                  <c:v>-6.2633181036463896E-3</c:v>
                </c:pt>
                <c:pt idx="26">
                  <c:v>-4.6362344627918798E-3</c:v>
                </c:pt>
                <c:pt idx="27">
                  <c:v>-5.3026227883790199E-3</c:v>
                </c:pt>
                <c:pt idx="28">
                  <c:v>-5.4722424497344099E-3</c:v>
                </c:pt>
                <c:pt idx="29">
                  <c:v>-5.6576037396997899E-3</c:v>
                </c:pt>
                <c:pt idx="30">
                  <c:v>-3.9834698793601098E-3</c:v>
                </c:pt>
                <c:pt idx="31">
                  <c:v>-3.5737728185150702E-3</c:v>
                </c:pt>
                <c:pt idx="32">
                  <c:v>-2.2829677585868499E-3</c:v>
                </c:pt>
                <c:pt idx="33">
                  <c:v>-1.4780771432311201E-3</c:v>
                </c:pt>
                <c:pt idx="34">
                  <c:v>-2.6794766412181598E-3</c:v>
                </c:pt>
                <c:pt idx="35">
                  <c:v>-8.5462443996499901E-4</c:v>
                </c:pt>
                <c:pt idx="36">
                  <c:v>-1.61484163487087E-3</c:v>
                </c:pt>
                <c:pt idx="37">
                  <c:v>-1.23210336857549E-3</c:v>
                </c:pt>
                <c:pt idx="38">
                  <c:v>-2.2917039326041302E-3</c:v>
                </c:pt>
                <c:pt idx="39">
                  <c:v>-2.8592784434448701E-3</c:v>
                </c:pt>
                <c:pt idx="40">
                  <c:v>-2.0969799891056898E-3</c:v>
                </c:pt>
                <c:pt idx="41">
                  <c:v>-1.51348136874317E-3</c:v>
                </c:pt>
                <c:pt idx="42">
                  <c:v>1.47873676095103E-4</c:v>
                </c:pt>
                <c:pt idx="43">
                  <c:v>8.0169422578856497E-4</c:v>
                </c:pt>
                <c:pt idx="44">
                  <c:v>5.9848895351263104E-4</c:v>
                </c:pt>
                <c:pt idx="45">
                  <c:v>1.5706101656954301E-3</c:v>
                </c:pt>
                <c:pt idx="46">
                  <c:v>7.7747711758202403E-4</c:v>
                </c:pt>
                <c:pt idx="47">
                  <c:v>-9.14478521161489E-4</c:v>
                </c:pt>
                <c:pt idx="48">
                  <c:v>-6.5452342688931899E-4</c:v>
                </c:pt>
                <c:pt idx="49">
                  <c:v>-4.9088260456258705E-4</c:v>
                </c:pt>
                <c:pt idx="50">
                  <c:v>-2.4302712261458099E-3</c:v>
                </c:pt>
                <c:pt idx="51">
                  <c:v>-8.24527680975875E-4</c:v>
                </c:pt>
                <c:pt idx="52">
                  <c:v>-5.9957009376247403E-4</c:v>
                </c:pt>
                <c:pt idx="53">
                  <c:v>-9.4554482677248499E-4</c:v>
                </c:pt>
                <c:pt idx="54">
                  <c:v>4.3616870063761899E-3</c:v>
                </c:pt>
                <c:pt idx="55">
                  <c:v>2.6989779649869202E-3</c:v>
                </c:pt>
                <c:pt idx="56">
                  <c:v>4.4839629060397599E-3</c:v>
                </c:pt>
                <c:pt idx="57">
                  <c:v>4.4456757272399797E-3</c:v>
                </c:pt>
                <c:pt idx="58">
                  <c:v>3.5821578311159802E-3</c:v>
                </c:pt>
                <c:pt idx="59">
                  <c:v>4.25772899197266E-3</c:v>
                </c:pt>
                <c:pt idx="60">
                  <c:v>5.8607527018836704E-3</c:v>
                </c:pt>
                <c:pt idx="61">
                  <c:v>5.59744463185116E-3</c:v>
                </c:pt>
                <c:pt idx="62">
                  <c:v>3.84812016966414E-3</c:v>
                </c:pt>
                <c:pt idx="63">
                  <c:v>4.7640923034175699E-3</c:v>
                </c:pt>
                <c:pt idx="64">
                  <c:v>2.9677248482575199E-3</c:v>
                </c:pt>
                <c:pt idx="65">
                  <c:v>2.38895561702756E-3</c:v>
                </c:pt>
                <c:pt idx="66">
                  <c:v>1.3022562911802599E-3</c:v>
                </c:pt>
                <c:pt idx="67">
                  <c:v>1.57727992165687E-3</c:v>
                </c:pt>
                <c:pt idx="68">
                  <c:v>3.7745616511978401E-3</c:v>
                </c:pt>
                <c:pt idx="69">
                  <c:v>4.3281443966375699E-3</c:v>
                </c:pt>
                <c:pt idx="70">
                  <c:v>5.4559453876852201E-3</c:v>
                </c:pt>
                <c:pt idx="71">
                  <c:v>3.7170119347710402E-3</c:v>
                </c:pt>
                <c:pt idx="72">
                  <c:v>3.2264609133701699E-3</c:v>
                </c:pt>
                <c:pt idx="73">
                  <c:v>2.95766052686105E-3</c:v>
                </c:pt>
                <c:pt idx="74">
                  <c:v>2.3450102186015598E-3</c:v>
                </c:pt>
                <c:pt idx="75">
                  <c:v>3.2101701299865602E-3</c:v>
                </c:pt>
                <c:pt idx="76">
                  <c:v>-3.9278510545155497E-4</c:v>
                </c:pt>
                <c:pt idx="77">
                  <c:v>9.3566881763924598E-4</c:v>
                </c:pt>
                <c:pt idx="78">
                  <c:v>3.4285027622224799E-4</c:v>
                </c:pt>
                <c:pt idx="79">
                  <c:v>-1.4631488208515201E-3</c:v>
                </c:pt>
                <c:pt idx="80">
                  <c:v>-1.32527774413743E-3</c:v>
                </c:pt>
                <c:pt idx="81">
                  <c:v>-1.6334392926617299E-3</c:v>
                </c:pt>
                <c:pt idx="82">
                  <c:v>7.2370455597176497E-4</c:v>
                </c:pt>
                <c:pt idx="83">
                  <c:v>1.9590105591332199E-3</c:v>
                </c:pt>
                <c:pt idx="84">
                  <c:v>1.53043501586646E-3</c:v>
                </c:pt>
                <c:pt idx="85">
                  <c:v>5.0871253974412601E-3</c:v>
                </c:pt>
                <c:pt idx="86">
                  <c:v>1.0817878607657001E-3</c:v>
                </c:pt>
                <c:pt idx="87">
                  <c:v>6.5898513010456802E-4</c:v>
                </c:pt>
                <c:pt idx="88">
                  <c:v>4.5752316205387899E-4</c:v>
                </c:pt>
                <c:pt idx="89">
                  <c:v>1.05425275531887E-5</c:v>
                </c:pt>
                <c:pt idx="90">
                  <c:v>-3.48975553445818E-4</c:v>
                </c:pt>
                <c:pt idx="91">
                  <c:v>-6.8445181714419799E-4</c:v>
                </c:pt>
                <c:pt idx="92">
                  <c:v>-2.5399804763098399E-3</c:v>
                </c:pt>
                <c:pt idx="93">
                  <c:v>-2.7218324689762502E-3</c:v>
                </c:pt>
                <c:pt idx="94">
                  <c:v>-2.2464881292820101E-3</c:v>
                </c:pt>
                <c:pt idx="95">
                  <c:v>5.3257382133221996E-6</c:v>
                </c:pt>
                <c:pt idx="96">
                  <c:v>-3.5943008392588701E-4</c:v>
                </c:pt>
                <c:pt idx="97">
                  <c:v>-1.05774264977971E-3</c:v>
                </c:pt>
                <c:pt idx="98">
                  <c:v>6.0634138583065002E-4</c:v>
                </c:pt>
                <c:pt idx="99">
                  <c:v>2.8440005535782702E-4</c:v>
                </c:pt>
                <c:pt idx="100">
                  <c:v>8.1957893649996596E-4</c:v>
                </c:pt>
                <c:pt idx="101">
                  <c:v>2.3354137999687498E-3</c:v>
                </c:pt>
                <c:pt idx="102">
                  <c:v>1.42112847478841E-3</c:v>
                </c:pt>
                <c:pt idx="103">
                  <c:v>-3.35058094850532E-4</c:v>
                </c:pt>
                <c:pt idx="104">
                  <c:v>1.4420556907777399E-3</c:v>
                </c:pt>
                <c:pt idx="105">
                  <c:v>-2.9452904256788398E-4</c:v>
                </c:pt>
                <c:pt idx="106">
                  <c:v>-2.0993844706687502E-3</c:v>
                </c:pt>
                <c:pt idx="107">
                  <c:v>-2.3931677323542002E-3</c:v>
                </c:pt>
                <c:pt idx="108">
                  <c:v>-1.23366962681484E-3</c:v>
                </c:pt>
                <c:pt idx="109">
                  <c:v>-2.9458950208972302E-3</c:v>
                </c:pt>
                <c:pt idx="110">
                  <c:v>-2.75281493839357E-3</c:v>
                </c:pt>
                <c:pt idx="111">
                  <c:v>-2.7739883837981298E-3</c:v>
                </c:pt>
                <c:pt idx="112">
                  <c:v>-3.77160451912327E-3</c:v>
                </c:pt>
                <c:pt idx="113">
                  <c:v>-4.7547180637961496E-3</c:v>
                </c:pt>
                <c:pt idx="114">
                  <c:v>-3.1204064721257999E-3</c:v>
                </c:pt>
                <c:pt idx="115">
                  <c:v>-1.43844727731507E-3</c:v>
                </c:pt>
                <c:pt idx="116">
                  <c:v>2.2303430805550202E-3</c:v>
                </c:pt>
                <c:pt idx="117">
                  <c:v>1.49671051001076E-3</c:v>
                </c:pt>
                <c:pt idx="118">
                  <c:v>3.2509861756827799E-3</c:v>
                </c:pt>
                <c:pt idx="119">
                  <c:v>4.0693585840258298E-3</c:v>
                </c:pt>
                <c:pt idx="120">
                  <c:v>3.8252096428807898E-3</c:v>
                </c:pt>
                <c:pt idx="121">
                  <c:v>5.5104883244602703E-3</c:v>
                </c:pt>
                <c:pt idx="122">
                  <c:v>4.79094045849202E-3</c:v>
                </c:pt>
                <c:pt idx="123">
                  <c:v>5.5442958007260899E-3</c:v>
                </c:pt>
                <c:pt idx="124">
                  <c:v>5.2276016958756003E-3</c:v>
                </c:pt>
                <c:pt idx="125">
                  <c:v>6.7183590378633402E-3</c:v>
                </c:pt>
                <c:pt idx="126">
                  <c:v>5.6842845353042796E-3</c:v>
                </c:pt>
                <c:pt idx="127">
                  <c:v>3.7767969771694099E-3</c:v>
                </c:pt>
                <c:pt idx="128">
                  <c:v>5.1234519827593203E-3</c:v>
                </c:pt>
                <c:pt idx="129">
                  <c:v>2.29991318927206E-3</c:v>
                </c:pt>
                <c:pt idx="130">
                  <c:v>4.8475424248456101E-5</c:v>
                </c:pt>
                <c:pt idx="131">
                  <c:v>6.2720326951015096E-4</c:v>
                </c:pt>
                <c:pt idx="132">
                  <c:v>1.38788127538827E-3</c:v>
                </c:pt>
                <c:pt idx="133">
                  <c:v>-1.5247105078311999E-3</c:v>
                </c:pt>
                <c:pt idx="134">
                  <c:v>-2.1642742743610199E-3</c:v>
                </c:pt>
                <c:pt idx="135">
                  <c:v>-2.93432447675482E-3</c:v>
                </c:pt>
                <c:pt idx="136">
                  <c:v>-2.9289915965120101E-3</c:v>
                </c:pt>
                <c:pt idx="137">
                  <c:v>-2.2211047408195201E-3</c:v>
                </c:pt>
                <c:pt idx="138">
                  <c:v>-2.0477702387920499E-3</c:v>
                </c:pt>
                <c:pt idx="139">
                  <c:v>-2.66581887897156E-3</c:v>
                </c:pt>
                <c:pt idx="140">
                  <c:v>-3.1069797913511202E-3</c:v>
                </c:pt>
                <c:pt idx="141">
                  <c:v>-3.71259863192478E-3</c:v>
                </c:pt>
                <c:pt idx="142">
                  <c:v>-3.30811308472315E-3</c:v>
                </c:pt>
                <c:pt idx="143">
                  <c:v>-1.70895865934535E-3</c:v>
                </c:pt>
                <c:pt idx="144">
                  <c:v>-2.5393545414547202E-3</c:v>
                </c:pt>
                <c:pt idx="145">
                  <c:v>-1.82704649183705E-3</c:v>
                </c:pt>
                <c:pt idx="146">
                  <c:v>-6.3670459145794304E-4</c:v>
                </c:pt>
                <c:pt idx="147">
                  <c:v>-4.9298949442877201E-4</c:v>
                </c:pt>
                <c:pt idx="148">
                  <c:v>-5.6762033162298702E-5</c:v>
                </c:pt>
                <c:pt idx="149">
                  <c:v>3.6558085517445502E-3</c:v>
                </c:pt>
                <c:pt idx="150">
                  <c:v>3.24117971575629E-3</c:v>
                </c:pt>
                <c:pt idx="151">
                  <c:v>2.1516275688819799E-3</c:v>
                </c:pt>
                <c:pt idx="152">
                  <c:v>3.5010817235881799E-3</c:v>
                </c:pt>
                <c:pt idx="153">
                  <c:v>2.96071436701455E-3</c:v>
                </c:pt>
                <c:pt idx="154">
                  <c:v>2.3327158858576901E-3</c:v>
                </c:pt>
                <c:pt idx="155">
                  <c:v>3.39201926127344E-3</c:v>
                </c:pt>
                <c:pt idx="156">
                  <c:v>2.2851279615796402E-3</c:v>
                </c:pt>
                <c:pt idx="157">
                  <c:v>4.0895293971115699E-3</c:v>
                </c:pt>
                <c:pt idx="158">
                  <c:v>4.4168266260846602E-3</c:v>
                </c:pt>
                <c:pt idx="159">
                  <c:v>3.6891891593909998E-3</c:v>
                </c:pt>
                <c:pt idx="160">
                  <c:v>2.2767109434599E-3</c:v>
                </c:pt>
                <c:pt idx="161">
                  <c:v>2.5752513712590801E-3</c:v>
                </c:pt>
                <c:pt idx="162">
                  <c:v>2.3973466844613499E-3</c:v>
                </c:pt>
                <c:pt idx="163">
                  <c:v>2.8940724727430701E-3</c:v>
                </c:pt>
                <c:pt idx="164">
                  <c:v>6.4077753066371505E-4</c:v>
                </c:pt>
                <c:pt idx="165">
                  <c:v>7.9560509155290101E-6</c:v>
                </c:pt>
                <c:pt idx="166">
                  <c:v>-1.81145330152588E-3</c:v>
                </c:pt>
                <c:pt idx="167">
                  <c:v>-6.50686951271141E-4</c:v>
                </c:pt>
                <c:pt idx="168">
                  <c:v>-6.7014629423428303E-4</c:v>
                </c:pt>
                <c:pt idx="169">
                  <c:v>-6.1191791047399396E-4</c:v>
                </c:pt>
                <c:pt idx="170">
                  <c:v>6.0727988222359904E-4</c:v>
                </c:pt>
                <c:pt idx="171">
                  <c:v>5.91351846018334E-4</c:v>
                </c:pt>
                <c:pt idx="172">
                  <c:v>-9.6472098082069004E-5</c:v>
                </c:pt>
                <c:pt idx="173">
                  <c:v>5.6929812088014995E-4</c:v>
                </c:pt>
                <c:pt idx="174">
                  <c:v>-3.4619390672456301E-4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DD-4089-8214-AD271D259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2.5655612473939916E-4</c:v>
                </c:pt>
                <c:pt idx="2">
                  <c:v>1.4888443451512995E-3</c:v>
                </c:pt>
                <c:pt idx="3">
                  <c:v>1.4888443451512995E-3</c:v>
                </c:pt>
                <c:pt idx="4">
                  <c:v>1.2025087944443E-3</c:v>
                </c:pt>
                <c:pt idx="5">
                  <c:v>7.4999325402271E-4</c:v>
                </c:pt>
                <c:pt idx="6">
                  <c:v>1.8789443912536306E-3</c:v>
                </c:pt>
                <c:pt idx="7">
                  <c:v>8.9133253718635085E-4</c:v>
                </c:pt>
                <c:pt idx="8">
                  <c:v>3.4405568045157075E-4</c:v>
                </c:pt>
                <c:pt idx="9">
                  <c:v>-2.1543484582362904E-4</c:v>
                </c:pt>
                <c:pt idx="10">
                  <c:v>1.080535642696051E-3</c:v>
                </c:pt>
                <c:pt idx="11">
                  <c:v>1.1524504651167209E-3</c:v>
                </c:pt>
                <c:pt idx="12">
                  <c:v>2.0840910578076109E-3</c:v>
                </c:pt>
                <c:pt idx="13">
                  <c:v>2.6012559594189512E-3</c:v>
                </c:pt>
                <c:pt idx="14">
                  <c:v>2.6012559594189512E-3</c:v>
                </c:pt>
                <c:pt idx="15">
                  <c:v>2.6012559594189512E-3</c:v>
                </c:pt>
                <c:pt idx="16">
                  <c:v>2.6012559594189512E-3</c:v>
                </c:pt>
                <c:pt idx="17">
                  <c:v>2.6012559594189512E-3</c:v>
                </c:pt>
                <c:pt idx="18">
                  <c:v>2.6012559594189512E-3</c:v>
                </c:pt>
                <c:pt idx="19">
                  <c:v>2.6012559594189512E-3</c:v>
                </c:pt>
                <c:pt idx="20">
                  <c:v>2.6012559594189512E-3</c:v>
                </c:pt>
                <c:pt idx="21">
                  <c:v>2.6012559594189512E-3</c:v>
                </c:pt>
                <c:pt idx="22">
                  <c:v>2.6012559594189512E-3</c:v>
                </c:pt>
                <c:pt idx="23">
                  <c:v>2.6012559594189512E-3</c:v>
                </c:pt>
                <c:pt idx="24">
                  <c:v>2.6012559594189512E-3</c:v>
                </c:pt>
                <c:pt idx="25">
                  <c:v>2.6012559594189512E-3</c:v>
                </c:pt>
                <c:pt idx="26">
                  <c:v>2.6012559594189512E-3</c:v>
                </c:pt>
                <c:pt idx="27">
                  <c:v>2.6012559594189512E-3</c:v>
                </c:pt>
                <c:pt idx="28">
                  <c:v>2.6012559594189512E-3</c:v>
                </c:pt>
                <c:pt idx="29">
                  <c:v>2.6012559594189512E-3</c:v>
                </c:pt>
                <c:pt idx="30">
                  <c:v>2.6012559594189512E-3</c:v>
                </c:pt>
                <c:pt idx="31">
                  <c:v>2.6012559594189512E-3</c:v>
                </c:pt>
                <c:pt idx="32">
                  <c:v>2.6012559594189512E-3</c:v>
                </c:pt>
                <c:pt idx="33">
                  <c:v>2.6012559594189512E-3</c:v>
                </c:pt>
                <c:pt idx="34">
                  <c:v>2.6012559594189512E-3</c:v>
                </c:pt>
                <c:pt idx="35">
                  <c:v>2.6012559594189512E-3</c:v>
                </c:pt>
                <c:pt idx="36">
                  <c:v>2.6012559594189512E-3</c:v>
                </c:pt>
                <c:pt idx="37">
                  <c:v>2.6012559594189512E-3</c:v>
                </c:pt>
                <c:pt idx="38">
                  <c:v>2.6012559594189512E-3</c:v>
                </c:pt>
                <c:pt idx="39">
                  <c:v>2.6012559594189512E-3</c:v>
                </c:pt>
                <c:pt idx="40">
                  <c:v>2.6012559594189512E-3</c:v>
                </c:pt>
                <c:pt idx="41">
                  <c:v>2.6012559594189512E-3</c:v>
                </c:pt>
                <c:pt idx="42">
                  <c:v>2.6012559594189512E-3</c:v>
                </c:pt>
                <c:pt idx="43">
                  <c:v>2.6012559594189512E-3</c:v>
                </c:pt>
                <c:pt idx="44">
                  <c:v>2.6012559594189512E-3</c:v>
                </c:pt>
                <c:pt idx="45">
                  <c:v>2.6012559594189512E-3</c:v>
                </c:pt>
                <c:pt idx="46">
                  <c:v>2.6012559594189512E-3</c:v>
                </c:pt>
                <c:pt idx="47">
                  <c:v>2.6012559594189512E-3</c:v>
                </c:pt>
                <c:pt idx="48">
                  <c:v>2.6012559594189512E-3</c:v>
                </c:pt>
                <c:pt idx="49">
                  <c:v>2.6012559594189512E-3</c:v>
                </c:pt>
                <c:pt idx="50">
                  <c:v>2.6012559594189512E-3</c:v>
                </c:pt>
                <c:pt idx="51">
                  <c:v>2.6012559594189512E-3</c:v>
                </c:pt>
                <c:pt idx="52">
                  <c:v>2.6012559594189512E-3</c:v>
                </c:pt>
                <c:pt idx="53">
                  <c:v>2.6012559594189512E-3</c:v>
                </c:pt>
                <c:pt idx="54">
                  <c:v>2.6012559594189512E-3</c:v>
                </c:pt>
                <c:pt idx="55">
                  <c:v>2.6012559594189512E-3</c:v>
                </c:pt>
                <c:pt idx="56">
                  <c:v>2.6012559594189512E-3</c:v>
                </c:pt>
                <c:pt idx="57">
                  <c:v>2.6012559594189512E-3</c:v>
                </c:pt>
                <c:pt idx="58">
                  <c:v>2.6012559594189512E-3</c:v>
                </c:pt>
                <c:pt idx="59">
                  <c:v>2.6012559594189512E-3</c:v>
                </c:pt>
                <c:pt idx="60">
                  <c:v>2.6012559594189512E-3</c:v>
                </c:pt>
                <c:pt idx="61">
                  <c:v>2.6012559594189512E-3</c:v>
                </c:pt>
                <c:pt idx="62">
                  <c:v>2.6012559594189512E-3</c:v>
                </c:pt>
                <c:pt idx="63">
                  <c:v>2.6012559594189512E-3</c:v>
                </c:pt>
                <c:pt idx="64">
                  <c:v>2.6012559594189512E-3</c:v>
                </c:pt>
                <c:pt idx="65">
                  <c:v>2.6012559594189512E-3</c:v>
                </c:pt>
                <c:pt idx="66">
                  <c:v>2.6012559594189512E-3</c:v>
                </c:pt>
                <c:pt idx="67">
                  <c:v>2.6012559594189512E-3</c:v>
                </c:pt>
                <c:pt idx="68">
                  <c:v>2.6012559594189512E-3</c:v>
                </c:pt>
                <c:pt idx="69">
                  <c:v>2.6012559594189512E-3</c:v>
                </c:pt>
                <c:pt idx="70">
                  <c:v>2.6012559594189512E-3</c:v>
                </c:pt>
                <c:pt idx="71">
                  <c:v>2.6012559594189512E-3</c:v>
                </c:pt>
                <c:pt idx="72">
                  <c:v>2.6012559594189512E-3</c:v>
                </c:pt>
                <c:pt idx="73">
                  <c:v>2.6012559594189512E-3</c:v>
                </c:pt>
                <c:pt idx="74">
                  <c:v>2.6012559594189512E-3</c:v>
                </c:pt>
                <c:pt idx="75">
                  <c:v>2.6012559594189512E-3</c:v>
                </c:pt>
                <c:pt idx="76">
                  <c:v>2.6012559594189512E-3</c:v>
                </c:pt>
                <c:pt idx="77">
                  <c:v>2.6012559594189512E-3</c:v>
                </c:pt>
                <c:pt idx="78">
                  <c:v>2.6012559594189512E-3</c:v>
                </c:pt>
                <c:pt idx="79">
                  <c:v>2.6012559594189512E-3</c:v>
                </c:pt>
                <c:pt idx="80">
                  <c:v>2.6012559594189512E-3</c:v>
                </c:pt>
                <c:pt idx="81">
                  <c:v>2.6012559594189512E-3</c:v>
                </c:pt>
                <c:pt idx="82">
                  <c:v>2.6012559594189512E-3</c:v>
                </c:pt>
                <c:pt idx="83">
                  <c:v>2.6012559594189512E-3</c:v>
                </c:pt>
                <c:pt idx="84">
                  <c:v>2.6012559594189512E-3</c:v>
                </c:pt>
                <c:pt idx="85">
                  <c:v>2.6012559594189512E-3</c:v>
                </c:pt>
                <c:pt idx="86">
                  <c:v>2.6012559594189512E-3</c:v>
                </c:pt>
                <c:pt idx="87">
                  <c:v>2.6012559594189512E-3</c:v>
                </c:pt>
                <c:pt idx="88">
                  <c:v>2.6012559594189512E-3</c:v>
                </c:pt>
                <c:pt idx="89">
                  <c:v>2.6012559594189512E-3</c:v>
                </c:pt>
                <c:pt idx="90">
                  <c:v>2.6012559594189512E-3</c:v>
                </c:pt>
                <c:pt idx="91">
                  <c:v>2.6012559594189512E-3</c:v>
                </c:pt>
                <c:pt idx="92">
                  <c:v>2.6012559594189512E-3</c:v>
                </c:pt>
                <c:pt idx="93">
                  <c:v>2.6012559594189512E-3</c:v>
                </c:pt>
                <c:pt idx="94">
                  <c:v>2.6012559594189512E-3</c:v>
                </c:pt>
                <c:pt idx="95">
                  <c:v>2.6012559594189512E-3</c:v>
                </c:pt>
                <c:pt idx="96">
                  <c:v>2.6012559594189512E-3</c:v>
                </c:pt>
                <c:pt idx="97">
                  <c:v>2.6012559594189512E-3</c:v>
                </c:pt>
                <c:pt idx="98">
                  <c:v>2.6012559594189512E-3</c:v>
                </c:pt>
                <c:pt idx="99">
                  <c:v>2.6012559594189512E-3</c:v>
                </c:pt>
                <c:pt idx="100">
                  <c:v>2.6012559594189512E-3</c:v>
                </c:pt>
                <c:pt idx="101">
                  <c:v>2.6012559594189512E-3</c:v>
                </c:pt>
                <c:pt idx="102">
                  <c:v>2.6012559594189512E-3</c:v>
                </c:pt>
                <c:pt idx="103">
                  <c:v>2.6012559594189512E-3</c:v>
                </c:pt>
                <c:pt idx="104">
                  <c:v>2.6012559594189512E-3</c:v>
                </c:pt>
                <c:pt idx="105">
                  <c:v>2.6012559594189512E-3</c:v>
                </c:pt>
                <c:pt idx="106">
                  <c:v>2.6012559594189512E-3</c:v>
                </c:pt>
                <c:pt idx="107">
                  <c:v>2.6012559594189512E-3</c:v>
                </c:pt>
                <c:pt idx="108">
                  <c:v>2.6012559594189512E-3</c:v>
                </c:pt>
                <c:pt idx="109">
                  <c:v>2.6012559594189512E-3</c:v>
                </c:pt>
                <c:pt idx="110">
                  <c:v>2.6012559594189512E-3</c:v>
                </c:pt>
                <c:pt idx="111">
                  <c:v>2.6012559594189512E-3</c:v>
                </c:pt>
                <c:pt idx="112">
                  <c:v>2.6012559594189512E-3</c:v>
                </c:pt>
                <c:pt idx="113">
                  <c:v>2.6012559594189512E-3</c:v>
                </c:pt>
                <c:pt idx="114">
                  <c:v>2.6012559594189512E-3</c:v>
                </c:pt>
                <c:pt idx="115">
                  <c:v>2.6012559594189512E-3</c:v>
                </c:pt>
                <c:pt idx="116">
                  <c:v>2.7398098966508106E-3</c:v>
                </c:pt>
                <c:pt idx="117">
                  <c:v>3.4103036311924008E-3</c:v>
                </c:pt>
                <c:pt idx="118">
                  <c:v>3.6131835541867011E-3</c:v>
                </c:pt>
                <c:pt idx="119">
                  <c:v>2.9435304182896011E-3</c:v>
                </c:pt>
                <c:pt idx="120">
                  <c:v>2.3722911416128012E-3</c:v>
                </c:pt>
                <c:pt idx="121">
                  <c:v>1.6132491259498011E-3</c:v>
                </c:pt>
                <c:pt idx="122">
                  <c:v>1.7370411049574814E-3</c:v>
                </c:pt>
                <c:pt idx="123">
                  <c:v>3.0922892455098809E-3</c:v>
                </c:pt>
                <c:pt idx="124">
                  <c:v>3.0922892455098809E-3</c:v>
                </c:pt>
                <c:pt idx="125">
                  <c:v>3.0922892455098809E-3</c:v>
                </c:pt>
                <c:pt idx="126">
                  <c:v>3.0922892455098809E-3</c:v>
                </c:pt>
                <c:pt idx="127">
                  <c:v>3.0922892455098809E-3</c:v>
                </c:pt>
                <c:pt idx="128">
                  <c:v>3.0922892455098809E-3</c:v>
                </c:pt>
                <c:pt idx="129">
                  <c:v>3.0922892455098809E-3</c:v>
                </c:pt>
                <c:pt idx="130">
                  <c:v>3.0922892455098809E-3</c:v>
                </c:pt>
                <c:pt idx="131">
                  <c:v>3.0922892455098809E-3</c:v>
                </c:pt>
                <c:pt idx="132">
                  <c:v>3.0922892455098809E-3</c:v>
                </c:pt>
                <c:pt idx="133">
                  <c:v>3.0922892455098809E-3</c:v>
                </c:pt>
                <c:pt idx="134">
                  <c:v>3.0922892455098809E-3</c:v>
                </c:pt>
                <c:pt idx="135">
                  <c:v>3.0922892455098809E-3</c:v>
                </c:pt>
                <c:pt idx="136">
                  <c:v>3.0922892455098809E-3</c:v>
                </c:pt>
                <c:pt idx="137">
                  <c:v>3.0922892455098809E-3</c:v>
                </c:pt>
                <c:pt idx="138">
                  <c:v>3.0922892455098809E-3</c:v>
                </c:pt>
                <c:pt idx="139">
                  <c:v>3.0922892455098809E-3</c:v>
                </c:pt>
                <c:pt idx="140">
                  <c:v>3.0922892455098809E-3</c:v>
                </c:pt>
                <c:pt idx="141">
                  <c:v>3.0922892455098809E-3</c:v>
                </c:pt>
                <c:pt idx="142">
                  <c:v>3.0922892455098809E-3</c:v>
                </c:pt>
                <c:pt idx="143">
                  <c:v>3.0922892455098809E-3</c:v>
                </c:pt>
                <c:pt idx="144">
                  <c:v>3.0922892455098809E-3</c:v>
                </c:pt>
                <c:pt idx="145">
                  <c:v>3.0922892455098809E-3</c:v>
                </c:pt>
                <c:pt idx="146">
                  <c:v>3.0922892455098809E-3</c:v>
                </c:pt>
                <c:pt idx="147">
                  <c:v>3.0922892455098809E-3</c:v>
                </c:pt>
                <c:pt idx="148">
                  <c:v>3.0922892455098809E-3</c:v>
                </c:pt>
                <c:pt idx="149">
                  <c:v>3.0922892455098809E-3</c:v>
                </c:pt>
                <c:pt idx="150">
                  <c:v>3.0922892455098809E-3</c:v>
                </c:pt>
                <c:pt idx="151">
                  <c:v>3.0922892455098809E-3</c:v>
                </c:pt>
                <c:pt idx="152">
                  <c:v>3.0922892455098809E-3</c:v>
                </c:pt>
                <c:pt idx="153">
                  <c:v>3.0922892455098809E-3</c:v>
                </c:pt>
                <c:pt idx="154">
                  <c:v>3.0922892455098809E-3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4-4EDA-83A0-E00B04441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-1.4670444522766994E-4</c:v>
                </c:pt>
                <c:pt idx="42">
                  <c:v>1.2010146427576399E-3</c:v>
                </c:pt>
                <c:pt idx="43">
                  <c:v>2.0428970450200087E-5</c:v>
                </c:pt>
                <c:pt idx="44">
                  <c:v>1.5132797885522122E-3</c:v>
                </c:pt>
                <c:pt idx="45">
                  <c:v>1.8535845765080131E-3</c:v>
                </c:pt>
                <c:pt idx="46">
                  <c:v>2.7686228137001629E-3</c:v>
                </c:pt>
                <c:pt idx="47">
                  <c:v>2.7686228137001629E-3</c:v>
                </c:pt>
                <c:pt idx="48">
                  <c:v>2.7686228137001629E-3</c:v>
                </c:pt>
                <c:pt idx="49">
                  <c:v>2.7686228137001629E-3</c:v>
                </c:pt>
                <c:pt idx="50">
                  <c:v>2.7686228137001629E-3</c:v>
                </c:pt>
                <c:pt idx="51">
                  <c:v>3.9184747085805223E-3</c:v>
                </c:pt>
                <c:pt idx="52">
                  <c:v>3.9519522211260219E-3</c:v>
                </c:pt>
                <c:pt idx="53">
                  <c:v>3.7742910503911816E-3</c:v>
                </c:pt>
                <c:pt idx="54">
                  <c:v>3.9099486508161821E-3</c:v>
                </c:pt>
                <c:pt idx="55">
                  <c:v>2.8345604259505221E-3</c:v>
                </c:pt>
                <c:pt idx="56">
                  <c:v>6.1005300306350204E-3</c:v>
                </c:pt>
                <c:pt idx="57">
                  <c:v>6.1005300306350204E-3</c:v>
                </c:pt>
                <c:pt idx="58">
                  <c:v>6.1005300306350204E-3</c:v>
                </c:pt>
                <c:pt idx="59">
                  <c:v>6.1005300306350204E-3</c:v>
                </c:pt>
                <c:pt idx="60">
                  <c:v>6.1005300306350204E-3</c:v>
                </c:pt>
                <c:pt idx="61">
                  <c:v>6.1005300306350204E-3</c:v>
                </c:pt>
                <c:pt idx="62">
                  <c:v>6.1005300306350204E-3</c:v>
                </c:pt>
                <c:pt idx="63">
                  <c:v>6.1005300306350204E-3</c:v>
                </c:pt>
                <c:pt idx="64">
                  <c:v>6.1005300306350204E-3</c:v>
                </c:pt>
                <c:pt idx="65">
                  <c:v>6.1005300306350204E-3</c:v>
                </c:pt>
                <c:pt idx="66">
                  <c:v>9.7455067933137195E-3</c:v>
                </c:pt>
                <c:pt idx="67">
                  <c:v>9.9436920353440095E-3</c:v>
                </c:pt>
                <c:pt idx="68">
                  <c:v>9.9436920353440095E-3</c:v>
                </c:pt>
                <c:pt idx="69">
                  <c:v>9.9436920353440095E-3</c:v>
                </c:pt>
                <c:pt idx="70">
                  <c:v>9.9436920353440095E-3</c:v>
                </c:pt>
                <c:pt idx="71">
                  <c:v>9.9436920353440095E-3</c:v>
                </c:pt>
                <c:pt idx="72">
                  <c:v>9.9436920353440095E-3</c:v>
                </c:pt>
                <c:pt idx="73">
                  <c:v>9.9436920353440095E-3</c:v>
                </c:pt>
                <c:pt idx="74">
                  <c:v>9.9436920353440095E-3</c:v>
                </c:pt>
                <c:pt idx="75">
                  <c:v>9.9436920353440095E-3</c:v>
                </c:pt>
                <c:pt idx="76">
                  <c:v>9.9436920353440095E-3</c:v>
                </c:pt>
                <c:pt idx="77">
                  <c:v>9.9436920353440095E-3</c:v>
                </c:pt>
                <c:pt idx="78">
                  <c:v>9.9436920353440095E-3</c:v>
                </c:pt>
                <c:pt idx="79">
                  <c:v>9.9436920353440095E-3</c:v>
                </c:pt>
                <c:pt idx="80">
                  <c:v>9.9436920353440095E-3</c:v>
                </c:pt>
                <c:pt idx="81">
                  <c:v>9.9436920353440095E-3</c:v>
                </c:pt>
                <c:pt idx="82">
                  <c:v>9.9436920353440095E-3</c:v>
                </c:pt>
                <c:pt idx="83">
                  <c:v>9.9436920353440095E-3</c:v>
                </c:pt>
                <c:pt idx="84">
                  <c:v>9.9436920353440095E-3</c:v>
                </c:pt>
                <c:pt idx="85">
                  <c:v>9.9436920353440095E-3</c:v>
                </c:pt>
                <c:pt idx="86">
                  <c:v>9.9436920353440095E-3</c:v>
                </c:pt>
                <c:pt idx="87">
                  <c:v>9.9436920353440095E-3</c:v>
                </c:pt>
                <c:pt idx="88">
                  <c:v>9.9436920353440095E-3</c:v>
                </c:pt>
                <c:pt idx="89">
                  <c:v>9.9436920353440095E-3</c:v>
                </c:pt>
                <c:pt idx="90">
                  <c:v>9.9436920353440095E-3</c:v>
                </c:pt>
                <c:pt idx="91">
                  <c:v>9.9436920353440095E-3</c:v>
                </c:pt>
                <c:pt idx="92">
                  <c:v>9.9436920353440095E-3</c:v>
                </c:pt>
                <c:pt idx="93">
                  <c:v>9.9436920353440095E-3</c:v>
                </c:pt>
                <c:pt idx="94">
                  <c:v>9.9436920353440095E-3</c:v>
                </c:pt>
                <c:pt idx="95">
                  <c:v>9.9436920353440095E-3</c:v>
                </c:pt>
                <c:pt idx="96">
                  <c:v>9.9436920353440095E-3</c:v>
                </c:pt>
                <c:pt idx="97">
                  <c:v>9.9436920353440095E-3</c:v>
                </c:pt>
                <c:pt idx="98">
                  <c:v>9.9436920353440095E-3</c:v>
                </c:pt>
                <c:pt idx="99">
                  <c:v>9.9436920353440095E-3</c:v>
                </c:pt>
                <c:pt idx="100">
                  <c:v>9.9436920353440095E-3</c:v>
                </c:pt>
                <c:pt idx="101">
                  <c:v>9.9436920353440095E-3</c:v>
                </c:pt>
                <c:pt idx="102">
                  <c:v>1.0554988342759709E-2</c:v>
                </c:pt>
                <c:pt idx="103">
                  <c:v>9.6896632433655788E-3</c:v>
                </c:pt>
                <c:pt idx="104">
                  <c:v>9.7677455485123792E-3</c:v>
                </c:pt>
                <c:pt idx="105">
                  <c:v>8.1275723216695586E-3</c:v>
                </c:pt>
                <c:pt idx="106">
                  <c:v>8.84562454810996E-3</c:v>
                </c:pt>
                <c:pt idx="107">
                  <c:v>1.037050268500336E-2</c:v>
                </c:pt>
                <c:pt idx="108">
                  <c:v>8.6944327549613627E-3</c:v>
                </c:pt>
                <c:pt idx="109">
                  <c:v>1.1154636169499743E-2</c:v>
                </c:pt>
                <c:pt idx="110">
                  <c:v>1.3073309063063504E-2</c:v>
                </c:pt>
                <c:pt idx="111">
                  <c:v>1.3073309063063504E-2</c:v>
                </c:pt>
                <c:pt idx="112">
                  <c:v>1.3073309063063504E-2</c:v>
                </c:pt>
                <c:pt idx="113">
                  <c:v>1.3073309063063504E-2</c:v>
                </c:pt>
                <c:pt idx="114">
                  <c:v>1.3073309063063504E-2</c:v>
                </c:pt>
                <c:pt idx="115">
                  <c:v>1.3073309063063504E-2</c:v>
                </c:pt>
                <c:pt idx="116">
                  <c:v>1.3073309063063504E-2</c:v>
                </c:pt>
                <c:pt idx="117">
                  <c:v>1.3073309063063504E-2</c:v>
                </c:pt>
                <c:pt idx="118">
                  <c:v>1.3073309063063504E-2</c:v>
                </c:pt>
                <c:pt idx="119">
                  <c:v>1.3073309063063504E-2</c:v>
                </c:pt>
                <c:pt idx="120">
                  <c:v>1.3073309063063504E-2</c:v>
                </c:pt>
                <c:pt idx="121">
                  <c:v>1.3073309063063504E-2</c:v>
                </c:pt>
                <c:pt idx="122">
                  <c:v>1.3073309063063504E-2</c:v>
                </c:pt>
                <c:pt idx="123">
                  <c:v>1.3073309063063504E-2</c:v>
                </c:pt>
                <c:pt idx="124">
                  <c:v>1.3073309063063504E-2</c:v>
                </c:pt>
                <c:pt idx="125">
                  <c:v>1.3073309063063504E-2</c:v>
                </c:pt>
                <c:pt idx="126">
                  <c:v>1.3073309063063504E-2</c:v>
                </c:pt>
                <c:pt idx="127">
                  <c:v>1.3073309063063504E-2</c:v>
                </c:pt>
                <c:pt idx="128">
                  <c:v>1.3073309063063504E-2</c:v>
                </c:pt>
                <c:pt idx="129">
                  <c:v>1.3073309063063504E-2</c:v>
                </c:pt>
                <c:pt idx="130">
                  <c:v>1.3073309063063504E-2</c:v>
                </c:pt>
                <c:pt idx="131">
                  <c:v>1.3073309063063504E-2</c:v>
                </c:pt>
                <c:pt idx="132">
                  <c:v>1.3073309063063504E-2</c:v>
                </c:pt>
                <c:pt idx="133">
                  <c:v>1.3073309063063504E-2</c:v>
                </c:pt>
                <c:pt idx="134">
                  <c:v>1.3073309063063504E-2</c:v>
                </c:pt>
                <c:pt idx="135">
                  <c:v>1.3073309063063504E-2</c:v>
                </c:pt>
                <c:pt idx="136">
                  <c:v>1.3073309063063504E-2</c:v>
                </c:pt>
                <c:pt idx="137">
                  <c:v>1.3073309063063504E-2</c:v>
                </c:pt>
                <c:pt idx="138">
                  <c:v>1.2497710377685302E-2</c:v>
                </c:pt>
                <c:pt idx="139">
                  <c:v>1.2958473061205001E-2</c:v>
                </c:pt>
                <c:pt idx="140">
                  <c:v>1.4093416424513706E-2</c:v>
                </c:pt>
                <c:pt idx="141">
                  <c:v>1.3545226044926598E-2</c:v>
                </c:pt>
                <c:pt idx="142">
                  <c:v>1.3407974223973357E-2</c:v>
                </c:pt>
                <c:pt idx="143">
                  <c:v>1.2595360005842255E-2</c:v>
                </c:pt>
                <c:pt idx="144">
                  <c:v>1.4560148840855325E-2</c:v>
                </c:pt>
                <c:pt idx="145">
                  <c:v>1.4560148840855325E-2</c:v>
                </c:pt>
                <c:pt idx="146">
                  <c:v>1.4560148840855325E-2</c:v>
                </c:pt>
                <c:pt idx="147">
                  <c:v>1.4560148840855325E-2</c:v>
                </c:pt>
                <c:pt idx="148">
                  <c:v>1.4560148840855325E-2</c:v>
                </c:pt>
                <c:pt idx="149">
                  <c:v>1.4560148840855325E-2</c:v>
                </c:pt>
                <c:pt idx="150">
                  <c:v>1.4560148840855325E-2</c:v>
                </c:pt>
                <c:pt idx="151">
                  <c:v>1.4560148840855325E-2</c:v>
                </c:pt>
                <c:pt idx="152">
                  <c:v>1.4560148840855325E-2</c:v>
                </c:pt>
                <c:pt idx="153">
                  <c:v>1.4560148840855325E-2</c:v>
                </c:pt>
                <c:pt idx="154">
                  <c:v>1.4560148840855325E-2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5-4345-ADB2-B6AF9FD1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2.5655612473939916E-4</c:v>
                </c:pt>
                <c:pt idx="2">
                  <c:v>1.4888443451512995E-3</c:v>
                </c:pt>
                <c:pt idx="3">
                  <c:v>1.4888443451512995E-3</c:v>
                </c:pt>
                <c:pt idx="4">
                  <c:v>1.2025087944443E-3</c:v>
                </c:pt>
                <c:pt idx="5">
                  <c:v>7.4999325402271E-4</c:v>
                </c:pt>
                <c:pt idx="6">
                  <c:v>1.8789443912536306E-3</c:v>
                </c:pt>
                <c:pt idx="7">
                  <c:v>8.9133253718635085E-4</c:v>
                </c:pt>
                <c:pt idx="8">
                  <c:v>3.4405568045157075E-4</c:v>
                </c:pt>
                <c:pt idx="9">
                  <c:v>-2.1543484582362904E-4</c:v>
                </c:pt>
                <c:pt idx="10">
                  <c:v>1.080535642696051E-3</c:v>
                </c:pt>
                <c:pt idx="11">
                  <c:v>1.1524504651167209E-3</c:v>
                </c:pt>
                <c:pt idx="12">
                  <c:v>2.0840910578076109E-3</c:v>
                </c:pt>
                <c:pt idx="13">
                  <c:v>2.6012559594189512E-3</c:v>
                </c:pt>
                <c:pt idx="14">
                  <c:v>2.6012559594189512E-3</c:v>
                </c:pt>
                <c:pt idx="15">
                  <c:v>2.6012559594189512E-3</c:v>
                </c:pt>
                <c:pt idx="16">
                  <c:v>2.6012559594189512E-3</c:v>
                </c:pt>
                <c:pt idx="17">
                  <c:v>2.6012559594189512E-3</c:v>
                </c:pt>
                <c:pt idx="18">
                  <c:v>2.6012559594189512E-3</c:v>
                </c:pt>
                <c:pt idx="19">
                  <c:v>2.6012559594189512E-3</c:v>
                </c:pt>
                <c:pt idx="20">
                  <c:v>2.6012559594189512E-3</c:v>
                </c:pt>
                <c:pt idx="21">
                  <c:v>2.6012559594189512E-3</c:v>
                </c:pt>
                <c:pt idx="22">
                  <c:v>2.6012559594189512E-3</c:v>
                </c:pt>
                <c:pt idx="23">
                  <c:v>2.6012559594189512E-3</c:v>
                </c:pt>
                <c:pt idx="24">
                  <c:v>2.6012559594189512E-3</c:v>
                </c:pt>
                <c:pt idx="25">
                  <c:v>2.6012559594189512E-3</c:v>
                </c:pt>
                <c:pt idx="26">
                  <c:v>2.6012559594189512E-3</c:v>
                </c:pt>
                <c:pt idx="27">
                  <c:v>2.6012559594189512E-3</c:v>
                </c:pt>
                <c:pt idx="28">
                  <c:v>2.6012559594189512E-3</c:v>
                </c:pt>
                <c:pt idx="29">
                  <c:v>2.6012559594189512E-3</c:v>
                </c:pt>
                <c:pt idx="30">
                  <c:v>2.6012559594189512E-3</c:v>
                </c:pt>
                <c:pt idx="31">
                  <c:v>2.6012559594189512E-3</c:v>
                </c:pt>
                <c:pt idx="32">
                  <c:v>2.6012559594189512E-3</c:v>
                </c:pt>
                <c:pt idx="33">
                  <c:v>2.6012559594189512E-3</c:v>
                </c:pt>
                <c:pt idx="34">
                  <c:v>2.6012559594189512E-3</c:v>
                </c:pt>
                <c:pt idx="35">
                  <c:v>2.6012559594189512E-3</c:v>
                </c:pt>
                <c:pt idx="36">
                  <c:v>2.6012559594189512E-3</c:v>
                </c:pt>
                <c:pt idx="37">
                  <c:v>2.6012559594189512E-3</c:v>
                </c:pt>
                <c:pt idx="38">
                  <c:v>2.6012559594189512E-3</c:v>
                </c:pt>
                <c:pt idx="39">
                  <c:v>2.6012559594189512E-3</c:v>
                </c:pt>
                <c:pt idx="40">
                  <c:v>2.6012559594189512E-3</c:v>
                </c:pt>
                <c:pt idx="41">
                  <c:v>2.4545515141912813E-3</c:v>
                </c:pt>
                <c:pt idx="42">
                  <c:v>3.8022706021765911E-3</c:v>
                </c:pt>
                <c:pt idx="43">
                  <c:v>2.6216849298691513E-3</c:v>
                </c:pt>
                <c:pt idx="44">
                  <c:v>4.1145357479711632E-3</c:v>
                </c:pt>
                <c:pt idx="45">
                  <c:v>4.4548405359269641E-3</c:v>
                </c:pt>
                <c:pt idx="46">
                  <c:v>5.3698787731191137E-3</c:v>
                </c:pt>
                <c:pt idx="47">
                  <c:v>5.3698787731191137E-3</c:v>
                </c:pt>
                <c:pt idx="48">
                  <c:v>5.3698787731191137E-3</c:v>
                </c:pt>
                <c:pt idx="49">
                  <c:v>5.3698787731191137E-3</c:v>
                </c:pt>
                <c:pt idx="50">
                  <c:v>5.3698787731191137E-3</c:v>
                </c:pt>
                <c:pt idx="51">
                  <c:v>6.5197306679994731E-3</c:v>
                </c:pt>
                <c:pt idx="52">
                  <c:v>6.5532081805449727E-3</c:v>
                </c:pt>
                <c:pt idx="53">
                  <c:v>6.3755470098101324E-3</c:v>
                </c:pt>
                <c:pt idx="54">
                  <c:v>6.5112046102351329E-3</c:v>
                </c:pt>
                <c:pt idx="55">
                  <c:v>5.4358163853694729E-3</c:v>
                </c:pt>
                <c:pt idx="56">
                  <c:v>8.7017859900539712E-3</c:v>
                </c:pt>
                <c:pt idx="57">
                  <c:v>8.7017859900539712E-3</c:v>
                </c:pt>
                <c:pt idx="58">
                  <c:v>8.7017859900539712E-3</c:v>
                </c:pt>
                <c:pt idx="59">
                  <c:v>8.7017859900539712E-3</c:v>
                </c:pt>
                <c:pt idx="60">
                  <c:v>8.7017859900539712E-3</c:v>
                </c:pt>
                <c:pt idx="61">
                  <c:v>8.7017859900539712E-3</c:v>
                </c:pt>
                <c:pt idx="62">
                  <c:v>8.7017859900539712E-3</c:v>
                </c:pt>
                <c:pt idx="63">
                  <c:v>8.7017859900539712E-3</c:v>
                </c:pt>
                <c:pt idx="64">
                  <c:v>8.7017859900539712E-3</c:v>
                </c:pt>
                <c:pt idx="65">
                  <c:v>8.7017859900539712E-3</c:v>
                </c:pt>
                <c:pt idx="66">
                  <c:v>1.234676275273267E-2</c:v>
                </c:pt>
                <c:pt idx="67">
                  <c:v>1.254494799476296E-2</c:v>
                </c:pt>
                <c:pt idx="68">
                  <c:v>1.254494799476296E-2</c:v>
                </c:pt>
                <c:pt idx="69">
                  <c:v>1.254494799476296E-2</c:v>
                </c:pt>
                <c:pt idx="70">
                  <c:v>1.254494799476296E-2</c:v>
                </c:pt>
                <c:pt idx="71">
                  <c:v>1.254494799476296E-2</c:v>
                </c:pt>
                <c:pt idx="72">
                  <c:v>1.254494799476296E-2</c:v>
                </c:pt>
                <c:pt idx="73">
                  <c:v>1.254494799476296E-2</c:v>
                </c:pt>
                <c:pt idx="74">
                  <c:v>1.254494799476296E-2</c:v>
                </c:pt>
                <c:pt idx="75">
                  <c:v>1.254494799476296E-2</c:v>
                </c:pt>
                <c:pt idx="76">
                  <c:v>1.254494799476296E-2</c:v>
                </c:pt>
                <c:pt idx="77">
                  <c:v>1.254494799476296E-2</c:v>
                </c:pt>
                <c:pt idx="78">
                  <c:v>1.254494799476296E-2</c:v>
                </c:pt>
                <c:pt idx="79">
                  <c:v>1.254494799476296E-2</c:v>
                </c:pt>
                <c:pt idx="80">
                  <c:v>1.254494799476296E-2</c:v>
                </c:pt>
                <c:pt idx="81">
                  <c:v>1.254494799476296E-2</c:v>
                </c:pt>
                <c:pt idx="82">
                  <c:v>1.254494799476296E-2</c:v>
                </c:pt>
                <c:pt idx="83">
                  <c:v>1.254494799476296E-2</c:v>
                </c:pt>
                <c:pt idx="84">
                  <c:v>1.254494799476296E-2</c:v>
                </c:pt>
                <c:pt idx="85">
                  <c:v>1.254494799476296E-2</c:v>
                </c:pt>
                <c:pt idx="86">
                  <c:v>1.254494799476296E-2</c:v>
                </c:pt>
                <c:pt idx="87">
                  <c:v>1.254494799476296E-2</c:v>
                </c:pt>
                <c:pt idx="88">
                  <c:v>1.254494799476296E-2</c:v>
                </c:pt>
                <c:pt idx="89">
                  <c:v>1.254494799476296E-2</c:v>
                </c:pt>
                <c:pt idx="90">
                  <c:v>1.254494799476296E-2</c:v>
                </c:pt>
                <c:pt idx="91">
                  <c:v>1.254494799476296E-2</c:v>
                </c:pt>
                <c:pt idx="92">
                  <c:v>1.254494799476296E-2</c:v>
                </c:pt>
                <c:pt idx="93">
                  <c:v>1.254494799476296E-2</c:v>
                </c:pt>
                <c:pt idx="94">
                  <c:v>1.254494799476296E-2</c:v>
                </c:pt>
                <c:pt idx="95">
                  <c:v>1.254494799476296E-2</c:v>
                </c:pt>
                <c:pt idx="96">
                  <c:v>1.254494799476296E-2</c:v>
                </c:pt>
                <c:pt idx="97">
                  <c:v>1.254494799476296E-2</c:v>
                </c:pt>
                <c:pt idx="98">
                  <c:v>1.254494799476296E-2</c:v>
                </c:pt>
                <c:pt idx="99">
                  <c:v>1.254494799476296E-2</c:v>
                </c:pt>
                <c:pt idx="100">
                  <c:v>1.254494799476296E-2</c:v>
                </c:pt>
                <c:pt idx="101">
                  <c:v>1.254494799476296E-2</c:v>
                </c:pt>
                <c:pt idx="102">
                  <c:v>1.315624430217866E-2</c:v>
                </c:pt>
                <c:pt idx="103">
                  <c:v>1.229091920278453E-2</c:v>
                </c:pt>
                <c:pt idx="104">
                  <c:v>1.236900150793133E-2</c:v>
                </c:pt>
                <c:pt idx="105">
                  <c:v>1.0728828281088509E-2</c:v>
                </c:pt>
                <c:pt idx="106">
                  <c:v>1.1446880507528911E-2</c:v>
                </c:pt>
                <c:pt idx="107">
                  <c:v>1.2971758644422311E-2</c:v>
                </c:pt>
                <c:pt idx="108">
                  <c:v>1.1295688714380313E-2</c:v>
                </c:pt>
                <c:pt idx="109">
                  <c:v>1.3755892128918694E-2</c:v>
                </c:pt>
                <c:pt idx="110">
                  <c:v>1.5674565022482455E-2</c:v>
                </c:pt>
                <c:pt idx="111">
                  <c:v>1.5674565022482455E-2</c:v>
                </c:pt>
                <c:pt idx="112">
                  <c:v>1.5674565022482455E-2</c:v>
                </c:pt>
                <c:pt idx="113">
                  <c:v>1.5674565022482455E-2</c:v>
                </c:pt>
                <c:pt idx="114">
                  <c:v>1.5674565022482455E-2</c:v>
                </c:pt>
                <c:pt idx="115">
                  <c:v>1.5674565022482455E-2</c:v>
                </c:pt>
                <c:pt idx="116">
                  <c:v>1.5813118959714316E-2</c:v>
                </c:pt>
                <c:pt idx="117">
                  <c:v>1.6483612694255904E-2</c:v>
                </c:pt>
                <c:pt idx="118">
                  <c:v>1.6686492617250206E-2</c:v>
                </c:pt>
                <c:pt idx="119">
                  <c:v>1.6016839481353108E-2</c:v>
                </c:pt>
                <c:pt idx="120">
                  <c:v>1.5445600204676307E-2</c:v>
                </c:pt>
                <c:pt idx="121">
                  <c:v>1.4686558189013307E-2</c:v>
                </c:pt>
                <c:pt idx="122">
                  <c:v>1.4810350168020988E-2</c:v>
                </c:pt>
                <c:pt idx="123">
                  <c:v>1.6165598308573385E-2</c:v>
                </c:pt>
                <c:pt idx="124">
                  <c:v>1.6165598308573385E-2</c:v>
                </c:pt>
                <c:pt idx="125">
                  <c:v>1.6165598308573385E-2</c:v>
                </c:pt>
                <c:pt idx="126">
                  <c:v>1.6165598308573385E-2</c:v>
                </c:pt>
                <c:pt idx="127">
                  <c:v>1.6165598308573385E-2</c:v>
                </c:pt>
                <c:pt idx="128">
                  <c:v>1.6165598308573385E-2</c:v>
                </c:pt>
                <c:pt idx="129">
                  <c:v>1.6165598308573385E-2</c:v>
                </c:pt>
                <c:pt idx="130">
                  <c:v>1.6165598308573385E-2</c:v>
                </c:pt>
                <c:pt idx="131">
                  <c:v>1.6165598308573385E-2</c:v>
                </c:pt>
                <c:pt idx="132">
                  <c:v>1.6165598308573385E-2</c:v>
                </c:pt>
                <c:pt idx="133">
                  <c:v>1.6165598308573385E-2</c:v>
                </c:pt>
                <c:pt idx="134">
                  <c:v>1.6165598308573385E-2</c:v>
                </c:pt>
                <c:pt idx="135">
                  <c:v>1.6165598308573385E-2</c:v>
                </c:pt>
                <c:pt idx="136">
                  <c:v>1.6165598308573385E-2</c:v>
                </c:pt>
                <c:pt idx="137">
                  <c:v>1.6165598308573385E-2</c:v>
                </c:pt>
                <c:pt idx="138">
                  <c:v>1.5589999623195183E-2</c:v>
                </c:pt>
                <c:pt idx="139">
                  <c:v>1.6050762306714882E-2</c:v>
                </c:pt>
                <c:pt idx="140">
                  <c:v>1.7185705670023588E-2</c:v>
                </c:pt>
                <c:pt idx="141">
                  <c:v>1.6637515290436479E-2</c:v>
                </c:pt>
                <c:pt idx="142">
                  <c:v>1.6500263469483238E-2</c:v>
                </c:pt>
                <c:pt idx="143">
                  <c:v>1.5687649251352138E-2</c:v>
                </c:pt>
                <c:pt idx="144">
                  <c:v>1.765243808636521E-2</c:v>
                </c:pt>
                <c:pt idx="145">
                  <c:v>1.765243808636521E-2</c:v>
                </c:pt>
                <c:pt idx="146">
                  <c:v>1.765243808636521E-2</c:v>
                </c:pt>
                <c:pt idx="147">
                  <c:v>1.765243808636521E-2</c:v>
                </c:pt>
                <c:pt idx="148">
                  <c:v>1.765243808636521E-2</c:v>
                </c:pt>
                <c:pt idx="149">
                  <c:v>1.765243808636521E-2</c:v>
                </c:pt>
                <c:pt idx="150">
                  <c:v>1.765243808636521E-2</c:v>
                </c:pt>
                <c:pt idx="151">
                  <c:v>1.765243808636521E-2</c:v>
                </c:pt>
                <c:pt idx="152">
                  <c:v>1.765243808636521E-2</c:v>
                </c:pt>
                <c:pt idx="153">
                  <c:v>1.765243808636521E-2</c:v>
                </c:pt>
                <c:pt idx="154">
                  <c:v>1.765243808636521E-2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C-45D9-82C7-E835167A2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1879C-6A89-47DE-AB8A-3944F99C5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6DCCE3-9CAA-4800-AE5E-DEAD7821F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F5F107-A784-4668-9616-23C775B4F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BAD2E-4FAA-43C6-ADAD-F55449298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A34AA2-061B-4DBA-BDFD-04C86DF67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BD1088-4C99-4D3B-B069-F35F944DC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DDE798-C459-4D45-A31B-40AF69443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KBE_KBWB_0.xlsx" TargetMode="External"/><Relationship Id="rId1" Type="http://schemas.openxmlformats.org/officeDocument/2006/relationships/externalLinkPath" Target="KBE_KBWB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 xml:space="preserve"> KBWB/KBE avg </v>
          </cell>
          <cell r="P1" t="str">
            <v xml:space="preserve"> KBWB/KBE 10 dma </v>
          </cell>
          <cell r="Q1" t="str">
            <v xml:space="preserve"> KBWB/KBE 20 dma </v>
          </cell>
          <cell r="U1" t="str">
            <v>log diff KBE x avg / KBWB</v>
          </cell>
          <cell r="V1" t="str">
            <v>log diff KBE x 10 dma / KBWB</v>
          </cell>
          <cell r="W1" t="str">
            <v>log diff KBE x 20 dma / KBWB</v>
          </cell>
          <cell r="Y1" t="str">
            <v xml:space="preserve"> KBWB*/KBE* avg </v>
          </cell>
          <cell r="Z1" t="str">
            <v xml:space="preserve"> KBWB*/KBE* 10 dma </v>
          </cell>
          <cell r="AA1" t="str">
            <v xml:space="preserve"> KBWB*/KBE* 20 dma </v>
          </cell>
          <cell r="AE1" t="str">
            <v>log diff KBE* x avg / KBWB*</v>
          </cell>
          <cell r="AF1" t="str">
            <v>log diff KBE* x 10 dma / KBWB*</v>
          </cell>
          <cell r="AG1" t="str">
            <v>log diff KBE* x 20 dma / KBWB*</v>
          </cell>
        </row>
        <row r="2">
          <cell r="O2">
            <v>1.3664000000000001</v>
          </cell>
          <cell r="Y2">
            <v>1.3664000000000001</v>
          </cell>
        </row>
        <row r="3">
          <cell r="O3">
            <v>1.3664000000000001</v>
          </cell>
          <cell r="U3">
            <v>-2.9739999999999999E-2</v>
          </cell>
          <cell r="Y3">
            <v>1.3664000000000001</v>
          </cell>
          <cell r="AE3">
            <v>-2.9739999999999999E-2</v>
          </cell>
        </row>
        <row r="4">
          <cell r="O4">
            <v>1.3664000000000001</v>
          </cell>
          <cell r="U4">
            <v>-2.9964999999999999E-2</v>
          </cell>
          <cell r="Y4">
            <v>1.3664000000000001</v>
          </cell>
          <cell r="AE4">
            <v>-2.9964999999999999E-2</v>
          </cell>
        </row>
        <row r="5">
          <cell r="O5">
            <v>1.3664000000000001</v>
          </cell>
          <cell r="U5">
            <v>-2.2520999999999999E-2</v>
          </cell>
          <cell r="Y5">
            <v>1.3664000000000001</v>
          </cell>
          <cell r="AE5">
            <v>-2.2520999999999999E-2</v>
          </cell>
        </row>
        <row r="6">
          <cell r="O6">
            <v>1.3664000000000001</v>
          </cell>
          <cell r="U6">
            <v>-1.2663000000000001E-2</v>
          </cell>
          <cell r="Y6">
            <v>1.3664000000000001</v>
          </cell>
          <cell r="AE6">
            <v>-1.2663000000000001E-2</v>
          </cell>
        </row>
        <row r="7">
          <cell r="O7">
            <v>1.3664000000000001</v>
          </cell>
          <cell r="U7">
            <v>-1.3635E-2</v>
          </cell>
          <cell r="Y7">
            <v>1.3664000000000001</v>
          </cell>
          <cell r="AE7">
            <v>-1.3635E-2</v>
          </cell>
        </row>
        <row r="8">
          <cell r="O8">
            <v>1.3664000000000001</v>
          </cell>
          <cell r="U8">
            <v>-1.7075E-2</v>
          </cell>
          <cell r="Y8">
            <v>1.3664000000000001</v>
          </cell>
          <cell r="AE8">
            <v>-1.7075E-2</v>
          </cell>
        </row>
        <row r="9">
          <cell r="O9">
            <v>1.3664000000000001</v>
          </cell>
          <cell r="U9">
            <v>-1.3346999999999999E-2</v>
          </cell>
          <cell r="Y9">
            <v>1.3664000000000001</v>
          </cell>
          <cell r="AE9">
            <v>-1.3346999999999999E-2</v>
          </cell>
        </row>
        <row r="10">
          <cell r="O10">
            <v>1.3664000000000001</v>
          </cell>
          <cell r="U10">
            <v>2.4689999999999998E-3</v>
          </cell>
          <cell r="Y10">
            <v>1.3664000000000001</v>
          </cell>
          <cell r="AE10">
            <v>2.4689999999999998E-3</v>
          </cell>
        </row>
        <row r="11">
          <cell r="O11">
            <v>1.3664000000000001</v>
          </cell>
          <cell r="P11">
            <v>1.3882000000000001</v>
          </cell>
          <cell r="U11">
            <v>4.1200000000000004E-3</v>
          </cell>
          <cell r="Y11">
            <v>1.3664000000000001</v>
          </cell>
          <cell r="Z11">
            <v>1.3882000000000001</v>
          </cell>
          <cell r="AE11">
            <v>4.1200000000000004E-3</v>
          </cell>
        </row>
        <row r="12">
          <cell r="O12">
            <v>1.3664000000000001</v>
          </cell>
          <cell r="P12">
            <v>1.3842000000000001</v>
          </cell>
          <cell r="U12">
            <v>3.444E-3</v>
          </cell>
          <cell r="V12">
            <v>1.9317999999999998E-2</v>
          </cell>
          <cell r="Y12">
            <v>1.3664000000000001</v>
          </cell>
          <cell r="Z12">
            <v>1.3842000000000001</v>
          </cell>
          <cell r="AE12">
            <v>3.444E-3</v>
          </cell>
          <cell r="AF12">
            <v>1.9317999999999998E-2</v>
          </cell>
        </row>
        <row r="13">
          <cell r="O13">
            <v>1.3664000000000001</v>
          </cell>
          <cell r="P13">
            <v>1.3793</v>
          </cell>
          <cell r="U13">
            <v>5.4920000000000004E-3</v>
          </cell>
          <cell r="V13">
            <v>1.8457000000000001E-2</v>
          </cell>
          <cell r="Y13">
            <v>1.3664000000000001</v>
          </cell>
          <cell r="Z13">
            <v>1.3793</v>
          </cell>
          <cell r="AE13">
            <v>5.4920000000000004E-3</v>
          </cell>
          <cell r="AF13">
            <v>1.8457000000000001E-2</v>
          </cell>
        </row>
        <row r="14">
          <cell r="O14">
            <v>1.3664000000000001</v>
          </cell>
          <cell r="P14">
            <v>1.3716999999999999</v>
          </cell>
          <cell r="U14">
            <v>2.6144000000000001E-2</v>
          </cell>
          <cell r="V14">
            <v>3.5582000000000003E-2</v>
          </cell>
          <cell r="Y14">
            <v>1.3664000000000001</v>
          </cell>
          <cell r="Z14">
            <v>1.3716999999999999</v>
          </cell>
          <cell r="AE14">
            <v>2.6144000000000001E-2</v>
          </cell>
          <cell r="AF14">
            <v>3.5582000000000003E-2</v>
          </cell>
        </row>
        <row r="15">
          <cell r="O15">
            <v>1.3664000000000001</v>
          </cell>
          <cell r="P15">
            <v>1.365</v>
          </cell>
          <cell r="U15">
            <v>2.622E-2</v>
          </cell>
          <cell r="V15">
            <v>3.0072999999999999E-2</v>
          </cell>
          <cell r="Y15">
            <v>1.3664000000000001</v>
          </cell>
          <cell r="Z15">
            <v>1.365</v>
          </cell>
          <cell r="AE15">
            <v>2.622E-2</v>
          </cell>
          <cell r="AF15">
            <v>3.0072999999999999E-2</v>
          </cell>
        </row>
        <row r="16">
          <cell r="O16">
            <v>1.3664000000000001</v>
          </cell>
          <cell r="P16">
            <v>1.3611</v>
          </cell>
          <cell r="U16">
            <v>1.6275000000000001E-2</v>
          </cell>
          <cell r="V16">
            <v>1.5270000000000001E-2</v>
          </cell>
          <cell r="Y16">
            <v>1.3664000000000001</v>
          </cell>
          <cell r="Z16">
            <v>1.3611</v>
          </cell>
          <cell r="AE16">
            <v>1.6275000000000001E-2</v>
          </cell>
          <cell r="AF16">
            <v>1.5270000000000001E-2</v>
          </cell>
        </row>
        <row r="17">
          <cell r="O17">
            <v>1.3664000000000001</v>
          </cell>
          <cell r="P17">
            <v>1.3573999999999999</v>
          </cell>
          <cell r="U17">
            <v>1.3339999999999999E-2</v>
          </cell>
          <cell r="V17">
            <v>9.4389999999999995E-3</v>
          </cell>
          <cell r="Y17">
            <v>1.3664000000000001</v>
          </cell>
          <cell r="Z17">
            <v>1.3573999999999999</v>
          </cell>
          <cell r="AE17">
            <v>1.3339999999999999E-2</v>
          </cell>
          <cell r="AF17">
            <v>9.4389999999999995E-3</v>
          </cell>
        </row>
        <row r="18">
          <cell r="O18">
            <v>1.3664000000000001</v>
          </cell>
          <cell r="P18">
            <v>1.3533999999999999</v>
          </cell>
          <cell r="U18">
            <v>1.1967E-2</v>
          </cell>
          <cell r="V18">
            <v>5.3540000000000003E-3</v>
          </cell>
          <cell r="Y18">
            <v>1.3664000000000001</v>
          </cell>
          <cell r="Z18">
            <v>1.3533999999999999</v>
          </cell>
          <cell r="AE18">
            <v>1.1967E-2</v>
          </cell>
          <cell r="AF18">
            <v>5.3540000000000003E-3</v>
          </cell>
        </row>
        <row r="19">
          <cell r="O19">
            <v>1.3664000000000001</v>
          </cell>
          <cell r="P19">
            <v>1.35</v>
          </cell>
          <cell r="U19">
            <v>1.159E-2</v>
          </cell>
          <cell r="V19">
            <v>2.042E-3</v>
          </cell>
          <cell r="Y19">
            <v>1.3664000000000001</v>
          </cell>
          <cell r="Z19">
            <v>1.35</v>
          </cell>
          <cell r="AE19">
            <v>1.159E-2</v>
          </cell>
          <cell r="AF19">
            <v>2.042E-3</v>
          </cell>
        </row>
        <row r="20">
          <cell r="O20">
            <v>1.3664000000000001</v>
          </cell>
          <cell r="P20">
            <v>1.3483000000000001</v>
          </cell>
          <cell r="U20">
            <v>1.4926999999999999E-2</v>
          </cell>
          <cell r="V20">
            <v>2.8549999999999999E-3</v>
          </cell>
          <cell r="Y20">
            <v>1.3664000000000001</v>
          </cell>
          <cell r="Z20">
            <v>1.3483000000000001</v>
          </cell>
          <cell r="AE20">
            <v>1.4926999999999999E-2</v>
          </cell>
          <cell r="AF20">
            <v>2.8549999999999999E-3</v>
          </cell>
        </row>
        <row r="21">
          <cell r="O21">
            <v>1.3664000000000001</v>
          </cell>
          <cell r="P21">
            <v>1.3478000000000001</v>
          </cell>
          <cell r="Q21">
            <v>1.3680000000000001</v>
          </cell>
          <cell r="U21">
            <v>7.6360000000000004E-3</v>
          </cell>
          <cell r="V21">
            <v>-5.6860000000000001E-3</v>
          </cell>
          <cell r="Y21">
            <v>1.3664000000000001</v>
          </cell>
          <cell r="Z21">
            <v>1.3478000000000001</v>
          </cell>
          <cell r="AA21">
            <v>1.3680000000000001</v>
          </cell>
          <cell r="AE21">
            <v>7.6360000000000004E-3</v>
          </cell>
          <cell r="AF21">
            <v>-5.6860000000000001E-3</v>
          </cell>
        </row>
        <row r="22">
          <cell r="O22">
            <v>1.3664000000000001</v>
          </cell>
          <cell r="P22">
            <v>1.3474999999999999</v>
          </cell>
          <cell r="Q22">
            <v>1.3658999999999999</v>
          </cell>
          <cell r="U22">
            <v>5.5929999999999999E-3</v>
          </cell>
          <cell r="V22">
            <v>-8.0839999999999992E-3</v>
          </cell>
          <cell r="W22">
            <v>6.7999999999999996E-3</v>
          </cell>
          <cell r="Y22">
            <v>1.3664000000000001</v>
          </cell>
          <cell r="Z22">
            <v>1.3474999999999999</v>
          </cell>
          <cell r="AA22">
            <v>1.3658999999999999</v>
          </cell>
          <cell r="AE22">
            <v>5.5929999999999999E-3</v>
          </cell>
          <cell r="AF22">
            <v>-8.0839999999999992E-3</v>
          </cell>
          <cell r="AG22">
            <v>6.7999999999999996E-3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1.3664000000000001</v>
          </cell>
          <cell r="P23">
            <v>1.3471</v>
          </cell>
          <cell r="Q23">
            <v>1.3632</v>
          </cell>
          <cell r="U23">
            <v>8.7779999999999993E-3</v>
          </cell>
          <cell r="V23">
            <v>-5.1149999999999998E-3</v>
          </cell>
          <cell r="W23">
            <v>8.404E-3</v>
          </cell>
          <cell r="Y23">
            <v>1.3664000000000001</v>
          </cell>
          <cell r="Z23">
            <v>1.3471</v>
          </cell>
          <cell r="AA23">
            <v>1.3632</v>
          </cell>
          <cell r="AE23">
            <v>8.7779999999999993E-3</v>
          </cell>
          <cell r="AF23">
            <v>-5.1149999999999998E-3</v>
          </cell>
          <cell r="AG23">
            <v>8.404E-3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1.3664000000000001</v>
          </cell>
          <cell r="P24">
            <v>1.3484</v>
          </cell>
          <cell r="Q24">
            <v>1.36</v>
          </cell>
          <cell r="U24">
            <v>1.6293999999999999E-2</v>
          </cell>
          <cell r="V24">
            <v>2.0690000000000001E-3</v>
          </cell>
          <cell r="W24">
            <v>1.3971000000000001E-2</v>
          </cell>
          <cell r="Y24">
            <v>1.3664000000000001</v>
          </cell>
          <cell r="Z24">
            <v>1.3484</v>
          </cell>
          <cell r="AA24">
            <v>1.36</v>
          </cell>
          <cell r="AE24">
            <v>1.6293999999999999E-2</v>
          </cell>
          <cell r="AF24">
            <v>2.0690000000000001E-3</v>
          </cell>
          <cell r="AG24">
            <v>1.3971000000000001E-2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1.3664000000000001</v>
          </cell>
          <cell r="P25">
            <v>1.3486</v>
          </cell>
          <cell r="Q25">
            <v>1.3568</v>
          </cell>
          <cell r="U25">
            <v>2.4974E-2</v>
          </cell>
          <cell r="V25">
            <v>1.1728000000000001E-2</v>
          </cell>
          <cell r="W25">
            <v>2.0313999999999999E-2</v>
          </cell>
          <cell r="Y25">
            <v>1.3664000000000001</v>
          </cell>
          <cell r="Z25">
            <v>1.3486</v>
          </cell>
          <cell r="AA25">
            <v>1.3568</v>
          </cell>
          <cell r="AE25">
            <v>2.4974E-2</v>
          </cell>
          <cell r="AF25">
            <v>1.1728000000000001E-2</v>
          </cell>
          <cell r="AG25">
            <v>2.0313999999999999E-2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1.3664000000000001</v>
          </cell>
          <cell r="P26">
            <v>1.3485</v>
          </cell>
          <cell r="Q26">
            <v>1.3548</v>
          </cell>
          <cell r="U26">
            <v>1.6504000000000001E-2</v>
          </cell>
          <cell r="V26">
            <v>3.3800000000000002E-3</v>
          </cell>
          <cell r="W26">
            <v>9.4579999999999994E-3</v>
          </cell>
          <cell r="Y26">
            <v>1.3664000000000001</v>
          </cell>
          <cell r="Z26">
            <v>1.3485</v>
          </cell>
          <cell r="AA26">
            <v>1.3548</v>
          </cell>
          <cell r="AE26">
            <v>1.6504000000000001E-2</v>
          </cell>
          <cell r="AF26">
            <v>3.3800000000000002E-3</v>
          </cell>
          <cell r="AG26">
            <v>9.4579999999999994E-3</v>
          </cell>
          <cell r="AR26">
            <v>0</v>
          </cell>
          <cell r="BC26">
            <v>8.4699999999999984E-3</v>
          </cell>
          <cell r="BF26">
            <v>8.4699999999999984E-3</v>
          </cell>
        </row>
        <row r="27">
          <cell r="O27">
            <v>1.3664000000000001</v>
          </cell>
          <cell r="P27">
            <v>1.3486</v>
          </cell>
          <cell r="Q27">
            <v>1.353</v>
          </cell>
          <cell r="U27">
            <v>1.3025E-2</v>
          </cell>
          <cell r="V27">
            <v>-1.22E-4</v>
          </cell>
          <cell r="W27">
            <v>4.5120000000000004E-3</v>
          </cell>
          <cell r="Y27">
            <v>1.3664000000000001</v>
          </cell>
          <cell r="Z27">
            <v>1.3486</v>
          </cell>
          <cell r="AA27">
            <v>1.353</v>
          </cell>
          <cell r="AE27">
            <v>1.3025E-2</v>
          </cell>
          <cell r="AF27">
            <v>-1.22E-4</v>
          </cell>
          <cell r="AG27">
            <v>4.5120000000000004E-3</v>
          </cell>
          <cell r="AR27">
            <v>0</v>
          </cell>
          <cell r="BC27">
            <v>1.1948999999999998E-2</v>
          </cell>
          <cell r="BF27">
            <v>1.1948999999999998E-2</v>
          </cell>
        </row>
        <row r="28">
          <cell r="O28">
            <v>1.3664000000000001</v>
          </cell>
          <cell r="P28">
            <v>1.3482000000000001</v>
          </cell>
          <cell r="Q28">
            <v>1.3508</v>
          </cell>
          <cell r="U28">
            <v>1.4446000000000001E-2</v>
          </cell>
          <cell r="V28">
            <v>1.3309999999999999E-3</v>
          </cell>
          <cell r="W28">
            <v>4.5880000000000001E-3</v>
          </cell>
          <cell r="Y28">
            <v>1.3664000000000001</v>
          </cell>
          <cell r="Z28">
            <v>1.3482000000000001</v>
          </cell>
          <cell r="AA28">
            <v>1.3508</v>
          </cell>
          <cell r="AE28">
            <v>1.4446000000000001E-2</v>
          </cell>
          <cell r="AF28">
            <v>1.3309999999999999E-3</v>
          </cell>
          <cell r="AG28">
            <v>4.5880000000000001E-3</v>
          </cell>
          <cell r="AR28">
            <v>0</v>
          </cell>
          <cell r="BC28">
            <v>1.1948999999999998E-2</v>
          </cell>
          <cell r="BF28">
            <v>1.1948999999999998E-2</v>
          </cell>
        </row>
        <row r="29">
          <cell r="O29">
            <v>1.3664000000000001</v>
          </cell>
          <cell r="P29">
            <v>1.3472999999999999</v>
          </cell>
          <cell r="Q29">
            <v>1.3487</v>
          </cell>
          <cell r="U29">
            <v>1.8454000000000002E-2</v>
          </cell>
          <cell r="V29">
            <v>5.091E-3</v>
          </cell>
          <cell r="W29">
            <v>7.0000000000000001E-3</v>
          </cell>
          <cell r="Y29">
            <v>1.3664000000000001</v>
          </cell>
          <cell r="Z29">
            <v>1.3472999999999999</v>
          </cell>
          <cell r="AA29">
            <v>1.3487</v>
          </cell>
          <cell r="AE29">
            <v>1.8454000000000002E-2</v>
          </cell>
          <cell r="AF29">
            <v>5.091E-3</v>
          </cell>
          <cell r="AG29">
            <v>7.0000000000000001E-3</v>
          </cell>
          <cell r="AR29">
            <v>0</v>
          </cell>
          <cell r="BC29">
            <v>1.1948999999999998E-2</v>
          </cell>
          <cell r="BF29">
            <v>1.1948999999999998E-2</v>
          </cell>
        </row>
        <row r="30">
          <cell r="O30">
            <v>1.3664000000000001</v>
          </cell>
          <cell r="P30">
            <v>1.3446</v>
          </cell>
          <cell r="Q30">
            <v>1.3464</v>
          </cell>
          <cell r="U30">
            <v>3.5437000000000003E-2</v>
          </cell>
          <cell r="V30">
            <v>2.1388999999999998E-2</v>
          </cell>
          <cell r="W30">
            <v>2.2377999999999999E-2</v>
          </cell>
          <cell r="Y30">
            <v>1.3664000000000001</v>
          </cell>
          <cell r="Z30">
            <v>1.3446</v>
          </cell>
          <cell r="AA30">
            <v>1.3464</v>
          </cell>
          <cell r="AE30">
            <v>3.5437000000000003E-2</v>
          </cell>
          <cell r="AF30">
            <v>2.1388999999999998E-2</v>
          </cell>
          <cell r="AG30">
            <v>2.2377999999999999E-2</v>
          </cell>
          <cell r="AR30">
            <v>0</v>
          </cell>
          <cell r="BC30">
            <v>1.1948999999999998E-2</v>
          </cell>
          <cell r="BF30">
            <v>1.1948999999999998E-2</v>
          </cell>
        </row>
        <row r="31">
          <cell r="O31">
            <v>1.3664000000000001</v>
          </cell>
          <cell r="P31">
            <v>1.3405</v>
          </cell>
          <cell r="Q31">
            <v>1.3442000000000001</v>
          </cell>
          <cell r="U31">
            <v>3.8134000000000001E-2</v>
          </cell>
          <cell r="V31">
            <v>2.2055000000000002E-2</v>
          </cell>
          <cell r="W31">
            <v>2.3434E-2</v>
          </cell>
          <cell r="Y31">
            <v>1.3664000000000001</v>
          </cell>
          <cell r="Z31">
            <v>1.3405</v>
          </cell>
          <cell r="AA31">
            <v>1.3442000000000001</v>
          </cell>
          <cell r="AE31">
            <v>3.8134000000000001E-2</v>
          </cell>
          <cell r="AF31">
            <v>2.2055000000000002E-2</v>
          </cell>
          <cell r="AG31">
            <v>2.3434E-2</v>
          </cell>
          <cell r="AR31">
            <v>0</v>
          </cell>
          <cell r="BC31">
            <v>9.2529999999999973E-3</v>
          </cell>
          <cell r="BF31">
            <v>9.2529999999999973E-3</v>
          </cell>
        </row>
        <row r="32">
          <cell r="O32">
            <v>1.3664000000000001</v>
          </cell>
          <cell r="P32">
            <v>1.3365</v>
          </cell>
          <cell r="Q32">
            <v>1.3420000000000001</v>
          </cell>
          <cell r="U32">
            <v>3.5673999999999997E-2</v>
          </cell>
          <cell r="V32">
            <v>1.6562E-2</v>
          </cell>
          <cell r="W32">
            <v>1.9283000000000002E-2</v>
          </cell>
          <cell r="Y32">
            <v>1.3664000000000001</v>
          </cell>
          <cell r="Z32">
            <v>1.3365</v>
          </cell>
          <cell r="AA32">
            <v>1.3420000000000001</v>
          </cell>
          <cell r="AE32">
            <v>3.5673999999999997E-2</v>
          </cell>
          <cell r="AF32">
            <v>1.6562E-2</v>
          </cell>
          <cell r="AG32">
            <v>1.9283000000000002E-2</v>
          </cell>
          <cell r="AR32">
            <v>0</v>
          </cell>
          <cell r="BC32">
            <v>1.1711999999999997E-2</v>
          </cell>
          <cell r="BF32">
            <v>1.1711999999999997E-2</v>
          </cell>
        </row>
        <row r="33">
          <cell r="O33">
            <v>1.3664000000000001</v>
          </cell>
          <cell r="P33">
            <v>1.3347</v>
          </cell>
          <cell r="Q33">
            <v>1.3409</v>
          </cell>
          <cell r="U33">
            <v>2.2380000000000001E-2</v>
          </cell>
          <cell r="V33">
            <v>2.5900000000000001E-4</v>
          </cell>
          <cell r="W33">
            <v>4.3819999999999996E-3</v>
          </cell>
          <cell r="Y33">
            <v>1.3664000000000001</v>
          </cell>
          <cell r="Z33">
            <v>1.3347</v>
          </cell>
          <cell r="AA33">
            <v>1.3409</v>
          </cell>
          <cell r="AE33">
            <v>2.2380000000000001E-2</v>
          </cell>
          <cell r="AF33">
            <v>2.5900000000000001E-4</v>
          </cell>
          <cell r="AG33">
            <v>4.3819999999999996E-3</v>
          </cell>
          <cell r="AR33">
            <v>0</v>
          </cell>
          <cell r="BC33">
            <v>2.5005999999999997E-2</v>
          </cell>
          <cell r="BF33">
            <v>2.5005999999999997E-2</v>
          </cell>
        </row>
        <row r="34">
          <cell r="O34">
            <v>1.3664000000000001</v>
          </cell>
          <cell r="P34">
            <v>1.3331</v>
          </cell>
          <cell r="Q34">
            <v>1.3407</v>
          </cell>
          <cell r="U34">
            <v>2.8187E-2</v>
          </cell>
          <cell r="V34">
            <v>4.6959999999999997E-3</v>
          </cell>
          <cell r="W34">
            <v>9.3399999999999993E-3</v>
          </cell>
          <cell r="Y34">
            <v>1.3664000000000001</v>
          </cell>
          <cell r="Z34">
            <v>1.3331</v>
          </cell>
          <cell r="AA34">
            <v>1.3407</v>
          </cell>
          <cell r="AE34">
            <v>2.8187E-2</v>
          </cell>
          <cell r="AF34">
            <v>4.6959999999999997E-3</v>
          </cell>
          <cell r="AG34">
            <v>9.3399999999999993E-3</v>
          </cell>
          <cell r="AR34">
            <v>0</v>
          </cell>
          <cell r="BC34">
            <v>2.5005999999999997E-2</v>
          </cell>
          <cell r="BF34">
            <v>2.5005999999999997E-2</v>
          </cell>
        </row>
        <row r="35">
          <cell r="O35">
            <v>1.3664000000000001</v>
          </cell>
          <cell r="P35">
            <v>1.3327</v>
          </cell>
          <cell r="Q35">
            <v>1.3406</v>
          </cell>
          <cell r="U35">
            <v>2.7692999999999999E-2</v>
          </cell>
          <cell r="V35">
            <v>3.0109999999999998E-3</v>
          </cell>
          <cell r="W35">
            <v>8.7449999999999993E-3</v>
          </cell>
          <cell r="Y35">
            <v>1.3664000000000001</v>
          </cell>
          <cell r="Z35">
            <v>1.3327</v>
          </cell>
          <cell r="AA35">
            <v>1.3406</v>
          </cell>
          <cell r="AE35">
            <v>2.7692999999999999E-2</v>
          </cell>
          <cell r="AF35">
            <v>3.0109999999999998E-3</v>
          </cell>
          <cell r="AG35">
            <v>8.7449999999999993E-3</v>
          </cell>
          <cell r="AR35">
            <v>0</v>
          </cell>
          <cell r="BC35">
            <v>2.5005999999999997E-2</v>
          </cell>
          <cell r="BF35">
            <v>2.5005999999999997E-2</v>
          </cell>
        </row>
        <row r="36">
          <cell r="O36">
            <v>1.3664000000000001</v>
          </cell>
          <cell r="P36">
            <v>1.3310999999999999</v>
          </cell>
          <cell r="Q36">
            <v>1.3398000000000001</v>
          </cell>
          <cell r="U36">
            <v>2.8199999999999999E-2</v>
          </cell>
          <cell r="V36">
            <v>3.2460000000000002E-3</v>
          </cell>
          <cell r="W36">
            <v>9.1780000000000004E-3</v>
          </cell>
          <cell r="Y36">
            <v>1.3664000000000001</v>
          </cell>
          <cell r="Z36">
            <v>1.3310999999999999</v>
          </cell>
          <cell r="AA36">
            <v>1.3398000000000001</v>
          </cell>
          <cell r="AE36">
            <v>2.8199999999999999E-2</v>
          </cell>
          <cell r="AF36">
            <v>3.2460000000000002E-3</v>
          </cell>
          <cell r="AG36">
            <v>9.1780000000000004E-3</v>
          </cell>
          <cell r="AR36">
            <v>0</v>
          </cell>
          <cell r="BC36">
            <v>2.5005999999999997E-2</v>
          </cell>
          <cell r="BF36">
            <v>2.5005999999999997E-2</v>
          </cell>
        </row>
        <row r="37">
          <cell r="O37">
            <v>1.3664000000000001</v>
          </cell>
          <cell r="P37">
            <v>1.3288</v>
          </cell>
          <cell r="Q37">
            <v>1.3387</v>
          </cell>
          <cell r="U37">
            <v>3.0481999999999999E-2</v>
          </cell>
          <cell r="V37">
            <v>4.3540000000000002E-3</v>
          </cell>
          <cell r="W37">
            <v>1.0866000000000001E-2</v>
          </cell>
          <cell r="Y37">
            <v>1.3664000000000001</v>
          </cell>
          <cell r="Z37">
            <v>1.3288</v>
          </cell>
          <cell r="AA37">
            <v>1.3387</v>
          </cell>
          <cell r="AE37">
            <v>3.0481999999999999E-2</v>
          </cell>
          <cell r="AF37">
            <v>4.3540000000000002E-3</v>
          </cell>
          <cell r="AG37">
            <v>1.0866000000000001E-2</v>
          </cell>
          <cell r="AR37">
            <v>0</v>
          </cell>
          <cell r="BC37">
            <v>2.5005999999999997E-2</v>
          </cell>
          <cell r="BF37">
            <v>2.5005999999999997E-2</v>
          </cell>
        </row>
        <row r="38">
          <cell r="O38">
            <v>1.3664000000000001</v>
          </cell>
          <cell r="P38">
            <v>1.3275999999999999</v>
          </cell>
          <cell r="Q38">
            <v>1.3379000000000001</v>
          </cell>
          <cell r="U38">
            <v>2.3817000000000001E-2</v>
          </cell>
          <cell r="V38">
            <v>-4.065E-3</v>
          </cell>
          <cell r="W38">
            <v>3.3449999999999999E-3</v>
          </cell>
          <cell r="Y38">
            <v>1.3664000000000001</v>
          </cell>
          <cell r="Z38">
            <v>1.3275999999999999</v>
          </cell>
          <cell r="AA38">
            <v>1.3379000000000001</v>
          </cell>
          <cell r="AE38">
            <v>2.3817000000000001E-2</v>
          </cell>
          <cell r="AF38">
            <v>-4.065E-3</v>
          </cell>
          <cell r="AG38">
            <v>3.3449999999999999E-3</v>
          </cell>
          <cell r="AR38">
            <v>0</v>
          </cell>
          <cell r="BC38">
            <v>2.5005999999999997E-2</v>
          </cell>
          <cell r="BF38">
            <v>2.5005999999999997E-2</v>
          </cell>
        </row>
        <row r="39">
          <cell r="O39">
            <v>1.3664000000000001</v>
          </cell>
          <cell r="P39">
            <v>1.3273999999999999</v>
          </cell>
          <cell r="Q39">
            <v>1.3373999999999999</v>
          </cell>
          <cell r="U39">
            <v>1.9474000000000002E-2</v>
          </cell>
          <cell r="V39">
            <v>-9.3539999999999995E-3</v>
          </cell>
          <cell r="W39">
            <v>-1.591E-3</v>
          </cell>
          <cell r="Y39">
            <v>1.3664000000000001</v>
          </cell>
          <cell r="Z39">
            <v>1.3273999999999999</v>
          </cell>
          <cell r="AA39">
            <v>1.3373999999999999</v>
          </cell>
          <cell r="AE39">
            <v>1.9474000000000002E-2</v>
          </cell>
          <cell r="AF39">
            <v>-9.3539999999999995E-3</v>
          </cell>
          <cell r="AG39">
            <v>-1.591E-3</v>
          </cell>
          <cell r="AR39">
            <v>0</v>
          </cell>
          <cell r="BC39">
            <v>2.5005999999999997E-2</v>
          </cell>
          <cell r="BF39">
            <v>2.5005999999999997E-2</v>
          </cell>
        </row>
        <row r="40">
          <cell r="O40">
            <v>1.3664000000000001</v>
          </cell>
          <cell r="P40">
            <v>1.3295999999999999</v>
          </cell>
          <cell r="Q40">
            <v>1.3371</v>
          </cell>
          <cell r="U40">
            <v>1.8848E-2</v>
          </cell>
          <cell r="V40">
            <v>-1.0083E-2</v>
          </cell>
          <cell r="W40">
            <v>-2.614E-3</v>
          </cell>
          <cell r="Y40">
            <v>1.3664000000000001</v>
          </cell>
          <cell r="Z40">
            <v>1.3295999999999999</v>
          </cell>
          <cell r="AA40">
            <v>1.3371</v>
          </cell>
          <cell r="AE40">
            <v>1.8848E-2</v>
          </cell>
          <cell r="AF40">
            <v>-1.0083E-2</v>
          </cell>
          <cell r="AG40">
            <v>-2.614E-3</v>
          </cell>
          <cell r="AR40">
            <v>0</v>
          </cell>
          <cell r="BC40">
            <v>2.5005999999999997E-2</v>
          </cell>
          <cell r="BF40">
            <v>2.5005999999999997E-2</v>
          </cell>
        </row>
        <row r="41">
          <cell r="O41">
            <v>1.3664000000000001</v>
          </cell>
          <cell r="P41">
            <v>1.3312999999999999</v>
          </cell>
          <cell r="Q41">
            <v>1.3359000000000001</v>
          </cell>
          <cell r="U41">
            <v>2.5574E-2</v>
          </cell>
          <cell r="V41">
            <v>-1.696E-3</v>
          </cell>
          <cell r="W41">
            <v>3.9150000000000001E-3</v>
          </cell>
          <cell r="Y41">
            <v>1.3664000000000001</v>
          </cell>
          <cell r="Z41">
            <v>1.3312999999999999</v>
          </cell>
          <cell r="AA41">
            <v>1.3359000000000001</v>
          </cell>
          <cell r="AE41">
            <v>2.5574E-2</v>
          </cell>
          <cell r="AF41">
            <v>-1.696E-3</v>
          </cell>
          <cell r="AG41">
            <v>3.9150000000000001E-3</v>
          </cell>
          <cell r="AR41">
            <v>0</v>
          </cell>
          <cell r="BC41">
            <v>2.5005999999999997E-2</v>
          </cell>
          <cell r="BF41">
            <v>2.5005999999999997E-2</v>
          </cell>
        </row>
        <row r="42">
          <cell r="O42">
            <v>1.3664000000000001</v>
          </cell>
          <cell r="P42">
            <v>1.3326</v>
          </cell>
          <cell r="Q42">
            <v>1.3346</v>
          </cell>
          <cell r="U42">
            <v>2.5377E-2</v>
          </cell>
          <cell r="V42">
            <v>-6.4400000000000004E-4</v>
          </cell>
          <cell r="W42">
            <v>2.8170000000000001E-3</v>
          </cell>
          <cell r="Y42">
            <v>1.3664000000000001</v>
          </cell>
          <cell r="Z42">
            <v>1.3326</v>
          </cell>
          <cell r="AA42">
            <v>1.3346</v>
          </cell>
          <cell r="AE42">
            <v>2.5377E-2</v>
          </cell>
          <cell r="AF42">
            <v>-6.4400000000000004E-4</v>
          </cell>
          <cell r="AG42">
            <v>2.8170000000000001E-3</v>
          </cell>
          <cell r="AR42">
            <v>0</v>
          </cell>
          <cell r="BC42">
            <v>2.5005999999999997E-2</v>
          </cell>
          <cell r="BF42">
            <v>2.5005999999999997E-2</v>
          </cell>
        </row>
        <row r="43">
          <cell r="O43">
            <v>1.3664000000000001</v>
          </cell>
          <cell r="P43">
            <v>1.3324</v>
          </cell>
          <cell r="Q43">
            <v>1.3334999999999999</v>
          </cell>
          <cell r="U43">
            <v>2.4362000000000002E-2</v>
          </cell>
          <cell r="V43">
            <v>-6.3500000000000004E-4</v>
          </cell>
          <cell r="W43">
            <v>8.0400000000000003E-4</v>
          </cell>
          <cell r="Y43">
            <v>1.3664000000000001</v>
          </cell>
          <cell r="Z43">
            <v>1.3324</v>
          </cell>
          <cell r="AA43">
            <v>1.3334999999999999</v>
          </cell>
          <cell r="AE43">
            <v>2.4362000000000002E-2</v>
          </cell>
          <cell r="AF43">
            <v>-6.3500000000000004E-4</v>
          </cell>
          <cell r="AG43">
            <v>8.0400000000000003E-4</v>
          </cell>
          <cell r="AR43">
            <v>0</v>
          </cell>
          <cell r="BC43">
            <v>2.5005999999999997E-2</v>
          </cell>
          <cell r="BF43">
            <v>2.5005999999999997E-2</v>
          </cell>
        </row>
        <row r="44">
          <cell r="O44">
            <v>1.3664000000000001</v>
          </cell>
          <cell r="P44">
            <v>1.3325</v>
          </cell>
          <cell r="Q44">
            <v>1.3328</v>
          </cell>
          <cell r="U44">
            <v>2.7029000000000001E-2</v>
          </cell>
          <cell r="V44">
            <v>1.8339999999999999E-3</v>
          </cell>
          <cell r="W44">
            <v>2.6870000000000002E-3</v>
          </cell>
          <cell r="Y44">
            <v>1.3664000000000001</v>
          </cell>
          <cell r="Z44">
            <v>1.3325</v>
          </cell>
          <cell r="AA44">
            <v>1.3328</v>
          </cell>
          <cell r="AE44">
            <v>2.7029000000000001E-2</v>
          </cell>
          <cell r="AF44">
            <v>1.8339999999999999E-3</v>
          </cell>
          <cell r="AG44">
            <v>2.6870000000000002E-3</v>
          </cell>
          <cell r="AR44">
            <v>0</v>
          </cell>
          <cell r="BC44">
            <v>2.5005999999999997E-2</v>
          </cell>
          <cell r="BF44">
            <v>2.5005999999999997E-2</v>
          </cell>
        </row>
        <row r="45">
          <cell r="O45">
            <v>1.3664000000000001</v>
          </cell>
          <cell r="P45">
            <v>1.3324</v>
          </cell>
          <cell r="Q45">
            <v>1.3326</v>
          </cell>
          <cell r="U45">
            <v>2.8395E-2</v>
          </cell>
          <cell r="V45">
            <v>3.3149999999999998E-3</v>
          </cell>
          <cell r="W45">
            <v>3.5140000000000002E-3</v>
          </cell>
          <cell r="Y45">
            <v>1.3664000000000001</v>
          </cell>
          <cell r="Z45">
            <v>1.3324</v>
          </cell>
          <cell r="AA45">
            <v>1.3326</v>
          </cell>
          <cell r="AE45">
            <v>2.8395E-2</v>
          </cell>
          <cell r="AF45">
            <v>3.3149999999999998E-3</v>
          </cell>
          <cell r="AG45">
            <v>3.5140000000000002E-3</v>
          </cell>
          <cell r="AR45">
            <v>0</v>
          </cell>
          <cell r="BC45">
            <v>2.5005999999999997E-2</v>
          </cell>
          <cell r="BF45">
            <v>2.5005999999999997E-2</v>
          </cell>
        </row>
        <row r="46">
          <cell r="O46">
            <v>1.3664000000000001</v>
          </cell>
          <cell r="P46">
            <v>1.3324</v>
          </cell>
          <cell r="Q46">
            <v>1.3318000000000001</v>
          </cell>
          <cell r="U46">
            <v>2.8740999999999999E-2</v>
          </cell>
          <cell r="V46">
            <v>3.5920000000000001E-3</v>
          </cell>
          <cell r="W46">
            <v>3.6900000000000001E-3</v>
          </cell>
          <cell r="Y46">
            <v>1.3664000000000001</v>
          </cell>
          <cell r="Z46">
            <v>1.3324</v>
          </cell>
          <cell r="AA46">
            <v>1.3318000000000001</v>
          </cell>
          <cell r="AE46">
            <v>2.8740999999999999E-2</v>
          </cell>
          <cell r="AF46">
            <v>3.5920000000000001E-3</v>
          </cell>
          <cell r="AG46">
            <v>3.6900000000000001E-3</v>
          </cell>
          <cell r="AR46">
            <v>0</v>
          </cell>
          <cell r="BC46">
            <v>2.5005999999999997E-2</v>
          </cell>
          <cell r="BF46">
            <v>2.5005999999999997E-2</v>
          </cell>
        </row>
        <row r="47">
          <cell r="O47">
            <v>1.3664000000000001</v>
          </cell>
          <cell r="P47">
            <v>1.3328</v>
          </cell>
          <cell r="Q47">
            <v>1.3308</v>
          </cell>
          <cell r="U47">
            <v>2.7352000000000001E-2</v>
          </cell>
          <cell r="V47">
            <v>2.1489999999999999E-3</v>
          </cell>
          <cell r="W47">
            <v>1.6869999999999999E-3</v>
          </cell>
          <cell r="Y47">
            <v>1.3664000000000001</v>
          </cell>
          <cell r="Z47">
            <v>1.3328</v>
          </cell>
          <cell r="AA47">
            <v>1.3308</v>
          </cell>
          <cell r="AE47">
            <v>2.7352000000000001E-2</v>
          </cell>
          <cell r="AF47">
            <v>2.1489999999999999E-3</v>
          </cell>
          <cell r="AG47">
            <v>1.6869999999999999E-3</v>
          </cell>
          <cell r="AR47">
            <v>0</v>
          </cell>
          <cell r="BC47">
            <v>2.5005999999999997E-2</v>
          </cell>
          <cell r="BF47">
            <v>2.5005999999999997E-2</v>
          </cell>
        </row>
        <row r="48">
          <cell r="O48">
            <v>1.3664000000000001</v>
          </cell>
          <cell r="P48">
            <v>1.3329</v>
          </cell>
          <cell r="Q48">
            <v>1.3302</v>
          </cell>
          <cell r="U48">
            <v>2.2865E-2</v>
          </cell>
          <cell r="V48">
            <v>-2.0270000000000002E-3</v>
          </cell>
          <cell r="W48">
            <v>-3.5209999999999998E-3</v>
          </cell>
          <cell r="Y48">
            <v>1.3664000000000001</v>
          </cell>
          <cell r="Z48">
            <v>1.3329</v>
          </cell>
          <cell r="AA48">
            <v>1.3302</v>
          </cell>
          <cell r="AE48">
            <v>2.2865E-2</v>
          </cell>
          <cell r="AF48">
            <v>-2.0270000000000002E-3</v>
          </cell>
          <cell r="AG48">
            <v>-3.5209999999999998E-3</v>
          </cell>
          <cell r="AR48">
            <v>0</v>
          </cell>
          <cell r="BC48">
            <v>2.5005999999999997E-2</v>
          </cell>
          <cell r="BF48">
            <v>2.5005999999999997E-2</v>
          </cell>
        </row>
        <row r="49">
          <cell r="O49">
            <v>1.3664000000000001</v>
          </cell>
          <cell r="P49">
            <v>1.3304</v>
          </cell>
          <cell r="Q49">
            <v>1.3289</v>
          </cell>
          <cell r="U49">
            <v>3.8093000000000002E-2</v>
          </cell>
          <cell r="V49">
            <v>1.3297E-2</v>
          </cell>
          <cell r="W49">
            <v>1.1283E-2</v>
          </cell>
          <cell r="Y49">
            <v>1.3664000000000001</v>
          </cell>
          <cell r="Z49">
            <v>1.3304</v>
          </cell>
          <cell r="AA49">
            <v>1.3289</v>
          </cell>
          <cell r="AE49">
            <v>3.8093000000000002E-2</v>
          </cell>
          <cell r="AF49">
            <v>1.3297E-2</v>
          </cell>
          <cell r="AG49">
            <v>1.1283E-2</v>
          </cell>
          <cell r="AR49">
            <v>0</v>
          </cell>
          <cell r="BC49">
            <v>2.5005999999999997E-2</v>
          </cell>
          <cell r="BF49">
            <v>2.5005999999999997E-2</v>
          </cell>
        </row>
        <row r="50">
          <cell r="O50">
            <v>1.3664000000000001</v>
          </cell>
          <cell r="P50">
            <v>1.3274999999999999</v>
          </cell>
          <cell r="Q50">
            <v>1.3286</v>
          </cell>
          <cell r="U50">
            <v>4.0874000000000001E-2</v>
          </cell>
          <cell r="V50">
            <v>1.4220999999999999E-2</v>
          </cell>
          <cell r="W50">
            <v>1.3082999999999999E-2</v>
          </cell>
          <cell r="Y50">
            <v>1.3664000000000001</v>
          </cell>
          <cell r="Z50">
            <v>1.3274999999999999</v>
          </cell>
          <cell r="AA50">
            <v>1.3286</v>
          </cell>
          <cell r="AE50">
            <v>4.0874000000000001E-2</v>
          </cell>
          <cell r="AF50">
            <v>1.4220999999999999E-2</v>
          </cell>
          <cell r="AG50">
            <v>1.3082999999999999E-2</v>
          </cell>
          <cell r="AR50">
            <v>0</v>
          </cell>
          <cell r="BC50">
            <v>2.5005999999999997E-2</v>
          </cell>
          <cell r="BF50">
            <v>2.5005999999999997E-2</v>
          </cell>
        </row>
        <row r="51">
          <cell r="O51">
            <v>1.3664000000000001</v>
          </cell>
          <cell r="P51">
            <v>1.3257000000000001</v>
          </cell>
          <cell r="Q51">
            <v>1.3285</v>
          </cell>
          <cell r="U51">
            <v>3.9118E-2</v>
          </cell>
          <cell r="V51">
            <v>1.0267999999999999E-2</v>
          </cell>
          <cell r="W51">
            <v>1.1058E-2</v>
          </cell>
          <cell r="Y51">
            <v>1.3664000000000001</v>
          </cell>
          <cell r="Z51">
            <v>1.3257000000000001</v>
          </cell>
          <cell r="AA51">
            <v>1.3285</v>
          </cell>
          <cell r="AE51">
            <v>3.9118E-2</v>
          </cell>
          <cell r="AF51">
            <v>1.0267999999999999E-2</v>
          </cell>
          <cell r="AG51">
            <v>1.1058E-2</v>
          </cell>
          <cell r="AR51">
            <v>0</v>
          </cell>
          <cell r="BC51">
            <v>2.5005999999999997E-2</v>
          </cell>
          <cell r="BF51">
            <v>2.5005999999999997E-2</v>
          </cell>
        </row>
        <row r="52">
          <cell r="O52">
            <v>1.3664000000000001</v>
          </cell>
          <cell r="P52">
            <v>1.3248</v>
          </cell>
          <cell r="Q52">
            <v>1.3287</v>
          </cell>
          <cell r="U52">
            <v>3.2198999999999998E-2</v>
          </cell>
          <cell r="V52">
            <v>1.9980000000000002E-3</v>
          </cell>
          <cell r="W52">
            <v>4.0899999999999999E-3</v>
          </cell>
          <cell r="Y52">
            <v>1.3664000000000001</v>
          </cell>
          <cell r="Z52">
            <v>1.3248</v>
          </cell>
          <cell r="AA52">
            <v>1.3287</v>
          </cell>
          <cell r="AE52">
            <v>3.2198999999999998E-2</v>
          </cell>
          <cell r="AF52">
            <v>1.9980000000000002E-3</v>
          </cell>
          <cell r="AG52">
            <v>4.0899999999999999E-3</v>
          </cell>
          <cell r="AR52">
            <v>0</v>
          </cell>
          <cell r="BC52">
            <v>2.5005999999999997E-2</v>
          </cell>
          <cell r="BF52">
            <v>2.5005999999999997E-2</v>
          </cell>
        </row>
        <row r="53">
          <cell r="O53">
            <v>1.3664000000000001</v>
          </cell>
          <cell r="P53">
            <v>1.3245</v>
          </cell>
          <cell r="Q53">
            <v>1.3285</v>
          </cell>
          <cell r="U53">
            <v>2.6613999999999999E-2</v>
          </cell>
          <cell r="V53">
            <v>-4.2709999999999996E-3</v>
          </cell>
          <cell r="W53">
            <v>-1.322E-3</v>
          </cell>
          <cell r="Y53">
            <v>1.3664000000000001</v>
          </cell>
          <cell r="Z53">
            <v>1.3245</v>
          </cell>
          <cell r="AA53">
            <v>1.3285</v>
          </cell>
          <cell r="AE53">
            <v>2.6613999999999999E-2</v>
          </cell>
          <cell r="AF53">
            <v>-4.2709999999999996E-3</v>
          </cell>
          <cell r="AG53">
            <v>-1.322E-3</v>
          </cell>
          <cell r="AR53">
            <v>0</v>
          </cell>
          <cell r="BC53">
            <v>2.5005999999999997E-2</v>
          </cell>
          <cell r="BF53">
            <v>2.5005999999999997E-2</v>
          </cell>
        </row>
        <row r="54">
          <cell r="O54">
            <v>1.3664000000000001</v>
          </cell>
          <cell r="P54">
            <v>1.3240000000000001</v>
          </cell>
          <cell r="Q54">
            <v>1.3283</v>
          </cell>
          <cell r="U54">
            <v>3.0759000000000002E-2</v>
          </cell>
          <cell r="V54">
            <v>-3.5199999999999999E-4</v>
          </cell>
          <cell r="W54">
            <v>2.6099999999999999E-3</v>
          </cell>
          <cell r="Y54">
            <v>1.3664000000000001</v>
          </cell>
          <cell r="Z54">
            <v>1.3240000000000001</v>
          </cell>
          <cell r="AA54">
            <v>1.3283</v>
          </cell>
          <cell r="AE54">
            <v>3.0759000000000002E-2</v>
          </cell>
          <cell r="AF54">
            <v>-3.5199999999999999E-4</v>
          </cell>
          <cell r="AG54">
            <v>2.6099999999999999E-3</v>
          </cell>
          <cell r="AR54">
            <v>0</v>
          </cell>
          <cell r="BC54">
            <v>2.5005999999999997E-2</v>
          </cell>
          <cell r="BF54">
            <v>2.5005999999999997E-2</v>
          </cell>
        </row>
        <row r="55">
          <cell r="O55">
            <v>1.3664000000000001</v>
          </cell>
          <cell r="P55">
            <v>1.3245</v>
          </cell>
          <cell r="Q55">
            <v>1.3285</v>
          </cell>
          <cell r="U55">
            <v>2.5174999999999999E-2</v>
          </cell>
          <cell r="V55">
            <v>-6.3099999999999996E-3</v>
          </cell>
          <cell r="W55">
            <v>-3.1020000000000002E-3</v>
          </cell>
          <cell r="Y55">
            <v>1.3664000000000001</v>
          </cell>
          <cell r="Z55">
            <v>1.3245</v>
          </cell>
          <cell r="AA55">
            <v>1.3285</v>
          </cell>
          <cell r="AE55">
            <v>2.5174999999999999E-2</v>
          </cell>
          <cell r="AF55">
            <v>-6.3099999999999996E-3</v>
          </cell>
          <cell r="AG55">
            <v>-3.1020000000000002E-3</v>
          </cell>
          <cell r="AR55">
            <v>0</v>
          </cell>
          <cell r="BC55">
            <v>2.5005999999999997E-2</v>
          </cell>
          <cell r="BF55">
            <v>2.5005999999999997E-2</v>
          </cell>
        </row>
        <row r="56">
          <cell r="O56">
            <v>1.3664000000000001</v>
          </cell>
          <cell r="P56">
            <v>1.3245</v>
          </cell>
          <cell r="Q56">
            <v>1.3285</v>
          </cell>
          <cell r="U56">
            <v>2.8080999999999998E-2</v>
          </cell>
          <cell r="V56">
            <v>-3.0799999999999998E-3</v>
          </cell>
          <cell r="W56">
            <v>-6.9999999999999994E-5</v>
          </cell>
          <cell r="Y56">
            <v>1.3664000000000001</v>
          </cell>
          <cell r="Z56">
            <v>1.3245</v>
          </cell>
          <cell r="AA56">
            <v>1.3285</v>
          </cell>
          <cell r="AE56">
            <v>2.8080999999999998E-2</v>
          </cell>
          <cell r="AF56">
            <v>-3.0799999999999998E-3</v>
          </cell>
          <cell r="AG56">
            <v>-6.9999999999999994E-5</v>
          </cell>
          <cell r="AR56">
            <v>0</v>
          </cell>
          <cell r="BC56">
            <v>2.5005999999999997E-2</v>
          </cell>
          <cell r="BF56">
            <v>2.5005999999999997E-2</v>
          </cell>
        </row>
        <row r="57">
          <cell r="O57">
            <v>1.3664000000000001</v>
          </cell>
          <cell r="P57">
            <v>1.3250999999999999</v>
          </cell>
          <cell r="Q57">
            <v>1.3289</v>
          </cell>
          <cell r="U57">
            <v>2.3507E-2</v>
          </cell>
          <cell r="V57">
            <v>-7.5880000000000001E-3</v>
          </cell>
          <cell r="W57">
            <v>-4.6379999999999998E-3</v>
          </cell>
          <cell r="Y57">
            <v>1.3664000000000001</v>
          </cell>
          <cell r="Z57">
            <v>1.3250999999999999</v>
          </cell>
          <cell r="AA57">
            <v>1.3289</v>
          </cell>
          <cell r="AE57">
            <v>2.3507E-2</v>
          </cell>
          <cell r="AF57">
            <v>-7.5880000000000001E-3</v>
          </cell>
          <cell r="AG57">
            <v>-4.6379999999999998E-3</v>
          </cell>
          <cell r="AR57">
            <v>0</v>
          </cell>
          <cell r="BC57">
            <v>2.5005999999999997E-2</v>
          </cell>
          <cell r="BF57">
            <v>2.5005999999999997E-2</v>
          </cell>
        </row>
        <row r="58">
          <cell r="O58">
            <v>1.3664000000000001</v>
          </cell>
          <cell r="P58">
            <v>1.325</v>
          </cell>
          <cell r="Q58">
            <v>1.3289</v>
          </cell>
          <cell r="U58">
            <v>2.3470000000000001E-2</v>
          </cell>
          <cell r="V58">
            <v>-7.2389999999999998E-3</v>
          </cell>
          <cell r="W58">
            <v>-4.326E-3</v>
          </cell>
          <cell r="Y58">
            <v>1.3664000000000001</v>
          </cell>
          <cell r="Z58">
            <v>1.325</v>
          </cell>
          <cell r="AA58">
            <v>1.3289</v>
          </cell>
          <cell r="AE58">
            <v>2.3470000000000001E-2</v>
          </cell>
          <cell r="AF58">
            <v>-7.2389999999999998E-3</v>
          </cell>
          <cell r="AG58">
            <v>-4.326E-3</v>
          </cell>
          <cell r="AR58">
            <v>0</v>
          </cell>
          <cell r="BC58">
            <v>2.5005999999999997E-2</v>
          </cell>
          <cell r="BF58">
            <v>2.5005999999999997E-2</v>
          </cell>
        </row>
        <row r="59">
          <cell r="O59">
            <v>1.3664000000000001</v>
          </cell>
          <cell r="P59">
            <v>1.3255999999999999</v>
          </cell>
          <cell r="Q59">
            <v>1.3280000000000001</v>
          </cell>
          <cell r="U59">
            <v>3.3620999999999998E-2</v>
          </cell>
          <cell r="V59">
            <v>2.8509999999999998E-3</v>
          </cell>
          <cell r="W59">
            <v>5.842E-3</v>
          </cell>
          <cell r="Y59">
            <v>1.3664000000000001</v>
          </cell>
          <cell r="Z59">
            <v>1.3255999999999999</v>
          </cell>
          <cell r="AA59">
            <v>1.3280000000000001</v>
          </cell>
          <cell r="AE59">
            <v>3.3620999999999998E-2</v>
          </cell>
          <cell r="AF59">
            <v>2.8509999999999998E-3</v>
          </cell>
          <cell r="AG59">
            <v>5.842E-3</v>
          </cell>
          <cell r="AR59">
            <v>0</v>
          </cell>
          <cell r="BC59">
            <v>2.5005999999999997E-2</v>
          </cell>
          <cell r="BF59">
            <v>2.5005999999999997E-2</v>
          </cell>
        </row>
        <row r="60">
          <cell r="O60">
            <v>1.3664000000000001</v>
          </cell>
          <cell r="P60">
            <v>1.3261000000000001</v>
          </cell>
          <cell r="Q60">
            <v>1.3268</v>
          </cell>
          <cell r="U60">
            <v>3.7044000000000001E-2</v>
          </cell>
          <cell r="V60">
            <v>6.7200000000000003E-3</v>
          </cell>
          <cell r="W60">
            <v>8.5570000000000004E-3</v>
          </cell>
          <cell r="Y60">
            <v>1.3664000000000001</v>
          </cell>
          <cell r="Z60">
            <v>1.3261000000000001</v>
          </cell>
          <cell r="AA60">
            <v>1.3268</v>
          </cell>
          <cell r="AE60">
            <v>3.7044000000000001E-2</v>
          </cell>
          <cell r="AF60">
            <v>6.7200000000000003E-3</v>
          </cell>
          <cell r="AG60">
            <v>8.5570000000000004E-3</v>
          </cell>
          <cell r="AR60">
            <v>0</v>
          </cell>
          <cell r="BC60">
            <v>2.5005999999999997E-2</v>
          </cell>
          <cell r="BF60">
            <v>2.5005999999999997E-2</v>
          </cell>
        </row>
        <row r="61">
          <cell r="O61">
            <v>1.3664000000000001</v>
          </cell>
          <cell r="P61">
            <v>1.3262</v>
          </cell>
          <cell r="Q61">
            <v>1.3260000000000001</v>
          </cell>
          <cell r="U61">
            <v>3.8176000000000002E-2</v>
          </cell>
          <cell r="V61">
            <v>8.2310000000000005E-3</v>
          </cell>
          <cell r="W61">
            <v>8.7779999999999993E-3</v>
          </cell>
          <cell r="Y61">
            <v>1.3664000000000001</v>
          </cell>
          <cell r="Z61">
            <v>1.3262</v>
          </cell>
          <cell r="AA61">
            <v>1.3260000000000001</v>
          </cell>
          <cell r="AE61">
            <v>3.8176000000000002E-2</v>
          </cell>
          <cell r="AF61">
            <v>8.2310000000000005E-3</v>
          </cell>
          <cell r="AG61">
            <v>8.7779999999999993E-3</v>
          </cell>
          <cell r="AR61">
            <v>0</v>
          </cell>
          <cell r="BC61">
            <v>2.5005999999999997E-2</v>
          </cell>
          <cell r="BF61">
            <v>2.5005999999999997E-2</v>
          </cell>
        </row>
        <row r="62">
          <cell r="O62">
            <v>1.3664000000000001</v>
          </cell>
          <cell r="P62">
            <v>1.3267</v>
          </cell>
          <cell r="Q62">
            <v>1.3258000000000001</v>
          </cell>
          <cell r="U62">
            <v>2.8015999999999999E-2</v>
          </cell>
          <cell r="V62">
            <v>-1.836E-3</v>
          </cell>
          <cell r="W62">
            <v>-2.0110000000000002E-3</v>
          </cell>
          <cell r="Y62">
            <v>1.3664000000000001</v>
          </cell>
          <cell r="Z62">
            <v>1.3267</v>
          </cell>
          <cell r="AA62">
            <v>1.3258000000000001</v>
          </cell>
          <cell r="AE62">
            <v>2.8015999999999999E-2</v>
          </cell>
          <cell r="AF62">
            <v>-1.836E-3</v>
          </cell>
          <cell r="AG62">
            <v>-2.0110000000000002E-3</v>
          </cell>
          <cell r="AR62">
            <v>0</v>
          </cell>
          <cell r="BC62">
            <v>2.5005999999999997E-2</v>
          </cell>
          <cell r="BF62">
            <v>2.5005999999999997E-2</v>
          </cell>
        </row>
        <row r="63">
          <cell r="O63">
            <v>1.3664000000000001</v>
          </cell>
          <cell r="P63">
            <v>1.327</v>
          </cell>
          <cell r="Q63">
            <v>1.3258000000000001</v>
          </cell>
          <cell r="U63">
            <v>2.4400000000000002E-2</v>
          </cell>
          <cell r="V63">
            <v>-5.0340000000000003E-3</v>
          </cell>
          <cell r="W63">
            <v>-5.7590000000000002E-3</v>
          </cell>
          <cell r="Y63">
            <v>1.3664000000000001</v>
          </cell>
          <cell r="Z63">
            <v>1.327</v>
          </cell>
          <cell r="AA63">
            <v>1.3258000000000001</v>
          </cell>
          <cell r="AE63">
            <v>2.4400000000000002E-2</v>
          </cell>
          <cell r="AF63">
            <v>-5.0340000000000003E-3</v>
          </cell>
          <cell r="AG63">
            <v>-5.7590000000000002E-3</v>
          </cell>
          <cell r="AR63">
            <v>0</v>
          </cell>
          <cell r="BC63">
            <v>2.5005999999999997E-2</v>
          </cell>
          <cell r="BF63">
            <v>2.5005999999999997E-2</v>
          </cell>
        </row>
        <row r="64">
          <cell r="O64">
            <v>1.3664000000000001</v>
          </cell>
          <cell r="P64">
            <v>1.3278000000000001</v>
          </cell>
          <cell r="Q64">
            <v>1.3259000000000001</v>
          </cell>
          <cell r="U64">
            <v>2.4856E-2</v>
          </cell>
          <cell r="V64">
            <v>-4.3550000000000004E-3</v>
          </cell>
          <cell r="W64">
            <v>-5.3039999999999997E-3</v>
          </cell>
          <cell r="Y64">
            <v>1.3664000000000001</v>
          </cell>
          <cell r="Z64">
            <v>1.3278000000000001</v>
          </cell>
          <cell r="AA64">
            <v>1.3259000000000001</v>
          </cell>
          <cell r="AE64">
            <v>2.4856E-2</v>
          </cell>
          <cell r="AF64">
            <v>-4.3550000000000004E-3</v>
          </cell>
          <cell r="AG64">
            <v>-5.3039999999999997E-3</v>
          </cell>
          <cell r="AR64">
            <v>0</v>
          </cell>
          <cell r="BC64">
            <v>2.5005999999999997E-2</v>
          </cell>
          <cell r="BF64">
            <v>2.5005999999999997E-2</v>
          </cell>
        </row>
        <row r="65">
          <cell r="O65">
            <v>1.3664000000000001</v>
          </cell>
          <cell r="P65">
            <v>1.3278000000000001</v>
          </cell>
          <cell r="Q65">
            <v>1.3261000000000001</v>
          </cell>
          <cell r="U65">
            <v>2.5592E-2</v>
          </cell>
          <cell r="V65">
            <v>-3.0279999999999999E-3</v>
          </cell>
          <cell r="W65">
            <v>-4.4590000000000003E-3</v>
          </cell>
          <cell r="Y65">
            <v>1.3664000000000001</v>
          </cell>
          <cell r="Z65">
            <v>1.3278000000000001</v>
          </cell>
          <cell r="AA65">
            <v>1.3261000000000001</v>
          </cell>
          <cell r="AE65">
            <v>2.5592E-2</v>
          </cell>
          <cell r="AF65">
            <v>-3.0279999999999999E-3</v>
          </cell>
          <cell r="AG65">
            <v>-4.4590000000000003E-3</v>
          </cell>
          <cell r="AR65">
            <v>0</v>
          </cell>
          <cell r="BC65">
            <v>2.5005999999999997E-2</v>
          </cell>
          <cell r="BF65">
            <v>2.5005999999999997E-2</v>
          </cell>
        </row>
        <row r="66">
          <cell r="O66">
            <v>1.3664000000000001</v>
          </cell>
          <cell r="P66">
            <v>1.3283</v>
          </cell>
          <cell r="Q66">
            <v>1.3264</v>
          </cell>
          <cell r="U66">
            <v>2.4441999999999998E-2</v>
          </cell>
          <cell r="V66">
            <v>-4.2199999999999998E-3</v>
          </cell>
          <cell r="W66">
            <v>-5.4689999999999999E-3</v>
          </cell>
          <cell r="Y66">
            <v>1.3664000000000001</v>
          </cell>
          <cell r="Z66">
            <v>1.3283</v>
          </cell>
          <cell r="AA66">
            <v>1.3264</v>
          </cell>
          <cell r="AE66">
            <v>2.4441999999999998E-2</v>
          </cell>
          <cell r="AF66">
            <v>-4.2199999999999998E-3</v>
          </cell>
          <cell r="AG66">
            <v>-5.4689999999999999E-3</v>
          </cell>
          <cell r="AR66">
            <v>0</v>
          </cell>
          <cell r="BC66">
            <v>2.5005999999999997E-2</v>
          </cell>
          <cell r="BF66">
            <v>2.5005999999999997E-2</v>
          </cell>
        </row>
        <row r="67">
          <cell r="O67">
            <v>1.3664000000000001</v>
          </cell>
          <cell r="P67">
            <v>1.3292999999999999</v>
          </cell>
          <cell r="Q67">
            <v>1.3271999999999999</v>
          </cell>
          <cell r="U67">
            <v>1.5907000000000001E-2</v>
          </cell>
          <cell r="V67">
            <v>-1.239E-2</v>
          </cell>
          <cell r="W67">
            <v>-1.3788E-2</v>
          </cell>
          <cell r="Y67">
            <v>1.3664000000000001</v>
          </cell>
          <cell r="Z67">
            <v>1.3292999999999999</v>
          </cell>
          <cell r="AA67">
            <v>1.3271999999999999</v>
          </cell>
          <cell r="AE67">
            <v>1.5907000000000001E-2</v>
          </cell>
          <cell r="AF67">
            <v>-1.239E-2</v>
          </cell>
          <cell r="AG67">
            <v>-1.3788E-2</v>
          </cell>
          <cell r="AR67">
            <v>0</v>
          </cell>
          <cell r="BC67">
            <v>2.5005999999999997E-2</v>
          </cell>
          <cell r="BF67">
            <v>2.5005999999999997E-2</v>
          </cell>
        </row>
        <row r="68">
          <cell r="O68">
            <v>1.3664000000000001</v>
          </cell>
          <cell r="P68">
            <v>1.3301000000000001</v>
          </cell>
          <cell r="Q68">
            <v>1.3275999999999999</v>
          </cell>
          <cell r="U68">
            <v>1.7080999999999999E-2</v>
          </cell>
          <cell r="V68">
            <v>-1.0449999999999999E-2</v>
          </cell>
          <cell r="W68">
            <v>-1.2038E-2</v>
          </cell>
          <cell r="Y68">
            <v>1.3664000000000001</v>
          </cell>
          <cell r="Z68">
            <v>1.3301000000000001</v>
          </cell>
          <cell r="AA68">
            <v>1.3275999999999999</v>
          </cell>
          <cell r="AE68">
            <v>1.7080999999999999E-2</v>
          </cell>
          <cell r="AF68">
            <v>-1.0449999999999999E-2</v>
          </cell>
          <cell r="AG68">
            <v>-1.2038E-2</v>
          </cell>
          <cell r="AR68">
            <v>0</v>
          </cell>
          <cell r="BC68">
            <v>2.5005999999999997E-2</v>
          </cell>
          <cell r="BF68">
            <v>2.5005999999999997E-2</v>
          </cell>
        </row>
        <row r="69">
          <cell r="O69">
            <v>1.3664000000000001</v>
          </cell>
          <cell r="P69">
            <v>1.333</v>
          </cell>
          <cell r="Q69">
            <v>1.3292999999999999</v>
          </cell>
          <cell r="U69">
            <v>1.1872000000000001E-2</v>
          </cell>
          <cell r="V69">
            <v>-1.5016E-2</v>
          </cell>
          <cell r="W69">
            <v>-1.6955000000000001E-2</v>
          </cell>
          <cell r="Y69">
            <v>1.3664000000000001</v>
          </cell>
          <cell r="Z69">
            <v>1.333</v>
          </cell>
          <cell r="AA69">
            <v>1.3292999999999999</v>
          </cell>
          <cell r="AE69">
            <v>1.1872000000000001E-2</v>
          </cell>
          <cell r="AF69">
            <v>-1.5016E-2</v>
          </cell>
          <cell r="AG69">
            <v>-1.6955000000000001E-2</v>
          </cell>
          <cell r="AR69">
            <v>0</v>
          </cell>
          <cell r="BC69">
            <v>2.5005999999999997E-2</v>
          </cell>
          <cell r="BF69">
            <v>2.5005999999999997E-2</v>
          </cell>
        </row>
        <row r="70">
          <cell r="O70">
            <v>1.3664000000000001</v>
          </cell>
          <cell r="P70">
            <v>1.3367</v>
          </cell>
          <cell r="Q70">
            <v>1.3313999999999999</v>
          </cell>
          <cell r="U70">
            <v>9.6030000000000004E-3</v>
          </cell>
          <cell r="V70">
            <v>-1.5103999999999999E-2</v>
          </cell>
          <cell r="W70">
            <v>-1.7909000000000001E-2</v>
          </cell>
          <cell r="Y70">
            <v>1.3664000000000001</v>
          </cell>
          <cell r="Z70">
            <v>1.3367</v>
          </cell>
          <cell r="AA70">
            <v>1.3313999999999999</v>
          </cell>
          <cell r="AE70">
            <v>9.6030000000000004E-3</v>
          </cell>
          <cell r="AF70">
            <v>-1.5103999999999999E-2</v>
          </cell>
          <cell r="AG70">
            <v>-1.7909000000000001E-2</v>
          </cell>
          <cell r="AR70">
            <v>0</v>
          </cell>
          <cell r="BC70">
            <v>2.5005999999999997E-2</v>
          </cell>
          <cell r="BF70">
            <v>2.5005999999999997E-2</v>
          </cell>
        </row>
        <row r="71">
          <cell r="O71">
            <v>1.3664000000000001</v>
          </cell>
          <cell r="P71">
            <v>1.3404</v>
          </cell>
          <cell r="Q71">
            <v>1.3332999999999999</v>
          </cell>
          <cell r="U71">
            <v>1.0104E-2</v>
          </cell>
          <cell r="V71">
            <v>-1.1858E-2</v>
          </cell>
          <cell r="W71">
            <v>-1.5841999999999998E-2</v>
          </cell>
          <cell r="Y71">
            <v>1.3664000000000001</v>
          </cell>
          <cell r="Z71">
            <v>1.3404</v>
          </cell>
          <cell r="AA71">
            <v>1.3332999999999999</v>
          </cell>
          <cell r="AE71">
            <v>1.0104E-2</v>
          </cell>
          <cell r="AF71">
            <v>-1.1858E-2</v>
          </cell>
          <cell r="AG71">
            <v>-1.5841999999999998E-2</v>
          </cell>
          <cell r="AR71">
            <v>0</v>
          </cell>
          <cell r="BC71">
            <v>2.5005999999999997E-2</v>
          </cell>
          <cell r="BF71">
            <v>2.5005999999999997E-2</v>
          </cell>
        </row>
        <row r="72">
          <cell r="O72">
            <v>1.3664000000000001</v>
          </cell>
          <cell r="P72">
            <v>1.3433999999999999</v>
          </cell>
          <cell r="Q72">
            <v>1.3351</v>
          </cell>
          <cell r="U72">
            <v>5.7949999999999998E-3</v>
          </cell>
          <cell r="V72">
            <v>-1.337E-2</v>
          </cell>
          <cell r="W72">
            <v>-1.8699E-2</v>
          </cell>
          <cell r="Y72">
            <v>1.3664000000000001</v>
          </cell>
          <cell r="Z72">
            <v>1.3433999999999999</v>
          </cell>
          <cell r="AA72">
            <v>1.3351</v>
          </cell>
          <cell r="AE72">
            <v>5.7949999999999998E-3</v>
          </cell>
          <cell r="AF72">
            <v>-1.337E-2</v>
          </cell>
          <cell r="AG72">
            <v>-1.8699E-2</v>
          </cell>
          <cell r="AR72">
            <v>0</v>
          </cell>
          <cell r="BC72">
            <v>2.5005999999999997E-2</v>
          </cell>
          <cell r="BF72">
            <v>2.5005999999999997E-2</v>
          </cell>
        </row>
        <row r="73">
          <cell r="O73">
            <v>1.3664000000000001</v>
          </cell>
          <cell r="P73">
            <v>1.3458000000000001</v>
          </cell>
          <cell r="Q73">
            <v>1.3364</v>
          </cell>
          <cell r="U73">
            <v>6.6579999999999999E-3</v>
          </cell>
          <cell r="V73">
            <v>-1.0281999999999999E-2</v>
          </cell>
          <cell r="W73">
            <v>-1.6508999999999999E-2</v>
          </cell>
          <cell r="Y73">
            <v>1.3664000000000001</v>
          </cell>
          <cell r="Z73">
            <v>1.3458000000000001</v>
          </cell>
          <cell r="AA73">
            <v>1.3364</v>
          </cell>
          <cell r="AE73">
            <v>6.6579999999999999E-3</v>
          </cell>
          <cell r="AF73">
            <v>-1.0281999999999999E-2</v>
          </cell>
          <cell r="AG73">
            <v>-1.6508999999999999E-2</v>
          </cell>
          <cell r="AR73">
            <v>0</v>
          </cell>
          <cell r="BC73">
            <v>2.5005999999999997E-2</v>
          </cell>
          <cell r="BF73">
            <v>2.5005999999999997E-2</v>
          </cell>
        </row>
        <row r="74">
          <cell r="O74">
            <v>1.3664000000000001</v>
          </cell>
          <cell r="P74">
            <v>1.3471</v>
          </cell>
          <cell r="Q74">
            <v>1.3374999999999999</v>
          </cell>
          <cell r="U74">
            <v>1.5117E-2</v>
          </cell>
          <cell r="V74">
            <v>-4.8000000000000001E-5</v>
          </cell>
          <cell r="W74">
            <v>-7.0460000000000002E-3</v>
          </cell>
          <cell r="Y74">
            <v>1.3664000000000001</v>
          </cell>
          <cell r="Z74">
            <v>1.3471</v>
          </cell>
          <cell r="AA74">
            <v>1.3374999999999999</v>
          </cell>
          <cell r="AE74">
            <v>1.5117E-2</v>
          </cell>
          <cell r="AF74">
            <v>-4.8000000000000001E-5</v>
          </cell>
          <cell r="AG74">
            <v>-7.0460000000000002E-3</v>
          </cell>
          <cell r="AR74">
            <v>0</v>
          </cell>
          <cell r="BC74">
            <v>2.5005999999999997E-2</v>
          </cell>
          <cell r="BF74">
            <v>2.5005999999999997E-2</v>
          </cell>
        </row>
        <row r="75">
          <cell r="O75">
            <v>1.3664000000000001</v>
          </cell>
          <cell r="P75">
            <v>1.3492999999999999</v>
          </cell>
          <cell r="Q75">
            <v>1.3386</v>
          </cell>
          <cell r="U75">
            <v>9.1000000000000004E-3</v>
          </cell>
          <cell r="V75">
            <v>-5.097E-3</v>
          </cell>
          <cell r="W75">
            <v>-1.2283000000000001E-2</v>
          </cell>
          <cell r="Y75">
            <v>1.3664000000000001</v>
          </cell>
          <cell r="Z75">
            <v>1.3492999999999999</v>
          </cell>
          <cell r="AA75">
            <v>1.3386</v>
          </cell>
          <cell r="AE75">
            <v>9.1000000000000004E-3</v>
          </cell>
          <cell r="AF75">
            <v>-5.097E-3</v>
          </cell>
          <cell r="AG75">
            <v>-1.2283000000000001E-2</v>
          </cell>
          <cell r="AR75">
            <v>0</v>
          </cell>
          <cell r="BC75">
            <v>2.5005999999999997E-2</v>
          </cell>
          <cell r="BF75">
            <v>2.5005999999999997E-2</v>
          </cell>
        </row>
        <row r="76">
          <cell r="O76">
            <v>1.3664000000000001</v>
          </cell>
          <cell r="P76">
            <v>1.3526</v>
          </cell>
          <cell r="Q76">
            <v>1.3404</v>
          </cell>
          <cell r="U76">
            <v>3.6999999999999998E-5</v>
          </cell>
          <cell r="V76">
            <v>-1.2515999999999999E-2</v>
          </cell>
          <cell r="W76">
            <v>-2.0538000000000001E-2</v>
          </cell>
          <cell r="Y76">
            <v>1.3664000000000001</v>
          </cell>
          <cell r="Z76">
            <v>1.3526</v>
          </cell>
          <cell r="AA76">
            <v>1.3404</v>
          </cell>
          <cell r="AE76">
            <v>3.6999999999999998E-5</v>
          </cell>
          <cell r="AF76">
            <v>-1.2515999999999999E-2</v>
          </cell>
          <cell r="AG76">
            <v>-2.0538000000000001E-2</v>
          </cell>
          <cell r="AR76">
            <v>0</v>
          </cell>
          <cell r="BC76">
            <v>2.5005999999999997E-2</v>
          </cell>
          <cell r="BF76">
            <v>2.5005999999999997E-2</v>
          </cell>
        </row>
        <row r="77">
          <cell r="O77">
            <v>1.3664000000000001</v>
          </cell>
          <cell r="P77">
            <v>1.3549</v>
          </cell>
          <cell r="Q77">
            <v>1.3421000000000001</v>
          </cell>
          <cell r="U77">
            <v>-6.4199999999999999E-4</v>
          </cell>
          <cell r="V77">
            <v>-1.0756999999999999E-2</v>
          </cell>
          <cell r="W77">
            <v>-1.9807000000000002E-2</v>
          </cell>
          <cell r="Y77">
            <v>1.3664000000000001</v>
          </cell>
          <cell r="Z77">
            <v>1.3549</v>
          </cell>
          <cell r="AA77">
            <v>1.3421000000000001</v>
          </cell>
          <cell r="AE77">
            <v>-6.4199999999999999E-4</v>
          </cell>
          <cell r="AF77">
            <v>-1.0756999999999999E-2</v>
          </cell>
          <cell r="AG77">
            <v>-1.9807000000000002E-2</v>
          </cell>
          <cell r="AR77">
            <v>-6.7899999999999992E-4</v>
          </cell>
          <cell r="BC77">
            <v>2.5005999999999997E-2</v>
          </cell>
          <cell r="BF77">
            <v>2.4326999999999998E-2</v>
          </cell>
        </row>
        <row r="78">
          <cell r="O78">
            <v>1.3664000000000001</v>
          </cell>
          <cell r="P78">
            <v>1.3556999999999999</v>
          </cell>
          <cell r="Q78">
            <v>1.3429</v>
          </cell>
          <cell r="U78">
            <v>1.0628E-2</v>
          </cell>
          <cell r="V78">
            <v>2.1700000000000001E-3</v>
          </cell>
          <cell r="W78">
            <v>-7.3210000000000003E-3</v>
          </cell>
          <cell r="Y78">
            <v>1.3664000000000001</v>
          </cell>
          <cell r="Z78">
            <v>1.3556999999999999</v>
          </cell>
          <cell r="AA78">
            <v>1.3429</v>
          </cell>
          <cell r="AE78">
            <v>1.0628E-2</v>
          </cell>
          <cell r="AF78">
            <v>2.1700000000000001E-3</v>
          </cell>
          <cell r="AG78">
            <v>-7.3210000000000003E-3</v>
          </cell>
          <cell r="AR78">
            <v>1.0590000000000002E-2</v>
          </cell>
          <cell r="BC78">
            <v>2.5005999999999997E-2</v>
          </cell>
          <cell r="BF78">
            <v>3.5596000000000003E-2</v>
          </cell>
        </row>
        <row r="79">
          <cell r="O79">
            <v>1.3664000000000001</v>
          </cell>
          <cell r="P79">
            <v>1.3557999999999999</v>
          </cell>
          <cell r="Q79">
            <v>1.3444</v>
          </cell>
          <cell r="U79">
            <v>1.1419E-2</v>
          </cell>
          <cell r="V79">
            <v>3.6029999999999999E-3</v>
          </cell>
          <cell r="W79">
            <v>-5.8869999999999999E-3</v>
          </cell>
          <cell r="Y79">
            <v>1.3664000000000001</v>
          </cell>
          <cell r="Z79">
            <v>1.3557999999999999</v>
          </cell>
          <cell r="AA79">
            <v>1.3444</v>
          </cell>
          <cell r="AE79">
            <v>1.1419E-2</v>
          </cell>
          <cell r="AF79">
            <v>3.6029999999999999E-3</v>
          </cell>
          <cell r="AG79">
            <v>-5.8869999999999999E-3</v>
          </cell>
          <cell r="AR79">
            <v>1.1381000000000002E-2</v>
          </cell>
          <cell r="BC79">
            <v>2.5005999999999997E-2</v>
          </cell>
          <cell r="BF79">
            <v>3.6387000000000003E-2</v>
          </cell>
        </row>
        <row r="80">
          <cell r="O80">
            <v>1.3664000000000001</v>
          </cell>
          <cell r="P80">
            <v>1.3555999999999999</v>
          </cell>
          <cell r="Q80">
            <v>1.3461000000000001</v>
          </cell>
          <cell r="U80">
            <v>1.1405E-2</v>
          </cell>
          <cell r="V80">
            <v>3.6340000000000001E-3</v>
          </cell>
          <cell r="W80">
            <v>-4.7980000000000002E-3</v>
          </cell>
          <cell r="Y80">
            <v>1.3664000000000001</v>
          </cell>
          <cell r="Z80">
            <v>1.3555999999999999</v>
          </cell>
          <cell r="AA80">
            <v>1.3461000000000001</v>
          </cell>
          <cell r="AE80">
            <v>1.1405E-2</v>
          </cell>
          <cell r="AF80">
            <v>3.6340000000000001E-3</v>
          </cell>
          <cell r="AG80">
            <v>-4.7980000000000002E-3</v>
          </cell>
          <cell r="AR80">
            <v>1.1367000000000002E-2</v>
          </cell>
          <cell r="BC80">
            <v>2.5005999999999997E-2</v>
          </cell>
          <cell r="BF80">
            <v>3.6373000000000003E-2</v>
          </cell>
        </row>
        <row r="81">
          <cell r="O81">
            <v>1.3664000000000001</v>
          </cell>
          <cell r="P81">
            <v>1.3547</v>
          </cell>
          <cell r="Q81">
            <v>1.3475999999999999</v>
          </cell>
          <cell r="U81">
            <v>1.6121E-2</v>
          </cell>
          <cell r="V81">
            <v>8.1709999999999994E-3</v>
          </cell>
          <cell r="W81">
            <v>1.1900000000000001E-3</v>
          </cell>
          <cell r="Y81">
            <v>1.3664000000000001</v>
          </cell>
          <cell r="Z81">
            <v>1.3547</v>
          </cell>
          <cell r="AA81">
            <v>1.3475999999999999</v>
          </cell>
          <cell r="AE81">
            <v>1.6121E-2</v>
          </cell>
          <cell r="AF81">
            <v>8.1709999999999994E-3</v>
          </cell>
          <cell r="AG81">
            <v>1.1900000000000001E-3</v>
          </cell>
          <cell r="AR81">
            <v>1.1367000000000002E-2</v>
          </cell>
          <cell r="BC81">
            <v>2.5005999999999997E-2</v>
          </cell>
          <cell r="BF81">
            <v>3.6373000000000003E-2</v>
          </cell>
        </row>
        <row r="82">
          <cell r="O82">
            <v>1.3664000000000001</v>
          </cell>
          <cell r="P82">
            <v>1.3541000000000001</v>
          </cell>
          <cell r="Q82">
            <v>1.3488</v>
          </cell>
          <cell r="U82">
            <v>1.0240000000000001E-2</v>
          </cell>
          <cell r="V82">
            <v>1.6900000000000001E-3</v>
          </cell>
          <cell r="W82">
            <v>-3.6029999999999999E-3</v>
          </cell>
          <cell r="Y82">
            <v>1.3664000000000001</v>
          </cell>
          <cell r="Z82">
            <v>1.3541000000000001</v>
          </cell>
          <cell r="AA82">
            <v>1.3488</v>
          </cell>
          <cell r="AE82">
            <v>1.0240000000000001E-2</v>
          </cell>
          <cell r="AF82">
            <v>1.6900000000000001E-3</v>
          </cell>
          <cell r="AG82">
            <v>-3.6029999999999999E-3</v>
          </cell>
          <cell r="AR82">
            <v>1.1367000000000002E-2</v>
          </cell>
          <cell r="BC82">
            <v>2.5005999999999997E-2</v>
          </cell>
          <cell r="BF82">
            <v>3.6373000000000003E-2</v>
          </cell>
        </row>
        <row r="83">
          <cell r="O83">
            <v>1.3664000000000001</v>
          </cell>
          <cell r="P83">
            <v>1.3545</v>
          </cell>
          <cell r="Q83">
            <v>1.3501000000000001</v>
          </cell>
          <cell r="U83">
            <v>4.3179999999999998E-3</v>
          </cell>
          <cell r="V83">
            <v>-4.6759999999999996E-3</v>
          </cell>
          <cell r="W83">
            <v>-8.6409999999999994E-3</v>
          </cell>
          <cell r="Y83">
            <v>1.3664000000000001</v>
          </cell>
          <cell r="Z83">
            <v>1.3545</v>
          </cell>
          <cell r="AA83">
            <v>1.3501000000000001</v>
          </cell>
          <cell r="AE83">
            <v>4.3179999999999998E-3</v>
          </cell>
          <cell r="AF83">
            <v>-4.6759999999999996E-3</v>
          </cell>
          <cell r="AG83">
            <v>-8.6409999999999994E-3</v>
          </cell>
          <cell r="AR83">
            <v>1.1367000000000002E-2</v>
          </cell>
          <cell r="BC83">
            <v>2.5005999999999997E-2</v>
          </cell>
          <cell r="BF83">
            <v>3.6373000000000003E-2</v>
          </cell>
        </row>
        <row r="84">
          <cell r="O84">
            <v>1.3664000000000001</v>
          </cell>
          <cell r="P84">
            <v>1.3553999999999999</v>
          </cell>
          <cell r="Q84">
            <v>1.3512</v>
          </cell>
          <cell r="U84">
            <v>8.5349999999999992E-3</v>
          </cell>
          <cell r="V84">
            <v>-2.2499999999999999E-4</v>
          </cell>
          <cell r="W84">
            <v>-3.4229999999999998E-3</v>
          </cell>
          <cell r="Y84">
            <v>1.3664000000000001</v>
          </cell>
          <cell r="Z84">
            <v>1.3553999999999999</v>
          </cell>
          <cell r="AA84">
            <v>1.3512</v>
          </cell>
          <cell r="AE84">
            <v>8.5349999999999992E-3</v>
          </cell>
          <cell r="AF84">
            <v>-2.2499999999999999E-4</v>
          </cell>
          <cell r="AG84">
            <v>-3.4229999999999998E-3</v>
          </cell>
          <cell r="AR84">
            <v>1.1367000000000002E-2</v>
          </cell>
          <cell r="BC84">
            <v>2.5005999999999997E-2</v>
          </cell>
          <cell r="BF84">
            <v>3.6373000000000003E-2</v>
          </cell>
        </row>
        <row r="85">
          <cell r="O85">
            <v>1.3664000000000001</v>
          </cell>
          <cell r="P85">
            <v>1.3548</v>
          </cell>
          <cell r="Q85">
            <v>1.3520000000000001</v>
          </cell>
          <cell r="U85">
            <v>1.3524E-2</v>
          </cell>
          <cell r="V85">
            <v>5.4209999999999996E-3</v>
          </cell>
          <cell r="W85">
            <v>2.379E-3</v>
          </cell>
          <cell r="Y85">
            <v>1.3664000000000001</v>
          </cell>
          <cell r="Z85">
            <v>1.3548</v>
          </cell>
          <cell r="AA85">
            <v>1.3520000000000001</v>
          </cell>
          <cell r="AE85">
            <v>1.3524E-2</v>
          </cell>
          <cell r="AF85">
            <v>5.4209999999999996E-3</v>
          </cell>
          <cell r="AG85">
            <v>2.379E-3</v>
          </cell>
          <cell r="AR85">
            <v>1.1367000000000002E-2</v>
          </cell>
          <cell r="BC85">
            <v>2.5005999999999997E-2</v>
          </cell>
          <cell r="BF85">
            <v>3.6373000000000003E-2</v>
          </cell>
        </row>
        <row r="86">
          <cell r="O86">
            <v>1.3664000000000001</v>
          </cell>
          <cell r="P86">
            <v>1.3527</v>
          </cell>
          <cell r="Q86">
            <v>1.3527</v>
          </cell>
          <cell r="U86">
            <v>1.5395000000000001E-2</v>
          </cell>
          <cell r="V86">
            <v>6.8510000000000003E-3</v>
          </cell>
          <cell r="W86">
            <v>4.8479999999999999E-3</v>
          </cell>
          <cell r="Y86">
            <v>1.3664000000000001</v>
          </cell>
          <cell r="Z86">
            <v>1.3527</v>
          </cell>
          <cell r="AA86">
            <v>1.3527</v>
          </cell>
          <cell r="AE86">
            <v>1.5395000000000001E-2</v>
          </cell>
          <cell r="AF86">
            <v>6.8510000000000003E-3</v>
          </cell>
          <cell r="AG86">
            <v>4.8479999999999999E-3</v>
          </cell>
          <cell r="AR86">
            <v>1.1367000000000002E-2</v>
          </cell>
          <cell r="BC86">
            <v>2.5005999999999997E-2</v>
          </cell>
          <cell r="BF86">
            <v>3.6373000000000003E-2</v>
          </cell>
        </row>
        <row r="87">
          <cell r="O87">
            <v>1.3664000000000001</v>
          </cell>
          <cell r="P87">
            <v>1.3508</v>
          </cell>
          <cell r="Q87">
            <v>1.3529</v>
          </cell>
          <cell r="U87">
            <v>1.2885000000000001E-2</v>
          </cell>
          <cell r="V87">
            <v>2.8019999999999998E-3</v>
          </cell>
          <cell r="W87">
            <v>2.7859999999999998E-3</v>
          </cell>
          <cell r="Y87">
            <v>1.3664000000000001</v>
          </cell>
          <cell r="Z87">
            <v>1.3508</v>
          </cell>
          <cell r="AA87">
            <v>1.3529</v>
          </cell>
          <cell r="AE87">
            <v>1.2885000000000001E-2</v>
          </cell>
          <cell r="AF87">
            <v>2.8019999999999998E-3</v>
          </cell>
          <cell r="AG87">
            <v>2.7859999999999998E-3</v>
          </cell>
          <cell r="AR87">
            <v>1.1367000000000002E-2</v>
          </cell>
          <cell r="BC87">
            <v>2.5005999999999997E-2</v>
          </cell>
          <cell r="BF87">
            <v>3.6373000000000003E-2</v>
          </cell>
        </row>
        <row r="88">
          <cell r="O88">
            <v>1.3664000000000001</v>
          </cell>
          <cell r="P88">
            <v>1.3495999999999999</v>
          </cell>
          <cell r="Q88">
            <v>1.3527</v>
          </cell>
          <cell r="U88">
            <v>2.0046999999999999E-2</v>
          </cell>
          <cell r="V88">
            <v>8.6060000000000008E-3</v>
          </cell>
          <cell r="W88">
            <v>1.0099E-2</v>
          </cell>
          <cell r="Y88">
            <v>1.3664000000000001</v>
          </cell>
          <cell r="Z88">
            <v>1.3495999999999999</v>
          </cell>
          <cell r="AA88">
            <v>1.3527</v>
          </cell>
          <cell r="AE88">
            <v>2.0046999999999999E-2</v>
          </cell>
          <cell r="AF88">
            <v>8.6060000000000008E-3</v>
          </cell>
          <cell r="AG88">
            <v>1.0099E-2</v>
          </cell>
          <cell r="AR88">
            <v>1.1367000000000002E-2</v>
          </cell>
          <cell r="BC88">
            <v>2.5005999999999997E-2</v>
          </cell>
          <cell r="BF88">
            <v>3.6373000000000003E-2</v>
          </cell>
        </row>
        <row r="89">
          <cell r="O89">
            <v>1.3664000000000001</v>
          </cell>
          <cell r="P89">
            <v>1.3475999999999999</v>
          </cell>
          <cell r="Q89">
            <v>1.3516999999999999</v>
          </cell>
          <cell r="U89">
            <v>2.6357999999999999E-2</v>
          </cell>
          <cell r="V89">
            <v>1.3978000000000001E-2</v>
          </cell>
          <cell r="W89">
            <v>1.6263E-2</v>
          </cell>
          <cell r="Y89">
            <v>1.3664000000000001</v>
          </cell>
          <cell r="Z89">
            <v>1.3475999999999999</v>
          </cell>
          <cell r="AA89">
            <v>1.3516999999999999</v>
          </cell>
          <cell r="AE89">
            <v>2.6357999999999999E-2</v>
          </cell>
          <cell r="AF89">
            <v>1.3978000000000001E-2</v>
          </cell>
          <cell r="AG89">
            <v>1.6263E-2</v>
          </cell>
          <cell r="AR89">
            <v>1.1367000000000002E-2</v>
          </cell>
          <cell r="BC89">
            <v>2.5005999999999997E-2</v>
          </cell>
          <cell r="BF89">
            <v>3.6373000000000003E-2</v>
          </cell>
        </row>
        <row r="90">
          <cell r="O90">
            <v>1.3664000000000001</v>
          </cell>
          <cell r="P90">
            <v>1.3464</v>
          </cell>
          <cell r="Q90">
            <v>1.351</v>
          </cell>
          <cell r="U90">
            <v>2.0358999999999999E-2</v>
          </cell>
          <cell r="V90">
            <v>6.4929999999999996E-3</v>
          </cell>
          <cell r="W90">
            <v>9.5460000000000007E-3</v>
          </cell>
          <cell r="Y90">
            <v>1.3664000000000001</v>
          </cell>
          <cell r="Z90">
            <v>1.3464</v>
          </cell>
          <cell r="AA90">
            <v>1.351</v>
          </cell>
          <cell r="AE90">
            <v>2.0358999999999999E-2</v>
          </cell>
          <cell r="AF90">
            <v>6.4929999999999996E-3</v>
          </cell>
          <cell r="AG90">
            <v>9.5460000000000007E-3</v>
          </cell>
          <cell r="AR90">
            <v>1.1367000000000002E-2</v>
          </cell>
          <cell r="BC90">
            <v>2.5005999999999997E-2</v>
          </cell>
          <cell r="BF90">
            <v>3.6373000000000003E-2</v>
          </cell>
        </row>
        <row r="91">
          <cell r="O91">
            <v>1.3664000000000001</v>
          </cell>
          <cell r="P91">
            <v>1.3469</v>
          </cell>
          <cell r="Q91">
            <v>1.3508</v>
          </cell>
          <cell r="U91">
            <v>1.1764999999999999E-2</v>
          </cell>
          <cell r="V91">
            <v>-2.9949999999999998E-3</v>
          </cell>
          <cell r="W91">
            <v>4.1599999999999997E-4</v>
          </cell>
          <cell r="Y91">
            <v>1.3664000000000001</v>
          </cell>
          <cell r="Z91">
            <v>1.3469</v>
          </cell>
          <cell r="AA91">
            <v>1.3508</v>
          </cell>
          <cell r="AE91">
            <v>1.1764999999999999E-2</v>
          </cell>
          <cell r="AF91">
            <v>-2.9949999999999998E-3</v>
          </cell>
          <cell r="AG91">
            <v>4.1599999999999997E-4</v>
          </cell>
          <cell r="AR91">
            <v>1.1367000000000002E-2</v>
          </cell>
          <cell r="BC91">
            <v>2.5005999999999997E-2</v>
          </cell>
          <cell r="BF91">
            <v>3.6373000000000003E-2</v>
          </cell>
        </row>
        <row r="92">
          <cell r="O92">
            <v>1.3664000000000001</v>
          </cell>
          <cell r="P92">
            <v>1.347</v>
          </cell>
          <cell r="Q92">
            <v>1.3506</v>
          </cell>
          <cell r="U92">
            <v>1.018E-2</v>
          </cell>
          <cell r="V92">
            <v>-4.1440000000000001E-3</v>
          </cell>
          <cell r="W92">
            <v>-1.253E-3</v>
          </cell>
          <cell r="Y92">
            <v>1.3664000000000001</v>
          </cell>
          <cell r="Z92">
            <v>1.347</v>
          </cell>
          <cell r="AA92">
            <v>1.3506</v>
          </cell>
          <cell r="AE92">
            <v>1.018E-2</v>
          </cell>
          <cell r="AF92">
            <v>-4.1440000000000001E-3</v>
          </cell>
          <cell r="AG92">
            <v>-1.253E-3</v>
          </cell>
          <cell r="AR92">
            <v>1.1367000000000002E-2</v>
          </cell>
          <cell r="BC92">
            <v>2.5005999999999997E-2</v>
          </cell>
          <cell r="BF92">
            <v>3.6373000000000003E-2</v>
          </cell>
        </row>
        <row r="93">
          <cell r="O93">
            <v>1.3664000000000001</v>
          </cell>
          <cell r="P93">
            <v>1.3461000000000001</v>
          </cell>
          <cell r="Q93">
            <v>1.3503000000000001</v>
          </cell>
          <cell r="U93">
            <v>1.0553E-2</v>
          </cell>
          <cell r="V93">
            <v>-3.764E-3</v>
          </cell>
          <cell r="W93">
            <v>-1.0989999999999999E-3</v>
          </cell>
          <cell r="Y93">
            <v>1.3664000000000001</v>
          </cell>
          <cell r="Z93">
            <v>1.3461000000000001</v>
          </cell>
          <cell r="AA93">
            <v>1.3503000000000001</v>
          </cell>
          <cell r="AE93">
            <v>1.0553E-2</v>
          </cell>
          <cell r="AF93">
            <v>-3.764E-3</v>
          </cell>
          <cell r="AG93">
            <v>-1.0989999999999999E-3</v>
          </cell>
          <cell r="AR93">
            <v>1.1367000000000002E-2</v>
          </cell>
          <cell r="BC93">
            <v>2.5005999999999997E-2</v>
          </cell>
          <cell r="BF93">
            <v>3.6373000000000003E-2</v>
          </cell>
        </row>
        <row r="94">
          <cell r="O94">
            <v>1.3664000000000001</v>
          </cell>
          <cell r="P94">
            <v>1.3463000000000001</v>
          </cell>
          <cell r="Q94">
            <v>1.3509</v>
          </cell>
          <cell r="U94">
            <v>6.7660000000000003E-3</v>
          </cell>
          <cell r="V94">
            <v>-8.1799999999999998E-3</v>
          </cell>
          <cell r="W94">
            <v>-5.0819999999999997E-3</v>
          </cell>
          <cell r="Y94">
            <v>1.3664000000000001</v>
          </cell>
          <cell r="Z94">
            <v>1.3463000000000001</v>
          </cell>
          <cell r="AA94">
            <v>1.3509</v>
          </cell>
          <cell r="AE94">
            <v>6.7660000000000003E-3</v>
          </cell>
          <cell r="AF94">
            <v>-8.1799999999999998E-3</v>
          </cell>
          <cell r="AG94">
            <v>-5.0819999999999997E-3</v>
          </cell>
          <cell r="AR94">
            <v>1.1367000000000002E-2</v>
          </cell>
          <cell r="BC94">
            <v>2.5005999999999997E-2</v>
          </cell>
          <cell r="BF94">
            <v>3.6373000000000003E-2</v>
          </cell>
        </row>
        <row r="95">
          <cell r="O95">
            <v>1.3664000000000001</v>
          </cell>
          <cell r="P95">
            <v>1.3465</v>
          </cell>
          <cell r="Q95">
            <v>1.3506</v>
          </cell>
          <cell r="U95">
            <v>1.2468999999999999E-2</v>
          </cell>
          <cell r="V95">
            <v>-2.2980000000000001E-3</v>
          </cell>
          <cell r="W95">
            <v>1.0399999999999999E-3</v>
          </cell>
          <cell r="Y95">
            <v>1.3664000000000001</v>
          </cell>
          <cell r="Z95">
            <v>1.3465</v>
          </cell>
          <cell r="AA95">
            <v>1.3506</v>
          </cell>
          <cell r="AE95">
            <v>1.2468999999999999E-2</v>
          </cell>
          <cell r="AF95">
            <v>-2.2980000000000001E-3</v>
          </cell>
          <cell r="AG95">
            <v>1.0399999999999999E-3</v>
          </cell>
          <cell r="AR95">
            <v>1.1367000000000002E-2</v>
          </cell>
          <cell r="BC95">
            <v>2.5005999999999997E-2</v>
          </cell>
          <cell r="BF95">
            <v>3.6373000000000003E-2</v>
          </cell>
        </row>
        <row r="96">
          <cell r="O96">
            <v>1.3664000000000001</v>
          </cell>
          <cell r="P96">
            <v>1.3468</v>
          </cell>
          <cell r="Q96">
            <v>1.3496999999999999</v>
          </cell>
          <cell r="U96">
            <v>1.3053E-2</v>
          </cell>
          <cell r="V96">
            <v>-1.609E-3</v>
          </cell>
          <cell r="W96">
            <v>1.454E-3</v>
          </cell>
          <cell r="Y96">
            <v>1.3664000000000001</v>
          </cell>
          <cell r="Z96">
            <v>1.3468</v>
          </cell>
          <cell r="AA96">
            <v>1.3496999999999999</v>
          </cell>
          <cell r="AE96">
            <v>1.3053E-2</v>
          </cell>
          <cell r="AF96">
            <v>-1.609E-3</v>
          </cell>
          <cell r="AG96">
            <v>1.454E-3</v>
          </cell>
          <cell r="AR96">
            <v>1.1367000000000002E-2</v>
          </cell>
          <cell r="BC96">
            <v>2.5005999999999997E-2</v>
          </cell>
          <cell r="BF96">
            <v>3.6373000000000003E-2</v>
          </cell>
        </row>
        <row r="97">
          <cell r="O97">
            <v>1.3664000000000001</v>
          </cell>
          <cell r="P97">
            <v>1.3471</v>
          </cell>
          <cell r="Q97">
            <v>1.349</v>
          </cell>
          <cell r="U97">
            <v>1.0612E-2</v>
          </cell>
          <cell r="V97">
            <v>-3.8159999999999999E-3</v>
          </cell>
          <cell r="W97">
            <v>-1.6410000000000001E-3</v>
          </cell>
          <cell r="Y97">
            <v>1.3664000000000001</v>
          </cell>
          <cell r="Z97">
            <v>1.3471</v>
          </cell>
          <cell r="AA97">
            <v>1.349</v>
          </cell>
          <cell r="AE97">
            <v>1.0612E-2</v>
          </cell>
          <cell r="AF97">
            <v>-3.8159999999999999E-3</v>
          </cell>
          <cell r="AG97">
            <v>-1.6410000000000001E-3</v>
          </cell>
          <cell r="AR97">
            <v>1.1367000000000002E-2</v>
          </cell>
          <cell r="BC97">
            <v>2.5005999999999997E-2</v>
          </cell>
          <cell r="BF97">
            <v>3.6373000000000003E-2</v>
          </cell>
        </row>
        <row r="98">
          <cell r="O98">
            <v>1.3664000000000001</v>
          </cell>
          <cell r="P98">
            <v>1.3489</v>
          </cell>
          <cell r="Q98">
            <v>1.3492</v>
          </cell>
          <cell r="U98">
            <v>7.0650000000000001E-3</v>
          </cell>
          <cell r="V98">
            <v>-7.1349999999999998E-3</v>
          </cell>
          <cell r="W98">
            <v>-5.7549999999999997E-3</v>
          </cell>
          <cell r="Y98">
            <v>1.3664000000000001</v>
          </cell>
          <cell r="Z98">
            <v>1.3489</v>
          </cell>
          <cell r="AA98">
            <v>1.3492</v>
          </cell>
          <cell r="AE98">
            <v>7.0650000000000001E-3</v>
          </cell>
          <cell r="AF98">
            <v>-7.1349999999999998E-3</v>
          </cell>
          <cell r="AG98">
            <v>-5.7549999999999997E-3</v>
          </cell>
          <cell r="AR98">
            <v>1.1367000000000002E-2</v>
          </cell>
          <cell r="BC98">
            <v>2.5005999999999997E-2</v>
          </cell>
          <cell r="BF98">
            <v>3.6373000000000003E-2</v>
          </cell>
        </row>
        <row r="99">
          <cell r="O99">
            <v>1.3664000000000001</v>
          </cell>
          <cell r="P99">
            <v>1.3520000000000001</v>
          </cell>
          <cell r="Q99">
            <v>1.3498000000000001</v>
          </cell>
          <cell r="U99">
            <v>3.3430000000000001E-3</v>
          </cell>
          <cell r="V99">
            <v>-9.5580000000000005E-3</v>
          </cell>
          <cell r="W99">
            <v>-9.2980000000000007E-3</v>
          </cell>
          <cell r="Y99">
            <v>1.3664000000000001</v>
          </cell>
          <cell r="Z99">
            <v>1.3520000000000001</v>
          </cell>
          <cell r="AA99">
            <v>1.3498000000000001</v>
          </cell>
          <cell r="AE99">
            <v>3.3430000000000001E-3</v>
          </cell>
          <cell r="AF99">
            <v>-9.5580000000000005E-3</v>
          </cell>
          <cell r="AG99">
            <v>-9.2980000000000007E-3</v>
          </cell>
          <cell r="AR99">
            <v>1.1367000000000002E-2</v>
          </cell>
          <cell r="BC99">
            <v>2.5005999999999997E-2</v>
          </cell>
          <cell r="BF99">
            <v>3.6373000000000003E-2</v>
          </cell>
        </row>
        <row r="100">
          <cell r="O100">
            <v>1.3664000000000001</v>
          </cell>
          <cell r="P100">
            <v>1.3539000000000001</v>
          </cell>
          <cell r="Q100">
            <v>1.3501000000000001</v>
          </cell>
          <cell r="U100">
            <v>5.7840000000000001E-3</v>
          </cell>
          <cell r="V100">
            <v>-4.823E-3</v>
          </cell>
          <cell r="W100">
            <v>-6.4510000000000001E-3</v>
          </cell>
          <cell r="Y100">
            <v>1.3664000000000001</v>
          </cell>
          <cell r="Z100">
            <v>1.3539000000000001</v>
          </cell>
          <cell r="AA100">
            <v>1.3501000000000001</v>
          </cell>
          <cell r="AE100">
            <v>5.7840000000000001E-3</v>
          </cell>
          <cell r="AF100">
            <v>-4.823E-3</v>
          </cell>
          <cell r="AG100">
            <v>-6.4510000000000001E-3</v>
          </cell>
          <cell r="AR100">
            <v>1.1367000000000002E-2</v>
          </cell>
          <cell r="BC100">
            <v>2.5005999999999997E-2</v>
          </cell>
          <cell r="BF100">
            <v>3.6373000000000003E-2</v>
          </cell>
        </row>
        <row r="101">
          <cell r="O101">
            <v>1.3664000000000001</v>
          </cell>
          <cell r="P101">
            <v>1.355</v>
          </cell>
          <cell r="Q101">
            <v>1.351</v>
          </cell>
          <cell r="U101">
            <v>3.7100000000000002E-3</v>
          </cell>
          <cell r="V101">
            <v>-5.4450000000000002E-3</v>
          </cell>
          <cell r="W101">
            <v>-8.2439999999999996E-3</v>
          </cell>
          <cell r="Y101">
            <v>1.3664000000000001</v>
          </cell>
          <cell r="Z101">
            <v>1.355</v>
          </cell>
          <cell r="AA101">
            <v>1.351</v>
          </cell>
          <cell r="AE101">
            <v>3.7100000000000002E-3</v>
          </cell>
          <cell r="AF101">
            <v>-5.4450000000000002E-3</v>
          </cell>
          <cell r="AG101">
            <v>-8.2439999999999996E-3</v>
          </cell>
          <cell r="AR101">
            <v>1.1367000000000002E-2</v>
          </cell>
          <cell r="BC101">
            <v>2.5005999999999997E-2</v>
          </cell>
          <cell r="BF101">
            <v>3.6373000000000003E-2</v>
          </cell>
        </row>
        <row r="102">
          <cell r="O102">
            <v>1.3664000000000001</v>
          </cell>
          <cell r="P102">
            <v>1.3560000000000001</v>
          </cell>
          <cell r="Q102">
            <v>1.3514999999999999</v>
          </cell>
          <cell r="U102">
            <v>2.8609999999999998E-3</v>
          </cell>
          <cell r="V102">
            <v>-5.4869999999999997E-3</v>
          </cell>
          <cell r="W102">
            <v>-8.4700000000000001E-3</v>
          </cell>
          <cell r="Y102">
            <v>1.3664000000000001</v>
          </cell>
          <cell r="Z102">
            <v>1.3560000000000001</v>
          </cell>
          <cell r="AA102">
            <v>1.3514999999999999</v>
          </cell>
          <cell r="AE102">
            <v>2.8609999999999998E-3</v>
          </cell>
          <cell r="AF102">
            <v>-5.4869999999999997E-3</v>
          </cell>
          <cell r="AG102">
            <v>-8.4700000000000001E-3</v>
          </cell>
          <cell r="AR102">
            <v>1.1367000000000002E-2</v>
          </cell>
          <cell r="BC102">
            <v>2.5005999999999997E-2</v>
          </cell>
          <cell r="BF102">
            <v>3.6373000000000003E-2</v>
          </cell>
        </row>
        <row r="103">
          <cell r="O103">
            <v>1.3664000000000001</v>
          </cell>
          <cell r="P103">
            <v>1.3581000000000001</v>
          </cell>
          <cell r="Q103">
            <v>1.3521000000000001</v>
          </cell>
          <cell r="U103">
            <v>-4.4689999999999999E-3</v>
          </cell>
          <cell r="V103">
            <v>-1.2083999999999999E-2</v>
          </cell>
          <cell r="W103">
            <v>-1.5429999999999999E-2</v>
          </cell>
          <cell r="Y103">
            <v>1.3664000000000001</v>
          </cell>
          <cell r="Z103">
            <v>1.3581000000000001</v>
          </cell>
          <cell r="AA103">
            <v>1.3521000000000001</v>
          </cell>
          <cell r="AE103">
            <v>-4.4689999999999999E-3</v>
          </cell>
          <cell r="AF103">
            <v>-1.2083999999999999E-2</v>
          </cell>
          <cell r="AG103">
            <v>-1.5429999999999999E-2</v>
          </cell>
          <cell r="AR103">
            <v>1.1367000000000002E-2</v>
          </cell>
          <cell r="BC103">
            <v>2.5005999999999997E-2</v>
          </cell>
          <cell r="BF103">
            <v>3.6373000000000003E-2</v>
          </cell>
        </row>
        <row r="104">
          <cell r="O104">
            <v>1.3664000000000001</v>
          </cell>
          <cell r="P104">
            <v>1.3613</v>
          </cell>
          <cell r="Q104">
            <v>1.3537999999999999</v>
          </cell>
          <cell r="U104">
            <v>-1.6716999999999999E-2</v>
          </cell>
          <cell r="V104">
            <v>-2.2824000000000001E-2</v>
          </cell>
          <cell r="W104">
            <v>-2.7233E-2</v>
          </cell>
          <cell r="Y104">
            <v>1.3664000000000001</v>
          </cell>
          <cell r="Z104">
            <v>1.3613</v>
          </cell>
          <cell r="AA104">
            <v>1.3537999999999999</v>
          </cell>
          <cell r="AE104">
            <v>-1.6716999999999999E-2</v>
          </cell>
          <cell r="AF104">
            <v>-2.2824000000000001E-2</v>
          </cell>
          <cell r="AG104">
            <v>-2.7233E-2</v>
          </cell>
          <cell r="AR104">
            <v>1.1367000000000002E-2</v>
          </cell>
          <cell r="BC104">
            <v>2.5005999999999997E-2</v>
          </cell>
          <cell r="BF104">
            <v>3.6373000000000003E-2</v>
          </cell>
        </row>
        <row r="105">
          <cell r="O105">
            <v>1.3664000000000001</v>
          </cell>
          <cell r="P105">
            <v>1.3654999999999999</v>
          </cell>
          <cell r="Q105">
            <v>1.3560000000000001</v>
          </cell>
          <cell r="U105">
            <v>-1.8238999999999998E-2</v>
          </cell>
          <cell r="V105">
            <v>-2.1975000000000001E-2</v>
          </cell>
          <cell r="W105">
            <v>-2.7476E-2</v>
          </cell>
          <cell r="Y105">
            <v>1.3664000000000001</v>
          </cell>
          <cell r="Z105">
            <v>1.3654999999999999</v>
          </cell>
          <cell r="AA105">
            <v>1.3560000000000001</v>
          </cell>
          <cell r="AE105">
            <v>-1.8238999999999998E-2</v>
          </cell>
          <cell r="AF105">
            <v>-2.1975000000000001E-2</v>
          </cell>
          <cell r="AG105">
            <v>-2.7476E-2</v>
          </cell>
          <cell r="AR105">
            <v>9.8440000000000021E-3</v>
          </cell>
          <cell r="BC105">
            <v>2.5005999999999997E-2</v>
          </cell>
          <cell r="BF105">
            <v>3.4850000000000006E-2</v>
          </cell>
        </row>
        <row r="106">
          <cell r="O106">
            <v>1.3664000000000001</v>
          </cell>
          <cell r="P106">
            <v>1.371</v>
          </cell>
          <cell r="Q106">
            <v>1.3589</v>
          </cell>
          <cell r="U106">
            <v>-2.7317999999999999E-2</v>
          </cell>
          <cell r="V106">
            <v>-2.7966999999999999E-2</v>
          </cell>
          <cell r="W106">
            <v>-3.4949000000000001E-2</v>
          </cell>
          <cell r="Y106">
            <v>1.3664000000000001</v>
          </cell>
          <cell r="Z106">
            <v>1.371</v>
          </cell>
          <cell r="AA106">
            <v>1.3589</v>
          </cell>
          <cell r="AE106">
            <v>-2.7317999999999999E-2</v>
          </cell>
          <cell r="AF106">
            <v>-2.7966999999999999E-2</v>
          </cell>
          <cell r="AG106">
            <v>-3.4949000000000001E-2</v>
          </cell>
          <cell r="AR106">
            <v>7.6500000000000005E-4</v>
          </cell>
          <cell r="BC106">
            <v>2.5005999999999997E-2</v>
          </cell>
          <cell r="BF106">
            <v>2.5771000000000002E-2</v>
          </cell>
        </row>
        <row r="107">
          <cell r="O107">
            <v>1.3664000000000001</v>
          </cell>
          <cell r="P107">
            <v>1.3771</v>
          </cell>
          <cell r="Q107">
            <v>1.3621000000000001</v>
          </cell>
          <cell r="U107">
            <v>-3.347E-2</v>
          </cell>
          <cell r="V107">
            <v>-3.0058999999999999E-2</v>
          </cell>
          <cell r="W107">
            <v>-3.8939000000000001E-2</v>
          </cell>
          <cell r="Y107">
            <v>1.3664000000000001</v>
          </cell>
          <cell r="Z107">
            <v>1.3771</v>
          </cell>
          <cell r="AA107">
            <v>1.3621000000000001</v>
          </cell>
          <cell r="AE107">
            <v>-3.347E-2</v>
          </cell>
          <cell r="AF107">
            <v>-3.0058999999999999E-2</v>
          </cell>
          <cell r="AG107">
            <v>-3.8939000000000001E-2</v>
          </cell>
          <cell r="AR107">
            <v>-5.3879999999999987E-3</v>
          </cell>
          <cell r="BC107">
            <v>2.5005999999999997E-2</v>
          </cell>
          <cell r="BF107">
            <v>1.9618000000000003E-2</v>
          </cell>
        </row>
        <row r="108">
          <cell r="O108">
            <v>1.3664000000000001</v>
          </cell>
          <cell r="P108">
            <v>1.3811</v>
          </cell>
          <cell r="Q108">
            <v>1.365</v>
          </cell>
          <cell r="U108">
            <v>-2.1988000000000001E-2</v>
          </cell>
          <cell r="V108">
            <v>-1.4142E-2</v>
          </cell>
          <cell r="W108">
            <v>-2.5104000000000001E-2</v>
          </cell>
          <cell r="Y108">
            <v>1.3664000000000001</v>
          </cell>
          <cell r="Z108">
            <v>1.3811</v>
          </cell>
          <cell r="AA108">
            <v>1.365</v>
          </cell>
          <cell r="AE108">
            <v>-2.1988000000000001E-2</v>
          </cell>
          <cell r="AF108">
            <v>-1.4142E-2</v>
          </cell>
          <cell r="AG108">
            <v>-2.5104000000000001E-2</v>
          </cell>
          <cell r="AR108">
            <v>6.0950000000000015E-3</v>
          </cell>
          <cell r="BC108">
            <v>2.5005999999999997E-2</v>
          </cell>
          <cell r="BF108">
            <v>3.1101000000000004E-2</v>
          </cell>
        </row>
        <row r="109">
          <cell r="O109">
            <v>1.3664000000000001</v>
          </cell>
          <cell r="P109">
            <v>1.3843000000000001</v>
          </cell>
          <cell r="Q109">
            <v>1.3681000000000001</v>
          </cell>
          <cell r="U109">
            <v>-1.9244000000000001E-2</v>
          </cell>
          <cell r="V109">
            <v>-8.4980000000000003E-3</v>
          </cell>
          <cell r="W109">
            <v>-2.0251999999999999E-2</v>
          </cell>
          <cell r="Y109">
            <v>1.3664000000000001</v>
          </cell>
          <cell r="Z109">
            <v>1.3843000000000001</v>
          </cell>
          <cell r="AA109">
            <v>1.3681000000000001</v>
          </cell>
          <cell r="AE109">
            <v>-1.9244000000000001E-2</v>
          </cell>
          <cell r="AF109">
            <v>-8.4980000000000003E-3</v>
          </cell>
          <cell r="AG109">
            <v>-2.0251999999999999E-2</v>
          </cell>
          <cell r="AR109">
            <v>8.8390000000000014E-3</v>
          </cell>
          <cell r="BC109">
            <v>2.5005999999999997E-2</v>
          </cell>
          <cell r="BF109">
            <v>3.3845E-2</v>
          </cell>
        </row>
        <row r="110">
          <cell r="O110">
            <v>1.3664000000000001</v>
          </cell>
          <cell r="P110">
            <v>1.387</v>
          </cell>
          <cell r="Q110">
            <v>1.3704000000000001</v>
          </cell>
          <cell r="U110">
            <v>-1.3983000000000001E-2</v>
          </cell>
          <cell r="V110">
            <v>-9.8700000000000003E-4</v>
          </cell>
          <cell r="W110">
            <v>-1.2718999999999999E-2</v>
          </cell>
          <cell r="Y110">
            <v>1.3664000000000001</v>
          </cell>
          <cell r="Z110">
            <v>1.387</v>
          </cell>
          <cell r="AA110">
            <v>1.3704000000000001</v>
          </cell>
          <cell r="AE110">
            <v>-1.3983000000000001E-2</v>
          </cell>
          <cell r="AF110">
            <v>-9.8700000000000003E-4</v>
          </cell>
          <cell r="AG110">
            <v>-1.2718999999999999E-2</v>
          </cell>
          <cell r="AR110">
            <v>1.4100000000000001E-2</v>
          </cell>
          <cell r="BC110">
            <v>2.5005999999999997E-2</v>
          </cell>
          <cell r="BF110">
            <v>3.9106000000000002E-2</v>
          </cell>
        </row>
        <row r="111">
          <cell r="O111">
            <v>1.3664000000000001</v>
          </cell>
          <cell r="P111">
            <v>1.3876999999999999</v>
          </cell>
          <cell r="Q111">
            <v>1.3714</v>
          </cell>
          <cell r="U111">
            <v>-1.864E-3</v>
          </cell>
          <cell r="V111">
            <v>1.3089E-2</v>
          </cell>
          <cell r="W111">
            <v>1.108E-3</v>
          </cell>
          <cell r="Y111">
            <v>1.3664000000000001</v>
          </cell>
          <cell r="Z111">
            <v>1.3876999999999999</v>
          </cell>
          <cell r="AA111">
            <v>1.3714</v>
          </cell>
          <cell r="AE111">
            <v>-1.864E-3</v>
          </cell>
          <cell r="AF111">
            <v>1.3089E-2</v>
          </cell>
          <cell r="AG111">
            <v>1.108E-3</v>
          </cell>
          <cell r="AR111">
            <v>2.6219000000000003E-2</v>
          </cell>
          <cell r="BC111">
            <v>2.5005999999999997E-2</v>
          </cell>
          <cell r="BF111">
            <v>5.1225000000000007E-2</v>
          </cell>
        </row>
        <row r="112">
          <cell r="O112">
            <v>1.3664000000000001</v>
          </cell>
          <cell r="P112">
            <v>1.3895</v>
          </cell>
          <cell r="Q112">
            <v>1.3727</v>
          </cell>
          <cell r="U112">
            <v>-9.7409999999999997E-3</v>
          </cell>
          <cell r="V112">
            <v>5.7609999999999996E-3</v>
          </cell>
          <cell r="W112">
            <v>-6.0930000000000003E-3</v>
          </cell>
          <cell r="Y112">
            <v>1.3664000000000001</v>
          </cell>
          <cell r="Z112">
            <v>1.3895</v>
          </cell>
          <cell r="AA112">
            <v>1.3727</v>
          </cell>
          <cell r="AE112">
            <v>-9.7409999999999997E-3</v>
          </cell>
          <cell r="AF112">
            <v>5.7609999999999996E-3</v>
          </cell>
          <cell r="AG112">
            <v>-6.0930000000000003E-3</v>
          </cell>
          <cell r="AR112">
            <v>2.6219000000000003E-2</v>
          </cell>
          <cell r="BC112">
            <v>2.5005999999999997E-2</v>
          </cell>
          <cell r="BF112">
            <v>5.1225000000000007E-2</v>
          </cell>
        </row>
        <row r="113">
          <cell r="O113">
            <v>1.3664000000000001</v>
          </cell>
          <cell r="P113">
            <v>1.3905000000000001</v>
          </cell>
          <cell r="Q113">
            <v>1.3743000000000001</v>
          </cell>
          <cell r="U113">
            <v>-1.2328E-2</v>
          </cell>
          <cell r="V113">
            <v>4.4180000000000001E-3</v>
          </cell>
          <cell r="W113">
            <v>-7.6880000000000004E-3</v>
          </cell>
          <cell r="Y113">
            <v>1.3664000000000001</v>
          </cell>
          <cell r="Z113">
            <v>1.3905000000000001</v>
          </cell>
          <cell r="AA113">
            <v>1.3743000000000001</v>
          </cell>
          <cell r="AE113">
            <v>-1.2328E-2</v>
          </cell>
          <cell r="AF113">
            <v>4.4180000000000001E-3</v>
          </cell>
          <cell r="AG113">
            <v>-7.6880000000000004E-3</v>
          </cell>
          <cell r="AR113">
            <v>2.6219000000000003E-2</v>
          </cell>
          <cell r="BC113">
            <v>2.5005999999999997E-2</v>
          </cell>
          <cell r="BF113">
            <v>5.1225000000000007E-2</v>
          </cell>
        </row>
        <row r="114">
          <cell r="O114">
            <v>1.3664000000000001</v>
          </cell>
          <cell r="P114">
            <v>1.3909</v>
          </cell>
          <cell r="Q114">
            <v>1.3761000000000001</v>
          </cell>
          <cell r="U114">
            <v>-1.9366999999999999E-2</v>
          </cell>
          <cell r="V114">
            <v>-1.8420000000000001E-3</v>
          </cell>
          <cell r="W114">
            <v>-1.3587999999999999E-2</v>
          </cell>
          <cell r="Y114">
            <v>1.3664000000000001</v>
          </cell>
          <cell r="Z114">
            <v>1.3909</v>
          </cell>
          <cell r="AA114">
            <v>1.3761000000000001</v>
          </cell>
          <cell r="AE114">
            <v>-1.9366999999999999E-2</v>
          </cell>
          <cell r="AF114">
            <v>-1.8420000000000001E-3</v>
          </cell>
          <cell r="AG114">
            <v>-1.3587999999999999E-2</v>
          </cell>
          <cell r="AR114">
            <v>2.6219000000000003E-2</v>
          </cell>
          <cell r="BC114">
            <v>2.5005999999999997E-2</v>
          </cell>
          <cell r="BF114">
            <v>5.1225000000000007E-2</v>
          </cell>
        </row>
        <row r="115">
          <cell r="O115">
            <v>1.3664000000000001</v>
          </cell>
          <cell r="P115">
            <v>1.3925000000000001</v>
          </cell>
          <cell r="Q115">
            <v>1.379</v>
          </cell>
          <cell r="U115">
            <v>-2.9579999999999999E-2</v>
          </cell>
          <cell r="V115">
            <v>-1.179E-2</v>
          </cell>
          <cell r="W115">
            <v>-2.2495000000000001E-2</v>
          </cell>
          <cell r="Y115">
            <v>1.3664000000000001</v>
          </cell>
          <cell r="Z115">
            <v>1.3925000000000001</v>
          </cell>
          <cell r="AA115">
            <v>1.379</v>
          </cell>
          <cell r="AE115">
            <v>-2.9579999999999999E-2</v>
          </cell>
          <cell r="AF115">
            <v>-1.179E-2</v>
          </cell>
          <cell r="AG115">
            <v>-2.2495000000000001E-2</v>
          </cell>
          <cell r="AR115">
            <v>2.6219000000000003E-2</v>
          </cell>
          <cell r="BC115">
            <v>2.5005999999999997E-2</v>
          </cell>
          <cell r="BF115">
            <v>5.1225000000000007E-2</v>
          </cell>
        </row>
        <row r="116">
          <cell r="O116">
            <v>1.3664000000000001</v>
          </cell>
          <cell r="P116">
            <v>1.3947000000000001</v>
          </cell>
          <cell r="Q116">
            <v>1.3829</v>
          </cell>
          <cell r="U116">
            <v>-4.2993999999999997E-2</v>
          </cell>
          <cell r="V116">
            <v>-2.4063999999999999E-2</v>
          </cell>
          <cell r="W116">
            <v>-3.3805000000000002E-2</v>
          </cell>
          <cell r="Y116">
            <v>1.3664000000000001</v>
          </cell>
          <cell r="Z116">
            <v>1.3947000000000001</v>
          </cell>
          <cell r="AA116">
            <v>1.3829</v>
          </cell>
          <cell r="AE116">
            <v>-4.2993999999999997E-2</v>
          </cell>
          <cell r="AF116">
            <v>-2.4063999999999999E-2</v>
          </cell>
          <cell r="AG116">
            <v>-3.3805000000000002E-2</v>
          </cell>
          <cell r="AR116">
            <v>1.2805000000000002E-2</v>
          </cell>
          <cell r="BC116">
            <v>2.5005999999999997E-2</v>
          </cell>
          <cell r="BF116">
            <v>3.7811000000000004E-2</v>
          </cell>
        </row>
        <row r="117">
          <cell r="O117">
            <v>1.3664000000000001</v>
          </cell>
          <cell r="P117">
            <v>1.3944000000000001</v>
          </cell>
          <cell r="Q117">
            <v>1.3857999999999999</v>
          </cell>
          <cell r="U117">
            <v>-3.1304999999999999E-2</v>
          </cell>
          <cell r="V117">
            <v>-1.0782E-2</v>
          </cell>
          <cell r="W117">
            <v>-1.9300999999999999E-2</v>
          </cell>
          <cell r="Y117">
            <v>1.3664000000000001</v>
          </cell>
          <cell r="Z117">
            <v>1.3944000000000001</v>
          </cell>
          <cell r="AA117">
            <v>1.3857999999999999</v>
          </cell>
          <cell r="AE117">
            <v>-3.1304999999999999E-2</v>
          </cell>
          <cell r="AF117">
            <v>-1.0782E-2</v>
          </cell>
          <cell r="AG117">
            <v>-1.9300999999999999E-2</v>
          </cell>
          <cell r="AR117">
            <v>2.4495000000000003E-2</v>
          </cell>
          <cell r="BC117">
            <v>2.5005999999999997E-2</v>
          </cell>
          <cell r="BF117">
            <v>4.9501000000000003E-2</v>
          </cell>
        </row>
        <row r="118">
          <cell r="O118">
            <v>1.3664000000000001</v>
          </cell>
          <cell r="P118">
            <v>1.3965000000000001</v>
          </cell>
          <cell r="Q118">
            <v>1.3888</v>
          </cell>
          <cell r="U118">
            <v>-3.6533999999999997E-2</v>
          </cell>
          <cell r="V118">
            <v>-1.6230999999999999E-2</v>
          </cell>
          <cell r="W118">
            <v>-2.2440000000000002E-2</v>
          </cell>
          <cell r="Y118">
            <v>1.3664000000000001</v>
          </cell>
          <cell r="Z118">
            <v>1.3965000000000001</v>
          </cell>
          <cell r="AA118">
            <v>1.3888</v>
          </cell>
          <cell r="AE118">
            <v>-3.6533999999999997E-2</v>
          </cell>
          <cell r="AF118">
            <v>-1.6230999999999999E-2</v>
          </cell>
          <cell r="AG118">
            <v>-2.2440000000000002E-2</v>
          </cell>
          <cell r="AR118">
            <v>2.4495000000000003E-2</v>
          </cell>
          <cell r="BC118">
            <v>2.5005999999999997E-2</v>
          </cell>
          <cell r="BF118">
            <v>4.9501000000000003E-2</v>
          </cell>
        </row>
        <row r="119">
          <cell r="O119">
            <v>1.3664000000000001</v>
          </cell>
          <cell r="P119">
            <v>1.3979999999999999</v>
          </cell>
          <cell r="Q119">
            <v>1.3911</v>
          </cell>
          <cell r="U119">
            <v>-3.0103999999999999E-2</v>
          </cell>
          <cell r="V119">
            <v>-8.3339999999999994E-3</v>
          </cell>
          <cell r="W119">
            <v>-1.3831E-2</v>
          </cell>
          <cell r="Y119">
            <v>1.3664000000000001</v>
          </cell>
          <cell r="Z119">
            <v>1.3979999999999999</v>
          </cell>
          <cell r="AA119">
            <v>1.3911</v>
          </cell>
          <cell r="AE119">
            <v>-3.0103999999999999E-2</v>
          </cell>
          <cell r="AF119">
            <v>-8.3339999999999994E-3</v>
          </cell>
          <cell r="AG119">
            <v>-1.3831E-2</v>
          </cell>
          <cell r="AR119">
            <v>3.0925000000000001E-2</v>
          </cell>
          <cell r="BC119">
            <v>2.5005999999999997E-2</v>
          </cell>
          <cell r="BF119">
            <v>5.5931000000000002E-2</v>
          </cell>
        </row>
        <row r="120">
          <cell r="O120">
            <v>1.3664000000000001</v>
          </cell>
          <cell r="P120">
            <v>1.3983000000000001</v>
          </cell>
          <cell r="Q120">
            <v>1.3926000000000001</v>
          </cell>
          <cell r="U120">
            <v>-1.6274E-2</v>
          </cell>
          <cell r="V120">
            <v>6.5849999999999997E-3</v>
          </cell>
          <cell r="W120">
            <v>1.6659999999999999E-3</v>
          </cell>
          <cell r="Y120">
            <v>1.3664000000000001</v>
          </cell>
          <cell r="Z120">
            <v>1.3983000000000001</v>
          </cell>
          <cell r="AA120">
            <v>1.3926000000000001</v>
          </cell>
          <cell r="AE120">
            <v>-1.6274E-2</v>
          </cell>
          <cell r="AF120">
            <v>6.5849999999999997E-3</v>
          </cell>
          <cell r="AG120">
            <v>1.6659999999999999E-3</v>
          </cell>
          <cell r="AR120">
            <v>4.4755000000000003E-2</v>
          </cell>
          <cell r="BC120">
            <v>2.5005999999999997E-2</v>
          </cell>
          <cell r="BF120">
            <v>6.9761000000000004E-2</v>
          </cell>
        </row>
        <row r="121">
          <cell r="O121">
            <v>1.3664000000000001</v>
          </cell>
          <cell r="P121">
            <v>1.4001999999999999</v>
          </cell>
          <cell r="Q121">
            <v>1.3939999999999999</v>
          </cell>
          <cell r="U121">
            <v>-1.5706000000000001E-2</v>
          </cell>
          <cell r="V121">
            <v>7.3800000000000003E-3</v>
          </cell>
          <cell r="W121">
            <v>3.3219999999999999E-3</v>
          </cell>
          <cell r="Y121">
            <v>1.3664000000000001</v>
          </cell>
          <cell r="Z121">
            <v>1.4001999999999999</v>
          </cell>
          <cell r="AA121">
            <v>1.3939999999999999</v>
          </cell>
          <cell r="AE121">
            <v>-1.5706000000000001E-2</v>
          </cell>
          <cell r="AF121">
            <v>7.3800000000000003E-3</v>
          </cell>
          <cell r="AG121">
            <v>3.3219999999999999E-3</v>
          </cell>
          <cell r="AR121">
            <v>4.4755000000000003E-2</v>
          </cell>
          <cell r="BC121">
            <v>2.5005999999999997E-2</v>
          </cell>
          <cell r="BF121">
            <v>6.9761000000000004E-2</v>
          </cell>
        </row>
        <row r="122">
          <cell r="O122">
            <v>1.3664000000000001</v>
          </cell>
          <cell r="P122">
            <v>1.3988</v>
          </cell>
          <cell r="Q122">
            <v>1.3940999999999999</v>
          </cell>
          <cell r="U122">
            <v>2.9700000000000001E-4</v>
          </cell>
          <cell r="V122">
            <v>2.4746000000000001E-2</v>
          </cell>
          <cell r="W122">
            <v>2.0282000000000001E-2</v>
          </cell>
          <cell r="Y122">
            <v>1.3664000000000001</v>
          </cell>
          <cell r="Z122">
            <v>1.3988</v>
          </cell>
          <cell r="AA122">
            <v>1.3940999999999999</v>
          </cell>
          <cell r="AE122">
            <v>2.9700000000000001E-4</v>
          </cell>
          <cell r="AF122">
            <v>2.4746000000000001E-2</v>
          </cell>
          <cell r="AG122">
            <v>2.0282000000000001E-2</v>
          </cell>
          <cell r="AR122">
            <v>4.4755000000000003E-2</v>
          </cell>
          <cell r="BC122">
            <v>2.5005999999999997E-2</v>
          </cell>
          <cell r="BF122">
            <v>6.9761000000000004E-2</v>
          </cell>
        </row>
        <row r="123">
          <cell r="O123">
            <v>1.3664000000000001</v>
          </cell>
          <cell r="P123">
            <v>1.3977999999999999</v>
          </cell>
          <cell r="Q123">
            <v>1.3942000000000001</v>
          </cell>
          <cell r="U123">
            <v>-5.1289999999999999E-3</v>
          </cell>
          <cell r="V123">
            <v>1.8336000000000002E-2</v>
          </cell>
          <cell r="W123">
            <v>1.4983E-2</v>
          </cell>
          <cell r="Y123">
            <v>1.3664000000000001</v>
          </cell>
          <cell r="Z123">
            <v>1.3977999999999999</v>
          </cell>
          <cell r="AA123">
            <v>1.3942000000000001</v>
          </cell>
          <cell r="AE123">
            <v>-5.1289999999999999E-3</v>
          </cell>
          <cell r="AF123">
            <v>1.8336000000000002E-2</v>
          </cell>
          <cell r="AG123">
            <v>1.4983E-2</v>
          </cell>
          <cell r="AR123">
            <v>4.4755000000000003E-2</v>
          </cell>
          <cell r="BC123">
            <v>3.0430999999999996E-2</v>
          </cell>
          <cell r="BF123">
            <v>7.5186000000000003E-2</v>
          </cell>
        </row>
        <row r="124">
          <cell r="O124">
            <v>1.3664000000000001</v>
          </cell>
          <cell r="P124">
            <v>1.3948</v>
          </cell>
          <cell r="Q124">
            <v>1.3929</v>
          </cell>
          <cell r="U124">
            <v>2.5179999999999998E-3</v>
          </cell>
          <cell r="V124">
            <v>2.5274000000000001E-2</v>
          </cell>
          <cell r="W124">
            <v>2.2662000000000002E-2</v>
          </cell>
          <cell r="Y124">
            <v>1.3664000000000001</v>
          </cell>
          <cell r="Z124">
            <v>1.3948</v>
          </cell>
          <cell r="AA124">
            <v>1.3929</v>
          </cell>
          <cell r="AE124">
            <v>2.5179999999999998E-3</v>
          </cell>
          <cell r="AF124">
            <v>2.5274000000000001E-2</v>
          </cell>
          <cell r="AG124">
            <v>2.2662000000000002E-2</v>
          </cell>
          <cell r="AR124">
            <v>4.4755000000000003E-2</v>
          </cell>
          <cell r="BC124">
            <v>2.2783999999999999E-2</v>
          </cell>
          <cell r="BF124">
            <v>6.7539000000000002E-2</v>
          </cell>
        </row>
        <row r="125">
          <cell r="O125">
            <v>1.3664000000000001</v>
          </cell>
          <cell r="P125">
            <v>1.3906000000000001</v>
          </cell>
          <cell r="Q125">
            <v>1.3915</v>
          </cell>
          <cell r="U125">
            <v>9.4399999999999996E-4</v>
          </cell>
          <cell r="V125">
            <v>2.154E-2</v>
          </cell>
          <cell r="W125">
            <v>2.0138E-2</v>
          </cell>
          <cell r="Y125">
            <v>1.3664000000000001</v>
          </cell>
          <cell r="Z125">
            <v>1.3906000000000001</v>
          </cell>
          <cell r="AA125">
            <v>1.3915</v>
          </cell>
          <cell r="AE125">
            <v>9.4399999999999996E-4</v>
          </cell>
          <cell r="AF125">
            <v>2.154E-2</v>
          </cell>
          <cell r="AG125">
            <v>2.0138E-2</v>
          </cell>
          <cell r="AR125">
            <v>4.4755000000000003E-2</v>
          </cell>
          <cell r="BC125">
            <v>2.4357999999999998E-2</v>
          </cell>
          <cell r="BF125">
            <v>6.9113000000000008E-2</v>
          </cell>
        </row>
        <row r="126">
          <cell r="O126">
            <v>1.3664000000000001</v>
          </cell>
          <cell r="P126">
            <v>1.3855999999999999</v>
          </cell>
          <cell r="Q126">
            <v>1.3900999999999999</v>
          </cell>
          <cell r="U126">
            <v>-7.2160000000000002E-3</v>
          </cell>
          <cell r="V126">
            <v>1.0342E-2</v>
          </cell>
          <cell r="W126">
            <v>1.1029000000000001E-2</v>
          </cell>
          <cell r="Y126">
            <v>1.3664000000000001</v>
          </cell>
          <cell r="Z126">
            <v>1.3855999999999999</v>
          </cell>
          <cell r="AA126">
            <v>1.3900999999999999</v>
          </cell>
          <cell r="AE126">
            <v>-7.2160000000000002E-3</v>
          </cell>
          <cell r="AF126">
            <v>1.0342E-2</v>
          </cell>
          <cell r="AG126">
            <v>1.1029000000000001E-2</v>
          </cell>
          <cell r="AR126">
            <v>4.4755000000000003E-2</v>
          </cell>
          <cell r="BC126">
            <v>3.2517999999999998E-2</v>
          </cell>
          <cell r="BF126">
            <v>7.7273000000000008E-2</v>
          </cell>
        </row>
        <row r="127">
          <cell r="O127">
            <v>1.3664000000000001</v>
          </cell>
          <cell r="P127">
            <v>1.3836999999999999</v>
          </cell>
          <cell r="Q127">
            <v>1.389</v>
          </cell>
          <cell r="U127">
            <v>-1.7783E-2</v>
          </cell>
          <cell r="V127">
            <v>-3.8370000000000001E-3</v>
          </cell>
          <cell r="W127">
            <v>-5.4299999999999997E-4</v>
          </cell>
          <cell r="Y127">
            <v>1.3664000000000001</v>
          </cell>
          <cell r="Z127">
            <v>1.3836999999999999</v>
          </cell>
          <cell r="AA127">
            <v>1.389</v>
          </cell>
          <cell r="AE127">
            <v>-1.7783E-2</v>
          </cell>
          <cell r="AF127">
            <v>-3.8370000000000001E-3</v>
          </cell>
          <cell r="AG127">
            <v>-5.4299999999999997E-4</v>
          </cell>
          <cell r="AR127">
            <v>4.4755000000000003E-2</v>
          </cell>
          <cell r="BC127">
            <v>4.3084999999999998E-2</v>
          </cell>
          <cell r="BF127">
            <v>8.7840000000000015E-2</v>
          </cell>
        </row>
        <row r="128">
          <cell r="O128">
            <v>1.3664000000000001</v>
          </cell>
          <cell r="P128">
            <v>1.3817999999999999</v>
          </cell>
          <cell r="Q128">
            <v>1.3891</v>
          </cell>
          <cell r="U128">
            <v>-2.3372E-2</v>
          </cell>
          <cell r="V128">
            <v>-1.0793000000000001E-2</v>
          </cell>
          <cell r="W128">
            <v>-6.9230000000000003E-3</v>
          </cell>
          <cell r="Y128">
            <v>1.3664000000000001</v>
          </cell>
          <cell r="Z128">
            <v>1.3817999999999999</v>
          </cell>
          <cell r="AA128">
            <v>1.3891</v>
          </cell>
          <cell r="AE128">
            <v>-2.3372E-2</v>
          </cell>
          <cell r="AF128">
            <v>-1.0793000000000001E-2</v>
          </cell>
          <cell r="AG128">
            <v>-6.9230000000000003E-3</v>
          </cell>
          <cell r="AR128">
            <v>4.4755000000000003E-2</v>
          </cell>
          <cell r="BC128">
            <v>4.3084999999999998E-2</v>
          </cell>
          <cell r="BF128">
            <v>8.7840000000000015E-2</v>
          </cell>
        </row>
        <row r="129">
          <cell r="O129">
            <v>1.3664000000000001</v>
          </cell>
          <cell r="P129">
            <v>1.3805000000000001</v>
          </cell>
          <cell r="Q129">
            <v>1.3893</v>
          </cell>
          <cell r="U129">
            <v>-2.1007000000000001E-2</v>
          </cell>
          <cell r="V129">
            <v>-9.7689999999999999E-3</v>
          </cell>
          <cell r="W129">
            <v>-4.4889999999999999E-3</v>
          </cell>
          <cell r="Y129">
            <v>1.3664000000000001</v>
          </cell>
          <cell r="Z129">
            <v>1.3805000000000001</v>
          </cell>
          <cell r="AA129">
            <v>1.3893</v>
          </cell>
          <cell r="AE129">
            <v>-2.1007000000000001E-2</v>
          </cell>
          <cell r="AF129">
            <v>-9.7689999999999999E-3</v>
          </cell>
          <cell r="AG129">
            <v>-4.4889999999999999E-3</v>
          </cell>
          <cell r="AR129">
            <v>4.4755000000000003E-2</v>
          </cell>
          <cell r="BC129">
            <v>4.3084999999999998E-2</v>
          </cell>
          <cell r="BF129">
            <v>8.7840000000000015E-2</v>
          </cell>
        </row>
        <row r="130">
          <cell r="O130">
            <v>1.3664000000000001</v>
          </cell>
          <cell r="P130">
            <v>1.3815999999999999</v>
          </cell>
          <cell r="Q130">
            <v>1.3898999999999999</v>
          </cell>
          <cell r="U130">
            <v>-2.3491999999999999E-2</v>
          </cell>
          <cell r="V130">
            <v>-1.3176999999999999E-2</v>
          </cell>
          <cell r="W130">
            <v>-6.8849999999999996E-3</v>
          </cell>
          <cell r="Y130">
            <v>1.3664000000000001</v>
          </cell>
          <cell r="Z130">
            <v>1.3815999999999999</v>
          </cell>
          <cell r="AA130">
            <v>1.3898999999999999</v>
          </cell>
          <cell r="AE130">
            <v>-2.3491999999999999E-2</v>
          </cell>
          <cell r="AF130">
            <v>-1.3176999999999999E-2</v>
          </cell>
          <cell r="AG130">
            <v>-6.8849999999999996E-3</v>
          </cell>
          <cell r="AR130">
            <v>4.4755000000000003E-2</v>
          </cell>
          <cell r="BC130">
            <v>4.3084999999999998E-2</v>
          </cell>
          <cell r="BF130">
            <v>8.7840000000000015E-2</v>
          </cell>
        </row>
        <row r="131">
          <cell r="O131">
            <v>1.3664000000000001</v>
          </cell>
          <cell r="P131">
            <v>1.3825000000000001</v>
          </cell>
          <cell r="Q131">
            <v>1.3913</v>
          </cell>
          <cell r="U131">
            <v>-2.2227E-2</v>
          </cell>
          <cell r="V131">
            <v>-1.1183999999999999E-2</v>
          </cell>
          <cell r="W131">
            <v>-5.1440000000000001E-3</v>
          </cell>
          <cell r="Y131">
            <v>1.3664000000000001</v>
          </cell>
          <cell r="Z131">
            <v>1.3825000000000001</v>
          </cell>
          <cell r="AA131">
            <v>1.3913</v>
          </cell>
          <cell r="AE131">
            <v>-2.2227E-2</v>
          </cell>
          <cell r="AF131">
            <v>-1.1183999999999999E-2</v>
          </cell>
          <cell r="AG131">
            <v>-5.1440000000000001E-3</v>
          </cell>
          <cell r="AR131">
            <v>4.4755000000000003E-2</v>
          </cell>
          <cell r="BC131">
            <v>4.3084999999999998E-2</v>
          </cell>
          <cell r="BF131">
            <v>8.7840000000000015E-2</v>
          </cell>
        </row>
        <row r="132">
          <cell r="O132">
            <v>1.3664000000000001</v>
          </cell>
          <cell r="P132">
            <v>1.3853</v>
          </cell>
          <cell r="Q132">
            <v>1.3920999999999999</v>
          </cell>
          <cell r="U132">
            <v>-2.0271999999999998E-2</v>
          </cell>
          <cell r="V132">
            <v>-8.5719999999999998E-3</v>
          </cell>
          <cell r="W132">
            <v>-2.1770000000000001E-3</v>
          </cell>
          <cell r="Y132">
            <v>1.3664000000000001</v>
          </cell>
          <cell r="Z132">
            <v>1.3853</v>
          </cell>
          <cell r="AA132">
            <v>1.3920999999999999</v>
          </cell>
          <cell r="AE132">
            <v>-2.0271999999999998E-2</v>
          </cell>
          <cell r="AF132">
            <v>-8.5719999999999998E-3</v>
          </cell>
          <cell r="AG132">
            <v>-2.1770000000000001E-3</v>
          </cell>
          <cell r="AR132">
            <v>4.4755000000000003E-2</v>
          </cell>
          <cell r="BC132">
            <v>4.3084999999999998E-2</v>
          </cell>
          <cell r="BF132">
            <v>8.7840000000000015E-2</v>
          </cell>
        </row>
        <row r="133">
          <cell r="O133">
            <v>1.3664000000000001</v>
          </cell>
          <cell r="P133">
            <v>1.3889</v>
          </cell>
          <cell r="Q133">
            <v>1.3934</v>
          </cell>
          <cell r="U133">
            <v>-3.1220999999999999E-2</v>
          </cell>
          <cell r="V133">
            <v>-1.7468999999999998E-2</v>
          </cell>
          <cell r="W133">
            <v>-1.26E-2</v>
          </cell>
          <cell r="Y133">
            <v>1.3664000000000001</v>
          </cell>
          <cell r="Z133">
            <v>1.3889</v>
          </cell>
          <cell r="AA133">
            <v>1.3934</v>
          </cell>
          <cell r="AE133">
            <v>-3.1220999999999999E-2</v>
          </cell>
          <cell r="AF133">
            <v>-1.7468999999999998E-2</v>
          </cell>
          <cell r="AG133">
            <v>-1.26E-2</v>
          </cell>
          <cell r="AR133">
            <v>4.4755000000000003E-2</v>
          </cell>
          <cell r="BC133">
            <v>4.3084999999999998E-2</v>
          </cell>
          <cell r="BF133">
            <v>8.7840000000000015E-2</v>
          </cell>
        </row>
        <row r="134">
          <cell r="O134">
            <v>1.3664000000000001</v>
          </cell>
          <cell r="P134">
            <v>1.3940999999999999</v>
          </cell>
          <cell r="Q134">
            <v>1.3945000000000001</v>
          </cell>
          <cell r="U134">
            <v>-3.4660999999999997E-2</v>
          </cell>
          <cell r="V134">
            <v>-1.8291999999999999E-2</v>
          </cell>
          <cell r="W134">
            <v>-1.5094E-2</v>
          </cell>
          <cell r="Y134">
            <v>1.3664000000000001</v>
          </cell>
          <cell r="Z134">
            <v>1.3940999999999999</v>
          </cell>
          <cell r="AA134">
            <v>1.3945000000000001</v>
          </cell>
          <cell r="AE134">
            <v>-3.4660999999999997E-2</v>
          </cell>
          <cell r="AF134">
            <v>-1.8291999999999999E-2</v>
          </cell>
          <cell r="AG134">
            <v>-1.5094E-2</v>
          </cell>
          <cell r="AR134">
            <v>4.4755000000000003E-2</v>
          </cell>
          <cell r="BC134">
            <v>4.3084999999999998E-2</v>
          </cell>
          <cell r="BF134">
            <v>8.7840000000000015E-2</v>
          </cell>
        </row>
        <row r="135">
          <cell r="O135">
            <v>1.3664000000000001</v>
          </cell>
          <cell r="P135">
            <v>1.3956</v>
          </cell>
          <cell r="Q135">
            <v>1.3931</v>
          </cell>
          <cell r="U135">
            <v>-9.8150000000000008E-3</v>
          </cell>
          <cell r="V135">
            <v>1.0265E-2</v>
          </cell>
          <cell r="W135">
            <v>1.0522999999999999E-2</v>
          </cell>
          <cell r="Y135">
            <v>1.3664000000000001</v>
          </cell>
          <cell r="Z135">
            <v>1.3956</v>
          </cell>
          <cell r="AA135">
            <v>1.3931</v>
          </cell>
          <cell r="AE135">
            <v>-9.8150000000000008E-3</v>
          </cell>
          <cell r="AF135">
            <v>1.0265E-2</v>
          </cell>
          <cell r="AG135">
            <v>1.0522999999999999E-2</v>
          </cell>
          <cell r="AR135">
            <v>4.4755000000000003E-2</v>
          </cell>
          <cell r="BC135">
            <v>4.3084999999999998E-2</v>
          </cell>
          <cell r="BF135">
            <v>8.7840000000000015E-2</v>
          </cell>
        </row>
        <row r="136">
          <cell r="O136">
            <v>1.3664000000000001</v>
          </cell>
          <cell r="P136">
            <v>1.3958999999999999</v>
          </cell>
          <cell r="Q136">
            <v>1.3907</v>
          </cell>
          <cell r="U136">
            <v>-9.8029999999999992E-3</v>
          </cell>
          <cell r="V136">
            <v>1.1335E-2</v>
          </cell>
          <cell r="W136">
            <v>9.5460000000000007E-3</v>
          </cell>
          <cell r="Y136">
            <v>1.3664000000000001</v>
          </cell>
          <cell r="Z136">
            <v>1.3958999999999999</v>
          </cell>
          <cell r="AA136">
            <v>1.3907</v>
          </cell>
          <cell r="AE136">
            <v>-9.8029999999999992E-3</v>
          </cell>
          <cell r="AF136">
            <v>1.1335E-2</v>
          </cell>
          <cell r="AG136">
            <v>9.5460000000000007E-3</v>
          </cell>
          <cell r="AR136">
            <v>4.4755000000000003E-2</v>
          </cell>
          <cell r="BC136">
            <v>4.3084999999999998E-2</v>
          </cell>
          <cell r="BF136">
            <v>8.7840000000000015E-2</v>
          </cell>
        </row>
        <row r="137">
          <cell r="O137">
            <v>1.3664000000000001</v>
          </cell>
          <cell r="P137">
            <v>1.3949</v>
          </cell>
          <cell r="Q137">
            <v>1.3893</v>
          </cell>
          <cell r="U137">
            <v>-1.0479E-2</v>
          </cell>
          <cell r="V137">
            <v>1.0914E-2</v>
          </cell>
          <cell r="W137">
            <v>7.1970000000000003E-3</v>
          </cell>
          <cell r="Y137">
            <v>1.3664000000000001</v>
          </cell>
          <cell r="Z137">
            <v>1.3949</v>
          </cell>
          <cell r="AA137">
            <v>1.3893</v>
          </cell>
          <cell r="AE137">
            <v>-1.0479E-2</v>
          </cell>
          <cell r="AF137">
            <v>1.0914E-2</v>
          </cell>
          <cell r="AG137">
            <v>7.1970000000000003E-3</v>
          </cell>
          <cell r="AR137">
            <v>4.4755000000000003E-2</v>
          </cell>
          <cell r="BC137">
            <v>4.3084999999999998E-2</v>
          </cell>
          <cell r="BF137">
            <v>8.7840000000000015E-2</v>
          </cell>
        </row>
        <row r="138">
          <cell r="O138">
            <v>1.3664000000000001</v>
          </cell>
          <cell r="P138">
            <v>1.3943000000000001</v>
          </cell>
          <cell r="Q138">
            <v>1.3880999999999999</v>
          </cell>
          <cell r="U138">
            <v>-1.9056E-2</v>
          </cell>
          <cell r="V138">
            <v>1.6119999999999999E-3</v>
          </cell>
          <cell r="W138">
            <v>-2.4239999999999999E-3</v>
          </cell>
          <cell r="Y138">
            <v>1.3664000000000001</v>
          </cell>
          <cell r="Z138">
            <v>1.3943000000000001</v>
          </cell>
          <cell r="AA138">
            <v>1.3880999999999999</v>
          </cell>
          <cell r="AE138">
            <v>-1.9056E-2</v>
          </cell>
          <cell r="AF138">
            <v>1.6119999999999999E-3</v>
          </cell>
          <cell r="AG138">
            <v>-2.4239999999999999E-3</v>
          </cell>
          <cell r="AR138">
            <v>4.4755000000000003E-2</v>
          </cell>
          <cell r="BC138">
            <v>4.3084999999999998E-2</v>
          </cell>
          <cell r="BF138">
            <v>8.7840000000000015E-2</v>
          </cell>
        </row>
        <row r="139">
          <cell r="O139">
            <v>1.3664000000000001</v>
          </cell>
          <cell r="P139">
            <v>1.3949</v>
          </cell>
          <cell r="Q139">
            <v>1.3876999999999999</v>
          </cell>
          <cell r="U139">
            <v>-2.4905E-2</v>
          </cell>
          <cell r="V139">
            <v>-4.6680000000000003E-3</v>
          </cell>
          <cell r="W139">
            <v>-9.1570000000000002E-3</v>
          </cell>
          <cell r="Y139">
            <v>1.3664000000000001</v>
          </cell>
          <cell r="Z139">
            <v>1.3949</v>
          </cell>
          <cell r="AA139">
            <v>1.3876999999999999</v>
          </cell>
          <cell r="AE139">
            <v>-2.4905E-2</v>
          </cell>
          <cell r="AF139">
            <v>-4.6680000000000003E-3</v>
          </cell>
          <cell r="AG139">
            <v>-9.1570000000000002E-3</v>
          </cell>
          <cell r="AR139">
            <v>4.4755000000000003E-2</v>
          </cell>
          <cell r="BC139">
            <v>4.3084999999999998E-2</v>
          </cell>
          <cell r="BF139">
            <v>8.7840000000000015E-2</v>
          </cell>
        </row>
        <row r="140">
          <cell r="O140">
            <v>1.3664000000000001</v>
          </cell>
          <cell r="P140">
            <v>1.3948</v>
          </cell>
          <cell r="Q140">
            <v>1.3882000000000001</v>
          </cell>
          <cell r="U140">
            <v>-2.3393000000000001E-2</v>
          </cell>
          <cell r="V140">
            <v>-2.7659999999999998E-3</v>
          </cell>
          <cell r="W140">
            <v>-7.9089999999999994E-3</v>
          </cell>
          <cell r="Y140">
            <v>1.3664000000000001</v>
          </cell>
          <cell r="Z140">
            <v>1.3948</v>
          </cell>
          <cell r="AA140">
            <v>1.3882000000000001</v>
          </cell>
          <cell r="AE140">
            <v>-2.3393000000000001E-2</v>
          </cell>
          <cell r="AF140">
            <v>-2.7659999999999998E-3</v>
          </cell>
          <cell r="AG140">
            <v>-7.9089999999999994E-3</v>
          </cell>
          <cell r="AR140">
            <v>4.4755000000000003E-2</v>
          </cell>
          <cell r="BC140">
            <v>4.3084999999999998E-2</v>
          </cell>
          <cell r="BF140">
            <v>8.7840000000000015E-2</v>
          </cell>
        </row>
        <row r="141">
          <cell r="O141">
            <v>1.3664000000000001</v>
          </cell>
          <cell r="P141">
            <v>1.3944000000000001</v>
          </cell>
          <cell r="Q141">
            <v>1.3884000000000001</v>
          </cell>
          <cell r="U141">
            <v>-1.9310999999999998E-2</v>
          </cell>
          <cell r="V141">
            <v>1.307E-3</v>
          </cell>
          <cell r="W141">
            <v>-3.4689999999999999E-3</v>
          </cell>
          <cell r="Y141">
            <v>1.3664000000000001</v>
          </cell>
          <cell r="Z141">
            <v>1.3944000000000001</v>
          </cell>
          <cell r="AA141">
            <v>1.3884000000000001</v>
          </cell>
          <cell r="AE141">
            <v>-1.9310999999999998E-2</v>
          </cell>
          <cell r="AF141">
            <v>1.307E-3</v>
          </cell>
          <cell r="AG141">
            <v>-3.4689999999999999E-3</v>
          </cell>
          <cell r="AR141">
            <v>4.4755000000000003E-2</v>
          </cell>
          <cell r="BC141">
            <v>4.3084999999999998E-2</v>
          </cell>
          <cell r="BF141">
            <v>8.7840000000000015E-2</v>
          </cell>
        </row>
        <row r="142">
          <cell r="O142">
            <v>1.3664000000000001</v>
          </cell>
          <cell r="P142">
            <v>1.3945000000000001</v>
          </cell>
          <cell r="Q142">
            <v>1.3898999999999999</v>
          </cell>
          <cell r="U142">
            <v>-2.0813000000000002E-2</v>
          </cell>
          <cell r="V142">
            <v>-4.8799999999999999E-4</v>
          </cell>
          <cell r="W142">
            <v>-4.7910000000000001E-3</v>
          </cell>
          <cell r="Y142">
            <v>1.3664000000000001</v>
          </cell>
          <cell r="Z142">
            <v>1.3945000000000001</v>
          </cell>
          <cell r="AA142">
            <v>1.3898999999999999</v>
          </cell>
          <cell r="AE142">
            <v>-2.0813000000000002E-2</v>
          </cell>
          <cell r="AF142">
            <v>-4.8799999999999999E-4</v>
          </cell>
          <cell r="AG142">
            <v>-4.7910000000000001E-3</v>
          </cell>
          <cell r="AR142">
            <v>4.4755000000000003E-2</v>
          </cell>
          <cell r="BC142">
            <v>4.3084999999999998E-2</v>
          </cell>
          <cell r="BF142">
            <v>8.7840000000000015E-2</v>
          </cell>
        </row>
        <row r="143">
          <cell r="O143">
            <v>1.3664000000000001</v>
          </cell>
          <cell r="P143">
            <v>1.3915</v>
          </cell>
          <cell r="Q143">
            <v>1.3902000000000001</v>
          </cell>
          <cell r="U143">
            <v>-9.5680000000000001E-3</v>
          </cell>
          <cell r="V143">
            <v>1.0810999999999999E-2</v>
          </cell>
          <cell r="W143">
            <v>7.5030000000000001E-3</v>
          </cell>
          <cell r="Y143">
            <v>1.3664000000000001</v>
          </cell>
          <cell r="Z143">
            <v>1.3915</v>
          </cell>
          <cell r="AA143">
            <v>1.3902000000000001</v>
          </cell>
          <cell r="AE143">
            <v>-9.5680000000000001E-3</v>
          </cell>
          <cell r="AF143">
            <v>1.0810999999999999E-2</v>
          </cell>
          <cell r="AG143">
            <v>7.5030000000000001E-3</v>
          </cell>
          <cell r="AR143">
            <v>4.4755000000000003E-2</v>
          </cell>
          <cell r="BC143">
            <v>4.3084999999999998E-2</v>
          </cell>
          <cell r="BF143">
            <v>8.7840000000000015E-2</v>
          </cell>
        </row>
        <row r="144">
          <cell r="O144">
            <v>1.3664000000000001</v>
          </cell>
          <cell r="P144">
            <v>1.3855999999999999</v>
          </cell>
          <cell r="Q144">
            <v>1.3898999999999999</v>
          </cell>
          <cell r="U144">
            <v>7.7889999999999999E-3</v>
          </cell>
          <cell r="V144">
            <v>2.6001E-2</v>
          </cell>
          <cell r="W144">
            <v>2.5080000000000002E-2</v>
          </cell>
          <cell r="Y144">
            <v>1.3664000000000001</v>
          </cell>
          <cell r="Z144">
            <v>1.3855999999999999</v>
          </cell>
          <cell r="AA144">
            <v>1.3898999999999999</v>
          </cell>
          <cell r="AE144">
            <v>7.7889999999999999E-3</v>
          </cell>
          <cell r="AF144">
            <v>2.6001E-2</v>
          </cell>
          <cell r="AG144">
            <v>2.5080000000000002E-2</v>
          </cell>
          <cell r="AR144">
            <v>4.4755000000000003E-2</v>
          </cell>
          <cell r="BC144">
            <v>4.3084999999999998E-2</v>
          </cell>
          <cell r="BF144">
            <v>8.7840000000000015E-2</v>
          </cell>
        </row>
        <row r="145">
          <cell r="O145">
            <v>1.3664000000000001</v>
          </cell>
          <cell r="P145">
            <v>1.3855999999999999</v>
          </cell>
          <cell r="Q145">
            <v>1.3906000000000001</v>
          </cell>
          <cell r="U145">
            <v>-9.894E-3</v>
          </cell>
          <cell r="V145">
            <v>4.084E-3</v>
          </cell>
          <cell r="W145">
            <v>7.1399999999999996E-3</v>
          </cell>
          <cell r="Y145">
            <v>1.3664000000000001</v>
          </cell>
          <cell r="Z145">
            <v>1.3855999999999999</v>
          </cell>
          <cell r="AA145">
            <v>1.3906000000000001</v>
          </cell>
          <cell r="AE145">
            <v>-9.894E-3</v>
          </cell>
          <cell r="AF145">
            <v>4.084E-3</v>
          </cell>
          <cell r="AG145">
            <v>7.1399999999999996E-3</v>
          </cell>
          <cell r="AR145">
            <v>4.4755000000000003E-2</v>
          </cell>
          <cell r="BC145">
            <v>6.0768000000000003E-2</v>
          </cell>
          <cell r="BF145">
            <v>0.10552300000000002</v>
          </cell>
        </row>
        <row r="146">
          <cell r="O146">
            <v>1.3664000000000001</v>
          </cell>
          <cell r="P146">
            <v>1.3855999999999999</v>
          </cell>
          <cell r="Q146">
            <v>1.3907</v>
          </cell>
          <cell r="U146">
            <v>-9.4289999999999999E-3</v>
          </cell>
          <cell r="V146">
            <v>4.5560000000000002E-3</v>
          </cell>
          <cell r="W146">
            <v>8.1390000000000004E-3</v>
          </cell>
          <cell r="Y146">
            <v>1.3664000000000001</v>
          </cell>
          <cell r="Z146">
            <v>1.3855999999999999</v>
          </cell>
          <cell r="AA146">
            <v>1.3907</v>
          </cell>
          <cell r="AE146">
            <v>-9.4289999999999999E-3</v>
          </cell>
          <cell r="AF146">
            <v>4.5560000000000002E-3</v>
          </cell>
          <cell r="AG146">
            <v>8.1390000000000004E-3</v>
          </cell>
          <cell r="AR146">
            <v>4.4755000000000003E-2</v>
          </cell>
          <cell r="BC146">
            <v>6.0304000000000003E-2</v>
          </cell>
          <cell r="BF146">
            <v>0.10505900000000001</v>
          </cell>
        </row>
        <row r="147">
          <cell r="O147">
            <v>1.3664000000000001</v>
          </cell>
          <cell r="P147">
            <v>1.3851</v>
          </cell>
          <cell r="Q147">
            <v>1.39</v>
          </cell>
          <cell r="U147">
            <v>-7.1650000000000004E-3</v>
          </cell>
          <cell r="V147">
            <v>6.783E-3</v>
          </cell>
          <cell r="W147">
            <v>1.0513E-2</v>
          </cell>
          <cell r="Y147">
            <v>1.3664000000000001</v>
          </cell>
          <cell r="Z147">
            <v>1.3851</v>
          </cell>
          <cell r="AA147">
            <v>1.39</v>
          </cell>
          <cell r="AE147">
            <v>-7.1650000000000004E-3</v>
          </cell>
          <cell r="AF147">
            <v>6.783E-3</v>
          </cell>
          <cell r="AG147">
            <v>1.0513E-2</v>
          </cell>
          <cell r="AR147">
            <v>4.4755000000000003E-2</v>
          </cell>
          <cell r="BC147">
            <v>5.8039000000000007E-2</v>
          </cell>
          <cell r="BF147">
            <v>0.10279400000000001</v>
          </cell>
        </row>
        <row r="148">
          <cell r="O148">
            <v>1.3664000000000001</v>
          </cell>
          <cell r="P148">
            <v>1.3837999999999999</v>
          </cell>
          <cell r="Q148">
            <v>1.389</v>
          </cell>
          <cell r="U148">
            <v>-9.2680000000000002E-3</v>
          </cell>
          <cell r="V148">
            <v>4.3509999999999998E-3</v>
          </cell>
          <cell r="W148">
            <v>7.8820000000000001E-3</v>
          </cell>
          <cell r="Y148">
            <v>1.3664000000000001</v>
          </cell>
          <cell r="Z148">
            <v>1.3837999999999999</v>
          </cell>
          <cell r="AA148">
            <v>1.389</v>
          </cell>
          <cell r="AE148">
            <v>-9.2680000000000002E-3</v>
          </cell>
          <cell r="AF148">
            <v>4.3509999999999998E-3</v>
          </cell>
          <cell r="AG148">
            <v>7.8820000000000001E-3</v>
          </cell>
          <cell r="AR148">
            <v>4.4755000000000003E-2</v>
          </cell>
          <cell r="BC148">
            <v>6.0142000000000008E-2</v>
          </cell>
          <cell r="BF148">
            <v>0.10489700000000002</v>
          </cell>
        </row>
        <row r="149">
          <cell r="O149">
            <v>1.3664000000000001</v>
          </cell>
          <cell r="P149">
            <v>1.3826000000000001</v>
          </cell>
          <cell r="Q149">
            <v>1.3888</v>
          </cell>
          <cell r="U149">
            <v>-1.6936E-2</v>
          </cell>
          <cell r="V149">
            <v>-4.2969999999999996E-3</v>
          </cell>
          <cell r="W149">
            <v>-4.9100000000000001E-4</v>
          </cell>
          <cell r="Y149">
            <v>1.3664000000000001</v>
          </cell>
          <cell r="Z149">
            <v>1.3826000000000001</v>
          </cell>
          <cell r="AA149">
            <v>1.3888</v>
          </cell>
          <cell r="AE149">
            <v>-1.6936E-2</v>
          </cell>
          <cell r="AF149">
            <v>-4.2969999999999996E-3</v>
          </cell>
          <cell r="AG149">
            <v>-4.9100000000000001E-4</v>
          </cell>
          <cell r="AR149">
            <v>4.4755000000000003E-2</v>
          </cell>
          <cell r="BC149">
            <v>6.7810000000000009E-2</v>
          </cell>
          <cell r="BF149">
            <v>0.11256500000000001</v>
          </cell>
        </row>
        <row r="150">
          <cell r="O150">
            <v>1.3664000000000001</v>
          </cell>
          <cell r="P150">
            <v>1.3816999999999999</v>
          </cell>
          <cell r="Q150">
            <v>1.3883000000000001</v>
          </cell>
          <cell r="U150">
            <v>-1.6743999999999998E-2</v>
          </cell>
          <cell r="V150">
            <v>-4.9090000000000002E-3</v>
          </cell>
          <cell r="W150">
            <v>-5.0299999999999997E-4</v>
          </cell>
          <cell r="Y150">
            <v>1.3664000000000001</v>
          </cell>
          <cell r="Z150">
            <v>1.3816999999999999</v>
          </cell>
          <cell r="AA150">
            <v>1.3883000000000001</v>
          </cell>
          <cell r="AE150">
            <v>-1.6743999999999998E-2</v>
          </cell>
          <cell r="AF150">
            <v>-4.9090000000000002E-3</v>
          </cell>
          <cell r="AG150">
            <v>-5.0299999999999997E-4</v>
          </cell>
          <cell r="AR150">
            <v>4.4755000000000003E-2</v>
          </cell>
          <cell r="BC150">
            <v>6.7810000000000009E-2</v>
          </cell>
          <cell r="BF150">
            <v>0.11256500000000001</v>
          </cell>
        </row>
        <row r="151">
          <cell r="O151">
            <v>1.3664000000000001</v>
          </cell>
          <cell r="P151">
            <v>1.3818999999999999</v>
          </cell>
          <cell r="Q151">
            <v>1.3882000000000001</v>
          </cell>
          <cell r="U151">
            <v>-2.0747999999999999E-2</v>
          </cell>
          <cell r="V151">
            <v>-9.5840000000000005E-3</v>
          </cell>
          <cell r="W151">
            <v>-4.8469999999999997E-3</v>
          </cell>
          <cell r="Y151">
            <v>1.3664000000000001</v>
          </cell>
          <cell r="Z151">
            <v>1.3818999999999999</v>
          </cell>
          <cell r="AA151">
            <v>1.3882000000000001</v>
          </cell>
          <cell r="AE151">
            <v>-2.0747999999999999E-2</v>
          </cell>
          <cell r="AF151">
            <v>-9.5840000000000005E-3</v>
          </cell>
          <cell r="AG151">
            <v>-4.8469999999999997E-3</v>
          </cell>
          <cell r="AR151">
            <v>4.4755000000000003E-2</v>
          </cell>
          <cell r="BC151">
            <v>6.7810000000000009E-2</v>
          </cell>
          <cell r="BF151">
            <v>0.11256500000000001</v>
          </cell>
        </row>
        <row r="152">
          <cell r="O152">
            <v>1.3664000000000001</v>
          </cell>
          <cell r="P152">
            <v>1.3823000000000001</v>
          </cell>
          <cell r="Q152">
            <v>1.3884000000000001</v>
          </cell>
          <cell r="U152">
            <v>-2.3837000000000001E-2</v>
          </cell>
          <cell r="V152">
            <v>-1.2527999999999999E-2</v>
          </cell>
          <cell r="W152">
            <v>-8.0099999999999998E-3</v>
          </cell>
          <cell r="Y152">
            <v>1.3664000000000001</v>
          </cell>
          <cell r="Z152">
            <v>1.3823000000000001</v>
          </cell>
          <cell r="AA152">
            <v>1.3884000000000001</v>
          </cell>
          <cell r="AE152">
            <v>-2.3837000000000001E-2</v>
          </cell>
          <cell r="AF152">
            <v>-1.2527999999999999E-2</v>
          </cell>
          <cell r="AG152">
            <v>-8.0099999999999998E-3</v>
          </cell>
          <cell r="AR152">
            <v>4.4755000000000003E-2</v>
          </cell>
          <cell r="BC152">
            <v>6.7810000000000009E-2</v>
          </cell>
          <cell r="BF152">
            <v>0.11256500000000001</v>
          </cell>
        </row>
        <row r="153">
          <cell r="O153">
            <v>1.3664000000000001</v>
          </cell>
          <cell r="P153">
            <v>1.3836999999999999</v>
          </cell>
          <cell r="Q153">
            <v>1.3875999999999999</v>
          </cell>
          <cell r="U153">
            <v>-1.9698E-2</v>
          </cell>
          <cell r="V153">
            <v>-8.0820000000000006E-3</v>
          </cell>
          <cell r="W153">
            <v>-3.6909999999999998E-3</v>
          </cell>
          <cell r="Y153">
            <v>1.3664000000000001</v>
          </cell>
          <cell r="Z153">
            <v>1.3836999999999999</v>
          </cell>
          <cell r="AA153">
            <v>1.3875999999999999</v>
          </cell>
          <cell r="AE153">
            <v>-1.9698E-2</v>
          </cell>
          <cell r="AF153">
            <v>-8.0820000000000006E-3</v>
          </cell>
          <cell r="AG153">
            <v>-3.6909999999999998E-3</v>
          </cell>
          <cell r="AR153">
            <v>4.4755000000000003E-2</v>
          </cell>
          <cell r="BC153">
            <v>6.7810000000000009E-2</v>
          </cell>
          <cell r="BF153">
            <v>0.11256500000000001</v>
          </cell>
        </row>
        <row r="154">
          <cell r="O154">
            <v>1.3664000000000001</v>
          </cell>
          <cell r="P154">
            <v>1.3879999999999999</v>
          </cell>
          <cell r="Q154">
            <v>1.3868</v>
          </cell>
          <cell r="U154">
            <v>-2.3220999999999999E-2</v>
          </cell>
          <cell r="V154">
            <v>-1.059E-2</v>
          </cell>
          <cell r="W154">
            <v>-7.7949999999999998E-3</v>
          </cell>
          <cell r="Y154">
            <v>1.3664000000000001</v>
          </cell>
          <cell r="Z154">
            <v>1.3879999999999999</v>
          </cell>
          <cell r="AA154">
            <v>1.3868</v>
          </cell>
          <cell r="AE154">
            <v>-2.3220999999999999E-2</v>
          </cell>
          <cell r="AF154">
            <v>-1.059E-2</v>
          </cell>
          <cell r="AG154">
            <v>-7.7949999999999998E-3</v>
          </cell>
          <cell r="AR154">
            <v>4.4755000000000003E-2</v>
          </cell>
          <cell r="BC154">
            <v>6.7810000000000009E-2</v>
          </cell>
          <cell r="BF154">
            <v>0.11256500000000001</v>
          </cell>
        </row>
        <row r="155">
          <cell r="O155">
            <v>1.3664000000000001</v>
          </cell>
          <cell r="P155">
            <v>1.389</v>
          </cell>
          <cell r="Q155">
            <v>1.3873</v>
          </cell>
          <cell r="U155">
            <v>-1.6636000000000001E-2</v>
          </cell>
          <cell r="V155">
            <v>-9.2400000000000002E-4</v>
          </cell>
          <cell r="W155">
            <v>-1.7910000000000001E-3</v>
          </cell>
          <cell r="Y155">
            <v>1.3664000000000001</v>
          </cell>
          <cell r="Z155">
            <v>1.389</v>
          </cell>
          <cell r="AA155">
            <v>1.3873</v>
          </cell>
          <cell r="AE155">
            <v>-1.6636000000000001E-2</v>
          </cell>
          <cell r="AF155">
            <v>-9.2400000000000002E-4</v>
          </cell>
          <cell r="AG155">
            <v>-1.7910000000000001E-3</v>
          </cell>
          <cell r="AR155">
            <v>4.4755000000000003E-2</v>
          </cell>
          <cell r="BC155">
            <v>6.7810000000000009E-2</v>
          </cell>
          <cell r="BF155">
            <v>0.11256500000000001</v>
          </cell>
        </row>
        <row r="156">
          <cell r="O156">
            <v>1.3664000000000001</v>
          </cell>
          <cell r="P156">
            <v>1.3900999999999999</v>
          </cell>
          <cell r="Q156">
            <v>1.3877999999999999</v>
          </cell>
          <cell r="U156">
            <v>-1.7828E-2</v>
          </cell>
          <cell r="V156">
            <v>-1.444E-3</v>
          </cell>
          <cell r="W156">
            <v>-2.643E-3</v>
          </cell>
          <cell r="Y156">
            <v>1.3664000000000001</v>
          </cell>
          <cell r="Z156">
            <v>1.3900999999999999</v>
          </cell>
          <cell r="AA156">
            <v>1.3877999999999999</v>
          </cell>
          <cell r="AE156">
            <v>-1.7828E-2</v>
          </cell>
          <cell r="AF156">
            <v>-1.444E-3</v>
          </cell>
          <cell r="AG156">
            <v>-2.643E-3</v>
          </cell>
          <cell r="AR156">
            <v>4.4755000000000003E-2</v>
          </cell>
          <cell r="BC156">
            <v>6.7810000000000009E-2</v>
          </cell>
          <cell r="BF156">
            <v>0.11256500000000001</v>
          </cell>
        </row>
        <row r="157">
          <cell r="O157">
            <v>1.3664000000000001</v>
          </cell>
          <cell r="P157">
            <v>1.3922000000000001</v>
          </cell>
          <cell r="Q157">
            <v>1.3887</v>
          </cell>
          <cell r="U157">
            <v>-2.2154E-2</v>
          </cell>
          <cell r="V157">
            <v>-4.9329999999999999E-3</v>
          </cell>
          <cell r="W157">
            <v>-6.5680000000000001E-3</v>
          </cell>
          <cell r="Y157">
            <v>1.3664000000000001</v>
          </cell>
          <cell r="Z157">
            <v>1.3922000000000001</v>
          </cell>
          <cell r="AA157">
            <v>1.3887</v>
          </cell>
          <cell r="AE157">
            <v>-2.2154E-2</v>
          </cell>
          <cell r="AF157">
            <v>-4.9329999999999999E-3</v>
          </cell>
          <cell r="AG157">
            <v>-6.5680000000000001E-3</v>
          </cell>
          <cell r="AR157">
            <v>4.4755000000000003E-2</v>
          </cell>
          <cell r="BC157">
            <v>6.7810000000000009E-2</v>
          </cell>
          <cell r="BF157">
            <v>0.11256500000000001</v>
          </cell>
        </row>
        <row r="158">
          <cell r="O158">
            <v>1.3664000000000001</v>
          </cell>
          <cell r="P158">
            <v>1.3944000000000001</v>
          </cell>
          <cell r="Q158">
            <v>1.3891</v>
          </cell>
          <cell r="U158">
            <v>-2.4813000000000002E-2</v>
          </cell>
          <cell r="V158">
            <v>-6.0980000000000001E-3</v>
          </cell>
          <cell r="W158">
            <v>-8.6429999999999996E-3</v>
          </cell>
          <cell r="Y158">
            <v>1.3664000000000001</v>
          </cell>
          <cell r="Z158">
            <v>1.3944000000000001</v>
          </cell>
          <cell r="AA158">
            <v>1.3891</v>
          </cell>
          <cell r="AE158">
            <v>-2.4813000000000002E-2</v>
          </cell>
          <cell r="AF158">
            <v>-6.0980000000000001E-3</v>
          </cell>
          <cell r="AG158">
            <v>-8.6429999999999996E-3</v>
          </cell>
          <cell r="AR158">
            <v>4.4755000000000003E-2</v>
          </cell>
          <cell r="BC158">
            <v>6.7810000000000009E-2</v>
          </cell>
          <cell r="BF158">
            <v>0.11256500000000001</v>
          </cell>
        </row>
        <row r="159">
          <cell r="O159">
            <v>1.3664000000000001</v>
          </cell>
          <cell r="P159">
            <v>1.395</v>
          </cell>
          <cell r="Q159">
            <v>1.3888</v>
          </cell>
          <cell r="U159">
            <v>-2.1638000000000001E-2</v>
          </cell>
          <cell r="V159">
            <v>-1.372E-3</v>
          </cell>
          <cell r="W159">
            <v>-5.1780000000000003E-3</v>
          </cell>
          <cell r="Y159">
            <v>1.3664000000000001</v>
          </cell>
          <cell r="Z159">
            <v>1.395</v>
          </cell>
          <cell r="AA159">
            <v>1.3888</v>
          </cell>
          <cell r="AE159">
            <v>-2.1638000000000001E-2</v>
          </cell>
          <cell r="AF159">
            <v>-1.372E-3</v>
          </cell>
          <cell r="AG159">
            <v>-5.1780000000000003E-3</v>
          </cell>
          <cell r="AR159">
            <v>4.4755000000000003E-2</v>
          </cell>
          <cell r="BC159">
            <v>6.7810000000000009E-2</v>
          </cell>
          <cell r="BF159">
            <v>0.11256500000000001</v>
          </cell>
        </row>
        <row r="160">
          <cell r="O160">
            <v>1.3664000000000001</v>
          </cell>
          <cell r="P160">
            <v>1.3942000000000001</v>
          </cell>
          <cell r="Q160">
            <v>1.3879999999999999</v>
          </cell>
          <cell r="U160">
            <v>-1.0808999999999999E-2</v>
          </cell>
          <cell r="V160">
            <v>9.9260000000000008E-3</v>
          </cell>
          <cell r="W160">
            <v>5.4860000000000004E-3</v>
          </cell>
          <cell r="Y160">
            <v>1.3664000000000001</v>
          </cell>
          <cell r="Z160">
            <v>1.3942000000000001</v>
          </cell>
          <cell r="AA160">
            <v>1.3879999999999999</v>
          </cell>
          <cell r="AE160">
            <v>-1.0808999999999999E-2</v>
          </cell>
          <cell r="AF160">
            <v>9.9260000000000008E-3</v>
          </cell>
          <cell r="AG160">
            <v>5.4860000000000004E-3</v>
          </cell>
          <cell r="AR160">
            <v>4.4755000000000003E-2</v>
          </cell>
          <cell r="BC160">
            <v>6.7810000000000009E-2</v>
          </cell>
          <cell r="BF160">
            <v>0.11256500000000001</v>
          </cell>
        </row>
        <row r="161">
          <cell r="O161">
            <v>1.3664000000000001</v>
          </cell>
          <cell r="P161">
            <v>1.3937999999999999</v>
          </cell>
          <cell r="Q161">
            <v>1.3878999999999999</v>
          </cell>
          <cell r="U161">
            <v>-1.7885999999999999E-2</v>
          </cell>
          <cell r="V161">
            <v>2.2599999999999999E-3</v>
          </cell>
          <cell r="W161">
            <v>-2.2209999999999999E-3</v>
          </cell>
          <cell r="Y161">
            <v>1.3664000000000001</v>
          </cell>
          <cell r="Z161">
            <v>1.3937999999999999</v>
          </cell>
          <cell r="AA161">
            <v>1.3878999999999999</v>
          </cell>
          <cell r="AE161">
            <v>-1.7885999999999999E-2</v>
          </cell>
          <cell r="AF161">
            <v>2.2599999999999999E-3</v>
          </cell>
          <cell r="AG161">
            <v>-2.2209999999999999E-3</v>
          </cell>
          <cell r="AR161">
            <v>4.4755000000000003E-2</v>
          </cell>
          <cell r="BC161">
            <v>6.7810000000000009E-2</v>
          </cell>
          <cell r="BF161">
            <v>0.11256500000000001</v>
          </cell>
        </row>
        <row r="162">
          <cell r="O162">
            <v>1.3664000000000001</v>
          </cell>
          <cell r="P162">
            <v>1.3935999999999999</v>
          </cell>
          <cell r="Q162">
            <v>1.3879999999999999</v>
          </cell>
          <cell r="U162">
            <v>-2.2686000000000001E-2</v>
          </cell>
          <cell r="V162">
            <v>-2.826E-3</v>
          </cell>
          <cell r="W162">
            <v>-7.0920000000000002E-3</v>
          </cell>
          <cell r="Y162">
            <v>1.3664000000000001</v>
          </cell>
          <cell r="Z162">
            <v>1.3935999999999999</v>
          </cell>
          <cell r="AA162">
            <v>1.3879999999999999</v>
          </cell>
          <cell r="AE162">
            <v>-2.2686000000000001E-2</v>
          </cell>
          <cell r="AF162">
            <v>-2.826E-3</v>
          </cell>
          <cell r="AG162">
            <v>-7.0920000000000002E-3</v>
          </cell>
          <cell r="AR162">
            <v>4.4755000000000003E-2</v>
          </cell>
          <cell r="BC162">
            <v>6.7810000000000009E-2</v>
          </cell>
          <cell r="BF162">
            <v>0.11256500000000001</v>
          </cell>
        </row>
        <row r="163">
          <cell r="O163">
            <v>1.3664000000000001</v>
          </cell>
          <cell r="P163">
            <v>1.3952</v>
          </cell>
          <cell r="Q163">
            <v>1.3895</v>
          </cell>
          <cell r="U163">
            <v>-3.1213000000000001E-2</v>
          </cell>
          <cell r="V163">
            <v>-1.1469E-2</v>
          </cell>
          <cell r="W163">
            <v>-1.5525000000000001E-2</v>
          </cell>
          <cell r="Y163">
            <v>1.3664000000000001</v>
          </cell>
          <cell r="Z163">
            <v>1.3952</v>
          </cell>
          <cell r="AA163">
            <v>1.3895</v>
          </cell>
          <cell r="AE163">
            <v>-3.1213000000000001E-2</v>
          </cell>
          <cell r="AF163">
            <v>-1.1469E-2</v>
          </cell>
          <cell r="AG163">
            <v>-1.5525000000000001E-2</v>
          </cell>
          <cell r="AR163">
            <v>4.4755000000000003E-2</v>
          </cell>
          <cell r="BC163">
            <v>6.7810000000000009E-2</v>
          </cell>
          <cell r="BF163">
            <v>0.11256500000000001</v>
          </cell>
        </row>
        <row r="164">
          <cell r="O164">
            <v>1.3664000000000001</v>
          </cell>
          <cell r="P164">
            <v>1.3958999999999999</v>
          </cell>
          <cell r="Q164">
            <v>1.3919999999999999</v>
          </cell>
          <cell r="U164">
            <v>-2.7836E-2</v>
          </cell>
          <cell r="V164">
            <v>-6.9340000000000001E-3</v>
          </cell>
          <cell r="W164">
            <v>-1.1061E-2</v>
          </cell>
          <cell r="Y164">
            <v>1.3664000000000001</v>
          </cell>
          <cell r="Z164">
            <v>1.3958999999999999</v>
          </cell>
          <cell r="AA164">
            <v>1.3919999999999999</v>
          </cell>
          <cell r="AE164">
            <v>-2.7836E-2</v>
          </cell>
          <cell r="AF164">
            <v>-6.9340000000000001E-3</v>
          </cell>
          <cell r="AG164">
            <v>-1.1061E-2</v>
          </cell>
          <cell r="AR164">
            <v>4.4755000000000003E-2</v>
          </cell>
          <cell r="BC164">
            <v>6.7810000000000009E-2</v>
          </cell>
          <cell r="BF164">
            <v>0.11256500000000001</v>
          </cell>
        </row>
        <row r="165">
          <cell r="O165">
            <v>1.3664000000000001</v>
          </cell>
          <cell r="P165">
            <v>1.3972</v>
          </cell>
          <cell r="Q165">
            <v>1.3931</v>
          </cell>
          <cell r="U165">
            <v>-2.631E-2</v>
          </cell>
          <cell r="V165">
            <v>-4.9439999999999996E-3</v>
          </cell>
          <cell r="W165">
            <v>-7.7669999999999996E-3</v>
          </cell>
          <cell r="Y165">
            <v>1.3664000000000001</v>
          </cell>
          <cell r="Z165">
            <v>1.3972</v>
          </cell>
          <cell r="AA165">
            <v>1.3931</v>
          </cell>
          <cell r="AE165">
            <v>-2.631E-2</v>
          </cell>
          <cell r="AF165">
            <v>-4.9439999999999996E-3</v>
          </cell>
          <cell r="AG165">
            <v>-7.7669999999999996E-3</v>
          </cell>
          <cell r="AR165">
            <v>4.4755000000000003E-2</v>
          </cell>
          <cell r="BC165">
            <v>6.7810000000000009E-2</v>
          </cell>
          <cell r="BF165">
            <v>0.11256500000000001</v>
          </cell>
        </row>
        <row r="166">
          <cell r="O166">
            <v>1.3664000000000001</v>
          </cell>
          <cell r="P166">
            <v>1.3988</v>
          </cell>
          <cell r="Q166">
            <v>1.3944000000000001</v>
          </cell>
          <cell r="U166">
            <v>-2.8846E-2</v>
          </cell>
          <cell r="V166">
            <v>-6.5139999999999998E-3</v>
          </cell>
          <cell r="W166">
            <v>-9.4830000000000001E-3</v>
          </cell>
          <cell r="Y166">
            <v>1.3664000000000001</v>
          </cell>
          <cell r="Z166">
            <v>1.3988</v>
          </cell>
          <cell r="AA166">
            <v>1.3944000000000001</v>
          </cell>
          <cell r="AE166">
            <v>-2.8846E-2</v>
          </cell>
          <cell r="AF166">
            <v>-6.5139999999999998E-3</v>
          </cell>
          <cell r="AG166">
            <v>-9.4830000000000001E-3</v>
          </cell>
          <cell r="AR166">
            <v>4.4755000000000003E-2</v>
          </cell>
          <cell r="BC166">
            <v>6.7810000000000009E-2</v>
          </cell>
          <cell r="BF166">
            <v>0.11256500000000001</v>
          </cell>
        </row>
        <row r="167">
          <cell r="O167">
            <v>1.3664000000000001</v>
          </cell>
          <cell r="P167">
            <v>1.3996999999999999</v>
          </cell>
          <cell r="Q167">
            <v>1.3959999999999999</v>
          </cell>
          <cell r="U167">
            <v>-2.8993999999999999E-2</v>
          </cell>
          <cell r="V167">
            <v>-5.5589999999999997E-3</v>
          </cell>
          <cell r="W167">
            <v>-8.6610000000000003E-3</v>
          </cell>
          <cell r="Y167">
            <v>1.3664000000000001</v>
          </cell>
          <cell r="Z167">
            <v>1.3996999999999999</v>
          </cell>
          <cell r="AA167">
            <v>1.3959999999999999</v>
          </cell>
          <cell r="AE167">
            <v>-2.8993999999999999E-2</v>
          </cell>
          <cell r="AF167">
            <v>-5.5589999999999997E-3</v>
          </cell>
          <cell r="AG167">
            <v>-8.6610000000000003E-3</v>
          </cell>
          <cell r="AR167">
            <v>4.4755000000000003E-2</v>
          </cell>
          <cell r="BC167">
            <v>6.7810000000000009E-2</v>
          </cell>
          <cell r="BF167">
            <v>0.11256500000000001</v>
          </cell>
        </row>
        <row r="168">
          <cell r="O168">
            <v>1.3664000000000001</v>
          </cell>
          <cell r="P168">
            <v>1.4011</v>
          </cell>
          <cell r="Q168">
            <v>1.3976999999999999</v>
          </cell>
          <cell r="U168">
            <v>-3.4285999999999997E-2</v>
          </cell>
          <cell r="V168">
            <v>-1.0166E-2</v>
          </cell>
          <cell r="W168">
            <v>-1.2865E-2</v>
          </cell>
          <cell r="Y168">
            <v>1.3664000000000001</v>
          </cell>
          <cell r="Z168">
            <v>1.4011</v>
          </cell>
          <cell r="AA168">
            <v>1.3976999999999999</v>
          </cell>
          <cell r="AE168">
            <v>-3.4285999999999997E-2</v>
          </cell>
          <cell r="AF168">
            <v>-1.0166E-2</v>
          </cell>
          <cell r="AG168">
            <v>-1.2865E-2</v>
          </cell>
          <cell r="AR168">
            <v>4.4755000000000003E-2</v>
          </cell>
          <cell r="BC168">
            <v>6.7810000000000009E-2</v>
          </cell>
          <cell r="BF168">
            <v>0.11256500000000001</v>
          </cell>
        </row>
        <row r="169">
          <cell r="O169">
            <v>1.3664000000000001</v>
          </cell>
          <cell r="P169">
            <v>1.4020999999999999</v>
          </cell>
          <cell r="Q169">
            <v>1.3986000000000001</v>
          </cell>
          <cell r="U169">
            <v>-2.9207E-2</v>
          </cell>
          <cell r="V169">
            <v>-4.1349999999999998E-3</v>
          </cell>
          <cell r="W169">
            <v>-6.535E-3</v>
          </cell>
          <cell r="Y169">
            <v>1.3664000000000001</v>
          </cell>
          <cell r="Z169">
            <v>1.4020999999999999</v>
          </cell>
          <cell r="AA169">
            <v>1.3986000000000001</v>
          </cell>
          <cell r="AE169">
            <v>-2.9207E-2</v>
          </cell>
          <cell r="AF169">
            <v>-4.1349999999999998E-3</v>
          </cell>
          <cell r="AG169">
            <v>-6.535E-3</v>
          </cell>
          <cell r="AR169">
            <v>4.4755000000000003E-2</v>
          </cell>
          <cell r="BC169">
            <v>6.7810000000000009E-2</v>
          </cell>
          <cell r="BF169">
            <v>0.11256500000000001</v>
          </cell>
        </row>
        <row r="170">
          <cell r="O170">
            <v>1.3664000000000001</v>
          </cell>
          <cell r="P170">
            <v>1.4053</v>
          </cell>
          <cell r="Q170">
            <v>1.3997999999999999</v>
          </cell>
          <cell r="U170">
            <v>-3.3627999999999998E-2</v>
          </cell>
          <cell r="V170">
            <v>-7.7990000000000004E-3</v>
          </cell>
          <cell r="W170">
            <v>-1.0342E-2</v>
          </cell>
          <cell r="Y170">
            <v>1.3664000000000001</v>
          </cell>
          <cell r="Z170">
            <v>1.4053</v>
          </cell>
          <cell r="AA170">
            <v>1.3997999999999999</v>
          </cell>
          <cell r="AE170">
            <v>-3.3627999999999998E-2</v>
          </cell>
          <cell r="AF170">
            <v>-7.7990000000000004E-3</v>
          </cell>
          <cell r="AG170">
            <v>-1.0342E-2</v>
          </cell>
          <cell r="AR170">
            <v>4.4755000000000003E-2</v>
          </cell>
          <cell r="BC170">
            <v>6.7810000000000009E-2</v>
          </cell>
          <cell r="BF170">
            <v>0.11256500000000001</v>
          </cell>
        </row>
        <row r="171">
          <cell r="O171">
            <v>1.3664000000000001</v>
          </cell>
          <cell r="P171">
            <v>1.407</v>
          </cell>
          <cell r="Q171">
            <v>1.4004000000000001</v>
          </cell>
          <cell r="U171">
            <v>-3.0203000000000001E-2</v>
          </cell>
          <cell r="V171">
            <v>-2.1029999999999998E-3</v>
          </cell>
          <cell r="W171">
            <v>-6.0720000000000001E-3</v>
          </cell>
          <cell r="Y171">
            <v>1.3664000000000001</v>
          </cell>
          <cell r="Z171">
            <v>1.407</v>
          </cell>
          <cell r="AA171">
            <v>1.4004000000000001</v>
          </cell>
          <cell r="AE171">
            <v>-3.0203000000000001E-2</v>
          </cell>
          <cell r="AF171">
            <v>-2.1029999999999998E-3</v>
          </cell>
          <cell r="AG171">
            <v>-6.0720000000000001E-3</v>
          </cell>
          <cell r="AR171">
            <v>4.4755000000000003E-2</v>
          </cell>
          <cell r="BC171">
            <v>6.7810000000000009E-2</v>
          </cell>
          <cell r="BF171">
            <v>0.11256500000000001</v>
          </cell>
        </row>
        <row r="172">
          <cell r="O172">
            <v>1.3664000000000001</v>
          </cell>
          <cell r="P172">
            <v>1.4085000000000001</v>
          </cell>
          <cell r="Q172">
            <v>1.4011</v>
          </cell>
          <cell r="U172">
            <v>-3.3248E-2</v>
          </cell>
          <cell r="V172">
            <v>-3.9220000000000001E-3</v>
          </cell>
          <cell r="W172">
            <v>-8.6440000000000006E-3</v>
          </cell>
          <cell r="Y172">
            <v>1.3664000000000001</v>
          </cell>
          <cell r="Z172">
            <v>1.4085000000000001</v>
          </cell>
          <cell r="AA172">
            <v>1.4011</v>
          </cell>
          <cell r="AE172">
            <v>-3.3248E-2</v>
          </cell>
          <cell r="AF172">
            <v>-3.9220000000000001E-3</v>
          </cell>
          <cell r="AG172">
            <v>-8.6440000000000006E-3</v>
          </cell>
          <cell r="AR172">
            <v>4.4755000000000003E-2</v>
          </cell>
          <cell r="BC172">
            <v>6.7810000000000009E-2</v>
          </cell>
          <cell r="BF172">
            <v>0.11256500000000001</v>
          </cell>
        </row>
        <row r="173">
          <cell r="O173">
            <v>1.3664000000000001</v>
          </cell>
          <cell r="P173">
            <v>1.41</v>
          </cell>
          <cell r="Q173">
            <v>1.4026000000000001</v>
          </cell>
          <cell r="U173">
            <v>-4.1387E-2</v>
          </cell>
          <cell r="V173">
            <v>-1.1006999999999999E-2</v>
          </cell>
          <cell r="W173">
            <v>-1.6310999999999999E-2</v>
          </cell>
          <cell r="Y173">
            <v>1.3664000000000001</v>
          </cell>
          <cell r="Z173">
            <v>1.41</v>
          </cell>
          <cell r="AA173">
            <v>1.4026000000000001</v>
          </cell>
          <cell r="AE173">
            <v>-4.1387E-2</v>
          </cell>
          <cell r="AF173">
            <v>-1.1006999999999999E-2</v>
          </cell>
          <cell r="AG173">
            <v>-1.6310999999999999E-2</v>
          </cell>
          <cell r="AR173">
            <v>4.4755000000000003E-2</v>
          </cell>
          <cell r="BC173">
            <v>6.7810000000000009E-2</v>
          </cell>
          <cell r="BF173">
            <v>0.11256500000000001</v>
          </cell>
        </row>
        <row r="174">
          <cell r="O174">
            <v>1.3664000000000001</v>
          </cell>
          <cell r="P174">
            <v>1.4111</v>
          </cell>
          <cell r="Q174">
            <v>1.4035</v>
          </cell>
          <cell r="U174">
            <v>-3.6176E-2</v>
          </cell>
          <cell r="V174">
            <v>-4.7730000000000003E-3</v>
          </cell>
          <cell r="W174">
            <v>-1.001E-2</v>
          </cell>
          <cell r="Y174">
            <v>1.3664000000000001</v>
          </cell>
          <cell r="Z174">
            <v>1.4111</v>
          </cell>
          <cell r="AA174">
            <v>1.4035</v>
          </cell>
          <cell r="AE174">
            <v>-3.6176E-2</v>
          </cell>
          <cell r="AF174">
            <v>-4.7730000000000003E-3</v>
          </cell>
          <cell r="AG174">
            <v>-1.001E-2</v>
          </cell>
          <cell r="AR174">
            <v>4.4755000000000003E-2</v>
          </cell>
          <cell r="BC174">
            <v>6.7810000000000009E-2</v>
          </cell>
          <cell r="BF174">
            <v>0.11256500000000001</v>
          </cell>
        </row>
        <row r="175">
          <cell r="O175">
            <v>1.3664000000000001</v>
          </cell>
          <cell r="P175">
            <v>1.4132</v>
          </cell>
          <cell r="Q175">
            <v>1.4052</v>
          </cell>
          <cell r="U175">
            <v>-4.0903000000000002E-2</v>
          </cell>
          <cell r="V175">
            <v>-8.6650000000000008E-3</v>
          </cell>
          <cell r="W175">
            <v>-1.4086E-2</v>
          </cell>
          <cell r="Y175">
            <v>1.3664000000000001</v>
          </cell>
          <cell r="Z175">
            <v>1.4132</v>
          </cell>
          <cell r="AA175">
            <v>1.4052</v>
          </cell>
          <cell r="AE175">
            <v>-4.0903000000000002E-2</v>
          </cell>
          <cell r="AF175">
            <v>-8.6650000000000008E-3</v>
          </cell>
          <cell r="AG175">
            <v>-1.4086E-2</v>
          </cell>
          <cell r="AR175">
            <v>4.4755000000000003E-2</v>
          </cell>
          <cell r="BC175">
            <v>6.7810000000000009E-2</v>
          </cell>
          <cell r="BF175">
            <v>0.11256500000000001</v>
          </cell>
        </row>
        <row r="176">
          <cell r="O176">
            <v>1.3664000000000001</v>
          </cell>
          <cell r="P176">
            <v>1.4119999999999999</v>
          </cell>
          <cell r="Q176">
            <v>1.4054</v>
          </cell>
          <cell r="U176">
            <v>-2.0358000000000001E-2</v>
          </cell>
          <cell r="V176">
            <v>1.3339999999999999E-2</v>
          </cell>
          <cell r="W176">
            <v>7.6730000000000001E-3</v>
          </cell>
          <cell r="Y176">
            <v>1.3664000000000001</v>
          </cell>
          <cell r="Z176">
            <v>1.4119999999999999</v>
          </cell>
          <cell r="AA176">
            <v>1.4054</v>
          </cell>
          <cell r="AE176">
            <v>-2.0358000000000001E-2</v>
          </cell>
          <cell r="AF176">
            <v>1.3339999999999999E-2</v>
          </cell>
          <cell r="AG176">
            <v>7.6730000000000001E-3</v>
          </cell>
          <cell r="AR176">
            <v>4.4755000000000003E-2</v>
          </cell>
          <cell r="BC176">
            <v>6.7810000000000009E-2</v>
          </cell>
          <cell r="BF176">
            <v>0.11256500000000001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34E9-8BB9-4821-8CE8-9BA5CBAD8DA4}">
  <dimension ref="A1:DZ179"/>
  <sheetViews>
    <sheetView tabSelected="1" topLeftCell="AE1" workbookViewId="0">
      <selection activeCell="AM17" sqref="AM17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8.4257812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1.1741034688452483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2.4416406342771957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65.36</v>
      </c>
      <c r="C2" s="33">
        <v>155.51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65.36</v>
      </c>
      <c r="M2" s="33">
        <v>155.51</v>
      </c>
      <c r="N2" s="34">
        <v>2.3792839657282698</v>
      </c>
      <c r="O2" s="34">
        <v>2.3788372149221799</v>
      </c>
      <c r="X2" s="34">
        <v>2.3792839657282698</v>
      </c>
      <c r="Y2" s="34">
        <v>2.3785236560114398</v>
      </c>
      <c r="AI2" s="4">
        <v>0</v>
      </c>
      <c r="AJ2" s="10">
        <f t="dataTable" ref="AJ2:AQ9" dt2D="1" dtr="1" r1="AI21" r2="AI22"/>
        <v>1.1063366444797578</v>
      </c>
      <c r="AK2" s="10">
        <v>1.1990667904845123</v>
      </c>
      <c r="AL2" s="10">
        <v>0.56009035762508497</v>
      </c>
      <c r="AM2" s="10">
        <v>0.11953880528012775</v>
      </c>
      <c r="AN2" s="10">
        <v>-7.4103384475378373E-3</v>
      </c>
      <c r="AO2" s="10">
        <v>-7.4103384475378373E-3</v>
      </c>
      <c r="AP2" s="10">
        <v>-7.4103384475378373E-3</v>
      </c>
      <c r="AQ2" s="10" t="e">
        <v>#DIV/0!</v>
      </c>
      <c r="AR2"/>
      <c r="AT2" s="4">
        <v>0</v>
      </c>
      <c r="AU2" s="10">
        <f t="dataTable" ref="AU2:BB9" dt2D="1" dtr="1" r1="AT21" r2="AT22"/>
        <v>0.71871252849141898</v>
      </c>
      <c r="AV2" s="11">
        <v>0.84345338587879604</v>
      </c>
      <c r="AW2" s="11">
        <v>0.99882227614322161</v>
      </c>
      <c r="AX2" s="11">
        <v>0.79758443272185686</v>
      </c>
      <c r="AY2" s="11">
        <v>1.8069151146682436</v>
      </c>
      <c r="AZ2" s="11">
        <v>1.4225061388901814</v>
      </c>
      <c r="BA2" s="11">
        <v>1.6108856848652826</v>
      </c>
      <c r="BB2" s="11" t="e">
        <v>#DIV/0!</v>
      </c>
      <c r="BC2"/>
    </row>
    <row r="3" spans="1:130" x14ac:dyDescent="0.25">
      <c r="A3" s="1">
        <v>46027</v>
      </c>
      <c r="B3" s="33">
        <v>65.22</v>
      </c>
      <c r="C3" s="33">
        <v>155.04</v>
      </c>
      <c r="D3" s="15">
        <v>-2.1442801905744101E-3</v>
      </c>
      <c r="E3" s="15">
        <v>-3.0268900907901102E-3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65.22</v>
      </c>
      <c r="M3" s="33">
        <v>155.04</v>
      </c>
      <c r="N3" s="34">
        <v>2.3771849126034899</v>
      </c>
      <c r="O3" s="34">
        <v>2.3788372149221799</v>
      </c>
      <c r="R3" s="33">
        <v>155.14776315722401</v>
      </c>
      <c r="U3" s="15">
        <v>6.9482535650882695E-4</v>
      </c>
      <c r="X3" s="34">
        <v>2.3771849126034899</v>
      </c>
      <c r="Y3" s="34">
        <v>2.3785236560114398</v>
      </c>
      <c r="AB3" s="33">
        <v>155.127312845066</v>
      </c>
      <c r="AE3" s="15">
        <v>5.6300482840770298E-4</v>
      </c>
      <c r="AI3" s="4">
        <f t="shared" ref="AI3:AI9" si="2">AI2-AK$12</f>
        <v>-1E-3</v>
      </c>
      <c r="AJ3" s="10">
        <v>1.1063366444797578</v>
      </c>
      <c r="AK3" s="10">
        <v>0.46426576027214078</v>
      </c>
      <c r="AL3" s="10">
        <v>0.15750860561855926</v>
      </c>
      <c r="AM3" s="10">
        <v>-0.33238308675284933</v>
      </c>
      <c r="AN3" s="10">
        <v>0.44181494042950498</v>
      </c>
      <c r="AO3" s="11">
        <v>0.44181494042950498</v>
      </c>
      <c r="AP3" s="10">
        <v>0.44181494042950498</v>
      </c>
      <c r="AQ3" s="10" t="e">
        <v>#DIV/0!</v>
      </c>
      <c r="AR3"/>
      <c r="AT3" s="4">
        <f>AT2+AV$12</f>
        <v>1E-3</v>
      </c>
      <c r="AU3" s="10">
        <v>0.71871252849141898</v>
      </c>
      <c r="AV3" s="11">
        <v>0.93756574125040937</v>
      </c>
      <c r="AW3" s="11">
        <v>1.069835593235323</v>
      </c>
      <c r="AX3" s="11">
        <v>0.86075059219332173</v>
      </c>
      <c r="AY3" s="11">
        <v>2.4416406342771957</v>
      </c>
      <c r="AZ3" s="11">
        <v>2.083578667863323</v>
      </c>
      <c r="BA3" s="11">
        <v>1.6108856848652826</v>
      </c>
      <c r="BB3" s="11" t="e">
        <v>#DIV/0!</v>
      </c>
      <c r="BC3"/>
    </row>
    <row r="4" spans="1:130" x14ac:dyDescent="0.25">
      <c r="A4" s="1">
        <v>46028</v>
      </c>
      <c r="B4" s="33">
        <v>66.58</v>
      </c>
      <c r="C4" s="33">
        <v>158.09</v>
      </c>
      <c r="D4" s="15">
        <v>2.0638061785705802E-2</v>
      </c>
      <c r="E4" s="15">
        <v>1.9481342965640198E-2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66.58</v>
      </c>
      <c r="M4" s="33">
        <v>158.09</v>
      </c>
      <c r="N4" s="34">
        <v>2.3744367677981302</v>
      </c>
      <c r="O4" s="34">
        <v>2.3788372149221799</v>
      </c>
      <c r="R4" s="33">
        <v>158.38298176951801</v>
      </c>
      <c r="U4" s="15">
        <v>1.8515441765745201E-3</v>
      </c>
      <c r="X4" s="34">
        <v>2.3744367677981302</v>
      </c>
      <c r="Y4" s="34">
        <v>2.3785236560114398</v>
      </c>
      <c r="AB4" s="33">
        <v>158.36210501724199</v>
      </c>
      <c r="AE4" s="15">
        <v>1.7197236484731899E-3</v>
      </c>
      <c r="AG4"/>
      <c r="AI4" s="4">
        <f t="shared" si="2"/>
        <v>-2E-3</v>
      </c>
      <c r="AJ4" s="10">
        <v>1.1063366444797578</v>
      </c>
      <c r="AK4" s="11">
        <v>0.46426576027214078</v>
      </c>
      <c r="AL4" s="11">
        <v>2.1740625930951354</v>
      </c>
      <c r="AM4" s="11">
        <v>1.1741034688452483</v>
      </c>
      <c r="AN4" s="10">
        <v>0.57905813418707075</v>
      </c>
      <c r="AO4" s="11">
        <v>0.57905813418707075</v>
      </c>
      <c r="AP4" s="11">
        <v>0.57905813418707075</v>
      </c>
      <c r="AQ4" s="11" t="e">
        <v>#DIV/0!</v>
      </c>
      <c r="AR4"/>
      <c r="AT4" s="4">
        <f t="shared" ref="AT4:AT9" si="3">AT3+AV$12</f>
        <v>2E-3</v>
      </c>
      <c r="AU4" s="10">
        <v>0.71871252849141898</v>
      </c>
      <c r="AV4" s="11">
        <v>0.93756574125040937</v>
      </c>
      <c r="AW4" s="11">
        <v>0.45529369193306823</v>
      </c>
      <c r="AX4" s="11">
        <v>0.45510155786595918</v>
      </c>
      <c r="AY4" s="11">
        <v>2.0051476270815991</v>
      </c>
      <c r="AZ4" s="11">
        <v>1.5418570227348447</v>
      </c>
      <c r="BA4" s="11">
        <v>1.1274774617783856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67.33</v>
      </c>
      <c r="C5" s="33">
        <v>159.66</v>
      </c>
      <c r="D5" s="15">
        <v>1.1201670410310499E-2</v>
      </c>
      <c r="E5" s="15">
        <v>9.8820631095565097E-3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67.33</v>
      </c>
      <c r="M5" s="33">
        <v>159.66</v>
      </c>
      <c r="N5" s="34">
        <v>2.3713055101737699</v>
      </c>
      <c r="O5" s="34">
        <v>2.3788372149221799</v>
      </c>
      <c r="R5" s="33">
        <v>160.16710968071001</v>
      </c>
      <c r="U5" s="15">
        <v>3.1711514773286298E-3</v>
      </c>
      <c r="X5" s="34">
        <v>2.3713055101737699</v>
      </c>
      <c r="Y5" s="34">
        <v>2.3785236560114398</v>
      </c>
      <c r="AB5" s="33">
        <v>160.14599775925001</v>
      </c>
      <c r="AE5" s="15">
        <v>3.0393309492274998E-3</v>
      </c>
      <c r="AG5" s="29"/>
      <c r="AI5" s="4">
        <f t="shared" si="2"/>
        <v>-3.0000000000000001E-3</v>
      </c>
      <c r="AJ5" s="10">
        <v>1.1063366444797578</v>
      </c>
      <c r="AK5" s="11">
        <v>0.46426576027214078</v>
      </c>
      <c r="AL5" s="11">
        <v>2.1740625930951354</v>
      </c>
      <c r="AM5" s="11">
        <v>0.75929279742199196</v>
      </c>
      <c r="AN5" s="11">
        <v>0.31688686069216626</v>
      </c>
      <c r="AO5" s="11">
        <v>0.31688686069216626</v>
      </c>
      <c r="AP5" s="10">
        <v>0.31688686069216626</v>
      </c>
      <c r="AQ5" s="11" t="e">
        <v>#DIV/0!</v>
      </c>
      <c r="AR5"/>
      <c r="AT5" s="4">
        <f t="shared" si="3"/>
        <v>3.0000000000000001E-3</v>
      </c>
      <c r="AU5" s="10">
        <v>0.71871252849141898</v>
      </c>
      <c r="AV5" s="11">
        <v>0.93756574125040937</v>
      </c>
      <c r="AW5" s="11">
        <v>0.45529369193306823</v>
      </c>
      <c r="AX5" s="11">
        <v>1.674201549129777</v>
      </c>
      <c r="AY5" s="11">
        <v>1.7924445567210954</v>
      </c>
      <c r="AZ5" s="11">
        <v>1.4684243325813233</v>
      </c>
      <c r="BA5" s="11">
        <v>1.1274774617783856</v>
      </c>
      <c r="BB5" s="11" t="e">
        <v>#DIV/0!</v>
      </c>
      <c r="BC5"/>
    </row>
    <row r="6" spans="1:130" x14ac:dyDescent="0.25">
      <c r="A6" s="1">
        <v>46030</v>
      </c>
      <c r="B6" s="33">
        <v>66.63</v>
      </c>
      <c r="C6" s="33">
        <v>158.12</v>
      </c>
      <c r="D6" s="15">
        <v>-1.04509759827437E-2</v>
      </c>
      <c r="E6" s="15">
        <v>-9.692315789168E-3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66.63</v>
      </c>
      <c r="M6" s="33">
        <v>158.12</v>
      </c>
      <c r="N6" s="34">
        <v>2.3731052078643202</v>
      </c>
      <c r="O6" s="34">
        <v>2.3788372149221799</v>
      </c>
      <c r="R6" s="33">
        <v>158.501923630264</v>
      </c>
      <c r="U6" s="15">
        <v>2.41249128375279E-3</v>
      </c>
      <c r="X6" s="34">
        <v>2.3731052078643202</v>
      </c>
      <c r="Y6" s="34">
        <v>2.3785236560114398</v>
      </c>
      <c r="AB6" s="33">
        <v>158.481031200042</v>
      </c>
      <c r="AE6" s="15">
        <v>2.2806707556516401E-3</v>
      </c>
      <c r="AG6" s="29"/>
      <c r="AI6" s="4">
        <f t="shared" si="2"/>
        <v>-4.0000000000000001E-3</v>
      </c>
      <c r="AJ6" s="10">
        <v>1.1063366444797578</v>
      </c>
      <c r="AK6" s="11">
        <v>0.46426576027214078</v>
      </c>
      <c r="AL6" s="11">
        <v>2.1740625930951354</v>
      </c>
      <c r="AM6" s="11">
        <v>0.75929279742199196</v>
      </c>
      <c r="AN6" s="11">
        <v>-0.23618303717779637</v>
      </c>
      <c r="AO6" s="11">
        <v>-0.23618303717779637</v>
      </c>
      <c r="AP6" s="11">
        <v>-0.23618303717779637</v>
      </c>
      <c r="AQ6" s="11" t="e">
        <v>#DIV/0!</v>
      </c>
      <c r="AR6"/>
      <c r="AT6" s="4">
        <f t="shared" si="3"/>
        <v>4.0000000000000001E-3</v>
      </c>
      <c r="AU6" s="10">
        <v>0.71871252849141898</v>
      </c>
      <c r="AV6" s="11">
        <v>0.93756574125040937</v>
      </c>
      <c r="AW6" s="11">
        <v>0.45529369193306823</v>
      </c>
      <c r="AX6" s="11">
        <v>1.674201549129777</v>
      </c>
      <c r="AY6" s="11">
        <v>2.3328189461434778</v>
      </c>
      <c r="AZ6" s="11">
        <v>1.5527883452110212</v>
      </c>
      <c r="BA6" s="11">
        <v>1.7010440197448184</v>
      </c>
      <c r="BB6" s="11" t="e">
        <v>#DIV/0!</v>
      </c>
      <c r="BC6"/>
    </row>
    <row r="7" spans="1:130" x14ac:dyDescent="0.25">
      <c r="A7" s="1">
        <v>46031</v>
      </c>
      <c r="B7" s="33">
        <v>66.319999999999993</v>
      </c>
      <c r="C7" s="33">
        <v>157.31</v>
      </c>
      <c r="D7" s="15">
        <v>-4.6634157474062903E-3</v>
      </c>
      <c r="E7" s="15">
        <v>-5.13585759407135E-3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66.319999999999993</v>
      </c>
      <c r="M7" s="33">
        <v>157.31</v>
      </c>
      <c r="N7" s="34">
        <v>2.3719843184559699</v>
      </c>
      <c r="O7" s="34">
        <v>2.3788372149221799</v>
      </c>
      <c r="R7" s="33">
        <v>157.764484093639</v>
      </c>
      <c r="U7" s="15">
        <v>2.8849331304178498E-3</v>
      </c>
      <c r="X7" s="34">
        <v>2.3719843184559699</v>
      </c>
      <c r="Y7" s="34">
        <v>2.3785236560114398</v>
      </c>
      <c r="AB7" s="33">
        <v>157.74368886667901</v>
      </c>
      <c r="AE7" s="15">
        <v>2.7531126023167501E-3</v>
      </c>
      <c r="AG7"/>
      <c r="AI7" s="4">
        <f t="shared" si="2"/>
        <v>-5.0000000000000001E-3</v>
      </c>
      <c r="AJ7" s="10">
        <v>1.1063366444797578</v>
      </c>
      <c r="AK7" s="11">
        <v>0.46426576027214078</v>
      </c>
      <c r="AL7" s="11">
        <v>2.1740625930951354</v>
      </c>
      <c r="AM7" s="11">
        <v>0.75929279742199196</v>
      </c>
      <c r="AN7" s="11">
        <v>-0.23618303717779637</v>
      </c>
      <c r="AO7" s="11">
        <v>0.37517725665980151</v>
      </c>
      <c r="AP7" s="11">
        <v>0.39691715763885393</v>
      </c>
      <c r="AQ7" s="11" t="e">
        <v>#DIV/0!</v>
      </c>
      <c r="AR7"/>
      <c r="AT7" s="4">
        <f t="shared" si="3"/>
        <v>5.0000000000000001E-3</v>
      </c>
      <c r="AU7" s="10">
        <v>0.71871252849141898</v>
      </c>
      <c r="AV7" s="11">
        <v>0.93756574125040937</v>
      </c>
      <c r="AW7" s="11">
        <v>0.45529369193306823</v>
      </c>
      <c r="AX7" s="11">
        <v>1.674201549129777</v>
      </c>
      <c r="AY7" s="11">
        <v>2.3328189461434778</v>
      </c>
      <c r="AZ7" s="11">
        <v>1.852724972104302</v>
      </c>
      <c r="BA7" s="11">
        <v>1.7010440197448184</v>
      </c>
      <c r="BB7" s="11" t="e">
        <v>#DIV/0!</v>
      </c>
      <c r="BC7"/>
    </row>
    <row r="8" spans="1:130" x14ac:dyDescent="0.25">
      <c r="A8" s="1">
        <v>46034</v>
      </c>
      <c r="B8" s="33">
        <v>66.19</v>
      </c>
      <c r="C8" s="33">
        <v>157.38</v>
      </c>
      <c r="D8" s="15">
        <v>-1.962116696208E-3</v>
      </c>
      <c r="E8" s="15">
        <v>4.4488227242393098E-4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66.19</v>
      </c>
      <c r="M8" s="33">
        <v>157.38</v>
      </c>
      <c r="N8" s="34">
        <v>2.3777005589968199</v>
      </c>
      <c r="O8" s="34">
        <v>2.3788372149221799</v>
      </c>
      <c r="R8" s="33">
        <v>157.45523525569899</v>
      </c>
      <c r="U8" s="15">
        <v>4.7793416178597102E-4</v>
      </c>
      <c r="X8" s="34">
        <v>2.3777005589968199</v>
      </c>
      <c r="Y8" s="34">
        <v>2.3785236560114398</v>
      </c>
      <c r="AB8" s="33">
        <v>157.43448079139699</v>
      </c>
      <c r="AE8" s="15">
        <v>3.46113633684811E-4</v>
      </c>
      <c r="AG8"/>
      <c r="AI8" s="4">
        <f t="shared" si="2"/>
        <v>-6.0000000000000001E-3</v>
      </c>
      <c r="AJ8" s="10">
        <v>1.1063366444797578</v>
      </c>
      <c r="AK8" s="11">
        <v>0.46426576027214078</v>
      </c>
      <c r="AL8" s="11">
        <v>2.1740625930951354</v>
      </c>
      <c r="AM8" s="11">
        <v>0.75929279742199196</v>
      </c>
      <c r="AN8" s="11">
        <v>-0.23618303717779637</v>
      </c>
      <c r="AO8" s="11">
        <v>0.37517725665980151</v>
      </c>
      <c r="AP8" s="11">
        <v>0.39691715763885393</v>
      </c>
      <c r="AQ8" s="11" t="e">
        <v>#DIV/0!</v>
      </c>
      <c r="AR8"/>
      <c r="AT8" s="4">
        <f t="shared" si="3"/>
        <v>6.0000000000000001E-3</v>
      </c>
      <c r="AU8" s="10">
        <v>0.71871252849141898</v>
      </c>
      <c r="AV8" s="11">
        <v>0.93756574125040937</v>
      </c>
      <c r="AW8" s="11">
        <v>0.45529369193306823</v>
      </c>
      <c r="AX8" s="11">
        <v>1.674201549129777</v>
      </c>
      <c r="AY8" s="11">
        <v>2.3328189461434778</v>
      </c>
      <c r="AZ8" s="11">
        <v>1.852724972104302</v>
      </c>
      <c r="BA8" s="11">
        <v>1.2750711555097261</v>
      </c>
      <c r="BB8" s="11" t="e">
        <v>#DIV/0!</v>
      </c>
      <c r="BC8"/>
    </row>
    <row r="9" spans="1:130" x14ac:dyDescent="0.25">
      <c r="A9" s="1">
        <v>46035</v>
      </c>
      <c r="B9" s="33">
        <v>65.930000000000007</v>
      </c>
      <c r="C9" s="33">
        <v>156.74</v>
      </c>
      <c r="D9" s="15">
        <v>-3.9358210056229803E-3</v>
      </c>
      <c r="E9" s="15">
        <v>-4.07488148211864E-3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65.930000000000007</v>
      </c>
      <c r="M9" s="33">
        <v>156.74</v>
      </c>
      <c r="N9" s="34">
        <v>2.3773699378128299</v>
      </c>
      <c r="O9" s="34">
        <v>2.3788372149221799</v>
      </c>
      <c r="R9" s="33">
        <v>156.83673757981899</v>
      </c>
      <c r="U9" s="15">
        <v>6.1699463828169296E-4</v>
      </c>
      <c r="X9" s="34">
        <v>2.3773699378128299</v>
      </c>
      <c r="Y9" s="34">
        <v>2.3785236560114398</v>
      </c>
      <c r="AB9" s="33">
        <v>156.81606464083401</v>
      </c>
      <c r="AE9" s="15">
        <v>4.8517411018055001E-4</v>
      </c>
      <c r="AF9"/>
      <c r="AI9" s="4">
        <f t="shared" si="2"/>
        <v>-7.0000000000000001E-3</v>
      </c>
      <c r="AJ9" s="10">
        <v>1.1063366444797578</v>
      </c>
      <c r="AK9" s="11">
        <v>0.46426576027214078</v>
      </c>
      <c r="AL9" s="11">
        <v>2.1740625930951354</v>
      </c>
      <c r="AM9" s="11">
        <v>0.75929279742199196</v>
      </c>
      <c r="AN9" s="11">
        <v>-0.23618303717779637</v>
      </c>
      <c r="AO9" s="11">
        <v>0.37517725665980151</v>
      </c>
      <c r="AP9" s="11">
        <v>0.39691715763885393</v>
      </c>
      <c r="AQ9" s="11" t="e">
        <v>#DIV/0!</v>
      </c>
      <c r="AR9"/>
      <c r="AT9" s="4">
        <f t="shared" si="3"/>
        <v>7.0000000000000001E-3</v>
      </c>
      <c r="AU9" s="10">
        <v>0.71871252849141898</v>
      </c>
      <c r="AV9" s="10">
        <v>0.93756574125040937</v>
      </c>
      <c r="AW9" s="10">
        <v>0.45529369193306823</v>
      </c>
      <c r="AX9" s="10">
        <v>1.674201549129777</v>
      </c>
      <c r="AY9" s="10">
        <v>2.3328189461434778</v>
      </c>
      <c r="AZ9" s="10">
        <v>1.852724972104302</v>
      </c>
      <c r="BA9" s="10">
        <v>1.2750711555097261</v>
      </c>
      <c r="BB9" s="10" t="e">
        <v>#DIV/0!</v>
      </c>
      <c r="BC9"/>
    </row>
    <row r="10" spans="1:130" x14ac:dyDescent="0.25">
      <c r="A10" s="1">
        <v>46036</v>
      </c>
      <c r="B10" s="33">
        <v>66.36</v>
      </c>
      <c r="C10" s="33">
        <v>157.86000000000001</v>
      </c>
      <c r="D10" s="15">
        <v>6.5008921970352504E-3</v>
      </c>
      <c r="E10" s="15">
        <v>7.1201826555377804E-3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66.36</v>
      </c>
      <c r="M10" s="33">
        <v>157.86000000000001</v>
      </c>
      <c r="N10" s="34">
        <v>2.37884267631103</v>
      </c>
      <c r="O10" s="34">
        <v>2.3788372149221799</v>
      </c>
      <c r="R10" s="33">
        <v>157.85963758223599</v>
      </c>
      <c r="U10" s="15">
        <v>-2.295820220767E-6</v>
      </c>
      <c r="X10" s="34">
        <v>2.37884267631103</v>
      </c>
      <c r="Y10" s="34">
        <v>2.3785236560114398</v>
      </c>
      <c r="AB10" s="33">
        <v>157.83882981291899</v>
      </c>
      <c r="AE10" s="15">
        <v>-1.3411634832203901E-4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65.95</v>
      </c>
      <c r="C11" s="33">
        <v>156.96</v>
      </c>
      <c r="D11" s="15">
        <v>-6.1975861589200296E-3</v>
      </c>
      <c r="E11" s="15">
        <v>-5.7175684632034002E-3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65.95</v>
      </c>
      <c r="M11" s="33">
        <v>156.96</v>
      </c>
      <c r="N11" s="34">
        <v>2.3799848369977199</v>
      </c>
      <c r="O11" s="34">
        <v>2.3788372149221799</v>
      </c>
      <c r="P11" s="34">
        <v>2.37611986927423</v>
      </c>
      <c r="R11" s="33">
        <v>156.88431432411701</v>
      </c>
      <c r="U11" s="15">
        <v>-4.8231351593741503E-4</v>
      </c>
      <c r="X11" s="34">
        <v>2.3799848369977199</v>
      </c>
      <c r="Y11" s="34">
        <v>2.3785236560114398</v>
      </c>
      <c r="Z11" s="34">
        <v>2.37611986927423</v>
      </c>
      <c r="AB11" s="33">
        <v>156.86363511395501</v>
      </c>
      <c r="AE11" s="15">
        <v>-6.14134044038606E-4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65.47</v>
      </c>
      <c r="C12" s="33">
        <v>155.74</v>
      </c>
      <c r="D12" s="15">
        <v>-7.3048567103236898E-3</v>
      </c>
      <c r="E12" s="15">
        <v>-7.80304566821295E-3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65.47</v>
      </c>
      <c r="M12" s="33">
        <v>155.74</v>
      </c>
      <c r="N12" s="34">
        <v>2.3787994501298302</v>
      </c>
      <c r="O12" s="34">
        <v>2.3788372149221799</v>
      </c>
      <c r="P12" s="34">
        <v>2.3760714177143898</v>
      </c>
      <c r="R12" s="33">
        <v>155.74247246095501</v>
      </c>
      <c r="S12" s="33">
        <v>155.56456784138399</v>
      </c>
      <c r="U12" s="15">
        <v>1.5875441951842899E-5</v>
      </c>
      <c r="V12" s="15">
        <v>-1.12707743675636E-3</v>
      </c>
      <c r="X12" s="34">
        <v>2.3787994501298302</v>
      </c>
      <c r="Y12" s="34">
        <v>2.3785236560114398</v>
      </c>
      <c r="Z12" s="34">
        <v>2.3760714177143898</v>
      </c>
      <c r="AB12" s="33">
        <v>155.72194375906901</v>
      </c>
      <c r="AC12" s="33">
        <v>155.56456784138399</v>
      </c>
      <c r="AE12" s="15">
        <v>-1.15945086149363E-4</v>
      </c>
      <c r="AF12" s="15">
        <v>-1.12707743675636E-3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65.36</v>
      </c>
      <c r="C13" s="33">
        <v>155.4</v>
      </c>
      <c r="D13" s="15">
        <v>-1.6815719012525201E-3</v>
      </c>
      <c r="E13" s="15">
        <v>-2.1855122152929702E-3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65.36</v>
      </c>
      <c r="M13" s="33">
        <v>155.4</v>
      </c>
      <c r="N13" s="34">
        <v>2.37760097919216</v>
      </c>
      <c r="O13" s="34">
        <v>2.3788372149221799</v>
      </c>
      <c r="P13" s="34">
        <v>2.37611302437326</v>
      </c>
      <c r="R13" s="33">
        <v>155.48080036731301</v>
      </c>
      <c r="S13" s="33">
        <v>155.300027861812</v>
      </c>
      <c r="U13" s="15">
        <v>5.1981575599221899E-4</v>
      </c>
      <c r="V13" s="15">
        <v>-6.4352837252873798E-4</v>
      </c>
      <c r="X13" s="34">
        <v>2.37760097919216</v>
      </c>
      <c r="Y13" s="34">
        <v>2.3785236560114398</v>
      </c>
      <c r="Z13" s="34">
        <v>2.37611302437326</v>
      </c>
      <c r="AB13" s="33">
        <v>155.46030615690799</v>
      </c>
      <c r="AC13" s="33">
        <v>155.300027861812</v>
      </c>
      <c r="AE13" s="15">
        <v>3.8799522789103197E-4</v>
      </c>
      <c r="AF13" s="15">
        <v>-6.4352837252873798E-4</v>
      </c>
    </row>
    <row r="14" spans="1:130" x14ac:dyDescent="0.25">
      <c r="A14" s="1">
        <v>46043</v>
      </c>
      <c r="B14" s="33">
        <v>66.53</v>
      </c>
      <c r="C14" s="33">
        <v>158.26</v>
      </c>
      <c r="D14" s="15">
        <v>1.7742523202048801E-2</v>
      </c>
      <c r="E14" s="15">
        <v>1.8236812247500199E-2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66.53</v>
      </c>
      <c r="M14" s="33">
        <v>158.26</v>
      </c>
      <c r="N14" s="34">
        <v>2.3787764918082002</v>
      </c>
      <c r="O14" s="34">
        <v>2.3788372149221799</v>
      </c>
      <c r="P14" s="34">
        <v>2.3765469967742598</v>
      </c>
      <c r="R14" s="33">
        <v>158.26403990877199</v>
      </c>
      <c r="S14" s="33">
        <v>158.08279951155299</v>
      </c>
      <c r="U14" s="15">
        <v>2.5526710540811399E-5</v>
      </c>
      <c r="V14" s="15">
        <v>-1.12030687756449E-3</v>
      </c>
      <c r="X14" s="34">
        <v>2.3787764918082002</v>
      </c>
      <c r="Y14" s="34">
        <v>2.3785236560114398</v>
      </c>
      <c r="Z14" s="34">
        <v>2.3765469967742598</v>
      </c>
      <c r="AB14" s="33">
        <v>158.24317883444101</v>
      </c>
      <c r="AC14" s="33">
        <v>158.08279951155299</v>
      </c>
      <c r="AE14" s="15">
        <v>-1.06293817560283E-4</v>
      </c>
      <c r="AF14" s="15">
        <v>-1.12030687756449E-3</v>
      </c>
      <c r="AQ14" s="20">
        <f>AVERAGE(AQ22:AQ176)</f>
        <v>1.995025319683794E-5</v>
      </c>
      <c r="AR14" s="21" t="s">
        <v>41</v>
      </c>
      <c r="BB14" s="20">
        <f>AVERAGE(BB22:BB176)</f>
        <v>9.3936444134550483E-5</v>
      </c>
      <c r="BC14" s="21" t="s">
        <v>41</v>
      </c>
      <c r="BD14" s="22"/>
      <c r="BE14" s="20">
        <f>AVERAGE(BE22:BE176)</f>
        <v>1.1388669733138845E-4</v>
      </c>
      <c r="BF14" s="21" t="s">
        <v>41</v>
      </c>
    </row>
    <row r="15" spans="1:130" x14ac:dyDescent="0.25">
      <c r="A15" s="1">
        <v>46044</v>
      </c>
      <c r="B15" s="33">
        <v>66.59</v>
      </c>
      <c r="C15" s="33">
        <v>158.29</v>
      </c>
      <c r="D15" s="15">
        <v>9.0144236873495405E-4</v>
      </c>
      <c r="E15" s="15">
        <v>1.8954351659959299E-4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66.59</v>
      </c>
      <c r="M15" s="33">
        <v>158.29</v>
      </c>
      <c r="N15" s="34">
        <v>2.3770836461931202</v>
      </c>
      <c r="O15" s="34">
        <v>2.3788372149221799</v>
      </c>
      <c r="P15" s="34">
        <v>2.3771248103762002</v>
      </c>
      <c r="R15" s="33">
        <v>158.40677014166801</v>
      </c>
      <c r="S15" s="33">
        <v>158.254264515198</v>
      </c>
      <c r="U15" s="15">
        <v>7.37425562676075E-4</v>
      </c>
      <c r="V15" s="15">
        <v>-2.2578507311114799E-4</v>
      </c>
      <c r="X15" s="34">
        <v>2.3770836461931202</v>
      </c>
      <c r="Y15" s="34">
        <v>2.3785236560114398</v>
      </c>
      <c r="Z15" s="34">
        <v>2.3771248103762002</v>
      </c>
      <c r="AB15" s="33">
        <v>158.38589025380199</v>
      </c>
      <c r="AC15" s="33">
        <v>158.254264515198</v>
      </c>
      <c r="AE15" s="15">
        <v>6.0560503457496502E-4</v>
      </c>
      <c r="AF15" s="15">
        <v>-2.2578507311114799E-4</v>
      </c>
      <c r="AQ15" s="20">
        <f>STDEV(AQ22:AQ176)</f>
        <v>2.6973811057819948E-4</v>
      </c>
      <c r="AR15" s="21" t="s">
        <v>42</v>
      </c>
      <c r="BB15" s="20">
        <f>STDEV(BB22:BB176)</f>
        <v>6.1073476596847239E-4</v>
      </c>
      <c r="BC15" s="21" t="s">
        <v>42</v>
      </c>
      <c r="BD15" s="22"/>
      <c r="BE15" s="20">
        <f>STDEV(BE22:BE176)</f>
        <v>6.648181349688619E-4</v>
      </c>
      <c r="BF15" s="21" t="s">
        <v>42</v>
      </c>
    </row>
    <row r="16" spans="1:130" x14ac:dyDescent="0.25">
      <c r="A16" s="1">
        <v>46045</v>
      </c>
      <c r="B16" s="33">
        <v>66.17</v>
      </c>
      <c r="C16" s="33">
        <v>157.47999999999999</v>
      </c>
      <c r="D16" s="15">
        <v>-6.32722809856286E-3</v>
      </c>
      <c r="E16" s="15">
        <v>-5.1303276221102197E-3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66.17</v>
      </c>
      <c r="M16" s="33">
        <v>157.47999999999999</v>
      </c>
      <c r="N16" s="34">
        <v>2.3799304820915799</v>
      </c>
      <c r="O16" s="34">
        <v>2.3788372149221799</v>
      </c>
      <c r="P16" s="34">
        <v>2.3778073377989202</v>
      </c>
      <c r="R16" s="33">
        <v>157.4076585114</v>
      </c>
      <c r="S16" s="33">
        <v>157.294348702593</v>
      </c>
      <c r="U16" s="15">
        <v>-4.59474913776707E-4</v>
      </c>
      <c r="V16" s="15">
        <v>-1.17958353149355E-3</v>
      </c>
      <c r="X16" s="34">
        <v>2.3799304820915799</v>
      </c>
      <c r="Y16" s="34">
        <v>2.3785236560114398</v>
      </c>
      <c r="Z16" s="34">
        <v>2.3778073377989202</v>
      </c>
      <c r="AB16" s="33">
        <v>157.38691031827699</v>
      </c>
      <c r="AC16" s="33">
        <v>157.294348702593</v>
      </c>
      <c r="AE16" s="15">
        <v>-5.9129544187780804E-4</v>
      </c>
      <c r="AF16" s="15">
        <v>-1.17958353149355E-3</v>
      </c>
      <c r="AQ16" s="23">
        <f>SQRT(252)*AQ14/AQ15</f>
        <v>1.1741034688452483</v>
      </c>
      <c r="AR16" s="21" t="s">
        <v>43</v>
      </c>
      <c r="BB16" s="23">
        <f>SQRT(252)*BB14/BB15</f>
        <v>2.4416406342771957</v>
      </c>
      <c r="BC16" s="21" t="s">
        <v>43</v>
      </c>
      <c r="BD16" s="22"/>
      <c r="BE16" s="23">
        <f>SQRT(252)*BE14/BE15</f>
        <v>2.7193832080839666</v>
      </c>
      <c r="BF16" s="21" t="s">
        <v>43</v>
      </c>
    </row>
    <row r="17" spans="1:124" x14ac:dyDescent="0.25">
      <c r="A17" s="1">
        <v>46048</v>
      </c>
      <c r="B17" s="33">
        <v>66.38</v>
      </c>
      <c r="C17" s="33">
        <v>158.1</v>
      </c>
      <c r="D17" s="15">
        <v>3.1686182678603999E-3</v>
      </c>
      <c r="E17" s="15">
        <v>3.9292781398895501E-3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66.38</v>
      </c>
      <c r="M17" s="33">
        <v>158.1</v>
      </c>
      <c r="N17" s="34">
        <v>2.3817414884001198</v>
      </c>
      <c r="O17" s="34">
        <v>2.3788372149221799</v>
      </c>
      <c r="P17" s="34">
        <v>2.37878305479334</v>
      </c>
      <c r="R17" s="33">
        <v>157.90721432653399</v>
      </c>
      <c r="S17" s="33">
        <v>157.83885108309201</v>
      </c>
      <c r="U17" s="15">
        <v>-1.2201347858058901E-3</v>
      </c>
      <c r="V17" s="15">
        <v>-1.6531615246889099E-3</v>
      </c>
      <c r="X17" s="34">
        <v>2.3817414884001198</v>
      </c>
      <c r="Y17" s="34">
        <v>2.3785236560114398</v>
      </c>
      <c r="Z17" s="34">
        <v>2.37878305479334</v>
      </c>
      <c r="AB17" s="33">
        <v>157.88640028603899</v>
      </c>
      <c r="AC17" s="33">
        <v>157.83885108309201</v>
      </c>
      <c r="AE17" s="15">
        <v>-1.3519553139070401E-3</v>
      </c>
      <c r="AF17" s="15">
        <v>-1.6531615246889099E-3</v>
      </c>
    </row>
    <row r="18" spans="1:124" x14ac:dyDescent="0.25">
      <c r="A18" s="1">
        <v>46049</v>
      </c>
      <c r="B18" s="33">
        <v>65.42</v>
      </c>
      <c r="C18" s="33">
        <v>155.44999999999999</v>
      </c>
      <c r="D18" s="15">
        <v>-1.45677841815906E-2</v>
      </c>
      <c r="E18" s="15">
        <v>-1.6903607710663501E-2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65.42</v>
      </c>
      <c r="M18" s="33">
        <v>155.44999999999999</v>
      </c>
      <c r="N18" s="34">
        <v>2.3761846530113102</v>
      </c>
      <c r="O18" s="34">
        <v>2.3788372149221799</v>
      </c>
      <c r="P18" s="34">
        <v>2.3786314641947901</v>
      </c>
      <c r="R18" s="33">
        <v>155.62353060020899</v>
      </c>
      <c r="S18" s="33">
        <v>155.61998744458</v>
      </c>
      <c r="U18" s="15">
        <v>1.1156887432670799E-3</v>
      </c>
      <c r="V18" s="15">
        <v>1.09292100403215E-3</v>
      </c>
      <c r="X18" s="34">
        <v>2.3761846530113102</v>
      </c>
      <c r="Y18" s="34">
        <v>2.3785236560114398</v>
      </c>
      <c r="Z18" s="34">
        <v>2.3786314641947901</v>
      </c>
      <c r="AB18" s="33">
        <v>155.603017576268</v>
      </c>
      <c r="AC18" s="33">
        <v>155.61998744458</v>
      </c>
      <c r="AE18" s="15">
        <v>9.8386821516581197E-4</v>
      </c>
      <c r="AF18" s="15">
        <v>1.09292100403215E-3</v>
      </c>
      <c r="BE18" s="24">
        <f>SUM(BE22:BE176)</f>
        <v>1.765243808636521E-2</v>
      </c>
      <c r="BF18" s="20">
        <f>BF176</f>
        <v>1.765243808636521E-2</v>
      </c>
    </row>
    <row r="19" spans="1:124" x14ac:dyDescent="0.25">
      <c r="A19" s="1">
        <v>46050</v>
      </c>
      <c r="B19" s="33">
        <v>64.87</v>
      </c>
      <c r="C19" s="33">
        <v>154.31</v>
      </c>
      <c r="D19" s="15">
        <v>-8.4427548852737903E-3</v>
      </c>
      <c r="E19" s="15">
        <v>-7.3605704216493E-3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64.87</v>
      </c>
      <c r="M19" s="33">
        <v>154.31</v>
      </c>
      <c r="N19" s="34">
        <v>2.3787575150300602</v>
      </c>
      <c r="O19" s="34">
        <v>2.3788372149221799</v>
      </c>
      <c r="P19" s="34">
        <v>2.3787702219165099</v>
      </c>
      <c r="R19" s="33">
        <v>154.31517013200099</v>
      </c>
      <c r="S19" s="33">
        <v>154.30182308231599</v>
      </c>
      <c r="U19" s="15">
        <v>3.3504279642374601E-5</v>
      </c>
      <c r="V19" s="15">
        <v>-5.2991603523340503E-5</v>
      </c>
      <c r="X19" s="34">
        <v>2.3787575150300602</v>
      </c>
      <c r="Y19" s="34">
        <v>2.3785236560114398</v>
      </c>
      <c r="Z19" s="34">
        <v>2.3787702219165099</v>
      </c>
      <c r="AB19" s="33">
        <v>154.29482956546201</v>
      </c>
      <c r="AC19" s="33">
        <v>154.30182308231599</v>
      </c>
      <c r="AE19" s="15">
        <v>-9.8316248458562804E-5</v>
      </c>
      <c r="AF19" s="15">
        <v>-5.2991603523340503E-5</v>
      </c>
      <c r="AI19" s="12"/>
      <c r="AJ19"/>
      <c r="AK19"/>
      <c r="AL19"/>
      <c r="AM19"/>
      <c r="AN19"/>
      <c r="AO19"/>
      <c r="AP19"/>
      <c r="AQ19" s="24">
        <f>SUM(AQ22:AQ176)</f>
        <v>3.0922892455098809E-3</v>
      </c>
      <c r="AR19" s="24">
        <f>AR176</f>
        <v>3.0922892455098809E-3</v>
      </c>
      <c r="AU19"/>
      <c r="AV19"/>
      <c r="AW19"/>
      <c r="AX19"/>
      <c r="AY19"/>
      <c r="AZ19"/>
      <c r="BA19"/>
      <c r="BB19" s="24">
        <f>SUM(BB22:BB176)</f>
        <v>1.4560148840855325E-2</v>
      </c>
      <c r="BC19" s="24">
        <f>BC176</f>
        <v>1.4560148840855325E-2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64.680000000000007</v>
      </c>
      <c r="C20" s="33">
        <v>153.82</v>
      </c>
      <c r="D20" s="15">
        <v>-2.93323251605789E-3</v>
      </c>
      <c r="E20" s="15">
        <v>-3.1804784542057399E-3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64.680000000000007</v>
      </c>
      <c r="M20" s="33">
        <v>153.82</v>
      </c>
      <c r="N20" s="34">
        <v>2.3781694495980199</v>
      </c>
      <c r="O20" s="34">
        <v>2.3788372149221799</v>
      </c>
      <c r="P20" s="34">
        <v>2.3787028992452099</v>
      </c>
      <c r="R20" s="33">
        <v>153.86319106116599</v>
      </c>
      <c r="S20" s="33">
        <v>153.85885795356</v>
      </c>
      <c r="U20" s="15">
        <v>2.8075021779029098E-4</v>
      </c>
      <c r="V20" s="15">
        <v>2.5258774051173898E-4</v>
      </c>
      <c r="X20" s="34">
        <v>2.3781694495980199</v>
      </c>
      <c r="Y20" s="34">
        <v>2.3785236560114398</v>
      </c>
      <c r="Z20" s="34">
        <v>2.3787028992452099</v>
      </c>
      <c r="AB20" s="33">
        <v>153.84291007082001</v>
      </c>
      <c r="AC20" s="33">
        <v>153.85885795356</v>
      </c>
      <c r="AE20" s="15">
        <v>1.4892968968937E-4</v>
      </c>
      <c r="AF20" s="15">
        <v>2.5258774051173898E-4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IYH log rtn</v>
      </c>
      <c r="AP20" s="7" t="str">
        <f>E1</f>
        <v>XLV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IYH log rtn</v>
      </c>
      <c r="BA20" s="24" t="str">
        <f>E1</f>
        <v>XLV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64.97</v>
      </c>
      <c r="C21" s="33">
        <v>154.74</v>
      </c>
      <c r="D21" s="15">
        <v>4.4735901835333304E-3</v>
      </c>
      <c r="E21" s="15">
        <v>5.9632014924008402E-3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64.97</v>
      </c>
      <c r="M21" s="33">
        <v>154.74</v>
      </c>
      <c r="N21" s="34">
        <v>2.3817146375250098</v>
      </c>
      <c r="O21" s="34">
        <v>2.3788372149221799</v>
      </c>
      <c r="P21" s="34">
        <v>2.3788758792979401</v>
      </c>
      <c r="Q21" s="34">
        <v>2.3774978742860902</v>
      </c>
      <c r="R21" s="33">
        <v>154.55305385349399</v>
      </c>
      <c r="S21" s="33">
        <v>154.544327363961</v>
      </c>
      <c r="U21" s="15">
        <v>-1.2088610910770299E-3</v>
      </c>
      <c r="V21" s="15">
        <v>-1.26532542927679E-3</v>
      </c>
      <c r="X21" s="34">
        <v>2.3817146375250098</v>
      </c>
      <c r="Y21" s="34">
        <v>2.3785236560114398</v>
      </c>
      <c r="Z21" s="34">
        <v>2.3788758792979401</v>
      </c>
      <c r="AA21" s="34">
        <v>2.3774978742860902</v>
      </c>
      <c r="AB21" s="33">
        <v>154.532681931063</v>
      </c>
      <c r="AC21" s="33">
        <v>154.544327363961</v>
      </c>
      <c r="AE21" s="15">
        <v>-1.34068161917816E-3</v>
      </c>
      <c r="AF21" s="15">
        <v>-1.26532542927679E-3</v>
      </c>
      <c r="AI21" s="26">
        <v>-3.0000000000000001E-3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4.0000000000000001E-3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65.27</v>
      </c>
      <c r="C22" s="33">
        <v>155.69</v>
      </c>
      <c r="D22" s="15">
        <v>4.60688775468647E-3</v>
      </c>
      <c r="E22" s="15">
        <v>6.1205615802746201E-3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65.27</v>
      </c>
      <c r="M22" s="33">
        <v>155.69</v>
      </c>
      <c r="N22" s="34">
        <v>2.3853225065114101</v>
      </c>
      <c r="O22" s="34">
        <v>2.3788372149221799</v>
      </c>
      <c r="P22" s="34">
        <v>2.3795281849360999</v>
      </c>
      <c r="Q22" s="34">
        <v>2.3777998013252399</v>
      </c>
      <c r="R22" s="33">
        <v>155.26670501797</v>
      </c>
      <c r="S22" s="33">
        <v>155.26922864177601</v>
      </c>
      <c r="T22" s="33">
        <v>155.17928625465299</v>
      </c>
      <c r="U22" s="15">
        <v>-2.7225349166652298E-3</v>
      </c>
      <c r="V22" s="15">
        <v>-2.7062815718347298E-3</v>
      </c>
      <c r="W22" s="15">
        <v>-3.2857167137296502E-3</v>
      </c>
      <c r="X22" s="34">
        <v>2.3853225065114101</v>
      </c>
      <c r="Y22" s="34">
        <v>2.3785236560114398</v>
      </c>
      <c r="Z22" s="34">
        <v>2.3795281849360999</v>
      </c>
      <c r="AA22" s="34">
        <v>2.3777998013252399</v>
      </c>
      <c r="AB22" s="33">
        <v>155.24623902786701</v>
      </c>
      <c r="AC22" s="33">
        <v>155.26922864177601</v>
      </c>
      <c r="AD22" s="33">
        <v>155.17928625465299</v>
      </c>
      <c r="AE22" s="15">
        <v>-2.8543554447664501E-3</v>
      </c>
      <c r="AF22" s="15">
        <v>-2.7062815718347298E-3</v>
      </c>
      <c r="AG22" s="15">
        <v>-3.2857167137296502E-3</v>
      </c>
      <c r="AI22" s="26">
        <v>-2E-3</v>
      </c>
      <c r="AJ22">
        <f t="shared" ref="AJ22:AJ85" si="6">IF($AG22&lt;AI$21,1,0)</f>
        <v>1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64.62</v>
      </c>
      <c r="C23" s="33">
        <v>154.1</v>
      </c>
      <c r="D23" s="15">
        <v>-1.00085522507736E-2</v>
      </c>
      <c r="E23" s="15">
        <v>-1.0265108375512999E-2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64.62</v>
      </c>
      <c r="M23" s="33">
        <v>154.1</v>
      </c>
      <c r="N23" s="34">
        <v>2.38471061590838</v>
      </c>
      <c r="O23" s="34">
        <v>2.3788372149221799</v>
      </c>
      <c r="P23" s="34">
        <v>2.3802391486077199</v>
      </c>
      <c r="Q23" s="34">
        <v>2.3781760864904902</v>
      </c>
      <c r="R23" s="33">
        <v>153.720460828271</v>
      </c>
      <c r="S23" s="33">
        <v>153.76511131057001</v>
      </c>
      <c r="T23" s="33">
        <v>153.65342316163699</v>
      </c>
      <c r="U23" s="15">
        <v>-2.4659787919258701E-3</v>
      </c>
      <c r="V23" s="15">
        <v>-2.1755555222892102E-3</v>
      </c>
      <c r="W23" s="15">
        <v>-2.9021750414353199E-3</v>
      </c>
      <c r="X23" s="34">
        <v>2.38471061590838</v>
      </c>
      <c r="Y23" s="34">
        <v>2.3785236560114398</v>
      </c>
      <c r="Z23" s="34">
        <v>2.3802391486077199</v>
      </c>
      <c r="AA23" s="34">
        <v>2.3781760864904902</v>
      </c>
      <c r="AB23" s="33">
        <v>153.700198651459</v>
      </c>
      <c r="AC23" s="33">
        <v>153.76511131057001</v>
      </c>
      <c r="AD23" s="33">
        <v>153.65342316163699</v>
      </c>
      <c r="AE23" s="15">
        <v>-2.5977993200270201E-3</v>
      </c>
      <c r="AF23" s="15">
        <v>-2.1755555222892102E-3</v>
      </c>
      <c r="AG23" s="15">
        <v>-2.9021750414353199E-3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1</v>
      </c>
      <c r="AM23">
        <f t="shared" si="4"/>
        <v>1</v>
      </c>
      <c r="AN23">
        <f t="shared" ref="AN23:AN86" si="15">IF(AJ22,1,IF(AK22,0,AL22))*AM22</f>
        <v>1</v>
      </c>
      <c r="AO23" s="28">
        <f t="shared" si="8"/>
        <v>-1.00085522507736E-2</v>
      </c>
      <c r="AP23" s="28">
        <f t="shared" si="9"/>
        <v>1.0265108375512999E-2</v>
      </c>
      <c r="AQ23" s="28">
        <f t="shared" ref="AQ23:AQ86" si="16">AO23+AP23</f>
        <v>2.5655612473939916E-4</v>
      </c>
      <c r="AR23" s="29">
        <f t="shared" ref="AR23:AR86" si="17">AR22+AQ23</f>
        <v>2.5655612473939916E-4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2.5655612473939916E-4</v>
      </c>
      <c r="BF23" s="29">
        <f t="shared" ref="BF23:BF86" si="23">BF22+BE23</f>
        <v>2.5655612473939916E-4</v>
      </c>
      <c r="BH23" s="29"/>
    </row>
    <row r="24" spans="1:124" x14ac:dyDescent="0.25">
      <c r="A24" s="1">
        <v>46057</v>
      </c>
      <c r="B24" s="33">
        <v>65.510000000000005</v>
      </c>
      <c r="C24" s="33">
        <v>156.03</v>
      </c>
      <c r="D24" s="15">
        <v>1.3678842347432701E-2</v>
      </c>
      <c r="E24" s="15">
        <v>1.24465541270208E-2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65.510000000000005</v>
      </c>
      <c r="M24" s="33">
        <v>156.03</v>
      </c>
      <c r="N24" s="34">
        <v>2.38177377499618</v>
      </c>
      <c r="O24" s="34">
        <v>2.3788372149221799</v>
      </c>
      <c r="P24" s="34">
        <v>2.3805388769265199</v>
      </c>
      <c r="Q24" s="34">
        <v>2.3785429368503901</v>
      </c>
      <c r="R24" s="33">
        <v>155.83762594955201</v>
      </c>
      <c r="S24" s="33">
        <v>155.92946662529101</v>
      </c>
      <c r="T24" s="33">
        <v>155.79431542599201</v>
      </c>
      <c r="U24" s="15">
        <v>-1.23369057151382E-3</v>
      </c>
      <c r="V24" s="15">
        <v>-6.4452846567435596E-4</v>
      </c>
      <c r="W24" s="15">
        <v>-1.5116500364366901E-3</v>
      </c>
      <c r="X24" s="34">
        <v>2.38177377499618</v>
      </c>
      <c r="Y24" s="34">
        <v>2.3785236560114398</v>
      </c>
      <c r="Z24" s="34">
        <v>2.3805388769265199</v>
      </c>
      <c r="AA24" s="34">
        <v>2.3785429368503901</v>
      </c>
      <c r="AB24" s="33">
        <v>155.81708470531001</v>
      </c>
      <c r="AC24" s="33">
        <v>155.92946662529101</v>
      </c>
      <c r="AD24" s="33">
        <v>155.79431542599201</v>
      </c>
      <c r="AE24" s="15">
        <v>-1.3655110996150001E-3</v>
      </c>
      <c r="AF24" s="15">
        <v>-6.4452846567435596E-4</v>
      </c>
      <c r="AG24" s="15">
        <v>-1.5116500364366901E-3</v>
      </c>
      <c r="AI24" s="12"/>
      <c r="AJ24">
        <f t="shared" si="6"/>
        <v>0</v>
      </c>
      <c r="AK24">
        <f t="shared" si="7"/>
        <v>1</v>
      </c>
      <c r="AL24">
        <f t="shared" si="14"/>
        <v>1</v>
      </c>
      <c r="AM24">
        <f t="shared" si="4"/>
        <v>1</v>
      </c>
      <c r="AN24">
        <f t="shared" si="15"/>
        <v>1</v>
      </c>
      <c r="AO24" s="28">
        <f t="shared" si="8"/>
        <v>1.3678842347432701E-2</v>
      </c>
      <c r="AP24" s="28">
        <f t="shared" si="9"/>
        <v>-1.24465541270208E-2</v>
      </c>
      <c r="AQ24" s="28">
        <f t="shared" si="16"/>
        <v>1.2322882204119003E-3</v>
      </c>
      <c r="AR24" s="29">
        <f t="shared" si="17"/>
        <v>1.4888443451512995E-3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1.2322882204119003E-3</v>
      </c>
      <c r="BF24" s="29">
        <f t="shared" si="23"/>
        <v>1.4888443451512995E-3</v>
      </c>
      <c r="BH24" s="29"/>
    </row>
    <row r="25" spans="1:124" x14ac:dyDescent="0.25">
      <c r="A25" s="1">
        <v>46058</v>
      </c>
      <c r="B25" s="33">
        <v>64.680000000000007</v>
      </c>
      <c r="C25" s="33">
        <v>154.84</v>
      </c>
      <c r="D25" s="15">
        <v>-1.27507680348788E-2</v>
      </c>
      <c r="E25" s="15">
        <v>-7.6559707436434504E-3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64.680000000000007</v>
      </c>
      <c r="M25" s="33">
        <v>154.84</v>
      </c>
      <c r="N25" s="34">
        <v>2.39393939393939</v>
      </c>
      <c r="O25" s="34">
        <v>2.3788372149221799</v>
      </c>
      <c r="P25" s="34">
        <v>2.3822244517011399</v>
      </c>
      <c r="Q25" s="34">
        <v>2.3796746310386698</v>
      </c>
      <c r="R25" s="33">
        <v>153.86319106116599</v>
      </c>
      <c r="S25" s="33">
        <v>153.973254559607</v>
      </c>
      <c r="T25" s="33">
        <v>153.844157155483</v>
      </c>
      <c r="U25" s="15">
        <v>-6.3284878627492503E-3</v>
      </c>
      <c r="V25" s="15">
        <v>-5.6134100693537303E-3</v>
      </c>
      <c r="W25" s="15">
        <v>-6.45220220247982E-3</v>
      </c>
      <c r="X25" s="34">
        <v>2.39393939393939</v>
      </c>
      <c r="Y25" s="34">
        <v>2.3785236560114398</v>
      </c>
      <c r="Z25" s="34">
        <v>2.3822244517011399</v>
      </c>
      <c r="AA25" s="34">
        <v>2.3796746310386698</v>
      </c>
      <c r="AB25" s="33">
        <v>153.84291007082001</v>
      </c>
      <c r="AC25" s="33">
        <v>153.973254559607</v>
      </c>
      <c r="AD25" s="33">
        <v>153.844157155483</v>
      </c>
      <c r="AE25" s="15">
        <v>-6.4603083908504099E-3</v>
      </c>
      <c r="AF25" s="15">
        <v>-5.6134100693537303E-3</v>
      </c>
      <c r="AG25" s="15">
        <v>-6.45220220247982E-3</v>
      </c>
      <c r="AI25" s="12"/>
      <c r="AJ25">
        <f t="shared" si="6"/>
        <v>1</v>
      </c>
      <c r="AK25">
        <f t="shared" si="7"/>
        <v>0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1.4888443451512995E-3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1.4888443451512995E-3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65.86</v>
      </c>
      <c r="C26" s="33">
        <v>157.71</v>
      </c>
      <c r="D26" s="15">
        <v>1.8079242239312E-2</v>
      </c>
      <c r="E26" s="15">
        <v>1.8365577790018999E-2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65.86</v>
      </c>
      <c r="M26" s="33">
        <v>157.71</v>
      </c>
      <c r="N26" s="34">
        <v>2.3946249620406901</v>
      </c>
      <c r="O26" s="34">
        <v>2.3788372149221799</v>
      </c>
      <c r="P26" s="34">
        <v>2.3836938996960599</v>
      </c>
      <c r="Q26" s="34">
        <v>2.3807506187474901</v>
      </c>
      <c r="R26" s="33">
        <v>156.670218974774</v>
      </c>
      <c r="S26" s="33">
        <v>156.89330238903699</v>
      </c>
      <c r="T26" s="33">
        <v>156.72537120020701</v>
      </c>
      <c r="U26" s="15">
        <v>-6.6148234134563401E-3</v>
      </c>
      <c r="V26" s="15">
        <v>-5.1919318032922603E-3</v>
      </c>
      <c r="W26" s="15">
        <v>-6.26285786109557E-3</v>
      </c>
      <c r="X26" s="34">
        <v>2.3946249620406901</v>
      </c>
      <c r="Y26" s="34">
        <v>2.3785236560114398</v>
      </c>
      <c r="Z26" s="34">
        <v>2.3836938996960599</v>
      </c>
      <c r="AA26" s="34">
        <v>2.3807506187474901</v>
      </c>
      <c r="AB26" s="33">
        <v>156.649567984914</v>
      </c>
      <c r="AC26" s="33">
        <v>156.89330238903699</v>
      </c>
      <c r="AD26" s="33">
        <v>156.72537120020701</v>
      </c>
      <c r="AE26" s="15">
        <v>-6.7466439415574996E-3</v>
      </c>
      <c r="AF26" s="15">
        <v>-5.1919318032922603E-3</v>
      </c>
      <c r="AG26" s="15">
        <v>-6.26285786109557E-3</v>
      </c>
      <c r="AI26" s="12"/>
      <c r="AJ26">
        <f t="shared" si="6"/>
        <v>1</v>
      </c>
      <c r="AK26">
        <f t="shared" si="7"/>
        <v>0</v>
      </c>
      <c r="AL26">
        <f t="shared" si="14"/>
        <v>1</v>
      </c>
      <c r="AM26">
        <f t="shared" si="4"/>
        <v>1</v>
      </c>
      <c r="AN26">
        <f t="shared" si="15"/>
        <v>1</v>
      </c>
      <c r="AO26" s="28">
        <f t="shared" si="8"/>
        <v>1.8079242239312E-2</v>
      </c>
      <c r="AP26" s="28">
        <f t="shared" si="9"/>
        <v>-1.8365577790018999E-2</v>
      </c>
      <c r="AQ26" s="28">
        <f t="shared" si="16"/>
        <v>-2.8633555070699951E-4</v>
      </c>
      <c r="AR26" s="29">
        <f t="shared" si="17"/>
        <v>1.2025087944443E-3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-2.8633555070699951E-4</v>
      </c>
      <c r="BF26" s="29">
        <f t="shared" si="23"/>
        <v>1.2025087944443E-3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65.25</v>
      </c>
      <c r="C27" s="33">
        <v>156.32</v>
      </c>
      <c r="D27" s="15">
        <v>-9.3052307454154701E-3</v>
      </c>
      <c r="E27" s="15">
        <v>-8.8527152049938801E-3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65.25</v>
      </c>
      <c r="M27" s="33">
        <v>156.32</v>
      </c>
      <c r="N27" s="34">
        <v>2.3957088122605299</v>
      </c>
      <c r="O27" s="34">
        <v>2.3788372149221799</v>
      </c>
      <c r="P27" s="34">
        <v>2.3850906320820999</v>
      </c>
      <c r="Q27" s="34">
        <v>2.3819368434377202</v>
      </c>
      <c r="R27" s="33">
        <v>155.219128273672</v>
      </c>
      <c r="S27" s="33">
        <v>155.53602695516699</v>
      </c>
      <c r="T27" s="33">
        <v>155.34397787327401</v>
      </c>
      <c r="U27" s="15">
        <v>-7.0673389538778103E-3</v>
      </c>
      <c r="V27" s="15">
        <v>-5.0277989107652601E-3</v>
      </c>
      <c r="W27" s="15">
        <v>-6.2633181036463896E-3</v>
      </c>
      <c r="X27" s="34">
        <v>2.3957088122605299</v>
      </c>
      <c r="Y27" s="34">
        <v>2.3785236560114398</v>
      </c>
      <c r="Z27" s="34">
        <v>2.3850906320820999</v>
      </c>
      <c r="AA27" s="34">
        <v>2.3819368434377202</v>
      </c>
      <c r="AB27" s="33">
        <v>155.198668554747</v>
      </c>
      <c r="AC27" s="33">
        <v>155.53602695516699</v>
      </c>
      <c r="AD27" s="33">
        <v>155.34397787327401</v>
      </c>
      <c r="AE27" s="15">
        <v>-7.1991594819789803E-3</v>
      </c>
      <c r="AF27" s="15">
        <v>-5.0277989107652601E-3</v>
      </c>
      <c r="AG27" s="15">
        <v>-6.2633181036463896E-3</v>
      </c>
      <c r="AI27" s="12"/>
      <c r="AJ27">
        <f t="shared" si="6"/>
        <v>1</v>
      </c>
      <c r="AK27">
        <f t="shared" si="7"/>
        <v>0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-9.3052307454154701E-3</v>
      </c>
      <c r="AP27" s="28">
        <f t="shared" si="9"/>
        <v>8.8527152049938801E-3</v>
      </c>
      <c r="AQ27" s="28">
        <f t="shared" si="16"/>
        <v>-4.5251554042158998E-4</v>
      </c>
      <c r="AR27" s="29">
        <f t="shared" si="17"/>
        <v>7.4999325402271E-4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-4.5251554042158998E-4</v>
      </c>
      <c r="BF27" s="29">
        <f t="shared" si="23"/>
        <v>7.4999325402271E-4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64.91</v>
      </c>
      <c r="C28" s="33">
        <v>155.33000000000001</v>
      </c>
      <c r="D28" s="15">
        <v>-5.2243511574256597E-3</v>
      </c>
      <c r="E28" s="15">
        <v>-6.3533022946565803E-3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64.91</v>
      </c>
      <c r="M28" s="33">
        <v>155.33000000000001</v>
      </c>
      <c r="N28" s="34">
        <v>2.3930057002002698</v>
      </c>
      <c r="O28" s="34">
        <v>2.3788372149221799</v>
      </c>
      <c r="P28" s="34">
        <v>2.3867727368009901</v>
      </c>
      <c r="Q28" s="34">
        <v>2.3827021004978901</v>
      </c>
      <c r="R28" s="33">
        <v>154.41032362059801</v>
      </c>
      <c r="S28" s="33">
        <v>154.81623292844901</v>
      </c>
      <c r="T28" s="33">
        <v>154.611520507542</v>
      </c>
      <c r="U28" s="15">
        <v>-5.9383878166469504E-3</v>
      </c>
      <c r="V28" s="15">
        <v>-3.3130664631506701E-3</v>
      </c>
      <c r="W28" s="15">
        <v>-4.6362344627918798E-3</v>
      </c>
      <c r="X28" s="34">
        <v>2.3930057002002698</v>
      </c>
      <c r="Y28" s="34">
        <v>2.3785236560114398</v>
      </c>
      <c r="Z28" s="34">
        <v>2.3867727368009901</v>
      </c>
      <c r="AA28" s="34">
        <v>2.3827021004978901</v>
      </c>
      <c r="AB28" s="33">
        <v>154.38997051170301</v>
      </c>
      <c r="AC28" s="33">
        <v>154.81623292844901</v>
      </c>
      <c r="AD28" s="33">
        <v>154.611520507542</v>
      </c>
      <c r="AE28" s="15">
        <v>-6.0702083447479703E-3</v>
      </c>
      <c r="AF28" s="15">
        <v>-3.3130664631506701E-3</v>
      </c>
      <c r="AG28" s="15">
        <v>-4.6362344627918798E-3</v>
      </c>
      <c r="AI28" s="12"/>
      <c r="AJ28">
        <f t="shared" si="6"/>
        <v>1</v>
      </c>
      <c r="AK28">
        <f t="shared" si="7"/>
        <v>0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-5.2243511574256597E-3</v>
      </c>
      <c r="AP28" s="28">
        <f t="shared" si="9"/>
        <v>6.3533022946565803E-3</v>
      </c>
      <c r="AQ28" s="28">
        <f t="shared" si="16"/>
        <v>1.1289511372309206E-3</v>
      </c>
      <c r="AR28" s="29">
        <f t="shared" si="17"/>
        <v>1.8789443912536306E-3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1.1289511372309206E-3</v>
      </c>
      <c r="BF28" s="29">
        <f t="shared" si="23"/>
        <v>1.8789443912536306E-3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65.23</v>
      </c>
      <c r="C29" s="33">
        <v>156.25</v>
      </c>
      <c r="D29" s="15">
        <v>4.9177907626276303E-3</v>
      </c>
      <c r="E29" s="15">
        <v>5.9054026166949101E-3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65.23</v>
      </c>
      <c r="M29" s="33">
        <v>156.25</v>
      </c>
      <c r="N29" s="34">
        <v>2.3953702284224998</v>
      </c>
      <c r="O29" s="34">
        <v>2.3788372149221799</v>
      </c>
      <c r="P29" s="34">
        <v>2.3884340081402402</v>
      </c>
      <c r="Q29" s="34">
        <v>2.3836021150283702</v>
      </c>
      <c r="R29" s="33">
        <v>155.171551529373</v>
      </c>
      <c r="S29" s="33">
        <v>155.68918562152899</v>
      </c>
      <c r="T29" s="33">
        <v>155.423658015477</v>
      </c>
      <c r="U29" s="15">
        <v>-6.9259996707143499E-3</v>
      </c>
      <c r="V29" s="15">
        <v>-3.5956686978991198E-3</v>
      </c>
      <c r="W29" s="15">
        <v>-5.3026227883790199E-3</v>
      </c>
      <c r="X29" s="34">
        <v>2.3953702284224998</v>
      </c>
      <c r="Y29" s="34">
        <v>2.3785236560114398</v>
      </c>
      <c r="Z29" s="34">
        <v>2.3884340081402402</v>
      </c>
      <c r="AA29" s="34">
        <v>2.3836021150283702</v>
      </c>
      <c r="AB29" s="33">
        <v>155.151098081626</v>
      </c>
      <c r="AC29" s="33">
        <v>155.68918562152899</v>
      </c>
      <c r="AD29" s="33">
        <v>155.423658015477</v>
      </c>
      <c r="AE29" s="15">
        <v>-7.0578201988154799E-3</v>
      </c>
      <c r="AF29" s="15">
        <v>-3.5956686978991198E-3</v>
      </c>
      <c r="AG29" s="15">
        <v>-5.3026227883790199E-3</v>
      </c>
      <c r="AI29" s="12"/>
      <c r="AJ29">
        <f t="shared" si="6"/>
        <v>1</v>
      </c>
      <c r="AK29">
        <f t="shared" si="7"/>
        <v>0</v>
      </c>
      <c r="AL29">
        <f t="shared" si="14"/>
        <v>1</v>
      </c>
      <c r="AM29">
        <f t="shared" si="4"/>
        <v>1</v>
      </c>
      <c r="AN29">
        <f t="shared" si="15"/>
        <v>1</v>
      </c>
      <c r="AO29" s="28">
        <f t="shared" si="8"/>
        <v>4.9177907626276303E-3</v>
      </c>
      <c r="AP29" s="28">
        <f t="shared" si="9"/>
        <v>-5.9054026166949101E-3</v>
      </c>
      <c r="AQ29" s="28">
        <f t="shared" si="16"/>
        <v>-9.8761185406727979E-4</v>
      </c>
      <c r="AR29" s="29">
        <f t="shared" si="17"/>
        <v>8.9133253718635085E-4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-9.8761185406727979E-4</v>
      </c>
      <c r="BF29" s="29">
        <f t="shared" si="23"/>
        <v>8.9133253718635085E-4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65.09</v>
      </c>
      <c r="C30" s="33">
        <v>156</v>
      </c>
      <c r="D30" s="15">
        <v>-2.1485582237086502E-3</v>
      </c>
      <c r="E30" s="15">
        <v>-1.6012813669738701E-3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65.09</v>
      </c>
      <c r="M30" s="33">
        <v>156</v>
      </c>
      <c r="N30" s="34">
        <v>2.3966815178982901</v>
      </c>
      <c r="O30" s="34">
        <v>2.3788372149221799</v>
      </c>
      <c r="P30" s="34">
        <v>2.3902852149702598</v>
      </c>
      <c r="Q30" s="34">
        <v>2.38449405710774</v>
      </c>
      <c r="R30" s="33">
        <v>154.838514319284</v>
      </c>
      <c r="S30" s="33">
        <v>155.46316958984801</v>
      </c>
      <c r="T30" s="33">
        <v>155.14866166719699</v>
      </c>
      <c r="U30" s="15">
        <v>-7.4732765274491096E-3</v>
      </c>
      <c r="V30" s="15">
        <v>-3.4471551962264898E-3</v>
      </c>
      <c r="W30" s="15">
        <v>-5.4722424497344099E-3</v>
      </c>
      <c r="X30" s="34">
        <v>2.3966815178982901</v>
      </c>
      <c r="Y30" s="34">
        <v>2.3785236560114398</v>
      </c>
      <c r="Z30" s="34">
        <v>2.3902852149702598</v>
      </c>
      <c r="AA30" s="34">
        <v>2.38449405710774</v>
      </c>
      <c r="AB30" s="33">
        <v>154.81810476978501</v>
      </c>
      <c r="AC30" s="33">
        <v>155.46316958984801</v>
      </c>
      <c r="AD30" s="33">
        <v>155.14866166719699</v>
      </c>
      <c r="AE30" s="15">
        <v>-7.6050970555502301E-3</v>
      </c>
      <c r="AF30" s="15">
        <v>-3.4471551962264898E-3</v>
      </c>
      <c r="AG30" s="15">
        <v>-5.4722424497344099E-3</v>
      </c>
      <c r="AI30" s="12"/>
      <c r="AJ30">
        <f t="shared" si="6"/>
        <v>1</v>
      </c>
      <c r="AK30">
        <f t="shared" si="7"/>
        <v>0</v>
      </c>
      <c r="AL30">
        <f t="shared" si="14"/>
        <v>1</v>
      </c>
      <c r="AM30">
        <f t="shared" si="4"/>
        <v>1</v>
      </c>
      <c r="AN30">
        <f t="shared" si="15"/>
        <v>1</v>
      </c>
      <c r="AO30" s="28">
        <f t="shared" si="8"/>
        <v>-2.1485582237086502E-3</v>
      </c>
      <c r="AP30" s="28">
        <f t="shared" si="9"/>
        <v>1.6012813669738701E-3</v>
      </c>
      <c r="AQ30" s="28">
        <f t="shared" si="16"/>
        <v>-5.4727685673478009E-4</v>
      </c>
      <c r="AR30" s="29">
        <f t="shared" si="17"/>
        <v>3.4405568045157075E-4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-5.4727685673478009E-4</v>
      </c>
      <c r="BF30" s="29">
        <f t="shared" si="23"/>
        <v>3.4405568045157075E-4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65.75</v>
      </c>
      <c r="C31" s="33">
        <v>157.66999999999999</v>
      </c>
      <c r="D31" s="15">
        <v>1.00887434735779E-2</v>
      </c>
      <c r="E31" s="15">
        <v>1.06482339998531E-2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65.75</v>
      </c>
      <c r="M31" s="33">
        <v>157.66999999999999</v>
      </c>
      <c r="N31" s="34">
        <v>2.3980228136882098</v>
      </c>
      <c r="O31" s="34">
        <v>2.3788372149221799</v>
      </c>
      <c r="P31" s="34">
        <v>2.3919160325865798</v>
      </c>
      <c r="Q31" s="34">
        <v>2.3853959559422599</v>
      </c>
      <c r="R31" s="33">
        <v>156.40854688113299</v>
      </c>
      <c r="S31" s="33">
        <v>157.16125288429501</v>
      </c>
      <c r="T31" s="33">
        <v>156.78048425483399</v>
      </c>
      <c r="U31" s="15">
        <v>-8.0327670537244603E-3</v>
      </c>
      <c r="V31" s="15">
        <v>-3.2318745605232099E-3</v>
      </c>
      <c r="W31" s="15">
        <v>-5.6576037396997899E-3</v>
      </c>
      <c r="X31" s="34">
        <v>2.3980228136882098</v>
      </c>
      <c r="Y31" s="34">
        <v>2.3785236560114398</v>
      </c>
      <c r="Z31" s="34">
        <v>2.3919160325865798</v>
      </c>
      <c r="AA31" s="34">
        <v>2.3853959559422599</v>
      </c>
      <c r="AB31" s="33">
        <v>156.38793038275199</v>
      </c>
      <c r="AC31" s="33">
        <v>157.16125288429501</v>
      </c>
      <c r="AD31" s="33">
        <v>156.78048425483399</v>
      </c>
      <c r="AE31" s="15">
        <v>-8.1645875818255904E-3</v>
      </c>
      <c r="AF31" s="15">
        <v>-3.2318745605232099E-3</v>
      </c>
      <c r="AG31" s="15">
        <v>-5.6576037396997899E-3</v>
      </c>
      <c r="AI31" s="12"/>
      <c r="AJ31">
        <f t="shared" si="6"/>
        <v>1</v>
      </c>
      <c r="AK31">
        <f t="shared" si="7"/>
        <v>0</v>
      </c>
      <c r="AL31">
        <f t="shared" si="14"/>
        <v>1</v>
      </c>
      <c r="AM31">
        <f t="shared" si="4"/>
        <v>1</v>
      </c>
      <c r="AN31">
        <f t="shared" si="15"/>
        <v>1</v>
      </c>
      <c r="AO31" s="28">
        <f t="shared" si="8"/>
        <v>1.00887434735779E-2</v>
      </c>
      <c r="AP31" s="28">
        <f t="shared" si="9"/>
        <v>-1.06482339998531E-2</v>
      </c>
      <c r="AQ31" s="28">
        <f t="shared" si="16"/>
        <v>-5.594905262751998E-4</v>
      </c>
      <c r="AR31" s="29">
        <f t="shared" si="17"/>
        <v>-2.1543484582362904E-4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-5.594905262751998E-4</v>
      </c>
      <c r="BF31" s="29">
        <f t="shared" si="23"/>
        <v>-2.1543484582362904E-4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65.709999999999994</v>
      </c>
      <c r="C32" s="33">
        <v>157.37</v>
      </c>
      <c r="D32" s="15">
        <v>-6.0855014809754E-4</v>
      </c>
      <c r="E32" s="15">
        <v>-1.9045206366172199E-3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65.709999999999994</v>
      </c>
      <c r="M32" s="33">
        <v>157.37</v>
      </c>
      <c r="N32" s="34">
        <v>2.3949170598082401</v>
      </c>
      <c r="O32" s="34">
        <v>2.3788372149221799</v>
      </c>
      <c r="P32" s="34">
        <v>2.3928754879162701</v>
      </c>
      <c r="Q32" s="34">
        <v>2.3862018364261801</v>
      </c>
      <c r="R32" s="33">
        <v>156.313393392536</v>
      </c>
      <c r="S32" s="33">
        <v>157.17280250126399</v>
      </c>
      <c r="T32" s="33">
        <v>156.744368264966</v>
      </c>
      <c r="U32" s="15">
        <v>-6.7367965652047898E-3</v>
      </c>
      <c r="V32" s="15">
        <v>-1.2538676644513001E-3</v>
      </c>
      <c r="W32" s="15">
        <v>-3.9834698793601098E-3</v>
      </c>
      <c r="X32" s="34">
        <v>2.3949170598082401</v>
      </c>
      <c r="Y32" s="34">
        <v>2.3785236560114398</v>
      </c>
      <c r="Z32" s="34">
        <v>2.3928754879162701</v>
      </c>
      <c r="AA32" s="34">
        <v>2.3862018364261801</v>
      </c>
      <c r="AB32" s="33">
        <v>156.29278943651201</v>
      </c>
      <c r="AC32" s="33">
        <v>157.17280250126399</v>
      </c>
      <c r="AD32" s="33">
        <v>156.744368264966</v>
      </c>
      <c r="AE32" s="15">
        <v>-6.8686170933059598E-3</v>
      </c>
      <c r="AF32" s="15">
        <v>-1.2538676644513001E-3</v>
      </c>
      <c r="AG32" s="15">
        <v>-3.9834698793601098E-3</v>
      </c>
      <c r="AI32" s="12"/>
      <c r="AJ32">
        <f t="shared" si="6"/>
        <v>1</v>
      </c>
      <c r="AK32">
        <f t="shared" si="7"/>
        <v>0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-6.0855014809754E-4</v>
      </c>
      <c r="AP32" s="28">
        <f t="shared" si="9"/>
        <v>1.9045206366172199E-3</v>
      </c>
      <c r="AQ32" s="28">
        <f t="shared" si="16"/>
        <v>1.29597048851968E-3</v>
      </c>
      <c r="AR32" s="29">
        <f t="shared" si="17"/>
        <v>1.080535642696051E-3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1.29597048851968E-3</v>
      </c>
      <c r="BF32" s="29">
        <f t="shared" si="23"/>
        <v>1.080535642696051E-3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65.84</v>
      </c>
      <c r="C33" s="33">
        <v>157.66999999999999</v>
      </c>
      <c r="D33" s="15">
        <v>1.97643545903793E-3</v>
      </c>
      <c r="E33" s="15">
        <v>1.90452063661726E-3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65.84</v>
      </c>
      <c r="M33" s="33">
        <v>157.66999999999999</v>
      </c>
      <c r="N33" s="34">
        <v>2.39474483596597</v>
      </c>
      <c r="O33" s="34">
        <v>2.3788372149221799</v>
      </c>
      <c r="P33" s="34">
        <v>2.3938789099220301</v>
      </c>
      <c r="Q33" s="34">
        <v>2.3870590292648699</v>
      </c>
      <c r="R33" s="33">
        <v>156.622642230476</v>
      </c>
      <c r="S33" s="33">
        <v>157.54692212440699</v>
      </c>
      <c r="T33" s="33">
        <v>157.1075289103</v>
      </c>
      <c r="U33" s="15">
        <v>-6.6648817427839699E-3</v>
      </c>
      <c r="V33" s="15">
        <v>-7.80909102326532E-4</v>
      </c>
      <c r="W33" s="15">
        <v>-3.5737728185150702E-3</v>
      </c>
      <c r="X33" s="34">
        <v>2.39474483596597</v>
      </c>
      <c r="Y33" s="34">
        <v>2.3785236560114398</v>
      </c>
      <c r="Z33" s="34">
        <v>2.3938789099220301</v>
      </c>
      <c r="AA33" s="34">
        <v>2.3870590292648699</v>
      </c>
      <c r="AB33" s="33">
        <v>156.601997511793</v>
      </c>
      <c r="AC33" s="33">
        <v>157.54692212440699</v>
      </c>
      <c r="AD33" s="33">
        <v>157.1075289103</v>
      </c>
      <c r="AE33" s="15">
        <v>-6.7967022708850704E-3</v>
      </c>
      <c r="AF33" s="15">
        <v>-7.80909102326532E-4</v>
      </c>
      <c r="AG33" s="15">
        <v>-3.5737728185150702E-3</v>
      </c>
      <c r="AI33" s="12"/>
      <c r="AJ33">
        <f t="shared" si="6"/>
        <v>1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1.97643545903793E-3</v>
      </c>
      <c r="AP33" s="28">
        <f t="shared" si="9"/>
        <v>-1.90452063661726E-3</v>
      </c>
      <c r="AQ33" s="28">
        <f t="shared" si="16"/>
        <v>7.191482242066994E-5</v>
      </c>
      <c r="AR33" s="29">
        <f t="shared" si="17"/>
        <v>1.1524504651167209E-3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7.191482242066994E-5</v>
      </c>
      <c r="BF33" s="29">
        <f t="shared" si="23"/>
        <v>1.1524504651167209E-3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65.73</v>
      </c>
      <c r="C34" s="33">
        <v>157.26</v>
      </c>
      <c r="D34" s="15">
        <v>-1.6721140933294799E-3</v>
      </c>
      <c r="E34" s="15">
        <v>-2.6037546860203701E-3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65.73</v>
      </c>
      <c r="M34" s="33">
        <v>157.26</v>
      </c>
      <c r="N34" s="34">
        <v>2.3925148334094</v>
      </c>
      <c r="O34" s="34">
        <v>2.3788372149221799</v>
      </c>
      <c r="P34" s="34">
        <v>2.3949530157633498</v>
      </c>
      <c r="Q34" s="34">
        <v>2.3877459463449302</v>
      </c>
      <c r="R34" s="33">
        <v>156.36097013683499</v>
      </c>
      <c r="S34" s="33">
        <v>157.349660749175</v>
      </c>
      <c r="T34" s="33">
        <v>156.90138999358001</v>
      </c>
      <c r="U34" s="15">
        <v>-5.7332411500930101E-3</v>
      </c>
      <c r="V34" s="15">
        <v>5.6998091787204203E-4</v>
      </c>
      <c r="W34" s="15">
        <v>-2.2829677585868499E-3</v>
      </c>
      <c r="X34" s="34">
        <v>2.3925148334094</v>
      </c>
      <c r="Y34" s="34">
        <v>2.3785236560114398</v>
      </c>
      <c r="Z34" s="34">
        <v>2.3949530157633498</v>
      </c>
      <c r="AA34" s="34">
        <v>2.3877459463449302</v>
      </c>
      <c r="AB34" s="33">
        <v>156.34035990963201</v>
      </c>
      <c r="AC34" s="33">
        <v>157.349660749175</v>
      </c>
      <c r="AD34" s="33">
        <v>156.90138999358001</v>
      </c>
      <c r="AE34" s="15">
        <v>-5.8650616781942702E-3</v>
      </c>
      <c r="AF34" s="15">
        <v>5.6998091787204203E-4</v>
      </c>
      <c r="AG34" s="15">
        <v>-2.2829677585868499E-3</v>
      </c>
      <c r="AI34" s="12"/>
      <c r="AJ34">
        <f t="shared" si="6"/>
        <v>0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-1.6721140933294799E-3</v>
      </c>
      <c r="AP34" s="28">
        <f t="shared" si="9"/>
        <v>2.6037546860203701E-3</v>
      </c>
      <c r="AQ34" s="28">
        <f t="shared" si="16"/>
        <v>9.3164059269089015E-4</v>
      </c>
      <c r="AR34" s="29">
        <f t="shared" si="17"/>
        <v>2.0840910578076109E-3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9.3164059269089015E-4</v>
      </c>
      <c r="BF34" s="29">
        <f t="shared" si="23"/>
        <v>2.0840910578076109E-3</v>
      </c>
      <c r="BH34" s="29"/>
    </row>
    <row r="35" spans="1:124" x14ac:dyDescent="0.25">
      <c r="A35" s="1">
        <v>46073</v>
      </c>
      <c r="B35" s="33">
        <v>65.58</v>
      </c>
      <c r="C35" s="33">
        <v>156.82</v>
      </c>
      <c r="D35" s="15">
        <v>-2.2846708589827599E-3</v>
      </c>
      <c r="E35" s="15">
        <v>-2.8018357605941002E-3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65.58</v>
      </c>
      <c r="M35" s="33">
        <v>156.82</v>
      </c>
      <c r="N35" s="34">
        <v>2.3912778286062801</v>
      </c>
      <c r="O35" s="34">
        <v>2.3788372149221799</v>
      </c>
      <c r="P35" s="34">
        <v>2.3946868592300401</v>
      </c>
      <c r="Q35" s="34">
        <v>2.3884556554655898</v>
      </c>
      <c r="R35" s="33">
        <v>156.004144554596</v>
      </c>
      <c r="S35" s="33">
        <v>157.06101877376</v>
      </c>
      <c r="T35" s="33">
        <v>156.58837916130099</v>
      </c>
      <c r="U35" s="15">
        <v>-5.2160762484817101E-3</v>
      </c>
      <c r="V35" s="15">
        <v>1.53573364883386E-3</v>
      </c>
      <c r="W35" s="15">
        <v>-1.4780771432311201E-3</v>
      </c>
      <c r="X35" s="34">
        <v>2.3912778286062801</v>
      </c>
      <c r="Y35" s="34">
        <v>2.3785236560114398</v>
      </c>
      <c r="Z35" s="34">
        <v>2.3946868592300401</v>
      </c>
      <c r="AA35" s="34">
        <v>2.3884556554655898</v>
      </c>
      <c r="AB35" s="33">
        <v>155.98358136122999</v>
      </c>
      <c r="AC35" s="33">
        <v>157.06101877376</v>
      </c>
      <c r="AD35" s="33">
        <v>156.58837916130099</v>
      </c>
      <c r="AE35" s="15">
        <v>-5.3478967765830101E-3</v>
      </c>
      <c r="AF35" s="15">
        <v>1.53573364883386E-3</v>
      </c>
      <c r="AG35" s="15">
        <v>-1.4780771432311201E-3</v>
      </c>
      <c r="AI35" s="12"/>
      <c r="AJ35">
        <f t="shared" si="6"/>
        <v>0</v>
      </c>
      <c r="AK35">
        <f t="shared" si="7"/>
        <v>1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-2.2846708589827599E-3</v>
      </c>
      <c r="AP35" s="28">
        <f t="shared" si="9"/>
        <v>2.8018357605941002E-3</v>
      </c>
      <c r="AQ35" s="28">
        <f t="shared" si="16"/>
        <v>5.1716490161134035E-4</v>
      </c>
      <c r="AR35" s="29">
        <f t="shared" si="17"/>
        <v>2.6012559594189512E-3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5.1716490161134035E-4</v>
      </c>
      <c r="BF35" s="29">
        <f t="shared" si="23"/>
        <v>2.6012559594189512E-3</v>
      </c>
      <c r="BH35" s="29"/>
    </row>
    <row r="36" spans="1:124" x14ac:dyDescent="0.25">
      <c r="A36" s="1">
        <v>46076</v>
      </c>
      <c r="B36" s="33">
        <v>66.2</v>
      </c>
      <c r="C36" s="33">
        <v>158.54</v>
      </c>
      <c r="D36" s="15">
        <v>9.4096915264604199E-3</v>
      </c>
      <c r="E36" s="15">
        <v>1.0908276606233801E-2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66.2</v>
      </c>
      <c r="M36" s="33">
        <v>158.54</v>
      </c>
      <c r="N36" s="34">
        <v>2.3948640483383601</v>
      </c>
      <c r="O36" s="34">
        <v>2.3788372149221799</v>
      </c>
      <c r="P36" s="34">
        <v>2.3947107678598099</v>
      </c>
      <c r="Q36" s="34">
        <v>2.3892023337779298</v>
      </c>
      <c r="R36" s="33">
        <v>157.47902362784799</v>
      </c>
      <c r="S36" s="33">
        <v>158.52827008102801</v>
      </c>
      <c r="T36" s="33">
        <v>158.11576439182201</v>
      </c>
      <c r="U36" s="15">
        <v>-6.7146613282552297E-3</v>
      </c>
      <c r="V36" s="15">
        <v>-7.3989863277724004E-5</v>
      </c>
      <c r="W36" s="15">
        <v>-2.6794766412181598E-3</v>
      </c>
      <c r="X36" s="34">
        <v>2.3948640483383601</v>
      </c>
      <c r="Y36" s="34">
        <v>2.3785236560114398</v>
      </c>
      <c r="Z36" s="34">
        <v>2.3947107678598099</v>
      </c>
      <c r="AA36" s="34">
        <v>2.3892023337779298</v>
      </c>
      <c r="AB36" s="33">
        <v>157.458266027957</v>
      </c>
      <c r="AC36" s="33">
        <v>158.52827008102801</v>
      </c>
      <c r="AD36" s="33">
        <v>158.11576439182201</v>
      </c>
      <c r="AE36" s="15">
        <v>-6.84648185635643E-3</v>
      </c>
      <c r="AF36" s="15">
        <v>-7.3989863277724004E-5</v>
      </c>
      <c r="AG36" s="15">
        <v>-2.6794766412181598E-3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2.6012559594189512E-3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2.6012559594189512E-3</v>
      </c>
      <c r="BH36" s="29"/>
    </row>
    <row r="37" spans="1:124" x14ac:dyDescent="0.25">
      <c r="A37" s="1">
        <v>46077</v>
      </c>
      <c r="B37" s="33">
        <v>66.02</v>
      </c>
      <c r="C37" s="33">
        <v>157.87</v>
      </c>
      <c r="D37" s="15">
        <v>-2.72273651791562E-3</v>
      </c>
      <c r="E37" s="15">
        <v>-4.2350178653742599E-3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66.02</v>
      </c>
      <c r="M37" s="33">
        <v>157.87</v>
      </c>
      <c r="N37" s="34">
        <v>2.3912450772493101</v>
      </c>
      <c r="O37" s="34">
        <v>2.3788372149221799</v>
      </c>
      <c r="P37" s="34">
        <v>2.3942643943586801</v>
      </c>
      <c r="Q37" s="34">
        <v>2.38967751322039</v>
      </c>
      <c r="R37" s="33">
        <v>157.050832929162</v>
      </c>
      <c r="S37" s="33">
        <v>158.09880489410401</v>
      </c>
      <c r="T37" s="33">
        <v>157.73513807601901</v>
      </c>
      <c r="U37" s="15">
        <v>-5.2023799807967199E-3</v>
      </c>
      <c r="V37" s="15">
        <v>1.44827546614662E-3</v>
      </c>
      <c r="W37" s="15">
        <v>-8.5462443996499901E-4</v>
      </c>
      <c r="X37" s="34">
        <v>2.3912450772493101</v>
      </c>
      <c r="Y37" s="34">
        <v>2.3785236560114398</v>
      </c>
      <c r="Z37" s="34">
        <v>2.3942643943586801</v>
      </c>
      <c r="AA37" s="34">
        <v>2.38967751322039</v>
      </c>
      <c r="AB37" s="33">
        <v>157.030131769875</v>
      </c>
      <c r="AC37" s="33">
        <v>158.09880489410401</v>
      </c>
      <c r="AD37" s="33">
        <v>157.73513807601901</v>
      </c>
      <c r="AE37" s="15">
        <v>-5.3342005088978699E-3</v>
      </c>
      <c r="AF37" s="15">
        <v>1.44827546614662E-3</v>
      </c>
      <c r="AG37" s="15">
        <v>-8.5462443996499901E-4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2.6012559594189512E-3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2.6012559594189512E-3</v>
      </c>
      <c r="BH37" s="29"/>
    </row>
    <row r="38" spans="1:124" x14ac:dyDescent="0.25">
      <c r="A38" s="1">
        <v>46078</v>
      </c>
      <c r="B38" s="33">
        <v>65.94</v>
      </c>
      <c r="C38" s="33">
        <v>157.83000000000001</v>
      </c>
      <c r="D38" s="15">
        <v>-1.21248878146192E-3</v>
      </c>
      <c r="E38" s="15">
        <v>-2.5340513280988999E-4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65.94</v>
      </c>
      <c r="M38" s="33">
        <v>157.83000000000001</v>
      </c>
      <c r="N38" s="34">
        <v>2.3935395814376701</v>
      </c>
      <c r="O38" s="34">
        <v>2.3788372149221799</v>
      </c>
      <c r="P38" s="34">
        <v>2.3943177824824202</v>
      </c>
      <c r="Q38" s="34">
        <v>2.3905452596417098</v>
      </c>
      <c r="R38" s="33">
        <v>156.86052595196799</v>
      </c>
      <c r="S38" s="33">
        <v>157.87779416401099</v>
      </c>
      <c r="T38" s="33">
        <v>157.575335221752</v>
      </c>
      <c r="U38" s="15">
        <v>-6.1614636294486701E-3</v>
      </c>
      <c r="V38" s="15">
        <v>3.0277468760996599E-4</v>
      </c>
      <c r="W38" s="15">
        <v>-1.61484163487087E-3</v>
      </c>
      <c r="X38" s="34">
        <v>2.3935395814376701</v>
      </c>
      <c r="Y38" s="34">
        <v>2.3785236560114398</v>
      </c>
      <c r="Z38" s="34">
        <v>2.3943177824824202</v>
      </c>
      <c r="AA38" s="34">
        <v>2.3905452596417098</v>
      </c>
      <c r="AB38" s="33">
        <v>156.83984987739399</v>
      </c>
      <c r="AC38" s="33">
        <v>157.87779416401099</v>
      </c>
      <c r="AD38" s="33">
        <v>157.575335221752</v>
      </c>
      <c r="AE38" s="15">
        <v>-6.2932841575498704E-3</v>
      </c>
      <c r="AF38" s="15">
        <v>3.0277468760996599E-4</v>
      </c>
      <c r="AG38" s="15">
        <v>-1.61484163487087E-3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2.6012559594189512E-3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2.6012559594189512E-3</v>
      </c>
      <c r="BH38" s="29"/>
    </row>
    <row r="39" spans="1:124" x14ac:dyDescent="0.25">
      <c r="A39" s="1">
        <v>46079</v>
      </c>
      <c r="B39" s="33">
        <v>65.77</v>
      </c>
      <c r="C39" s="33">
        <v>157.41999999999999</v>
      </c>
      <c r="D39" s="15">
        <v>-2.5814303303253699E-3</v>
      </c>
      <c r="E39" s="15">
        <v>-2.60111169652162E-3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65.77</v>
      </c>
      <c r="M39" s="33">
        <v>157.41999999999999</v>
      </c>
      <c r="N39" s="34">
        <v>2.3934924737722301</v>
      </c>
      <c r="O39" s="34">
        <v>2.3788372149221799</v>
      </c>
      <c r="P39" s="34">
        <v>2.3941300070174001</v>
      </c>
      <c r="Q39" s="34">
        <v>2.3912820075788201</v>
      </c>
      <c r="R39" s="33">
        <v>156.45612362543099</v>
      </c>
      <c r="S39" s="33">
        <v>157.47428055386899</v>
      </c>
      <c r="T39" s="33">
        <v>157.22616172663501</v>
      </c>
      <c r="U39" s="15">
        <v>-6.1417822632526499E-3</v>
      </c>
      <c r="V39" s="15">
        <v>3.4475414613107801E-4</v>
      </c>
      <c r="W39" s="15">
        <v>-1.23210336857549E-3</v>
      </c>
      <c r="X39" s="34">
        <v>2.3934924737722301</v>
      </c>
      <c r="Y39" s="34">
        <v>2.3785236560114398</v>
      </c>
      <c r="Z39" s="34">
        <v>2.3941300070174001</v>
      </c>
      <c r="AA39" s="34">
        <v>2.3912820075788201</v>
      </c>
      <c r="AB39" s="33">
        <v>156.43550085587199</v>
      </c>
      <c r="AC39" s="33">
        <v>157.47428055386899</v>
      </c>
      <c r="AD39" s="33">
        <v>157.22616172663501</v>
      </c>
      <c r="AE39" s="15">
        <v>-6.2736027913537599E-3</v>
      </c>
      <c r="AF39" s="15">
        <v>3.4475414613107801E-4</v>
      </c>
      <c r="AG39" s="15">
        <v>-1.23210336857549E-3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2.6012559594189512E-3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2.6012559594189512E-3</v>
      </c>
      <c r="BH39" s="29"/>
    </row>
    <row r="40" spans="1:124" x14ac:dyDescent="0.25">
      <c r="A40" s="1">
        <v>46080</v>
      </c>
      <c r="B40" s="33">
        <v>66.84</v>
      </c>
      <c r="C40" s="33">
        <v>160.19999999999999</v>
      </c>
      <c r="D40" s="15">
        <v>1.61378964139333E-2</v>
      </c>
      <c r="E40" s="15">
        <v>1.7505641919954702E-2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66.84</v>
      </c>
      <c r="M40" s="33">
        <v>160.19999999999999</v>
      </c>
      <c r="N40" s="34">
        <v>2.39676840215439</v>
      </c>
      <c r="O40" s="34">
        <v>2.3788372149221799</v>
      </c>
      <c r="P40" s="34">
        <v>2.3941386954430102</v>
      </c>
      <c r="Q40" s="34">
        <v>2.3922119552066401</v>
      </c>
      <c r="R40" s="33">
        <v>159.00147944539799</v>
      </c>
      <c r="S40" s="33">
        <v>160.02364966904301</v>
      </c>
      <c r="T40" s="33">
        <v>159.833289386568</v>
      </c>
      <c r="U40" s="15">
        <v>-7.50952776927375E-3</v>
      </c>
      <c r="V40" s="15">
        <v>-1.1014198917978599E-3</v>
      </c>
      <c r="W40" s="15">
        <v>-2.2917039326041302E-3</v>
      </c>
      <c r="X40" s="34">
        <v>2.39676840215439</v>
      </c>
      <c r="Y40" s="34">
        <v>2.3785236560114398</v>
      </c>
      <c r="Z40" s="34">
        <v>2.3941386954430102</v>
      </c>
      <c r="AA40" s="34">
        <v>2.3922119552066401</v>
      </c>
      <c r="AB40" s="33">
        <v>158.98052116780499</v>
      </c>
      <c r="AC40" s="33">
        <v>160.02364966904301</v>
      </c>
      <c r="AD40" s="33">
        <v>159.833289386568</v>
      </c>
      <c r="AE40" s="15">
        <v>-7.6413482973748904E-3</v>
      </c>
      <c r="AF40" s="15">
        <v>-1.1014198917978599E-3</v>
      </c>
      <c r="AG40" s="15">
        <v>-2.2917039326041302E-3</v>
      </c>
      <c r="AI40" s="12"/>
      <c r="AJ40">
        <f t="shared" si="6"/>
        <v>0</v>
      </c>
      <c r="AK40">
        <f t="shared" si="7"/>
        <v>0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2.6012559594189512E-3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2.6012559594189512E-3</v>
      </c>
      <c r="BH40" s="29"/>
    </row>
    <row r="41" spans="1:124" x14ac:dyDescent="0.25">
      <c r="A41" s="1">
        <v>46083</v>
      </c>
      <c r="B41" s="33">
        <v>66.08</v>
      </c>
      <c r="C41" s="33">
        <v>158.53</v>
      </c>
      <c r="D41" s="15">
        <v>-1.1435574514470401E-2</v>
      </c>
      <c r="E41" s="15">
        <v>-1.04791847791223E-2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66.08</v>
      </c>
      <c r="M41" s="33">
        <v>158.53</v>
      </c>
      <c r="N41" s="34">
        <v>2.3990617433414001</v>
      </c>
      <c r="O41" s="34">
        <v>2.3788372149221799</v>
      </c>
      <c r="P41" s="34">
        <v>2.3942425884083298</v>
      </c>
      <c r="Q41" s="34">
        <v>2.3930793104974599</v>
      </c>
      <c r="R41" s="33">
        <v>157.19356316205699</v>
      </c>
      <c r="S41" s="33">
        <v>158.20468499487399</v>
      </c>
      <c r="T41" s="33">
        <v>158.07736600005401</v>
      </c>
      <c r="U41" s="15">
        <v>-8.4659175046220107E-3</v>
      </c>
      <c r="V41" s="15">
        <v>-2.0541805803443699E-3</v>
      </c>
      <c r="W41" s="15">
        <v>-2.8592784434448701E-3</v>
      </c>
      <c r="X41" s="34">
        <v>2.3990617433414001</v>
      </c>
      <c r="Y41" s="34">
        <v>2.3785236560114398</v>
      </c>
      <c r="Z41" s="34">
        <v>2.3942425884083298</v>
      </c>
      <c r="AA41" s="34">
        <v>2.3930793104974599</v>
      </c>
      <c r="AB41" s="33">
        <v>157.172843189236</v>
      </c>
      <c r="AC41" s="33">
        <v>158.20468499487399</v>
      </c>
      <c r="AD41" s="33">
        <v>158.07736600005401</v>
      </c>
      <c r="AE41" s="15">
        <v>-8.5977380327231408E-3</v>
      </c>
      <c r="AF41" s="15">
        <v>-2.0541805803443699E-3</v>
      </c>
      <c r="AG41" s="15">
        <v>-2.8592784434448701E-3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2.6012559594189512E-3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2.6012559594189512E-3</v>
      </c>
      <c r="BH41" s="29"/>
    </row>
    <row r="42" spans="1:124" x14ac:dyDescent="0.25">
      <c r="A42" s="1">
        <v>46084</v>
      </c>
      <c r="B42" s="33">
        <v>65.36</v>
      </c>
      <c r="C42" s="33">
        <v>156.74</v>
      </c>
      <c r="D42" s="15">
        <v>-1.0955678660975099E-2</v>
      </c>
      <c r="E42" s="15">
        <v>-1.1355468230417699E-2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65.36</v>
      </c>
      <c r="M42" s="33">
        <v>156.74</v>
      </c>
      <c r="N42" s="34">
        <v>2.3981028151774701</v>
      </c>
      <c r="O42" s="34">
        <v>2.3788372149221799</v>
      </c>
      <c r="P42" s="34">
        <v>2.3945611639452502</v>
      </c>
      <c r="Q42" s="34">
        <v>2.3937183259307599</v>
      </c>
      <c r="R42" s="33">
        <v>155.48080036731301</v>
      </c>
      <c r="S42" s="33">
        <v>156.487695578368</v>
      </c>
      <c r="T42" s="33">
        <v>156.41166373411301</v>
      </c>
      <c r="U42" s="15">
        <v>-8.0661279351791904E-3</v>
      </c>
      <c r="V42" s="15">
        <v>-1.61099723785925E-3</v>
      </c>
      <c r="W42" s="15">
        <v>-2.0969799891056898E-3</v>
      </c>
      <c r="X42" s="34">
        <v>2.3981028151774701</v>
      </c>
      <c r="Y42" s="34">
        <v>2.3785236560114398</v>
      </c>
      <c r="Z42" s="34">
        <v>2.3945611639452502</v>
      </c>
      <c r="AA42" s="34">
        <v>2.3937183259307599</v>
      </c>
      <c r="AB42" s="33">
        <v>155.46030615690799</v>
      </c>
      <c r="AC42" s="33">
        <v>156.487695578368</v>
      </c>
      <c r="AD42" s="33">
        <v>156.41166373411301</v>
      </c>
      <c r="AE42" s="15">
        <v>-8.1979484632804696E-3</v>
      </c>
      <c r="AF42" s="15">
        <v>-1.61099723785925E-3</v>
      </c>
      <c r="AG42" s="15">
        <v>-2.0969799891056898E-3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2.6012559594189512E-3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2.6012559594189512E-3</v>
      </c>
      <c r="BH42" s="29"/>
    </row>
    <row r="43" spans="1:124" x14ac:dyDescent="0.25">
      <c r="A43" s="1">
        <v>46085</v>
      </c>
      <c r="B43" s="33">
        <v>65.510000000000005</v>
      </c>
      <c r="C43" s="33">
        <v>157.05000000000001</v>
      </c>
      <c r="D43" s="15">
        <v>2.2923521920376199E-3</v>
      </c>
      <c r="E43" s="15">
        <v>1.9758443599370099E-3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65.510000000000005</v>
      </c>
      <c r="M43" s="33">
        <v>157.05000000000001</v>
      </c>
      <c r="N43" s="34">
        <v>2.3973439169592399</v>
      </c>
      <c r="O43" s="34">
        <v>2.3788372149221799</v>
      </c>
      <c r="P43" s="34">
        <v>2.3948210720445799</v>
      </c>
      <c r="Q43" s="34">
        <v>2.3943499909832999</v>
      </c>
      <c r="R43" s="33">
        <v>155.83762594955201</v>
      </c>
      <c r="S43" s="33">
        <v>156.86770185005301</v>
      </c>
      <c r="T43" s="33">
        <v>156.812487531724</v>
      </c>
      <c r="U43" s="15">
        <v>-7.7496201030785696E-3</v>
      </c>
      <c r="V43" s="15">
        <v>-1.1614392521640099E-3</v>
      </c>
      <c r="W43" s="15">
        <v>-1.51348136874317E-3</v>
      </c>
      <c r="X43" s="34">
        <v>2.3973439169592399</v>
      </c>
      <c r="Y43" s="34">
        <v>2.3785236560114398</v>
      </c>
      <c r="Z43" s="34">
        <v>2.3948210720445799</v>
      </c>
      <c r="AA43" s="34">
        <v>2.3943499909832999</v>
      </c>
      <c r="AB43" s="33">
        <v>155.81708470531001</v>
      </c>
      <c r="AC43" s="33">
        <v>156.86770185005301</v>
      </c>
      <c r="AD43" s="33">
        <v>156.812487531724</v>
      </c>
      <c r="AE43" s="15">
        <v>-7.8814406311798896E-3</v>
      </c>
      <c r="AF43" s="15">
        <v>-1.1614392521640099E-3</v>
      </c>
      <c r="AG43" s="15">
        <v>-1.51348136874317E-3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2.6012559594189512E-3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2.6012559594189512E-3</v>
      </c>
      <c r="BH43" s="29"/>
    </row>
    <row r="44" spans="1:124" x14ac:dyDescent="0.25">
      <c r="A44" s="1">
        <v>46086</v>
      </c>
      <c r="B44" s="33">
        <v>64.290000000000006</v>
      </c>
      <c r="C44" s="33">
        <v>153.91</v>
      </c>
      <c r="D44" s="15">
        <v>-1.8798704590189601E-2</v>
      </c>
      <c r="E44" s="15">
        <v>-2.01962099927929E-2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64.290000000000006</v>
      </c>
      <c r="M44" s="33">
        <v>153.91</v>
      </c>
      <c r="N44" s="34">
        <v>2.3939959558251598</v>
      </c>
      <c r="O44" s="34">
        <v>2.3788372149221799</v>
      </c>
      <c r="P44" s="34">
        <v>2.39496918428615</v>
      </c>
      <c r="Q44" s="34">
        <v>2.3949611000247502</v>
      </c>
      <c r="R44" s="33">
        <v>152.935444547347</v>
      </c>
      <c r="S44" s="33">
        <v>153.963046721746</v>
      </c>
      <c r="T44" s="33">
        <v>153.93276092031601</v>
      </c>
      <c r="U44" s="15">
        <v>-6.3521147004752896E-3</v>
      </c>
      <c r="V44" s="15">
        <v>3.4460127533655899E-4</v>
      </c>
      <c r="W44" s="15">
        <v>1.47873676095103E-4</v>
      </c>
      <c r="X44" s="34">
        <v>2.3939959558251598</v>
      </c>
      <c r="Y44" s="34">
        <v>2.3785236560114398</v>
      </c>
      <c r="Z44" s="34">
        <v>2.39496918428615</v>
      </c>
      <c r="AA44" s="34">
        <v>2.3949611000247502</v>
      </c>
      <c r="AB44" s="33">
        <v>152.91528584497601</v>
      </c>
      <c r="AC44" s="33">
        <v>153.963046721746</v>
      </c>
      <c r="AD44" s="33">
        <v>153.93276092031601</v>
      </c>
      <c r="AE44" s="15">
        <v>-6.4839352285765003E-3</v>
      </c>
      <c r="AF44" s="15">
        <v>3.4460127533655899E-4</v>
      </c>
      <c r="AG44" s="15">
        <v>1.47873676095103E-4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2.6012559594189512E-3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2.6012559594189512E-3</v>
      </c>
      <c r="BH44" s="29"/>
    </row>
    <row r="45" spans="1:124" x14ac:dyDescent="0.25">
      <c r="A45" s="1">
        <v>46087</v>
      </c>
      <c r="B45" s="33">
        <v>63.81</v>
      </c>
      <c r="C45" s="33">
        <v>152.69999999999999</v>
      </c>
      <c r="D45" s="15">
        <v>-7.4941802733399301E-3</v>
      </c>
      <c r="E45" s="15">
        <v>-7.8928037672759601E-3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63.81</v>
      </c>
      <c r="M45" s="33">
        <v>152.69999999999999</v>
      </c>
      <c r="N45" s="34">
        <v>2.3930418429713201</v>
      </c>
      <c r="O45" s="34">
        <v>2.3788372149221799</v>
      </c>
      <c r="P45" s="34">
        <v>2.39514558572266</v>
      </c>
      <c r="Q45" s="34">
        <v>2.3949162224763501</v>
      </c>
      <c r="R45" s="33">
        <v>151.79360268418401</v>
      </c>
      <c r="S45" s="33">
        <v>152.822983649299</v>
      </c>
      <c r="T45" s="33">
        <v>152.822467792579</v>
      </c>
      <c r="U45" s="15">
        <v>-5.9534912065393603E-3</v>
      </c>
      <c r="V45" s="15">
        <v>8.0506974940614104E-4</v>
      </c>
      <c r="W45" s="15">
        <v>8.0169422578856497E-4</v>
      </c>
      <c r="X45" s="34">
        <v>2.3930418429713201</v>
      </c>
      <c r="Y45" s="34">
        <v>2.3785236560114398</v>
      </c>
      <c r="Z45" s="34">
        <v>2.39514558572266</v>
      </c>
      <c r="AA45" s="34">
        <v>2.3949162224763501</v>
      </c>
      <c r="AB45" s="33">
        <v>151.77359449009001</v>
      </c>
      <c r="AC45" s="33">
        <v>152.822983649299</v>
      </c>
      <c r="AD45" s="33">
        <v>152.822467792579</v>
      </c>
      <c r="AE45" s="15">
        <v>-6.0853117346404001E-3</v>
      </c>
      <c r="AF45" s="15">
        <v>8.0506974940614104E-4</v>
      </c>
      <c r="AG45" s="15">
        <v>8.0169422578856497E-4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2.6012559594189512E-3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2.6012559594189512E-3</v>
      </c>
      <c r="BH45" s="29"/>
    </row>
    <row r="46" spans="1:124" x14ac:dyDescent="0.25">
      <c r="A46" s="1">
        <v>46090</v>
      </c>
      <c r="B46" s="33">
        <v>64.45</v>
      </c>
      <c r="C46" s="33">
        <v>154.26</v>
      </c>
      <c r="D46" s="15">
        <v>9.9798115049408598E-3</v>
      </c>
      <c r="E46" s="15">
        <v>1.01642782812662E-2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64.45</v>
      </c>
      <c r="M46" s="33">
        <v>154.26</v>
      </c>
      <c r="N46" s="34">
        <v>2.3934833204034098</v>
      </c>
      <c r="O46" s="34">
        <v>2.3788372149221799</v>
      </c>
      <c r="P46" s="34">
        <v>2.3950075129291601</v>
      </c>
      <c r="Q46" s="34">
        <v>2.3948591403944799</v>
      </c>
      <c r="R46" s="33">
        <v>153.31605850173401</v>
      </c>
      <c r="S46" s="33">
        <v>154.367132999825</v>
      </c>
      <c r="T46" s="33">
        <v>154.35235053860001</v>
      </c>
      <c r="U46" s="15">
        <v>-6.1379579828646398E-3</v>
      </c>
      <c r="V46" s="15">
        <v>6.9425525285000803E-4</v>
      </c>
      <c r="W46" s="15">
        <v>5.9848895351263104E-4</v>
      </c>
      <c r="X46" s="34">
        <v>2.3934833204034098</v>
      </c>
      <c r="Y46" s="34">
        <v>2.3785236560114398</v>
      </c>
      <c r="Z46" s="34">
        <v>2.3950075129291601</v>
      </c>
      <c r="AA46" s="34">
        <v>2.3948591403944799</v>
      </c>
      <c r="AB46" s="33">
        <v>153.29584962993701</v>
      </c>
      <c r="AC46" s="33">
        <v>154.367132999825</v>
      </c>
      <c r="AD46" s="33">
        <v>154.35235053860001</v>
      </c>
      <c r="AE46" s="15">
        <v>-6.2697785109659902E-3</v>
      </c>
      <c r="AF46" s="15">
        <v>6.9425525285000803E-4</v>
      </c>
      <c r="AG46" s="15">
        <v>5.9848895351263104E-4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2.6012559594189512E-3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2.6012559594189512E-3</v>
      </c>
      <c r="BH46" s="29"/>
    </row>
    <row r="47" spans="1:124" x14ac:dyDescent="0.25">
      <c r="A47" s="1">
        <v>46091</v>
      </c>
      <c r="B47" s="33">
        <v>64.05</v>
      </c>
      <c r="C47" s="33">
        <v>153.15</v>
      </c>
      <c r="D47" s="15">
        <v>-6.2257010424532104E-3</v>
      </c>
      <c r="E47" s="15">
        <v>-7.2216572270687703E-3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64.05</v>
      </c>
      <c r="M47" s="33">
        <v>153.15</v>
      </c>
      <c r="N47" s="34">
        <v>2.39110070257611</v>
      </c>
      <c r="O47" s="34">
        <v>2.3788372149221799</v>
      </c>
      <c r="P47" s="34">
        <v>2.3949930754618398</v>
      </c>
      <c r="Q47" s="34">
        <v>2.3946287349102602</v>
      </c>
      <c r="R47" s="33">
        <v>152.36452361576499</v>
      </c>
      <c r="S47" s="33">
        <v>153.40023120311301</v>
      </c>
      <c r="T47" s="33">
        <v>153.39072794226601</v>
      </c>
      <c r="U47" s="15">
        <v>-5.1420017982491597E-3</v>
      </c>
      <c r="V47" s="15">
        <v>1.63256284432444E-3</v>
      </c>
      <c r="W47" s="15">
        <v>1.5706101656954301E-3</v>
      </c>
      <c r="X47" s="34">
        <v>2.39110070257611</v>
      </c>
      <c r="Y47" s="34">
        <v>2.3785236560114398</v>
      </c>
      <c r="Z47" s="34">
        <v>2.3949930754618398</v>
      </c>
      <c r="AA47" s="34">
        <v>2.3946287349102602</v>
      </c>
      <c r="AB47" s="33">
        <v>152.34444016753301</v>
      </c>
      <c r="AC47" s="33">
        <v>153.40023120311301</v>
      </c>
      <c r="AD47" s="33">
        <v>153.39072794226601</v>
      </c>
      <c r="AE47" s="15">
        <v>-5.2738223263502004E-3</v>
      </c>
      <c r="AF47" s="15">
        <v>1.63256284432444E-3</v>
      </c>
      <c r="AG47" s="15">
        <v>1.5706101656954301E-3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2.6012559594189512E-3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2.6012559594189512E-3</v>
      </c>
      <c r="BH47" s="29"/>
    </row>
    <row r="48" spans="1:124" x14ac:dyDescent="0.25">
      <c r="A48" s="1">
        <v>46092</v>
      </c>
      <c r="B48" s="33">
        <v>63.88</v>
      </c>
      <c r="C48" s="33">
        <v>152.85</v>
      </c>
      <c r="D48" s="15">
        <v>-2.65770499593148E-3</v>
      </c>
      <c r="E48" s="15">
        <v>-1.9607849419407599E-3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63.88</v>
      </c>
      <c r="M48" s="33">
        <v>152.85</v>
      </c>
      <c r="N48" s="34">
        <v>2.3927676894176502</v>
      </c>
      <c r="O48" s="34">
        <v>2.3788372149221799</v>
      </c>
      <c r="P48" s="34">
        <v>2.3949158862598399</v>
      </c>
      <c r="Q48" s="34">
        <v>2.39461683437113</v>
      </c>
      <c r="R48" s="33">
        <v>151.960121289228</v>
      </c>
      <c r="S48" s="33">
        <v>152.99215766050199</v>
      </c>
      <c r="T48" s="33">
        <v>152.96888358606699</v>
      </c>
      <c r="U48" s="15">
        <v>-5.8389218522398598E-3</v>
      </c>
      <c r="V48" s="15">
        <v>9.2961462100309296E-4</v>
      </c>
      <c r="W48" s="15">
        <v>7.7747711758202403E-4</v>
      </c>
      <c r="X48" s="34">
        <v>2.3927676894176502</v>
      </c>
      <c r="Y48" s="34">
        <v>2.3785236560114398</v>
      </c>
      <c r="Z48" s="34">
        <v>2.3949158862598399</v>
      </c>
      <c r="AA48" s="34">
        <v>2.39461683437113</v>
      </c>
      <c r="AB48" s="33">
        <v>151.94009114601101</v>
      </c>
      <c r="AC48" s="33">
        <v>152.99215766050199</v>
      </c>
      <c r="AD48" s="33">
        <v>152.96888358606699</v>
      </c>
      <c r="AE48" s="15">
        <v>-5.9707423803409499E-3</v>
      </c>
      <c r="AF48" s="15">
        <v>9.2961462100309296E-4</v>
      </c>
      <c r="AG48" s="15">
        <v>7.7747711758202403E-4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2.6012559594189512E-3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2.6012559594189512E-3</v>
      </c>
      <c r="BH48" s="29"/>
    </row>
    <row r="49" spans="1:60" x14ac:dyDescent="0.25">
      <c r="A49" s="1">
        <v>46093</v>
      </c>
      <c r="B49" s="33">
        <v>62.65</v>
      </c>
      <c r="C49" s="33">
        <v>150.16</v>
      </c>
      <c r="D49" s="15">
        <v>-1.94426420047344E-2</v>
      </c>
      <c r="E49" s="15">
        <v>-1.7755656058589999E-2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62.65</v>
      </c>
      <c r="M49" s="33">
        <v>150.16</v>
      </c>
      <c r="N49" s="34">
        <v>2.3968076616121299</v>
      </c>
      <c r="O49" s="34">
        <v>2.3788372149221799</v>
      </c>
      <c r="P49" s="34">
        <v>2.3952474050438299</v>
      </c>
      <c r="Q49" s="34">
        <v>2.3946887060306099</v>
      </c>
      <c r="R49" s="33">
        <v>149.034151514874</v>
      </c>
      <c r="S49" s="33">
        <v>150.04148027417901</v>
      </c>
      <c r="T49" s="33">
        <v>150.02274467335101</v>
      </c>
      <c r="U49" s="15">
        <v>-7.5259077983841497E-3</v>
      </c>
      <c r="V49" s="15">
        <v>-7.8960124960318005E-4</v>
      </c>
      <c r="W49" s="15">
        <v>-9.14478521161489E-4</v>
      </c>
      <c r="X49" s="34">
        <v>2.3968076616121299</v>
      </c>
      <c r="Y49" s="34">
        <v>2.3785236560114398</v>
      </c>
      <c r="Z49" s="34">
        <v>2.3952474050438299</v>
      </c>
      <c r="AA49" s="34">
        <v>2.3946887060306099</v>
      </c>
      <c r="AB49" s="33">
        <v>149.01450704911699</v>
      </c>
      <c r="AC49" s="33">
        <v>150.04148027417901</v>
      </c>
      <c r="AD49" s="33">
        <v>150.02274467335101</v>
      </c>
      <c r="AE49" s="15">
        <v>-7.6577283264853803E-3</v>
      </c>
      <c r="AF49" s="15">
        <v>-7.8960124960318005E-4</v>
      </c>
      <c r="AG49" s="15">
        <v>-9.14478521161489E-4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2.6012559594189512E-3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2.6012559594189512E-3</v>
      </c>
      <c r="BH49" s="29"/>
    </row>
    <row r="50" spans="1:60" x14ac:dyDescent="0.25">
      <c r="A50" s="1">
        <v>46094</v>
      </c>
      <c r="B50" s="33">
        <v>62.51</v>
      </c>
      <c r="C50" s="33">
        <v>149.79</v>
      </c>
      <c r="D50" s="15">
        <v>-2.2371373983563199E-3</v>
      </c>
      <c r="E50" s="15">
        <v>-2.4670790976258298E-3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62.51</v>
      </c>
      <c r="M50" s="33">
        <v>149.79</v>
      </c>
      <c r="N50" s="34">
        <v>2.3962565989441602</v>
      </c>
      <c r="O50" s="34">
        <v>2.3788372149221799</v>
      </c>
      <c r="P50" s="34">
        <v>2.39519622472281</v>
      </c>
      <c r="Q50" s="34">
        <v>2.3946674600829101</v>
      </c>
      <c r="R50" s="33">
        <v>148.70111430478499</v>
      </c>
      <c r="S50" s="33">
        <v>149.726915289289</v>
      </c>
      <c r="T50" s="33">
        <v>149.691991013973</v>
      </c>
      <c r="U50" s="15">
        <v>-7.2959660991147998E-3</v>
      </c>
      <c r="V50" s="15">
        <v>-4.2124306456574898E-4</v>
      </c>
      <c r="W50" s="15">
        <v>-6.5452342688931899E-4</v>
      </c>
      <c r="X50" s="34">
        <v>2.3962565989441602</v>
      </c>
      <c r="Y50" s="34">
        <v>2.3785236560114398</v>
      </c>
      <c r="Z50" s="34">
        <v>2.39519622472281</v>
      </c>
      <c r="AA50" s="34">
        <v>2.3946674600829101</v>
      </c>
      <c r="AB50" s="33">
        <v>148.681513737275</v>
      </c>
      <c r="AC50" s="33">
        <v>149.726915289289</v>
      </c>
      <c r="AD50" s="33">
        <v>149.691991013973</v>
      </c>
      <c r="AE50" s="15">
        <v>-7.4277866272158396E-3</v>
      </c>
      <c r="AF50" s="15">
        <v>-4.2124306456574898E-4</v>
      </c>
      <c r="AG50" s="15">
        <v>-6.5452342688931899E-4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2.6012559594189512E-3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2.6012559594189512E-3</v>
      </c>
      <c r="BH50" s="29"/>
    </row>
    <row r="51" spans="1:60" x14ac:dyDescent="0.25">
      <c r="A51" s="1">
        <v>46097</v>
      </c>
      <c r="B51" s="33">
        <v>63.03</v>
      </c>
      <c r="C51" s="33">
        <v>151.01</v>
      </c>
      <c r="D51" s="15">
        <v>8.2842595812977898E-3</v>
      </c>
      <c r="E51" s="15">
        <v>8.1117466070702703E-3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63.03</v>
      </c>
      <c r="M51" s="33">
        <v>151.01</v>
      </c>
      <c r="N51" s="34">
        <v>2.3958432492463899</v>
      </c>
      <c r="O51" s="34">
        <v>2.3788372149221799</v>
      </c>
      <c r="P51" s="34">
        <v>2.3948743753133002</v>
      </c>
      <c r="Q51" s="34">
        <v>2.3945584818608099</v>
      </c>
      <c r="R51" s="33">
        <v>149.93810965654501</v>
      </c>
      <c r="S51" s="33">
        <v>150.96921804427799</v>
      </c>
      <c r="T51" s="33">
        <v>150.935890009025</v>
      </c>
      <c r="U51" s="15">
        <v>-7.1234531248869698E-3</v>
      </c>
      <c r="V51" s="15">
        <v>-2.7009776522592799E-4</v>
      </c>
      <c r="W51" s="15">
        <v>-4.9088260456258705E-4</v>
      </c>
      <c r="X51" s="34">
        <v>2.3958432492463899</v>
      </c>
      <c r="Y51" s="34">
        <v>2.3785236560114398</v>
      </c>
      <c r="Z51" s="34">
        <v>2.3948743753133002</v>
      </c>
      <c r="AA51" s="34">
        <v>2.3945584818608099</v>
      </c>
      <c r="AB51" s="33">
        <v>149.91834603840101</v>
      </c>
      <c r="AC51" s="33">
        <v>150.96921804427799</v>
      </c>
      <c r="AD51" s="33">
        <v>150.935890009025</v>
      </c>
      <c r="AE51" s="15">
        <v>-7.2552736529882802E-3</v>
      </c>
      <c r="AF51" s="15">
        <v>-2.7009776522592799E-4</v>
      </c>
      <c r="AG51" s="15">
        <v>-4.9088260456258705E-4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2.6012559594189512E-3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2.6012559594189512E-3</v>
      </c>
      <c r="BH51" s="29"/>
    </row>
    <row r="52" spans="1:60" x14ac:dyDescent="0.25">
      <c r="A52" s="1">
        <v>46098</v>
      </c>
      <c r="B52" s="33">
        <v>62.34</v>
      </c>
      <c r="C52" s="33">
        <v>149.63999999999999</v>
      </c>
      <c r="D52" s="15">
        <v>-1.10075291858276E-2</v>
      </c>
      <c r="E52" s="15">
        <v>-9.1136503077524599E-3</v>
      </c>
      <c r="F52" s="33">
        <v>0.19481999999999999</v>
      </c>
      <c r="G52" s="33">
        <v>0.19481999999999999</v>
      </c>
      <c r="H52" s="33">
        <v>0</v>
      </c>
      <c r="I52" s="33">
        <v>0</v>
      </c>
      <c r="J52" s="33">
        <v>0.19481999999999999</v>
      </c>
      <c r="K52" s="33">
        <v>0</v>
      </c>
      <c r="L52" s="33">
        <v>62.534820000000003</v>
      </c>
      <c r="M52" s="33">
        <v>149.63999999999999</v>
      </c>
      <c r="N52" s="34">
        <v>2.4003849855630399</v>
      </c>
      <c r="O52" s="34">
        <v>2.3788372149221799</v>
      </c>
      <c r="P52" s="34">
        <v>2.3951025923518601</v>
      </c>
      <c r="Q52" s="34">
        <v>2.3948318781485498</v>
      </c>
      <c r="R52" s="33">
        <v>148.296711978248</v>
      </c>
      <c r="S52" s="33">
        <v>149.29646855703101</v>
      </c>
      <c r="T52" s="33">
        <v>149.27677575920299</v>
      </c>
      <c r="U52" s="15">
        <v>-9.0173320029622705E-3</v>
      </c>
      <c r="V52" s="15">
        <v>-2.2983585498992602E-3</v>
      </c>
      <c r="W52" s="15">
        <v>-2.4302712261458099E-3</v>
      </c>
      <c r="X52" s="34">
        <v>2.3929068637280699</v>
      </c>
      <c r="Y52" s="34">
        <v>2.3785236560114398</v>
      </c>
      <c r="Z52" s="34">
        <v>2.39435478016836</v>
      </c>
      <c r="AA52" s="34">
        <v>2.3944579720568102</v>
      </c>
      <c r="AB52" s="33">
        <v>148.74054869441699</v>
      </c>
      <c r="AC52" s="33">
        <v>149.76303798283001</v>
      </c>
      <c r="AD52" s="33">
        <v>149.743283642639</v>
      </c>
      <c r="AE52" s="15">
        <v>-6.0289052616298404E-3</v>
      </c>
      <c r="AF52" s="15">
        <v>8.2188871953453905E-4</v>
      </c>
      <c r="AG52" s="15">
        <v>6.8997604328786897E-4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2.6012559594189512E-3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2.6012559594189512E-3</v>
      </c>
      <c r="BH52" s="29"/>
    </row>
    <row r="53" spans="1:60" x14ac:dyDescent="0.25">
      <c r="A53" s="1">
        <v>46099</v>
      </c>
      <c r="B53" s="33">
        <v>61.39</v>
      </c>
      <c r="C53" s="33">
        <v>147.13999999999999</v>
      </c>
      <c r="D53" s="15">
        <v>-1.5356318899786E-2</v>
      </c>
      <c r="E53" s="15">
        <v>-1.6847894975827001E-2</v>
      </c>
      <c r="F53" s="33">
        <v>0</v>
      </c>
      <c r="G53" s="33">
        <v>0.19481999999999999</v>
      </c>
      <c r="H53" s="33">
        <v>0</v>
      </c>
      <c r="I53" s="33">
        <v>0</v>
      </c>
      <c r="J53" s="33">
        <v>0.19481999999999999</v>
      </c>
      <c r="K53" s="33">
        <v>0</v>
      </c>
      <c r="L53" s="33">
        <v>61.584820000000001</v>
      </c>
      <c r="M53" s="33">
        <v>147.13999999999999</v>
      </c>
      <c r="N53" s="34">
        <v>2.39680729760547</v>
      </c>
      <c r="O53" s="34">
        <v>2.3788372149221799</v>
      </c>
      <c r="P53" s="34">
        <v>2.3950489304164799</v>
      </c>
      <c r="Q53" s="34">
        <v>2.3949350012305302</v>
      </c>
      <c r="R53" s="33">
        <v>146.036816624072</v>
      </c>
      <c r="S53" s="33">
        <v>147.03534814448</v>
      </c>
      <c r="T53" s="33">
        <v>147.01872899954</v>
      </c>
      <c r="U53" s="15">
        <v>-7.5257559269213499E-3</v>
      </c>
      <c r="V53" s="15">
        <v>-7.1149306421406104E-4</v>
      </c>
      <c r="W53" s="15">
        <v>-8.24527680975875E-4</v>
      </c>
      <c r="X53" s="34">
        <v>2.3892251369736801</v>
      </c>
      <c r="Y53" s="34">
        <v>2.3785236560114398</v>
      </c>
      <c r="Z53" s="34">
        <v>2.39354290216981</v>
      </c>
      <c r="AA53" s="34">
        <v>2.3941819871071899</v>
      </c>
      <c r="AB53" s="33">
        <v>146.48095122120699</v>
      </c>
      <c r="AC53" s="33">
        <v>147.45590815280801</v>
      </c>
      <c r="AD53" s="33">
        <v>147.46226320668299</v>
      </c>
      <c r="AE53" s="15">
        <v>-4.4891202948915401E-3</v>
      </c>
      <c r="AF53" s="15">
        <v>2.14468881037304E-3</v>
      </c>
      <c r="AG53" s="15">
        <v>2.18778587588729E-3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2.6012559594189512E-3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2.6012559594189512E-3</v>
      </c>
      <c r="BH53" s="29"/>
    </row>
    <row r="54" spans="1:60" x14ac:dyDescent="0.25">
      <c r="A54" s="1">
        <v>46100</v>
      </c>
      <c r="B54" s="33">
        <v>61.18</v>
      </c>
      <c r="C54" s="33">
        <v>146.61000000000001</v>
      </c>
      <c r="D54" s="15">
        <v>-3.4266167166475498E-3</v>
      </c>
      <c r="E54" s="15">
        <v>-3.6085145539450701E-3</v>
      </c>
      <c r="F54" s="33">
        <v>0</v>
      </c>
      <c r="G54" s="33">
        <v>0.19481999999999999</v>
      </c>
      <c r="H54" s="33">
        <v>0</v>
      </c>
      <c r="I54" s="33">
        <v>0</v>
      </c>
      <c r="J54" s="33">
        <v>0.19481999999999999</v>
      </c>
      <c r="K54" s="33">
        <v>0</v>
      </c>
      <c r="L54" s="33">
        <v>61.37482</v>
      </c>
      <c r="M54" s="33">
        <v>146.61000000000001</v>
      </c>
      <c r="N54" s="34">
        <v>2.3963713631905801</v>
      </c>
      <c r="O54" s="34">
        <v>2.3788372149221799</v>
      </c>
      <c r="P54" s="34">
        <v>2.3952864711530202</v>
      </c>
      <c r="Q54" s="34">
        <v>2.3951278277195902</v>
      </c>
      <c r="R54" s="33">
        <v>145.53726080893901</v>
      </c>
      <c r="S54" s="33">
        <v>146.52909356288001</v>
      </c>
      <c r="T54" s="33">
        <v>146.522123375284</v>
      </c>
      <c r="U54" s="15">
        <v>-7.34385808962402E-3</v>
      </c>
      <c r="V54" s="15">
        <v>-5.5200033670261596E-4</v>
      </c>
      <c r="W54" s="15">
        <v>-5.9957009376247403E-4</v>
      </c>
      <c r="X54" s="34">
        <v>2.3887646432201302</v>
      </c>
      <c r="Y54" s="34">
        <v>2.3785236560114398</v>
      </c>
      <c r="Z54" s="34">
        <v>2.3930197709093002</v>
      </c>
      <c r="AA54" s="34">
        <v>2.39399447759773</v>
      </c>
      <c r="AB54" s="33">
        <v>145.981461253444</v>
      </c>
      <c r="AC54" s="33">
        <v>146.90326478294901</v>
      </c>
      <c r="AD54" s="33">
        <v>146.94248850594599</v>
      </c>
      <c r="AE54" s="15">
        <v>-4.2963640203223996E-3</v>
      </c>
      <c r="AF54" s="15">
        <v>1.9983075092451499E-3</v>
      </c>
      <c r="AG54" s="15">
        <v>2.26527562289366E-3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2.6012559594189512E-3</v>
      </c>
      <c r="AT54" s="12"/>
      <c r="AU54">
        <f t="shared" si="10"/>
        <v>0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2.6012559594189512E-3</v>
      </c>
      <c r="BH54" s="29"/>
    </row>
    <row r="55" spans="1:60" x14ac:dyDescent="0.25">
      <c r="A55" s="1">
        <v>46101</v>
      </c>
      <c r="B55" s="33">
        <v>60.62</v>
      </c>
      <c r="C55" s="33">
        <v>145.33000000000001</v>
      </c>
      <c r="D55" s="15">
        <v>-9.1954670931003804E-3</v>
      </c>
      <c r="E55" s="15">
        <v>-8.7689813120940905E-3</v>
      </c>
      <c r="F55" s="33">
        <v>0</v>
      </c>
      <c r="G55" s="33">
        <v>0.19481999999999999</v>
      </c>
      <c r="H55" s="33">
        <v>0</v>
      </c>
      <c r="I55" s="33">
        <v>0</v>
      </c>
      <c r="J55" s="33">
        <v>0.19481999999999999</v>
      </c>
      <c r="K55" s="33">
        <v>0</v>
      </c>
      <c r="L55" s="33">
        <v>60.814819999999997</v>
      </c>
      <c r="M55" s="33">
        <v>145.33000000000001</v>
      </c>
      <c r="N55" s="34">
        <v>2.3973935994721201</v>
      </c>
      <c r="O55" s="34">
        <v>2.3788372149221799</v>
      </c>
      <c r="P55" s="34">
        <v>2.3957216468031</v>
      </c>
      <c r="Q55" s="34">
        <v>2.39543361626288</v>
      </c>
      <c r="R55" s="33">
        <v>144.205111968582</v>
      </c>
      <c r="S55" s="33">
        <v>145.202265881296</v>
      </c>
      <c r="T55" s="33">
        <v>145.19264891636101</v>
      </c>
      <c r="U55" s="15">
        <v>-7.7703438706301399E-3</v>
      </c>
      <c r="V55" s="15">
        <v>-8.7931112605432401E-4</v>
      </c>
      <c r="W55" s="15">
        <v>-9.4554482677248499E-4</v>
      </c>
      <c r="X55" s="34">
        <v>2.3897135599513399</v>
      </c>
      <c r="Y55" s="34">
        <v>2.3785236560114398</v>
      </c>
      <c r="Z55" s="34">
        <v>2.3926869426073099</v>
      </c>
      <c r="AA55" s="34">
        <v>2.39391626416498</v>
      </c>
      <c r="AB55" s="33">
        <v>144.649488006078</v>
      </c>
      <c r="AC55" s="33">
        <v>145.53106662428999</v>
      </c>
      <c r="AD55" s="33">
        <v>145.59034323610001</v>
      </c>
      <c r="AE55" s="15">
        <v>-4.6935267584718599E-3</v>
      </c>
      <c r="AF55" s="15">
        <v>1.3825615002535901E-3</v>
      </c>
      <c r="AG55" s="15">
        <v>1.7897909970941101E-3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2.6012559594189512E-3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2.6012559594189512E-3</v>
      </c>
      <c r="BH55" s="29"/>
    </row>
    <row r="56" spans="1:60" x14ac:dyDescent="0.25">
      <c r="A56" s="1">
        <v>46104</v>
      </c>
      <c r="B56" s="33">
        <v>60.7</v>
      </c>
      <c r="C56" s="33">
        <v>144.77000000000001</v>
      </c>
      <c r="D56" s="15">
        <v>1.3188264357956499E-3</v>
      </c>
      <c r="E56" s="15">
        <v>-3.8607424721268601E-3</v>
      </c>
      <c r="F56" s="33">
        <v>0</v>
      </c>
      <c r="G56" s="33">
        <v>0.19481999999999999</v>
      </c>
      <c r="H56" s="33">
        <v>0.59467999999999999</v>
      </c>
      <c r="I56" s="33">
        <v>0.59467999999999999</v>
      </c>
      <c r="J56" s="33">
        <v>0</v>
      </c>
      <c r="K56" s="33">
        <v>0</v>
      </c>
      <c r="L56" s="33">
        <v>60.7</v>
      </c>
      <c r="M56" s="33">
        <v>144.77000000000001</v>
      </c>
      <c r="N56" s="34">
        <v>2.3850082372322898</v>
      </c>
      <c r="O56" s="34">
        <v>2.3788372149221799</v>
      </c>
      <c r="P56" s="34">
        <v>2.39487413848599</v>
      </c>
      <c r="Q56" s="34">
        <v>2.3949408257075802</v>
      </c>
      <c r="R56" s="33">
        <v>144.39541894577599</v>
      </c>
      <c r="S56" s="33">
        <v>145.42030396094799</v>
      </c>
      <c r="T56" s="33">
        <v>145.402820507157</v>
      </c>
      <c r="U56" s="15">
        <v>-2.5907749627076498E-3</v>
      </c>
      <c r="V56" s="15">
        <v>4.4819212817257797E-3</v>
      </c>
      <c r="W56" s="15">
        <v>4.3616870063761899E-3</v>
      </c>
      <c r="X56" s="34">
        <v>2.3850082372322898</v>
      </c>
      <c r="Y56" s="34">
        <v>2.3785236560114398</v>
      </c>
      <c r="Z56" s="34">
        <v>2.3918394342901901</v>
      </c>
      <c r="AA56" s="34">
        <v>2.3934234736096802</v>
      </c>
      <c r="AB56" s="33">
        <v>144.37638591989401</v>
      </c>
      <c r="AC56" s="33">
        <v>145.23609741626299</v>
      </c>
      <c r="AD56" s="33">
        <v>145.31071723481401</v>
      </c>
      <c r="AE56" s="15">
        <v>-2.72259549080888E-3</v>
      </c>
      <c r="AF56" s="15">
        <v>3.2144001228975902E-3</v>
      </c>
      <c r="AG56" s="15">
        <v>3.7280510488665198E-3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2.6012559594189512E-3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2.6012559594189512E-3</v>
      </c>
      <c r="BH56" s="29"/>
    </row>
    <row r="57" spans="1:60" x14ac:dyDescent="0.25">
      <c r="A57" s="1">
        <v>46105</v>
      </c>
      <c r="B57" s="33">
        <v>60.62</v>
      </c>
      <c r="C57" s="33">
        <v>144.79</v>
      </c>
      <c r="D57" s="15">
        <v>-1.31882643579555E-3</v>
      </c>
      <c r="E57" s="15">
        <v>1.38140627378074E-4</v>
      </c>
      <c r="F57" s="33">
        <v>0</v>
      </c>
      <c r="G57" s="33">
        <v>0.19481999999999999</v>
      </c>
      <c r="H57" s="33">
        <v>0</v>
      </c>
      <c r="I57" s="33">
        <v>0.59467999999999999</v>
      </c>
      <c r="J57" s="33">
        <v>0</v>
      </c>
      <c r="K57" s="33">
        <v>0</v>
      </c>
      <c r="L57" s="33">
        <v>60.62</v>
      </c>
      <c r="M57" s="33">
        <v>144.79</v>
      </c>
      <c r="N57" s="34">
        <v>2.3884856483008901</v>
      </c>
      <c r="O57" s="34">
        <v>2.3788372149221799</v>
      </c>
      <c r="P57" s="34">
        <v>2.3946126330584701</v>
      </c>
      <c r="Q57" s="34">
        <v>2.3948028542601598</v>
      </c>
      <c r="R57" s="33">
        <v>144.205111968582</v>
      </c>
      <c r="S57" s="33">
        <v>145.17727027502099</v>
      </c>
      <c r="T57" s="33">
        <v>145.18131285439301</v>
      </c>
      <c r="U57" s="15">
        <v>-4.0477420258812902E-3</v>
      </c>
      <c r="V57" s="15">
        <v>2.6711325379352E-3</v>
      </c>
      <c r="W57" s="15">
        <v>2.6989779649869202E-3</v>
      </c>
      <c r="X57" s="34">
        <v>2.3884856483008901</v>
      </c>
      <c r="Y57" s="34">
        <v>2.3785236560114398</v>
      </c>
      <c r="Z57" s="34">
        <v>2.3915779288626702</v>
      </c>
      <c r="AA57" s="34">
        <v>2.3932855021622599</v>
      </c>
      <c r="AB57" s="33">
        <v>144.18610402741399</v>
      </c>
      <c r="AC57" s="33">
        <v>144.99330650667099</v>
      </c>
      <c r="AD57" s="33">
        <v>145.08933097021799</v>
      </c>
      <c r="AE57" s="15">
        <v>-4.1795625539823899E-3</v>
      </c>
      <c r="AF57" s="15">
        <v>1.4031625387925001E-3</v>
      </c>
      <c r="AG57" s="15">
        <v>2.0652115872269198E-3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2.6012559594189512E-3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2.6012559594189512E-3</v>
      </c>
      <c r="BH57" s="29"/>
    </row>
    <row r="58" spans="1:60" x14ac:dyDescent="0.25">
      <c r="A58" s="1">
        <v>46106</v>
      </c>
      <c r="B58" s="33">
        <v>61.34</v>
      </c>
      <c r="C58" s="33">
        <v>146.24</v>
      </c>
      <c r="D58" s="15">
        <v>1.1807287056448301E-2</v>
      </c>
      <c r="E58" s="15">
        <v>9.9646909125096599E-3</v>
      </c>
      <c r="F58" s="33">
        <v>0</v>
      </c>
      <c r="G58" s="33">
        <v>0.19481999999999999</v>
      </c>
      <c r="H58" s="33">
        <v>0</v>
      </c>
      <c r="I58" s="33">
        <v>0.59467999999999999</v>
      </c>
      <c r="J58" s="33">
        <v>0</v>
      </c>
      <c r="K58" s="33">
        <v>0</v>
      </c>
      <c r="L58" s="33">
        <v>61.34</v>
      </c>
      <c r="M58" s="33">
        <v>146.24</v>
      </c>
      <c r="N58" s="34">
        <v>2.38408868601238</v>
      </c>
      <c r="O58" s="34">
        <v>2.3788372149221799</v>
      </c>
      <c r="P58" s="34">
        <v>2.39374473271794</v>
      </c>
      <c r="Q58" s="34">
        <v>2.3943303094888901</v>
      </c>
      <c r="R58" s="33">
        <v>145.91787476332601</v>
      </c>
      <c r="S58" s="33">
        <v>146.88553891180601</v>
      </c>
      <c r="T58" s="33">
        <v>146.897207080318</v>
      </c>
      <c r="U58" s="15">
        <v>-2.2051458819424799E-3</v>
      </c>
      <c r="V58" s="15">
        <v>4.4045289115203796E-3</v>
      </c>
      <c r="W58" s="15">
        <v>4.4839629060397599E-3</v>
      </c>
      <c r="X58" s="34">
        <v>2.38408868601238</v>
      </c>
      <c r="Y58" s="34">
        <v>2.3785236560114398</v>
      </c>
      <c r="Z58" s="34">
        <v>2.3907100285221499</v>
      </c>
      <c r="AA58" s="34">
        <v>2.3928129573909902</v>
      </c>
      <c r="AB58" s="33">
        <v>145.898641059742</v>
      </c>
      <c r="AC58" s="33">
        <v>146.69939015643601</v>
      </c>
      <c r="AD58" s="33">
        <v>146.80413270263301</v>
      </c>
      <c r="AE58" s="15">
        <v>-2.3369664100437401E-3</v>
      </c>
      <c r="AF58" s="15">
        <v>3.1364203549506201E-3</v>
      </c>
      <c r="AG58" s="15">
        <v>3.85016000361084E-3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2.6012559594189512E-3</v>
      </c>
      <c r="AT58" s="12"/>
      <c r="AU58">
        <f t="shared" si="10"/>
        <v>0</v>
      </c>
      <c r="AV58">
        <f t="shared" si="11"/>
        <v>0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2.6012559594189512E-3</v>
      </c>
      <c r="BH58" s="29"/>
    </row>
    <row r="59" spans="1:60" x14ac:dyDescent="0.25">
      <c r="A59" s="1">
        <v>46107</v>
      </c>
      <c r="B59" s="33">
        <v>61.14</v>
      </c>
      <c r="C59" s="33">
        <v>145.74</v>
      </c>
      <c r="D59" s="15">
        <v>-3.26584222341711E-3</v>
      </c>
      <c r="E59" s="15">
        <v>-3.4248954637037502E-3</v>
      </c>
      <c r="F59" s="33">
        <v>0</v>
      </c>
      <c r="G59" s="33">
        <v>0.19481999999999999</v>
      </c>
      <c r="H59" s="33">
        <v>0</v>
      </c>
      <c r="I59" s="33">
        <v>0.59467999999999999</v>
      </c>
      <c r="J59" s="33">
        <v>0</v>
      </c>
      <c r="K59" s="33">
        <v>0</v>
      </c>
      <c r="L59" s="33">
        <v>61.14</v>
      </c>
      <c r="M59" s="33">
        <v>145.74</v>
      </c>
      <c r="N59" s="34">
        <v>2.3837095191364002</v>
      </c>
      <c r="O59" s="34">
        <v>2.3788372149221799</v>
      </c>
      <c r="P59" s="34">
        <v>2.3924349184703702</v>
      </c>
      <c r="Q59" s="34">
        <v>2.3938411617570998</v>
      </c>
      <c r="R59" s="33">
        <v>145.44210732034199</v>
      </c>
      <c r="S59" s="33">
        <v>146.35355295837499</v>
      </c>
      <c r="T59" s="33">
        <v>146.38935512215099</v>
      </c>
      <c r="U59" s="15">
        <v>-2.0460926416559101E-3</v>
      </c>
      <c r="V59" s="15">
        <v>4.2010777338059102E-3</v>
      </c>
      <c r="W59" s="15">
        <v>4.4456757272399797E-3</v>
      </c>
      <c r="X59" s="34">
        <v>2.3837095191364002</v>
      </c>
      <c r="Y59" s="34">
        <v>2.3785236560114398</v>
      </c>
      <c r="Z59" s="34">
        <v>2.3894002142745698</v>
      </c>
      <c r="AA59" s="34">
        <v>2.3923238096591999</v>
      </c>
      <c r="AB59" s="33">
        <v>145.42293632853901</v>
      </c>
      <c r="AC59" s="33">
        <v>146.16801114384401</v>
      </c>
      <c r="AD59" s="33">
        <v>146.296584214885</v>
      </c>
      <c r="AE59" s="15">
        <v>-2.1779131697569499E-3</v>
      </c>
      <c r="AF59" s="15">
        <v>2.9325091071974599E-3</v>
      </c>
      <c r="AG59" s="15">
        <v>3.81174769788197E-3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2.6012559594189512E-3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2.6012559594189512E-3</v>
      </c>
      <c r="BH59" s="29"/>
    </row>
    <row r="60" spans="1:60" x14ac:dyDescent="0.25">
      <c r="A60" s="1">
        <v>46108</v>
      </c>
      <c r="B60" s="33">
        <v>60.06</v>
      </c>
      <c r="C60" s="33">
        <v>143.26</v>
      </c>
      <c r="D60" s="15">
        <v>-1.7822253907504099E-2</v>
      </c>
      <c r="E60" s="15">
        <v>-1.7163051055831002E-2</v>
      </c>
      <c r="F60" s="33">
        <v>0</v>
      </c>
      <c r="G60" s="33">
        <v>0.19481999999999999</v>
      </c>
      <c r="H60" s="33">
        <v>0</v>
      </c>
      <c r="I60" s="33">
        <v>0.59467999999999999</v>
      </c>
      <c r="J60" s="33">
        <v>0</v>
      </c>
      <c r="K60" s="33">
        <v>0</v>
      </c>
      <c r="L60" s="33">
        <v>60.06</v>
      </c>
      <c r="M60" s="33">
        <v>143.26</v>
      </c>
      <c r="N60" s="34">
        <v>2.3852813852813801</v>
      </c>
      <c r="O60" s="34">
        <v>2.3788372149221799</v>
      </c>
      <c r="P60" s="34">
        <v>2.3913373971040901</v>
      </c>
      <c r="Q60" s="34">
        <v>2.3932668109134498</v>
      </c>
      <c r="R60" s="33">
        <v>142.87296312822599</v>
      </c>
      <c r="S60" s="33">
        <v>143.68964120333001</v>
      </c>
      <c r="T60" s="33">
        <v>143.774100175131</v>
      </c>
      <c r="U60" s="15">
        <v>-2.7052954933288998E-3</v>
      </c>
      <c r="V60" s="15">
        <v>2.99454303262913E-3</v>
      </c>
      <c r="W60" s="15">
        <v>3.5821578311159802E-3</v>
      </c>
      <c r="X60" s="34">
        <v>2.3852813852813801</v>
      </c>
      <c r="Y60" s="34">
        <v>2.3785236560114398</v>
      </c>
      <c r="Z60" s="34">
        <v>2.3883026929083</v>
      </c>
      <c r="AA60" s="34">
        <v>2.3917494588155499</v>
      </c>
      <c r="AB60" s="33">
        <v>142.854130780047</v>
      </c>
      <c r="AC60" s="33">
        <v>143.50737686933101</v>
      </c>
      <c r="AD60" s="33">
        <v>143.68296800813101</v>
      </c>
      <c r="AE60" s="15">
        <v>-2.83711602142998E-3</v>
      </c>
      <c r="AF60" s="15">
        <v>1.72527944700989E-3</v>
      </c>
      <c r="AG60" s="15">
        <v>2.9481002264174299E-3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2.6012559594189512E-3</v>
      </c>
      <c r="AT60" s="12"/>
      <c r="AU60">
        <f t="shared" si="10"/>
        <v>0</v>
      </c>
      <c r="AV60">
        <f t="shared" si="11"/>
        <v>0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2.6012559594189512E-3</v>
      </c>
      <c r="BH60" s="29"/>
    </row>
    <row r="61" spans="1:60" x14ac:dyDescent="0.25">
      <c r="A61" s="1">
        <v>46111</v>
      </c>
      <c r="B61" s="33">
        <v>60.35</v>
      </c>
      <c r="C61" s="33">
        <v>143.82</v>
      </c>
      <c r="D61" s="15">
        <v>4.8168849883562896E-3</v>
      </c>
      <c r="E61" s="15">
        <v>3.9013564880429302E-3</v>
      </c>
      <c r="F61" s="33">
        <v>0</v>
      </c>
      <c r="G61" s="33">
        <v>0.19481999999999999</v>
      </c>
      <c r="H61" s="33">
        <v>0</v>
      </c>
      <c r="I61" s="33">
        <v>0.59467999999999999</v>
      </c>
      <c r="J61" s="33">
        <v>0</v>
      </c>
      <c r="K61" s="33">
        <v>0</v>
      </c>
      <c r="L61" s="33">
        <v>60.35</v>
      </c>
      <c r="M61" s="33">
        <v>143.82</v>
      </c>
      <c r="N61" s="34">
        <v>2.3830985915492899</v>
      </c>
      <c r="O61" s="34">
        <v>2.3788372149221799</v>
      </c>
      <c r="P61" s="34">
        <v>2.3900629313343802</v>
      </c>
      <c r="Q61" s="34">
        <v>2.39246865332384</v>
      </c>
      <c r="R61" s="33">
        <v>143.562825920553</v>
      </c>
      <c r="S61" s="33">
        <v>144.31721191523201</v>
      </c>
      <c r="T61" s="33">
        <v>144.43365203862601</v>
      </c>
      <c r="U61" s="15">
        <v>-1.78976699301542E-3</v>
      </c>
      <c r="V61" s="15">
        <v>3.4512196841782099E-3</v>
      </c>
      <c r="W61" s="15">
        <v>4.25772899197266E-3</v>
      </c>
      <c r="X61" s="34">
        <v>2.3830985915492899</v>
      </c>
      <c r="Y61" s="34">
        <v>2.3785236560114398</v>
      </c>
      <c r="Z61" s="34">
        <v>2.3870282271385901</v>
      </c>
      <c r="AA61" s="34">
        <v>2.39095130122594</v>
      </c>
      <c r="AB61" s="33">
        <v>143.54390264029001</v>
      </c>
      <c r="AC61" s="33">
        <v>144.13406751701501</v>
      </c>
      <c r="AD61" s="33">
        <v>144.34207983951799</v>
      </c>
      <c r="AE61" s="15">
        <v>-1.92158752111676E-3</v>
      </c>
      <c r="AF61" s="15">
        <v>2.1813731909538598E-3</v>
      </c>
      <c r="AG61" s="15">
        <v>3.6235191739800001E-3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2.6012559594189512E-3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2.6012559594189512E-3</v>
      </c>
      <c r="BH61" s="29"/>
    </row>
    <row r="62" spans="1:60" x14ac:dyDescent="0.25">
      <c r="A62" s="1">
        <v>46112</v>
      </c>
      <c r="B62" s="33">
        <v>61.64</v>
      </c>
      <c r="C62" s="33">
        <v>146.61000000000001</v>
      </c>
      <c r="D62" s="15">
        <v>2.1150062908374401E-2</v>
      </c>
      <c r="E62" s="15">
        <v>1.9213482275825301E-2</v>
      </c>
      <c r="F62" s="33">
        <v>0</v>
      </c>
      <c r="G62" s="33">
        <v>0.19481999999999999</v>
      </c>
      <c r="H62" s="33">
        <v>0</v>
      </c>
      <c r="I62" s="33">
        <v>0.59467999999999999</v>
      </c>
      <c r="J62" s="33">
        <v>0</v>
      </c>
      <c r="K62" s="33">
        <v>0</v>
      </c>
      <c r="L62" s="33">
        <v>61.64</v>
      </c>
      <c r="M62" s="33">
        <v>146.61000000000001</v>
      </c>
      <c r="N62" s="34">
        <v>2.3784879948085602</v>
      </c>
      <c r="O62" s="34">
        <v>2.3788372149221799</v>
      </c>
      <c r="P62" s="34">
        <v>2.38787323225894</v>
      </c>
      <c r="Q62" s="34">
        <v>2.3914879123053998</v>
      </c>
      <c r="R62" s="33">
        <v>146.63152592780301</v>
      </c>
      <c r="S62" s="33">
        <v>147.32347908745101</v>
      </c>
      <c r="T62" s="33">
        <v>147.47176779088201</v>
      </c>
      <c r="U62" s="15">
        <v>1.46813639533583E-4</v>
      </c>
      <c r="V62" s="15">
        <v>4.8547072007580402E-3</v>
      </c>
      <c r="W62" s="15">
        <v>5.8607527018836704E-3</v>
      </c>
      <c r="X62" s="34">
        <v>2.3784879948085602</v>
      </c>
      <c r="Y62" s="34">
        <v>2.3785236560114398</v>
      </c>
      <c r="Z62" s="34">
        <v>2.38558634024663</v>
      </c>
      <c r="AA62" s="34">
        <v>2.3899705602074999</v>
      </c>
      <c r="AB62" s="33">
        <v>146.61219815654499</v>
      </c>
      <c r="AC62" s="33">
        <v>147.13641992082199</v>
      </c>
      <c r="AD62" s="33">
        <v>147.37823820756699</v>
      </c>
      <c r="AE62" s="15">
        <v>1.4993111432549699E-5</v>
      </c>
      <c r="AF62" s="15">
        <v>3.5841831503048401E-3</v>
      </c>
      <c r="AG62" s="15">
        <v>5.2263312364008701E-3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2.6012559594189512E-3</v>
      </c>
      <c r="AT62" s="12"/>
      <c r="AU62">
        <f t="shared" si="10"/>
        <v>1</v>
      </c>
      <c r="AV62">
        <f t="shared" si="11"/>
        <v>0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2.6012559594189512E-3</v>
      </c>
      <c r="BH62" s="29"/>
    </row>
    <row r="63" spans="1:60" x14ac:dyDescent="0.25">
      <c r="A63" s="1">
        <v>46113</v>
      </c>
      <c r="B63" s="33">
        <v>62.12</v>
      </c>
      <c r="C63" s="33">
        <v>147.72999999999999</v>
      </c>
      <c r="D63" s="15">
        <v>7.75698782857115E-3</v>
      </c>
      <c r="E63" s="15">
        <v>7.61028338334348E-3</v>
      </c>
      <c r="F63" s="33">
        <v>0</v>
      </c>
      <c r="G63" s="33">
        <v>0.19481999999999999</v>
      </c>
      <c r="H63" s="33">
        <v>0</v>
      </c>
      <c r="I63" s="33">
        <v>0.59467999999999999</v>
      </c>
      <c r="J63" s="33">
        <v>0</v>
      </c>
      <c r="K63" s="33">
        <v>0</v>
      </c>
      <c r="L63" s="33">
        <v>62.12</v>
      </c>
      <c r="M63" s="33">
        <v>147.72999999999999</v>
      </c>
      <c r="N63" s="34">
        <v>2.3781390856406901</v>
      </c>
      <c r="O63" s="34">
        <v>2.3788372149221799</v>
      </c>
      <c r="P63" s="34">
        <v>2.3860064110624601</v>
      </c>
      <c r="Q63" s="34">
        <v>2.3905276707394698</v>
      </c>
      <c r="R63" s="33">
        <v>147.77336779096501</v>
      </c>
      <c r="S63" s="33">
        <v>148.334685187925</v>
      </c>
      <c r="T63" s="33">
        <v>148.559229112411</v>
      </c>
      <c r="U63" s="15">
        <v>2.9351808476142899E-4</v>
      </c>
      <c r="V63" s="15">
        <v>4.0848237495483596E-3</v>
      </c>
      <c r="W63" s="15">
        <v>5.59744463185116E-3</v>
      </c>
      <c r="X63" s="34">
        <v>2.3781390856406901</v>
      </c>
      <c r="Y63" s="34">
        <v>2.3785236560114398</v>
      </c>
      <c r="Z63" s="34">
        <v>2.3844777351133399</v>
      </c>
      <c r="AA63" s="34">
        <v>2.3890103186415699</v>
      </c>
      <c r="AB63" s="33">
        <v>147.753889511431</v>
      </c>
      <c r="AC63" s="33">
        <v>148.192623456121</v>
      </c>
      <c r="AD63" s="33">
        <v>148.46497120008999</v>
      </c>
      <c r="AE63" s="15">
        <v>1.6169755666046399E-4</v>
      </c>
      <c r="AF63" s="15">
        <v>3.1266540394963901E-3</v>
      </c>
      <c r="AG63" s="15">
        <v>4.9627629097126801E-3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2.6012559594189512E-3</v>
      </c>
      <c r="AT63" s="12"/>
      <c r="AU63">
        <f t="shared" si="10"/>
        <v>1</v>
      </c>
      <c r="AV63">
        <f t="shared" si="11"/>
        <v>0</v>
      </c>
      <c r="AW63">
        <f t="shared" si="18"/>
        <v>1</v>
      </c>
      <c r="AX63">
        <f t="shared" si="5"/>
        <v>1</v>
      </c>
      <c r="AY63">
        <f t="shared" si="19"/>
        <v>1</v>
      </c>
      <c r="AZ63" s="28">
        <f t="shared" si="12"/>
        <v>-7.75698782857115E-3</v>
      </c>
      <c r="BA63" s="28">
        <f t="shared" si="13"/>
        <v>7.61028338334348E-3</v>
      </c>
      <c r="BB63" s="28">
        <f t="shared" si="20"/>
        <v>-1.4670444522766994E-4</v>
      </c>
      <c r="BC63" s="29">
        <f t="shared" si="21"/>
        <v>-1.4670444522766994E-4</v>
      </c>
      <c r="BE63" s="29">
        <f t="shared" si="22"/>
        <v>-1.4670444522766994E-4</v>
      </c>
      <c r="BF63" s="29">
        <f t="shared" si="23"/>
        <v>2.4545515141912813E-3</v>
      </c>
      <c r="BH63" s="29"/>
    </row>
    <row r="64" spans="1:60" x14ac:dyDescent="0.25">
      <c r="A64" s="1">
        <v>46114</v>
      </c>
      <c r="B64" s="33">
        <v>61.65</v>
      </c>
      <c r="C64" s="33">
        <v>146.81</v>
      </c>
      <c r="D64" s="15">
        <v>-7.5947686701330298E-3</v>
      </c>
      <c r="E64" s="15">
        <v>-6.24704958214772E-3</v>
      </c>
      <c r="F64" s="33">
        <v>0</v>
      </c>
      <c r="G64" s="33">
        <v>0.19481999999999999</v>
      </c>
      <c r="H64" s="33">
        <v>0</v>
      </c>
      <c r="I64" s="33">
        <v>0.59467999999999999</v>
      </c>
      <c r="J64" s="33">
        <v>0</v>
      </c>
      <c r="K64" s="33">
        <v>0</v>
      </c>
      <c r="L64" s="33">
        <v>61.65</v>
      </c>
      <c r="M64" s="33">
        <v>146.81</v>
      </c>
      <c r="N64" s="34">
        <v>2.38134630981346</v>
      </c>
      <c r="O64" s="34">
        <v>2.3788372149221799</v>
      </c>
      <c r="P64" s="34">
        <v>2.3845039057247499</v>
      </c>
      <c r="Q64" s="34">
        <v>2.3898951884388899</v>
      </c>
      <c r="R64" s="33">
        <v>146.65531429995201</v>
      </c>
      <c r="S64" s="33">
        <v>147.097295242</v>
      </c>
      <c r="T64" s="33">
        <v>147.376030901088</v>
      </c>
      <c r="U64" s="15">
        <v>-1.0542010032238199E-3</v>
      </c>
      <c r="V64" s="15">
        <v>1.9550064809994001E-3</v>
      </c>
      <c r="W64" s="15">
        <v>3.84812016966414E-3</v>
      </c>
      <c r="X64" s="34">
        <v>2.38134630981346</v>
      </c>
      <c r="Y64" s="34">
        <v>2.3785236560114398</v>
      </c>
      <c r="Z64" s="34">
        <v>2.38373590177267</v>
      </c>
      <c r="AA64" s="34">
        <v>2.38837783634099</v>
      </c>
      <c r="AB64" s="33">
        <v>146.63598339310499</v>
      </c>
      <c r="AC64" s="33">
        <v>147.00305236973699</v>
      </c>
      <c r="AD64" s="33">
        <v>147.282486144253</v>
      </c>
      <c r="AE64" s="15">
        <v>-1.18602153132483E-3</v>
      </c>
      <c r="AF64" s="15">
        <v>1.3141172317720801E-3</v>
      </c>
      <c r="AG64" s="15">
        <v>3.21318342379196E-3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2.6012559594189512E-3</v>
      </c>
      <c r="AT64" s="12"/>
      <c r="AU64">
        <f t="shared" si="10"/>
        <v>0</v>
      </c>
      <c r="AV64">
        <f t="shared" si="11"/>
        <v>0</v>
      </c>
      <c r="AW64">
        <f t="shared" si="18"/>
        <v>1</v>
      </c>
      <c r="AX64">
        <f t="shared" si="5"/>
        <v>1</v>
      </c>
      <c r="AY64">
        <f t="shared" si="19"/>
        <v>1</v>
      </c>
      <c r="AZ64" s="28">
        <f t="shared" si="12"/>
        <v>7.5947686701330298E-3</v>
      </c>
      <c r="BA64" s="28">
        <f t="shared" si="13"/>
        <v>-6.24704958214772E-3</v>
      </c>
      <c r="BB64" s="28">
        <f t="shared" si="20"/>
        <v>1.3477190879853098E-3</v>
      </c>
      <c r="BC64" s="29">
        <f t="shared" si="21"/>
        <v>1.2010146427576399E-3</v>
      </c>
      <c r="BE64" s="29">
        <f t="shared" si="22"/>
        <v>1.3477190879853098E-3</v>
      </c>
      <c r="BF64" s="29">
        <f t="shared" si="23"/>
        <v>3.8022706021765911E-3</v>
      </c>
      <c r="BH64" s="29"/>
    </row>
    <row r="65" spans="1:60" x14ac:dyDescent="0.25">
      <c r="A65" s="1">
        <v>46118</v>
      </c>
      <c r="B65" s="33">
        <v>61.5</v>
      </c>
      <c r="C65" s="33">
        <v>146.28</v>
      </c>
      <c r="D65" s="15">
        <v>-2.4360547978811101E-3</v>
      </c>
      <c r="E65" s="15">
        <v>-3.6166404701885499E-3</v>
      </c>
      <c r="F65" s="33">
        <v>0</v>
      </c>
      <c r="G65" s="33">
        <v>0.19481999999999999</v>
      </c>
      <c r="H65" s="33">
        <v>0</v>
      </c>
      <c r="I65" s="33">
        <v>0.59467999999999999</v>
      </c>
      <c r="J65" s="33">
        <v>0</v>
      </c>
      <c r="K65" s="33">
        <v>0</v>
      </c>
      <c r="L65" s="33">
        <v>61.5</v>
      </c>
      <c r="M65" s="33">
        <v>146.28</v>
      </c>
      <c r="N65" s="34">
        <v>2.37853658536585</v>
      </c>
      <c r="O65" s="34">
        <v>2.3788372149221799</v>
      </c>
      <c r="P65" s="34">
        <v>2.3826182043141202</v>
      </c>
      <c r="Q65" s="34">
        <v>2.3891699255586101</v>
      </c>
      <c r="R65" s="33">
        <v>146.29848871771401</v>
      </c>
      <c r="S65" s="33">
        <v>146.646990202072</v>
      </c>
      <c r="T65" s="33">
        <v>146.97855408899099</v>
      </c>
      <c r="U65" s="15">
        <v>1.26384669083722E-4</v>
      </c>
      <c r="V65" s="15">
        <v>2.5056782499214502E-3</v>
      </c>
      <c r="W65" s="15">
        <v>4.7640923034175699E-3</v>
      </c>
      <c r="X65" s="34">
        <v>2.37853658536585</v>
      </c>
      <c r="Y65" s="34">
        <v>2.3785236560114398</v>
      </c>
      <c r="Z65" s="34">
        <v>2.3826182043141202</v>
      </c>
      <c r="AA65" s="34">
        <v>2.3876525734607101</v>
      </c>
      <c r="AB65" s="33">
        <v>146.279204844704</v>
      </c>
      <c r="AC65" s="33">
        <v>146.599757959019</v>
      </c>
      <c r="AD65" s="33">
        <v>146.88523693497001</v>
      </c>
      <c r="AE65" s="15">
        <v>-5.43585901765035E-6</v>
      </c>
      <c r="AF65" s="15">
        <v>2.1835451401261401E-3</v>
      </c>
      <c r="AG65" s="15">
        <v>4.1289874690840197E-3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2.6012559594189512E-3</v>
      </c>
      <c r="AT65" s="12"/>
      <c r="AU65">
        <f t="shared" si="10"/>
        <v>1</v>
      </c>
      <c r="AV65">
        <f t="shared" si="11"/>
        <v>0</v>
      </c>
      <c r="AW65">
        <f t="shared" si="18"/>
        <v>1</v>
      </c>
      <c r="AX65">
        <f t="shared" si="5"/>
        <v>1</v>
      </c>
      <c r="AY65">
        <f t="shared" si="19"/>
        <v>1</v>
      </c>
      <c r="AZ65" s="28">
        <f t="shared" si="12"/>
        <v>2.4360547978811101E-3</v>
      </c>
      <c r="BA65" s="28">
        <f t="shared" si="13"/>
        <v>-3.6166404701885499E-3</v>
      </c>
      <c r="BB65" s="28">
        <f t="shared" si="20"/>
        <v>-1.1805856723074398E-3</v>
      </c>
      <c r="BC65" s="29">
        <f t="shared" si="21"/>
        <v>2.0428970450200087E-5</v>
      </c>
      <c r="BE65" s="29">
        <f t="shared" si="22"/>
        <v>-1.1805856723074398E-3</v>
      </c>
      <c r="BF65" s="29">
        <f t="shared" si="23"/>
        <v>2.6216849298691513E-3</v>
      </c>
      <c r="BH65" s="29"/>
    </row>
    <row r="66" spans="1:60" x14ac:dyDescent="0.25">
      <c r="A66" s="1">
        <v>46119</v>
      </c>
      <c r="B66" s="33">
        <v>61.53</v>
      </c>
      <c r="C66" s="33">
        <v>146.57</v>
      </c>
      <c r="D66" s="15">
        <v>4.87685939926748E-4</v>
      </c>
      <c r="E66" s="15">
        <v>1.9805367580287602E-3</v>
      </c>
      <c r="F66" s="33">
        <v>0</v>
      </c>
      <c r="G66" s="33">
        <v>0.19481999999999999</v>
      </c>
      <c r="H66" s="33">
        <v>0</v>
      </c>
      <c r="I66" s="33">
        <v>0.59467999999999999</v>
      </c>
      <c r="J66" s="33">
        <v>0</v>
      </c>
      <c r="K66" s="33">
        <v>0</v>
      </c>
      <c r="L66" s="33">
        <v>61.53</v>
      </c>
      <c r="M66" s="33">
        <v>146.57</v>
      </c>
      <c r="N66" s="34">
        <v>2.3820900373801299</v>
      </c>
      <c r="O66" s="34">
        <v>2.3788372149221799</v>
      </c>
      <c r="P66" s="34">
        <v>2.3823263843289002</v>
      </c>
      <c r="Q66" s="34">
        <v>2.3886002614074502</v>
      </c>
      <c r="R66" s="33">
        <v>146.36985383416101</v>
      </c>
      <c r="S66" s="33">
        <v>146.602498111448</v>
      </c>
      <c r="T66" s="33">
        <v>147.00562551962099</v>
      </c>
      <c r="U66" s="15">
        <v>-1.36646614901852E-3</v>
      </c>
      <c r="V66" s="15">
        <v>2.2169959181363901E-4</v>
      </c>
      <c r="W66" s="15">
        <v>2.9677248482575199E-3</v>
      </c>
      <c r="X66" s="34">
        <v>2.3820900373801299</v>
      </c>
      <c r="Y66" s="34">
        <v>2.3785236560114398</v>
      </c>
      <c r="Z66" s="34">
        <v>2.3823263843289002</v>
      </c>
      <c r="AA66" s="34">
        <v>2.3870829093095498</v>
      </c>
      <c r="AB66" s="33">
        <v>146.350560554384</v>
      </c>
      <c r="AC66" s="33">
        <v>146.602498111448</v>
      </c>
      <c r="AD66" s="33">
        <v>146.91226284503699</v>
      </c>
      <c r="AE66" s="15">
        <v>-1.4982866771195401E-3</v>
      </c>
      <c r="AF66" s="15">
        <v>2.2169959181363901E-4</v>
      </c>
      <c r="AG66" s="15">
        <v>2.3324271585297802E-3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2.6012559594189512E-3</v>
      </c>
      <c r="AT66" s="12"/>
      <c r="AU66">
        <f t="shared" si="10"/>
        <v>0</v>
      </c>
      <c r="AV66">
        <f t="shared" si="11"/>
        <v>0</v>
      </c>
      <c r="AW66">
        <f t="shared" si="18"/>
        <v>1</v>
      </c>
      <c r="AX66">
        <f t="shared" si="5"/>
        <v>1</v>
      </c>
      <c r="AY66">
        <f t="shared" si="19"/>
        <v>1</v>
      </c>
      <c r="AZ66" s="28">
        <f t="shared" si="12"/>
        <v>-4.87685939926748E-4</v>
      </c>
      <c r="BA66" s="28">
        <f t="shared" si="13"/>
        <v>1.9805367580287602E-3</v>
      </c>
      <c r="BB66" s="28">
        <f t="shared" si="20"/>
        <v>1.4928508181020121E-3</v>
      </c>
      <c r="BC66" s="29">
        <f t="shared" si="21"/>
        <v>1.5132797885522122E-3</v>
      </c>
      <c r="BE66" s="29">
        <f t="shared" si="22"/>
        <v>1.4928508181020121E-3</v>
      </c>
      <c r="BF66" s="29">
        <f t="shared" si="23"/>
        <v>4.1145357479711632E-3</v>
      </c>
      <c r="BH66" s="29"/>
    </row>
    <row r="67" spans="1:60" x14ac:dyDescent="0.25">
      <c r="A67" s="1">
        <v>46120</v>
      </c>
      <c r="B67" s="33">
        <v>62.81</v>
      </c>
      <c r="C67" s="33">
        <v>149.66999999999999</v>
      </c>
      <c r="D67" s="15">
        <v>2.0589435713890498E-2</v>
      </c>
      <c r="E67" s="15">
        <v>2.0929740501846299E-2</v>
      </c>
      <c r="F67" s="33">
        <v>0</v>
      </c>
      <c r="G67" s="33">
        <v>0.19481999999999999</v>
      </c>
      <c r="H67" s="33">
        <v>0</v>
      </c>
      <c r="I67" s="33">
        <v>0.59467999999999999</v>
      </c>
      <c r="J67" s="33">
        <v>0</v>
      </c>
      <c r="K67" s="33">
        <v>0</v>
      </c>
      <c r="L67" s="33">
        <v>62.81</v>
      </c>
      <c r="M67" s="33">
        <v>149.66999999999999</v>
      </c>
      <c r="N67" s="34">
        <v>2.3829008119726098</v>
      </c>
      <c r="O67" s="34">
        <v>2.3788372149221799</v>
      </c>
      <c r="P67" s="34">
        <v>2.3817679006960799</v>
      </c>
      <c r="Q67" s="34">
        <v>2.3881902668772699</v>
      </c>
      <c r="R67" s="33">
        <v>149.41476546926199</v>
      </c>
      <c r="S67" s="33">
        <v>149.633920199698</v>
      </c>
      <c r="T67" s="33">
        <v>150.027982419002</v>
      </c>
      <c r="U67" s="15">
        <v>-1.7067709369741799E-3</v>
      </c>
      <c r="V67" s="15">
        <v>-2.41091399350315E-4</v>
      </c>
      <c r="W67" s="15">
        <v>2.38895561702756E-3</v>
      </c>
      <c r="X67" s="34">
        <v>2.3829008119726098</v>
      </c>
      <c r="Y67" s="34">
        <v>2.3785236560114398</v>
      </c>
      <c r="Z67" s="34">
        <v>2.3817679006960799</v>
      </c>
      <c r="AA67" s="34">
        <v>2.3866729147793699</v>
      </c>
      <c r="AB67" s="33">
        <v>149.39507083407901</v>
      </c>
      <c r="AC67" s="33">
        <v>149.633920199698</v>
      </c>
      <c r="AD67" s="33">
        <v>149.932677533733</v>
      </c>
      <c r="AE67" s="15">
        <v>-1.8385914650754999E-3</v>
      </c>
      <c r="AF67" s="15">
        <v>-2.41091399350315E-4</v>
      </c>
      <c r="AG67" s="15">
        <v>1.7535063651756601E-3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2.6012559594189512E-3</v>
      </c>
      <c r="AT67" s="12"/>
      <c r="AU67">
        <f t="shared" si="10"/>
        <v>0</v>
      </c>
      <c r="AV67">
        <f t="shared" si="11"/>
        <v>0</v>
      </c>
      <c r="AW67">
        <f t="shared" si="18"/>
        <v>1</v>
      </c>
      <c r="AX67">
        <f t="shared" si="5"/>
        <v>1</v>
      </c>
      <c r="AY67">
        <f t="shared" si="19"/>
        <v>1</v>
      </c>
      <c r="AZ67" s="28">
        <f t="shared" si="12"/>
        <v>-2.0589435713890498E-2</v>
      </c>
      <c r="BA67" s="28">
        <f t="shared" si="13"/>
        <v>2.0929740501846299E-2</v>
      </c>
      <c r="BB67" s="28">
        <f t="shared" si="20"/>
        <v>3.4030478795580091E-4</v>
      </c>
      <c r="BC67" s="29">
        <f t="shared" si="21"/>
        <v>1.8535845765080131E-3</v>
      </c>
      <c r="BE67" s="29">
        <f t="shared" si="22"/>
        <v>3.4030478795580091E-4</v>
      </c>
      <c r="BF67" s="29">
        <f t="shared" si="23"/>
        <v>4.4548405359269641E-3</v>
      </c>
      <c r="BH67" s="29"/>
    </row>
    <row r="68" spans="1:60" x14ac:dyDescent="0.25">
      <c r="A68" s="1">
        <v>46121</v>
      </c>
      <c r="B68" s="33">
        <v>62.61</v>
      </c>
      <c r="C68" s="33">
        <v>149.33000000000001</v>
      </c>
      <c r="D68" s="15">
        <v>-3.18928670907039E-3</v>
      </c>
      <c r="E68" s="15">
        <v>-2.27424847187824E-3</v>
      </c>
      <c r="F68" s="33">
        <v>0</v>
      </c>
      <c r="G68" s="33">
        <v>0.19481999999999999</v>
      </c>
      <c r="H68" s="33">
        <v>0</v>
      </c>
      <c r="I68" s="33">
        <v>0.59467999999999999</v>
      </c>
      <c r="J68" s="33">
        <v>0</v>
      </c>
      <c r="K68" s="33">
        <v>0</v>
      </c>
      <c r="L68" s="33">
        <v>62.61</v>
      </c>
      <c r="M68" s="33">
        <v>149.33000000000001</v>
      </c>
      <c r="N68" s="34">
        <v>2.38508225523079</v>
      </c>
      <c r="O68" s="34">
        <v>2.3788372149221799</v>
      </c>
      <c r="P68" s="34">
        <v>2.3818672576179201</v>
      </c>
      <c r="Q68" s="34">
        <v>2.38780599516793</v>
      </c>
      <c r="R68" s="33">
        <v>148.93899802627701</v>
      </c>
      <c r="S68" s="33">
        <v>149.12248826258099</v>
      </c>
      <c r="T68" s="33">
        <v>149.52459260918599</v>
      </c>
      <c r="U68" s="15">
        <v>-2.6218091741663598E-3</v>
      </c>
      <c r="V68" s="15">
        <v>-1.3905849608802101E-3</v>
      </c>
      <c r="W68" s="15">
        <v>1.3022562911802599E-3</v>
      </c>
      <c r="X68" s="34">
        <v>2.38508225523079</v>
      </c>
      <c r="Y68" s="34">
        <v>2.3785236560114398</v>
      </c>
      <c r="Z68" s="34">
        <v>2.3818672576179201</v>
      </c>
      <c r="AA68" s="34">
        <v>2.3862886430700301</v>
      </c>
      <c r="AB68" s="33">
        <v>148.91936610287601</v>
      </c>
      <c r="AC68" s="33">
        <v>149.12248826258099</v>
      </c>
      <c r="AD68" s="33">
        <v>149.42959119433601</v>
      </c>
      <c r="AE68" s="15">
        <v>-2.7536297022675098E-3</v>
      </c>
      <c r="AF68" s="15">
        <v>-1.3905849608802101E-3</v>
      </c>
      <c r="AG68" s="15">
        <v>6.6669791338028704E-4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2.6012559594189512E-3</v>
      </c>
      <c r="AT68" s="12"/>
      <c r="AU68">
        <f t="shared" si="10"/>
        <v>0</v>
      </c>
      <c r="AV68">
        <f t="shared" si="11"/>
        <v>1</v>
      </c>
      <c r="AW68">
        <f t="shared" si="18"/>
        <v>1</v>
      </c>
      <c r="AX68">
        <f t="shared" si="5"/>
        <v>1</v>
      </c>
      <c r="AY68">
        <f t="shared" si="19"/>
        <v>1</v>
      </c>
      <c r="AZ68" s="28">
        <f t="shared" si="12"/>
        <v>3.18928670907039E-3</v>
      </c>
      <c r="BA68" s="28">
        <f t="shared" si="13"/>
        <v>-2.27424847187824E-3</v>
      </c>
      <c r="BB68" s="28">
        <f t="shared" si="20"/>
        <v>9.1503823719215E-4</v>
      </c>
      <c r="BC68" s="29">
        <f t="shared" si="21"/>
        <v>2.7686228137001629E-3</v>
      </c>
      <c r="BE68" s="29">
        <f t="shared" si="22"/>
        <v>9.1503823719215E-4</v>
      </c>
      <c r="BF68" s="29">
        <f t="shared" si="23"/>
        <v>5.3698787731191137E-3</v>
      </c>
      <c r="BH68" s="29"/>
    </row>
    <row r="69" spans="1:60" x14ac:dyDescent="0.25">
      <c r="A69" s="1">
        <v>46122</v>
      </c>
      <c r="B69" s="33">
        <v>61.79</v>
      </c>
      <c r="C69" s="33">
        <v>147.31</v>
      </c>
      <c r="D69" s="15">
        <v>-1.31834706843308E-2</v>
      </c>
      <c r="E69" s="15">
        <v>-1.3619412242330301E-2</v>
      </c>
      <c r="F69" s="33">
        <v>0</v>
      </c>
      <c r="G69" s="33">
        <v>0.19481999999999999</v>
      </c>
      <c r="H69" s="33">
        <v>0</v>
      </c>
      <c r="I69" s="33">
        <v>0.59467999999999999</v>
      </c>
      <c r="J69" s="33">
        <v>0</v>
      </c>
      <c r="K69" s="33">
        <v>0</v>
      </c>
      <c r="L69" s="33">
        <v>61.79</v>
      </c>
      <c r="M69" s="33">
        <v>147.31</v>
      </c>
      <c r="N69" s="34">
        <v>2.3840427253600902</v>
      </c>
      <c r="O69" s="34">
        <v>2.3788372149221799</v>
      </c>
      <c r="P69" s="34">
        <v>2.3819005782402898</v>
      </c>
      <c r="Q69" s="34">
        <v>2.38716774835533</v>
      </c>
      <c r="R69" s="33">
        <v>146.98835151004101</v>
      </c>
      <c r="S69" s="33">
        <v>147.17557784821099</v>
      </c>
      <c r="T69" s="33">
        <v>147.542532441426</v>
      </c>
      <c r="U69" s="15">
        <v>-2.1858676161668699E-3</v>
      </c>
      <c r="V69" s="15">
        <v>-9.1292865414243003E-4</v>
      </c>
      <c r="W69" s="15">
        <v>1.57727992165687E-3</v>
      </c>
      <c r="X69" s="34">
        <v>2.3840427253600902</v>
      </c>
      <c r="Y69" s="34">
        <v>2.3785236560114398</v>
      </c>
      <c r="Z69" s="34">
        <v>2.3819005782402898</v>
      </c>
      <c r="AA69" s="34">
        <v>2.38565039625743</v>
      </c>
      <c r="AB69" s="33">
        <v>146.96897670494701</v>
      </c>
      <c r="AC69" s="33">
        <v>147.17557784821099</v>
      </c>
      <c r="AD69" s="33">
        <v>147.44877525529699</v>
      </c>
      <c r="AE69" s="15">
        <v>-2.3176881442681201E-3</v>
      </c>
      <c r="AF69" s="15">
        <v>-9.1292865414243003E-4</v>
      </c>
      <c r="AG69" s="15">
        <v>9.4161923037617797E-4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2.6012559594189512E-3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2.7686228137001629E-3</v>
      </c>
      <c r="BE69" s="29">
        <f t="shared" si="22"/>
        <v>0</v>
      </c>
      <c r="BF69" s="29">
        <f t="shared" si="23"/>
        <v>5.3698787731191137E-3</v>
      </c>
      <c r="BH69" s="29"/>
    </row>
    <row r="70" spans="1:60" x14ac:dyDescent="0.25">
      <c r="A70" s="1">
        <v>46125</v>
      </c>
      <c r="B70" s="33">
        <v>62.22</v>
      </c>
      <c r="C70" s="33">
        <v>147.97</v>
      </c>
      <c r="D70" s="15">
        <v>6.9349523966028403E-3</v>
      </c>
      <c r="E70" s="15">
        <v>4.4703406875958402E-3</v>
      </c>
      <c r="F70" s="33">
        <v>0</v>
      </c>
      <c r="G70" s="33">
        <v>0.19481999999999999</v>
      </c>
      <c r="H70" s="33">
        <v>0</v>
      </c>
      <c r="I70" s="33">
        <v>0.59467999999999999</v>
      </c>
      <c r="J70" s="33">
        <v>0</v>
      </c>
      <c r="K70" s="33">
        <v>0</v>
      </c>
      <c r="L70" s="33">
        <v>62.22</v>
      </c>
      <c r="M70" s="33">
        <v>147.97</v>
      </c>
      <c r="N70" s="34">
        <v>2.3781742205078702</v>
      </c>
      <c r="O70" s="34">
        <v>2.3788372149221799</v>
      </c>
      <c r="P70" s="34">
        <v>2.3811898617629299</v>
      </c>
      <c r="Q70" s="34">
        <v>2.3862636294335098</v>
      </c>
      <c r="R70" s="33">
        <v>148.01125151245799</v>
      </c>
      <c r="S70" s="33">
        <v>148.20185397810999</v>
      </c>
      <c r="T70" s="33">
        <v>148.529577302668</v>
      </c>
      <c r="U70" s="15">
        <v>2.78744092839812E-4</v>
      </c>
      <c r="V70" s="15">
        <v>1.56567224305181E-3</v>
      </c>
      <c r="W70" s="15">
        <v>3.7745616511978401E-3</v>
      </c>
      <c r="X70" s="34">
        <v>2.3781742205078702</v>
      </c>
      <c r="Y70" s="34">
        <v>2.3785236560114398</v>
      </c>
      <c r="Z70" s="34">
        <v>2.3811898617629299</v>
      </c>
      <c r="AA70" s="34">
        <v>2.3847462773356098</v>
      </c>
      <c r="AB70" s="33">
        <v>147.99174187703201</v>
      </c>
      <c r="AC70" s="33">
        <v>148.20185397810999</v>
      </c>
      <c r="AD70" s="33">
        <v>148.43516765513701</v>
      </c>
      <c r="AE70" s="15">
        <v>1.4692356473874801E-4</v>
      </c>
      <c r="AF70" s="15">
        <v>1.56567224305181E-3</v>
      </c>
      <c r="AG70" s="15">
        <v>3.13873095199925E-3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2.6012559594189512E-3</v>
      </c>
      <c r="AT70" s="12"/>
      <c r="AU70">
        <f t="shared" si="10"/>
        <v>0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2.7686228137001629E-3</v>
      </c>
      <c r="BE70" s="29">
        <f t="shared" si="22"/>
        <v>0</v>
      </c>
      <c r="BF70" s="29">
        <f t="shared" si="23"/>
        <v>5.3698787731191137E-3</v>
      </c>
      <c r="BH70" s="29"/>
    </row>
    <row r="71" spans="1:60" x14ac:dyDescent="0.25">
      <c r="A71" s="1">
        <v>46126</v>
      </c>
      <c r="B71" s="33">
        <v>62.64</v>
      </c>
      <c r="C71" s="33">
        <v>148.83000000000001</v>
      </c>
      <c r="D71" s="15">
        <v>6.7275602130567498E-3</v>
      </c>
      <c r="E71" s="15">
        <v>5.7951644666243999E-3</v>
      </c>
      <c r="F71" s="33">
        <v>0</v>
      </c>
      <c r="G71" s="33">
        <v>0.19481999999999999</v>
      </c>
      <c r="H71" s="33">
        <v>0</v>
      </c>
      <c r="I71" s="33">
        <v>0.59467999999999999</v>
      </c>
      <c r="J71" s="33">
        <v>0</v>
      </c>
      <c r="K71" s="33">
        <v>0</v>
      </c>
      <c r="L71" s="33">
        <v>62.64</v>
      </c>
      <c r="M71" s="33">
        <v>148.83000000000001</v>
      </c>
      <c r="N71" s="34">
        <v>2.3759578544061299</v>
      </c>
      <c r="O71" s="34">
        <v>2.3788372149221799</v>
      </c>
      <c r="P71" s="34">
        <v>2.3804757880486198</v>
      </c>
      <c r="Q71" s="34">
        <v>2.3852693596914998</v>
      </c>
      <c r="R71" s="33">
        <v>149.010363142725</v>
      </c>
      <c r="S71" s="33">
        <v>149.15773294082999</v>
      </c>
      <c r="T71" s="33">
        <v>149.475553747715</v>
      </c>
      <c r="U71" s="15">
        <v>1.2111398392721899E-3</v>
      </c>
      <c r="V71" s="15">
        <v>2.1996413727411899E-3</v>
      </c>
      <c r="W71" s="15">
        <v>4.3281443966375699E-3</v>
      </c>
      <c r="X71" s="34">
        <v>2.3759578544061299</v>
      </c>
      <c r="Y71" s="34">
        <v>2.3785236560114398</v>
      </c>
      <c r="Z71" s="34">
        <v>2.3804757880486198</v>
      </c>
      <c r="AA71" s="34">
        <v>2.3837520075935998</v>
      </c>
      <c r="AB71" s="33">
        <v>148.99072181255701</v>
      </c>
      <c r="AC71" s="33">
        <v>149.15773294082999</v>
      </c>
      <c r="AD71" s="33">
        <v>149.380506812303</v>
      </c>
      <c r="AE71" s="15">
        <v>1.0793193111711501E-3</v>
      </c>
      <c r="AF71" s="15">
        <v>2.1996413727411899E-3</v>
      </c>
      <c r="AG71" s="15">
        <v>3.6920727142442998E-3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2.6012559594189512E-3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2.7686228137001629E-3</v>
      </c>
      <c r="BE71" s="29">
        <f t="shared" si="22"/>
        <v>0</v>
      </c>
      <c r="BF71" s="29">
        <f t="shared" si="23"/>
        <v>5.3698787731191137E-3</v>
      </c>
      <c r="BH71" s="29"/>
    </row>
    <row r="72" spans="1:60" x14ac:dyDescent="0.25">
      <c r="A72" s="1">
        <v>46127</v>
      </c>
      <c r="B72" s="33">
        <v>62.29</v>
      </c>
      <c r="C72" s="33">
        <v>147.77000000000001</v>
      </c>
      <c r="D72" s="15">
        <v>-5.6031524164935299E-3</v>
      </c>
      <c r="E72" s="15">
        <v>-7.1477040655246399E-3</v>
      </c>
      <c r="F72" s="33">
        <v>0</v>
      </c>
      <c r="G72" s="33">
        <v>0.19481999999999999</v>
      </c>
      <c r="H72" s="33">
        <v>0</v>
      </c>
      <c r="I72" s="33">
        <v>0.59467999999999999</v>
      </c>
      <c r="J72" s="33">
        <v>0</v>
      </c>
      <c r="K72" s="33">
        <v>0</v>
      </c>
      <c r="L72" s="33">
        <v>62.29</v>
      </c>
      <c r="M72" s="33">
        <v>147.77000000000001</v>
      </c>
      <c r="N72" s="34">
        <v>2.3722908974153101</v>
      </c>
      <c r="O72" s="34">
        <v>2.3788372149221799</v>
      </c>
      <c r="P72" s="34">
        <v>2.3798560783092899</v>
      </c>
      <c r="Q72" s="34">
        <v>2.3838646552841101</v>
      </c>
      <c r="R72" s="33">
        <v>148.17777011750201</v>
      </c>
      <c r="S72" s="33">
        <v>148.279836837548</v>
      </c>
      <c r="T72" s="33">
        <v>148.578428415183</v>
      </c>
      <c r="U72" s="15">
        <v>2.7556914883033702E-3</v>
      </c>
      <c r="V72" s="15">
        <v>3.4442669991638598E-3</v>
      </c>
      <c r="W72" s="15">
        <v>5.4559453876852201E-3</v>
      </c>
      <c r="X72" s="34">
        <v>2.3722908974153101</v>
      </c>
      <c r="Y72" s="34">
        <v>2.3785236560114398</v>
      </c>
      <c r="Z72" s="34">
        <v>2.3798560783092899</v>
      </c>
      <c r="AA72" s="34">
        <v>2.3827212092779599</v>
      </c>
      <c r="AB72" s="33">
        <v>148.15823853295299</v>
      </c>
      <c r="AC72" s="33">
        <v>148.279836837548</v>
      </c>
      <c r="AD72" s="33">
        <v>148.48391255300501</v>
      </c>
      <c r="AE72" s="15">
        <v>2.6238709602023598E-3</v>
      </c>
      <c r="AF72" s="15">
        <v>3.4442669991638598E-3</v>
      </c>
      <c r="AG72" s="15">
        <v>4.81960848237883E-3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2.6012559594189512E-3</v>
      </c>
      <c r="AT72" s="12"/>
      <c r="AU72">
        <f t="shared" si="10"/>
        <v>1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2.7686228137001629E-3</v>
      </c>
      <c r="BE72" s="29">
        <f t="shared" si="22"/>
        <v>0</v>
      </c>
      <c r="BF72" s="29">
        <f t="shared" si="23"/>
        <v>5.3698787731191137E-3</v>
      </c>
      <c r="BH72" s="29"/>
    </row>
    <row r="73" spans="1:60" x14ac:dyDescent="0.25">
      <c r="A73" s="1">
        <v>46128</v>
      </c>
      <c r="B73" s="33">
        <v>61.73</v>
      </c>
      <c r="C73" s="33">
        <v>146.61000000000001</v>
      </c>
      <c r="D73" s="15">
        <v>-9.0308628602496898E-3</v>
      </c>
      <c r="E73" s="15">
        <v>-7.8810109653693304E-3</v>
      </c>
      <c r="F73" s="33">
        <v>0</v>
      </c>
      <c r="G73" s="33">
        <v>0.19481999999999999</v>
      </c>
      <c r="H73" s="33">
        <v>0</v>
      </c>
      <c r="I73" s="33">
        <v>0.59467999999999999</v>
      </c>
      <c r="J73" s="33">
        <v>0</v>
      </c>
      <c r="K73" s="33">
        <v>0</v>
      </c>
      <c r="L73" s="33">
        <v>61.73</v>
      </c>
      <c r="M73" s="33">
        <v>146.61000000000001</v>
      </c>
      <c r="N73" s="34">
        <v>2.37502024947351</v>
      </c>
      <c r="O73" s="34">
        <v>2.3788372149221799</v>
      </c>
      <c r="P73" s="34">
        <v>2.3795441946925702</v>
      </c>
      <c r="Q73" s="34">
        <v>2.38277530287752</v>
      </c>
      <c r="R73" s="33">
        <v>146.84562127714599</v>
      </c>
      <c r="S73" s="33">
        <v>146.90851571403201</v>
      </c>
      <c r="T73" s="33">
        <v>147.15596517068801</v>
      </c>
      <c r="U73" s="15">
        <v>1.6058395934232801E-3</v>
      </c>
      <c r="V73" s="15">
        <v>2.0340510119373702E-3</v>
      </c>
      <c r="W73" s="15">
        <v>3.7170119347710402E-3</v>
      </c>
      <c r="X73" s="34">
        <v>2.37502024947351</v>
      </c>
      <c r="Y73" s="34">
        <v>2.3785236560114398</v>
      </c>
      <c r="Z73" s="34">
        <v>2.3795441946925702</v>
      </c>
      <c r="AA73" s="34">
        <v>2.3820109649029502</v>
      </c>
      <c r="AB73" s="33">
        <v>146.826265285586</v>
      </c>
      <c r="AC73" s="33">
        <v>146.90851571403201</v>
      </c>
      <c r="AD73" s="33">
        <v>147.085380248728</v>
      </c>
      <c r="AE73" s="15">
        <v>1.4740190653219E-3</v>
      </c>
      <c r="AF73" s="15">
        <v>2.0340510119373702E-3</v>
      </c>
      <c r="AG73" s="15">
        <v>3.2372362376266702E-3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2.6012559594189512E-3</v>
      </c>
      <c r="AT73" s="12"/>
      <c r="AU73">
        <f t="shared" si="10"/>
        <v>0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28">
        <f t="shared" si="12"/>
        <v>9.0308628602496898E-3</v>
      </c>
      <c r="BA73" s="28">
        <f t="shared" si="13"/>
        <v>-7.8810109653693304E-3</v>
      </c>
      <c r="BB73" s="28">
        <f t="shared" si="20"/>
        <v>1.1498518948803594E-3</v>
      </c>
      <c r="BC73" s="29">
        <f t="shared" si="21"/>
        <v>3.9184747085805223E-3</v>
      </c>
      <c r="BE73" s="29">
        <f t="shared" si="22"/>
        <v>1.1498518948803594E-3</v>
      </c>
      <c r="BF73" s="29">
        <f t="shared" si="23"/>
        <v>6.5197306679994731E-3</v>
      </c>
      <c r="BH73" s="29"/>
    </row>
    <row r="74" spans="1:60" x14ac:dyDescent="0.25">
      <c r="A74" s="1">
        <v>46129</v>
      </c>
      <c r="B74" s="33">
        <v>62.65</v>
      </c>
      <c r="C74" s="33">
        <v>148.80000000000001</v>
      </c>
      <c r="D74" s="15">
        <v>1.47936449362728E-2</v>
      </c>
      <c r="E74" s="15">
        <v>1.48271224488183E-2</v>
      </c>
      <c r="F74" s="33">
        <v>0</v>
      </c>
      <c r="G74" s="33">
        <v>0.19481999999999999</v>
      </c>
      <c r="H74" s="33">
        <v>0</v>
      </c>
      <c r="I74" s="33">
        <v>0.59467999999999999</v>
      </c>
      <c r="J74" s="33">
        <v>0</v>
      </c>
      <c r="K74" s="33">
        <v>0</v>
      </c>
      <c r="L74" s="33">
        <v>62.65</v>
      </c>
      <c r="M74" s="33">
        <v>148.80000000000001</v>
      </c>
      <c r="N74" s="34">
        <v>2.3750997605746198</v>
      </c>
      <c r="O74" s="34">
        <v>2.3788372149221799</v>
      </c>
      <c r="P74" s="34">
        <v>2.37891953976869</v>
      </c>
      <c r="Q74" s="34">
        <v>2.3817117227467199</v>
      </c>
      <c r="R74" s="33">
        <v>149.034151514874</v>
      </c>
      <c r="S74" s="33">
        <v>149.07844379749</v>
      </c>
      <c r="T74" s="33">
        <v>149.280872725276</v>
      </c>
      <c r="U74" s="15">
        <v>1.5723620808775901E-3</v>
      </c>
      <c r="V74" s="15">
        <v>1.8695134501104699E-3</v>
      </c>
      <c r="W74" s="15">
        <v>3.2264609133701699E-3</v>
      </c>
      <c r="X74" s="34">
        <v>2.3750997605746198</v>
      </c>
      <c r="Y74" s="34">
        <v>2.3785236560114398</v>
      </c>
      <c r="Z74" s="34">
        <v>2.37891953976869</v>
      </c>
      <c r="AA74" s="34">
        <v>2.3813277207706798</v>
      </c>
      <c r="AB74" s="33">
        <v>149.01450704911699</v>
      </c>
      <c r="AC74" s="33">
        <v>149.07844379749</v>
      </c>
      <c r="AD74" s="33">
        <v>149.23298695117001</v>
      </c>
      <c r="AE74" s="15">
        <v>1.44054155277639E-3</v>
      </c>
      <c r="AF74" s="15">
        <v>1.8695134501104699E-3</v>
      </c>
      <c r="AG74" s="15">
        <v>2.9056330994193099E-3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2.6012559594189512E-3</v>
      </c>
      <c r="AT74" s="12"/>
      <c r="AU74">
        <f t="shared" si="10"/>
        <v>0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28">
        <f t="shared" si="12"/>
        <v>-1.47936449362728E-2</v>
      </c>
      <c r="BA74" s="28">
        <f t="shared" si="13"/>
        <v>1.48271224488183E-2</v>
      </c>
      <c r="BB74" s="28">
        <f t="shared" si="20"/>
        <v>3.3477512545499605E-5</v>
      </c>
      <c r="BC74" s="29">
        <f t="shared" si="21"/>
        <v>3.9519522211260219E-3</v>
      </c>
      <c r="BE74" s="29">
        <f t="shared" si="22"/>
        <v>3.3477512545499605E-5</v>
      </c>
      <c r="BF74" s="29">
        <f t="shared" si="23"/>
        <v>6.5532081805449727E-3</v>
      </c>
      <c r="BH74" s="29"/>
    </row>
    <row r="75" spans="1:60" x14ac:dyDescent="0.25">
      <c r="A75" s="1">
        <v>46132</v>
      </c>
      <c r="B75" s="33">
        <v>62.08</v>
      </c>
      <c r="C75" s="33">
        <v>147.41999999999999</v>
      </c>
      <c r="D75" s="15">
        <v>-9.1398054671140098E-3</v>
      </c>
      <c r="E75" s="15">
        <v>-9.3174666378488501E-3</v>
      </c>
      <c r="F75" s="33">
        <v>0</v>
      </c>
      <c r="G75" s="33">
        <v>0.19481999999999999</v>
      </c>
      <c r="H75" s="33">
        <v>0</v>
      </c>
      <c r="I75" s="33">
        <v>0.59467999999999999</v>
      </c>
      <c r="J75" s="33">
        <v>0</v>
      </c>
      <c r="K75" s="33">
        <v>0</v>
      </c>
      <c r="L75" s="33">
        <v>62.08</v>
      </c>
      <c r="M75" s="33">
        <v>147.41999999999999</v>
      </c>
      <c r="N75" s="34">
        <v>2.3746778350515401</v>
      </c>
      <c r="O75" s="34">
        <v>2.3788372149221799</v>
      </c>
      <c r="P75" s="34">
        <v>2.3785336647372599</v>
      </c>
      <c r="Q75" s="34">
        <v>2.3805759345256901</v>
      </c>
      <c r="R75" s="33">
        <v>147.67821430236901</v>
      </c>
      <c r="S75" s="33">
        <v>147.68332502883999</v>
      </c>
      <c r="T75" s="33">
        <v>147.85666374811601</v>
      </c>
      <c r="U75" s="15">
        <v>1.7500232516125299E-3</v>
      </c>
      <c r="V75" s="15">
        <v>1.7846298323042999E-3</v>
      </c>
      <c r="W75" s="15">
        <v>2.95766052686105E-3</v>
      </c>
      <c r="X75" s="34">
        <v>2.3746778350515401</v>
      </c>
      <c r="Y75" s="34">
        <v>2.3785236560114398</v>
      </c>
      <c r="Z75" s="34">
        <v>2.3785336647372599</v>
      </c>
      <c r="AA75" s="34">
        <v>2.3805759345256901</v>
      </c>
      <c r="AB75" s="33">
        <v>147.65874856519</v>
      </c>
      <c r="AC75" s="33">
        <v>147.68332502883999</v>
      </c>
      <c r="AD75" s="33">
        <v>147.832824905444</v>
      </c>
      <c r="AE75" s="15">
        <v>1.61820272351145E-3</v>
      </c>
      <c r="AF75" s="15">
        <v>1.7846298323042999E-3</v>
      </c>
      <c r="AG75" s="15">
        <v>2.7964181179225001E-3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2.6012559594189512E-3</v>
      </c>
      <c r="AT75" s="12"/>
      <c r="AU75">
        <f t="shared" si="10"/>
        <v>0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28">
        <f t="shared" si="12"/>
        <v>9.1398054671140098E-3</v>
      </c>
      <c r="BA75" s="28">
        <f t="shared" si="13"/>
        <v>-9.3174666378488501E-3</v>
      </c>
      <c r="BB75" s="28">
        <f t="shared" si="20"/>
        <v>-1.7766117073484029E-4</v>
      </c>
      <c r="BC75" s="29">
        <f t="shared" si="21"/>
        <v>3.7742910503911816E-3</v>
      </c>
      <c r="BE75" s="29">
        <f t="shared" si="22"/>
        <v>-1.7766117073484029E-4</v>
      </c>
      <c r="BF75" s="29">
        <f t="shared" si="23"/>
        <v>6.3755470098101324E-3</v>
      </c>
      <c r="BH75" s="29"/>
    </row>
    <row r="76" spans="1:60" x14ac:dyDescent="0.25">
      <c r="A76" s="1">
        <v>46133</v>
      </c>
      <c r="B76" s="33">
        <v>61.44</v>
      </c>
      <c r="C76" s="33">
        <v>145.91999999999999</v>
      </c>
      <c r="D76" s="15">
        <v>-1.03627870355465E-2</v>
      </c>
      <c r="E76" s="15">
        <v>-1.0227129435121499E-2</v>
      </c>
      <c r="F76" s="33">
        <v>0</v>
      </c>
      <c r="G76" s="33">
        <v>0.19481999999999999</v>
      </c>
      <c r="H76" s="33">
        <v>0</v>
      </c>
      <c r="I76" s="33">
        <v>0.59467999999999999</v>
      </c>
      <c r="J76" s="33">
        <v>0</v>
      </c>
      <c r="K76" s="33">
        <v>0</v>
      </c>
      <c r="L76" s="33">
        <v>61.44</v>
      </c>
      <c r="M76" s="33">
        <v>145.91999999999999</v>
      </c>
      <c r="N76" s="34">
        <v>2.375</v>
      </c>
      <c r="O76" s="34">
        <v>2.3788372149221799</v>
      </c>
      <c r="P76" s="34">
        <v>2.3778246609992499</v>
      </c>
      <c r="Q76" s="34">
        <v>2.38007552266407</v>
      </c>
      <c r="R76" s="33">
        <v>146.15575848481799</v>
      </c>
      <c r="S76" s="33">
        <v>146.137108361457</v>
      </c>
      <c r="T76" s="33">
        <v>146.26258541725801</v>
      </c>
      <c r="U76" s="15">
        <v>1.6143656511873601E-3</v>
      </c>
      <c r="V76" s="15">
        <v>1.4867530714630199E-3</v>
      </c>
      <c r="W76" s="15">
        <v>2.3450102186015598E-3</v>
      </c>
      <c r="X76" s="34">
        <v>2.375</v>
      </c>
      <c r="Y76" s="34">
        <v>2.3785236560114398</v>
      </c>
      <c r="Z76" s="34">
        <v>2.3778246609992499</v>
      </c>
      <c r="AA76" s="34">
        <v>2.38007552266407</v>
      </c>
      <c r="AB76" s="33">
        <v>146.13649342534299</v>
      </c>
      <c r="AC76" s="33">
        <v>146.137108361457</v>
      </c>
      <c r="AD76" s="33">
        <v>146.26258541725801</v>
      </c>
      <c r="AE76" s="15">
        <v>1.48254512308627E-3</v>
      </c>
      <c r="AF76" s="15">
        <v>1.4867530714630199E-3</v>
      </c>
      <c r="AG76" s="15">
        <v>2.3450102186017801E-3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2.6012559594189512E-3</v>
      </c>
      <c r="AT76" s="12"/>
      <c r="AU76">
        <f t="shared" si="10"/>
        <v>0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28">
        <f t="shared" si="12"/>
        <v>1.03627870355465E-2</v>
      </c>
      <c r="BA76" s="28">
        <f t="shared" si="13"/>
        <v>-1.0227129435121499E-2</v>
      </c>
      <c r="BB76" s="28">
        <f t="shared" si="20"/>
        <v>1.3565760042500048E-4</v>
      </c>
      <c r="BC76" s="29">
        <f t="shared" si="21"/>
        <v>3.9099486508161821E-3</v>
      </c>
      <c r="BE76" s="29">
        <f t="shared" si="22"/>
        <v>1.3565760042500048E-4</v>
      </c>
      <c r="BF76" s="29">
        <f t="shared" si="23"/>
        <v>6.5112046102351329E-3</v>
      </c>
      <c r="BH76" s="29"/>
    </row>
    <row r="77" spans="1:60" x14ac:dyDescent="0.25">
      <c r="A77" s="1">
        <v>46134</v>
      </c>
      <c r="B77" s="33">
        <v>61.7</v>
      </c>
      <c r="C77" s="33">
        <v>146.38</v>
      </c>
      <c r="D77" s="15">
        <v>4.2228420719255498E-3</v>
      </c>
      <c r="E77" s="15">
        <v>3.1474538470598898E-3</v>
      </c>
      <c r="F77" s="33">
        <v>0</v>
      </c>
      <c r="G77" s="33">
        <v>0.19481999999999999</v>
      </c>
      <c r="H77" s="33">
        <v>0</v>
      </c>
      <c r="I77" s="33">
        <v>0.59467999999999999</v>
      </c>
      <c r="J77" s="33">
        <v>0</v>
      </c>
      <c r="K77" s="33">
        <v>0</v>
      </c>
      <c r="L77" s="33">
        <v>61.7</v>
      </c>
      <c r="M77" s="33">
        <v>146.38</v>
      </c>
      <c r="N77" s="34">
        <v>2.37244732576985</v>
      </c>
      <c r="O77" s="34">
        <v>2.3788372149221799</v>
      </c>
      <c r="P77" s="34">
        <v>2.3767793123789702</v>
      </c>
      <c r="Q77" s="34">
        <v>2.3792736065375202</v>
      </c>
      <c r="R77" s="33">
        <v>146.774256160698</v>
      </c>
      <c r="S77" s="33">
        <v>146.71178158365299</v>
      </c>
      <c r="T77" s="33">
        <v>146.850659748373</v>
      </c>
      <c r="U77" s="15">
        <v>2.6897538760532001E-3</v>
      </c>
      <c r="V77" s="15">
        <v>2.2640124781406899E-3</v>
      </c>
      <c r="W77" s="15">
        <v>3.2101701299865602E-3</v>
      </c>
      <c r="X77" s="34">
        <v>2.37244732576985</v>
      </c>
      <c r="Y77" s="34">
        <v>2.3785236560114398</v>
      </c>
      <c r="Z77" s="34">
        <v>2.3767793123789702</v>
      </c>
      <c r="AA77" s="34">
        <v>2.3792736065375202</v>
      </c>
      <c r="AB77" s="33">
        <v>146.754909575906</v>
      </c>
      <c r="AC77" s="33">
        <v>146.71178158365299</v>
      </c>
      <c r="AD77" s="33">
        <v>146.850659748373</v>
      </c>
      <c r="AE77" s="15">
        <v>2.5579333479520102E-3</v>
      </c>
      <c r="AF77" s="15">
        <v>2.2640124781406899E-3</v>
      </c>
      <c r="AG77" s="15">
        <v>3.2101701299865602E-3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2.6012559594189512E-3</v>
      </c>
      <c r="AT77" s="12"/>
      <c r="AU77">
        <f t="shared" si="10"/>
        <v>0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-4.2228420719255498E-3</v>
      </c>
      <c r="BA77" s="28">
        <f t="shared" si="13"/>
        <v>3.1474538470598898E-3</v>
      </c>
      <c r="BB77" s="28">
        <f t="shared" si="20"/>
        <v>-1.07538822486566E-3</v>
      </c>
      <c r="BC77" s="29">
        <f t="shared" si="21"/>
        <v>2.8345604259505221E-3</v>
      </c>
      <c r="BE77" s="29">
        <f t="shared" si="22"/>
        <v>-1.07538822486566E-3</v>
      </c>
      <c r="BF77" s="29">
        <f t="shared" si="23"/>
        <v>5.4358163853694729E-3</v>
      </c>
      <c r="BH77" s="29"/>
    </row>
    <row r="78" spans="1:60" x14ac:dyDescent="0.25">
      <c r="A78" s="1">
        <v>46135</v>
      </c>
      <c r="B78" s="33">
        <v>61.44</v>
      </c>
      <c r="C78" s="33">
        <v>146.24</v>
      </c>
      <c r="D78" s="15">
        <v>-4.2228420719255403E-3</v>
      </c>
      <c r="E78" s="15">
        <v>-9.5687246724104197E-4</v>
      </c>
      <c r="F78" s="33">
        <v>0</v>
      </c>
      <c r="G78" s="33">
        <v>0.19481999999999999</v>
      </c>
      <c r="H78" s="33">
        <v>0</v>
      </c>
      <c r="I78" s="33">
        <v>0.59467999999999999</v>
      </c>
      <c r="J78" s="33">
        <v>0</v>
      </c>
      <c r="K78" s="33">
        <v>0</v>
      </c>
      <c r="L78" s="33">
        <v>61.44</v>
      </c>
      <c r="M78" s="33">
        <v>146.24</v>
      </c>
      <c r="N78" s="34">
        <v>2.3802083333333299</v>
      </c>
      <c r="O78" s="34">
        <v>2.3788372149221799</v>
      </c>
      <c r="P78" s="34">
        <v>2.3762919201892201</v>
      </c>
      <c r="Q78" s="34">
        <v>2.3790795889035699</v>
      </c>
      <c r="R78" s="33">
        <v>146.15575848481799</v>
      </c>
      <c r="S78" s="33">
        <v>146.02932095256401</v>
      </c>
      <c r="T78" s="33">
        <v>146.182570385665</v>
      </c>
      <c r="U78" s="15">
        <v>-5.7621572863125802E-4</v>
      </c>
      <c r="V78" s="15">
        <v>-1.44167771861512E-3</v>
      </c>
      <c r="W78" s="15">
        <v>-3.9278510545155497E-4</v>
      </c>
      <c r="X78" s="34">
        <v>2.3802083333333299</v>
      </c>
      <c r="Y78" s="34">
        <v>2.3785236560114398</v>
      </c>
      <c r="Z78" s="34">
        <v>2.3762919201892201</v>
      </c>
      <c r="AA78" s="34">
        <v>2.3790795889035699</v>
      </c>
      <c r="AB78" s="33">
        <v>146.13649342534299</v>
      </c>
      <c r="AC78" s="33">
        <v>146.02932095256401</v>
      </c>
      <c r="AD78" s="33">
        <v>146.182570385665</v>
      </c>
      <c r="AE78" s="15">
        <v>-7.0803625673260099E-4</v>
      </c>
      <c r="AF78" s="15">
        <v>-1.44167771861512E-3</v>
      </c>
      <c r="AG78" s="15">
        <v>-3.9278510545155497E-4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2.6012559594189512E-3</v>
      </c>
      <c r="AT78" s="12"/>
      <c r="AU78">
        <f t="shared" si="10"/>
        <v>0</v>
      </c>
      <c r="AV78">
        <f t="shared" si="11"/>
        <v>1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4.2228420719255403E-3</v>
      </c>
      <c r="BA78" s="28">
        <f t="shared" si="13"/>
        <v>-9.5687246724104197E-4</v>
      </c>
      <c r="BB78" s="28">
        <f t="shared" si="20"/>
        <v>3.2659696046844983E-3</v>
      </c>
      <c r="BC78" s="29">
        <f t="shared" si="21"/>
        <v>6.1005300306350204E-3</v>
      </c>
      <c r="BE78" s="29">
        <f t="shared" si="22"/>
        <v>3.2659696046844983E-3</v>
      </c>
      <c r="BF78" s="29">
        <f t="shared" si="23"/>
        <v>8.7017859900539712E-3</v>
      </c>
      <c r="BH78" s="29"/>
    </row>
    <row r="79" spans="1:60" x14ac:dyDescent="0.25">
      <c r="A79" s="1">
        <v>46136</v>
      </c>
      <c r="B79" s="33">
        <v>60.66</v>
      </c>
      <c r="C79" s="33">
        <v>144.18</v>
      </c>
      <c r="D79" s="15">
        <v>-1.27765865789816E-2</v>
      </c>
      <c r="E79" s="15">
        <v>-1.41865887294073E-2</v>
      </c>
      <c r="F79" s="33">
        <v>0</v>
      </c>
      <c r="G79" s="33">
        <v>0.19481999999999999</v>
      </c>
      <c r="H79" s="33">
        <v>0</v>
      </c>
      <c r="I79" s="33">
        <v>0.59467999999999999</v>
      </c>
      <c r="J79" s="33">
        <v>0</v>
      </c>
      <c r="K79" s="33">
        <v>0</v>
      </c>
      <c r="L79" s="33">
        <v>60.66</v>
      </c>
      <c r="M79" s="33">
        <v>144.18</v>
      </c>
      <c r="N79" s="34">
        <v>2.3768545994065202</v>
      </c>
      <c r="O79" s="34">
        <v>2.3788372149221799</v>
      </c>
      <c r="P79" s="34">
        <v>2.37557310759387</v>
      </c>
      <c r="Q79" s="34">
        <v>2.3787368429170801</v>
      </c>
      <c r="R79" s="33">
        <v>144.30026545717899</v>
      </c>
      <c r="S79" s="33">
        <v>144.14586787867799</v>
      </c>
      <c r="T79" s="33">
        <v>144.31496786289</v>
      </c>
      <c r="U79" s="15">
        <v>8.3378642179436603E-4</v>
      </c>
      <c r="V79" s="15">
        <v>-2.3676073001719001E-4</v>
      </c>
      <c r="W79" s="15">
        <v>9.3566881763924598E-4</v>
      </c>
      <c r="X79" s="34">
        <v>2.3768545994065202</v>
      </c>
      <c r="Y79" s="34">
        <v>2.3785236560114398</v>
      </c>
      <c r="Z79" s="34">
        <v>2.37557310759387</v>
      </c>
      <c r="AA79" s="34">
        <v>2.3787368429170801</v>
      </c>
      <c r="AB79" s="33">
        <v>144.281244973654</v>
      </c>
      <c r="AC79" s="33">
        <v>144.14586787867799</v>
      </c>
      <c r="AD79" s="33">
        <v>144.31496786289</v>
      </c>
      <c r="AE79" s="15">
        <v>7.0196589369318503E-4</v>
      </c>
      <c r="AF79" s="15">
        <v>-2.3676073001719001E-4</v>
      </c>
      <c r="AG79" s="15">
        <v>9.3566881763924598E-4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2.6012559594189512E-3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6.1005300306350204E-3</v>
      </c>
      <c r="BE79" s="29">
        <f t="shared" si="22"/>
        <v>0</v>
      </c>
      <c r="BF79" s="29">
        <f t="shared" si="23"/>
        <v>8.7017859900539712E-3</v>
      </c>
      <c r="BH79" s="29"/>
    </row>
    <row r="80" spans="1:60" x14ac:dyDescent="0.25">
      <c r="A80" s="1">
        <v>46139</v>
      </c>
      <c r="B80" s="33">
        <v>60.33</v>
      </c>
      <c r="C80" s="33">
        <v>143.46</v>
      </c>
      <c r="D80" s="15">
        <v>-5.4550098077646601E-3</v>
      </c>
      <c r="E80" s="15">
        <v>-5.0062682781441903E-3</v>
      </c>
      <c r="F80" s="33">
        <v>0</v>
      </c>
      <c r="G80" s="33">
        <v>0.19481999999999999</v>
      </c>
      <c r="H80" s="33">
        <v>0</v>
      </c>
      <c r="I80" s="33">
        <v>0.59467999999999999</v>
      </c>
      <c r="J80" s="33">
        <v>0</v>
      </c>
      <c r="K80" s="33">
        <v>0</v>
      </c>
      <c r="L80" s="33">
        <v>60.33</v>
      </c>
      <c r="M80" s="33">
        <v>143.46</v>
      </c>
      <c r="N80" s="34">
        <v>2.37792143212332</v>
      </c>
      <c r="O80" s="34">
        <v>2.3788372149221799</v>
      </c>
      <c r="P80" s="34">
        <v>2.3755478287554102</v>
      </c>
      <c r="Q80" s="34">
        <v>2.3783688452591698</v>
      </c>
      <c r="R80" s="33">
        <v>143.515249176255</v>
      </c>
      <c r="S80" s="33">
        <v>143.318325581138</v>
      </c>
      <c r="T80" s="33">
        <v>143.509193733187</v>
      </c>
      <c r="U80" s="15">
        <v>3.8504489217380399E-4</v>
      </c>
      <c r="V80" s="15">
        <v>-9.8804140863955996E-4</v>
      </c>
      <c r="W80" s="15">
        <v>3.4285027622224799E-4</v>
      </c>
      <c r="X80" s="34">
        <v>2.37792143212332</v>
      </c>
      <c r="Y80" s="34">
        <v>2.3785236560114398</v>
      </c>
      <c r="Z80" s="34">
        <v>2.3755478287554102</v>
      </c>
      <c r="AA80" s="34">
        <v>2.3783688452591698</v>
      </c>
      <c r="AB80" s="33">
        <v>143.49633216717001</v>
      </c>
      <c r="AC80" s="33">
        <v>143.318325581138</v>
      </c>
      <c r="AD80" s="33">
        <v>143.509193733187</v>
      </c>
      <c r="AE80" s="15">
        <v>2.5322436407270902E-4</v>
      </c>
      <c r="AF80" s="15">
        <v>-9.8804140863955996E-4</v>
      </c>
      <c r="AG80" s="15">
        <v>3.4285027622224799E-4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2.6012559594189512E-3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6.1005300306350204E-3</v>
      </c>
      <c r="BE80" s="29">
        <f t="shared" si="22"/>
        <v>0</v>
      </c>
      <c r="BF80" s="29">
        <f t="shared" si="23"/>
        <v>8.7017859900539712E-3</v>
      </c>
      <c r="BH80" s="29"/>
    </row>
    <row r="81" spans="1:60" x14ac:dyDescent="0.25">
      <c r="A81" s="1">
        <v>46140</v>
      </c>
      <c r="B81" s="33">
        <v>60.39</v>
      </c>
      <c r="C81" s="33">
        <v>143.84</v>
      </c>
      <c r="D81" s="15">
        <v>9.9403586713947491E-4</v>
      </c>
      <c r="E81" s="15">
        <v>2.6453200250218301E-3</v>
      </c>
      <c r="F81" s="33">
        <v>0</v>
      </c>
      <c r="G81" s="33">
        <v>0.19481999999999999</v>
      </c>
      <c r="H81" s="33">
        <v>0</v>
      </c>
      <c r="I81" s="33">
        <v>0.59467999999999999</v>
      </c>
      <c r="J81" s="33">
        <v>0</v>
      </c>
      <c r="K81" s="33">
        <v>0</v>
      </c>
      <c r="L81" s="33">
        <v>60.39</v>
      </c>
      <c r="M81" s="33">
        <v>143.84</v>
      </c>
      <c r="N81" s="34">
        <v>2.38185129988408</v>
      </c>
      <c r="O81" s="34">
        <v>2.3788372149221799</v>
      </c>
      <c r="P81" s="34">
        <v>2.3761371733032099</v>
      </c>
      <c r="Q81" s="34">
        <v>2.37830648067591</v>
      </c>
      <c r="R81" s="33">
        <v>143.65797940914999</v>
      </c>
      <c r="S81" s="33">
        <v>143.45933337853899</v>
      </c>
      <c r="T81" s="33">
        <v>143.62969456520099</v>
      </c>
      <c r="U81" s="15">
        <v>-1.2662392657084799E-3</v>
      </c>
      <c r="V81" s="15">
        <v>-2.6499667767939899E-3</v>
      </c>
      <c r="W81" s="15">
        <v>-1.4631488208515201E-3</v>
      </c>
      <c r="X81" s="34">
        <v>2.38185129988408</v>
      </c>
      <c r="Y81" s="34">
        <v>2.3785236560114398</v>
      </c>
      <c r="Z81" s="34">
        <v>2.3761371733032099</v>
      </c>
      <c r="AA81" s="34">
        <v>2.37830648067591</v>
      </c>
      <c r="AB81" s="33">
        <v>143.63904358653099</v>
      </c>
      <c r="AC81" s="33">
        <v>143.45933337853899</v>
      </c>
      <c r="AD81" s="33">
        <v>143.62969456520099</v>
      </c>
      <c r="AE81" s="15">
        <v>-1.3980597938096E-3</v>
      </c>
      <c r="AF81" s="15">
        <v>-2.6499667767939899E-3</v>
      </c>
      <c r="AG81" s="15">
        <v>-1.4631488208515201E-3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2.6012559594189512E-3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6.1005300306350204E-3</v>
      </c>
      <c r="BE81" s="29">
        <f t="shared" si="22"/>
        <v>0</v>
      </c>
      <c r="BF81" s="29">
        <f t="shared" si="23"/>
        <v>8.7017859900539712E-3</v>
      </c>
      <c r="BH81" s="29"/>
    </row>
    <row r="82" spans="1:60" x14ac:dyDescent="0.25">
      <c r="A82" s="1">
        <v>46141</v>
      </c>
      <c r="B82" s="33">
        <v>59.98</v>
      </c>
      <c r="C82" s="33">
        <v>142.84</v>
      </c>
      <c r="D82" s="15">
        <v>-6.8123549989468303E-3</v>
      </c>
      <c r="E82" s="15">
        <v>-6.9764479970624996E-3</v>
      </c>
      <c r="F82" s="33">
        <v>0</v>
      </c>
      <c r="G82" s="33">
        <v>0.19481999999999999</v>
      </c>
      <c r="H82" s="33">
        <v>0</v>
      </c>
      <c r="I82" s="33">
        <v>0.59467999999999999</v>
      </c>
      <c r="J82" s="33">
        <v>0</v>
      </c>
      <c r="K82" s="33">
        <v>0</v>
      </c>
      <c r="L82" s="33">
        <v>59.98</v>
      </c>
      <c r="M82" s="33">
        <v>142.84</v>
      </c>
      <c r="N82" s="34">
        <v>2.38146048682894</v>
      </c>
      <c r="O82" s="34">
        <v>2.3788372149221799</v>
      </c>
      <c r="P82" s="34">
        <v>2.3770541322445702</v>
      </c>
      <c r="Q82" s="34">
        <v>2.37845510527693</v>
      </c>
      <c r="R82" s="33">
        <v>142.68265615103201</v>
      </c>
      <c r="S82" s="33">
        <v>142.52070765472601</v>
      </c>
      <c r="T82" s="33">
        <v>142.65082271094099</v>
      </c>
      <c r="U82" s="15">
        <v>-1.1021462675928199E-3</v>
      </c>
      <c r="V82" s="15">
        <v>-2.23781669974204E-3</v>
      </c>
      <c r="W82" s="15">
        <v>-1.32527774413743E-3</v>
      </c>
      <c r="X82" s="34">
        <v>2.38146048682894</v>
      </c>
      <c r="Y82" s="34">
        <v>2.3785236560114398</v>
      </c>
      <c r="Z82" s="34">
        <v>2.3770541322445702</v>
      </c>
      <c r="AA82" s="34">
        <v>2.37845510527693</v>
      </c>
      <c r="AB82" s="33">
        <v>142.66384888756599</v>
      </c>
      <c r="AC82" s="33">
        <v>142.52070765472601</v>
      </c>
      <c r="AD82" s="33">
        <v>142.65082271094099</v>
      </c>
      <c r="AE82" s="15">
        <v>-1.2339667956940601E-3</v>
      </c>
      <c r="AF82" s="15">
        <v>-2.23781669974204E-3</v>
      </c>
      <c r="AG82" s="15">
        <v>-1.32527774413743E-3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2.6012559594189512E-3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6.1005300306350204E-3</v>
      </c>
      <c r="BE82" s="29">
        <f t="shared" si="22"/>
        <v>0</v>
      </c>
      <c r="BF82" s="29">
        <f t="shared" si="23"/>
        <v>8.7017859900539712E-3</v>
      </c>
      <c r="BH82" s="29"/>
    </row>
    <row r="83" spans="1:60" x14ac:dyDescent="0.25">
      <c r="A83" s="1">
        <v>46142</v>
      </c>
      <c r="B83" s="33">
        <v>61.28</v>
      </c>
      <c r="C83" s="33">
        <v>145.99</v>
      </c>
      <c r="D83" s="15">
        <v>2.1442352111472801E-2</v>
      </c>
      <c r="E83" s="15">
        <v>2.1813003485640799E-2</v>
      </c>
      <c r="F83" s="33">
        <v>0</v>
      </c>
      <c r="G83" s="33">
        <v>0.19481999999999999</v>
      </c>
      <c r="H83" s="33">
        <v>0</v>
      </c>
      <c r="I83" s="33">
        <v>0.59467999999999999</v>
      </c>
      <c r="J83" s="33">
        <v>0</v>
      </c>
      <c r="K83" s="33">
        <v>0</v>
      </c>
      <c r="L83" s="33">
        <v>61.28</v>
      </c>
      <c r="M83" s="33">
        <v>145.99</v>
      </c>
      <c r="N83" s="34">
        <v>2.3823433420365498</v>
      </c>
      <c r="O83" s="34">
        <v>2.3788372149221799</v>
      </c>
      <c r="P83" s="34">
        <v>2.37778644150087</v>
      </c>
      <c r="Q83" s="34">
        <v>2.3786653180967199</v>
      </c>
      <c r="R83" s="33">
        <v>145.77514453043099</v>
      </c>
      <c r="S83" s="33">
        <v>145.66587722394701</v>
      </c>
      <c r="T83" s="33">
        <v>145.75172885136999</v>
      </c>
      <c r="U83" s="15">
        <v>-1.4727976417608401E-3</v>
      </c>
      <c r="V83" s="15">
        <v>-2.2226393143280499E-3</v>
      </c>
      <c r="W83" s="15">
        <v>-1.6334392926617299E-3</v>
      </c>
      <c r="X83" s="34">
        <v>2.3823433420365498</v>
      </c>
      <c r="Y83" s="34">
        <v>2.3785236560114398</v>
      </c>
      <c r="Z83" s="34">
        <v>2.37778644150087</v>
      </c>
      <c r="AA83" s="34">
        <v>2.3786653180967199</v>
      </c>
      <c r="AB83" s="33">
        <v>145.755929640381</v>
      </c>
      <c r="AC83" s="33">
        <v>145.66587722394701</v>
      </c>
      <c r="AD83" s="33">
        <v>145.75172885136999</v>
      </c>
      <c r="AE83" s="15">
        <v>-1.6046181698620399E-3</v>
      </c>
      <c r="AF83" s="15">
        <v>-2.2226393143280499E-3</v>
      </c>
      <c r="AG83" s="15">
        <v>-1.6334392926617299E-3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2.6012559594189512E-3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6.1005300306350204E-3</v>
      </c>
      <c r="BE83" s="29">
        <f t="shared" si="22"/>
        <v>0</v>
      </c>
      <c r="BF83" s="29">
        <f t="shared" si="23"/>
        <v>8.7017859900539712E-3</v>
      </c>
      <c r="BH83" s="29"/>
    </row>
    <row r="84" spans="1:60" x14ac:dyDescent="0.25">
      <c r="A84" s="1">
        <v>46143</v>
      </c>
      <c r="B84" s="33">
        <v>61.07</v>
      </c>
      <c r="C84" s="33">
        <v>145.16</v>
      </c>
      <c r="D84" s="15">
        <v>-3.4327781972924901E-3</v>
      </c>
      <c r="E84" s="15">
        <v>-5.7015438670190797E-3</v>
      </c>
      <c r="F84" s="33">
        <v>0</v>
      </c>
      <c r="G84" s="33">
        <v>0.19481999999999999</v>
      </c>
      <c r="H84" s="33">
        <v>0</v>
      </c>
      <c r="I84" s="33">
        <v>0.59467999999999999</v>
      </c>
      <c r="J84" s="33">
        <v>0</v>
      </c>
      <c r="K84" s="33">
        <v>0</v>
      </c>
      <c r="L84" s="33">
        <v>61.07</v>
      </c>
      <c r="M84" s="33">
        <v>145.16</v>
      </c>
      <c r="N84" s="34">
        <v>2.37694448992958</v>
      </c>
      <c r="O84" s="34">
        <v>2.3788372149221799</v>
      </c>
      <c r="P84" s="34">
        <v>2.3779709144363701</v>
      </c>
      <c r="Q84" s="34">
        <v>2.3784452271025298</v>
      </c>
      <c r="R84" s="33">
        <v>145.275588715297</v>
      </c>
      <c r="S84" s="33">
        <v>145.21141798245799</v>
      </c>
      <c r="T84" s="33">
        <v>145.26509097616699</v>
      </c>
      <c r="U84" s="15">
        <v>7.9596802796573897E-4</v>
      </c>
      <c r="V84" s="15">
        <v>3.5415319698716601E-4</v>
      </c>
      <c r="W84" s="15">
        <v>7.2370455597176497E-4</v>
      </c>
      <c r="X84" s="34">
        <v>2.37694448992958</v>
      </c>
      <c r="Y84" s="34">
        <v>2.3785236560114398</v>
      </c>
      <c r="Z84" s="34">
        <v>2.3779709144363701</v>
      </c>
      <c r="AA84" s="34">
        <v>2.3784452271025298</v>
      </c>
      <c r="AB84" s="33">
        <v>145.256439672619</v>
      </c>
      <c r="AC84" s="33">
        <v>145.21141798245799</v>
      </c>
      <c r="AD84" s="33">
        <v>145.26509097616699</v>
      </c>
      <c r="AE84" s="15">
        <v>6.6414749986462704E-4</v>
      </c>
      <c r="AF84" s="15">
        <v>3.5415319698716601E-4</v>
      </c>
      <c r="AG84" s="15">
        <v>7.2370455597198604E-4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2.6012559594189512E-3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6.1005300306350204E-3</v>
      </c>
      <c r="BE84" s="29">
        <f t="shared" si="22"/>
        <v>0</v>
      </c>
      <c r="BF84" s="29">
        <f t="shared" si="23"/>
        <v>8.7017859900539712E-3</v>
      </c>
      <c r="BH84" s="29"/>
    </row>
    <row r="85" spans="1:60" x14ac:dyDescent="0.25">
      <c r="A85" s="1">
        <v>46146</v>
      </c>
      <c r="B85" s="33">
        <v>60.97</v>
      </c>
      <c r="C85" s="33">
        <v>144.72999999999999</v>
      </c>
      <c r="D85" s="15">
        <v>-1.63880731531866E-3</v>
      </c>
      <c r="E85" s="15">
        <v>-2.9666446953564001E-3</v>
      </c>
      <c r="F85" s="33">
        <v>0</v>
      </c>
      <c r="G85" s="33">
        <v>0.19481999999999999</v>
      </c>
      <c r="H85" s="33">
        <v>0</v>
      </c>
      <c r="I85" s="33">
        <v>0.59467999999999999</v>
      </c>
      <c r="J85" s="33">
        <v>0</v>
      </c>
      <c r="K85" s="33">
        <v>0</v>
      </c>
      <c r="L85" s="33">
        <v>60.97</v>
      </c>
      <c r="M85" s="33">
        <v>144.72999999999999</v>
      </c>
      <c r="N85" s="34">
        <v>2.3737903887157601</v>
      </c>
      <c r="O85" s="34">
        <v>2.3788372149221799</v>
      </c>
      <c r="P85" s="34">
        <v>2.3778821698027901</v>
      </c>
      <c r="Q85" s="34">
        <v>2.3782079172700299</v>
      </c>
      <c r="R85" s="33">
        <v>145.03770499380499</v>
      </c>
      <c r="S85" s="33">
        <v>144.98488665318499</v>
      </c>
      <c r="T85" s="33">
        <v>145.01380549644099</v>
      </c>
      <c r="U85" s="15">
        <v>2.1238054080035202E-3</v>
      </c>
      <c r="V85" s="15">
        <v>1.75956936071083E-3</v>
      </c>
      <c r="W85" s="15">
        <v>1.9590105591332199E-3</v>
      </c>
      <c r="X85" s="34">
        <v>2.3737903887157601</v>
      </c>
      <c r="Y85" s="34">
        <v>2.3785236560114398</v>
      </c>
      <c r="Z85" s="34">
        <v>2.3778821698027901</v>
      </c>
      <c r="AA85" s="34">
        <v>2.3782079172700299</v>
      </c>
      <c r="AB85" s="33">
        <v>145.01858730701801</v>
      </c>
      <c r="AC85" s="33">
        <v>144.98488665318499</v>
      </c>
      <c r="AD85" s="33">
        <v>145.01380549644099</v>
      </c>
      <c r="AE85" s="15">
        <v>1.9919848799021902E-3</v>
      </c>
      <c r="AF85" s="15">
        <v>1.75956936071083E-3</v>
      </c>
      <c r="AG85" s="15">
        <v>1.9590105591330001E-3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2.6012559594189512E-3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6.1005300306350204E-3</v>
      </c>
      <c r="BE85" s="29">
        <f t="shared" si="22"/>
        <v>0</v>
      </c>
      <c r="BF85" s="29">
        <f t="shared" si="23"/>
        <v>8.7017859900539712E-3</v>
      </c>
      <c r="BH85" s="29"/>
    </row>
    <row r="86" spans="1:60" x14ac:dyDescent="0.25">
      <c r="A86" s="1">
        <v>46147</v>
      </c>
      <c r="B86" s="33">
        <v>61.19</v>
      </c>
      <c r="C86" s="33">
        <v>145.30000000000001</v>
      </c>
      <c r="D86" s="15">
        <v>3.60183755472447E-3</v>
      </c>
      <c r="E86" s="15">
        <v>3.9306329267242701E-3</v>
      </c>
      <c r="F86" s="33">
        <v>0</v>
      </c>
      <c r="G86" s="33">
        <v>0.19481999999999999</v>
      </c>
      <c r="H86" s="33">
        <v>0</v>
      </c>
      <c r="I86" s="33">
        <v>0.59467999999999999</v>
      </c>
      <c r="J86" s="33">
        <v>0</v>
      </c>
      <c r="K86" s="33">
        <v>0</v>
      </c>
      <c r="L86" s="33">
        <v>61.19</v>
      </c>
      <c r="M86" s="33">
        <v>145.30000000000001</v>
      </c>
      <c r="N86" s="34">
        <v>2.3745710083346898</v>
      </c>
      <c r="O86" s="34">
        <v>2.3788372149221799</v>
      </c>
      <c r="P86" s="34">
        <v>2.3778392706362599</v>
      </c>
      <c r="Q86" s="34">
        <v>2.3778319658177498</v>
      </c>
      <c r="R86" s="33">
        <v>145.56104918108801</v>
      </c>
      <c r="S86" s="33">
        <v>145.50260997023301</v>
      </c>
      <c r="T86" s="33">
        <v>145.52254245775299</v>
      </c>
      <c r="U86" s="15">
        <v>1.79501003600376E-3</v>
      </c>
      <c r="V86" s="15">
        <v>1.3934538141737399E-3</v>
      </c>
      <c r="W86" s="15">
        <v>1.53043501586646E-3</v>
      </c>
      <c r="X86" s="34">
        <v>2.3745710083346898</v>
      </c>
      <c r="Y86" s="34">
        <v>2.3785236560114398</v>
      </c>
      <c r="Z86" s="34">
        <v>2.3778392706362599</v>
      </c>
      <c r="AA86" s="34">
        <v>2.3778319658177498</v>
      </c>
      <c r="AB86" s="33">
        <v>145.54186251134001</v>
      </c>
      <c r="AC86" s="33">
        <v>145.50260997023301</v>
      </c>
      <c r="AD86" s="33">
        <v>145.52254245775299</v>
      </c>
      <c r="AE86" s="15">
        <v>1.66318950790258E-3</v>
      </c>
      <c r="AF86" s="15">
        <v>1.3934538141737399E-3</v>
      </c>
      <c r="AG86" s="15">
        <v>1.53043501586646E-3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2.6012559594189512E-3</v>
      </c>
      <c r="AT86" s="12"/>
      <c r="AU86">
        <f t="shared" ref="AU86:AU149" si="30">IF($AG86&gt;AT$21,1,0)</f>
        <v>0</v>
      </c>
      <c r="AV86">
        <f t="shared" ref="AV86:AV149" si="31">IF($AG86&lt;AT$22,1,0)</f>
        <v>0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6.1005300306350204E-3</v>
      </c>
      <c r="BE86" s="29">
        <f t="shared" si="22"/>
        <v>0</v>
      </c>
      <c r="BF86" s="29">
        <f t="shared" si="23"/>
        <v>8.7017859900539712E-3</v>
      </c>
      <c r="BH86" s="29"/>
    </row>
    <row r="87" spans="1:60" x14ac:dyDescent="0.25">
      <c r="A87" s="1">
        <v>46148</v>
      </c>
      <c r="B87" s="33">
        <v>61.46</v>
      </c>
      <c r="C87" s="33">
        <v>145.4</v>
      </c>
      <c r="D87" s="15">
        <v>4.4027792278894702E-3</v>
      </c>
      <c r="E87" s="15">
        <v>6.8799452318182798E-4</v>
      </c>
      <c r="F87" s="33">
        <v>0</v>
      </c>
      <c r="G87" s="33">
        <v>0.19481999999999999</v>
      </c>
      <c r="H87" s="33">
        <v>0</v>
      </c>
      <c r="I87" s="33">
        <v>0.59467999999999999</v>
      </c>
      <c r="J87" s="33">
        <v>0</v>
      </c>
      <c r="K87" s="33">
        <v>0</v>
      </c>
      <c r="L87" s="33">
        <v>61.46</v>
      </c>
      <c r="M87" s="33">
        <v>145.4</v>
      </c>
      <c r="N87" s="34">
        <v>2.3657663520989201</v>
      </c>
      <c r="O87" s="34">
        <v>2.3788372149221799</v>
      </c>
      <c r="P87" s="34">
        <v>2.3771711732691698</v>
      </c>
      <c r="Q87" s="34">
        <v>2.37697524282407</v>
      </c>
      <c r="R87" s="33">
        <v>146.20333522911699</v>
      </c>
      <c r="S87" s="33">
        <v>146.14200157330399</v>
      </c>
      <c r="T87" s="33">
        <v>146.141552619159</v>
      </c>
      <c r="U87" s="15">
        <v>5.5097947407116198E-3</v>
      </c>
      <c r="V87" s="15">
        <v>5.0901974426457502E-3</v>
      </c>
      <c r="W87" s="15">
        <v>5.0871253974412601E-3</v>
      </c>
      <c r="X87" s="34">
        <v>2.3657663520989201</v>
      </c>
      <c r="Y87" s="34">
        <v>2.3785236560114398</v>
      </c>
      <c r="Z87" s="34">
        <v>2.3771711732691698</v>
      </c>
      <c r="AA87" s="34">
        <v>2.37697524282407</v>
      </c>
      <c r="AB87" s="33">
        <v>146.18406389846299</v>
      </c>
      <c r="AC87" s="33">
        <v>146.14200157330399</v>
      </c>
      <c r="AD87" s="33">
        <v>146.141552619159</v>
      </c>
      <c r="AE87" s="15">
        <v>5.3779742126104603E-3</v>
      </c>
      <c r="AF87" s="15">
        <v>5.0901974426457502E-3</v>
      </c>
      <c r="AG87" s="15">
        <v>5.0871253974410302E-3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2.6012559594189512E-3</v>
      </c>
      <c r="AT87" s="12"/>
      <c r="AU87">
        <f t="shared" si="30"/>
        <v>1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6.1005300306350204E-3</v>
      </c>
      <c r="BE87" s="29">
        <f t="shared" ref="BE87:BE150" si="42">AQ87+BB87</f>
        <v>0</v>
      </c>
      <c r="BF87" s="29">
        <f t="shared" ref="BF87:BF150" si="43">BF86+BE87</f>
        <v>8.7017859900539712E-3</v>
      </c>
      <c r="BH87" s="29"/>
    </row>
    <row r="88" spans="1:60" x14ac:dyDescent="0.25">
      <c r="A88" s="1">
        <v>46149</v>
      </c>
      <c r="B88" s="33">
        <v>60.95</v>
      </c>
      <c r="C88" s="33">
        <v>144.72</v>
      </c>
      <c r="D88" s="15">
        <v>-8.3327007750580093E-3</v>
      </c>
      <c r="E88" s="15">
        <v>-4.6877240123793101E-3</v>
      </c>
      <c r="F88" s="33">
        <v>0</v>
      </c>
      <c r="G88" s="33">
        <v>0.19481999999999999</v>
      </c>
      <c r="H88" s="33">
        <v>0</v>
      </c>
      <c r="I88" s="33">
        <v>0.59467999999999999</v>
      </c>
      <c r="J88" s="33">
        <v>0</v>
      </c>
      <c r="K88" s="33">
        <v>0</v>
      </c>
      <c r="L88" s="33">
        <v>60.95</v>
      </c>
      <c r="M88" s="33">
        <v>144.72</v>
      </c>
      <c r="N88" s="34">
        <v>2.3744052502050801</v>
      </c>
      <c r="O88" s="34">
        <v>2.3788372149221799</v>
      </c>
      <c r="P88" s="34">
        <v>2.3765908649563401</v>
      </c>
      <c r="Q88" s="34">
        <v>2.3764413925727799</v>
      </c>
      <c r="R88" s="33">
        <v>144.99012824950699</v>
      </c>
      <c r="S88" s="33">
        <v>144.88858301075601</v>
      </c>
      <c r="T88" s="33">
        <v>144.87664105012701</v>
      </c>
      <c r="U88" s="15">
        <v>1.86481797803276E-3</v>
      </c>
      <c r="V88" s="15">
        <v>1.1642129390289501E-3</v>
      </c>
      <c r="W88" s="15">
        <v>1.0817878607657001E-3</v>
      </c>
      <c r="X88" s="34">
        <v>2.3744052502050801</v>
      </c>
      <c r="Y88" s="34">
        <v>2.3785236560114398</v>
      </c>
      <c r="Z88" s="34">
        <v>2.3765908649563401</v>
      </c>
      <c r="AA88" s="34">
        <v>2.3764413925727799</v>
      </c>
      <c r="AB88" s="33">
        <v>144.97101683389701</v>
      </c>
      <c r="AC88" s="33">
        <v>144.88858301075601</v>
      </c>
      <c r="AD88" s="33">
        <v>144.87664105012701</v>
      </c>
      <c r="AE88" s="15">
        <v>1.73299744993176E-3</v>
      </c>
      <c r="AF88" s="15">
        <v>1.1642129390289501E-3</v>
      </c>
      <c r="AG88" s="15">
        <v>1.08178786076592E-3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2.6012559594189512E-3</v>
      </c>
      <c r="AT88" s="12"/>
      <c r="AU88">
        <f t="shared" si="30"/>
        <v>0</v>
      </c>
      <c r="AV88">
        <f t="shared" si="31"/>
        <v>0</v>
      </c>
      <c r="AW88">
        <f t="shared" si="38"/>
        <v>1</v>
      </c>
      <c r="AX88">
        <f t="shared" si="25"/>
        <v>1</v>
      </c>
      <c r="AY88">
        <f t="shared" si="39"/>
        <v>1</v>
      </c>
      <c r="AZ88" s="28">
        <f t="shared" si="32"/>
        <v>8.3327007750580093E-3</v>
      </c>
      <c r="BA88" s="28">
        <f t="shared" si="33"/>
        <v>-4.6877240123793101E-3</v>
      </c>
      <c r="BB88" s="28">
        <f t="shared" si="40"/>
        <v>3.6449767626786991E-3</v>
      </c>
      <c r="BC88" s="29">
        <f t="shared" si="41"/>
        <v>9.7455067933137195E-3</v>
      </c>
      <c r="BE88" s="29">
        <f t="shared" si="42"/>
        <v>3.6449767626786991E-3</v>
      </c>
      <c r="BF88" s="29">
        <f t="shared" si="43"/>
        <v>1.234676275273267E-2</v>
      </c>
      <c r="BH88" s="29"/>
    </row>
    <row r="89" spans="1:60" x14ac:dyDescent="0.25">
      <c r="A89" s="1">
        <v>46150</v>
      </c>
      <c r="B89" s="33">
        <v>60.42</v>
      </c>
      <c r="C89" s="33">
        <v>143.49</v>
      </c>
      <c r="D89" s="15">
        <v>-8.7336799687546592E-3</v>
      </c>
      <c r="E89" s="15">
        <v>-8.5354947267243693E-3</v>
      </c>
      <c r="F89" s="33">
        <v>0</v>
      </c>
      <c r="G89" s="33">
        <v>0.19481999999999999</v>
      </c>
      <c r="H89" s="33">
        <v>0</v>
      </c>
      <c r="I89" s="33">
        <v>0.59467999999999999</v>
      </c>
      <c r="J89" s="33">
        <v>0</v>
      </c>
      <c r="K89" s="33">
        <v>0</v>
      </c>
      <c r="L89" s="33">
        <v>60.42</v>
      </c>
      <c r="M89" s="33">
        <v>143.49</v>
      </c>
      <c r="N89" s="34">
        <v>2.3748758689175702</v>
      </c>
      <c r="O89" s="34">
        <v>2.3788372149221799</v>
      </c>
      <c r="P89" s="34">
        <v>2.37639299190745</v>
      </c>
      <c r="Q89" s="34">
        <v>2.3759830497506602</v>
      </c>
      <c r="R89" s="33">
        <v>143.72934452559801</v>
      </c>
      <c r="S89" s="33">
        <v>143.593620060662</v>
      </c>
      <c r="T89" s="33">
        <v>143.584588939247</v>
      </c>
      <c r="U89" s="15">
        <v>1.66663273600258E-3</v>
      </c>
      <c r="V89" s="15">
        <v>7.2188071991382001E-4</v>
      </c>
      <c r="W89" s="15">
        <v>6.5898513010456802E-4</v>
      </c>
      <c r="X89" s="34">
        <v>2.3748758689175702</v>
      </c>
      <c r="Y89" s="34">
        <v>2.3785236560114398</v>
      </c>
      <c r="Z89" s="34">
        <v>2.37639299190745</v>
      </c>
      <c r="AA89" s="34">
        <v>2.3759830497506602</v>
      </c>
      <c r="AB89" s="33">
        <v>143.71039929621099</v>
      </c>
      <c r="AC89" s="33">
        <v>143.593620060662</v>
      </c>
      <c r="AD89" s="33">
        <v>143.584588939247</v>
      </c>
      <c r="AE89" s="15">
        <v>1.5348122079015E-3</v>
      </c>
      <c r="AF89" s="15">
        <v>7.2188071991382001E-4</v>
      </c>
      <c r="AG89" s="15">
        <v>6.5898513010456802E-4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2.6012559594189512E-3</v>
      </c>
      <c r="AT89" s="12"/>
      <c r="AU89">
        <f t="shared" si="30"/>
        <v>0</v>
      </c>
      <c r="AV89">
        <f t="shared" si="31"/>
        <v>1</v>
      </c>
      <c r="AW89">
        <f t="shared" si="38"/>
        <v>1</v>
      </c>
      <c r="AX89">
        <f t="shared" si="25"/>
        <v>1</v>
      </c>
      <c r="AY89">
        <f t="shared" si="39"/>
        <v>1</v>
      </c>
      <c r="AZ89" s="28">
        <f t="shared" si="32"/>
        <v>8.7336799687546592E-3</v>
      </c>
      <c r="BA89" s="28">
        <f t="shared" si="33"/>
        <v>-8.5354947267243693E-3</v>
      </c>
      <c r="BB89" s="28">
        <f t="shared" si="40"/>
        <v>1.9818524203028993E-4</v>
      </c>
      <c r="BC89" s="29">
        <f t="shared" si="41"/>
        <v>9.9436920353440095E-3</v>
      </c>
      <c r="BE89" s="29">
        <f t="shared" si="42"/>
        <v>1.9818524203028993E-4</v>
      </c>
      <c r="BF89" s="29">
        <f t="shared" si="43"/>
        <v>1.254494799476296E-2</v>
      </c>
      <c r="BH89" s="29"/>
    </row>
    <row r="90" spans="1:60" x14ac:dyDescent="0.25">
      <c r="A90" s="1">
        <v>46153</v>
      </c>
      <c r="B90" s="33">
        <v>60.23</v>
      </c>
      <c r="C90" s="33">
        <v>143.04</v>
      </c>
      <c r="D90" s="15">
        <v>-3.1496089028963301E-3</v>
      </c>
      <c r="E90" s="15">
        <v>-3.1410349351113E-3</v>
      </c>
      <c r="F90" s="33">
        <v>0</v>
      </c>
      <c r="G90" s="33">
        <v>0.19481999999999999</v>
      </c>
      <c r="H90" s="33">
        <v>0</v>
      </c>
      <c r="I90" s="33">
        <v>0.59467999999999999</v>
      </c>
      <c r="J90" s="33">
        <v>0</v>
      </c>
      <c r="K90" s="33">
        <v>0</v>
      </c>
      <c r="L90" s="33">
        <v>60.23</v>
      </c>
      <c r="M90" s="33">
        <v>143.04</v>
      </c>
      <c r="N90" s="34">
        <v>2.37489623111406</v>
      </c>
      <c r="O90" s="34">
        <v>2.3788372149221799</v>
      </c>
      <c r="P90" s="34">
        <v>2.3760904718065201</v>
      </c>
      <c r="Q90" s="34">
        <v>2.3758191502809698</v>
      </c>
      <c r="R90" s="33">
        <v>143.27736545476299</v>
      </c>
      <c r="S90" s="33">
        <v>143.130149902585</v>
      </c>
      <c r="T90" s="33">
        <v>143.105459086482</v>
      </c>
      <c r="U90" s="15">
        <v>1.65805876821759E-3</v>
      </c>
      <c r="V90" s="15">
        <v>6.3004408809765695E-4</v>
      </c>
      <c r="W90" s="15">
        <v>4.5752316205387899E-4</v>
      </c>
      <c r="X90" s="34">
        <v>2.37489623111406</v>
      </c>
      <c r="Y90" s="34">
        <v>2.3785236560114398</v>
      </c>
      <c r="Z90" s="34">
        <v>2.3760904718065201</v>
      </c>
      <c r="AA90" s="34">
        <v>2.3758191502809698</v>
      </c>
      <c r="AB90" s="33">
        <v>143.258479801569</v>
      </c>
      <c r="AC90" s="33">
        <v>143.130149902585</v>
      </c>
      <c r="AD90" s="33">
        <v>143.105459086482</v>
      </c>
      <c r="AE90" s="15">
        <v>1.52623824011647E-3</v>
      </c>
      <c r="AF90" s="15">
        <v>6.3004408809765695E-4</v>
      </c>
      <c r="AG90" s="15">
        <v>4.5752316205387899E-4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2.6012559594189512E-3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9.9436920353440095E-3</v>
      </c>
      <c r="BE90" s="29">
        <f t="shared" si="42"/>
        <v>0</v>
      </c>
      <c r="BF90" s="29">
        <f t="shared" si="43"/>
        <v>1.254494799476296E-2</v>
      </c>
      <c r="BH90" s="29"/>
    </row>
    <row r="91" spans="1:60" x14ac:dyDescent="0.25">
      <c r="A91" s="1">
        <v>46154</v>
      </c>
      <c r="B91" s="33">
        <v>61.39</v>
      </c>
      <c r="C91" s="33">
        <v>145.85</v>
      </c>
      <c r="D91" s="15">
        <v>1.90763883837754E-2</v>
      </c>
      <c r="E91" s="15">
        <v>1.9454384888526501E-2</v>
      </c>
      <c r="F91" s="33">
        <v>0</v>
      </c>
      <c r="G91" s="33">
        <v>0.19481999999999999</v>
      </c>
      <c r="H91" s="33">
        <v>0</v>
      </c>
      <c r="I91" s="33">
        <v>0.59467999999999999</v>
      </c>
      <c r="J91" s="33">
        <v>0</v>
      </c>
      <c r="K91" s="33">
        <v>0</v>
      </c>
      <c r="L91" s="33">
        <v>61.39</v>
      </c>
      <c r="M91" s="33">
        <v>145.85</v>
      </c>
      <c r="N91" s="34">
        <v>2.3757941032741399</v>
      </c>
      <c r="O91" s="34">
        <v>2.3788372149221799</v>
      </c>
      <c r="P91" s="34">
        <v>2.37548475214553</v>
      </c>
      <c r="Q91" s="34">
        <v>2.37581096272437</v>
      </c>
      <c r="R91" s="33">
        <v>146.036816624072</v>
      </c>
      <c r="S91" s="33">
        <v>145.86819406420199</v>
      </c>
      <c r="T91" s="33">
        <v>145.851537635748</v>
      </c>
      <c r="U91" s="15">
        <v>1.2800622634666001E-3</v>
      </c>
      <c r="V91" s="15">
        <v>1.24737260798568E-4</v>
      </c>
      <c r="W91" s="15">
        <v>1.05425275531887E-5</v>
      </c>
      <c r="X91" s="34">
        <v>2.3757941032741399</v>
      </c>
      <c r="Y91" s="34">
        <v>2.3785236560114398</v>
      </c>
      <c r="Z91" s="34">
        <v>2.37548475214553</v>
      </c>
      <c r="AA91" s="34">
        <v>2.37581096272437</v>
      </c>
      <c r="AB91" s="33">
        <v>146.01756724254199</v>
      </c>
      <c r="AC91" s="33">
        <v>145.86819406420199</v>
      </c>
      <c r="AD91" s="33">
        <v>145.851537635748</v>
      </c>
      <c r="AE91" s="15">
        <v>1.1482417353654399E-3</v>
      </c>
      <c r="AF91" s="15">
        <v>1.2473726079878999E-4</v>
      </c>
      <c r="AG91" s="15">
        <v>1.05425275531887E-5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2.6012559594189512E-3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9.9436920353440095E-3</v>
      </c>
      <c r="BE91" s="29">
        <f t="shared" si="42"/>
        <v>0</v>
      </c>
      <c r="BF91" s="29">
        <f t="shared" si="43"/>
        <v>1.254494799476296E-2</v>
      </c>
      <c r="BH91" s="29"/>
    </row>
    <row r="92" spans="1:60" x14ac:dyDescent="0.25">
      <c r="A92" s="1">
        <v>46155</v>
      </c>
      <c r="B92" s="33">
        <v>61.73</v>
      </c>
      <c r="C92" s="33">
        <v>146.71</v>
      </c>
      <c r="D92" s="15">
        <v>5.5230809663994098E-3</v>
      </c>
      <c r="E92" s="15">
        <v>5.8791528378222503E-3</v>
      </c>
      <c r="F92" s="33">
        <v>0</v>
      </c>
      <c r="G92" s="33">
        <v>0.19481999999999999</v>
      </c>
      <c r="H92" s="33">
        <v>0</v>
      </c>
      <c r="I92" s="33">
        <v>0.59467999999999999</v>
      </c>
      <c r="J92" s="33">
        <v>0</v>
      </c>
      <c r="K92" s="33">
        <v>0</v>
      </c>
      <c r="L92" s="33">
        <v>61.73</v>
      </c>
      <c r="M92" s="33">
        <v>146.71</v>
      </c>
      <c r="N92" s="34">
        <v>2.3766402073545998</v>
      </c>
      <c r="O92" s="34">
        <v>2.3788372149221799</v>
      </c>
      <c r="P92" s="34">
        <v>2.3750027241981</v>
      </c>
      <c r="Q92" s="34">
        <v>2.3760284282213302</v>
      </c>
      <c r="R92" s="33">
        <v>146.84562127714599</v>
      </c>
      <c r="S92" s="33">
        <v>146.638673749943</v>
      </c>
      <c r="T92" s="33">
        <v>146.658810728975</v>
      </c>
      <c r="U92" s="15">
        <v>9.2399039204360902E-4</v>
      </c>
      <c r="V92" s="15">
        <v>-4.8628991943254599E-4</v>
      </c>
      <c r="W92" s="15">
        <v>-3.48975553445818E-4</v>
      </c>
      <c r="X92" s="34">
        <v>2.3766402073545998</v>
      </c>
      <c r="Y92" s="34">
        <v>2.3785236560114398</v>
      </c>
      <c r="Z92" s="34">
        <v>2.3750027241981</v>
      </c>
      <c r="AA92" s="34">
        <v>2.3760284282213302</v>
      </c>
      <c r="AB92" s="33">
        <v>146.826265285586</v>
      </c>
      <c r="AC92" s="33">
        <v>146.638673749943</v>
      </c>
      <c r="AD92" s="33">
        <v>146.658810728975</v>
      </c>
      <c r="AE92" s="15">
        <v>7.9216986394250197E-4</v>
      </c>
      <c r="AF92" s="15">
        <v>-4.8628991943254599E-4</v>
      </c>
      <c r="AG92" s="15">
        <v>-3.48975553445818E-4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2.6012559594189512E-3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9.9436920353440095E-3</v>
      </c>
      <c r="BE92" s="29">
        <f t="shared" si="42"/>
        <v>0</v>
      </c>
      <c r="BF92" s="29">
        <f t="shared" si="43"/>
        <v>1.254494799476296E-2</v>
      </c>
      <c r="BH92" s="29"/>
    </row>
    <row r="93" spans="1:60" x14ac:dyDescent="0.25">
      <c r="A93" s="1">
        <v>46156</v>
      </c>
      <c r="B93" s="33">
        <v>61.67</v>
      </c>
      <c r="C93" s="33">
        <v>146.63</v>
      </c>
      <c r="D93" s="15">
        <v>-9.7244740240297301E-4</v>
      </c>
      <c r="E93" s="15">
        <v>-5.4544216256492901E-4</v>
      </c>
      <c r="F93" s="33">
        <v>0</v>
      </c>
      <c r="G93" s="33">
        <v>0.19481999999999999</v>
      </c>
      <c r="H93" s="33">
        <v>0</v>
      </c>
      <c r="I93" s="33">
        <v>0.59467999999999999</v>
      </c>
      <c r="J93" s="33">
        <v>0</v>
      </c>
      <c r="K93" s="33">
        <v>0</v>
      </c>
      <c r="L93" s="33">
        <v>61.67</v>
      </c>
      <c r="M93" s="33">
        <v>146.63</v>
      </c>
      <c r="N93" s="34">
        <v>2.37765526187773</v>
      </c>
      <c r="O93" s="34">
        <v>2.3788372149221799</v>
      </c>
      <c r="P93" s="34">
        <v>2.3745339161822101</v>
      </c>
      <c r="Q93" s="34">
        <v>2.3761601788415398</v>
      </c>
      <c r="R93" s="33">
        <v>146.70289104425001</v>
      </c>
      <c r="S93" s="33">
        <v>146.46641800129601</v>
      </c>
      <c r="T93" s="33">
        <v>146.529673168409</v>
      </c>
      <c r="U93" s="15">
        <v>4.9698515220553802E-4</v>
      </c>
      <c r="V93" s="15">
        <v>-1.1162334688603101E-3</v>
      </c>
      <c r="W93" s="15">
        <v>-6.8445181714419799E-4</v>
      </c>
      <c r="X93" s="34">
        <v>2.37765526187773</v>
      </c>
      <c r="Y93" s="34">
        <v>2.3785236560114398</v>
      </c>
      <c r="Z93" s="34">
        <v>2.3745339161822101</v>
      </c>
      <c r="AA93" s="34">
        <v>2.3761601788415398</v>
      </c>
      <c r="AB93" s="33">
        <v>146.68355386622599</v>
      </c>
      <c r="AC93" s="33">
        <v>146.46641800129601</v>
      </c>
      <c r="AD93" s="33">
        <v>146.529673168409</v>
      </c>
      <c r="AE93" s="15">
        <v>3.6516462410455099E-4</v>
      </c>
      <c r="AF93" s="15">
        <v>-1.11623346886009E-3</v>
      </c>
      <c r="AG93" s="15">
        <v>-6.8445181714442004E-4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2.6012559594189512E-3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9.9436920353440095E-3</v>
      </c>
      <c r="BE93" s="29">
        <f t="shared" si="42"/>
        <v>0</v>
      </c>
      <c r="BF93" s="29">
        <f t="shared" si="43"/>
        <v>1.254494799476296E-2</v>
      </c>
      <c r="BH93" s="29"/>
    </row>
    <row r="94" spans="1:60" x14ac:dyDescent="0.25">
      <c r="A94" s="1">
        <v>46157</v>
      </c>
      <c r="B94" s="33">
        <v>60.91</v>
      </c>
      <c r="C94" s="33">
        <v>145.1</v>
      </c>
      <c r="D94" s="15">
        <v>-1.24002241550082E-2</v>
      </c>
      <c r="E94" s="15">
        <v>-1.0489247098845699E-2</v>
      </c>
      <c r="F94" s="33">
        <v>0</v>
      </c>
      <c r="G94" s="33">
        <v>0.19481999999999999</v>
      </c>
      <c r="H94" s="33">
        <v>0</v>
      </c>
      <c r="I94" s="33">
        <v>0.59467999999999999</v>
      </c>
      <c r="J94" s="33">
        <v>0</v>
      </c>
      <c r="K94" s="33">
        <v>0</v>
      </c>
      <c r="L94" s="33">
        <v>60.91</v>
      </c>
      <c r="M94" s="33">
        <v>145.1</v>
      </c>
      <c r="N94" s="34">
        <v>2.3822032506977502</v>
      </c>
      <c r="O94" s="34">
        <v>2.3788372149221799</v>
      </c>
      <c r="P94" s="34">
        <v>2.3750597922590302</v>
      </c>
      <c r="Q94" s="34">
        <v>2.3765153533476999</v>
      </c>
      <c r="R94" s="33">
        <v>144.89497476091</v>
      </c>
      <c r="S94" s="33">
        <v>144.632860834658</v>
      </c>
      <c r="T94" s="33">
        <v>144.731916493238</v>
      </c>
      <c r="U94" s="15">
        <v>-1.41399190395694E-3</v>
      </c>
      <c r="V94" s="15">
        <v>-3.22462263188773E-3</v>
      </c>
      <c r="W94" s="15">
        <v>-2.5399804763098399E-3</v>
      </c>
      <c r="X94" s="34">
        <v>2.3822032506977502</v>
      </c>
      <c r="Y94" s="34">
        <v>2.3785236560114398</v>
      </c>
      <c r="Z94" s="34">
        <v>2.3750597922590302</v>
      </c>
      <c r="AA94" s="34">
        <v>2.3765153533476999</v>
      </c>
      <c r="AB94" s="33">
        <v>144.875875887657</v>
      </c>
      <c r="AC94" s="33">
        <v>144.632860834658</v>
      </c>
      <c r="AD94" s="33">
        <v>144.731916493238</v>
      </c>
      <c r="AE94" s="15">
        <v>-1.54581243205806E-3</v>
      </c>
      <c r="AF94" s="15">
        <v>-3.22462263188773E-3</v>
      </c>
      <c r="AG94" s="15">
        <v>-2.5399804763098399E-3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2.6012559594189512E-3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9.9436920353440095E-3</v>
      </c>
      <c r="BE94" s="29">
        <f t="shared" si="42"/>
        <v>0</v>
      </c>
      <c r="BF94" s="29">
        <f t="shared" si="43"/>
        <v>1.254494799476296E-2</v>
      </c>
      <c r="BH94" s="29"/>
    </row>
    <row r="95" spans="1:60" x14ac:dyDescent="0.25">
      <c r="A95" s="1">
        <v>46160</v>
      </c>
      <c r="B95" s="33">
        <v>61.15</v>
      </c>
      <c r="C95" s="33">
        <v>145.72</v>
      </c>
      <c r="D95" s="15">
        <v>3.93249728478805E-3</v>
      </c>
      <c r="E95" s="15">
        <v>4.2638122502209799E-3</v>
      </c>
      <c r="F95" s="33">
        <v>0</v>
      </c>
      <c r="G95" s="33">
        <v>0.19481999999999999</v>
      </c>
      <c r="H95" s="33">
        <v>0</v>
      </c>
      <c r="I95" s="33">
        <v>0.59467999999999999</v>
      </c>
      <c r="J95" s="33">
        <v>0</v>
      </c>
      <c r="K95" s="33">
        <v>0</v>
      </c>
      <c r="L95" s="33">
        <v>61.15</v>
      </c>
      <c r="M95" s="33">
        <v>145.72</v>
      </c>
      <c r="N95" s="34">
        <v>2.3829926410466</v>
      </c>
      <c r="O95" s="34">
        <v>2.3788372149221799</v>
      </c>
      <c r="P95" s="34">
        <v>2.37598001749212</v>
      </c>
      <c r="Q95" s="34">
        <v>2.3769310936474501</v>
      </c>
      <c r="R95" s="33">
        <v>145.46589569249099</v>
      </c>
      <c r="S95" s="33">
        <v>145.23490629663999</v>
      </c>
      <c r="T95" s="33">
        <v>145.32391385721201</v>
      </c>
      <c r="U95" s="15">
        <v>-1.7453068693897599E-3</v>
      </c>
      <c r="V95" s="15">
        <v>-3.3344971494646898E-3</v>
      </c>
      <c r="W95" s="15">
        <v>-2.7218324689762502E-3</v>
      </c>
      <c r="X95" s="34">
        <v>2.3829926410466</v>
      </c>
      <c r="Y95" s="34">
        <v>2.3785236560114398</v>
      </c>
      <c r="Z95" s="34">
        <v>2.37598001749212</v>
      </c>
      <c r="AA95" s="34">
        <v>2.3769310936474501</v>
      </c>
      <c r="AB95" s="33">
        <v>145.44672156510001</v>
      </c>
      <c r="AC95" s="33">
        <v>145.23490629663999</v>
      </c>
      <c r="AD95" s="33">
        <v>145.32391385721201</v>
      </c>
      <c r="AE95" s="15">
        <v>-1.8771273974908999E-3</v>
      </c>
      <c r="AF95" s="15">
        <v>-3.3344971494646898E-3</v>
      </c>
      <c r="AG95" s="15">
        <v>-2.72183246897614E-3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2.6012559594189512E-3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9.9436920353440095E-3</v>
      </c>
      <c r="BE95" s="29">
        <f t="shared" si="42"/>
        <v>0</v>
      </c>
      <c r="BF95" s="29">
        <f t="shared" si="43"/>
        <v>1.254494799476296E-2</v>
      </c>
      <c r="BH95" s="29"/>
    </row>
    <row r="96" spans="1:60" x14ac:dyDescent="0.25">
      <c r="A96" s="1">
        <v>46161</v>
      </c>
      <c r="B96" s="33">
        <v>61.84</v>
      </c>
      <c r="C96" s="33">
        <v>147.32</v>
      </c>
      <c r="D96" s="15">
        <v>1.12205421459852E-2</v>
      </c>
      <c r="E96" s="15">
        <v>1.09201194365014E-2</v>
      </c>
      <c r="F96" s="33">
        <v>0</v>
      </c>
      <c r="G96" s="33">
        <v>0.19481999999999999</v>
      </c>
      <c r="H96" s="33">
        <v>0</v>
      </c>
      <c r="I96" s="33">
        <v>0.59467999999999999</v>
      </c>
      <c r="J96" s="33">
        <v>0</v>
      </c>
      <c r="K96" s="33">
        <v>0</v>
      </c>
      <c r="L96" s="33">
        <v>61.84</v>
      </c>
      <c r="M96" s="33">
        <v>147.32</v>
      </c>
      <c r="N96" s="34">
        <v>2.3822768434670101</v>
      </c>
      <c r="O96" s="34">
        <v>2.3788372149221799</v>
      </c>
      <c r="P96" s="34">
        <v>2.3767506010053498</v>
      </c>
      <c r="Q96" s="34">
        <v>2.3772949358208</v>
      </c>
      <c r="R96" s="33">
        <v>147.107293370787</v>
      </c>
      <c r="S96" s="33">
        <v>146.93060428171199</v>
      </c>
      <c r="T96" s="33">
        <v>146.98941883115799</v>
      </c>
      <c r="U96" s="15">
        <v>-1.44488415990605E-3</v>
      </c>
      <c r="V96" s="15">
        <v>-2.6466959790790502E-3</v>
      </c>
      <c r="W96" s="15">
        <v>-2.2464881292820101E-3</v>
      </c>
      <c r="X96" s="34">
        <v>2.3822768434670101</v>
      </c>
      <c r="Y96" s="34">
        <v>2.3785236560114398</v>
      </c>
      <c r="Z96" s="34">
        <v>2.3767506010053498</v>
      </c>
      <c r="AA96" s="34">
        <v>2.3772949358208</v>
      </c>
      <c r="AB96" s="33">
        <v>147.08790288774799</v>
      </c>
      <c r="AC96" s="33">
        <v>146.93060428171199</v>
      </c>
      <c r="AD96" s="33">
        <v>146.98941883115799</v>
      </c>
      <c r="AE96" s="15">
        <v>-1.5767046880071701E-3</v>
      </c>
      <c r="AF96" s="15">
        <v>-2.6466959790790502E-3</v>
      </c>
      <c r="AG96" s="15">
        <v>-2.2464881292820101E-3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2.6012559594189512E-3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9.9436920353440095E-3</v>
      </c>
      <c r="BE96" s="29">
        <f t="shared" si="42"/>
        <v>0</v>
      </c>
      <c r="BF96" s="29">
        <f t="shared" si="43"/>
        <v>1.254494799476296E-2</v>
      </c>
      <c r="BH96" s="29"/>
    </row>
    <row r="97" spans="1:60" x14ac:dyDescent="0.25">
      <c r="A97" s="1">
        <v>46162</v>
      </c>
      <c r="B97" s="33">
        <v>61.89</v>
      </c>
      <c r="C97" s="33">
        <v>147.13</v>
      </c>
      <c r="D97" s="15">
        <v>8.08211472103524E-4</v>
      </c>
      <c r="E97" s="15">
        <v>-1.2905418670088699E-3</v>
      </c>
      <c r="F97" s="33">
        <v>0</v>
      </c>
      <c r="G97" s="33">
        <v>0.19481999999999999</v>
      </c>
      <c r="H97" s="33">
        <v>0</v>
      </c>
      <c r="I97" s="33">
        <v>0.59467999999999999</v>
      </c>
      <c r="J97" s="33">
        <v>0</v>
      </c>
      <c r="K97" s="33">
        <v>0</v>
      </c>
      <c r="L97" s="33">
        <v>61.89</v>
      </c>
      <c r="M97" s="33">
        <v>147.13</v>
      </c>
      <c r="N97" s="34">
        <v>2.3772822750040299</v>
      </c>
      <c r="O97" s="34">
        <v>2.3788372149221799</v>
      </c>
      <c r="P97" s="34">
        <v>2.3779021932958599</v>
      </c>
      <c r="Q97" s="34">
        <v>2.3775366832825102</v>
      </c>
      <c r="R97" s="33">
        <v>147.226235231533</v>
      </c>
      <c r="S97" s="33">
        <v>147.09709469622101</v>
      </c>
      <c r="T97" s="33">
        <v>147.13078357794899</v>
      </c>
      <c r="U97" s="15">
        <v>6.5386917920641605E-4</v>
      </c>
      <c r="V97" s="15">
        <v>-2.2367283305401499E-4</v>
      </c>
      <c r="W97" s="15">
        <v>5.3257382133221996E-6</v>
      </c>
      <c r="X97" s="34">
        <v>2.3772822750040299</v>
      </c>
      <c r="Y97" s="34">
        <v>2.3785236560114398</v>
      </c>
      <c r="Z97" s="34">
        <v>2.3779021932958599</v>
      </c>
      <c r="AA97" s="34">
        <v>2.3775366832825102</v>
      </c>
      <c r="AB97" s="33">
        <v>147.206829070548</v>
      </c>
      <c r="AC97" s="33">
        <v>147.09709469622101</v>
      </c>
      <c r="AD97" s="33">
        <v>147.13078357794899</v>
      </c>
      <c r="AE97" s="15">
        <v>5.2204865110544701E-4</v>
      </c>
      <c r="AF97" s="15">
        <v>-2.2367283305401499E-4</v>
      </c>
      <c r="AG97" s="15">
        <v>5.3257382133221996E-6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2.6012559594189512E-3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9.9436920353440095E-3</v>
      </c>
      <c r="BE97" s="29">
        <f t="shared" si="42"/>
        <v>0</v>
      </c>
      <c r="BF97" s="29">
        <f t="shared" si="43"/>
        <v>1.254494799476296E-2</v>
      </c>
      <c r="BH97" s="29"/>
    </row>
    <row r="98" spans="1:60" x14ac:dyDescent="0.25">
      <c r="A98" s="1">
        <v>46163</v>
      </c>
      <c r="B98" s="33">
        <v>62.29</v>
      </c>
      <c r="C98" s="33">
        <v>148.15</v>
      </c>
      <c r="D98" s="15">
        <v>6.4422835147839698E-3</v>
      </c>
      <c r="E98" s="15">
        <v>6.9087243097187704E-3</v>
      </c>
      <c r="F98" s="33">
        <v>0</v>
      </c>
      <c r="G98" s="33">
        <v>0.19481999999999999</v>
      </c>
      <c r="H98" s="33">
        <v>0</v>
      </c>
      <c r="I98" s="33">
        <v>0.59467999999999999</v>
      </c>
      <c r="J98" s="33">
        <v>0</v>
      </c>
      <c r="K98" s="33">
        <v>0</v>
      </c>
      <c r="L98" s="33">
        <v>62.29</v>
      </c>
      <c r="M98" s="33">
        <v>148.15</v>
      </c>
      <c r="N98" s="34">
        <v>2.37839139508749</v>
      </c>
      <c r="O98" s="34">
        <v>2.3788372149221799</v>
      </c>
      <c r="P98" s="34">
        <v>2.3783008077840999</v>
      </c>
      <c r="Q98" s="34">
        <v>2.37744583637022</v>
      </c>
      <c r="R98" s="33">
        <v>148.17777011750201</v>
      </c>
      <c r="S98" s="33">
        <v>148.119527620399</v>
      </c>
      <c r="T98" s="33">
        <v>148.096760001668</v>
      </c>
      <c r="U98" s="15">
        <v>1.8742838427176801E-4</v>
      </c>
      <c r="V98" s="15">
        <v>-2.0570714749451699E-4</v>
      </c>
      <c r="W98" s="15">
        <v>-3.5943008392588701E-4</v>
      </c>
      <c r="X98" s="34">
        <v>2.37839139508749</v>
      </c>
      <c r="Y98" s="34">
        <v>2.3785236560114398</v>
      </c>
      <c r="Z98" s="34">
        <v>2.3783008077840999</v>
      </c>
      <c r="AA98" s="34">
        <v>2.37744583637022</v>
      </c>
      <c r="AB98" s="33">
        <v>148.15823853295299</v>
      </c>
      <c r="AC98" s="33">
        <v>148.119527620399</v>
      </c>
      <c r="AD98" s="33">
        <v>148.096760001668</v>
      </c>
      <c r="AE98" s="15">
        <v>5.56078561705882E-5</v>
      </c>
      <c r="AF98" s="15">
        <v>-2.0570714749451699E-4</v>
      </c>
      <c r="AG98" s="15">
        <v>-3.5943008392588701E-4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2.6012559594189512E-3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9.9436920353440095E-3</v>
      </c>
      <c r="BE98" s="29">
        <f t="shared" si="42"/>
        <v>0</v>
      </c>
      <c r="BF98" s="29">
        <f t="shared" si="43"/>
        <v>1.254494799476296E-2</v>
      </c>
      <c r="BH98" s="29"/>
    </row>
    <row r="99" spans="1:60" x14ac:dyDescent="0.25">
      <c r="A99" s="1">
        <v>46164</v>
      </c>
      <c r="B99" s="33">
        <v>62.98</v>
      </c>
      <c r="C99" s="33">
        <v>149.88999999999999</v>
      </c>
      <c r="D99" s="15">
        <v>1.10163164068243E-2</v>
      </c>
      <c r="E99" s="15">
        <v>1.16764177229299E-2</v>
      </c>
      <c r="F99" s="33">
        <v>0</v>
      </c>
      <c r="G99" s="33">
        <v>0.19481999999999999</v>
      </c>
      <c r="H99" s="33">
        <v>0</v>
      </c>
      <c r="I99" s="33">
        <v>0.59467999999999999</v>
      </c>
      <c r="J99" s="33">
        <v>0</v>
      </c>
      <c r="K99" s="33">
        <v>0</v>
      </c>
      <c r="L99" s="33">
        <v>62.98</v>
      </c>
      <c r="M99" s="33">
        <v>149.88999999999999</v>
      </c>
      <c r="N99" s="34">
        <v>2.3799618926643298</v>
      </c>
      <c r="O99" s="34">
        <v>2.3788372149221799</v>
      </c>
      <c r="P99" s="34">
        <v>2.37880941015877</v>
      </c>
      <c r="Q99" s="34">
        <v>2.37760120103311</v>
      </c>
      <c r="R99" s="33">
        <v>149.81916779579899</v>
      </c>
      <c r="S99" s="33">
        <v>149.785384874242</v>
      </c>
      <c r="T99" s="33">
        <v>149.731538774596</v>
      </c>
      <c r="U99" s="15">
        <v>-4.7267293183397499E-4</v>
      </c>
      <c r="V99" s="15">
        <v>-6.9818967647793302E-4</v>
      </c>
      <c r="W99" s="15">
        <v>-1.05774264977971E-3</v>
      </c>
      <c r="X99" s="34">
        <v>2.3799618926643298</v>
      </c>
      <c r="Y99" s="34">
        <v>2.3785236560114398</v>
      </c>
      <c r="Z99" s="34">
        <v>2.37880941015877</v>
      </c>
      <c r="AA99" s="34">
        <v>2.37760120103311</v>
      </c>
      <c r="AB99" s="33">
        <v>149.799419855601</v>
      </c>
      <c r="AC99" s="33">
        <v>149.785384874242</v>
      </c>
      <c r="AD99" s="33">
        <v>149.731538774596</v>
      </c>
      <c r="AE99" s="15">
        <v>-6.0449345993499005E-4</v>
      </c>
      <c r="AF99" s="15">
        <v>-6.9818967647793302E-4</v>
      </c>
      <c r="AG99" s="15">
        <v>-1.05774264977982E-3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2.6012559594189512E-3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9.9436920353440095E-3</v>
      </c>
      <c r="BE99" s="29">
        <f t="shared" si="42"/>
        <v>0</v>
      </c>
      <c r="BF99" s="29">
        <f t="shared" si="43"/>
        <v>1.254494799476296E-2</v>
      </c>
      <c r="BH99" s="29"/>
    </row>
    <row r="100" spans="1:60" x14ac:dyDescent="0.25">
      <c r="A100" s="1">
        <v>46168</v>
      </c>
      <c r="B100" s="33">
        <v>62.5</v>
      </c>
      <c r="C100" s="33">
        <v>148.51</v>
      </c>
      <c r="D100" s="15">
        <v>-7.6506589305227303E-3</v>
      </c>
      <c r="E100" s="15">
        <v>-9.2493956996505897E-3</v>
      </c>
      <c r="F100" s="33">
        <v>0</v>
      </c>
      <c r="G100" s="33">
        <v>0.19481999999999999</v>
      </c>
      <c r="H100" s="33">
        <v>0</v>
      </c>
      <c r="I100" s="33">
        <v>0.59467999999999999</v>
      </c>
      <c r="J100" s="33">
        <v>0</v>
      </c>
      <c r="K100" s="33">
        <v>0</v>
      </c>
      <c r="L100" s="33">
        <v>62.5</v>
      </c>
      <c r="M100" s="33">
        <v>148.51</v>
      </c>
      <c r="N100" s="34">
        <v>2.37616</v>
      </c>
      <c r="O100" s="34">
        <v>2.3788372149221799</v>
      </c>
      <c r="P100" s="34">
        <v>2.3789357870473702</v>
      </c>
      <c r="Q100" s="34">
        <v>2.37751312942695</v>
      </c>
      <c r="R100" s="33">
        <v>148.67732593263599</v>
      </c>
      <c r="S100" s="33">
        <v>148.675588134923</v>
      </c>
      <c r="T100" s="33">
        <v>148.60007506456901</v>
      </c>
      <c r="U100" s="15">
        <v>1.1260638372938799E-3</v>
      </c>
      <c r="V100" s="15">
        <v>1.1143753847486101E-3</v>
      </c>
      <c r="W100" s="15">
        <v>6.0634138583065002E-4</v>
      </c>
      <c r="X100" s="34">
        <v>2.37616</v>
      </c>
      <c r="Y100" s="34">
        <v>2.3785236560114398</v>
      </c>
      <c r="Z100" s="34">
        <v>2.3789357870473702</v>
      </c>
      <c r="AA100" s="34">
        <v>2.37751312942695</v>
      </c>
      <c r="AB100" s="33">
        <v>148.657728500715</v>
      </c>
      <c r="AC100" s="33">
        <v>148.675588134923</v>
      </c>
      <c r="AD100" s="33">
        <v>148.60007506456901</v>
      </c>
      <c r="AE100" s="15">
        <v>9.9424330919284094E-4</v>
      </c>
      <c r="AF100" s="15">
        <v>1.1143753847486101E-3</v>
      </c>
      <c r="AG100" s="15">
        <v>6.0634138583065002E-4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2.6012559594189512E-3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9.9436920353440095E-3</v>
      </c>
      <c r="BE100" s="29">
        <f t="shared" si="42"/>
        <v>0</v>
      </c>
      <c r="BF100" s="29">
        <f t="shared" si="43"/>
        <v>1.254494799476296E-2</v>
      </c>
      <c r="BH100" s="29"/>
    </row>
    <row r="101" spans="1:60" x14ac:dyDescent="0.25">
      <c r="A101" s="1">
        <v>46169</v>
      </c>
      <c r="B101" s="33">
        <v>62.6</v>
      </c>
      <c r="C101" s="33">
        <v>148.79</v>
      </c>
      <c r="D101" s="15">
        <v>1.5987213636970701E-3</v>
      </c>
      <c r="E101" s="15">
        <v>1.8836197967521001E-3</v>
      </c>
      <c r="F101" s="33">
        <v>0</v>
      </c>
      <c r="G101" s="33">
        <v>0.19481999999999999</v>
      </c>
      <c r="H101" s="33">
        <v>0</v>
      </c>
      <c r="I101" s="33">
        <v>0.59467999999999999</v>
      </c>
      <c r="J101" s="33">
        <v>0</v>
      </c>
      <c r="K101" s="33">
        <v>0</v>
      </c>
      <c r="L101" s="33">
        <v>62.6</v>
      </c>
      <c r="M101" s="33">
        <v>148.79</v>
      </c>
      <c r="N101" s="34">
        <v>2.3768370607028699</v>
      </c>
      <c r="O101" s="34">
        <v>2.3788372149221799</v>
      </c>
      <c r="P101" s="34">
        <v>2.3790400827902398</v>
      </c>
      <c r="Q101" s="34">
        <v>2.37726241746789</v>
      </c>
      <c r="R101" s="33">
        <v>148.91520965412801</v>
      </c>
      <c r="S101" s="33">
        <v>148.92138026916501</v>
      </c>
      <c r="T101" s="33">
        <v>148.83232190212701</v>
      </c>
      <c r="U101" s="15">
        <v>8.4116540423873304E-4</v>
      </c>
      <c r="V101" s="15">
        <v>8.8260164979548402E-4</v>
      </c>
      <c r="W101" s="15">
        <v>2.8440005535782702E-4</v>
      </c>
      <c r="X101" s="34">
        <v>2.3768370607028699</v>
      </c>
      <c r="Y101" s="34">
        <v>2.3785236560114398</v>
      </c>
      <c r="Z101" s="34">
        <v>2.3790400827902398</v>
      </c>
      <c r="AA101" s="34">
        <v>2.37726241746789</v>
      </c>
      <c r="AB101" s="33">
        <v>148.89558086631601</v>
      </c>
      <c r="AC101" s="33">
        <v>148.92138026916501</v>
      </c>
      <c r="AD101" s="33">
        <v>148.83232190212701</v>
      </c>
      <c r="AE101" s="15">
        <v>7.0934487613772204E-4</v>
      </c>
      <c r="AF101" s="15">
        <v>8.8260164979526295E-4</v>
      </c>
      <c r="AG101" s="15">
        <v>2.8440005535782702E-4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2.6012559594189512E-3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9.9436920353440095E-3</v>
      </c>
      <c r="BE101" s="29">
        <f t="shared" si="42"/>
        <v>0</v>
      </c>
      <c r="BF101" s="29">
        <f t="shared" si="43"/>
        <v>1.254494799476296E-2</v>
      </c>
      <c r="BH101" s="29"/>
    </row>
    <row r="102" spans="1:60" x14ac:dyDescent="0.25">
      <c r="A102" s="1">
        <v>46170</v>
      </c>
      <c r="B102" s="33">
        <v>63.52</v>
      </c>
      <c r="C102" s="33">
        <v>150.88</v>
      </c>
      <c r="D102" s="15">
        <v>1.45895388328274E-2</v>
      </c>
      <c r="E102" s="15">
        <v>1.3948903045541401E-2</v>
      </c>
      <c r="F102" s="33">
        <v>0</v>
      </c>
      <c r="G102" s="33">
        <v>0.19481999999999999</v>
      </c>
      <c r="H102" s="33">
        <v>0</v>
      </c>
      <c r="I102" s="33">
        <v>0.59467999999999999</v>
      </c>
      <c r="J102" s="33">
        <v>0</v>
      </c>
      <c r="K102" s="33">
        <v>0</v>
      </c>
      <c r="L102" s="33">
        <v>63.52</v>
      </c>
      <c r="M102" s="33">
        <v>150.88</v>
      </c>
      <c r="N102" s="34">
        <v>2.3753148614609501</v>
      </c>
      <c r="O102" s="34">
        <v>2.3788372149221799</v>
      </c>
      <c r="P102" s="34">
        <v>2.3789075482008801</v>
      </c>
      <c r="Q102" s="34">
        <v>2.3769551361994901</v>
      </c>
      <c r="R102" s="33">
        <v>151.10373989185601</v>
      </c>
      <c r="S102" s="33">
        <v>151.116626058836</v>
      </c>
      <c r="T102" s="33">
        <v>151.00370875755999</v>
      </c>
      <c r="U102" s="15">
        <v>1.48180119152486E-3</v>
      </c>
      <c r="V102" s="15">
        <v>1.5670778203629701E-3</v>
      </c>
      <c r="W102" s="15">
        <v>8.1957893649996596E-4</v>
      </c>
      <c r="X102" s="34">
        <v>2.3753148614609501</v>
      </c>
      <c r="Y102" s="34">
        <v>2.3785236560114398</v>
      </c>
      <c r="Z102" s="34">
        <v>2.3789075482008801</v>
      </c>
      <c r="AA102" s="34">
        <v>2.3769551361994901</v>
      </c>
      <c r="AB102" s="33">
        <v>151.08382262984699</v>
      </c>
      <c r="AC102" s="33">
        <v>151.116626058836</v>
      </c>
      <c r="AD102" s="33">
        <v>151.00370875755999</v>
      </c>
      <c r="AE102" s="15">
        <v>1.34998066342362E-3</v>
      </c>
      <c r="AF102" s="15">
        <v>1.56707782036319E-3</v>
      </c>
      <c r="AG102" s="15">
        <v>8.1957893650018703E-4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2.6012559594189512E-3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9.9436920353440095E-3</v>
      </c>
      <c r="BE102" s="29">
        <f t="shared" si="42"/>
        <v>0</v>
      </c>
      <c r="BF102" s="29">
        <f t="shared" si="43"/>
        <v>1.254494799476296E-2</v>
      </c>
      <c r="BH102" s="29"/>
    </row>
    <row r="103" spans="1:60" x14ac:dyDescent="0.25">
      <c r="A103" s="1">
        <v>46171</v>
      </c>
      <c r="B103" s="33">
        <v>63.03</v>
      </c>
      <c r="C103" s="33">
        <v>149.47</v>
      </c>
      <c r="D103" s="15">
        <v>-7.7440134138615398E-3</v>
      </c>
      <c r="E103" s="15">
        <v>-9.3891150874241998E-3</v>
      </c>
      <c r="F103" s="33">
        <v>0</v>
      </c>
      <c r="G103" s="33">
        <v>0.19481999999999999</v>
      </c>
      <c r="H103" s="33">
        <v>0</v>
      </c>
      <c r="I103" s="33">
        <v>0.59467999999999999</v>
      </c>
      <c r="J103" s="33">
        <v>0</v>
      </c>
      <c r="K103" s="33">
        <v>0</v>
      </c>
      <c r="L103" s="33">
        <v>63.03</v>
      </c>
      <c r="M103" s="33">
        <v>149.47</v>
      </c>
      <c r="N103" s="34">
        <v>2.37141043947326</v>
      </c>
      <c r="O103" s="34">
        <v>2.3788372149221799</v>
      </c>
      <c r="P103" s="34">
        <v>2.3782830659604302</v>
      </c>
      <c r="Q103" s="34">
        <v>2.3764084910713201</v>
      </c>
      <c r="R103" s="33">
        <v>149.93810965654501</v>
      </c>
      <c r="S103" s="33">
        <v>149.94254276310099</v>
      </c>
      <c r="T103" s="33">
        <v>149.81948223465301</v>
      </c>
      <c r="U103" s="15">
        <v>3.1269028650875198E-3</v>
      </c>
      <c r="V103" s="15">
        <v>3.1564686708234701E-3</v>
      </c>
      <c r="W103" s="15">
        <v>2.3354137999687498E-3</v>
      </c>
      <c r="X103" s="34">
        <v>2.37141043947326</v>
      </c>
      <c r="Y103" s="34">
        <v>2.3785236560114398</v>
      </c>
      <c r="Z103" s="34">
        <v>2.3782830659604302</v>
      </c>
      <c r="AA103" s="34">
        <v>2.3764084910713201</v>
      </c>
      <c r="AB103" s="33">
        <v>149.91834603840101</v>
      </c>
      <c r="AC103" s="33">
        <v>149.94254276310099</v>
      </c>
      <c r="AD103" s="33">
        <v>149.81948223465301</v>
      </c>
      <c r="AE103" s="15">
        <v>2.9950823369864201E-3</v>
      </c>
      <c r="AF103" s="15">
        <v>3.1564686708236999E-3</v>
      </c>
      <c r="AG103" s="15">
        <v>2.3354137999687498E-3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2.6012559594189512E-3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9.9436920353440095E-3</v>
      </c>
      <c r="BE103" s="29">
        <f t="shared" si="42"/>
        <v>0</v>
      </c>
      <c r="BF103" s="29">
        <f t="shared" si="43"/>
        <v>1.254494799476296E-2</v>
      </c>
      <c r="BH103" s="29"/>
    </row>
    <row r="104" spans="1:60" x14ac:dyDescent="0.25">
      <c r="A104" s="1">
        <v>46174</v>
      </c>
      <c r="B104" s="33">
        <v>62.3</v>
      </c>
      <c r="C104" s="33">
        <v>147.84</v>
      </c>
      <c r="D104" s="15">
        <v>-1.16493777316113E-2</v>
      </c>
      <c r="E104" s="15">
        <v>-1.0965095904349E-2</v>
      </c>
      <c r="F104" s="33">
        <v>0</v>
      </c>
      <c r="G104" s="33">
        <v>0.19481999999999999</v>
      </c>
      <c r="H104" s="33">
        <v>0</v>
      </c>
      <c r="I104" s="33">
        <v>0.59467999999999999</v>
      </c>
      <c r="J104" s="33">
        <v>0</v>
      </c>
      <c r="K104" s="33">
        <v>0</v>
      </c>
      <c r="L104" s="33">
        <v>62.3</v>
      </c>
      <c r="M104" s="33">
        <v>147.84</v>
      </c>
      <c r="N104" s="34">
        <v>2.3730337078651602</v>
      </c>
      <c r="O104" s="34">
        <v>2.3788372149221799</v>
      </c>
      <c r="P104" s="34">
        <v>2.37736611167717</v>
      </c>
      <c r="Q104" s="34">
        <v>2.3762129519681001</v>
      </c>
      <c r="R104" s="33">
        <v>148.20155848965101</v>
      </c>
      <c r="S104" s="33">
        <v>148.167035009335</v>
      </c>
      <c r="T104" s="33">
        <v>148.050248993743</v>
      </c>
      <c r="U104" s="15">
        <v>2.4426210378252198E-3</v>
      </c>
      <c r="V104" s="15">
        <v>2.2096443916467898E-3</v>
      </c>
      <c r="W104" s="15">
        <v>1.42112847478841E-3</v>
      </c>
      <c r="X104" s="34">
        <v>2.3730337078651602</v>
      </c>
      <c r="Y104" s="34">
        <v>2.3785236560114398</v>
      </c>
      <c r="Z104" s="34">
        <v>2.37736611167717</v>
      </c>
      <c r="AA104" s="34">
        <v>2.3762129519681001</v>
      </c>
      <c r="AB104" s="33">
        <v>148.18202376951299</v>
      </c>
      <c r="AC104" s="33">
        <v>148.167035009335</v>
      </c>
      <c r="AD104" s="33">
        <v>148.050248993743</v>
      </c>
      <c r="AE104" s="15">
        <v>2.3108005097240499E-3</v>
      </c>
      <c r="AF104" s="15">
        <v>2.2096443916467898E-3</v>
      </c>
      <c r="AG104" s="15">
        <v>1.42112847478841E-3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2.6012559594189512E-3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9.9436920353440095E-3</v>
      </c>
      <c r="BE104" s="29">
        <f t="shared" si="42"/>
        <v>0</v>
      </c>
      <c r="BF104" s="29">
        <f t="shared" si="43"/>
        <v>1.254494799476296E-2</v>
      </c>
      <c r="BH104" s="29"/>
    </row>
    <row r="105" spans="1:60" x14ac:dyDescent="0.25">
      <c r="A105" s="1">
        <v>46175</v>
      </c>
      <c r="B105" s="33">
        <v>61.59</v>
      </c>
      <c r="C105" s="33">
        <v>146.4</v>
      </c>
      <c r="D105" s="15">
        <v>-1.1461906094455399E-2</v>
      </c>
      <c r="E105" s="15">
        <v>-9.7880063661628207E-3</v>
      </c>
      <c r="F105" s="33">
        <v>0</v>
      </c>
      <c r="G105" s="33">
        <v>0.19481999999999999</v>
      </c>
      <c r="H105" s="33">
        <v>0</v>
      </c>
      <c r="I105" s="33">
        <v>0.59467999999999999</v>
      </c>
      <c r="J105" s="33">
        <v>0</v>
      </c>
      <c r="K105" s="33">
        <v>0</v>
      </c>
      <c r="L105" s="33">
        <v>61.59</v>
      </c>
      <c r="M105" s="33">
        <v>146.4</v>
      </c>
      <c r="N105" s="34">
        <v>2.3770092547491402</v>
      </c>
      <c r="O105" s="34">
        <v>2.3788372149221799</v>
      </c>
      <c r="P105" s="34">
        <v>2.3767677730474199</v>
      </c>
      <c r="Q105" s="34">
        <v>2.3763738952697699</v>
      </c>
      <c r="R105" s="33">
        <v>146.51258406705699</v>
      </c>
      <c r="S105" s="33">
        <v>146.421978818197</v>
      </c>
      <c r="T105" s="33">
        <v>146.35095571171499</v>
      </c>
      <c r="U105" s="15">
        <v>7.6872130953274903E-4</v>
      </c>
      <c r="V105" s="15">
        <v>1.50117271437403E-4</v>
      </c>
      <c r="W105" s="15">
        <v>-3.35058094850532E-4</v>
      </c>
      <c r="X105" s="34">
        <v>2.3770092547491402</v>
      </c>
      <c r="Y105" s="34">
        <v>2.3785236560114398</v>
      </c>
      <c r="Z105" s="34">
        <v>2.3767677730474199</v>
      </c>
      <c r="AA105" s="34">
        <v>2.3763738952697699</v>
      </c>
      <c r="AB105" s="33">
        <v>146.49327197374501</v>
      </c>
      <c r="AC105" s="33">
        <v>146.421978818197</v>
      </c>
      <c r="AD105" s="33">
        <v>146.35095571171499</v>
      </c>
      <c r="AE105" s="15">
        <v>6.3690078143137396E-4</v>
      </c>
      <c r="AF105" s="15">
        <v>1.5011727143718101E-4</v>
      </c>
      <c r="AG105" s="15">
        <v>-3.3505809485031001E-4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2.6012559594189512E-3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9.9436920353440095E-3</v>
      </c>
      <c r="BE105" s="29">
        <f t="shared" si="42"/>
        <v>0</v>
      </c>
      <c r="BF105" s="29">
        <f t="shared" si="43"/>
        <v>1.254494799476296E-2</v>
      </c>
      <c r="BH105" s="29"/>
    </row>
    <row r="106" spans="1:60" x14ac:dyDescent="0.25">
      <c r="A106" s="1">
        <v>46176</v>
      </c>
      <c r="B106" s="33">
        <v>62.18</v>
      </c>
      <c r="C106" s="33">
        <v>147.55000000000001</v>
      </c>
      <c r="D106" s="15">
        <v>9.5338849316556999E-3</v>
      </c>
      <c r="E106" s="15">
        <v>7.8244998617371699E-3</v>
      </c>
      <c r="F106" s="33">
        <v>0</v>
      </c>
      <c r="G106" s="33">
        <v>0.19481999999999999</v>
      </c>
      <c r="H106" s="33">
        <v>0</v>
      </c>
      <c r="I106" s="33">
        <v>0.59467999999999999</v>
      </c>
      <c r="J106" s="33">
        <v>0</v>
      </c>
      <c r="K106" s="33">
        <v>0</v>
      </c>
      <c r="L106" s="33">
        <v>62.18</v>
      </c>
      <c r="M106" s="33">
        <v>147.55000000000001</v>
      </c>
      <c r="N106" s="34">
        <v>2.37294950144741</v>
      </c>
      <c r="O106" s="34">
        <v>2.3788372149221799</v>
      </c>
      <c r="P106" s="34">
        <v>2.3758350388454699</v>
      </c>
      <c r="Q106" s="34">
        <v>2.3762928199254101</v>
      </c>
      <c r="R106" s="33">
        <v>147.916098023861</v>
      </c>
      <c r="S106" s="33">
        <v>147.787420128089</v>
      </c>
      <c r="T106" s="33">
        <v>147.762928807874</v>
      </c>
      <c r="U106" s="15">
        <v>2.47810637945119E-3</v>
      </c>
      <c r="V106" s="15">
        <v>1.60778934907864E-3</v>
      </c>
      <c r="W106" s="15">
        <v>1.4420556907777399E-3</v>
      </c>
      <c r="X106" s="34">
        <v>2.37294950144741</v>
      </c>
      <c r="Y106" s="34">
        <v>2.3785236560114398</v>
      </c>
      <c r="Z106" s="34">
        <v>2.3758350388454699</v>
      </c>
      <c r="AA106" s="34">
        <v>2.3762928199254101</v>
      </c>
      <c r="AB106" s="33">
        <v>147.89660093079101</v>
      </c>
      <c r="AC106" s="33">
        <v>147.787420128089</v>
      </c>
      <c r="AD106" s="33">
        <v>147.762928807874</v>
      </c>
      <c r="AE106" s="15">
        <v>2.3462858513500699E-3</v>
      </c>
      <c r="AF106" s="15">
        <v>1.60778934907864E-3</v>
      </c>
      <c r="AG106" s="15">
        <v>1.4420556907777399E-3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2.6012559594189512E-3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9.9436920353440095E-3</v>
      </c>
      <c r="BE106" s="29">
        <f t="shared" si="42"/>
        <v>0</v>
      </c>
      <c r="BF106" s="29">
        <f t="shared" si="43"/>
        <v>1.254494799476296E-2</v>
      </c>
      <c r="BH106" s="29"/>
    </row>
    <row r="107" spans="1:60" x14ac:dyDescent="0.25">
      <c r="A107" s="1">
        <v>46177</v>
      </c>
      <c r="B107" s="33">
        <v>63.98</v>
      </c>
      <c r="C107" s="33">
        <v>152.08000000000001</v>
      </c>
      <c r="D107" s="15">
        <v>2.8537129890763999E-2</v>
      </c>
      <c r="E107" s="15">
        <v>3.02395967912252E-2</v>
      </c>
      <c r="F107" s="33">
        <v>0</v>
      </c>
      <c r="G107" s="33">
        <v>0.19481999999999999</v>
      </c>
      <c r="H107" s="33">
        <v>0</v>
      </c>
      <c r="I107" s="33">
        <v>0.59467999999999999</v>
      </c>
      <c r="J107" s="33">
        <v>0</v>
      </c>
      <c r="K107" s="33">
        <v>0</v>
      </c>
      <c r="L107" s="33">
        <v>63.98</v>
      </c>
      <c r="M107" s="33">
        <v>152.08000000000001</v>
      </c>
      <c r="N107" s="34">
        <v>2.3769928102532001</v>
      </c>
      <c r="O107" s="34">
        <v>2.3788372149221799</v>
      </c>
      <c r="P107" s="34">
        <v>2.3758060923703801</v>
      </c>
      <c r="Q107" s="34">
        <v>2.3768541428331198</v>
      </c>
      <c r="R107" s="33">
        <v>152.198005010721</v>
      </c>
      <c r="S107" s="33">
        <v>152.00592578533301</v>
      </c>
      <c r="T107" s="33">
        <v>152.03521461882701</v>
      </c>
      <c r="U107" s="15">
        <v>7.7563947898996602E-4</v>
      </c>
      <c r="V107" s="15">
        <v>-4.87192663986187E-4</v>
      </c>
      <c r="W107" s="15">
        <v>-2.9452904256788398E-4</v>
      </c>
      <c r="X107" s="34">
        <v>2.3769928102532001</v>
      </c>
      <c r="Y107" s="34">
        <v>2.3785236560114398</v>
      </c>
      <c r="Z107" s="34">
        <v>2.3758060923703801</v>
      </c>
      <c r="AA107" s="34">
        <v>2.3768541428331198</v>
      </c>
      <c r="AB107" s="33">
        <v>152.177943511612</v>
      </c>
      <c r="AC107" s="33">
        <v>152.00592578533301</v>
      </c>
      <c r="AD107" s="33">
        <v>152.03521461882701</v>
      </c>
      <c r="AE107" s="15">
        <v>6.4381895088877397E-4</v>
      </c>
      <c r="AF107" s="15">
        <v>-4.87192663986187E-4</v>
      </c>
      <c r="AG107" s="15">
        <v>-2.9452904256788398E-4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2.6012559594189512E-3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9.9436920353440095E-3</v>
      </c>
      <c r="BE107" s="29">
        <f t="shared" si="42"/>
        <v>0</v>
      </c>
      <c r="BF107" s="29">
        <f t="shared" si="43"/>
        <v>1.254494799476296E-2</v>
      </c>
      <c r="BH107" s="29"/>
    </row>
    <row r="108" spans="1:60" x14ac:dyDescent="0.25">
      <c r="A108" s="1">
        <v>46178</v>
      </c>
      <c r="B108" s="33">
        <v>64.239999999999995</v>
      </c>
      <c r="C108" s="33">
        <v>153.01</v>
      </c>
      <c r="D108" s="15">
        <v>4.05553511713429E-3</v>
      </c>
      <c r="E108" s="15">
        <v>6.0965805535481603E-3</v>
      </c>
      <c r="F108" s="33">
        <v>0</v>
      </c>
      <c r="G108" s="33">
        <v>0.19481999999999999</v>
      </c>
      <c r="H108" s="33">
        <v>0</v>
      </c>
      <c r="I108" s="33">
        <v>0.59467999999999999</v>
      </c>
      <c r="J108" s="33">
        <v>0</v>
      </c>
      <c r="K108" s="33">
        <v>0</v>
      </c>
      <c r="L108" s="33">
        <v>64.239999999999995</v>
      </c>
      <c r="M108" s="33">
        <v>153.01</v>
      </c>
      <c r="N108" s="34">
        <v>2.3818493150684898</v>
      </c>
      <c r="O108" s="34">
        <v>2.3788372149221799</v>
      </c>
      <c r="P108" s="34">
        <v>2.3761518843684799</v>
      </c>
      <c r="Q108" s="34">
        <v>2.3772263460762901</v>
      </c>
      <c r="R108" s="33">
        <v>152.81650268659999</v>
      </c>
      <c r="S108" s="33">
        <v>152.621783373873</v>
      </c>
      <c r="T108" s="33">
        <v>152.68911013559901</v>
      </c>
      <c r="U108" s="15">
        <v>-1.26540595742406E-3</v>
      </c>
      <c r="V108" s="15">
        <v>-2.54042188039728E-3</v>
      </c>
      <c r="W108" s="15">
        <v>-2.0993844706687502E-3</v>
      </c>
      <c r="X108" s="34">
        <v>2.3818493150684898</v>
      </c>
      <c r="Y108" s="34">
        <v>2.3785236560114398</v>
      </c>
      <c r="Z108" s="34">
        <v>2.3761518843684799</v>
      </c>
      <c r="AA108" s="34">
        <v>2.3772263460762901</v>
      </c>
      <c r="AB108" s="33">
        <v>152.79635966217501</v>
      </c>
      <c r="AC108" s="33">
        <v>152.621783373873</v>
      </c>
      <c r="AD108" s="33">
        <v>152.68911013559901</v>
      </c>
      <c r="AE108" s="15">
        <v>-1.39722648552504E-3</v>
      </c>
      <c r="AF108" s="15">
        <v>-2.54042188039728E-3</v>
      </c>
      <c r="AG108" s="15">
        <v>-2.0993844706689701E-3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2.6012559594189512E-3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9.9436920353440095E-3</v>
      </c>
      <c r="BE108" s="29">
        <f t="shared" si="42"/>
        <v>0</v>
      </c>
      <c r="BF108" s="29">
        <f t="shared" si="43"/>
        <v>1.254494799476296E-2</v>
      </c>
      <c r="BH108" s="29"/>
    </row>
    <row r="109" spans="1:60" x14ac:dyDescent="0.25">
      <c r="A109" s="1">
        <v>46181</v>
      </c>
      <c r="B109" s="33">
        <v>64.06</v>
      </c>
      <c r="C109" s="33">
        <v>152.65</v>
      </c>
      <c r="D109" s="15">
        <v>-2.80592545749404E-3</v>
      </c>
      <c r="E109" s="15">
        <v>-2.3555595528351298E-3</v>
      </c>
      <c r="F109" s="33">
        <v>0</v>
      </c>
      <c r="G109" s="33">
        <v>0.19481999999999999</v>
      </c>
      <c r="H109" s="33">
        <v>0</v>
      </c>
      <c r="I109" s="33">
        <v>0.59467999999999999</v>
      </c>
      <c r="J109" s="33">
        <v>0</v>
      </c>
      <c r="K109" s="33">
        <v>0</v>
      </c>
      <c r="L109" s="33">
        <v>64.06</v>
      </c>
      <c r="M109" s="33">
        <v>152.65</v>
      </c>
      <c r="N109" s="34">
        <v>2.3829222603808899</v>
      </c>
      <c r="O109" s="34">
        <v>2.3788372149221799</v>
      </c>
      <c r="P109" s="34">
        <v>2.3764479211401399</v>
      </c>
      <c r="Q109" s="34">
        <v>2.3776286656494601</v>
      </c>
      <c r="R109" s="33">
        <v>152.38831198791399</v>
      </c>
      <c r="S109" s="33">
        <v>152.21628971264499</v>
      </c>
      <c r="T109" s="33">
        <v>152.28511972964699</v>
      </c>
      <c r="U109" s="15">
        <v>-1.71577186208296E-3</v>
      </c>
      <c r="V109" s="15">
        <v>-2.8452511450425301E-3</v>
      </c>
      <c r="W109" s="15">
        <v>-2.3931677323542002E-3</v>
      </c>
      <c r="X109" s="34">
        <v>2.3829222603808899</v>
      </c>
      <c r="Y109" s="34">
        <v>2.3785236560114398</v>
      </c>
      <c r="Z109" s="34">
        <v>2.3764479211401399</v>
      </c>
      <c r="AA109" s="34">
        <v>2.3776286656494601</v>
      </c>
      <c r="AB109" s="33">
        <v>152.36822540409301</v>
      </c>
      <c r="AC109" s="33">
        <v>152.21628971264499</v>
      </c>
      <c r="AD109" s="33">
        <v>152.28511972964699</v>
      </c>
      <c r="AE109" s="15">
        <v>-1.8475923901839701E-3</v>
      </c>
      <c r="AF109" s="15">
        <v>-2.8452511450425301E-3</v>
      </c>
      <c r="AG109" s="15">
        <v>-2.39316773235442E-3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2.6012559594189512E-3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9.9436920353440095E-3</v>
      </c>
      <c r="BE109" s="29">
        <f t="shared" si="42"/>
        <v>0</v>
      </c>
      <c r="BF109" s="29">
        <f t="shared" si="43"/>
        <v>1.254494799476296E-2</v>
      </c>
      <c r="BH109" s="29"/>
    </row>
    <row r="110" spans="1:60" x14ac:dyDescent="0.25">
      <c r="A110" s="1">
        <v>46182</v>
      </c>
      <c r="B110" s="33">
        <v>64.930000000000007</v>
      </c>
      <c r="C110" s="33">
        <v>154.57</v>
      </c>
      <c r="D110" s="15">
        <v>1.3489622339383301E-2</v>
      </c>
      <c r="E110" s="15">
        <v>1.24993489833403E-2</v>
      </c>
      <c r="F110" s="33">
        <v>0</v>
      </c>
      <c r="G110" s="33">
        <v>0.19481999999999999</v>
      </c>
      <c r="H110" s="33">
        <v>0</v>
      </c>
      <c r="I110" s="33">
        <v>0.59467999999999999</v>
      </c>
      <c r="J110" s="33">
        <v>0</v>
      </c>
      <c r="K110" s="33">
        <v>0</v>
      </c>
      <c r="L110" s="33">
        <v>64.930000000000007</v>
      </c>
      <c r="M110" s="33">
        <v>154.57</v>
      </c>
      <c r="N110" s="34">
        <v>2.3805636839673401</v>
      </c>
      <c r="O110" s="34">
        <v>2.3788372149221799</v>
      </c>
      <c r="P110" s="34">
        <v>2.3768882895368701</v>
      </c>
      <c r="Q110" s="34">
        <v>2.3779120382921199</v>
      </c>
      <c r="R110" s="33">
        <v>154.457900364897</v>
      </c>
      <c r="S110" s="33">
        <v>154.302763519629</v>
      </c>
      <c r="T110" s="33">
        <v>154.37942926061899</v>
      </c>
      <c r="U110" s="15">
        <v>-7.2549850603973495E-4</v>
      </c>
      <c r="V110" s="15">
        <v>-1.73039891253038E-3</v>
      </c>
      <c r="W110" s="15">
        <v>-1.23366962681484E-3</v>
      </c>
      <c r="X110" s="34">
        <v>2.3805636839673401</v>
      </c>
      <c r="Y110" s="34">
        <v>2.3785236560114398</v>
      </c>
      <c r="Z110" s="34">
        <v>2.3768882895368701</v>
      </c>
      <c r="AA110" s="34">
        <v>2.3779120382921199</v>
      </c>
      <c r="AB110" s="33">
        <v>154.43754098482299</v>
      </c>
      <c r="AC110" s="33">
        <v>154.302763519629</v>
      </c>
      <c r="AD110" s="33">
        <v>154.37942926061899</v>
      </c>
      <c r="AE110" s="15">
        <v>-8.5731903414081804E-4</v>
      </c>
      <c r="AF110" s="15">
        <v>-1.73039891253038E-3</v>
      </c>
      <c r="AG110" s="15">
        <v>-1.23366962681484E-3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2.6012559594189512E-3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9.9436920353440095E-3</v>
      </c>
      <c r="BE110" s="29">
        <f t="shared" si="42"/>
        <v>0</v>
      </c>
      <c r="BF110" s="29">
        <f t="shared" si="43"/>
        <v>1.254494799476296E-2</v>
      </c>
      <c r="BH110" s="29"/>
    </row>
    <row r="111" spans="1:60" x14ac:dyDescent="0.25">
      <c r="A111" s="1">
        <v>46183</v>
      </c>
      <c r="B111" s="33">
        <v>64.09</v>
      </c>
      <c r="C111" s="33">
        <v>152.85</v>
      </c>
      <c r="D111" s="15">
        <v>-1.30214210042599E-2</v>
      </c>
      <c r="E111" s="15">
        <v>-1.11900198273836E-2</v>
      </c>
      <c r="F111" s="33">
        <v>0</v>
      </c>
      <c r="G111" s="33">
        <v>0.19481999999999999</v>
      </c>
      <c r="H111" s="33">
        <v>0</v>
      </c>
      <c r="I111" s="33">
        <v>0.59467999999999999</v>
      </c>
      <c r="J111" s="33">
        <v>0</v>
      </c>
      <c r="K111" s="33">
        <v>0</v>
      </c>
      <c r="L111" s="33">
        <v>64.09</v>
      </c>
      <c r="M111" s="33">
        <v>152.85</v>
      </c>
      <c r="N111" s="34">
        <v>2.3849274457793701</v>
      </c>
      <c r="O111" s="34">
        <v>2.3788372149221799</v>
      </c>
      <c r="P111" s="34">
        <v>2.3776973280445199</v>
      </c>
      <c r="Q111" s="34">
        <v>2.3783687054173801</v>
      </c>
      <c r="R111" s="33">
        <v>152.45967710436199</v>
      </c>
      <c r="S111" s="33">
        <v>152.33477047641799</v>
      </c>
      <c r="T111" s="33">
        <v>152.40038253414201</v>
      </c>
      <c r="U111" s="15">
        <v>-2.5568996829159799E-3</v>
      </c>
      <c r="V111" s="15">
        <v>-3.37651195556703E-3</v>
      </c>
      <c r="W111" s="15">
        <v>-2.9458950208972302E-3</v>
      </c>
      <c r="X111" s="34">
        <v>2.3849274457793701</v>
      </c>
      <c r="Y111" s="34">
        <v>2.3785236560114398</v>
      </c>
      <c r="Z111" s="34">
        <v>2.3776973280445199</v>
      </c>
      <c r="AA111" s="34">
        <v>2.3783687054173801</v>
      </c>
      <c r="AB111" s="33">
        <v>152.43958111377299</v>
      </c>
      <c r="AC111" s="33">
        <v>152.33477047641799</v>
      </c>
      <c r="AD111" s="33">
        <v>152.40038253414201</v>
      </c>
      <c r="AE111" s="15">
        <v>-2.6887202110171498E-3</v>
      </c>
      <c r="AF111" s="15">
        <v>-3.37651195556703E-3</v>
      </c>
      <c r="AG111" s="15">
        <v>-2.9458950208972302E-3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2.6012559594189512E-3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9.9436920353440095E-3</v>
      </c>
      <c r="BE111" s="29">
        <f t="shared" si="42"/>
        <v>0</v>
      </c>
      <c r="BF111" s="29">
        <f t="shared" si="43"/>
        <v>1.254494799476296E-2</v>
      </c>
      <c r="BH111" s="29"/>
    </row>
    <row r="112" spans="1:60" x14ac:dyDescent="0.25">
      <c r="A112" s="1">
        <v>46184</v>
      </c>
      <c r="B112" s="33">
        <v>64.61</v>
      </c>
      <c r="C112" s="33">
        <v>154.09</v>
      </c>
      <c r="D112" s="15">
        <v>8.0808520539384504E-3</v>
      </c>
      <c r="E112" s="15">
        <v>8.0797989569186095E-3</v>
      </c>
      <c r="F112" s="33">
        <v>0</v>
      </c>
      <c r="G112" s="33">
        <v>0.19481999999999999</v>
      </c>
      <c r="H112" s="33">
        <v>0</v>
      </c>
      <c r="I112" s="33">
        <v>0.59467999999999999</v>
      </c>
      <c r="J112" s="33">
        <v>0</v>
      </c>
      <c r="K112" s="33">
        <v>0</v>
      </c>
      <c r="L112" s="33">
        <v>64.61</v>
      </c>
      <c r="M112" s="33">
        <v>154.09</v>
      </c>
      <c r="N112" s="34">
        <v>2.3849249342207002</v>
      </c>
      <c r="O112" s="34">
        <v>2.3788372149221799</v>
      </c>
      <c r="P112" s="34">
        <v>2.3786583353205</v>
      </c>
      <c r="Q112" s="34">
        <v>2.3787829417606901</v>
      </c>
      <c r="R112" s="33">
        <v>153.696672456122</v>
      </c>
      <c r="S112" s="33">
        <v>153.623024364956</v>
      </c>
      <c r="T112" s="33">
        <v>153.666402057017</v>
      </c>
      <c r="U112" s="15">
        <v>-2.5558465858961702E-3</v>
      </c>
      <c r="V112" s="15">
        <v>-3.0351396044496202E-3</v>
      </c>
      <c r="W112" s="15">
        <v>-2.75281493839357E-3</v>
      </c>
      <c r="X112" s="34">
        <v>2.3849249342207002</v>
      </c>
      <c r="Y112" s="34">
        <v>2.3785236560114398</v>
      </c>
      <c r="Z112" s="34">
        <v>2.3786583353205</v>
      </c>
      <c r="AA112" s="34">
        <v>2.3787829417606901</v>
      </c>
      <c r="AB112" s="33">
        <v>153.676413414899</v>
      </c>
      <c r="AC112" s="33">
        <v>153.623024364956</v>
      </c>
      <c r="AD112" s="33">
        <v>153.666402057017</v>
      </c>
      <c r="AE112" s="15">
        <v>-2.6876671139973302E-3</v>
      </c>
      <c r="AF112" s="15">
        <v>-3.0351396044497299E-3</v>
      </c>
      <c r="AG112" s="15">
        <v>-2.75281493839357E-3</v>
      </c>
      <c r="AI112" s="12"/>
      <c r="AJ112">
        <f t="shared" si="26"/>
        <v>0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2.6012559594189512E-3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9.9436920353440095E-3</v>
      </c>
      <c r="BE112" s="29">
        <f t="shared" si="42"/>
        <v>0</v>
      </c>
      <c r="BF112" s="29">
        <f t="shared" si="43"/>
        <v>1.254494799476296E-2</v>
      </c>
      <c r="BH112" s="29"/>
    </row>
    <row r="113" spans="1:60" x14ac:dyDescent="0.25">
      <c r="A113" s="1">
        <v>46185</v>
      </c>
      <c r="B113" s="33">
        <v>64.48</v>
      </c>
      <c r="C113" s="33">
        <v>153.81</v>
      </c>
      <c r="D113" s="15">
        <v>-2.01409937170114E-3</v>
      </c>
      <c r="E113" s="15">
        <v>-1.8187728300431299E-3</v>
      </c>
      <c r="F113" s="33">
        <v>0</v>
      </c>
      <c r="G113" s="33">
        <v>0.19481999999999999</v>
      </c>
      <c r="H113" s="33">
        <v>0</v>
      </c>
      <c r="I113" s="33">
        <v>0.59467999999999999</v>
      </c>
      <c r="J113" s="33">
        <v>0</v>
      </c>
      <c r="K113" s="33">
        <v>0</v>
      </c>
      <c r="L113" s="33">
        <v>64.48</v>
      </c>
      <c r="M113" s="33">
        <v>153.81</v>
      </c>
      <c r="N113" s="34">
        <v>2.3853908188585602</v>
      </c>
      <c r="O113" s="34">
        <v>2.3788372149221799</v>
      </c>
      <c r="P113" s="34">
        <v>2.3800563732590301</v>
      </c>
      <c r="Q113" s="34">
        <v>2.3791697196097301</v>
      </c>
      <c r="R113" s="33">
        <v>153.387423618182</v>
      </c>
      <c r="S113" s="33">
        <v>153.37588946146499</v>
      </c>
      <c r="T113" s="33">
        <v>153.38392408472899</v>
      </c>
      <c r="U113" s="15">
        <v>-2.75117312755413E-3</v>
      </c>
      <c r="V113" s="15">
        <v>-2.8263721896974901E-3</v>
      </c>
      <c r="W113" s="15">
        <v>-2.7739883837981298E-3</v>
      </c>
      <c r="X113" s="34">
        <v>2.3853908188585602</v>
      </c>
      <c r="Y113" s="34">
        <v>2.3785236560114398</v>
      </c>
      <c r="Z113" s="34">
        <v>2.3800563732590301</v>
      </c>
      <c r="AA113" s="34">
        <v>2.3791697196097301</v>
      </c>
      <c r="AB113" s="33">
        <v>153.36720533961801</v>
      </c>
      <c r="AC113" s="33">
        <v>153.37588946146499</v>
      </c>
      <c r="AD113" s="33">
        <v>153.38392408472899</v>
      </c>
      <c r="AE113" s="15">
        <v>-2.88299365565529E-3</v>
      </c>
      <c r="AF113" s="15">
        <v>-2.8263721896974901E-3</v>
      </c>
      <c r="AG113" s="15">
        <v>-2.7739883837979099E-3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0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2.6012559594189512E-3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9.9436920353440095E-3</v>
      </c>
      <c r="BE113" s="29">
        <f t="shared" si="42"/>
        <v>0</v>
      </c>
      <c r="BF113" s="29">
        <f t="shared" si="43"/>
        <v>1.254494799476296E-2</v>
      </c>
      <c r="BH113" s="29"/>
    </row>
    <row r="114" spans="1:60" x14ac:dyDescent="0.25">
      <c r="A114" s="1">
        <v>46188</v>
      </c>
      <c r="B114" s="33">
        <v>64.02</v>
      </c>
      <c r="C114" s="33">
        <v>152.88999999999999</v>
      </c>
      <c r="D114" s="15">
        <v>-7.1595636566560098E-3</v>
      </c>
      <c r="E114" s="15">
        <v>-5.9993658911966802E-3</v>
      </c>
      <c r="F114" s="33">
        <v>0.16336000000000001</v>
      </c>
      <c r="G114" s="33">
        <v>0.35818</v>
      </c>
      <c r="H114" s="33">
        <v>0</v>
      </c>
      <c r="I114" s="33">
        <v>0.59467999999999999</v>
      </c>
      <c r="J114" s="33">
        <v>0.16336000000000001</v>
      </c>
      <c r="K114" s="33">
        <v>0</v>
      </c>
      <c r="L114" s="33">
        <v>64.183359999999993</v>
      </c>
      <c r="M114" s="33">
        <v>152.88999999999999</v>
      </c>
      <c r="N114" s="34">
        <v>2.3881599500156199</v>
      </c>
      <c r="O114" s="34">
        <v>2.3788372149221799</v>
      </c>
      <c r="P114" s="34">
        <v>2.3815689974740701</v>
      </c>
      <c r="Q114" s="34">
        <v>2.3794675545756201</v>
      </c>
      <c r="R114" s="33">
        <v>152.293158499318</v>
      </c>
      <c r="S114" s="33">
        <v>152.371209016043</v>
      </c>
      <c r="T114" s="33">
        <v>152.31444544941499</v>
      </c>
      <c r="U114" s="15">
        <v>-3.9113708930134496E-3</v>
      </c>
      <c r="V114" s="15">
        <v>-3.39900038464621E-3</v>
      </c>
      <c r="W114" s="15">
        <v>-3.77160451912327E-3</v>
      </c>
      <c r="X114" s="34">
        <v>2.3820815862553699</v>
      </c>
      <c r="Y114" s="34">
        <v>2.3785236560114398</v>
      </c>
      <c r="Z114" s="34">
        <v>2.3809611610980501</v>
      </c>
      <c r="AA114" s="34">
        <v>2.3791636363876099</v>
      </c>
      <c r="AB114" s="33">
        <v>152.66164008229799</v>
      </c>
      <c r="AC114" s="33">
        <v>152.76001502517801</v>
      </c>
      <c r="AD114" s="33">
        <v>152.70310661481</v>
      </c>
      <c r="AE114" s="15">
        <v>-1.4947388936101E-3</v>
      </c>
      <c r="AF114" s="15">
        <v>-8.5054785714182605E-4</v>
      </c>
      <c r="AG114" s="15">
        <v>-1.2231519916187301E-3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2.6012559594189512E-3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9.9436920353440095E-3</v>
      </c>
      <c r="BE114" s="29">
        <f t="shared" si="42"/>
        <v>0</v>
      </c>
      <c r="BF114" s="29">
        <f t="shared" si="43"/>
        <v>1.254494799476296E-2</v>
      </c>
      <c r="BH114" s="29"/>
    </row>
    <row r="115" spans="1:60" x14ac:dyDescent="0.25">
      <c r="A115" s="1">
        <v>46189</v>
      </c>
      <c r="B115" s="33">
        <v>63.97</v>
      </c>
      <c r="C115" s="33">
        <v>152.94</v>
      </c>
      <c r="D115" s="15">
        <v>-7.8131107967074898E-4</v>
      </c>
      <c r="E115" s="15">
        <v>3.2697904355680598E-4</v>
      </c>
      <c r="F115" s="33">
        <v>0</v>
      </c>
      <c r="G115" s="33">
        <v>0.35818</v>
      </c>
      <c r="H115" s="33">
        <v>0</v>
      </c>
      <c r="I115" s="33">
        <v>0.59467999999999999</v>
      </c>
      <c r="J115" s="33">
        <v>0.16336000000000001</v>
      </c>
      <c r="K115" s="33">
        <v>0</v>
      </c>
      <c r="L115" s="33">
        <v>64.133359999999996</v>
      </c>
      <c r="M115" s="33">
        <v>152.94</v>
      </c>
      <c r="N115" s="34">
        <v>2.3908081913396901</v>
      </c>
      <c r="O115" s="34">
        <v>2.3788372149221799</v>
      </c>
      <c r="P115" s="34">
        <v>2.3829488911331298</v>
      </c>
      <c r="Q115" s="34">
        <v>2.3798583320902802</v>
      </c>
      <c r="R115" s="33">
        <v>152.17421663857101</v>
      </c>
      <c r="S115" s="33">
        <v>152.348968768416</v>
      </c>
      <c r="T115" s="33">
        <v>152.21453946620201</v>
      </c>
      <c r="U115" s="15">
        <v>-5.0196610162410197E-3</v>
      </c>
      <c r="V115" s="15">
        <v>-3.87195103945459E-3</v>
      </c>
      <c r="W115" s="15">
        <v>-4.7547180637961496E-3</v>
      </c>
      <c r="X115" s="34">
        <v>2.3847183431524499</v>
      </c>
      <c r="Y115" s="34">
        <v>2.3785236560114398</v>
      </c>
      <c r="Z115" s="34">
        <v>2.3817320699383799</v>
      </c>
      <c r="AA115" s="34">
        <v>2.3792499214928999</v>
      </c>
      <c r="AB115" s="33">
        <v>152.54271389949801</v>
      </c>
      <c r="AC115" s="33">
        <v>152.69903929071901</v>
      </c>
      <c r="AD115" s="33">
        <v>152.58375799135499</v>
      </c>
      <c r="AE115" s="15">
        <v>-2.6010396425627199E-3</v>
      </c>
      <c r="AF115" s="15">
        <v>-1.57676689314784E-3</v>
      </c>
      <c r="AG115" s="15">
        <v>-2.3320096115020902E-3</v>
      </c>
      <c r="AI115" s="12"/>
      <c r="AJ115">
        <f t="shared" si="26"/>
        <v>0</v>
      </c>
      <c r="AK115">
        <f t="shared" si="27"/>
        <v>0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2.6012559594189512E-3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9.9436920353440095E-3</v>
      </c>
      <c r="BE115" s="29">
        <f t="shared" si="42"/>
        <v>0</v>
      </c>
      <c r="BF115" s="29">
        <f t="shared" si="43"/>
        <v>1.254494799476296E-2</v>
      </c>
      <c r="BH115" s="29"/>
    </row>
    <row r="116" spans="1:60" x14ac:dyDescent="0.25">
      <c r="A116" s="1">
        <v>46190</v>
      </c>
      <c r="B116" s="33">
        <v>63.13</v>
      </c>
      <c r="C116" s="33">
        <v>150.71</v>
      </c>
      <c r="D116" s="15">
        <v>-1.3218131082511899E-2</v>
      </c>
      <c r="E116" s="15">
        <v>-1.4688227184494E-2</v>
      </c>
      <c r="F116" s="33">
        <v>0</v>
      </c>
      <c r="G116" s="33">
        <v>0.35818</v>
      </c>
      <c r="H116" s="33">
        <v>0</v>
      </c>
      <c r="I116" s="33">
        <v>0.59467999999999999</v>
      </c>
      <c r="J116" s="33">
        <v>0.16336000000000001</v>
      </c>
      <c r="K116" s="33">
        <v>0</v>
      </c>
      <c r="L116" s="33">
        <v>63.29336</v>
      </c>
      <c r="M116" s="33">
        <v>150.71</v>
      </c>
      <c r="N116" s="34">
        <v>2.3872960557579499</v>
      </c>
      <c r="O116" s="34">
        <v>2.3788372149221799</v>
      </c>
      <c r="P116" s="34">
        <v>2.3843835465641798</v>
      </c>
      <c r="Q116" s="34">
        <v>2.38010929270482</v>
      </c>
      <c r="R116" s="33">
        <v>150.17599337803699</v>
      </c>
      <c r="S116" s="33">
        <v>150.435563497234</v>
      </c>
      <c r="T116" s="33">
        <v>150.240456504859</v>
      </c>
      <c r="U116" s="15">
        <v>-3.5495649142589002E-3</v>
      </c>
      <c r="V116" s="15">
        <v>-1.8226174448669199E-3</v>
      </c>
      <c r="W116" s="15">
        <v>-3.1204064721257999E-3</v>
      </c>
      <c r="X116" s="34">
        <v>2.3811344507543901</v>
      </c>
      <c r="Y116" s="34">
        <v>2.3785236560114398</v>
      </c>
      <c r="Z116" s="34">
        <v>2.3825505648690801</v>
      </c>
      <c r="AA116" s="34">
        <v>2.3791928018572701</v>
      </c>
      <c r="AB116" s="33">
        <v>150.54475402844801</v>
      </c>
      <c r="AC116" s="33">
        <v>150.74782532615501</v>
      </c>
      <c r="AD116" s="33">
        <v>150.59072181102201</v>
      </c>
      <c r="AE116" s="15">
        <v>-1.09705148824789E-3</v>
      </c>
      <c r="AF116" s="15">
        <v>2.50949374512511E-4</v>
      </c>
      <c r="AG116" s="15">
        <v>-7.9175512419538401E-4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2.6012559594189512E-3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9.9436920353440095E-3</v>
      </c>
      <c r="BE116" s="29">
        <f t="shared" si="42"/>
        <v>0</v>
      </c>
      <c r="BF116" s="29">
        <f t="shared" si="43"/>
        <v>1.254494799476296E-2</v>
      </c>
      <c r="BH116" s="29"/>
    </row>
    <row r="117" spans="1:60" x14ac:dyDescent="0.25">
      <c r="A117" s="1">
        <v>46191</v>
      </c>
      <c r="B117" s="33">
        <v>62.68</v>
      </c>
      <c r="C117" s="33">
        <v>149.4</v>
      </c>
      <c r="D117" s="15">
        <v>-7.1536748917141596E-3</v>
      </c>
      <c r="E117" s="15">
        <v>-8.7301877328680999E-3</v>
      </c>
      <c r="F117" s="33">
        <v>0</v>
      </c>
      <c r="G117" s="33">
        <v>0.35818</v>
      </c>
      <c r="H117" s="33">
        <v>0</v>
      </c>
      <c r="I117" s="33">
        <v>0.59467999999999999</v>
      </c>
      <c r="J117" s="33">
        <v>0.16336000000000001</v>
      </c>
      <c r="K117" s="33">
        <v>0</v>
      </c>
      <c r="L117" s="33">
        <v>62.843359999999997</v>
      </c>
      <c r="M117" s="33">
        <v>149.4</v>
      </c>
      <c r="N117" s="34">
        <v>2.3835354179961699</v>
      </c>
      <c r="O117" s="34">
        <v>2.3788372149221799</v>
      </c>
      <c r="P117" s="34">
        <v>2.3850378073384801</v>
      </c>
      <c r="Q117" s="34">
        <v>2.3804219498544299</v>
      </c>
      <c r="R117" s="33">
        <v>149.10551663132199</v>
      </c>
      <c r="S117" s="33">
        <v>149.45316069864299</v>
      </c>
      <c r="T117" s="33">
        <v>149.18525046673801</v>
      </c>
      <c r="U117" s="15">
        <v>-1.9730520731049798E-3</v>
      </c>
      <c r="V117" s="15">
        <v>3.5576467774044602E-4</v>
      </c>
      <c r="W117" s="15">
        <v>-1.43844727731507E-3</v>
      </c>
      <c r="X117" s="34">
        <v>2.3773394675268702</v>
      </c>
      <c r="Y117" s="34">
        <v>2.3785236560114398</v>
      </c>
      <c r="Z117" s="34">
        <v>2.3825852305964399</v>
      </c>
      <c r="AA117" s="34">
        <v>2.37919566148341</v>
      </c>
      <c r="AB117" s="33">
        <v>149.47441838324301</v>
      </c>
      <c r="AC117" s="33">
        <v>149.72748286627001</v>
      </c>
      <c r="AD117" s="33">
        <v>149.516469756525</v>
      </c>
      <c r="AE117" s="15">
        <v>4.97990996915336E-4</v>
      </c>
      <c r="AF117" s="15">
        <v>2.1895881580019402E-3</v>
      </c>
      <c r="AG117" s="15">
        <v>7.7927965972830705E-4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2.6012559594189512E-3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9.9436920353440095E-3</v>
      </c>
      <c r="BE117" s="29">
        <f t="shared" si="42"/>
        <v>0</v>
      </c>
      <c r="BF117" s="29">
        <f t="shared" si="43"/>
        <v>1.254494799476296E-2</v>
      </c>
      <c r="BH117" s="29"/>
    </row>
    <row r="118" spans="1:60" x14ac:dyDescent="0.25">
      <c r="A118" s="1">
        <v>46195</v>
      </c>
      <c r="B118" s="33">
        <v>63.18</v>
      </c>
      <c r="C118" s="33">
        <v>150.06</v>
      </c>
      <c r="D118" s="15">
        <v>7.9453778861191399E-3</v>
      </c>
      <c r="E118" s="15">
        <v>4.40794141886563E-3</v>
      </c>
      <c r="F118" s="33">
        <v>0</v>
      </c>
      <c r="G118" s="33">
        <v>0.35818</v>
      </c>
      <c r="H118" s="33">
        <v>0.65625</v>
      </c>
      <c r="I118" s="33">
        <v>1.2509299999999901</v>
      </c>
      <c r="J118" s="33">
        <v>0</v>
      </c>
      <c r="K118" s="33">
        <v>0</v>
      </c>
      <c r="L118" s="33">
        <v>63.18</v>
      </c>
      <c r="M118" s="33">
        <v>150.06</v>
      </c>
      <c r="N118" s="34">
        <v>2.3751187084520402</v>
      </c>
      <c r="O118" s="34">
        <v>2.3788372149221799</v>
      </c>
      <c r="P118" s="34">
        <v>2.3843647466768298</v>
      </c>
      <c r="Q118" s="34">
        <v>2.38025831552266</v>
      </c>
      <c r="R118" s="33">
        <v>150.29493523878301</v>
      </c>
      <c r="S118" s="33">
        <v>150.686688667645</v>
      </c>
      <c r="T118" s="33">
        <v>150.395058791803</v>
      </c>
      <c r="U118" s="15">
        <v>1.5643843941482501E-3</v>
      </c>
      <c r="V118" s="15">
        <v>4.1675576045526203E-3</v>
      </c>
      <c r="W118" s="15">
        <v>2.2303430805550202E-3</v>
      </c>
      <c r="X118" s="34">
        <v>2.3751187084520402</v>
      </c>
      <c r="Y118" s="34">
        <v>2.3785236560114398</v>
      </c>
      <c r="Z118" s="34">
        <v>2.3819121699347998</v>
      </c>
      <c r="AA118" s="34">
        <v>2.3790320271516401</v>
      </c>
      <c r="AB118" s="33">
        <v>150.275124586803</v>
      </c>
      <c r="AC118" s="33">
        <v>150.53173486908301</v>
      </c>
      <c r="AD118" s="33">
        <v>150.31758189252201</v>
      </c>
      <c r="AE118" s="15">
        <v>1.43256386604715E-3</v>
      </c>
      <c r="AF118" s="15">
        <v>3.1387107603865999E-3</v>
      </c>
      <c r="AG118" s="15">
        <v>1.71505445937253E-3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2.6012559594189512E-3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9.9436920353440095E-3</v>
      </c>
      <c r="BE118" s="29">
        <f t="shared" si="42"/>
        <v>0</v>
      </c>
      <c r="BF118" s="29">
        <f t="shared" si="43"/>
        <v>1.254494799476296E-2</v>
      </c>
      <c r="BH118" s="29"/>
    </row>
    <row r="119" spans="1:60" x14ac:dyDescent="0.25">
      <c r="A119" s="1">
        <v>46196</v>
      </c>
      <c r="B119" s="33">
        <v>64.03</v>
      </c>
      <c r="C119" s="33">
        <v>152.18</v>
      </c>
      <c r="D119" s="15">
        <v>1.33639281567716E-2</v>
      </c>
      <c r="E119" s="15">
        <v>1.40288166307941E-2</v>
      </c>
      <c r="F119" s="33">
        <v>0</v>
      </c>
      <c r="G119" s="33">
        <v>0.35818</v>
      </c>
      <c r="H119" s="33">
        <v>0</v>
      </c>
      <c r="I119" s="33">
        <v>1.2509299999999901</v>
      </c>
      <c r="J119" s="33">
        <v>0</v>
      </c>
      <c r="K119" s="33">
        <v>0</v>
      </c>
      <c r="L119" s="33">
        <v>64.03</v>
      </c>
      <c r="M119" s="33">
        <v>152.18</v>
      </c>
      <c r="N119" s="34">
        <v>2.3766984226143899</v>
      </c>
      <c r="O119" s="34">
        <v>2.3788372149221799</v>
      </c>
      <c r="P119" s="34">
        <v>2.3837423629001799</v>
      </c>
      <c r="Q119" s="34">
        <v>2.3800951420201599</v>
      </c>
      <c r="R119" s="33">
        <v>152.316946871467</v>
      </c>
      <c r="S119" s="33">
        <v>152.67087472971701</v>
      </c>
      <c r="T119" s="33">
        <v>152.40793994291599</v>
      </c>
      <c r="U119" s="15">
        <v>8.9949592012605103E-4</v>
      </c>
      <c r="V119" s="15">
        <v>3.2204280496020499E-3</v>
      </c>
      <c r="W119" s="15">
        <v>1.49671051001076E-3</v>
      </c>
      <c r="X119" s="34">
        <v>2.3766984226143899</v>
      </c>
      <c r="Y119" s="34">
        <v>2.3785236560114398</v>
      </c>
      <c r="Z119" s="34">
        <v>2.3812897861581499</v>
      </c>
      <c r="AA119" s="34">
        <v>2.37886885364914</v>
      </c>
      <c r="AB119" s="33">
        <v>152.296869694413</v>
      </c>
      <c r="AC119" s="33">
        <v>152.513836240925</v>
      </c>
      <c r="AD119" s="33">
        <v>152.32942069851899</v>
      </c>
      <c r="AE119" s="15">
        <v>7.6767539202479099E-4</v>
      </c>
      <c r="AF119" s="15">
        <v>2.1912906321135098E-3</v>
      </c>
      <c r="AG119" s="15">
        <v>9.8138645543080993E-4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2.6012559594189512E-3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9.9436920353440095E-3</v>
      </c>
      <c r="BE119" s="29">
        <f t="shared" si="42"/>
        <v>0</v>
      </c>
      <c r="BF119" s="29">
        <f t="shared" si="43"/>
        <v>1.254494799476296E-2</v>
      </c>
      <c r="BH119" s="29"/>
    </row>
    <row r="120" spans="1:60" x14ac:dyDescent="0.25">
      <c r="A120" s="1">
        <v>46197</v>
      </c>
      <c r="B120" s="33">
        <v>64.64</v>
      </c>
      <c r="C120" s="33">
        <v>153.35</v>
      </c>
      <c r="D120" s="15">
        <v>9.4816906821291493E-3</v>
      </c>
      <c r="E120" s="15">
        <v>7.6588598118836997E-3</v>
      </c>
      <c r="F120" s="33">
        <v>0</v>
      </c>
      <c r="G120" s="33">
        <v>0.35818</v>
      </c>
      <c r="H120" s="33">
        <v>0</v>
      </c>
      <c r="I120" s="33">
        <v>1.2509299999999901</v>
      </c>
      <c r="J120" s="33">
        <v>0</v>
      </c>
      <c r="K120" s="33">
        <v>0</v>
      </c>
      <c r="L120" s="33">
        <v>64.64</v>
      </c>
      <c r="M120" s="33">
        <v>153.35</v>
      </c>
      <c r="N120" s="34">
        <v>2.37237004950495</v>
      </c>
      <c r="O120" s="34">
        <v>2.3788372149221799</v>
      </c>
      <c r="P120" s="34">
        <v>2.3829229994539398</v>
      </c>
      <c r="Q120" s="34">
        <v>2.3799056444954099</v>
      </c>
      <c r="R120" s="33">
        <v>153.768037572569</v>
      </c>
      <c r="S120" s="33">
        <v>154.08510633786801</v>
      </c>
      <c r="T120" s="33">
        <v>153.84934998018301</v>
      </c>
      <c r="U120" s="15">
        <v>2.7223267903712599E-3</v>
      </c>
      <c r="V120" s="15">
        <v>4.7821977625030297E-3</v>
      </c>
      <c r="W120" s="15">
        <v>3.2509861756827799E-3</v>
      </c>
      <c r="X120" s="34">
        <v>2.37237004950495</v>
      </c>
      <c r="Y120" s="34">
        <v>2.3785236560114398</v>
      </c>
      <c r="Z120" s="34">
        <v>2.3804704227119098</v>
      </c>
      <c r="AA120" s="34">
        <v>2.37867935612439</v>
      </c>
      <c r="AB120" s="33">
        <v>153.74776912458</v>
      </c>
      <c r="AC120" s="33">
        <v>153.92657177726301</v>
      </c>
      <c r="AD120" s="33">
        <v>153.77008269987999</v>
      </c>
      <c r="AE120" s="15">
        <v>2.5905062622701399E-3</v>
      </c>
      <c r="AF120" s="15">
        <v>3.7527915037871601E-3</v>
      </c>
      <c r="AG120" s="15">
        <v>2.73562678264076E-3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2.6012559594189512E-3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9.9436920353440095E-3</v>
      </c>
      <c r="BE120" s="29">
        <f t="shared" si="42"/>
        <v>0</v>
      </c>
      <c r="BF120" s="29">
        <f t="shared" si="43"/>
        <v>1.254494799476296E-2</v>
      </c>
      <c r="BH120" s="29"/>
    </row>
    <row r="121" spans="1:60" x14ac:dyDescent="0.25">
      <c r="A121" s="1">
        <v>46198</v>
      </c>
      <c r="B121" s="33">
        <v>65.66</v>
      </c>
      <c r="C121" s="33">
        <v>155.63</v>
      </c>
      <c r="D121" s="15">
        <v>1.5656497860606699E-2</v>
      </c>
      <c r="E121" s="15">
        <v>1.47585046566581E-2</v>
      </c>
      <c r="F121" s="33">
        <v>0</v>
      </c>
      <c r="G121" s="33">
        <v>0.35818</v>
      </c>
      <c r="H121" s="33">
        <v>0</v>
      </c>
      <c r="I121" s="33">
        <v>1.2509299999999901</v>
      </c>
      <c r="J121" s="33">
        <v>0</v>
      </c>
      <c r="K121" s="33">
        <v>0</v>
      </c>
      <c r="L121" s="33">
        <v>65.66</v>
      </c>
      <c r="M121" s="33">
        <v>155.63</v>
      </c>
      <c r="N121" s="34">
        <v>2.37024063356685</v>
      </c>
      <c r="O121" s="34">
        <v>2.3788372149221799</v>
      </c>
      <c r="P121" s="34">
        <v>2.3814543182326902</v>
      </c>
      <c r="Q121" s="34">
        <v>2.3795758231386102</v>
      </c>
      <c r="R121" s="33">
        <v>156.19445153179001</v>
      </c>
      <c r="S121" s="33">
        <v>156.46272414414599</v>
      </c>
      <c r="T121" s="33">
        <v>156.26460461756801</v>
      </c>
      <c r="U121" s="15">
        <v>3.62031999431979E-3</v>
      </c>
      <c r="V121" s="15">
        <v>5.3364020104317402E-3</v>
      </c>
      <c r="W121" s="15">
        <v>4.0693585840258298E-3</v>
      </c>
      <c r="X121" s="34">
        <v>2.37024063356685</v>
      </c>
      <c r="Y121" s="34">
        <v>2.3785236560114398</v>
      </c>
      <c r="Z121" s="34">
        <v>2.3790017414906601</v>
      </c>
      <c r="AA121" s="34">
        <v>2.3783495347675898</v>
      </c>
      <c r="AB121" s="33">
        <v>156.173863253711</v>
      </c>
      <c r="AC121" s="33">
        <v>156.30168795526399</v>
      </c>
      <c r="AD121" s="33">
        <v>156.18408652312701</v>
      </c>
      <c r="AE121" s="15">
        <v>3.4884994662187701E-3</v>
      </c>
      <c r="AF121" s="15">
        <v>4.3066416100631597E-3</v>
      </c>
      <c r="AG121" s="15">
        <v>3.5539581454488399E-3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2.6012559594189512E-3</v>
      </c>
      <c r="AT121" s="12"/>
      <c r="AU121">
        <f t="shared" si="30"/>
        <v>0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9.9436920353440095E-3</v>
      </c>
      <c r="BE121" s="29">
        <f t="shared" si="42"/>
        <v>0</v>
      </c>
      <c r="BF121" s="29">
        <f t="shared" si="43"/>
        <v>1.254494799476296E-2</v>
      </c>
      <c r="BH121" s="29"/>
    </row>
    <row r="122" spans="1:60" x14ac:dyDescent="0.25">
      <c r="A122" s="1">
        <v>46199</v>
      </c>
      <c r="B122" s="33">
        <v>67.64</v>
      </c>
      <c r="C122" s="33">
        <v>160.34</v>
      </c>
      <c r="D122" s="15">
        <v>2.9709611956932998E-2</v>
      </c>
      <c r="E122" s="15">
        <v>2.9815165397886999E-2</v>
      </c>
      <c r="F122" s="33">
        <v>0</v>
      </c>
      <c r="G122" s="33">
        <v>0.35818</v>
      </c>
      <c r="H122" s="33">
        <v>0</v>
      </c>
      <c r="I122" s="33">
        <v>1.2509299999999901</v>
      </c>
      <c r="J122" s="33">
        <v>0</v>
      </c>
      <c r="K122" s="33">
        <v>0</v>
      </c>
      <c r="L122" s="33">
        <v>67.64</v>
      </c>
      <c r="M122" s="33">
        <v>160.34</v>
      </c>
      <c r="N122" s="34">
        <v>2.3704908338261301</v>
      </c>
      <c r="O122" s="34">
        <v>2.3788372149221799</v>
      </c>
      <c r="P122" s="34">
        <v>2.3800109081932299</v>
      </c>
      <c r="Q122" s="34">
        <v>2.37933462175687</v>
      </c>
      <c r="R122" s="33">
        <v>160.90454921733601</v>
      </c>
      <c r="S122" s="33">
        <v>161.08157008525899</v>
      </c>
      <c r="T122" s="33">
        <v>160.95450867709499</v>
      </c>
      <c r="U122" s="15">
        <v>3.51476655336602E-3</v>
      </c>
      <c r="V122" s="15">
        <v>4.6143225599529197E-3</v>
      </c>
      <c r="W122" s="15">
        <v>3.8252096428807898E-3</v>
      </c>
      <c r="X122" s="34">
        <v>2.3704908338261301</v>
      </c>
      <c r="Y122" s="34">
        <v>2.3785236560114398</v>
      </c>
      <c r="Z122" s="34">
        <v>2.3775583314511999</v>
      </c>
      <c r="AA122" s="34">
        <v>2.3781083333858501</v>
      </c>
      <c r="AB122" s="33">
        <v>160.88334009261399</v>
      </c>
      <c r="AC122" s="33">
        <v>160.91567779442801</v>
      </c>
      <c r="AD122" s="33">
        <v>160.87156253168001</v>
      </c>
      <c r="AE122" s="15">
        <v>3.3829460252646402E-3</v>
      </c>
      <c r="AF122" s="15">
        <v>3.5839267624665902E-3</v>
      </c>
      <c r="AG122" s="15">
        <v>3.30973774875685E-3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2.6012559594189512E-3</v>
      </c>
      <c r="AT122" s="12"/>
      <c r="AU122">
        <f t="shared" si="30"/>
        <v>0</v>
      </c>
      <c r="AV122">
        <f t="shared" si="31"/>
        <v>0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9.9436920353440095E-3</v>
      </c>
      <c r="BE122" s="29">
        <f t="shared" si="42"/>
        <v>0</v>
      </c>
      <c r="BF122" s="29">
        <f t="shared" si="43"/>
        <v>1.254494799476296E-2</v>
      </c>
      <c r="BH122" s="29"/>
    </row>
    <row r="123" spans="1:60" x14ac:dyDescent="0.25">
      <c r="A123" s="1">
        <v>46202</v>
      </c>
      <c r="B123" s="33">
        <v>67.930000000000007</v>
      </c>
      <c r="C123" s="33">
        <v>160.74</v>
      </c>
      <c r="D123" s="15">
        <v>4.2782391728311197E-3</v>
      </c>
      <c r="E123" s="15">
        <v>2.4915921697668902E-3</v>
      </c>
      <c r="F123" s="33">
        <v>0</v>
      </c>
      <c r="G123" s="33">
        <v>0.35818</v>
      </c>
      <c r="H123" s="33">
        <v>0</v>
      </c>
      <c r="I123" s="33">
        <v>1.2509299999999901</v>
      </c>
      <c r="J123" s="33">
        <v>0</v>
      </c>
      <c r="K123" s="33">
        <v>0</v>
      </c>
      <c r="L123" s="33">
        <v>67.930000000000007</v>
      </c>
      <c r="M123" s="33">
        <v>160.74</v>
      </c>
      <c r="N123" s="34">
        <v>2.3662593846606801</v>
      </c>
      <c r="O123" s="34">
        <v>2.3788372149221799</v>
      </c>
      <c r="P123" s="34">
        <v>2.3780977647734498</v>
      </c>
      <c r="Q123" s="34">
        <v>2.3790770690162399</v>
      </c>
      <c r="R123" s="33">
        <v>161.59441200966299</v>
      </c>
      <c r="S123" s="33">
        <v>161.674140993566</v>
      </c>
      <c r="T123" s="33">
        <v>161.62820085594399</v>
      </c>
      <c r="U123" s="15">
        <v>5.3014135564301403E-3</v>
      </c>
      <c r="V123" s="15">
        <v>5.7946813659887396E-3</v>
      </c>
      <c r="W123" s="15">
        <v>5.5104883244602703E-3</v>
      </c>
      <c r="X123" s="34">
        <v>2.3662593846606801</v>
      </c>
      <c r="Y123" s="34">
        <v>2.3785236560114398</v>
      </c>
      <c r="Z123" s="34">
        <v>2.37564518803141</v>
      </c>
      <c r="AA123" s="34">
        <v>2.37785078064522</v>
      </c>
      <c r="AB123" s="33">
        <v>161.573111952857</v>
      </c>
      <c r="AC123" s="33">
        <v>161.50753745547999</v>
      </c>
      <c r="AD123" s="33">
        <v>161.54489908690101</v>
      </c>
      <c r="AE123" s="15">
        <v>5.1695930283289599E-3</v>
      </c>
      <c r="AF123" s="15">
        <v>4.7636603400181303E-3</v>
      </c>
      <c r="AG123" s="15">
        <v>4.9949641616955599E-3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2.6012559594189512E-3</v>
      </c>
      <c r="AT123" s="12"/>
      <c r="AU123">
        <f t="shared" si="30"/>
        <v>1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9.9436920353440095E-3</v>
      </c>
      <c r="BE123" s="29">
        <f t="shared" si="42"/>
        <v>0</v>
      </c>
      <c r="BF123" s="29">
        <f t="shared" si="43"/>
        <v>1.254494799476296E-2</v>
      </c>
      <c r="BH123" s="29"/>
    </row>
    <row r="124" spans="1:60" x14ac:dyDescent="0.25">
      <c r="A124" s="1">
        <v>46203</v>
      </c>
      <c r="B124" s="33">
        <v>67.010000000000005</v>
      </c>
      <c r="C124" s="33">
        <v>158.66</v>
      </c>
      <c r="D124" s="15">
        <v>-1.3635901218131199E-2</v>
      </c>
      <c r="E124" s="15">
        <v>-1.30246049107155E-2</v>
      </c>
      <c r="F124" s="33">
        <v>0</v>
      </c>
      <c r="G124" s="33">
        <v>0.35818</v>
      </c>
      <c r="H124" s="33">
        <v>0</v>
      </c>
      <c r="I124" s="33">
        <v>1.2509299999999901</v>
      </c>
      <c r="J124" s="33">
        <v>0</v>
      </c>
      <c r="K124" s="33">
        <v>0</v>
      </c>
      <c r="L124" s="33">
        <v>67.010000000000005</v>
      </c>
      <c r="M124" s="33">
        <v>158.66</v>
      </c>
      <c r="N124" s="34">
        <v>2.3677063124906699</v>
      </c>
      <c r="O124" s="34">
        <v>2.3788372149221799</v>
      </c>
      <c r="P124" s="34">
        <v>2.3760524010209498</v>
      </c>
      <c r="Q124" s="34">
        <v>2.3788106992475102</v>
      </c>
      <c r="R124" s="33">
        <v>159.40588177193499</v>
      </c>
      <c r="S124" s="33">
        <v>159.35633121746801</v>
      </c>
      <c r="T124" s="33">
        <v>159.421954394778</v>
      </c>
      <c r="U124" s="15">
        <v>4.6901172490145101E-3</v>
      </c>
      <c r="V124" s="15">
        <v>4.3792237186875502E-3</v>
      </c>
      <c r="W124" s="15">
        <v>4.79094045849202E-3</v>
      </c>
      <c r="X124" s="34">
        <v>2.3677063124906699</v>
      </c>
      <c r="Y124" s="34">
        <v>2.3785236560114398</v>
      </c>
      <c r="Z124" s="34">
        <v>2.3742076606549398</v>
      </c>
      <c r="AA124" s="34">
        <v>2.3775844108764899</v>
      </c>
      <c r="AB124" s="33">
        <v>159.38487018932699</v>
      </c>
      <c r="AC124" s="33">
        <v>159.191984049985</v>
      </c>
      <c r="AD124" s="33">
        <v>159.33978081103601</v>
      </c>
      <c r="AE124" s="15">
        <v>4.5582967209132604E-3</v>
      </c>
      <c r="AF124" s="15">
        <v>3.3473728239332701E-3</v>
      </c>
      <c r="AG124" s="15">
        <v>4.2753604720228398E-3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2.6012559594189512E-3</v>
      </c>
      <c r="AT124" s="12"/>
      <c r="AU124">
        <f t="shared" si="30"/>
        <v>1</v>
      </c>
      <c r="AV124">
        <f t="shared" si="31"/>
        <v>0</v>
      </c>
      <c r="AW124">
        <f t="shared" si="38"/>
        <v>1</v>
      </c>
      <c r="AX124">
        <f t="shared" si="25"/>
        <v>1</v>
      </c>
      <c r="AY124">
        <f t="shared" si="39"/>
        <v>1</v>
      </c>
      <c r="AZ124" s="28">
        <f t="shared" si="32"/>
        <v>1.3635901218131199E-2</v>
      </c>
      <c r="BA124" s="28">
        <f t="shared" si="33"/>
        <v>-1.30246049107155E-2</v>
      </c>
      <c r="BB124" s="28">
        <f t="shared" si="40"/>
        <v>6.1129630741569956E-4</v>
      </c>
      <c r="BC124" s="29">
        <f t="shared" si="41"/>
        <v>1.0554988342759709E-2</v>
      </c>
      <c r="BE124" s="29">
        <f t="shared" si="42"/>
        <v>6.1129630741569956E-4</v>
      </c>
      <c r="BF124" s="29">
        <f t="shared" si="43"/>
        <v>1.315624430217866E-2</v>
      </c>
      <c r="BH124" s="29"/>
    </row>
    <row r="125" spans="1:60" x14ac:dyDescent="0.25">
      <c r="A125" s="1">
        <v>46204</v>
      </c>
      <c r="B125" s="33">
        <v>67.44</v>
      </c>
      <c r="C125" s="33">
        <v>159.54</v>
      </c>
      <c r="D125" s="15">
        <v>6.3964517085205903E-3</v>
      </c>
      <c r="E125" s="15">
        <v>5.5311266091264601E-3</v>
      </c>
      <c r="F125" s="33">
        <v>0</v>
      </c>
      <c r="G125" s="33">
        <v>0.35818</v>
      </c>
      <c r="H125" s="33">
        <v>0</v>
      </c>
      <c r="I125" s="33">
        <v>1.2509299999999901</v>
      </c>
      <c r="J125" s="33">
        <v>0</v>
      </c>
      <c r="K125" s="33">
        <v>0</v>
      </c>
      <c r="L125" s="33">
        <v>67.44</v>
      </c>
      <c r="M125" s="33">
        <v>159.54</v>
      </c>
      <c r="N125" s="34">
        <v>2.3656583629893202</v>
      </c>
      <c r="O125" s="34">
        <v>2.3788372149221799</v>
      </c>
      <c r="P125" s="34">
        <v>2.3735374181859101</v>
      </c>
      <c r="Q125" s="34">
        <v>2.3782431546595202</v>
      </c>
      <c r="R125" s="33">
        <v>160.42878177435099</v>
      </c>
      <c r="S125" s="33">
        <v>160.24097392485299</v>
      </c>
      <c r="T125" s="33">
        <v>160.42699355725199</v>
      </c>
      <c r="U125" s="15">
        <v>5.55544234840844E-3</v>
      </c>
      <c r="V125" s="15">
        <v>4.3840947695719702E-3</v>
      </c>
      <c r="W125" s="15">
        <v>5.5442958007260899E-3</v>
      </c>
      <c r="X125" s="34">
        <v>2.3656583629893202</v>
      </c>
      <c r="Y125" s="34">
        <v>2.3785236560114398</v>
      </c>
      <c r="Z125" s="34">
        <v>2.37230166263863</v>
      </c>
      <c r="AA125" s="34">
        <v>2.3770168662884998</v>
      </c>
      <c r="AB125" s="33">
        <v>160.40763536141199</v>
      </c>
      <c r="AC125" s="33">
        <v>160.11656463456899</v>
      </c>
      <c r="AD125" s="33">
        <v>160.34429266951099</v>
      </c>
      <c r="AE125" s="15">
        <v>5.4236218203073802E-3</v>
      </c>
      <c r="AF125" s="15">
        <v>3.6074044684959402E-3</v>
      </c>
      <c r="AG125" s="15">
        <v>5.0286580667720298E-3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2.6012559594189512E-3</v>
      </c>
      <c r="AT125" s="12"/>
      <c r="AU125">
        <f t="shared" si="30"/>
        <v>1</v>
      </c>
      <c r="AV125">
        <f t="shared" si="31"/>
        <v>0</v>
      </c>
      <c r="AW125">
        <f t="shared" si="38"/>
        <v>1</v>
      </c>
      <c r="AX125">
        <f t="shared" si="25"/>
        <v>1</v>
      </c>
      <c r="AY125">
        <f t="shared" si="39"/>
        <v>1</v>
      </c>
      <c r="AZ125" s="28">
        <f t="shared" si="32"/>
        <v>-6.3964517085205903E-3</v>
      </c>
      <c r="BA125" s="28">
        <f t="shared" si="33"/>
        <v>5.5311266091264601E-3</v>
      </c>
      <c r="BB125" s="28">
        <f t="shared" si="40"/>
        <v>-8.653250993941302E-4</v>
      </c>
      <c r="BC125" s="29">
        <f t="shared" si="41"/>
        <v>9.6896632433655788E-3</v>
      </c>
      <c r="BE125" s="29">
        <f t="shared" si="42"/>
        <v>-8.653250993941302E-4</v>
      </c>
      <c r="BF125" s="29">
        <f t="shared" si="43"/>
        <v>1.229091920278453E-2</v>
      </c>
      <c r="BH125" s="29"/>
    </row>
    <row r="126" spans="1:60" x14ac:dyDescent="0.25">
      <c r="A126" s="1">
        <v>46205</v>
      </c>
      <c r="B126" s="33">
        <v>69.209999999999994</v>
      </c>
      <c r="C126" s="33">
        <v>163.74</v>
      </c>
      <c r="D126" s="15">
        <v>2.5907047160171899E-2</v>
      </c>
      <c r="E126" s="15">
        <v>2.5985129465318699E-2</v>
      </c>
      <c r="F126" s="33">
        <v>0</v>
      </c>
      <c r="G126" s="33">
        <v>0.35818</v>
      </c>
      <c r="H126" s="33">
        <v>0</v>
      </c>
      <c r="I126" s="33">
        <v>1.2509299999999901</v>
      </c>
      <c r="J126" s="33">
        <v>0</v>
      </c>
      <c r="K126" s="33">
        <v>0</v>
      </c>
      <c r="L126" s="33">
        <v>69.209999999999994</v>
      </c>
      <c r="M126" s="33">
        <v>163.74</v>
      </c>
      <c r="N126" s="34">
        <v>2.3658430862592099</v>
      </c>
      <c r="O126" s="34">
        <v>2.3788372149221799</v>
      </c>
      <c r="P126" s="34">
        <v>2.37139212123604</v>
      </c>
      <c r="Q126" s="34">
        <v>2.3778878339001102</v>
      </c>
      <c r="R126" s="33">
        <v>164.639323644764</v>
      </c>
      <c r="S126" s="33">
        <v>164.272524712647</v>
      </c>
      <c r="T126" s="33">
        <v>164.59820873398499</v>
      </c>
      <c r="U126" s="15">
        <v>5.4773600432616396E-3</v>
      </c>
      <c r="V126" s="15">
        <v>3.2469807729207799E-3</v>
      </c>
      <c r="W126" s="15">
        <v>5.2276016958756003E-3</v>
      </c>
      <c r="X126" s="34">
        <v>2.3658430862592099</v>
      </c>
      <c r="Y126" s="34">
        <v>2.3785236560114398</v>
      </c>
      <c r="Z126" s="34">
        <v>2.3707725261891102</v>
      </c>
      <c r="AA126" s="34">
        <v>2.3766615455290898</v>
      </c>
      <c r="AB126" s="33">
        <v>164.61762223255201</v>
      </c>
      <c r="AC126" s="33">
        <v>164.18699807121899</v>
      </c>
      <c r="AD126" s="33">
        <v>164.51333731582699</v>
      </c>
      <c r="AE126" s="15">
        <v>5.3455395151605304E-3</v>
      </c>
      <c r="AF126" s="15">
        <v>2.72620644654E-3</v>
      </c>
      <c r="AG126" s="15">
        <v>4.7118408782553202E-3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2.6012559594189512E-3</v>
      </c>
      <c r="AT126" s="12"/>
      <c r="AU126">
        <f t="shared" si="30"/>
        <v>1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28">
        <f t="shared" si="32"/>
        <v>-2.5907047160171899E-2</v>
      </c>
      <c r="BA126" s="28">
        <f t="shared" si="33"/>
        <v>2.5985129465318699E-2</v>
      </c>
      <c r="BB126" s="28">
        <f t="shared" si="40"/>
        <v>7.808230514680034E-5</v>
      </c>
      <c r="BC126" s="29">
        <f t="shared" si="41"/>
        <v>9.7677455485123792E-3</v>
      </c>
      <c r="BE126" s="29">
        <f t="shared" si="42"/>
        <v>7.808230514680034E-5</v>
      </c>
      <c r="BF126" s="29">
        <f t="shared" si="43"/>
        <v>1.236900150793133E-2</v>
      </c>
      <c r="BH126" s="29"/>
    </row>
    <row r="127" spans="1:60" x14ac:dyDescent="0.25">
      <c r="A127" s="1">
        <v>46209</v>
      </c>
      <c r="B127" s="33">
        <v>68.569999999999993</v>
      </c>
      <c r="C127" s="33">
        <v>161.96</v>
      </c>
      <c r="D127" s="15">
        <v>-9.2902395574988791E-3</v>
      </c>
      <c r="E127" s="15">
        <v>-1.09304127843417E-2</v>
      </c>
      <c r="F127" s="33">
        <v>0</v>
      </c>
      <c r="G127" s="33">
        <v>0.35818</v>
      </c>
      <c r="H127" s="33">
        <v>0</v>
      </c>
      <c r="I127" s="33">
        <v>1.2509299999999901</v>
      </c>
      <c r="J127" s="33">
        <v>0</v>
      </c>
      <c r="K127" s="33">
        <v>0</v>
      </c>
      <c r="L127" s="33">
        <v>68.569999999999993</v>
      </c>
      <c r="M127" s="33">
        <v>161.96</v>
      </c>
      <c r="N127" s="34">
        <v>2.3619658742890399</v>
      </c>
      <c r="O127" s="34">
        <v>2.3788372149221799</v>
      </c>
      <c r="P127" s="34">
        <v>2.3692351668653302</v>
      </c>
      <c r="Q127" s="34">
        <v>2.3771364871018998</v>
      </c>
      <c r="R127" s="33">
        <v>163.11686782721301</v>
      </c>
      <c r="S127" s="33">
        <v>162.60635775315501</v>
      </c>
      <c r="T127" s="33">
        <v>163.05176877053</v>
      </c>
      <c r="U127" s="15">
        <v>7.1175332701044099E-3</v>
      </c>
      <c r="V127" s="15">
        <v>3.9829057582545903E-3</v>
      </c>
      <c r="W127" s="15">
        <v>6.7183590378633402E-3</v>
      </c>
      <c r="X127" s="34">
        <v>2.3619658742890399</v>
      </c>
      <c r="Y127" s="34">
        <v>2.3785236560114398</v>
      </c>
      <c r="Z127" s="34">
        <v>2.3692351668653302</v>
      </c>
      <c r="AA127" s="34">
        <v>2.3759101987308902</v>
      </c>
      <c r="AB127" s="33">
        <v>163.095367092705</v>
      </c>
      <c r="AC127" s="33">
        <v>162.56387212078701</v>
      </c>
      <c r="AD127" s="33">
        <v>162.96768217693</v>
      </c>
      <c r="AE127" s="15">
        <v>6.9857127420034698E-3</v>
      </c>
      <c r="AF127" s="15">
        <v>3.72159258314564E-3</v>
      </c>
      <c r="AG127" s="15">
        <v>6.2025211317459604E-3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2.6012559594189512E-3</v>
      </c>
      <c r="AT127" s="12"/>
      <c r="AU127">
        <f t="shared" si="30"/>
        <v>1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28">
        <f t="shared" si="32"/>
        <v>9.2902395574988791E-3</v>
      </c>
      <c r="BA127" s="28">
        <f t="shared" si="33"/>
        <v>-1.09304127843417E-2</v>
      </c>
      <c r="BB127" s="28">
        <f t="shared" si="40"/>
        <v>-1.6401732268428205E-3</v>
      </c>
      <c r="BC127" s="29">
        <f t="shared" si="41"/>
        <v>8.1275723216695586E-3</v>
      </c>
      <c r="BE127" s="29">
        <f t="shared" si="42"/>
        <v>-1.6401732268428205E-3</v>
      </c>
      <c r="BF127" s="29">
        <f t="shared" si="43"/>
        <v>1.0728828281088509E-2</v>
      </c>
      <c r="BH127" s="29"/>
    </row>
    <row r="128" spans="1:60" x14ac:dyDescent="0.25">
      <c r="A128" s="1">
        <v>46210</v>
      </c>
      <c r="B128" s="33">
        <v>69.569999999999993</v>
      </c>
      <c r="C128" s="33">
        <v>164.44</v>
      </c>
      <c r="D128" s="15">
        <v>1.4478318639276899E-2</v>
      </c>
      <c r="E128" s="15">
        <v>1.5196370865717301E-2</v>
      </c>
      <c r="F128" s="33">
        <v>0</v>
      </c>
      <c r="G128" s="33">
        <v>0.35818</v>
      </c>
      <c r="H128" s="33">
        <v>0</v>
      </c>
      <c r="I128" s="33">
        <v>1.2509299999999901</v>
      </c>
      <c r="J128" s="33">
        <v>0</v>
      </c>
      <c r="K128" s="33">
        <v>0</v>
      </c>
      <c r="L128" s="33">
        <v>69.569999999999993</v>
      </c>
      <c r="M128" s="33">
        <v>164.44</v>
      </c>
      <c r="N128" s="34">
        <v>2.3636624982032401</v>
      </c>
      <c r="O128" s="34">
        <v>2.3788372149221799</v>
      </c>
      <c r="P128" s="34">
        <v>2.3680895458404501</v>
      </c>
      <c r="Q128" s="34">
        <v>2.37622714625864</v>
      </c>
      <c r="R128" s="33">
        <v>165.495705042136</v>
      </c>
      <c r="S128" s="33">
        <v>164.82769055882099</v>
      </c>
      <c r="T128" s="33">
        <v>165.37738540767899</v>
      </c>
      <c r="U128" s="15">
        <v>6.3994810436642097E-3</v>
      </c>
      <c r="V128" s="15">
        <v>2.3548665666001099E-3</v>
      </c>
      <c r="W128" s="15">
        <v>5.6842845353042796E-3</v>
      </c>
      <c r="X128" s="34">
        <v>2.3636624982032401</v>
      </c>
      <c r="Y128" s="34">
        <v>2.3785236560114398</v>
      </c>
      <c r="Z128" s="34">
        <v>2.3680895458404501</v>
      </c>
      <c r="AA128" s="34">
        <v>2.3750008578876201</v>
      </c>
      <c r="AB128" s="33">
        <v>165.473890748716</v>
      </c>
      <c r="AC128" s="33">
        <v>164.82769055882099</v>
      </c>
      <c r="AD128" s="33">
        <v>165.29207252570799</v>
      </c>
      <c r="AE128" s="15">
        <v>6.2676605155629799E-3</v>
      </c>
      <c r="AF128" s="15">
        <v>2.3548665666003302E-3</v>
      </c>
      <c r="AG128" s="15">
        <v>5.1682835450846398E-3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2.6012559594189512E-3</v>
      </c>
      <c r="AT128" s="12"/>
      <c r="AU128">
        <f t="shared" si="30"/>
        <v>1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28">
        <f t="shared" si="32"/>
        <v>-1.4478318639276899E-2</v>
      </c>
      <c r="BA128" s="28">
        <f t="shared" si="33"/>
        <v>1.5196370865717301E-2</v>
      </c>
      <c r="BB128" s="28">
        <f t="shared" si="40"/>
        <v>7.1805222644040143E-4</v>
      </c>
      <c r="BC128" s="29">
        <f t="shared" si="41"/>
        <v>8.84562454810996E-3</v>
      </c>
      <c r="BE128" s="29">
        <f t="shared" si="42"/>
        <v>7.1805222644040143E-4</v>
      </c>
      <c r="BF128" s="29">
        <f t="shared" si="43"/>
        <v>1.1446880507528911E-2</v>
      </c>
      <c r="BH128" s="29"/>
    </row>
    <row r="129" spans="1:60" x14ac:dyDescent="0.25">
      <c r="A129" s="1">
        <v>46211</v>
      </c>
      <c r="B129" s="33">
        <v>68.56</v>
      </c>
      <c r="C129" s="33">
        <v>162.30000000000001</v>
      </c>
      <c r="D129" s="15">
        <v>-1.46241656460254E-2</v>
      </c>
      <c r="E129" s="15">
        <v>-1.3099287509132E-2</v>
      </c>
      <c r="F129" s="33">
        <v>0</v>
      </c>
      <c r="G129" s="33">
        <v>0.35818</v>
      </c>
      <c r="H129" s="33">
        <v>0</v>
      </c>
      <c r="I129" s="33">
        <v>1.2509299999999901</v>
      </c>
      <c r="J129" s="33">
        <v>0</v>
      </c>
      <c r="K129" s="33">
        <v>0</v>
      </c>
      <c r="L129" s="33">
        <v>68.56</v>
      </c>
      <c r="M129" s="33">
        <v>162.30000000000001</v>
      </c>
      <c r="N129" s="34">
        <v>2.3672695449241501</v>
      </c>
      <c r="O129" s="34">
        <v>2.3788372149221799</v>
      </c>
      <c r="P129" s="34">
        <v>2.36714665807142</v>
      </c>
      <c r="Q129" s="34">
        <v>2.3754445104858002</v>
      </c>
      <c r="R129" s="33">
        <v>163.09307945506399</v>
      </c>
      <c r="S129" s="33">
        <v>162.35621926282101</v>
      </c>
      <c r="T129" s="33">
        <v>162.91413314749201</v>
      </c>
      <c r="U129" s="15">
        <v>4.8746029067706703E-3</v>
      </c>
      <c r="V129" s="15">
        <v>3.4633104217797798E-4</v>
      </c>
      <c r="W129" s="15">
        <v>3.7767969771694099E-3</v>
      </c>
      <c r="X129" s="34">
        <v>2.3672695449241501</v>
      </c>
      <c r="Y129" s="34">
        <v>2.3785236560114398</v>
      </c>
      <c r="Z129" s="34">
        <v>2.36714665807142</v>
      </c>
      <c r="AA129" s="34">
        <v>2.3742182221147901</v>
      </c>
      <c r="AB129" s="33">
        <v>163.07158185614401</v>
      </c>
      <c r="AC129" s="33">
        <v>162.35621926282101</v>
      </c>
      <c r="AD129" s="33">
        <v>162.83005881677499</v>
      </c>
      <c r="AE129" s="15">
        <v>4.74278237866947E-3</v>
      </c>
      <c r="AF129" s="15">
        <v>3.4633104217775599E-4</v>
      </c>
      <c r="AG129" s="15">
        <v>3.2605984713615799E-3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2.6012559594189512E-3</v>
      </c>
      <c r="AT129" s="12"/>
      <c r="AU129">
        <f t="shared" si="30"/>
        <v>0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28">
        <f t="shared" si="32"/>
        <v>1.46241656460254E-2</v>
      </c>
      <c r="BA129" s="28">
        <f t="shared" si="33"/>
        <v>-1.3099287509132E-2</v>
      </c>
      <c r="BB129" s="28">
        <f t="shared" si="40"/>
        <v>1.5248781368933997E-3</v>
      </c>
      <c r="BC129" s="29">
        <f t="shared" si="41"/>
        <v>1.037050268500336E-2</v>
      </c>
      <c r="BE129" s="29">
        <f t="shared" si="42"/>
        <v>1.5248781368933997E-3</v>
      </c>
      <c r="BF129" s="29">
        <f t="shared" si="43"/>
        <v>1.2971758644422311E-2</v>
      </c>
      <c r="BH129" s="29"/>
    </row>
    <row r="130" spans="1:60" x14ac:dyDescent="0.25">
      <c r="A130" s="1">
        <v>46212</v>
      </c>
      <c r="B130" s="33">
        <v>68.62</v>
      </c>
      <c r="C130" s="33">
        <v>162.16999999999999</v>
      </c>
      <c r="D130" s="15">
        <v>8.7476314077940005E-4</v>
      </c>
      <c r="E130" s="15">
        <v>-8.0130678926259799E-4</v>
      </c>
      <c r="F130" s="33">
        <v>0</v>
      </c>
      <c r="G130" s="33">
        <v>0.35818</v>
      </c>
      <c r="H130" s="33">
        <v>0</v>
      </c>
      <c r="I130" s="33">
        <v>1.2509299999999901</v>
      </c>
      <c r="J130" s="33">
        <v>0</v>
      </c>
      <c r="K130" s="33">
        <v>0</v>
      </c>
      <c r="L130" s="33">
        <v>68.62</v>
      </c>
      <c r="M130" s="33">
        <v>162.16999999999999</v>
      </c>
      <c r="N130" s="34">
        <v>2.3633051588458098</v>
      </c>
      <c r="O130" s="34">
        <v>2.3788372149221799</v>
      </c>
      <c r="P130" s="34">
        <v>2.3662401690055099</v>
      </c>
      <c r="Q130" s="34">
        <v>2.37458158422973</v>
      </c>
      <c r="R130" s="33">
        <v>163.23580968796</v>
      </c>
      <c r="S130" s="33">
        <v>162.433603676861</v>
      </c>
      <c r="T130" s="33">
        <v>163.00300230953599</v>
      </c>
      <c r="U130" s="15">
        <v>6.5506728368125702E-3</v>
      </c>
      <c r="V130" s="15">
        <v>1.6241577839677401E-3</v>
      </c>
      <c r="W130" s="15">
        <v>5.1234519827593203E-3</v>
      </c>
      <c r="X130" s="34">
        <v>2.3633051588458098</v>
      </c>
      <c r="Y130" s="34">
        <v>2.3785236560114398</v>
      </c>
      <c r="Z130" s="34">
        <v>2.3662401690055099</v>
      </c>
      <c r="AA130" s="34">
        <v>2.3733552958587101</v>
      </c>
      <c r="AB130" s="33">
        <v>163.21429327550501</v>
      </c>
      <c r="AC130" s="33">
        <v>162.433603676861</v>
      </c>
      <c r="AD130" s="33">
        <v>162.918854401517</v>
      </c>
      <c r="AE130" s="15">
        <v>6.4188523087115798E-3</v>
      </c>
      <c r="AF130" s="15">
        <v>1.6241577839677401E-3</v>
      </c>
      <c r="AG130" s="15">
        <v>4.6070833615317703E-3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2.6012559594189512E-3</v>
      </c>
      <c r="AT130" s="12"/>
      <c r="AU130">
        <f t="shared" si="30"/>
        <v>1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-8.7476314077940005E-4</v>
      </c>
      <c r="BA130" s="28">
        <f t="shared" si="33"/>
        <v>-8.0130678926259799E-4</v>
      </c>
      <c r="BB130" s="28">
        <f t="shared" si="40"/>
        <v>-1.6760699300419979E-3</v>
      </c>
      <c r="BC130" s="29">
        <f t="shared" si="41"/>
        <v>8.6944327549613627E-3</v>
      </c>
      <c r="BE130" s="29">
        <f t="shared" si="42"/>
        <v>-1.6760699300419979E-3</v>
      </c>
      <c r="BF130" s="29">
        <f t="shared" si="43"/>
        <v>1.1295688714380313E-2</v>
      </c>
      <c r="BH130" s="29"/>
    </row>
    <row r="131" spans="1:60" x14ac:dyDescent="0.25">
      <c r="A131" s="1">
        <v>46213</v>
      </c>
      <c r="B131" s="33">
        <v>67.89</v>
      </c>
      <c r="C131" s="33">
        <v>160.84</v>
      </c>
      <c r="D131" s="15">
        <v>-1.0695289116748E-2</v>
      </c>
      <c r="E131" s="15">
        <v>-8.2350857022096199E-3</v>
      </c>
      <c r="F131" s="33">
        <v>0</v>
      </c>
      <c r="G131" s="33">
        <v>0.35818</v>
      </c>
      <c r="H131" s="33">
        <v>0</v>
      </c>
      <c r="I131" s="33">
        <v>1.2509299999999901</v>
      </c>
      <c r="J131" s="33">
        <v>0</v>
      </c>
      <c r="K131" s="33">
        <v>0</v>
      </c>
      <c r="L131" s="33">
        <v>67.89</v>
      </c>
      <c r="M131" s="33">
        <v>160.84</v>
      </c>
      <c r="N131" s="34">
        <v>2.3691265282073899</v>
      </c>
      <c r="O131" s="34">
        <v>2.3788372149221799</v>
      </c>
      <c r="P131" s="34">
        <v>2.3661287584695598</v>
      </c>
      <c r="Q131" s="34">
        <v>2.3737915383511301</v>
      </c>
      <c r="R131" s="33">
        <v>161.499258521066</v>
      </c>
      <c r="S131" s="33">
        <v>160.64404507378401</v>
      </c>
      <c r="T131" s="33">
        <v>161.210343753356</v>
      </c>
      <c r="U131" s="15">
        <v>4.0904694222742496E-3</v>
      </c>
      <c r="V131" s="15">
        <v>-1.2190648555405301E-3</v>
      </c>
      <c r="W131" s="15">
        <v>2.29991318927206E-3</v>
      </c>
      <c r="X131" s="34">
        <v>2.3691265282073899</v>
      </c>
      <c r="Y131" s="34">
        <v>2.3785236560114398</v>
      </c>
      <c r="Z131" s="34">
        <v>2.3661287584695598</v>
      </c>
      <c r="AA131" s="34">
        <v>2.3725652499801102</v>
      </c>
      <c r="AB131" s="33">
        <v>161.477971006617</v>
      </c>
      <c r="AC131" s="33">
        <v>160.64404507378401</v>
      </c>
      <c r="AD131" s="33">
        <v>161.127091035848</v>
      </c>
      <c r="AE131" s="15">
        <v>3.9586488941732601E-3</v>
      </c>
      <c r="AF131" s="15">
        <v>-1.2190648555405301E-3</v>
      </c>
      <c r="AG131" s="15">
        <v>1.7833568704941601E-3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2.6012559594189512E-3</v>
      </c>
      <c r="AT131" s="12"/>
      <c r="AU131">
        <f t="shared" si="30"/>
        <v>0</v>
      </c>
      <c r="AV131">
        <f t="shared" si="31"/>
        <v>0</v>
      </c>
      <c r="AW131">
        <f t="shared" si="38"/>
        <v>1</v>
      </c>
      <c r="AX131">
        <f t="shared" si="25"/>
        <v>1</v>
      </c>
      <c r="AY131">
        <f t="shared" si="39"/>
        <v>1</v>
      </c>
      <c r="AZ131" s="28">
        <f t="shared" si="32"/>
        <v>1.0695289116748E-2</v>
      </c>
      <c r="BA131" s="28">
        <f t="shared" si="33"/>
        <v>-8.2350857022096199E-3</v>
      </c>
      <c r="BB131" s="28">
        <f t="shared" si="40"/>
        <v>2.4602034145383804E-3</v>
      </c>
      <c r="BC131" s="29">
        <f t="shared" si="41"/>
        <v>1.1154636169499743E-2</v>
      </c>
      <c r="BE131" s="29">
        <f t="shared" si="42"/>
        <v>2.4602034145383804E-3</v>
      </c>
      <c r="BF131" s="29">
        <f t="shared" si="43"/>
        <v>1.3755892128918694E-2</v>
      </c>
      <c r="BH131" s="29"/>
    </row>
    <row r="132" spans="1:60" x14ac:dyDescent="0.25">
      <c r="A132" s="1">
        <v>46216</v>
      </c>
      <c r="B132" s="33">
        <v>68</v>
      </c>
      <c r="C132" s="33">
        <v>161.41</v>
      </c>
      <c r="D132" s="15">
        <v>1.6189568625510999E-3</v>
      </c>
      <c r="E132" s="15">
        <v>3.53762975611486E-3</v>
      </c>
      <c r="F132" s="33">
        <v>0</v>
      </c>
      <c r="G132" s="33">
        <v>0.35818</v>
      </c>
      <c r="H132" s="33">
        <v>0</v>
      </c>
      <c r="I132" s="33">
        <v>1.2509299999999901</v>
      </c>
      <c r="J132" s="33">
        <v>0</v>
      </c>
      <c r="K132" s="33">
        <v>0</v>
      </c>
      <c r="L132" s="33">
        <v>68</v>
      </c>
      <c r="M132" s="33">
        <v>161.41</v>
      </c>
      <c r="N132" s="34">
        <v>2.3736764705882298</v>
      </c>
      <c r="O132" s="34">
        <v>2.3788372149221799</v>
      </c>
      <c r="P132" s="34">
        <v>2.36644732214577</v>
      </c>
      <c r="Q132" s="34">
        <v>2.3732291151695</v>
      </c>
      <c r="R132" s="33">
        <v>161.760930614708</v>
      </c>
      <c r="S132" s="33">
        <v>160.89675557593</v>
      </c>
      <c r="T132" s="33">
        <v>161.41782460787701</v>
      </c>
      <c r="U132" s="15">
        <v>2.1717965287102099E-3</v>
      </c>
      <c r="V132" s="15">
        <v>-3.1848222168095199E-3</v>
      </c>
      <c r="W132" s="15">
        <v>4.8475424248456101E-5</v>
      </c>
      <c r="X132" s="34">
        <v>2.3736764705882298</v>
      </c>
      <c r="Y132" s="34">
        <v>2.3785236560114398</v>
      </c>
      <c r="Z132" s="34">
        <v>2.36644732214577</v>
      </c>
      <c r="AA132" s="34">
        <v>2.3720028267984898</v>
      </c>
      <c r="AB132" s="33">
        <v>161.73960860877801</v>
      </c>
      <c r="AC132" s="33">
        <v>160.89675557593</v>
      </c>
      <c r="AD132" s="33">
        <v>161.33443699864699</v>
      </c>
      <c r="AE132" s="15">
        <v>2.03997600060918E-3</v>
      </c>
      <c r="AF132" s="15">
        <v>-3.1848222168097402E-3</v>
      </c>
      <c r="AG132" s="15">
        <v>-4.6825285935535901E-4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2.6012559594189512E-3</v>
      </c>
      <c r="AT132" s="12"/>
      <c r="AU132">
        <f t="shared" si="30"/>
        <v>0</v>
      </c>
      <c r="AV132">
        <f t="shared" si="31"/>
        <v>1</v>
      </c>
      <c r="AW132">
        <f t="shared" si="38"/>
        <v>1</v>
      </c>
      <c r="AX132">
        <f t="shared" si="25"/>
        <v>1</v>
      </c>
      <c r="AY132">
        <f t="shared" si="39"/>
        <v>1</v>
      </c>
      <c r="AZ132" s="28">
        <f t="shared" si="32"/>
        <v>-1.6189568625510999E-3</v>
      </c>
      <c r="BA132" s="28">
        <f t="shared" si="33"/>
        <v>3.53762975611486E-3</v>
      </c>
      <c r="BB132" s="28">
        <f t="shared" si="40"/>
        <v>1.91867289356376E-3</v>
      </c>
      <c r="BC132" s="29">
        <f t="shared" si="41"/>
        <v>1.3073309063063504E-2</v>
      </c>
      <c r="BE132" s="29">
        <f t="shared" si="42"/>
        <v>1.91867289356376E-3</v>
      </c>
      <c r="BF132" s="29">
        <f t="shared" si="43"/>
        <v>1.5674565022482455E-2</v>
      </c>
      <c r="BH132" s="29"/>
    </row>
    <row r="133" spans="1:60" x14ac:dyDescent="0.25">
      <c r="A133" s="1">
        <v>46217</v>
      </c>
      <c r="B133" s="33">
        <v>66.739999999999995</v>
      </c>
      <c r="C133" s="33">
        <v>158.29</v>
      </c>
      <c r="D133" s="15">
        <v>-1.8703231852878699E-2</v>
      </c>
      <c r="E133" s="15">
        <v>-1.95189180875413E-2</v>
      </c>
      <c r="F133" s="33">
        <v>0</v>
      </c>
      <c r="G133" s="33">
        <v>0.35818</v>
      </c>
      <c r="H133" s="33">
        <v>0</v>
      </c>
      <c r="I133" s="33">
        <v>1.2509299999999901</v>
      </c>
      <c r="J133" s="33">
        <v>0</v>
      </c>
      <c r="K133" s="33">
        <v>0</v>
      </c>
      <c r="L133" s="33">
        <v>66.739999999999995</v>
      </c>
      <c r="M133" s="33">
        <v>158.29</v>
      </c>
      <c r="N133" s="34">
        <v>2.3717410848067102</v>
      </c>
      <c r="O133" s="34">
        <v>2.3788372149221799</v>
      </c>
      <c r="P133" s="34">
        <v>2.3669954921603802</v>
      </c>
      <c r="Q133" s="34">
        <v>2.3725466284669099</v>
      </c>
      <c r="R133" s="33">
        <v>158.76359572390601</v>
      </c>
      <c r="S133" s="33">
        <v>157.93669428000899</v>
      </c>
      <c r="T133" s="33">
        <v>158.38931114641301</v>
      </c>
      <c r="U133" s="15">
        <v>2.9874827633728498E-3</v>
      </c>
      <c r="V133" s="15">
        <v>-2.2345100738621099E-3</v>
      </c>
      <c r="W133" s="15">
        <v>6.2720326951015096E-4</v>
      </c>
      <c r="X133" s="34">
        <v>2.3717410848067102</v>
      </c>
      <c r="Y133" s="34">
        <v>2.3785236560114398</v>
      </c>
      <c r="Z133" s="34">
        <v>2.3669954921603802</v>
      </c>
      <c r="AA133" s="34">
        <v>2.37132034009589</v>
      </c>
      <c r="AB133" s="33">
        <v>158.74266880220401</v>
      </c>
      <c r="AC133" s="33">
        <v>157.93669428000899</v>
      </c>
      <c r="AD133" s="33">
        <v>158.30746866053099</v>
      </c>
      <c r="AE133" s="15">
        <v>2.85566223527163E-3</v>
      </c>
      <c r="AF133" s="15">
        <v>-2.2345100738621099E-3</v>
      </c>
      <c r="AG133" s="15">
        <v>1.10352496645112E-4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2.6012559594189512E-3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1.3073309063063504E-2</v>
      </c>
      <c r="BE133" s="29">
        <f t="shared" si="42"/>
        <v>0</v>
      </c>
      <c r="BF133" s="29">
        <f t="shared" si="43"/>
        <v>1.5674565022482455E-2</v>
      </c>
      <c r="BH133" s="29"/>
    </row>
    <row r="134" spans="1:60" x14ac:dyDescent="0.25">
      <c r="A134" s="1">
        <v>46218</v>
      </c>
      <c r="B134" s="33">
        <v>66.81</v>
      </c>
      <c r="C134" s="33">
        <v>158.29</v>
      </c>
      <c r="D134" s="15">
        <v>1.0482966141580701E-3</v>
      </c>
      <c r="E134" s="15">
        <v>0</v>
      </c>
      <c r="F134" s="33">
        <v>0</v>
      </c>
      <c r="G134" s="33">
        <v>0.35818</v>
      </c>
      <c r="H134" s="33">
        <v>0</v>
      </c>
      <c r="I134" s="33">
        <v>1.2509299999999901</v>
      </c>
      <c r="J134" s="33">
        <v>0</v>
      </c>
      <c r="K134" s="33">
        <v>0</v>
      </c>
      <c r="L134" s="33">
        <v>66.81</v>
      </c>
      <c r="M134" s="33">
        <v>158.29</v>
      </c>
      <c r="N134" s="34">
        <v>2.3692560993863099</v>
      </c>
      <c r="O134" s="34">
        <v>2.3788372149221799</v>
      </c>
      <c r="P134" s="34">
        <v>2.36715047084994</v>
      </c>
      <c r="Q134" s="34">
        <v>2.37160143593545</v>
      </c>
      <c r="R134" s="33">
        <v>158.93011432895</v>
      </c>
      <c r="S134" s="33">
        <v>158.13896883123499</v>
      </c>
      <c r="T134" s="33">
        <v>158.509840247874</v>
      </c>
      <c r="U134" s="15">
        <v>4.0357793775308397E-3</v>
      </c>
      <c r="V134" s="15">
        <v>-9.5459768296008698E-4</v>
      </c>
      <c r="W134" s="15">
        <v>1.38788127538827E-3</v>
      </c>
      <c r="X134" s="34">
        <v>2.3692560993863099</v>
      </c>
      <c r="Y134" s="34">
        <v>2.3785236560114398</v>
      </c>
      <c r="Z134" s="34">
        <v>2.36715047084994</v>
      </c>
      <c r="AA134" s="34">
        <v>2.3706790657524399</v>
      </c>
      <c r="AB134" s="33">
        <v>158.90916545812399</v>
      </c>
      <c r="AC134" s="33">
        <v>158.13896883123499</v>
      </c>
      <c r="AD134" s="33">
        <v>158.42791192180701</v>
      </c>
      <c r="AE134" s="15">
        <v>3.9039588494297799E-3</v>
      </c>
      <c r="AF134" s="15">
        <v>-9.5459768296008698E-4</v>
      </c>
      <c r="AG134" s="15">
        <v>8.7088178680319703E-4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2.6012559594189512E-3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1.3073309063063504E-2</v>
      </c>
      <c r="BE134" s="29">
        <f t="shared" si="42"/>
        <v>0</v>
      </c>
      <c r="BF134" s="29">
        <f t="shared" si="43"/>
        <v>1.5674565022482455E-2</v>
      </c>
      <c r="BH134" s="29"/>
    </row>
    <row r="135" spans="1:60" x14ac:dyDescent="0.25">
      <c r="A135" s="1">
        <v>46219</v>
      </c>
      <c r="B135" s="33">
        <v>68.12</v>
      </c>
      <c r="C135" s="33">
        <v>161.80000000000001</v>
      </c>
      <c r="D135" s="15">
        <v>1.9418085857101499E-2</v>
      </c>
      <c r="E135" s="15">
        <v>2.1932210926744501E-2</v>
      </c>
      <c r="F135" s="33">
        <v>0</v>
      </c>
      <c r="G135" s="33">
        <v>0.35818</v>
      </c>
      <c r="H135" s="33">
        <v>0</v>
      </c>
      <c r="I135" s="33">
        <v>1.2509299999999901</v>
      </c>
      <c r="J135" s="33">
        <v>0</v>
      </c>
      <c r="K135" s="33">
        <v>0</v>
      </c>
      <c r="L135" s="33">
        <v>68.12</v>
      </c>
      <c r="M135" s="33">
        <v>161.80000000000001</v>
      </c>
      <c r="N135" s="34">
        <v>2.3752201996476798</v>
      </c>
      <c r="O135" s="34">
        <v>2.3788372149221799</v>
      </c>
      <c r="P135" s="34">
        <v>2.3681066545157798</v>
      </c>
      <c r="Q135" s="34">
        <v>2.3708220363508499</v>
      </c>
      <c r="R135" s="33">
        <v>162.04639108049901</v>
      </c>
      <c r="S135" s="33">
        <v>161.25029007429799</v>
      </c>
      <c r="T135" s="33">
        <v>161.55348981592201</v>
      </c>
      <c r="U135" s="15">
        <v>1.5216543078880301E-3</v>
      </c>
      <c r="V135" s="15">
        <v>-3.4032500397503198E-3</v>
      </c>
      <c r="W135" s="15">
        <v>-1.5247105078311999E-3</v>
      </c>
      <c r="X135" s="34">
        <v>2.3752201996476798</v>
      </c>
      <c r="Y135" s="34">
        <v>2.3785236560114398</v>
      </c>
      <c r="Z135" s="34">
        <v>2.3681066545157798</v>
      </c>
      <c r="AA135" s="34">
        <v>2.3702041585772</v>
      </c>
      <c r="AB135" s="33">
        <v>162.025031447499</v>
      </c>
      <c r="AC135" s="33">
        <v>161.25029007429799</v>
      </c>
      <c r="AD135" s="33">
        <v>161.49065795905599</v>
      </c>
      <c r="AE135" s="15">
        <v>1.3898337797868801E-3</v>
      </c>
      <c r="AF135" s="15">
        <v>-3.4032500397498801E-3</v>
      </c>
      <c r="AG135" s="15">
        <v>-1.91370908955025E-3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2.6012559594189512E-3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1.3073309063063504E-2</v>
      </c>
      <c r="BE135" s="29">
        <f t="shared" si="42"/>
        <v>0</v>
      </c>
      <c r="BF135" s="29">
        <f t="shared" si="43"/>
        <v>1.5674565022482455E-2</v>
      </c>
      <c r="BH135" s="29"/>
    </row>
    <row r="136" spans="1:60" x14ac:dyDescent="0.25">
      <c r="A136" s="1">
        <v>46220</v>
      </c>
      <c r="B136" s="33">
        <v>67.8</v>
      </c>
      <c r="C136" s="33">
        <v>161.09</v>
      </c>
      <c r="D136" s="15">
        <v>-4.70866084813777E-3</v>
      </c>
      <c r="E136" s="15">
        <v>-4.3977896145171603E-3</v>
      </c>
      <c r="F136" s="33">
        <v>0</v>
      </c>
      <c r="G136" s="33">
        <v>0.35818</v>
      </c>
      <c r="H136" s="33">
        <v>0</v>
      </c>
      <c r="I136" s="33">
        <v>1.2509299999999901</v>
      </c>
      <c r="J136" s="33">
        <v>0</v>
      </c>
      <c r="K136" s="33">
        <v>0</v>
      </c>
      <c r="L136" s="33">
        <v>67.8</v>
      </c>
      <c r="M136" s="33">
        <v>161.09</v>
      </c>
      <c r="N136" s="34">
        <v>2.37595870206489</v>
      </c>
      <c r="O136" s="34">
        <v>2.3788372149221799</v>
      </c>
      <c r="P136" s="34">
        <v>2.36911821609635</v>
      </c>
      <c r="Q136" s="34">
        <v>2.3702551686661901</v>
      </c>
      <c r="R136" s="33">
        <v>161.28516317172301</v>
      </c>
      <c r="S136" s="33">
        <v>160.55763117616999</v>
      </c>
      <c r="T136" s="33">
        <v>160.74173406458701</v>
      </c>
      <c r="U136" s="15">
        <v>1.21078307426748E-3</v>
      </c>
      <c r="V136" s="15">
        <v>-3.3102641422722498E-3</v>
      </c>
      <c r="W136" s="15">
        <v>-2.1642742743610199E-3</v>
      </c>
      <c r="X136" s="34">
        <v>2.37595870206489</v>
      </c>
      <c r="Y136" s="34">
        <v>2.3785236560114398</v>
      </c>
      <c r="Z136" s="34">
        <v>2.36911821609635</v>
      </c>
      <c r="AA136" s="34">
        <v>2.3699453711427299</v>
      </c>
      <c r="AB136" s="33">
        <v>161.26390387757601</v>
      </c>
      <c r="AC136" s="33">
        <v>160.55763117616999</v>
      </c>
      <c r="AD136" s="33">
        <v>160.69984195153401</v>
      </c>
      <c r="AE136" s="15">
        <v>1.0789625461663801E-3</v>
      </c>
      <c r="AF136" s="15">
        <v>-3.3102641422722498E-3</v>
      </c>
      <c r="AG136" s="15">
        <v>-2.4249257669861899E-3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2.6012559594189512E-3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1.3073309063063504E-2</v>
      </c>
      <c r="BE136" s="29">
        <f t="shared" si="42"/>
        <v>0</v>
      </c>
      <c r="BF136" s="29">
        <f t="shared" si="43"/>
        <v>1.5674565022482455E-2</v>
      </c>
      <c r="BH136" s="29"/>
    </row>
    <row r="137" spans="1:60" x14ac:dyDescent="0.25">
      <c r="A137" s="1">
        <v>46223</v>
      </c>
      <c r="B137" s="33">
        <v>66.989999999999995</v>
      </c>
      <c r="C137" s="33">
        <v>159.25</v>
      </c>
      <c r="D137" s="15">
        <v>-1.20188404261737E-2</v>
      </c>
      <c r="E137" s="15">
        <v>-1.14879205576014E-2</v>
      </c>
      <c r="F137" s="33">
        <v>0</v>
      </c>
      <c r="G137" s="33">
        <v>0.35818</v>
      </c>
      <c r="H137" s="33">
        <v>0</v>
      </c>
      <c r="I137" s="33">
        <v>1.2509299999999901</v>
      </c>
      <c r="J137" s="33">
        <v>0</v>
      </c>
      <c r="K137" s="33">
        <v>0</v>
      </c>
      <c r="L137" s="33">
        <v>66.989999999999995</v>
      </c>
      <c r="M137" s="33">
        <v>159.25</v>
      </c>
      <c r="N137" s="34">
        <v>2.37722048066875</v>
      </c>
      <c r="O137" s="34">
        <v>2.3788372149221799</v>
      </c>
      <c r="P137" s="34">
        <v>2.37064367673432</v>
      </c>
      <c r="Q137" s="34">
        <v>2.36993942179982</v>
      </c>
      <c r="R137" s="33">
        <v>159.35830502763599</v>
      </c>
      <c r="S137" s="33">
        <v>158.707229296294</v>
      </c>
      <c r="T137" s="33">
        <v>158.78339374894799</v>
      </c>
      <c r="U137" s="15">
        <v>6.7986320569526199E-4</v>
      </c>
      <c r="V137" s="15">
        <v>-3.4141147356580902E-3</v>
      </c>
      <c r="W137" s="15">
        <v>-2.93432447675482E-3</v>
      </c>
      <c r="X137" s="34">
        <v>2.37722048066875</v>
      </c>
      <c r="Y137" s="34">
        <v>2.3785236560114398</v>
      </c>
      <c r="Z137" s="34">
        <v>2.37064367673432</v>
      </c>
      <c r="AA137" s="34">
        <v>2.36993942179982</v>
      </c>
      <c r="AB137" s="33">
        <v>159.33729971620599</v>
      </c>
      <c r="AC137" s="33">
        <v>158.707229296294</v>
      </c>
      <c r="AD137" s="33">
        <v>158.762640412851</v>
      </c>
      <c r="AE137" s="15">
        <v>5.4804267759412902E-4</v>
      </c>
      <c r="AF137" s="15">
        <v>-3.4141147356580902E-3</v>
      </c>
      <c r="AG137" s="15">
        <v>-3.0650352014609402E-3</v>
      </c>
      <c r="AI137" s="12"/>
      <c r="AJ137">
        <f t="shared" si="26"/>
        <v>1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2.6012559594189512E-3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1.3073309063063504E-2</v>
      </c>
      <c r="BE137" s="29">
        <f t="shared" si="42"/>
        <v>0</v>
      </c>
      <c r="BF137" s="29">
        <f t="shared" si="43"/>
        <v>1.5674565022482455E-2</v>
      </c>
      <c r="BH137" s="29"/>
    </row>
    <row r="138" spans="1:60" x14ac:dyDescent="0.25">
      <c r="A138" s="1">
        <v>46224</v>
      </c>
      <c r="B138" s="33">
        <v>67.42</v>
      </c>
      <c r="C138" s="33">
        <v>160.25</v>
      </c>
      <c r="D138" s="15">
        <v>6.3983552857385896E-3</v>
      </c>
      <c r="E138" s="15">
        <v>6.2598013485067302E-3</v>
      </c>
      <c r="F138" s="33">
        <v>0</v>
      </c>
      <c r="G138" s="33">
        <v>0.35818</v>
      </c>
      <c r="H138" s="33">
        <v>0</v>
      </c>
      <c r="I138" s="33">
        <v>1.2509299999999901</v>
      </c>
      <c r="J138" s="33">
        <v>0</v>
      </c>
      <c r="K138" s="33">
        <v>0</v>
      </c>
      <c r="L138" s="33">
        <v>67.42</v>
      </c>
      <c r="M138" s="33">
        <v>160.25</v>
      </c>
      <c r="N138" s="34">
        <v>2.3768911302284099</v>
      </c>
      <c r="O138" s="34">
        <v>2.3788372149221799</v>
      </c>
      <c r="P138" s="34">
        <v>2.3719665399368299</v>
      </c>
      <c r="Q138" s="34">
        <v>2.3700280428886402</v>
      </c>
      <c r="R138" s="33">
        <v>160.381205030053</v>
      </c>
      <c r="S138" s="33">
        <v>159.82879668542799</v>
      </c>
      <c r="T138" s="33">
        <v>159.781315817744</v>
      </c>
      <c r="U138" s="15">
        <v>8.1841714292713095E-4</v>
      </c>
      <c r="V138" s="15">
        <v>-2.6318741638933301E-3</v>
      </c>
      <c r="W138" s="15">
        <v>-2.9289915965120101E-3</v>
      </c>
      <c r="X138" s="34">
        <v>2.3768911302284099</v>
      </c>
      <c r="Y138" s="34">
        <v>2.3785236560114398</v>
      </c>
      <c r="Z138" s="34">
        <v>2.3719665399368299</v>
      </c>
      <c r="AA138" s="34">
        <v>2.3700280428886402</v>
      </c>
      <c r="AB138" s="33">
        <v>160.36006488829099</v>
      </c>
      <c r="AC138" s="33">
        <v>159.82879668542699</v>
      </c>
      <c r="AD138" s="33">
        <v>159.781315817744</v>
      </c>
      <c r="AE138" s="15">
        <v>6.8659661482602596E-4</v>
      </c>
      <c r="AF138" s="15">
        <v>-2.63187416389355E-3</v>
      </c>
      <c r="AG138" s="15">
        <v>-2.9289915965120101E-3</v>
      </c>
      <c r="AI138" s="12"/>
      <c r="AJ138">
        <f t="shared" si="26"/>
        <v>0</v>
      </c>
      <c r="AK138">
        <f t="shared" si="27"/>
        <v>0</v>
      </c>
      <c r="AL138">
        <f t="shared" si="34"/>
        <v>1</v>
      </c>
      <c r="AM138">
        <f t="shared" si="24"/>
        <v>1</v>
      </c>
      <c r="AN138">
        <f t="shared" si="35"/>
        <v>1</v>
      </c>
      <c r="AO138" s="28">
        <f t="shared" si="28"/>
        <v>6.3983552857385896E-3</v>
      </c>
      <c r="AP138" s="28">
        <f t="shared" si="29"/>
        <v>-6.2598013485067302E-3</v>
      </c>
      <c r="AQ138" s="28">
        <f t="shared" si="36"/>
        <v>1.3855393723185942E-4</v>
      </c>
      <c r="AR138" s="29">
        <f t="shared" si="37"/>
        <v>2.7398098966508106E-3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1.3073309063063504E-2</v>
      </c>
      <c r="BE138" s="29">
        <f t="shared" si="42"/>
        <v>1.3855393723185942E-4</v>
      </c>
      <c r="BF138" s="29">
        <f t="shared" si="43"/>
        <v>1.5813118959714316E-2</v>
      </c>
      <c r="BH138" s="29"/>
    </row>
    <row r="139" spans="1:60" x14ac:dyDescent="0.25">
      <c r="A139" s="1">
        <v>46225</v>
      </c>
      <c r="B139" s="33">
        <v>67.12</v>
      </c>
      <c r="C139" s="33">
        <v>159.43</v>
      </c>
      <c r="D139" s="15">
        <v>-4.4596476469638399E-3</v>
      </c>
      <c r="E139" s="15">
        <v>-5.1301413815054301E-3</v>
      </c>
      <c r="F139" s="33">
        <v>0</v>
      </c>
      <c r="G139" s="33">
        <v>0.35818</v>
      </c>
      <c r="H139" s="33">
        <v>0</v>
      </c>
      <c r="I139" s="33">
        <v>1.2509299999999901</v>
      </c>
      <c r="J139" s="33">
        <v>0</v>
      </c>
      <c r="K139" s="33">
        <v>0</v>
      </c>
      <c r="L139" s="33">
        <v>67.12</v>
      </c>
      <c r="M139" s="33">
        <v>159.43</v>
      </c>
      <c r="N139" s="34">
        <v>2.3752979737783</v>
      </c>
      <c r="O139" s="34">
        <v>2.3788372149221799</v>
      </c>
      <c r="P139" s="34">
        <v>2.3727693828222498</v>
      </c>
      <c r="Q139" s="34">
        <v>2.3699580204468398</v>
      </c>
      <c r="R139" s="33">
        <v>159.667553865576</v>
      </c>
      <c r="S139" s="33">
        <v>159.20639416056</v>
      </c>
      <c r="T139" s="33">
        <v>159.076282238685</v>
      </c>
      <c r="U139" s="15">
        <v>1.4889108774686301E-3</v>
      </c>
      <c r="V139" s="15">
        <v>-1.4035174904268601E-3</v>
      </c>
      <c r="W139" s="15">
        <v>-2.2211047408195201E-3</v>
      </c>
      <c r="X139" s="34">
        <v>2.3752979737783</v>
      </c>
      <c r="Y139" s="34">
        <v>2.3785236560114398</v>
      </c>
      <c r="Z139" s="34">
        <v>2.3727693828222498</v>
      </c>
      <c r="AA139" s="34">
        <v>2.3699580204468398</v>
      </c>
      <c r="AB139" s="33">
        <v>159.64650779148801</v>
      </c>
      <c r="AC139" s="33">
        <v>159.20639416056</v>
      </c>
      <c r="AD139" s="33">
        <v>159.076282238685</v>
      </c>
      <c r="AE139" s="15">
        <v>1.3570903493675E-3</v>
      </c>
      <c r="AF139" s="15">
        <v>-1.40351749042675E-3</v>
      </c>
      <c r="AG139" s="15">
        <v>-2.2211047408195201E-3</v>
      </c>
      <c r="AI139" s="12"/>
      <c r="AJ139">
        <f t="shared" si="26"/>
        <v>0</v>
      </c>
      <c r="AK139">
        <f t="shared" si="27"/>
        <v>0</v>
      </c>
      <c r="AL139">
        <f t="shared" si="34"/>
        <v>1</v>
      </c>
      <c r="AM139">
        <f t="shared" si="24"/>
        <v>1</v>
      </c>
      <c r="AN139">
        <f t="shared" si="35"/>
        <v>1</v>
      </c>
      <c r="AO139" s="28">
        <f t="shared" si="28"/>
        <v>-4.4596476469638399E-3</v>
      </c>
      <c r="AP139" s="28">
        <f t="shared" si="29"/>
        <v>5.1301413815054301E-3</v>
      </c>
      <c r="AQ139" s="28">
        <f t="shared" si="36"/>
        <v>6.7049373454159018E-4</v>
      </c>
      <c r="AR139" s="29">
        <f t="shared" si="37"/>
        <v>3.4103036311924008E-3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1.3073309063063504E-2</v>
      </c>
      <c r="BE139" s="29">
        <f t="shared" si="42"/>
        <v>6.7049373454159018E-4</v>
      </c>
      <c r="BF139" s="29">
        <f t="shared" si="43"/>
        <v>1.6483612694255904E-2</v>
      </c>
      <c r="BH139" s="29"/>
    </row>
    <row r="140" spans="1:60" x14ac:dyDescent="0.25">
      <c r="A140" s="1">
        <v>46226</v>
      </c>
      <c r="B140" s="33">
        <v>67.98</v>
      </c>
      <c r="C140" s="33">
        <v>161.44</v>
      </c>
      <c r="D140" s="15">
        <v>1.27314821090192E-2</v>
      </c>
      <c r="E140" s="15">
        <v>1.25286021860249E-2</v>
      </c>
      <c r="F140" s="33">
        <v>0</v>
      </c>
      <c r="G140" s="33">
        <v>0.35818</v>
      </c>
      <c r="H140" s="33">
        <v>0</v>
      </c>
      <c r="I140" s="33">
        <v>1.2509299999999901</v>
      </c>
      <c r="J140" s="33">
        <v>0</v>
      </c>
      <c r="K140" s="33">
        <v>0</v>
      </c>
      <c r="L140" s="33">
        <v>67.98</v>
      </c>
      <c r="M140" s="33">
        <v>161.44</v>
      </c>
      <c r="N140" s="34">
        <v>2.3748161223889301</v>
      </c>
      <c r="O140" s="34">
        <v>2.3788372149221799</v>
      </c>
      <c r="P140" s="34">
        <v>2.3739204791765598</v>
      </c>
      <c r="Q140" s="34">
        <v>2.37008032409104</v>
      </c>
      <c r="R140" s="33">
        <v>161.71335387040901</v>
      </c>
      <c r="S140" s="33">
        <v>161.300862644256</v>
      </c>
      <c r="T140" s="33">
        <v>161.109746229976</v>
      </c>
      <c r="U140" s="15">
        <v>1.6917908004630601E-3</v>
      </c>
      <c r="V140" s="15">
        <v>-8.6222341492846796E-4</v>
      </c>
      <c r="W140" s="15">
        <v>-2.0477702387920499E-3</v>
      </c>
      <c r="X140" s="34">
        <v>2.3748161223889301</v>
      </c>
      <c r="Y140" s="34">
        <v>2.3785236560114398</v>
      </c>
      <c r="Z140" s="34">
        <v>2.3739204791765598</v>
      </c>
      <c r="AA140" s="34">
        <v>2.37008032409104</v>
      </c>
      <c r="AB140" s="33">
        <v>161.69203813565801</v>
      </c>
      <c r="AC140" s="33">
        <v>161.300862644256</v>
      </c>
      <c r="AD140" s="33">
        <v>161.109746229976</v>
      </c>
      <c r="AE140" s="15">
        <v>1.5599702723618899E-3</v>
      </c>
      <c r="AF140" s="15">
        <v>-8.6222341492857898E-4</v>
      </c>
      <c r="AG140" s="15">
        <v>-2.0477702387922698E-3</v>
      </c>
      <c r="AI140" s="12"/>
      <c r="AJ140">
        <f t="shared" si="26"/>
        <v>0</v>
      </c>
      <c r="AK140">
        <f t="shared" si="27"/>
        <v>0</v>
      </c>
      <c r="AL140">
        <f t="shared" si="34"/>
        <v>1</v>
      </c>
      <c r="AM140">
        <f t="shared" si="24"/>
        <v>1</v>
      </c>
      <c r="AN140">
        <f t="shared" si="35"/>
        <v>1</v>
      </c>
      <c r="AO140" s="28">
        <f t="shared" si="28"/>
        <v>1.27314821090192E-2</v>
      </c>
      <c r="AP140" s="28">
        <f t="shared" si="29"/>
        <v>-1.25286021860249E-2</v>
      </c>
      <c r="AQ140" s="28">
        <f t="shared" si="36"/>
        <v>2.0287992299430034E-4</v>
      </c>
      <c r="AR140" s="29">
        <f t="shared" si="37"/>
        <v>3.6131835541867011E-3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1.3073309063063504E-2</v>
      </c>
      <c r="BE140" s="29">
        <f t="shared" si="42"/>
        <v>2.0287992299430034E-4</v>
      </c>
      <c r="BF140" s="29">
        <f t="shared" si="43"/>
        <v>1.6686492617250206E-2</v>
      </c>
      <c r="BH140" s="29"/>
    </row>
    <row r="141" spans="1:60" x14ac:dyDescent="0.25">
      <c r="A141" s="1">
        <v>46227</v>
      </c>
      <c r="B141" s="33">
        <v>68.41</v>
      </c>
      <c r="C141" s="33">
        <v>162.57</v>
      </c>
      <c r="D141" s="15">
        <v>6.3054685049365499E-3</v>
      </c>
      <c r="E141" s="15">
        <v>6.97512164083365E-3</v>
      </c>
      <c r="F141" s="33">
        <v>0</v>
      </c>
      <c r="G141" s="33">
        <v>0.35818</v>
      </c>
      <c r="H141" s="33">
        <v>0</v>
      </c>
      <c r="I141" s="33">
        <v>1.2509299999999901</v>
      </c>
      <c r="J141" s="33">
        <v>0</v>
      </c>
      <c r="K141" s="33">
        <v>0</v>
      </c>
      <c r="L141" s="33">
        <v>68.41</v>
      </c>
      <c r="M141" s="33">
        <v>162.57</v>
      </c>
      <c r="N141" s="34">
        <v>2.3764069580470601</v>
      </c>
      <c r="O141" s="34">
        <v>2.3788372149221799</v>
      </c>
      <c r="P141" s="34">
        <v>2.37464852216053</v>
      </c>
      <c r="Q141" s="34">
        <v>2.37038864031505</v>
      </c>
      <c r="R141" s="33">
        <v>162.73625387282601</v>
      </c>
      <c r="S141" s="33">
        <v>162.39989998046801</v>
      </c>
      <c r="T141" s="33">
        <v>162.137194971068</v>
      </c>
      <c r="U141" s="15">
        <v>1.0221376645660101E-3</v>
      </c>
      <c r="V141" s="15">
        <v>-1.04686640255706E-3</v>
      </c>
      <c r="W141" s="15">
        <v>-2.66581887897156E-3</v>
      </c>
      <c r="X141" s="34">
        <v>2.3764069580470601</v>
      </c>
      <c r="Y141" s="34">
        <v>2.3785236560114398</v>
      </c>
      <c r="Z141" s="34">
        <v>2.37464852216053</v>
      </c>
      <c r="AA141" s="34">
        <v>2.37038864031505</v>
      </c>
      <c r="AB141" s="33">
        <v>162.71480330774301</v>
      </c>
      <c r="AC141" s="33">
        <v>162.39989998046801</v>
      </c>
      <c r="AD141" s="33">
        <v>162.137194971068</v>
      </c>
      <c r="AE141" s="15">
        <v>8.9031713646472099E-4</v>
      </c>
      <c r="AF141" s="15">
        <v>-1.04686640255706E-3</v>
      </c>
      <c r="AG141" s="15">
        <v>-2.66581887897156E-3</v>
      </c>
      <c r="AI141" s="12"/>
      <c r="AJ141">
        <f t="shared" si="26"/>
        <v>0</v>
      </c>
      <c r="AK141">
        <f t="shared" si="27"/>
        <v>0</v>
      </c>
      <c r="AL141">
        <f t="shared" si="34"/>
        <v>1</v>
      </c>
      <c r="AM141">
        <f t="shared" si="24"/>
        <v>1</v>
      </c>
      <c r="AN141">
        <f t="shared" si="35"/>
        <v>1</v>
      </c>
      <c r="AO141" s="28">
        <f t="shared" si="28"/>
        <v>6.3054685049365499E-3</v>
      </c>
      <c r="AP141" s="28">
        <f t="shared" si="29"/>
        <v>-6.97512164083365E-3</v>
      </c>
      <c r="AQ141" s="28">
        <f t="shared" si="36"/>
        <v>-6.6965313589710009E-4</v>
      </c>
      <c r="AR141" s="29">
        <f t="shared" si="37"/>
        <v>2.9435304182896011E-3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1.3073309063063504E-2</v>
      </c>
      <c r="BE141" s="29">
        <f t="shared" si="42"/>
        <v>-6.6965313589710009E-4</v>
      </c>
      <c r="BF141" s="29">
        <f t="shared" si="43"/>
        <v>1.6016839481353108E-2</v>
      </c>
      <c r="BH141" s="29"/>
    </row>
    <row r="142" spans="1:60" x14ac:dyDescent="0.25">
      <c r="A142" s="1">
        <v>46230</v>
      </c>
      <c r="B142" s="33">
        <v>68.72</v>
      </c>
      <c r="C142" s="33">
        <v>163.4</v>
      </c>
      <c r="D142" s="15">
        <v>4.5212649030933402E-3</v>
      </c>
      <c r="E142" s="15">
        <v>5.09250417977014E-3</v>
      </c>
      <c r="F142" s="33">
        <v>0</v>
      </c>
      <c r="G142" s="33">
        <v>0.35818</v>
      </c>
      <c r="H142" s="33">
        <v>0</v>
      </c>
      <c r="I142" s="33">
        <v>1.2509299999999901</v>
      </c>
      <c r="J142" s="33">
        <v>0</v>
      </c>
      <c r="K142" s="33">
        <v>0</v>
      </c>
      <c r="L142" s="33">
        <v>68.72</v>
      </c>
      <c r="M142" s="33">
        <v>163.4</v>
      </c>
      <c r="N142" s="34">
        <v>2.3777648428405098</v>
      </c>
      <c r="O142" s="34">
        <v>2.3788372149221799</v>
      </c>
      <c r="P142" s="34">
        <v>2.3750573593857598</v>
      </c>
      <c r="Q142" s="34">
        <v>2.3707523407657698</v>
      </c>
      <c r="R142" s="33">
        <v>163.47369340945201</v>
      </c>
      <c r="S142" s="33">
        <v>163.185846442871</v>
      </c>
      <c r="T142" s="33">
        <v>162.89310736245</v>
      </c>
      <c r="U142" s="15">
        <v>4.5089838788923899E-4</v>
      </c>
      <c r="V142" s="15">
        <v>-1.3114688842470099E-3</v>
      </c>
      <c r="W142" s="15">
        <v>-3.1069797913511202E-3</v>
      </c>
      <c r="X142" s="34">
        <v>2.3777648428405098</v>
      </c>
      <c r="Y142" s="34">
        <v>2.3785236560114398</v>
      </c>
      <c r="Z142" s="34">
        <v>2.3750573593857598</v>
      </c>
      <c r="AA142" s="34">
        <v>2.3707523407657698</v>
      </c>
      <c r="AB142" s="33">
        <v>163.452145641106</v>
      </c>
      <c r="AC142" s="33">
        <v>163.185846442871</v>
      </c>
      <c r="AD142" s="33">
        <v>162.89310736245</v>
      </c>
      <c r="AE142" s="15">
        <v>3.1907785978808401E-4</v>
      </c>
      <c r="AF142" s="15">
        <v>-1.3114688842470099E-3</v>
      </c>
      <c r="AG142" s="15">
        <v>-3.1069797913511202E-3</v>
      </c>
      <c r="AI142" s="12"/>
      <c r="AJ142">
        <f t="shared" si="26"/>
        <v>1</v>
      </c>
      <c r="AK142">
        <f t="shared" si="27"/>
        <v>0</v>
      </c>
      <c r="AL142">
        <f t="shared" si="34"/>
        <v>1</v>
      </c>
      <c r="AM142">
        <f t="shared" si="24"/>
        <v>1</v>
      </c>
      <c r="AN142">
        <f t="shared" si="35"/>
        <v>1</v>
      </c>
      <c r="AO142" s="28">
        <f t="shared" si="28"/>
        <v>4.5212649030933402E-3</v>
      </c>
      <c r="AP142" s="28">
        <f t="shared" si="29"/>
        <v>-5.09250417977014E-3</v>
      </c>
      <c r="AQ142" s="28">
        <f t="shared" si="36"/>
        <v>-5.7123927667679982E-4</v>
      </c>
      <c r="AR142" s="29">
        <f t="shared" si="37"/>
        <v>2.3722911416128012E-3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1.3073309063063504E-2</v>
      </c>
      <c r="BE142" s="29">
        <f t="shared" si="42"/>
        <v>-5.7123927667679982E-4</v>
      </c>
      <c r="BF142" s="29">
        <f t="shared" si="43"/>
        <v>1.5445600204676307E-2</v>
      </c>
      <c r="BH142" s="29"/>
    </row>
    <row r="143" spans="1:60" x14ac:dyDescent="0.25">
      <c r="A143" s="1">
        <v>46231</v>
      </c>
      <c r="B143" s="33">
        <v>70.290000000000006</v>
      </c>
      <c r="C143" s="33">
        <v>167.26</v>
      </c>
      <c r="D143" s="15">
        <v>2.2589263511813999E-2</v>
      </c>
      <c r="E143" s="15">
        <v>2.3348305527476999E-2</v>
      </c>
      <c r="F143" s="33">
        <v>0</v>
      </c>
      <c r="G143" s="33">
        <v>0.35818</v>
      </c>
      <c r="H143" s="33">
        <v>0</v>
      </c>
      <c r="I143" s="33">
        <v>1.2509299999999901</v>
      </c>
      <c r="J143" s="33">
        <v>0</v>
      </c>
      <c r="K143" s="33">
        <v>0</v>
      </c>
      <c r="L143" s="33">
        <v>70.290000000000006</v>
      </c>
      <c r="M143" s="33">
        <v>167.26</v>
      </c>
      <c r="N143" s="34">
        <v>2.37957035140133</v>
      </c>
      <c r="O143" s="34">
        <v>2.3788372149221799</v>
      </c>
      <c r="P143" s="34">
        <v>2.3758402860452201</v>
      </c>
      <c r="Q143" s="34">
        <v>2.3714178891027999</v>
      </c>
      <c r="R143" s="33">
        <v>167.20846783688</v>
      </c>
      <c r="S143" s="33">
        <v>166.942781791225</v>
      </c>
      <c r="T143" s="33">
        <v>166.640182032425</v>
      </c>
      <c r="U143" s="15">
        <v>-3.0814362777369201E-4</v>
      </c>
      <c r="V143" s="15">
        <v>-1.89835825027898E-3</v>
      </c>
      <c r="W143" s="15">
        <v>-3.71259863192478E-3</v>
      </c>
      <c r="X143" s="34">
        <v>2.37957035140133</v>
      </c>
      <c r="Y143" s="34">
        <v>2.3785236560114398</v>
      </c>
      <c r="Z143" s="34">
        <v>2.3758402860452201</v>
      </c>
      <c r="AA143" s="34">
        <v>2.3714178891027999</v>
      </c>
      <c r="AB143" s="33">
        <v>167.18642778104399</v>
      </c>
      <c r="AC143" s="33">
        <v>166.942781791225</v>
      </c>
      <c r="AD143" s="33">
        <v>166.640182032425</v>
      </c>
      <c r="AE143" s="15">
        <v>-4.3996415587493502E-4</v>
      </c>
      <c r="AF143" s="15">
        <v>-1.89835825027898E-3</v>
      </c>
      <c r="AG143" s="15">
        <v>-3.71259863192478E-3</v>
      </c>
      <c r="AI143" s="12"/>
      <c r="AJ143">
        <f t="shared" si="26"/>
        <v>1</v>
      </c>
      <c r="AK143">
        <f t="shared" si="27"/>
        <v>0</v>
      </c>
      <c r="AL143">
        <f t="shared" si="34"/>
        <v>1</v>
      </c>
      <c r="AM143">
        <f t="shared" si="24"/>
        <v>1</v>
      </c>
      <c r="AN143">
        <f t="shared" si="35"/>
        <v>1</v>
      </c>
      <c r="AO143" s="28">
        <f t="shared" si="28"/>
        <v>2.2589263511813999E-2</v>
      </c>
      <c r="AP143" s="28">
        <f t="shared" si="29"/>
        <v>-2.3348305527476999E-2</v>
      </c>
      <c r="AQ143" s="28">
        <f t="shared" si="36"/>
        <v>-7.5904201566300011E-4</v>
      </c>
      <c r="AR143" s="29">
        <f t="shared" si="37"/>
        <v>1.6132491259498011E-3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1.3073309063063504E-2</v>
      </c>
      <c r="BE143" s="29">
        <f t="shared" si="42"/>
        <v>-7.5904201566300011E-4</v>
      </c>
      <c r="BF143" s="29">
        <f t="shared" si="43"/>
        <v>1.4686558189013307E-2</v>
      </c>
      <c r="BH143" s="29"/>
    </row>
    <row r="144" spans="1:60" x14ac:dyDescent="0.25">
      <c r="A144" s="1">
        <v>46232</v>
      </c>
      <c r="B144" s="33">
        <v>69.87</v>
      </c>
      <c r="C144" s="33">
        <v>166.24</v>
      </c>
      <c r="D144" s="15">
        <v>-5.9931686234546396E-3</v>
      </c>
      <c r="E144" s="15">
        <v>-6.1169606024623199E-3</v>
      </c>
      <c r="F144" s="33">
        <v>0</v>
      </c>
      <c r="G144" s="33">
        <v>0.35818</v>
      </c>
      <c r="H144" s="33">
        <v>0</v>
      </c>
      <c r="I144" s="33">
        <v>1.2509299999999901</v>
      </c>
      <c r="J144" s="33">
        <v>0</v>
      </c>
      <c r="K144" s="33">
        <v>0</v>
      </c>
      <c r="L144" s="33">
        <v>69.87</v>
      </c>
      <c r="M144" s="33">
        <v>166.24</v>
      </c>
      <c r="N144" s="34">
        <v>2.3792757979103998</v>
      </c>
      <c r="O144" s="34">
        <v>2.3788372149221799</v>
      </c>
      <c r="P144" s="34">
        <v>2.3768422558976301</v>
      </c>
      <c r="Q144" s="34">
        <v>2.3719963633737802</v>
      </c>
      <c r="R144" s="33">
        <v>166.209356206612</v>
      </c>
      <c r="S144" s="33">
        <v>165.999960785979</v>
      </c>
      <c r="T144" s="33">
        <v>165.69096791161201</v>
      </c>
      <c r="U144" s="15">
        <v>-1.8435164876596101E-4</v>
      </c>
      <c r="V144" s="15">
        <v>-1.44497522343933E-3</v>
      </c>
      <c r="W144" s="15">
        <v>-3.30811308472315E-3</v>
      </c>
      <c r="X144" s="34">
        <v>2.3792757979103998</v>
      </c>
      <c r="Y144" s="34">
        <v>2.3785236560114398</v>
      </c>
      <c r="Z144" s="34">
        <v>2.3768422558976301</v>
      </c>
      <c r="AA144" s="34">
        <v>2.3719963633737802</v>
      </c>
      <c r="AB144" s="33">
        <v>166.18744784551899</v>
      </c>
      <c r="AC144" s="33">
        <v>165.999960785979</v>
      </c>
      <c r="AD144" s="33">
        <v>165.69096791161201</v>
      </c>
      <c r="AE144" s="15">
        <v>-3.1617217686722099E-4</v>
      </c>
      <c r="AF144" s="15">
        <v>-1.44497522343933E-3</v>
      </c>
      <c r="AG144" s="15">
        <v>-3.30811308472315E-3</v>
      </c>
      <c r="AI144" s="12"/>
      <c r="AJ144">
        <f t="shared" si="26"/>
        <v>1</v>
      </c>
      <c r="AK144">
        <f t="shared" si="27"/>
        <v>0</v>
      </c>
      <c r="AL144">
        <f t="shared" si="34"/>
        <v>1</v>
      </c>
      <c r="AM144">
        <f t="shared" si="24"/>
        <v>1</v>
      </c>
      <c r="AN144">
        <f t="shared" si="35"/>
        <v>1</v>
      </c>
      <c r="AO144" s="28">
        <f t="shared" si="28"/>
        <v>-5.9931686234546396E-3</v>
      </c>
      <c r="AP144" s="28">
        <f t="shared" si="29"/>
        <v>6.1169606024623199E-3</v>
      </c>
      <c r="AQ144" s="28">
        <f t="shared" si="36"/>
        <v>1.2379197900768031E-4</v>
      </c>
      <c r="AR144" s="29">
        <f t="shared" si="37"/>
        <v>1.7370411049574814E-3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1.3073309063063504E-2</v>
      </c>
      <c r="BE144" s="29">
        <f t="shared" si="42"/>
        <v>1.2379197900768031E-4</v>
      </c>
      <c r="BF144" s="29">
        <f t="shared" si="43"/>
        <v>1.4810350168020988E-2</v>
      </c>
      <c r="BH144" s="29"/>
    </row>
    <row r="145" spans="1:60" x14ac:dyDescent="0.25">
      <c r="A145" s="1">
        <v>46233</v>
      </c>
      <c r="B145" s="33">
        <v>68.819999999999993</v>
      </c>
      <c r="C145" s="33">
        <v>163.52000000000001</v>
      </c>
      <c r="D145" s="15">
        <v>-1.51419721950251E-2</v>
      </c>
      <c r="E145" s="15">
        <v>-1.64972203355775E-2</v>
      </c>
      <c r="F145" s="33">
        <v>0</v>
      </c>
      <c r="G145" s="33">
        <v>0.35818</v>
      </c>
      <c r="H145" s="33">
        <v>0</v>
      </c>
      <c r="I145" s="33">
        <v>1.2509299999999901</v>
      </c>
      <c r="J145" s="33">
        <v>0</v>
      </c>
      <c r="K145" s="33">
        <v>0</v>
      </c>
      <c r="L145" s="33">
        <v>68.819999999999993</v>
      </c>
      <c r="M145" s="33">
        <v>163.52000000000001</v>
      </c>
      <c r="N145" s="34">
        <v>2.3760534728276599</v>
      </c>
      <c r="O145" s="34">
        <v>2.3788372149221799</v>
      </c>
      <c r="P145" s="34">
        <v>2.37692558321563</v>
      </c>
      <c r="Q145" s="34">
        <v>2.3725161188657</v>
      </c>
      <c r="R145" s="33">
        <v>163.71157713094399</v>
      </c>
      <c r="S145" s="33">
        <v>163.57428405087501</v>
      </c>
      <c r="T145" s="33">
        <v>163.240789727384</v>
      </c>
      <c r="U145" s="15">
        <v>1.1708964917865701E-3</v>
      </c>
      <c r="V145" s="15">
        <v>3.3191684489930202E-4</v>
      </c>
      <c r="W145" s="15">
        <v>-1.70895865934535E-3</v>
      </c>
      <c r="X145" s="34">
        <v>2.3760534728276599</v>
      </c>
      <c r="Y145" s="34">
        <v>2.3785236560114398</v>
      </c>
      <c r="Z145" s="34">
        <v>2.37692558321563</v>
      </c>
      <c r="AA145" s="34">
        <v>2.3725161188657</v>
      </c>
      <c r="AB145" s="33">
        <v>163.68999800670699</v>
      </c>
      <c r="AC145" s="33">
        <v>163.57428405087501</v>
      </c>
      <c r="AD145" s="33">
        <v>163.240789727384</v>
      </c>
      <c r="AE145" s="15">
        <v>1.03907596368511E-3</v>
      </c>
      <c r="AF145" s="15">
        <v>3.3191684489930202E-4</v>
      </c>
      <c r="AG145" s="15">
        <v>-1.70895865934546E-3</v>
      </c>
      <c r="AI145" s="12"/>
      <c r="AJ145">
        <f t="shared" si="26"/>
        <v>0</v>
      </c>
      <c r="AK145">
        <f t="shared" si="27"/>
        <v>1</v>
      </c>
      <c r="AL145">
        <f t="shared" si="34"/>
        <v>1</v>
      </c>
      <c r="AM145">
        <f t="shared" si="24"/>
        <v>1</v>
      </c>
      <c r="AN145">
        <f t="shared" si="35"/>
        <v>1</v>
      </c>
      <c r="AO145" s="28">
        <f t="shared" si="28"/>
        <v>-1.51419721950251E-2</v>
      </c>
      <c r="AP145" s="28">
        <f t="shared" si="29"/>
        <v>1.64972203355775E-2</v>
      </c>
      <c r="AQ145" s="28">
        <f t="shared" si="36"/>
        <v>1.3552481405523994E-3</v>
      </c>
      <c r="AR145" s="29">
        <f t="shared" si="37"/>
        <v>3.0922892455098809E-3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1.3073309063063504E-2</v>
      </c>
      <c r="BE145" s="29">
        <f t="shared" si="42"/>
        <v>1.3552481405523994E-3</v>
      </c>
      <c r="BF145" s="29">
        <f t="shared" si="43"/>
        <v>1.6165598308573385E-2</v>
      </c>
      <c r="BH145" s="29"/>
    </row>
    <row r="146" spans="1:60" x14ac:dyDescent="0.25">
      <c r="A146" s="1">
        <v>46234</v>
      </c>
      <c r="B146" s="33">
        <v>68.34</v>
      </c>
      <c r="C146" s="33">
        <v>162.55000000000001</v>
      </c>
      <c r="D146" s="15">
        <v>-6.99915368218843E-3</v>
      </c>
      <c r="E146" s="15">
        <v>-5.9496602654251999E-3</v>
      </c>
      <c r="F146" s="33">
        <v>0</v>
      </c>
      <c r="G146" s="33">
        <v>0.35818</v>
      </c>
      <c r="H146" s="33">
        <v>0</v>
      </c>
      <c r="I146" s="33">
        <v>1.2509299999999901</v>
      </c>
      <c r="J146" s="33">
        <v>0</v>
      </c>
      <c r="K146" s="33">
        <v>0</v>
      </c>
      <c r="L146" s="33">
        <v>68.34</v>
      </c>
      <c r="M146" s="33">
        <v>162.55000000000001</v>
      </c>
      <c r="N146" s="34">
        <v>2.3785484342990899</v>
      </c>
      <c r="O146" s="34">
        <v>2.3788372149221799</v>
      </c>
      <c r="P146" s="34">
        <v>2.3771845564390501</v>
      </c>
      <c r="Q146" s="34">
        <v>2.3731513862677001</v>
      </c>
      <c r="R146" s="33">
        <v>162.569735267781</v>
      </c>
      <c r="S146" s="33">
        <v>162.43909435695599</v>
      </c>
      <c r="T146" s="33">
        <v>162.137751563282</v>
      </c>
      <c r="U146" s="15">
        <v>1.21403075023409E-4</v>
      </c>
      <c r="V146" s="15">
        <v>-6.8251919387338905E-4</v>
      </c>
      <c r="W146" s="15">
        <v>-2.5393545414547202E-3</v>
      </c>
      <c r="X146" s="34">
        <v>2.3785484342990899</v>
      </c>
      <c r="Y146" s="34">
        <v>2.3785236560114398</v>
      </c>
      <c r="Z146" s="34">
        <v>2.3771845564390501</v>
      </c>
      <c r="AA146" s="34">
        <v>2.3731513862677001</v>
      </c>
      <c r="AB146" s="33">
        <v>162.548306651822</v>
      </c>
      <c r="AC146" s="33">
        <v>162.43909435695599</v>
      </c>
      <c r="AD146" s="33">
        <v>162.137751563282</v>
      </c>
      <c r="AE146" s="15">
        <v>-1.04174530779405E-5</v>
      </c>
      <c r="AF146" s="15">
        <v>-6.8251919387327803E-4</v>
      </c>
      <c r="AG146" s="15">
        <v>-2.5393545414547202E-3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3.0922892455098809E-3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1.3073309063063504E-2</v>
      </c>
      <c r="BE146" s="29">
        <f t="shared" si="42"/>
        <v>0</v>
      </c>
      <c r="BF146" s="29">
        <f t="shared" si="43"/>
        <v>1.6165598308573385E-2</v>
      </c>
      <c r="BH146" s="29"/>
    </row>
    <row r="147" spans="1:60" x14ac:dyDescent="0.25">
      <c r="A147" s="1">
        <v>46237</v>
      </c>
      <c r="B147" s="33">
        <v>68.239999999999995</v>
      </c>
      <c r="C147" s="33">
        <v>162.24</v>
      </c>
      <c r="D147" s="15">
        <v>-1.4643435037222101E-3</v>
      </c>
      <c r="E147" s="15">
        <v>-1.908926347096E-3</v>
      </c>
      <c r="F147" s="33">
        <v>0</v>
      </c>
      <c r="G147" s="33">
        <v>0.35818</v>
      </c>
      <c r="H147" s="33">
        <v>0</v>
      </c>
      <c r="I147" s="33">
        <v>1.2509299999999901</v>
      </c>
      <c r="J147" s="33">
        <v>0</v>
      </c>
      <c r="K147" s="33">
        <v>0</v>
      </c>
      <c r="L147" s="33">
        <v>68.239999999999995</v>
      </c>
      <c r="M147" s="33">
        <v>162.24</v>
      </c>
      <c r="N147" s="34">
        <v>2.37749120750293</v>
      </c>
      <c r="O147" s="34">
        <v>2.3788372149221799</v>
      </c>
      <c r="P147" s="34">
        <v>2.3772116291224599</v>
      </c>
      <c r="Q147" s="34">
        <v>2.3739276529283901</v>
      </c>
      <c r="R147" s="33">
        <v>162.33185154628899</v>
      </c>
      <c r="S147" s="33">
        <v>162.21907413139999</v>
      </c>
      <c r="T147" s="33">
        <v>161.94385059890701</v>
      </c>
      <c r="U147" s="15">
        <v>5.6598591839706399E-4</v>
      </c>
      <c r="V147" s="15">
        <v>-1.2898926426552801E-4</v>
      </c>
      <c r="W147" s="15">
        <v>-1.82704649183705E-3</v>
      </c>
      <c r="X147" s="34">
        <v>2.37749120750293</v>
      </c>
      <c r="Y147" s="34">
        <v>2.3785236560114398</v>
      </c>
      <c r="Z147" s="34">
        <v>2.3772116291224599</v>
      </c>
      <c r="AA147" s="34">
        <v>2.3739276529283901</v>
      </c>
      <c r="AB147" s="33">
        <v>162.31045428622099</v>
      </c>
      <c r="AC147" s="33">
        <v>162.21907413139999</v>
      </c>
      <c r="AD147" s="33">
        <v>161.94385059890701</v>
      </c>
      <c r="AE147" s="15">
        <v>4.3416539029601602E-4</v>
      </c>
      <c r="AF147" s="15">
        <v>-1.28989264265639E-4</v>
      </c>
      <c r="AG147" s="15">
        <v>-1.82704649183705E-3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3.0922892455098809E-3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1.3073309063063504E-2</v>
      </c>
      <c r="BE147" s="29">
        <f t="shared" si="42"/>
        <v>0</v>
      </c>
      <c r="BF147" s="29">
        <f t="shared" si="43"/>
        <v>1.6165598308573385E-2</v>
      </c>
      <c r="BH147" s="29"/>
    </row>
    <row r="148" spans="1:60" x14ac:dyDescent="0.25">
      <c r="A148" s="1">
        <v>46238</v>
      </c>
      <c r="B148" s="33">
        <v>68.239999999999995</v>
      </c>
      <c r="C148" s="33">
        <v>162.1</v>
      </c>
      <c r="D148" s="15">
        <v>0</v>
      </c>
      <c r="E148" s="15">
        <v>-8.6329166118799701E-4</v>
      </c>
      <c r="F148" s="33">
        <v>0</v>
      </c>
      <c r="G148" s="33">
        <v>0.35818</v>
      </c>
      <c r="H148" s="33">
        <v>0</v>
      </c>
      <c r="I148" s="33">
        <v>1.2509299999999901</v>
      </c>
      <c r="J148" s="33">
        <v>0</v>
      </c>
      <c r="K148" s="33">
        <v>0</v>
      </c>
      <c r="L148" s="33">
        <v>68.239999999999995</v>
      </c>
      <c r="M148" s="33">
        <v>162.1</v>
      </c>
      <c r="N148" s="34">
        <v>2.3754396248534499</v>
      </c>
      <c r="O148" s="34">
        <v>2.3788372149221799</v>
      </c>
      <c r="P148" s="34">
        <v>2.37706647858497</v>
      </c>
      <c r="Q148" s="34">
        <v>2.3745165092609</v>
      </c>
      <c r="R148" s="33">
        <v>162.33185154628899</v>
      </c>
      <c r="S148" s="33">
        <v>162.22092157131701</v>
      </c>
      <c r="T148" s="33">
        <v>161.99682303583299</v>
      </c>
      <c r="U148" s="15">
        <v>1.4292775795851601E-3</v>
      </c>
      <c r="V148" s="15">
        <v>7.45690881332046E-4</v>
      </c>
      <c r="W148" s="15">
        <v>-6.3670459145794304E-4</v>
      </c>
      <c r="X148" s="34">
        <v>2.3754396248534499</v>
      </c>
      <c r="Y148" s="34">
        <v>2.3785236560114398</v>
      </c>
      <c r="Z148" s="34">
        <v>2.37706647858497</v>
      </c>
      <c r="AA148" s="34">
        <v>2.3745165092609</v>
      </c>
      <c r="AB148" s="33">
        <v>162.31045428622099</v>
      </c>
      <c r="AC148" s="33">
        <v>162.22092157131701</v>
      </c>
      <c r="AD148" s="33">
        <v>161.99682303583299</v>
      </c>
      <c r="AE148" s="15">
        <v>1.29745705148396E-3</v>
      </c>
      <c r="AF148" s="15">
        <v>7.45690881332046E-4</v>
      </c>
      <c r="AG148" s="15">
        <v>-6.3670459145794304E-4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3.0922892455098809E-3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1.3073309063063504E-2</v>
      </c>
      <c r="BE148" s="29">
        <f t="shared" si="42"/>
        <v>0</v>
      </c>
      <c r="BF148" s="29">
        <f t="shared" si="43"/>
        <v>1.6165598308573385E-2</v>
      </c>
      <c r="BH148" s="29"/>
    </row>
    <row r="149" spans="1:60" x14ac:dyDescent="0.25">
      <c r="A149" s="1">
        <v>46239</v>
      </c>
      <c r="B149" s="33">
        <v>69.099999999999994</v>
      </c>
      <c r="C149" s="33">
        <v>164.16</v>
      </c>
      <c r="D149" s="15">
        <v>1.25238275902004E-2</v>
      </c>
      <c r="E149" s="15">
        <v>1.2628133240774201E-2</v>
      </c>
      <c r="F149" s="33">
        <v>0</v>
      </c>
      <c r="G149" s="33">
        <v>0.35818</v>
      </c>
      <c r="H149" s="33">
        <v>0</v>
      </c>
      <c r="I149" s="33">
        <v>1.2509299999999901</v>
      </c>
      <c r="J149" s="33">
        <v>0</v>
      </c>
      <c r="K149" s="33">
        <v>0</v>
      </c>
      <c r="L149" s="33">
        <v>69.099999999999994</v>
      </c>
      <c r="M149" s="33">
        <v>164.16</v>
      </c>
      <c r="N149" s="34">
        <v>2.3756874095513698</v>
      </c>
      <c r="O149" s="34">
        <v>2.3788372149221799</v>
      </c>
      <c r="P149" s="34">
        <v>2.3771054221622698</v>
      </c>
      <c r="Q149" s="34">
        <v>2.37493740249226</v>
      </c>
      <c r="R149" s="33">
        <v>164.377651551122</v>
      </c>
      <c r="S149" s="33">
        <v>164.25529367022099</v>
      </c>
      <c r="T149" s="33">
        <v>164.07909078992799</v>
      </c>
      <c r="U149" s="15">
        <v>1.3249719290113801E-3</v>
      </c>
      <c r="V149" s="15">
        <v>5.8032420981955096E-4</v>
      </c>
      <c r="W149" s="15">
        <v>-4.9298949442877201E-4</v>
      </c>
      <c r="X149" s="34">
        <v>2.3756874095513698</v>
      </c>
      <c r="Y149" s="34">
        <v>2.3785236560114398</v>
      </c>
      <c r="Z149" s="34">
        <v>2.3771054221622698</v>
      </c>
      <c r="AA149" s="34">
        <v>2.37493740249226</v>
      </c>
      <c r="AB149" s="33">
        <v>164.35598463039099</v>
      </c>
      <c r="AC149" s="33">
        <v>164.25529367022099</v>
      </c>
      <c r="AD149" s="33">
        <v>164.07909078992799</v>
      </c>
      <c r="AE149" s="15">
        <v>1.1931514009100299E-3</v>
      </c>
      <c r="AF149" s="15">
        <v>5.8032420981977203E-4</v>
      </c>
      <c r="AG149" s="15">
        <v>-4.9298949442877201E-4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3.0922892455098809E-3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1.3073309063063504E-2</v>
      </c>
      <c r="BE149" s="29">
        <f t="shared" si="42"/>
        <v>0</v>
      </c>
      <c r="BF149" s="29">
        <f t="shared" si="43"/>
        <v>1.6165598308573385E-2</v>
      </c>
      <c r="BH149" s="29"/>
    </row>
    <row r="150" spans="1:60" x14ac:dyDescent="0.25">
      <c r="A150" s="1">
        <v>46240</v>
      </c>
      <c r="B150" s="33">
        <v>69.239999999999995</v>
      </c>
      <c r="C150" s="33">
        <v>164.45</v>
      </c>
      <c r="D150" s="15">
        <v>2.0239995343842199E-3</v>
      </c>
      <c r="E150" s="15">
        <v>1.76501065266131E-3</v>
      </c>
      <c r="F150" s="33">
        <v>0</v>
      </c>
      <c r="G150" s="33">
        <v>0.35818</v>
      </c>
      <c r="H150" s="33">
        <v>0</v>
      </c>
      <c r="I150" s="33">
        <v>1.2509299999999901</v>
      </c>
      <c r="J150" s="33">
        <v>0</v>
      </c>
      <c r="K150" s="33">
        <v>0</v>
      </c>
      <c r="L150" s="33">
        <v>69.239999999999995</v>
      </c>
      <c r="M150" s="33">
        <v>164.45</v>
      </c>
      <c r="N150" s="34">
        <v>2.3750722125938699</v>
      </c>
      <c r="O150" s="34">
        <v>2.3788372149221799</v>
      </c>
      <c r="P150" s="34">
        <v>2.37713103118277</v>
      </c>
      <c r="Q150" s="34">
        <v>2.3755257551796598</v>
      </c>
      <c r="R150" s="33">
        <v>164.710688761211</v>
      </c>
      <c r="S150" s="33">
        <v>164.59077943051599</v>
      </c>
      <c r="T150" s="33">
        <v>164.44066574856399</v>
      </c>
      <c r="U150" s="15">
        <v>1.58396081073435E-3</v>
      </c>
      <c r="V150" s="15">
        <v>8.5569599822779899E-4</v>
      </c>
      <c r="W150" s="15">
        <v>-5.6762033162298702E-5</v>
      </c>
      <c r="X150" s="34">
        <v>2.3750722125938699</v>
      </c>
      <c r="Y150" s="34">
        <v>2.3785236560114398</v>
      </c>
      <c r="Z150" s="34">
        <v>2.37713103118277</v>
      </c>
      <c r="AA150" s="34">
        <v>2.3755257551796598</v>
      </c>
      <c r="AB150" s="33">
        <v>164.68897794223199</v>
      </c>
      <c r="AC150" s="33">
        <v>164.59077943051599</v>
      </c>
      <c r="AD150" s="33">
        <v>164.44066574856399</v>
      </c>
      <c r="AE150" s="15">
        <v>1.4521402826333E-3</v>
      </c>
      <c r="AF150" s="15">
        <v>8.5569599822802103E-4</v>
      </c>
      <c r="AG150" s="15">
        <v>-5.6762033162298702E-5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3.0922892455098809E-3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1.3073309063063504E-2</v>
      </c>
      <c r="BE150" s="29">
        <f t="shared" si="42"/>
        <v>0</v>
      </c>
      <c r="BF150" s="29">
        <f t="shared" si="43"/>
        <v>1.6165598308573385E-2</v>
      </c>
      <c r="BH150" s="29"/>
    </row>
    <row r="151" spans="1:60" x14ac:dyDescent="0.25">
      <c r="A151" s="1">
        <v>46241</v>
      </c>
      <c r="B151" s="33">
        <v>70</v>
      </c>
      <c r="C151" s="33">
        <v>165.68</v>
      </c>
      <c r="D151" s="15">
        <v>1.09165117413504E-2</v>
      </c>
      <c r="E151" s="15">
        <v>7.4516444522629496E-3</v>
      </c>
      <c r="F151" s="33">
        <v>0</v>
      </c>
      <c r="G151" s="33">
        <v>0.35818</v>
      </c>
      <c r="H151" s="33">
        <v>0</v>
      </c>
      <c r="I151" s="33">
        <v>1.2509299999999901</v>
      </c>
      <c r="J151" s="33">
        <v>0</v>
      </c>
      <c r="K151" s="33">
        <v>0</v>
      </c>
      <c r="L151" s="33">
        <v>70</v>
      </c>
      <c r="M151" s="33">
        <v>165.68</v>
      </c>
      <c r="N151" s="34">
        <v>2.3668571428571399</v>
      </c>
      <c r="O151" s="34">
        <v>2.3788372149221799</v>
      </c>
      <c r="P151" s="34">
        <v>2.3761760496637798</v>
      </c>
      <c r="Q151" s="34">
        <v>2.3754122859121498</v>
      </c>
      <c r="R151" s="33">
        <v>166.518605044552</v>
      </c>
      <c r="S151" s="33">
        <v>166.39917218279399</v>
      </c>
      <c r="T151" s="33">
        <v>166.286802862576</v>
      </c>
      <c r="U151" s="15">
        <v>5.0488280998220699E-3</v>
      </c>
      <c r="V151" s="15">
        <v>4.3313364243883204E-3</v>
      </c>
      <c r="W151" s="15">
        <v>3.6558085517445502E-3</v>
      </c>
      <c r="X151" s="34">
        <v>2.3668571428571399</v>
      </c>
      <c r="Y151" s="34">
        <v>2.3785236560114398</v>
      </c>
      <c r="Z151" s="34">
        <v>2.3761760496637798</v>
      </c>
      <c r="AA151" s="34">
        <v>2.3754122859121498</v>
      </c>
      <c r="AB151" s="33">
        <v>166.496655920801</v>
      </c>
      <c r="AC151" s="33">
        <v>166.39917218279399</v>
      </c>
      <c r="AD151" s="33">
        <v>166.286802862576</v>
      </c>
      <c r="AE151" s="15">
        <v>4.9170075717209502E-3</v>
      </c>
      <c r="AF151" s="15">
        <v>4.3313364243883204E-3</v>
      </c>
      <c r="AG151" s="15">
        <v>3.6558085517445502E-3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3.0922892455098809E-3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1.3073309063063504E-2</v>
      </c>
      <c r="BE151" s="29">
        <f t="shared" ref="BE151:BE176" si="62">AQ151+BB151</f>
        <v>0</v>
      </c>
      <c r="BF151" s="29">
        <f t="shared" ref="BF151:BF176" si="63">BF150+BE151</f>
        <v>1.6165598308573385E-2</v>
      </c>
      <c r="BH151" s="29"/>
    </row>
    <row r="152" spans="1:60" x14ac:dyDescent="0.25">
      <c r="A152" s="1">
        <v>46244</v>
      </c>
      <c r="B152" s="33">
        <v>71.14</v>
      </c>
      <c r="C152" s="33">
        <v>168.44</v>
      </c>
      <c r="D152" s="15">
        <v>1.6154524470950098E-2</v>
      </c>
      <c r="E152" s="15">
        <v>1.6521386206398099E-2</v>
      </c>
      <c r="F152" s="33">
        <v>0</v>
      </c>
      <c r="G152" s="33">
        <v>0.35818</v>
      </c>
      <c r="H152" s="33">
        <v>0</v>
      </c>
      <c r="I152" s="33">
        <v>1.2509299999999901</v>
      </c>
      <c r="J152" s="33">
        <v>0</v>
      </c>
      <c r="K152" s="33">
        <v>0</v>
      </c>
      <c r="L152" s="33">
        <v>71.14</v>
      </c>
      <c r="M152" s="33">
        <v>168.44</v>
      </c>
      <c r="N152" s="34">
        <v>2.3677256114703402</v>
      </c>
      <c r="O152" s="34">
        <v>2.3788372149221799</v>
      </c>
      <c r="P152" s="34">
        <v>2.3751721265267598</v>
      </c>
      <c r="Q152" s="34">
        <v>2.37511474295626</v>
      </c>
      <c r="R152" s="33">
        <v>169.23047946956399</v>
      </c>
      <c r="S152" s="33">
        <v>169.041164173081</v>
      </c>
      <c r="T152" s="33">
        <v>168.98683001979001</v>
      </c>
      <c r="U152" s="15">
        <v>4.6819663643739799E-3</v>
      </c>
      <c r="V152" s="15">
        <v>3.5626569584217001E-3</v>
      </c>
      <c r="W152" s="15">
        <v>3.24117971575629E-3</v>
      </c>
      <c r="X152" s="34">
        <v>2.3677256114703402</v>
      </c>
      <c r="Y152" s="34">
        <v>2.3785236560114398</v>
      </c>
      <c r="Z152" s="34">
        <v>2.3751721265267598</v>
      </c>
      <c r="AA152" s="34">
        <v>2.37511474295626</v>
      </c>
      <c r="AB152" s="33">
        <v>169.20817288865399</v>
      </c>
      <c r="AC152" s="33">
        <v>169.041164173081</v>
      </c>
      <c r="AD152" s="33">
        <v>168.98683001979001</v>
      </c>
      <c r="AE152" s="15">
        <v>4.5501458362728602E-3</v>
      </c>
      <c r="AF152" s="15">
        <v>3.5626569584217001E-3</v>
      </c>
      <c r="AG152" s="15">
        <v>3.2411797157565099E-3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3.0922892455098809E-3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1.3073309063063504E-2</v>
      </c>
      <c r="BE152" s="29">
        <f t="shared" si="62"/>
        <v>0</v>
      </c>
      <c r="BF152" s="29">
        <f t="shared" si="63"/>
        <v>1.6165598308573385E-2</v>
      </c>
      <c r="BH152" s="29"/>
    </row>
    <row r="153" spans="1:60" x14ac:dyDescent="0.25">
      <c r="A153" s="1">
        <v>46245</v>
      </c>
      <c r="B153" s="33">
        <v>70.89</v>
      </c>
      <c r="C153" s="33">
        <v>168.01</v>
      </c>
      <c r="D153" s="15">
        <v>-3.520386653383E-3</v>
      </c>
      <c r="E153" s="15">
        <v>-2.5561018524159701E-3</v>
      </c>
      <c r="F153" s="33">
        <v>0</v>
      </c>
      <c r="G153" s="33">
        <v>0.35818</v>
      </c>
      <c r="H153" s="33">
        <v>0</v>
      </c>
      <c r="I153" s="33">
        <v>1.2509299999999901</v>
      </c>
      <c r="J153" s="33">
        <v>0</v>
      </c>
      <c r="K153" s="33">
        <v>0</v>
      </c>
      <c r="L153" s="33">
        <v>70.89</v>
      </c>
      <c r="M153" s="33">
        <v>168.01</v>
      </c>
      <c r="N153" s="34">
        <v>2.3700098744533702</v>
      </c>
      <c r="O153" s="34">
        <v>2.3788372149221799</v>
      </c>
      <c r="P153" s="34">
        <v>2.3742160788319602</v>
      </c>
      <c r="Q153" s="34">
        <v>2.3750281824385899</v>
      </c>
      <c r="R153" s="33">
        <v>168.63577016583301</v>
      </c>
      <c r="S153" s="33">
        <v>168.37595204948201</v>
      </c>
      <c r="T153" s="33">
        <v>168.371884128169</v>
      </c>
      <c r="U153" s="15">
        <v>3.7176815634071001E-3</v>
      </c>
      <c r="V153" s="15">
        <v>2.1757876131403698E-3</v>
      </c>
      <c r="W153" s="15">
        <v>2.1516275688819799E-3</v>
      </c>
      <c r="X153" s="34">
        <v>2.3700098744533702</v>
      </c>
      <c r="Y153" s="34">
        <v>2.3785236560114398</v>
      </c>
      <c r="Z153" s="34">
        <v>2.3742160788319602</v>
      </c>
      <c r="AA153" s="34">
        <v>2.3750281824385899</v>
      </c>
      <c r="AB153" s="33">
        <v>168.61354197465101</v>
      </c>
      <c r="AC153" s="33">
        <v>168.37595204948201</v>
      </c>
      <c r="AD153" s="33">
        <v>168.371884128169</v>
      </c>
      <c r="AE153" s="15">
        <v>3.585861035306E-3</v>
      </c>
      <c r="AF153" s="15">
        <v>2.1757876131403698E-3</v>
      </c>
      <c r="AG153" s="15">
        <v>2.1516275688822002E-3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3.0922892455098809E-3</v>
      </c>
      <c r="AT153" s="12"/>
      <c r="AU153">
        <f t="shared" si="50"/>
        <v>0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1.3073309063063504E-2</v>
      </c>
      <c r="BE153" s="29">
        <f t="shared" si="62"/>
        <v>0</v>
      </c>
      <c r="BF153" s="29">
        <f t="shared" si="63"/>
        <v>1.6165598308573385E-2</v>
      </c>
      <c r="BH153" s="29"/>
    </row>
    <row r="154" spans="1:60" x14ac:dyDescent="0.25">
      <c r="A154" s="1">
        <v>46246</v>
      </c>
      <c r="B154" s="33">
        <v>71.17</v>
      </c>
      <c r="C154" s="33">
        <v>168.44</v>
      </c>
      <c r="D154" s="15">
        <v>3.94200144425367E-3</v>
      </c>
      <c r="E154" s="15">
        <v>2.5561018524159402E-3</v>
      </c>
      <c r="F154" s="33">
        <v>0</v>
      </c>
      <c r="G154" s="33">
        <v>0.35818</v>
      </c>
      <c r="H154" s="33">
        <v>0</v>
      </c>
      <c r="I154" s="33">
        <v>1.2509299999999901</v>
      </c>
      <c r="J154" s="33">
        <v>0</v>
      </c>
      <c r="K154" s="33">
        <v>0</v>
      </c>
      <c r="L154" s="33">
        <v>71.17</v>
      </c>
      <c r="M154" s="33">
        <v>168.44</v>
      </c>
      <c r="N154" s="34">
        <v>2.3667275537445498</v>
      </c>
      <c r="O154" s="34">
        <v>2.3788372149221799</v>
      </c>
      <c r="P154" s="34">
        <v>2.37296125441538</v>
      </c>
      <c r="Q154" s="34">
        <v>2.3749017551564999</v>
      </c>
      <c r="R154" s="33">
        <v>169.30184458601099</v>
      </c>
      <c r="S154" s="33">
        <v>168.97295833047099</v>
      </c>
      <c r="T154" s="33">
        <v>169.03075574415399</v>
      </c>
      <c r="U154" s="15">
        <v>5.1035811552446499E-3</v>
      </c>
      <c r="V154" s="15">
        <v>3.15908894753042E-3</v>
      </c>
      <c r="W154" s="15">
        <v>3.5010817235881799E-3</v>
      </c>
      <c r="X154" s="34">
        <v>2.3667275537445498</v>
      </c>
      <c r="Y154" s="34">
        <v>2.3785236560114398</v>
      </c>
      <c r="Z154" s="34">
        <v>2.37296125441538</v>
      </c>
      <c r="AA154" s="34">
        <v>2.3749017551564999</v>
      </c>
      <c r="AB154" s="33">
        <v>169.279528598334</v>
      </c>
      <c r="AC154" s="33">
        <v>168.97295833047099</v>
      </c>
      <c r="AD154" s="33">
        <v>169.03075574415399</v>
      </c>
      <c r="AE154" s="15">
        <v>4.9717606271433897E-3</v>
      </c>
      <c r="AF154" s="15">
        <v>3.15908894753042E-3</v>
      </c>
      <c r="AG154" s="15">
        <v>3.5010817235881799E-3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3.0922892455098809E-3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1.3073309063063504E-2</v>
      </c>
      <c r="BE154" s="29">
        <f t="shared" si="62"/>
        <v>0</v>
      </c>
      <c r="BF154" s="29">
        <f t="shared" si="63"/>
        <v>1.6165598308573385E-2</v>
      </c>
      <c r="BH154" s="29"/>
    </row>
    <row r="155" spans="1:60" x14ac:dyDescent="0.25">
      <c r="A155" s="1">
        <v>46247</v>
      </c>
      <c r="B155" s="33">
        <v>71.11</v>
      </c>
      <c r="C155" s="33">
        <v>168.38</v>
      </c>
      <c r="D155" s="15">
        <v>-8.4340741575315902E-4</v>
      </c>
      <c r="E155" s="15">
        <v>-3.56273384209112E-4</v>
      </c>
      <c r="F155" s="33">
        <v>0</v>
      </c>
      <c r="G155" s="33">
        <v>0.35818</v>
      </c>
      <c r="H155" s="33">
        <v>0</v>
      </c>
      <c r="I155" s="33">
        <v>1.2509299999999901</v>
      </c>
      <c r="J155" s="33">
        <v>0</v>
      </c>
      <c r="K155" s="33">
        <v>0</v>
      </c>
      <c r="L155" s="33">
        <v>71.11</v>
      </c>
      <c r="M155" s="33">
        <v>168.38</v>
      </c>
      <c r="N155" s="34">
        <v>2.3678807481366801</v>
      </c>
      <c r="O155" s="34">
        <v>2.3788372149221799</v>
      </c>
      <c r="P155" s="34">
        <v>2.3721439819462802</v>
      </c>
      <c r="Q155" s="34">
        <v>2.37453478258095</v>
      </c>
      <c r="R155" s="33">
        <v>169.159114353116</v>
      </c>
      <c r="S155" s="33">
        <v>168.741274801477</v>
      </c>
      <c r="T155" s="33">
        <v>168.87926380917901</v>
      </c>
      <c r="U155" s="15">
        <v>4.6164471237004397E-3</v>
      </c>
      <c r="V155" s="15">
        <v>2.1432936262464602E-3</v>
      </c>
      <c r="W155" s="15">
        <v>2.96071436701455E-3</v>
      </c>
      <c r="X155" s="34">
        <v>2.3678807481366801</v>
      </c>
      <c r="Y155" s="34">
        <v>2.3785236560114398</v>
      </c>
      <c r="Z155" s="34">
        <v>2.3721439819462802</v>
      </c>
      <c r="AA155" s="34">
        <v>2.37453478258095</v>
      </c>
      <c r="AB155" s="33">
        <v>169.13681717897401</v>
      </c>
      <c r="AC155" s="33">
        <v>168.741274801477</v>
      </c>
      <c r="AD155" s="33">
        <v>168.87926380917901</v>
      </c>
      <c r="AE155" s="15">
        <v>4.4846265955995196E-3</v>
      </c>
      <c r="AF155" s="15">
        <v>2.1432936262464602E-3</v>
      </c>
      <c r="AG155" s="15">
        <v>2.9607143670143301E-3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3.0922892455098809E-3</v>
      </c>
      <c r="AT155" s="12"/>
      <c r="AU155">
        <f t="shared" si="50"/>
        <v>0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1.3073309063063504E-2</v>
      </c>
      <c r="BE155" s="29">
        <f t="shared" si="62"/>
        <v>0</v>
      </c>
      <c r="BF155" s="29">
        <f t="shared" si="63"/>
        <v>1.6165598308573385E-2</v>
      </c>
      <c r="BH155" s="29"/>
    </row>
    <row r="156" spans="1:60" x14ac:dyDescent="0.25">
      <c r="A156" s="1">
        <v>46248</v>
      </c>
      <c r="B156" s="33">
        <v>70.650000000000006</v>
      </c>
      <c r="C156" s="33">
        <v>167.37</v>
      </c>
      <c r="D156" s="15">
        <v>-6.4898647648900399E-3</v>
      </c>
      <c r="E156" s="15">
        <v>-6.0163993839712302E-3</v>
      </c>
      <c r="F156" s="33">
        <v>0</v>
      </c>
      <c r="G156" s="33">
        <v>0.35818</v>
      </c>
      <c r="H156" s="33">
        <v>0</v>
      </c>
      <c r="I156" s="33">
        <v>1.2509299999999901</v>
      </c>
      <c r="J156" s="33">
        <v>0</v>
      </c>
      <c r="K156" s="33">
        <v>0</v>
      </c>
      <c r="L156" s="33">
        <v>70.650000000000006</v>
      </c>
      <c r="M156" s="33">
        <v>167.37</v>
      </c>
      <c r="N156" s="34">
        <v>2.3690021231422498</v>
      </c>
      <c r="O156" s="34">
        <v>2.3788372149221799</v>
      </c>
      <c r="P156" s="34">
        <v>2.3711893508305999</v>
      </c>
      <c r="Q156" s="34">
        <v>2.3741869536348199</v>
      </c>
      <c r="R156" s="33">
        <v>168.06484923425199</v>
      </c>
      <c r="S156" s="33">
        <v>167.59197232450401</v>
      </c>
      <c r="T156" s="33">
        <v>167.760882389344</v>
      </c>
      <c r="U156" s="15">
        <v>4.1429817427816699E-3</v>
      </c>
      <c r="V156" s="15">
        <v>1.32535855014921E-3</v>
      </c>
      <c r="W156" s="15">
        <v>2.3327158858576901E-3</v>
      </c>
      <c r="X156" s="34">
        <v>2.3690021231422498</v>
      </c>
      <c r="Y156" s="34">
        <v>2.3785236560114398</v>
      </c>
      <c r="Z156" s="34">
        <v>2.3711893508305999</v>
      </c>
      <c r="AA156" s="34">
        <v>2.3741869536348199</v>
      </c>
      <c r="AB156" s="33">
        <v>168.04269629720801</v>
      </c>
      <c r="AC156" s="33">
        <v>167.59197232450401</v>
      </c>
      <c r="AD156" s="33">
        <v>167.760882389344</v>
      </c>
      <c r="AE156" s="15">
        <v>4.0111612146804896E-3</v>
      </c>
      <c r="AF156" s="15">
        <v>1.32535855014921E-3</v>
      </c>
      <c r="AG156" s="15">
        <v>2.3327158858576901E-3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3.0922892455098809E-3</v>
      </c>
      <c r="AT156" s="12"/>
      <c r="AU156">
        <f t="shared" si="50"/>
        <v>0</v>
      </c>
      <c r="AV156">
        <f t="shared" si="51"/>
        <v>0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1.3073309063063504E-2</v>
      </c>
      <c r="BE156" s="29">
        <f t="shared" si="62"/>
        <v>0</v>
      </c>
      <c r="BF156" s="29">
        <f t="shared" si="63"/>
        <v>1.6165598308573385E-2</v>
      </c>
      <c r="BH156" s="29"/>
    </row>
    <row r="157" spans="1:60" x14ac:dyDescent="0.25">
      <c r="A157" s="1">
        <v>46251</v>
      </c>
      <c r="B157" s="33">
        <v>70.599999999999994</v>
      </c>
      <c r="C157" s="33">
        <v>167.05</v>
      </c>
      <c r="D157" s="15">
        <v>-7.0796463134023904E-4</v>
      </c>
      <c r="E157" s="15">
        <v>-1.91376172278105E-3</v>
      </c>
      <c r="F157" s="33">
        <v>0</v>
      </c>
      <c r="G157" s="33">
        <v>0.35818</v>
      </c>
      <c r="H157" s="33">
        <v>0</v>
      </c>
      <c r="I157" s="33">
        <v>1.2509299999999901</v>
      </c>
      <c r="J157" s="33">
        <v>0</v>
      </c>
      <c r="K157" s="33">
        <v>0</v>
      </c>
      <c r="L157" s="33">
        <v>70.599999999999994</v>
      </c>
      <c r="M157" s="33">
        <v>167.05</v>
      </c>
      <c r="N157" s="34">
        <v>2.3661473087818701</v>
      </c>
      <c r="O157" s="34">
        <v>2.3788372149221799</v>
      </c>
      <c r="P157" s="34">
        <v>2.3700549609584902</v>
      </c>
      <c r="Q157" s="34">
        <v>2.3736332950404799</v>
      </c>
      <c r="R157" s="33">
        <v>167.945907373506</v>
      </c>
      <c r="S157" s="33">
        <v>167.40596816863999</v>
      </c>
      <c r="T157" s="33">
        <v>167.617598926618</v>
      </c>
      <c r="U157" s="15">
        <v>5.3487788342225801E-3</v>
      </c>
      <c r="V157" s="15">
        <v>2.1286407595021602E-3</v>
      </c>
      <c r="W157" s="15">
        <v>3.39201926127344E-3</v>
      </c>
      <c r="X157" s="34">
        <v>2.3661473087818701</v>
      </c>
      <c r="Y157" s="34">
        <v>2.3785236560114398</v>
      </c>
      <c r="Z157" s="34">
        <v>2.3700549609584902</v>
      </c>
      <c r="AA157" s="34">
        <v>2.3736332950404799</v>
      </c>
      <c r="AB157" s="33">
        <v>167.923770114408</v>
      </c>
      <c r="AC157" s="33">
        <v>167.40596816863999</v>
      </c>
      <c r="AD157" s="33">
        <v>167.617598926618</v>
      </c>
      <c r="AE157" s="15">
        <v>5.21695830612149E-3</v>
      </c>
      <c r="AF157" s="15">
        <v>2.1286407595021602E-3</v>
      </c>
      <c r="AG157" s="15">
        <v>3.39201926127344E-3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3.0922892455098809E-3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1.3073309063063504E-2</v>
      </c>
      <c r="BE157" s="29">
        <f t="shared" si="62"/>
        <v>0</v>
      </c>
      <c r="BF157" s="29">
        <f t="shared" si="63"/>
        <v>1.6165598308573385E-2</v>
      </c>
      <c r="BH157" s="29"/>
    </row>
    <row r="158" spans="1:60" x14ac:dyDescent="0.25">
      <c r="A158" s="1">
        <v>46252</v>
      </c>
      <c r="B158" s="33">
        <v>71.67</v>
      </c>
      <c r="C158" s="33">
        <v>169.73</v>
      </c>
      <c r="D158" s="15">
        <v>1.5042105506631501E-2</v>
      </c>
      <c r="E158" s="15">
        <v>1.59157703706744E-2</v>
      </c>
      <c r="F158" s="33">
        <v>0</v>
      </c>
      <c r="G158" s="33">
        <v>0.35818</v>
      </c>
      <c r="H158" s="33">
        <v>0</v>
      </c>
      <c r="I158" s="33">
        <v>1.2509299999999901</v>
      </c>
      <c r="J158" s="33">
        <v>0</v>
      </c>
      <c r="K158" s="33">
        <v>0</v>
      </c>
      <c r="L158" s="33">
        <v>71.67</v>
      </c>
      <c r="M158" s="33">
        <v>169.73</v>
      </c>
      <c r="N158" s="34">
        <v>2.3682154318403699</v>
      </c>
      <c r="O158" s="34">
        <v>2.3788372149221799</v>
      </c>
      <c r="P158" s="34">
        <v>2.36933254165718</v>
      </c>
      <c r="Q158" s="34">
        <v>2.3731995101210699</v>
      </c>
      <c r="R158" s="33">
        <v>170.49126319347201</v>
      </c>
      <c r="S158" s="33">
        <v>169.861839051895</v>
      </c>
      <c r="T158" s="33">
        <v>170.118298255551</v>
      </c>
      <c r="U158" s="15">
        <v>4.4751139701798099E-3</v>
      </c>
      <c r="V158" s="15">
        <v>7.7645598838302203E-4</v>
      </c>
      <c r="W158" s="15">
        <v>2.2851279615796402E-3</v>
      </c>
      <c r="X158" s="34">
        <v>2.3682154318403699</v>
      </c>
      <c r="Y158" s="34">
        <v>2.3785236560114398</v>
      </c>
      <c r="Z158" s="34">
        <v>2.36933254165718</v>
      </c>
      <c r="AA158" s="34">
        <v>2.3731995101210699</v>
      </c>
      <c r="AB158" s="33">
        <v>170.46879042634001</v>
      </c>
      <c r="AC158" s="33">
        <v>169.861839051895</v>
      </c>
      <c r="AD158" s="33">
        <v>170.118298255551</v>
      </c>
      <c r="AE158" s="15">
        <v>4.3432934420785498E-3</v>
      </c>
      <c r="AF158" s="15">
        <v>7.7645598838302203E-4</v>
      </c>
      <c r="AG158" s="15">
        <v>2.2851279615798601E-3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3.0922892455098809E-3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1.3073309063063504E-2</v>
      </c>
      <c r="BE158" s="29">
        <f t="shared" si="62"/>
        <v>0</v>
      </c>
      <c r="BF158" s="29">
        <f t="shared" si="63"/>
        <v>1.6165598308573385E-2</v>
      </c>
      <c r="BH158" s="29"/>
    </row>
    <row r="159" spans="1:60" x14ac:dyDescent="0.25">
      <c r="A159" s="1">
        <v>46253</v>
      </c>
      <c r="B159" s="33">
        <v>74.33</v>
      </c>
      <c r="C159" s="33">
        <v>175.68</v>
      </c>
      <c r="D159" s="15">
        <v>3.6442388731374203E-2</v>
      </c>
      <c r="E159" s="15">
        <v>3.4455219147725799E-2</v>
      </c>
      <c r="F159" s="33">
        <v>0</v>
      </c>
      <c r="G159" s="33">
        <v>0.35818</v>
      </c>
      <c r="H159" s="33">
        <v>0</v>
      </c>
      <c r="I159" s="33">
        <v>1.2509299999999901</v>
      </c>
      <c r="J159" s="33">
        <v>0</v>
      </c>
      <c r="K159" s="33">
        <v>0</v>
      </c>
      <c r="L159" s="33">
        <v>74.33</v>
      </c>
      <c r="M159" s="33">
        <v>175.68</v>
      </c>
      <c r="N159" s="34">
        <v>2.3635140589264001</v>
      </c>
      <c r="O159" s="34">
        <v>2.3788372149221799</v>
      </c>
      <c r="P159" s="34">
        <v>2.36811520659468</v>
      </c>
      <c r="Q159" s="34">
        <v>2.37261031437848</v>
      </c>
      <c r="R159" s="33">
        <v>176.818970185165</v>
      </c>
      <c r="S159" s="33">
        <v>176.11248782137801</v>
      </c>
      <c r="T159" s="33">
        <v>176.399919587299</v>
      </c>
      <c r="U159" s="15">
        <v>6.46228355382817E-3</v>
      </c>
      <c r="V159" s="15">
        <v>2.4587679057169799E-3</v>
      </c>
      <c r="W159" s="15">
        <v>4.0895293971115699E-3</v>
      </c>
      <c r="X159" s="34">
        <v>2.3635140589264001</v>
      </c>
      <c r="Y159" s="34">
        <v>2.3785236560114398</v>
      </c>
      <c r="Z159" s="34">
        <v>2.36811520659468</v>
      </c>
      <c r="AA159" s="34">
        <v>2.37261031437848</v>
      </c>
      <c r="AB159" s="33">
        <v>176.79566335133001</v>
      </c>
      <c r="AC159" s="33">
        <v>176.11248782137801</v>
      </c>
      <c r="AD159" s="33">
        <v>176.399919587299</v>
      </c>
      <c r="AE159" s="15">
        <v>6.3304630257270296E-3</v>
      </c>
      <c r="AF159" s="15">
        <v>2.4587679057169799E-3</v>
      </c>
      <c r="AG159" s="15">
        <v>4.0895293971113496E-3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3.0922892455098809E-3</v>
      </c>
      <c r="AT159" s="12"/>
      <c r="AU159">
        <f t="shared" si="50"/>
        <v>1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1.3073309063063504E-2</v>
      </c>
      <c r="BE159" s="29">
        <f t="shared" si="62"/>
        <v>0</v>
      </c>
      <c r="BF159" s="29">
        <f t="shared" si="63"/>
        <v>1.6165598308573385E-2</v>
      </c>
      <c r="BH159" s="29"/>
    </row>
    <row r="160" spans="1:60" x14ac:dyDescent="0.25">
      <c r="A160" s="1">
        <v>46254</v>
      </c>
      <c r="B160" s="33">
        <v>72.98</v>
      </c>
      <c r="C160" s="33">
        <v>172.39</v>
      </c>
      <c r="D160" s="15">
        <v>-1.8329207728900399E-2</v>
      </c>
      <c r="E160" s="15">
        <v>-1.8904806414278601E-2</v>
      </c>
      <c r="F160" s="33">
        <v>0</v>
      </c>
      <c r="G160" s="33">
        <v>0.35818</v>
      </c>
      <c r="H160" s="33">
        <v>0</v>
      </c>
      <c r="I160" s="33">
        <v>1.2509299999999901</v>
      </c>
      <c r="J160" s="33">
        <v>0</v>
      </c>
      <c r="K160" s="33">
        <v>0</v>
      </c>
      <c r="L160" s="33">
        <v>72.98</v>
      </c>
      <c r="M160" s="33">
        <v>172.39</v>
      </c>
      <c r="N160" s="34">
        <v>2.3621540147985698</v>
      </c>
      <c r="O160" s="34">
        <v>2.3788372149221799</v>
      </c>
      <c r="P160" s="34">
        <v>2.3668233868151498</v>
      </c>
      <c r="Q160" s="34">
        <v>2.3719772089989601</v>
      </c>
      <c r="R160" s="33">
        <v>173.60753994501999</v>
      </c>
      <c r="S160" s="33">
        <v>172.82504777727999</v>
      </c>
      <c r="T160" s="33">
        <v>173.15310074334101</v>
      </c>
      <c r="U160" s="15">
        <v>7.0378822392061797E-3</v>
      </c>
      <c r="V160" s="15">
        <v>2.5204463732991901E-3</v>
      </c>
      <c r="W160" s="15">
        <v>4.4168266260846602E-3</v>
      </c>
      <c r="X160" s="34">
        <v>2.3621540147985698</v>
      </c>
      <c r="Y160" s="34">
        <v>2.3785236560114398</v>
      </c>
      <c r="Z160" s="34">
        <v>2.3668233868151498</v>
      </c>
      <c r="AA160" s="34">
        <v>2.3719772089989601</v>
      </c>
      <c r="AB160" s="33">
        <v>173.58465641571499</v>
      </c>
      <c r="AC160" s="33">
        <v>172.82504777727999</v>
      </c>
      <c r="AD160" s="33">
        <v>173.15310074334101</v>
      </c>
      <c r="AE160" s="15">
        <v>6.9060617111051598E-3</v>
      </c>
      <c r="AF160" s="15">
        <v>2.5204463732991901E-3</v>
      </c>
      <c r="AG160" s="15">
        <v>4.4168266260848797E-3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3.0922892455098809E-3</v>
      </c>
      <c r="AT160" s="12"/>
      <c r="AU160">
        <f t="shared" si="50"/>
        <v>1</v>
      </c>
      <c r="AV160">
        <f t="shared" si="51"/>
        <v>0</v>
      </c>
      <c r="AW160">
        <f t="shared" si="58"/>
        <v>1</v>
      </c>
      <c r="AX160">
        <f t="shared" si="45"/>
        <v>1</v>
      </c>
      <c r="AY160">
        <f t="shared" si="59"/>
        <v>1</v>
      </c>
      <c r="AZ160" s="28">
        <f t="shared" si="52"/>
        <v>1.8329207728900399E-2</v>
      </c>
      <c r="BA160" s="28">
        <f t="shared" si="53"/>
        <v>-1.8904806414278601E-2</v>
      </c>
      <c r="BB160" s="28">
        <f t="shared" si="60"/>
        <v>-5.7559868537820219E-4</v>
      </c>
      <c r="BC160" s="29">
        <f t="shared" si="61"/>
        <v>1.2497710377685302E-2</v>
      </c>
      <c r="BE160" s="29">
        <f t="shared" si="62"/>
        <v>-5.7559868537820219E-4</v>
      </c>
      <c r="BF160" s="29">
        <f t="shared" si="63"/>
        <v>1.5589999623195183E-2</v>
      </c>
      <c r="BH160" s="29"/>
    </row>
    <row r="161" spans="1:60" x14ac:dyDescent="0.25">
      <c r="A161" s="1">
        <v>46255</v>
      </c>
      <c r="B161" s="33">
        <v>73.89</v>
      </c>
      <c r="C161" s="33">
        <v>174.62</v>
      </c>
      <c r="D161" s="15">
        <v>1.2392069792254601E-2</v>
      </c>
      <c r="E161" s="15">
        <v>1.28528324757743E-2</v>
      </c>
      <c r="F161" s="33">
        <v>0</v>
      </c>
      <c r="G161" s="33">
        <v>0.35818</v>
      </c>
      <c r="H161" s="33">
        <v>0</v>
      </c>
      <c r="I161" s="33">
        <v>1.2509299999999901</v>
      </c>
      <c r="J161" s="33">
        <v>0</v>
      </c>
      <c r="K161" s="33">
        <v>0</v>
      </c>
      <c r="L161" s="33">
        <v>73.89</v>
      </c>
      <c r="M161" s="33">
        <v>174.62</v>
      </c>
      <c r="N161" s="34">
        <v>2.3632426580051402</v>
      </c>
      <c r="O161" s="34">
        <v>2.3788372149221799</v>
      </c>
      <c r="P161" s="34">
        <v>2.3664619383299499</v>
      </c>
      <c r="Q161" s="34">
        <v>2.37131899399686</v>
      </c>
      <c r="R161" s="33">
        <v>175.77228181059999</v>
      </c>
      <c r="S161" s="33">
        <v>174.88458005177199</v>
      </c>
      <c r="T161" s="33">
        <v>175.26539597293299</v>
      </c>
      <c r="U161" s="15">
        <v>6.5771195556865699E-3</v>
      </c>
      <c r="V161" s="15">
        <v>1.5140293856747899E-3</v>
      </c>
      <c r="W161" s="15">
        <v>3.6891891593909998E-3</v>
      </c>
      <c r="X161" s="34">
        <v>2.3632426580051402</v>
      </c>
      <c r="Y161" s="34">
        <v>2.3785236560114398</v>
      </c>
      <c r="Z161" s="34">
        <v>2.3664619383299499</v>
      </c>
      <c r="AA161" s="34">
        <v>2.37131899399686</v>
      </c>
      <c r="AB161" s="33">
        <v>175.749112942685</v>
      </c>
      <c r="AC161" s="33">
        <v>174.88458005177199</v>
      </c>
      <c r="AD161" s="33">
        <v>175.26539597293299</v>
      </c>
      <c r="AE161" s="15">
        <v>6.4452990275853999E-3</v>
      </c>
      <c r="AF161" s="15">
        <v>1.5140293856747899E-3</v>
      </c>
      <c r="AG161" s="15">
        <v>3.6891891593909998E-3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3.0922892455098809E-3</v>
      </c>
      <c r="AT161" s="12"/>
      <c r="AU161">
        <f t="shared" si="50"/>
        <v>0</v>
      </c>
      <c r="AV161">
        <f t="shared" si="51"/>
        <v>0</v>
      </c>
      <c r="AW161">
        <f t="shared" si="58"/>
        <v>1</v>
      </c>
      <c r="AX161">
        <f t="shared" si="45"/>
        <v>1</v>
      </c>
      <c r="AY161">
        <f t="shared" si="59"/>
        <v>1</v>
      </c>
      <c r="AZ161" s="28">
        <f t="shared" si="52"/>
        <v>-1.2392069792254601E-2</v>
      </c>
      <c r="BA161" s="28">
        <f t="shared" si="53"/>
        <v>1.28528324757743E-2</v>
      </c>
      <c r="BB161" s="28">
        <f t="shared" si="60"/>
        <v>4.6076268351969915E-4</v>
      </c>
      <c r="BC161" s="29">
        <f t="shared" si="61"/>
        <v>1.2958473061205001E-2</v>
      </c>
      <c r="BE161" s="29">
        <f t="shared" si="62"/>
        <v>4.6076268351969915E-4</v>
      </c>
      <c r="BF161" s="29">
        <f t="shared" si="63"/>
        <v>1.6050762306714882E-2</v>
      </c>
      <c r="BH161" s="29"/>
    </row>
    <row r="162" spans="1:60" x14ac:dyDescent="0.25">
      <c r="A162" s="1">
        <v>46258</v>
      </c>
      <c r="B162" s="33">
        <v>73.84</v>
      </c>
      <c r="C162" s="33">
        <v>174.7</v>
      </c>
      <c r="D162" s="15">
        <v>-6.7691060595952298E-4</v>
      </c>
      <c r="E162" s="15">
        <v>4.5803275734918199E-4</v>
      </c>
      <c r="F162" s="33">
        <v>0</v>
      </c>
      <c r="G162" s="33">
        <v>0.35818</v>
      </c>
      <c r="H162" s="33">
        <v>0</v>
      </c>
      <c r="I162" s="33">
        <v>1.2509299999999901</v>
      </c>
      <c r="J162" s="33">
        <v>0</v>
      </c>
      <c r="K162" s="33">
        <v>0</v>
      </c>
      <c r="L162" s="33">
        <v>73.84</v>
      </c>
      <c r="M162" s="33">
        <v>174.7</v>
      </c>
      <c r="N162" s="34">
        <v>2.3659263271939301</v>
      </c>
      <c r="O162" s="34">
        <v>2.3788372149221799</v>
      </c>
      <c r="P162" s="34">
        <v>2.3662820099023101</v>
      </c>
      <c r="Q162" s="34">
        <v>2.3707270682145398</v>
      </c>
      <c r="R162" s="33">
        <v>175.65333994985301</v>
      </c>
      <c r="S162" s="33">
        <v>174.73954952628401</v>
      </c>
      <c r="T162" s="33">
        <v>175.098194516728</v>
      </c>
      <c r="U162" s="15">
        <v>5.4421761923779096E-3</v>
      </c>
      <c r="V162" s="15">
        <v>2.2635976097561201E-4</v>
      </c>
      <c r="W162" s="15">
        <v>2.2767109434599E-3</v>
      </c>
      <c r="X162" s="34">
        <v>2.3659263271939301</v>
      </c>
      <c r="Y162" s="34">
        <v>2.3785236560114398</v>
      </c>
      <c r="Z162" s="34">
        <v>2.3662820099023101</v>
      </c>
      <c r="AA162" s="34">
        <v>2.3707270682145398</v>
      </c>
      <c r="AB162" s="33">
        <v>175.63018675988499</v>
      </c>
      <c r="AC162" s="33">
        <v>174.73954952628401</v>
      </c>
      <c r="AD162" s="33">
        <v>175.098194516728</v>
      </c>
      <c r="AE162" s="15">
        <v>5.3103556642766798E-3</v>
      </c>
      <c r="AF162" s="15">
        <v>2.2635976097561201E-4</v>
      </c>
      <c r="AG162" s="15">
        <v>2.2767109434599E-3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3.0922892455098809E-3</v>
      </c>
      <c r="AT162" s="12"/>
      <c r="AU162">
        <f t="shared" si="50"/>
        <v>0</v>
      </c>
      <c r="AV162">
        <f t="shared" si="51"/>
        <v>0</v>
      </c>
      <c r="AW162">
        <f t="shared" si="58"/>
        <v>1</v>
      </c>
      <c r="AX162">
        <f t="shared" si="45"/>
        <v>1</v>
      </c>
      <c r="AY162">
        <f t="shared" si="59"/>
        <v>1</v>
      </c>
      <c r="AZ162" s="28">
        <f t="shared" si="52"/>
        <v>6.7691060595952298E-4</v>
      </c>
      <c r="BA162" s="28">
        <f t="shared" si="53"/>
        <v>4.5803275734918199E-4</v>
      </c>
      <c r="BB162" s="28">
        <f t="shared" si="60"/>
        <v>1.134943363308705E-3</v>
      </c>
      <c r="BC162" s="29">
        <f t="shared" si="61"/>
        <v>1.4093416424513706E-2</v>
      </c>
      <c r="BE162" s="29">
        <f t="shared" si="62"/>
        <v>1.134943363308705E-3</v>
      </c>
      <c r="BF162" s="29">
        <f t="shared" si="63"/>
        <v>1.7185705670023588E-2</v>
      </c>
      <c r="BH162" s="29"/>
    </row>
    <row r="163" spans="1:60" x14ac:dyDescent="0.25">
      <c r="A163" s="1">
        <v>46259</v>
      </c>
      <c r="B163" s="33">
        <v>74.13</v>
      </c>
      <c r="C163" s="33">
        <v>175.29</v>
      </c>
      <c r="D163" s="15">
        <v>3.9197184740315198E-3</v>
      </c>
      <c r="E163" s="15">
        <v>3.3715280944444101E-3</v>
      </c>
      <c r="F163" s="33">
        <v>0</v>
      </c>
      <c r="G163" s="33">
        <v>0.35818</v>
      </c>
      <c r="H163" s="33">
        <v>0</v>
      </c>
      <c r="I163" s="33">
        <v>1.2509299999999901</v>
      </c>
      <c r="J163" s="33">
        <v>0</v>
      </c>
      <c r="K163" s="33">
        <v>0</v>
      </c>
      <c r="L163" s="33">
        <v>74.13</v>
      </c>
      <c r="M163" s="33">
        <v>175.29</v>
      </c>
      <c r="N163" s="34">
        <v>2.3646297045730398</v>
      </c>
      <c r="O163" s="34">
        <v>2.3788372149221799</v>
      </c>
      <c r="P163" s="34">
        <v>2.3657439929142798</v>
      </c>
      <c r="Q163" s="34">
        <v>2.36998003587312</v>
      </c>
      <c r="R163" s="33">
        <v>176.34320274218101</v>
      </c>
      <c r="S163" s="33">
        <v>175.412485394058</v>
      </c>
      <c r="T163" s="33">
        <v>175.74199756674301</v>
      </c>
      <c r="U163" s="15">
        <v>5.9903665719649802E-3</v>
      </c>
      <c r="V163" s="15">
        <v>6.9851457654469601E-4</v>
      </c>
      <c r="W163" s="15">
        <v>2.5752513712590801E-3</v>
      </c>
      <c r="X163" s="34">
        <v>2.3646297045730398</v>
      </c>
      <c r="Y163" s="34">
        <v>2.3785236560114398</v>
      </c>
      <c r="Z163" s="34">
        <v>2.3657439929142798</v>
      </c>
      <c r="AA163" s="34">
        <v>2.36998003587312</v>
      </c>
      <c r="AB163" s="33">
        <v>176.31995862012801</v>
      </c>
      <c r="AC163" s="33">
        <v>175.412485394058</v>
      </c>
      <c r="AD163" s="33">
        <v>175.74199756674301</v>
      </c>
      <c r="AE163" s="15">
        <v>5.85854604386391E-3</v>
      </c>
      <c r="AF163" s="15">
        <v>6.9851457654469601E-4</v>
      </c>
      <c r="AG163" s="15">
        <v>2.5752513712590801E-3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3.0922892455098809E-3</v>
      </c>
      <c r="AT163" s="12"/>
      <c r="AU163">
        <f t="shared" si="50"/>
        <v>0</v>
      </c>
      <c r="AV163">
        <f t="shared" si="51"/>
        <v>0</v>
      </c>
      <c r="AW163">
        <f t="shared" si="58"/>
        <v>1</v>
      </c>
      <c r="AX163">
        <f t="shared" si="45"/>
        <v>1</v>
      </c>
      <c r="AY163">
        <f t="shared" si="59"/>
        <v>1</v>
      </c>
      <c r="AZ163" s="28">
        <f t="shared" si="52"/>
        <v>-3.9197184740315198E-3</v>
      </c>
      <c r="BA163" s="28">
        <f t="shared" si="53"/>
        <v>3.3715280944444101E-3</v>
      </c>
      <c r="BB163" s="28">
        <f t="shared" si="60"/>
        <v>-5.4819037958710962E-4</v>
      </c>
      <c r="BC163" s="29">
        <f t="shared" si="61"/>
        <v>1.3545226044926598E-2</v>
      </c>
      <c r="BE163" s="29">
        <f t="shared" si="62"/>
        <v>-5.4819037958710962E-4</v>
      </c>
      <c r="BF163" s="29">
        <f t="shared" si="63"/>
        <v>1.6637515290436479E-2</v>
      </c>
      <c r="BH163" s="29"/>
    </row>
    <row r="164" spans="1:60" x14ac:dyDescent="0.25">
      <c r="A164" s="1">
        <v>46260</v>
      </c>
      <c r="B164" s="33">
        <v>73.400000000000006</v>
      </c>
      <c r="C164" s="33">
        <v>173.54</v>
      </c>
      <c r="D164" s="15">
        <v>-9.8963730481583592E-3</v>
      </c>
      <c r="E164" s="15">
        <v>-1.00336248691116E-2</v>
      </c>
      <c r="F164" s="33">
        <v>0</v>
      </c>
      <c r="G164" s="33">
        <v>0.35818</v>
      </c>
      <c r="H164" s="33">
        <v>0</v>
      </c>
      <c r="I164" s="33">
        <v>1.2509299999999901</v>
      </c>
      <c r="J164" s="33">
        <v>0</v>
      </c>
      <c r="K164" s="33">
        <v>0</v>
      </c>
      <c r="L164" s="33">
        <v>73.400000000000006</v>
      </c>
      <c r="M164" s="33">
        <v>173.54</v>
      </c>
      <c r="N164" s="34">
        <v>2.3643051771117101</v>
      </c>
      <c r="O164" s="34">
        <v>2.3788372149221799</v>
      </c>
      <c r="P164" s="34">
        <v>2.365501755251</v>
      </c>
      <c r="Q164" s="34">
        <v>2.36923150483319</v>
      </c>
      <c r="R164" s="33">
        <v>174.606651575288</v>
      </c>
      <c r="S164" s="33">
        <v>173.64560907990801</v>
      </c>
      <c r="T164" s="33">
        <v>173.95653463308699</v>
      </c>
      <c r="U164" s="15">
        <v>6.12761839291809E-3</v>
      </c>
      <c r="V164" s="15">
        <v>6.0837246938756E-4</v>
      </c>
      <c r="W164" s="15">
        <v>2.3973466844613499E-3</v>
      </c>
      <c r="X164" s="34">
        <v>2.3643051771117101</v>
      </c>
      <c r="Y164" s="34">
        <v>2.3785236560114398</v>
      </c>
      <c r="Z164" s="34">
        <v>2.365501755251</v>
      </c>
      <c r="AA164" s="34">
        <v>2.36923150483319</v>
      </c>
      <c r="AB164" s="33">
        <v>174.58363635123999</v>
      </c>
      <c r="AC164" s="33">
        <v>173.64560907990801</v>
      </c>
      <c r="AD164" s="33">
        <v>173.95653463308699</v>
      </c>
      <c r="AE164" s="15">
        <v>5.9957978648170797E-3</v>
      </c>
      <c r="AF164" s="15">
        <v>6.0837246938756E-4</v>
      </c>
      <c r="AG164" s="15">
        <v>2.3973466844613499E-3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3.0922892455098809E-3</v>
      </c>
      <c r="AT164" s="12"/>
      <c r="AU164">
        <f t="shared" si="50"/>
        <v>0</v>
      </c>
      <c r="AV164">
        <f t="shared" si="51"/>
        <v>0</v>
      </c>
      <c r="AW164">
        <f t="shared" si="58"/>
        <v>1</v>
      </c>
      <c r="AX164">
        <f t="shared" si="45"/>
        <v>1</v>
      </c>
      <c r="AY164">
        <f t="shared" si="59"/>
        <v>1</v>
      </c>
      <c r="AZ164" s="28">
        <f t="shared" si="52"/>
        <v>9.8963730481583592E-3</v>
      </c>
      <c r="BA164" s="28">
        <f t="shared" si="53"/>
        <v>-1.00336248691116E-2</v>
      </c>
      <c r="BB164" s="28">
        <f t="shared" si="60"/>
        <v>-1.3725182095324084E-4</v>
      </c>
      <c r="BC164" s="29">
        <f t="shared" si="61"/>
        <v>1.3407974223973357E-2</v>
      </c>
      <c r="BE164" s="29">
        <f t="shared" si="62"/>
        <v>-1.3725182095324084E-4</v>
      </c>
      <c r="BF164" s="29">
        <f t="shared" si="63"/>
        <v>1.6500263469483238E-2</v>
      </c>
      <c r="BH164" s="29"/>
    </row>
    <row r="165" spans="1:60" x14ac:dyDescent="0.25">
      <c r="A165" s="1">
        <v>46261</v>
      </c>
      <c r="B165" s="33">
        <v>72.63</v>
      </c>
      <c r="C165" s="33">
        <v>171.58</v>
      </c>
      <c r="D165" s="15">
        <v>-1.0545876002393199E-2</v>
      </c>
      <c r="E165" s="15">
        <v>-1.1358490220524301E-2</v>
      </c>
      <c r="F165" s="33">
        <v>0</v>
      </c>
      <c r="G165" s="33">
        <v>0.35818</v>
      </c>
      <c r="H165" s="33">
        <v>0</v>
      </c>
      <c r="I165" s="33">
        <v>1.2509299999999901</v>
      </c>
      <c r="J165" s="33">
        <v>0</v>
      </c>
      <c r="K165" s="33">
        <v>0</v>
      </c>
      <c r="L165" s="33">
        <v>72.63</v>
      </c>
      <c r="M165" s="33">
        <v>171.58</v>
      </c>
      <c r="N165" s="34">
        <v>2.36238468952223</v>
      </c>
      <c r="O165" s="34">
        <v>2.3788372149221799</v>
      </c>
      <c r="P165" s="34">
        <v>2.3649521493895498</v>
      </c>
      <c r="Q165" s="34">
        <v>2.3685480656679201</v>
      </c>
      <c r="R165" s="33">
        <v>172.774946919798</v>
      </c>
      <c r="S165" s="33">
        <v>171.80639248387999</v>
      </c>
      <c r="T165" s="33">
        <v>172.07728419603399</v>
      </c>
      <c r="U165" s="15">
        <v>6.9402326110493701E-3</v>
      </c>
      <c r="V165" s="15">
        <v>1.3185875831855801E-3</v>
      </c>
      <c r="W165" s="15">
        <v>2.8940724727430701E-3</v>
      </c>
      <c r="X165" s="34">
        <v>2.36238468952223</v>
      </c>
      <c r="Y165" s="34">
        <v>2.3785236560114398</v>
      </c>
      <c r="Z165" s="34">
        <v>2.3649521493895498</v>
      </c>
      <c r="AA165" s="34">
        <v>2.3685480656679201</v>
      </c>
      <c r="AB165" s="33">
        <v>172.752173136111</v>
      </c>
      <c r="AC165" s="33">
        <v>171.80639248387999</v>
      </c>
      <c r="AD165" s="33">
        <v>172.07728419603399</v>
      </c>
      <c r="AE165" s="15">
        <v>6.8084120829483598E-3</v>
      </c>
      <c r="AF165" s="15">
        <v>1.3185875831855801E-3</v>
      </c>
      <c r="AG165" s="15">
        <v>2.89407247274329E-3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3.0922892455098809E-3</v>
      </c>
      <c r="AT165" s="12"/>
      <c r="AU165">
        <f t="shared" si="50"/>
        <v>0</v>
      </c>
      <c r="AV165">
        <f t="shared" si="51"/>
        <v>0</v>
      </c>
      <c r="AW165">
        <f t="shared" si="58"/>
        <v>1</v>
      </c>
      <c r="AX165">
        <f t="shared" si="45"/>
        <v>1</v>
      </c>
      <c r="AY165">
        <f t="shared" si="59"/>
        <v>1</v>
      </c>
      <c r="AZ165" s="28">
        <f t="shared" si="52"/>
        <v>1.0545876002393199E-2</v>
      </c>
      <c r="BA165" s="28">
        <f t="shared" si="53"/>
        <v>-1.1358490220524301E-2</v>
      </c>
      <c r="BB165" s="28">
        <f t="shared" si="60"/>
        <v>-8.1261421813110142E-4</v>
      </c>
      <c r="BC165" s="29">
        <f t="shared" si="61"/>
        <v>1.2595360005842255E-2</v>
      </c>
      <c r="BE165" s="29">
        <f t="shared" si="62"/>
        <v>-8.1261421813110142E-4</v>
      </c>
      <c r="BF165" s="29">
        <f t="shared" si="63"/>
        <v>1.5687649251352138E-2</v>
      </c>
      <c r="BH165" s="29"/>
    </row>
    <row r="166" spans="1:60" x14ac:dyDescent="0.25">
      <c r="A166" s="1">
        <v>46262</v>
      </c>
      <c r="B166" s="33">
        <v>72.31</v>
      </c>
      <c r="C166" s="33">
        <v>171.16</v>
      </c>
      <c r="D166" s="15">
        <v>-4.4156274312162199E-3</v>
      </c>
      <c r="E166" s="15">
        <v>-2.4508385962031501E-3</v>
      </c>
      <c r="F166" s="33">
        <v>0</v>
      </c>
      <c r="G166" s="33">
        <v>0.35818</v>
      </c>
      <c r="H166" s="33">
        <v>0</v>
      </c>
      <c r="I166" s="33">
        <v>1.2509299999999901</v>
      </c>
      <c r="J166" s="33">
        <v>0</v>
      </c>
      <c r="K166" s="33">
        <v>0</v>
      </c>
      <c r="L166" s="33">
        <v>72.31</v>
      </c>
      <c r="M166" s="33">
        <v>171.16</v>
      </c>
      <c r="N166" s="34">
        <v>2.36703083944129</v>
      </c>
      <c r="O166" s="34">
        <v>2.3788372149221799</v>
      </c>
      <c r="P166" s="34">
        <v>2.3647550210194601</v>
      </c>
      <c r="Q166" s="34">
        <v>2.36797218592503</v>
      </c>
      <c r="R166" s="33">
        <v>172.013719011022</v>
      </c>
      <c r="S166" s="33">
        <v>171.00968992235801</v>
      </c>
      <c r="T166" s="33">
        <v>171.269710628447</v>
      </c>
      <c r="U166" s="15">
        <v>4.9754437760363398E-3</v>
      </c>
      <c r="V166" s="15">
        <v>-8.78570438800823E-4</v>
      </c>
      <c r="W166" s="15">
        <v>6.4077753066371505E-4</v>
      </c>
      <c r="X166" s="34">
        <v>2.36703083944129</v>
      </c>
      <c r="Y166" s="34">
        <v>2.3785236560114398</v>
      </c>
      <c r="Z166" s="34">
        <v>2.3647550210194601</v>
      </c>
      <c r="AA166" s="34">
        <v>2.36797218592503</v>
      </c>
      <c r="AB166" s="33">
        <v>171.99104556618701</v>
      </c>
      <c r="AC166" s="33">
        <v>171.00968992235801</v>
      </c>
      <c r="AD166" s="33">
        <v>171.269710628447</v>
      </c>
      <c r="AE166" s="15">
        <v>4.8436232479352401E-3</v>
      </c>
      <c r="AF166" s="15">
        <v>-8.78570438800823E-4</v>
      </c>
      <c r="AG166" s="15">
        <v>6.4077753066371505E-4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3.0922892455098809E-3</v>
      </c>
      <c r="AT166" s="12"/>
      <c r="AU166">
        <f t="shared" si="50"/>
        <v>0</v>
      </c>
      <c r="AV166">
        <f t="shared" si="51"/>
        <v>1</v>
      </c>
      <c r="AW166">
        <f t="shared" si="58"/>
        <v>1</v>
      </c>
      <c r="AX166">
        <f t="shared" si="45"/>
        <v>1</v>
      </c>
      <c r="AY166">
        <f t="shared" si="59"/>
        <v>1</v>
      </c>
      <c r="AZ166" s="28">
        <f t="shared" si="52"/>
        <v>4.4156274312162199E-3</v>
      </c>
      <c r="BA166" s="28">
        <f t="shared" si="53"/>
        <v>-2.4508385962031501E-3</v>
      </c>
      <c r="BB166" s="28">
        <f t="shared" si="60"/>
        <v>1.9647888350130698E-3</v>
      </c>
      <c r="BC166" s="29">
        <f t="shared" si="61"/>
        <v>1.4560148840855325E-2</v>
      </c>
      <c r="BE166" s="29">
        <f t="shared" si="62"/>
        <v>1.9647888350130698E-3</v>
      </c>
      <c r="BF166" s="29">
        <f t="shared" si="63"/>
        <v>1.765243808636521E-2</v>
      </c>
      <c r="BH166" s="29"/>
    </row>
    <row r="167" spans="1:60" x14ac:dyDescent="0.25">
      <c r="A167" s="1">
        <v>46265</v>
      </c>
      <c r="B167" s="33">
        <v>72.02</v>
      </c>
      <c r="C167" s="33">
        <v>170.54</v>
      </c>
      <c r="D167" s="15">
        <v>-4.0185739661314397E-3</v>
      </c>
      <c r="E167" s="15">
        <v>-3.6289182347125901E-3</v>
      </c>
      <c r="F167" s="33">
        <v>0</v>
      </c>
      <c r="G167" s="33">
        <v>0.35818</v>
      </c>
      <c r="H167" s="33">
        <v>0</v>
      </c>
      <c r="I167" s="33">
        <v>1.2509299999999901</v>
      </c>
      <c r="J167" s="33">
        <v>0</v>
      </c>
      <c r="K167" s="33">
        <v>0</v>
      </c>
      <c r="L167" s="33">
        <v>72.02</v>
      </c>
      <c r="M167" s="33">
        <v>170.54</v>
      </c>
      <c r="N167" s="34">
        <v>2.3679533462926901</v>
      </c>
      <c r="O167" s="34">
        <v>2.3788372149221799</v>
      </c>
      <c r="P167" s="34">
        <v>2.3649356247705402</v>
      </c>
      <c r="Q167" s="34">
        <v>2.3674952928645099</v>
      </c>
      <c r="R167" s="33">
        <v>171.323856218695</v>
      </c>
      <c r="S167" s="33">
        <v>170.30965661382101</v>
      </c>
      <c r="T167" s="33">
        <v>170.54135683032001</v>
      </c>
      <c r="U167" s="15">
        <v>4.5857880446175002E-3</v>
      </c>
      <c r="V167" s="15">
        <v>-1.35158370721184E-3</v>
      </c>
      <c r="W167" s="15">
        <v>7.9560509155290101E-6</v>
      </c>
      <c r="X167" s="34">
        <v>2.3679533462926901</v>
      </c>
      <c r="Y167" s="34">
        <v>2.3785236560114398</v>
      </c>
      <c r="Z167" s="34">
        <v>2.3649356247705402</v>
      </c>
      <c r="AA167" s="34">
        <v>2.3674952928645099</v>
      </c>
      <c r="AB167" s="33">
        <v>171.301273705944</v>
      </c>
      <c r="AC167" s="33">
        <v>170.30965661382101</v>
      </c>
      <c r="AD167" s="33">
        <v>170.54135683032001</v>
      </c>
      <c r="AE167" s="15">
        <v>4.4539675165163597E-3</v>
      </c>
      <c r="AF167" s="15">
        <v>-1.35158370721184E-3</v>
      </c>
      <c r="AG167" s="15">
        <v>7.9560509155290101E-6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3.0922892455098809E-3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1.4560148840855325E-2</v>
      </c>
      <c r="BE167" s="29">
        <f t="shared" si="62"/>
        <v>0</v>
      </c>
      <c r="BF167" s="29">
        <f t="shared" si="63"/>
        <v>1.765243808636521E-2</v>
      </c>
      <c r="BH167" s="29"/>
    </row>
    <row r="168" spans="1:60" x14ac:dyDescent="0.25">
      <c r="A168" s="1">
        <v>46266</v>
      </c>
      <c r="B168" s="33">
        <v>72.38</v>
      </c>
      <c r="C168" s="33">
        <v>171.67</v>
      </c>
      <c r="D168" s="15">
        <v>4.9861599148671096E-3</v>
      </c>
      <c r="E168" s="15">
        <v>6.6041559689343204E-3</v>
      </c>
      <c r="F168" s="33">
        <v>0</v>
      </c>
      <c r="G168" s="33">
        <v>0.35818</v>
      </c>
      <c r="H168" s="33">
        <v>0</v>
      </c>
      <c r="I168" s="33">
        <v>1.2509299999999901</v>
      </c>
      <c r="J168" s="33">
        <v>0</v>
      </c>
      <c r="K168" s="33">
        <v>0</v>
      </c>
      <c r="L168" s="33">
        <v>72.38</v>
      </c>
      <c r="M168" s="33">
        <v>171.67</v>
      </c>
      <c r="N168" s="34">
        <v>2.3717877866813999</v>
      </c>
      <c r="O168" s="34">
        <v>2.3788372149221799</v>
      </c>
      <c r="P168" s="34">
        <v>2.3652928602546401</v>
      </c>
      <c r="Q168" s="34">
        <v>2.3673127009559098</v>
      </c>
      <c r="R168" s="33">
        <v>172.18023761606699</v>
      </c>
      <c r="S168" s="33">
        <v>171.174040520891</v>
      </c>
      <c r="T168" s="33">
        <v>171.359309297533</v>
      </c>
      <c r="U168" s="15">
        <v>2.9677919905504199E-3</v>
      </c>
      <c r="V168" s="15">
        <v>-2.8932095439874899E-3</v>
      </c>
      <c r="W168" s="15">
        <v>-1.81145330152588E-3</v>
      </c>
      <c r="X168" s="34">
        <v>2.3717877866813999</v>
      </c>
      <c r="Y168" s="34">
        <v>2.3785236560114398</v>
      </c>
      <c r="Z168" s="34">
        <v>2.3652928602546401</v>
      </c>
      <c r="AA168" s="34">
        <v>2.3673127009559098</v>
      </c>
      <c r="AB168" s="33">
        <v>172.15754222210799</v>
      </c>
      <c r="AC168" s="33">
        <v>171.174040520891</v>
      </c>
      <c r="AD168" s="33">
        <v>171.359309297533</v>
      </c>
      <c r="AE168" s="15">
        <v>2.8359714624492799E-3</v>
      </c>
      <c r="AF168" s="15">
        <v>-2.8932095439874899E-3</v>
      </c>
      <c r="AG168" s="15">
        <v>-1.81145330152588E-3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3.0922892455098809E-3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1.4560148840855325E-2</v>
      </c>
      <c r="BE168" s="29">
        <f t="shared" si="62"/>
        <v>0</v>
      </c>
      <c r="BF168" s="29">
        <f t="shared" si="63"/>
        <v>1.765243808636521E-2</v>
      </c>
      <c r="BH168" s="29"/>
    </row>
    <row r="169" spans="1:60" x14ac:dyDescent="0.25">
      <c r="A169" s="1">
        <v>46267</v>
      </c>
      <c r="B169" s="33">
        <v>73.010000000000005</v>
      </c>
      <c r="C169" s="33">
        <v>172.95</v>
      </c>
      <c r="D169" s="15">
        <v>8.6663999323981396E-3</v>
      </c>
      <c r="E169" s="15">
        <v>7.4285061003398099E-3</v>
      </c>
      <c r="F169" s="33">
        <v>0</v>
      </c>
      <c r="G169" s="33">
        <v>0.35818</v>
      </c>
      <c r="H169" s="33">
        <v>0</v>
      </c>
      <c r="I169" s="33">
        <v>1.2509299999999901</v>
      </c>
      <c r="J169" s="33">
        <v>0</v>
      </c>
      <c r="K169" s="33">
        <v>0</v>
      </c>
      <c r="L169" s="33">
        <v>73.010000000000005</v>
      </c>
      <c r="M169" s="33">
        <v>172.95</v>
      </c>
      <c r="N169" s="34">
        <v>2.36885358170113</v>
      </c>
      <c r="O169" s="34">
        <v>2.3788372149221799</v>
      </c>
      <c r="P169" s="34">
        <v>2.3658268125321098</v>
      </c>
      <c r="Q169" s="34">
        <v>2.3669710095633998</v>
      </c>
      <c r="R169" s="33">
        <v>173.67890506146799</v>
      </c>
      <c r="S169" s="33">
        <v>172.69003172719101</v>
      </c>
      <c r="T169" s="33">
        <v>172.83750029679101</v>
      </c>
      <c r="U169" s="15">
        <v>4.2056858226086997E-3</v>
      </c>
      <c r="V169" s="15">
        <v>-1.5042720632290701E-3</v>
      </c>
      <c r="W169" s="15">
        <v>-6.50686951271141E-4</v>
      </c>
      <c r="X169" s="34">
        <v>2.36885358170113</v>
      </c>
      <c r="Y169" s="34">
        <v>2.3785236560114398</v>
      </c>
      <c r="Z169" s="34">
        <v>2.3658268125321098</v>
      </c>
      <c r="AA169" s="34">
        <v>2.3669710095633998</v>
      </c>
      <c r="AB169" s="33">
        <v>173.65601212539499</v>
      </c>
      <c r="AC169" s="33">
        <v>172.69003172719101</v>
      </c>
      <c r="AD169" s="33">
        <v>172.83750029679101</v>
      </c>
      <c r="AE169" s="15">
        <v>4.07386529450743E-3</v>
      </c>
      <c r="AF169" s="15">
        <v>-1.5042720632290701E-3</v>
      </c>
      <c r="AG169" s="15">
        <v>-6.50686951271141E-4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3.0922892455098809E-3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1.4560148840855325E-2</v>
      </c>
      <c r="BE169" s="29">
        <f t="shared" si="62"/>
        <v>0</v>
      </c>
      <c r="BF169" s="29">
        <f t="shared" si="63"/>
        <v>1.765243808636521E-2</v>
      </c>
      <c r="BH169" s="29"/>
    </row>
    <row r="170" spans="1:60" x14ac:dyDescent="0.25">
      <c r="A170" s="1">
        <v>46268</v>
      </c>
      <c r="B170" s="33">
        <v>73.150000000000006</v>
      </c>
      <c r="C170" s="33">
        <v>173.26</v>
      </c>
      <c r="D170" s="15">
        <v>1.91570939813896E-3</v>
      </c>
      <c r="E170" s="15">
        <v>1.7908210788164299E-3</v>
      </c>
      <c r="F170" s="33">
        <v>0</v>
      </c>
      <c r="G170" s="33">
        <v>0.35818</v>
      </c>
      <c r="H170" s="33">
        <v>0</v>
      </c>
      <c r="I170" s="33">
        <v>1.2509299999999901</v>
      </c>
      <c r="J170" s="33">
        <v>0</v>
      </c>
      <c r="K170" s="33">
        <v>0</v>
      </c>
      <c r="L170" s="33">
        <v>73.150000000000006</v>
      </c>
      <c r="M170" s="33">
        <v>173.26</v>
      </c>
      <c r="N170" s="34">
        <v>2.3685577580314399</v>
      </c>
      <c r="O170" s="34">
        <v>2.3788372149221799</v>
      </c>
      <c r="P170" s="34">
        <v>2.3664671868554001</v>
      </c>
      <c r="Q170" s="34">
        <v>2.3666452868352801</v>
      </c>
      <c r="R170" s="33">
        <v>174.01194227155699</v>
      </c>
      <c r="S170" s="33">
        <v>173.060231336724</v>
      </c>
      <c r="T170" s="33">
        <v>173.143929349563</v>
      </c>
      <c r="U170" s="15">
        <v>4.3305741419311199E-3</v>
      </c>
      <c r="V170" s="15">
        <v>-1.1536645414054001E-3</v>
      </c>
      <c r="W170" s="15">
        <v>-6.7014629423428303E-4</v>
      </c>
      <c r="X170" s="34">
        <v>2.3685577580314399</v>
      </c>
      <c r="Y170" s="34">
        <v>2.3785236560114398</v>
      </c>
      <c r="Z170" s="34">
        <v>2.3664671868554001</v>
      </c>
      <c r="AA170" s="34">
        <v>2.3666452868352801</v>
      </c>
      <c r="AB170" s="33">
        <v>173.98900543723701</v>
      </c>
      <c r="AC170" s="33">
        <v>173.060231336724</v>
      </c>
      <c r="AD170" s="33">
        <v>173.143929349562</v>
      </c>
      <c r="AE170" s="15">
        <v>4.1987536138300497E-3</v>
      </c>
      <c r="AF170" s="15">
        <v>-1.1536645414054001E-3</v>
      </c>
      <c r="AG170" s="15">
        <v>-6.7014629423439395E-4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3.0922892455098809E-3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1.4560148840855325E-2</v>
      </c>
      <c r="BE170" s="29">
        <f t="shared" si="62"/>
        <v>0</v>
      </c>
      <c r="BF170" s="29">
        <f t="shared" si="63"/>
        <v>1.765243808636521E-2</v>
      </c>
      <c r="BH170" s="29"/>
    </row>
    <row r="171" spans="1:60" x14ac:dyDescent="0.25">
      <c r="A171" s="1">
        <v>46269</v>
      </c>
      <c r="B171" s="33">
        <v>72.400000000000006</v>
      </c>
      <c r="C171" s="33">
        <v>171.45</v>
      </c>
      <c r="D171" s="15">
        <v>-1.0305828074462601E-2</v>
      </c>
      <c r="E171" s="15">
        <v>-1.05016775530648E-2</v>
      </c>
      <c r="F171" s="33">
        <v>0</v>
      </c>
      <c r="G171" s="33">
        <v>0.35818</v>
      </c>
      <c r="H171" s="33">
        <v>0</v>
      </c>
      <c r="I171" s="33">
        <v>1.2509299999999901</v>
      </c>
      <c r="J171" s="33">
        <v>0</v>
      </c>
      <c r="K171" s="33">
        <v>0</v>
      </c>
      <c r="L171" s="33">
        <v>72.400000000000006</v>
      </c>
      <c r="M171" s="33">
        <v>171.45</v>
      </c>
      <c r="N171" s="34">
        <v>2.36809392265193</v>
      </c>
      <c r="O171" s="34">
        <v>2.3788372149221799</v>
      </c>
      <c r="P171" s="34">
        <v>2.36695231332008</v>
      </c>
      <c r="Q171" s="34">
        <v>2.3667071258250201</v>
      </c>
      <c r="R171" s="33">
        <v>172.22781436036499</v>
      </c>
      <c r="S171" s="33">
        <v>171.33222432833099</v>
      </c>
      <c r="T171" s="33">
        <v>171.34511876687401</v>
      </c>
      <c r="U171" s="15">
        <v>4.5264236205332002E-3</v>
      </c>
      <c r="V171" s="15">
        <v>-6.8717493466288304E-4</v>
      </c>
      <c r="W171" s="15">
        <v>-6.1191791047399396E-4</v>
      </c>
      <c r="X171" s="34">
        <v>2.36809392265193</v>
      </c>
      <c r="Y171" s="34">
        <v>2.3785236560114398</v>
      </c>
      <c r="Z171" s="34">
        <v>2.36695231332008</v>
      </c>
      <c r="AA171" s="34">
        <v>2.3667071258250201</v>
      </c>
      <c r="AB171" s="33">
        <v>172.205112695228</v>
      </c>
      <c r="AC171" s="33">
        <v>171.33222432833099</v>
      </c>
      <c r="AD171" s="33">
        <v>171.34511876687401</v>
      </c>
      <c r="AE171" s="15">
        <v>4.3946030924323096E-3</v>
      </c>
      <c r="AF171" s="15">
        <v>-6.8717493466288304E-4</v>
      </c>
      <c r="AG171" s="15">
        <v>-6.1191791047399396E-4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3.0922892455098809E-3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1.4560148840855325E-2</v>
      </c>
      <c r="BE171" s="29">
        <f t="shared" si="62"/>
        <v>0</v>
      </c>
      <c r="BF171" s="29">
        <f t="shared" si="63"/>
        <v>1.765243808636521E-2</v>
      </c>
      <c r="BH171" s="29"/>
    </row>
    <row r="172" spans="1:60" x14ac:dyDescent="0.25">
      <c r="A172" s="1">
        <v>46273</v>
      </c>
      <c r="B172" s="33">
        <v>70.66</v>
      </c>
      <c r="C172" s="33">
        <v>167.13</v>
      </c>
      <c r="D172" s="15">
        <v>-2.43266574606716E-2</v>
      </c>
      <c r="E172" s="15">
        <v>-2.5519726208095499E-2</v>
      </c>
      <c r="F172" s="33">
        <v>0</v>
      </c>
      <c r="G172" s="33">
        <v>0.35818</v>
      </c>
      <c r="H172" s="33">
        <v>0</v>
      </c>
      <c r="I172" s="33">
        <v>1.2509299999999901</v>
      </c>
      <c r="J172" s="33">
        <v>0</v>
      </c>
      <c r="K172" s="33">
        <v>0</v>
      </c>
      <c r="L172" s="33">
        <v>70.66</v>
      </c>
      <c r="M172" s="33">
        <v>167.13</v>
      </c>
      <c r="N172" s="34">
        <v>2.36527030851967</v>
      </c>
      <c r="O172" s="34">
        <v>2.3788372149221799</v>
      </c>
      <c r="P172" s="34">
        <v>2.3668867114526502</v>
      </c>
      <c r="Q172" s="34">
        <v>2.3665843606774799</v>
      </c>
      <c r="R172" s="33">
        <v>168.08863760640099</v>
      </c>
      <c r="S172" s="33">
        <v>167.248850459197</v>
      </c>
      <c r="T172" s="33">
        <v>167.23152551079599</v>
      </c>
      <c r="U172" s="15">
        <v>5.7194923679571999E-3</v>
      </c>
      <c r="V172" s="15">
        <v>7.1087309522644597E-4</v>
      </c>
      <c r="W172" s="15">
        <v>6.0727988222359904E-4</v>
      </c>
      <c r="X172" s="34">
        <v>2.36527030851967</v>
      </c>
      <c r="Y172" s="34">
        <v>2.3785236560114398</v>
      </c>
      <c r="Z172" s="34">
        <v>2.3668867114526502</v>
      </c>
      <c r="AA172" s="34">
        <v>2.3665843606774799</v>
      </c>
      <c r="AB172" s="33">
        <v>168.06648153376801</v>
      </c>
      <c r="AC172" s="33">
        <v>167.248850459197</v>
      </c>
      <c r="AD172" s="33">
        <v>167.23152551079599</v>
      </c>
      <c r="AE172" s="15">
        <v>5.5876718398561401E-3</v>
      </c>
      <c r="AF172" s="15">
        <v>7.1087309522666802E-4</v>
      </c>
      <c r="AG172" s="15">
        <v>6.0727988222359904E-4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3.0922892455098809E-3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1.4560148840855325E-2</v>
      </c>
      <c r="BE172" s="29">
        <f t="shared" si="62"/>
        <v>0</v>
      </c>
      <c r="BF172" s="29">
        <f t="shared" si="63"/>
        <v>1.765243808636521E-2</v>
      </c>
      <c r="BH172" s="29"/>
    </row>
    <row r="173" spans="1:60" x14ac:dyDescent="0.25">
      <c r="A173" s="1">
        <v>46274</v>
      </c>
      <c r="B173" s="33">
        <v>70.430000000000007</v>
      </c>
      <c r="C173" s="33">
        <v>166.58</v>
      </c>
      <c r="D173" s="15">
        <v>-3.2603331736800402E-3</v>
      </c>
      <c r="E173" s="15">
        <v>-3.2962781936392602E-3</v>
      </c>
      <c r="F173" s="33">
        <v>0</v>
      </c>
      <c r="G173" s="33">
        <v>0.35818</v>
      </c>
      <c r="H173" s="33">
        <v>0</v>
      </c>
      <c r="I173" s="33">
        <v>1.2509299999999901</v>
      </c>
      <c r="J173" s="33">
        <v>0</v>
      </c>
      <c r="K173" s="33">
        <v>0</v>
      </c>
      <c r="L173" s="33">
        <v>70.430000000000007</v>
      </c>
      <c r="M173" s="33">
        <v>166.58</v>
      </c>
      <c r="N173" s="34">
        <v>2.3651852903592201</v>
      </c>
      <c r="O173" s="34">
        <v>2.3788372149221799</v>
      </c>
      <c r="P173" s="34">
        <v>2.3669422700312701</v>
      </c>
      <c r="Q173" s="34">
        <v>2.3663431314727799</v>
      </c>
      <c r="R173" s="33">
        <v>167.54150504696901</v>
      </c>
      <c r="S173" s="33">
        <v>166.69983108760999</v>
      </c>
      <c r="T173" s="33">
        <v>166.678536522515</v>
      </c>
      <c r="U173" s="15">
        <v>5.75543738791638E-3</v>
      </c>
      <c r="V173" s="15">
        <v>7.1910197735898203E-4</v>
      </c>
      <c r="W173" s="15">
        <v>5.91351846018334E-4</v>
      </c>
      <c r="X173" s="34">
        <v>2.3651852903592201</v>
      </c>
      <c r="Y173" s="34">
        <v>2.3785236560114398</v>
      </c>
      <c r="Z173" s="34">
        <v>2.3669422700312701</v>
      </c>
      <c r="AA173" s="34">
        <v>2.3663431314727799</v>
      </c>
      <c r="AB173" s="33">
        <v>167.51942109288601</v>
      </c>
      <c r="AC173" s="33">
        <v>166.69983108760999</v>
      </c>
      <c r="AD173" s="33">
        <v>166.678536522515</v>
      </c>
      <c r="AE173" s="15">
        <v>5.6236168598153497E-3</v>
      </c>
      <c r="AF173" s="15">
        <v>7.1910197735898203E-4</v>
      </c>
      <c r="AG173" s="15">
        <v>5.91351846018334E-4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3.0922892455098809E-3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1.4560148840855325E-2</v>
      </c>
      <c r="BE173" s="29">
        <f t="shared" si="62"/>
        <v>0</v>
      </c>
      <c r="BF173" s="29">
        <f t="shared" si="63"/>
        <v>1.765243808636521E-2</v>
      </c>
      <c r="BH173" s="29"/>
    </row>
    <row r="174" spans="1:60" x14ac:dyDescent="0.25">
      <c r="A174" s="1">
        <v>46275</v>
      </c>
      <c r="B174" s="33">
        <v>70</v>
      </c>
      <c r="C174" s="33">
        <v>165.66</v>
      </c>
      <c r="D174" s="15">
        <v>-6.12406670796007E-3</v>
      </c>
      <c r="E174" s="15">
        <v>-5.53817933707643E-3</v>
      </c>
      <c r="F174" s="33">
        <v>0</v>
      </c>
      <c r="G174" s="33">
        <v>0.35818</v>
      </c>
      <c r="H174" s="33">
        <v>0</v>
      </c>
      <c r="I174" s="33">
        <v>1.2509299999999901</v>
      </c>
      <c r="J174" s="33">
        <v>0</v>
      </c>
      <c r="K174" s="33">
        <v>0</v>
      </c>
      <c r="L174" s="33">
        <v>70</v>
      </c>
      <c r="M174" s="33">
        <v>165.66</v>
      </c>
      <c r="N174" s="34">
        <v>2.3665714285714201</v>
      </c>
      <c r="O174" s="34">
        <v>2.3788372149221799</v>
      </c>
      <c r="P174" s="34">
        <v>2.3671688951772398</v>
      </c>
      <c r="Q174" s="34">
        <v>2.3663353252141199</v>
      </c>
      <c r="R174" s="33">
        <v>166.518605044552</v>
      </c>
      <c r="S174" s="33">
        <v>165.68595890218899</v>
      </c>
      <c r="T174" s="33">
        <v>165.64401920309399</v>
      </c>
      <c r="U174" s="15">
        <v>5.16955001703289E-3</v>
      </c>
      <c r="V174" s="15">
        <v>1.5668760426939399E-4</v>
      </c>
      <c r="W174" s="15">
        <v>-9.6472098082069004E-5</v>
      </c>
      <c r="X174" s="34">
        <v>2.3665714285714201</v>
      </c>
      <c r="Y174" s="34">
        <v>2.3785236560114398</v>
      </c>
      <c r="Z174" s="34">
        <v>2.3671688951772398</v>
      </c>
      <c r="AA174" s="34">
        <v>2.3663353252141199</v>
      </c>
      <c r="AB174" s="33">
        <v>166.496655920801</v>
      </c>
      <c r="AC174" s="33">
        <v>165.68595890218899</v>
      </c>
      <c r="AD174" s="33">
        <v>165.64401920309399</v>
      </c>
      <c r="AE174" s="15">
        <v>5.0377294889317496E-3</v>
      </c>
      <c r="AF174" s="15">
        <v>1.5668760426939399E-4</v>
      </c>
      <c r="AG174" s="15">
        <v>-9.6472098082069004E-5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3.0922892455098809E-3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1.4560148840855325E-2</v>
      </c>
      <c r="BE174" s="29">
        <f t="shared" si="62"/>
        <v>0</v>
      </c>
      <c r="BF174" s="29">
        <f t="shared" si="63"/>
        <v>1.765243808636521E-2</v>
      </c>
      <c r="BH174" s="29"/>
    </row>
    <row r="175" spans="1:60" x14ac:dyDescent="0.25">
      <c r="A175" s="1">
        <v>46276</v>
      </c>
      <c r="B175" s="33">
        <v>69.92</v>
      </c>
      <c r="C175" s="33">
        <v>165.36</v>
      </c>
      <c r="D175" s="15">
        <v>-1.1435107020789301E-3</v>
      </c>
      <c r="E175" s="15">
        <v>-1.8125797966051199E-3</v>
      </c>
      <c r="F175" s="33">
        <v>0</v>
      </c>
      <c r="G175" s="33">
        <v>0.35818</v>
      </c>
      <c r="H175" s="33">
        <v>0</v>
      </c>
      <c r="I175" s="33">
        <v>1.2509299999999901</v>
      </c>
      <c r="J175" s="33">
        <v>0</v>
      </c>
      <c r="K175" s="33">
        <v>0</v>
      </c>
      <c r="L175" s="33">
        <v>69.92</v>
      </c>
      <c r="M175" s="33">
        <v>165.36</v>
      </c>
      <c r="N175" s="34">
        <v>2.3649885583524002</v>
      </c>
      <c r="O175" s="34">
        <v>2.3788372149221799</v>
      </c>
      <c r="P175" s="34">
        <v>2.36742928206026</v>
      </c>
      <c r="Q175" s="34">
        <v>2.3661907157248998</v>
      </c>
      <c r="R175" s="33">
        <v>166.32829806735799</v>
      </c>
      <c r="S175" s="33">
        <v>165.512449150793</v>
      </c>
      <c r="T175" s="33">
        <v>165.45416593897099</v>
      </c>
      <c r="U175" s="15">
        <v>5.8386191115591696E-3</v>
      </c>
      <c r="V175" s="15">
        <v>9.2149806955594096E-4</v>
      </c>
      <c r="W175" s="15">
        <v>5.6929812088014995E-4</v>
      </c>
      <c r="X175" s="34">
        <v>2.3649885583524002</v>
      </c>
      <c r="Y175" s="34">
        <v>2.3785236560114398</v>
      </c>
      <c r="Z175" s="34">
        <v>2.36742928206026</v>
      </c>
      <c r="AA175" s="34">
        <v>2.3661907157248998</v>
      </c>
      <c r="AB175" s="33">
        <v>166.30637402831999</v>
      </c>
      <c r="AC175" s="33">
        <v>165.512449150793</v>
      </c>
      <c r="AD175" s="33">
        <v>165.45416593897099</v>
      </c>
      <c r="AE175" s="15">
        <v>5.7067985834580301E-3</v>
      </c>
      <c r="AF175" s="15">
        <v>9.2149806955594096E-4</v>
      </c>
      <c r="AG175" s="15">
        <v>5.6929812088037199E-4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3.0922892455098809E-3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1.4560148840855325E-2</v>
      </c>
      <c r="BE175" s="29">
        <f t="shared" si="62"/>
        <v>0</v>
      </c>
      <c r="BF175" s="29">
        <f t="shared" si="63"/>
        <v>1.765243808636521E-2</v>
      </c>
      <c r="BH175" s="29"/>
    </row>
    <row r="176" spans="1:60" x14ac:dyDescent="0.25">
      <c r="A176" s="1">
        <v>46279</v>
      </c>
      <c r="B176" s="33">
        <v>70.87</v>
      </c>
      <c r="C176" s="33">
        <v>167.75</v>
      </c>
      <c r="D176" s="15">
        <v>1.3495481474884699E-2</v>
      </c>
      <c r="E176" s="15">
        <v>1.43498604782783E-2</v>
      </c>
      <c r="F176" s="33">
        <v>0</v>
      </c>
      <c r="G176" s="33">
        <v>0.35818</v>
      </c>
      <c r="H176" s="33">
        <v>0</v>
      </c>
      <c r="I176" s="33">
        <v>1.2509299999999901</v>
      </c>
      <c r="J176" s="33">
        <v>0</v>
      </c>
      <c r="K176" s="33">
        <v>0</v>
      </c>
      <c r="L176" s="33">
        <v>70.87</v>
      </c>
      <c r="M176" s="33">
        <v>167.75</v>
      </c>
      <c r="N176" s="34">
        <v>2.3670100183434402</v>
      </c>
      <c r="O176" s="34">
        <v>2.3788372149221799</v>
      </c>
      <c r="P176" s="34">
        <v>2.3674271999504701</v>
      </c>
      <c r="Q176" s="34">
        <v>2.3660911104849598</v>
      </c>
      <c r="R176" s="33">
        <v>168.58819342153501</v>
      </c>
      <c r="S176" s="33">
        <v>167.77971321960999</v>
      </c>
      <c r="T176" s="33">
        <v>167.69193602342401</v>
      </c>
      <c r="U176" s="15">
        <v>4.9842401081654697E-3</v>
      </c>
      <c r="V176" s="15">
        <v>1.7711230044837101E-4</v>
      </c>
      <c r="W176" s="15">
        <v>-3.4619390672456301E-4</v>
      </c>
      <c r="X176" s="34">
        <v>2.3670100183434402</v>
      </c>
      <c r="Y176" s="34">
        <v>2.3785236560114398</v>
      </c>
      <c r="Z176" s="34">
        <v>2.3674271999504701</v>
      </c>
      <c r="AA176" s="34">
        <v>2.3660911104849598</v>
      </c>
      <c r="AB176" s="33">
        <v>168.56597150153101</v>
      </c>
      <c r="AC176" s="33">
        <v>167.77971321960999</v>
      </c>
      <c r="AD176" s="33">
        <v>167.69193602342401</v>
      </c>
      <c r="AE176" s="15">
        <v>4.8524195800641896E-3</v>
      </c>
      <c r="AF176" s="15">
        <v>1.7711230044837101E-4</v>
      </c>
      <c r="AG176" s="15">
        <v>-3.4619390672433999E-4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3.0922892455098809E-3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1.4560148840855325E-2</v>
      </c>
      <c r="BE176" s="29">
        <f t="shared" si="62"/>
        <v>0</v>
      </c>
      <c r="BF176" s="29">
        <f t="shared" si="63"/>
        <v>1.765243808636521E-2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2026-09-21T20:02:36Z</dcterms:created>
  <dcterms:modified xsi:type="dcterms:W3CDTF">2026-09-21T20:08:33Z</dcterms:modified>
</cp:coreProperties>
</file>