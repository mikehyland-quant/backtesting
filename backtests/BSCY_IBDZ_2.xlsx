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97D5DCF3-FF60-4E91-BE13-EFD8A19E3583}" xr6:coauthVersionLast="47" xr6:coauthVersionMax="47" xr10:uidLastSave="{00000000-0000-0000-0000-000000000000}"/>
  <bookViews>
    <workbookView xWindow="-105" yWindow="1905" windowWidth="28440" windowHeight="12225" xr2:uid="{5E4C94E6-05A0-4D27-AE69-139C1CCF1769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Y175" i="1" s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X172" i="1"/>
  <c r="AV172" i="1"/>
  <c r="AU172" i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X169" i="1"/>
  <c r="AV169" i="1"/>
  <c r="AU169" i="1"/>
  <c r="AM169" i="1"/>
  <c r="AK169" i="1"/>
  <c r="AJ169" i="1"/>
  <c r="AN170" i="1" s="1"/>
  <c r="AX168" i="1"/>
  <c r="AV168" i="1"/>
  <c r="AU168" i="1"/>
  <c r="AY169" i="1" s="1"/>
  <c r="AM168" i="1"/>
  <c r="AK168" i="1"/>
  <c r="AJ168" i="1"/>
  <c r="AX167" i="1"/>
  <c r="AV167" i="1"/>
  <c r="AU167" i="1"/>
  <c r="AY168" i="1" s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N166" i="1" s="1"/>
  <c r="AX164" i="1"/>
  <c r="AV164" i="1"/>
  <c r="AU164" i="1"/>
  <c r="AM164" i="1"/>
  <c r="AK164" i="1"/>
  <c r="AJ164" i="1"/>
  <c r="AN165" i="1" s="1"/>
  <c r="AX163" i="1"/>
  <c r="AV163" i="1"/>
  <c r="AU163" i="1"/>
  <c r="AM163" i="1"/>
  <c r="AK163" i="1"/>
  <c r="AJ163" i="1"/>
  <c r="AN164" i="1" s="1"/>
  <c r="AX162" i="1"/>
  <c r="AV162" i="1"/>
  <c r="AU162" i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X154" i="1"/>
  <c r="AV154" i="1"/>
  <c r="AU154" i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X146" i="1"/>
  <c r="AV146" i="1"/>
  <c r="AU146" i="1"/>
  <c r="AY147" i="1" s="1"/>
  <c r="AM146" i="1"/>
  <c r="AK146" i="1"/>
  <c r="AJ146" i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M143" i="1"/>
  <c r="AK143" i="1"/>
  <c r="AJ143" i="1"/>
  <c r="AN144" i="1" s="1"/>
  <c r="AX142" i="1"/>
  <c r="AV142" i="1"/>
  <c r="AU142" i="1"/>
  <c r="AM142" i="1"/>
  <c r="AK142" i="1"/>
  <c r="AJ142" i="1"/>
  <c r="AN143" i="1" s="1"/>
  <c r="AX141" i="1"/>
  <c r="AV141" i="1"/>
  <c r="AU141" i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X139" i="1"/>
  <c r="AV139" i="1"/>
  <c r="AU139" i="1"/>
  <c r="AY140" i="1" s="1"/>
  <c r="AM139" i="1"/>
  <c r="AK139" i="1"/>
  <c r="AJ139" i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X136" i="1"/>
  <c r="AV136" i="1"/>
  <c r="AU136" i="1"/>
  <c r="AY137" i="1" s="1"/>
  <c r="AM136" i="1"/>
  <c r="AK136" i="1"/>
  <c r="AJ136" i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Y134" i="1" s="1"/>
  <c r="AM133" i="1"/>
  <c r="AK133" i="1"/>
  <c r="AJ133" i="1"/>
  <c r="AX132" i="1"/>
  <c r="AV132" i="1"/>
  <c r="AU132" i="1"/>
  <c r="AY133" i="1" s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Y118" i="1" s="1"/>
  <c r="AM117" i="1"/>
  <c r="AK117" i="1"/>
  <c r="AJ117" i="1"/>
  <c r="AX116" i="1"/>
  <c r="AV116" i="1"/>
  <c r="AU116" i="1"/>
  <c r="AM116" i="1"/>
  <c r="AK116" i="1"/>
  <c r="AJ116" i="1"/>
  <c r="AN117" i="1" s="1"/>
  <c r="AX115" i="1"/>
  <c r="AV115" i="1"/>
  <c r="AU115" i="1"/>
  <c r="AY116" i="1" s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M109" i="1"/>
  <c r="AK109" i="1"/>
  <c r="AJ109" i="1"/>
  <c r="AN110" i="1" s="1"/>
  <c r="AX108" i="1"/>
  <c r="AV108" i="1"/>
  <c r="AU108" i="1"/>
  <c r="AY109" i="1" s="1"/>
  <c r="AM108" i="1"/>
  <c r="AK108" i="1"/>
  <c r="AJ108" i="1"/>
  <c r="AX107" i="1"/>
  <c r="AV107" i="1"/>
  <c r="AU107" i="1"/>
  <c r="AM107" i="1"/>
  <c r="AK107" i="1"/>
  <c r="AJ107" i="1"/>
  <c r="AN108" i="1" s="1"/>
  <c r="AX106" i="1"/>
  <c r="AV106" i="1"/>
  <c r="AU106" i="1"/>
  <c r="AY107" i="1" s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M103" i="1"/>
  <c r="AK103" i="1"/>
  <c r="AJ103" i="1"/>
  <c r="AN104" i="1" s="1"/>
  <c r="AX102" i="1"/>
  <c r="AV102" i="1"/>
  <c r="AU102" i="1"/>
  <c r="AM102" i="1"/>
  <c r="AK102" i="1"/>
  <c r="AJ102" i="1"/>
  <c r="AN103" i="1" s="1"/>
  <c r="AX101" i="1"/>
  <c r="AV101" i="1"/>
  <c r="AU101" i="1"/>
  <c r="AY102" i="1" s="1"/>
  <c r="AM101" i="1"/>
  <c r="AK101" i="1"/>
  <c r="AJ101" i="1"/>
  <c r="AX100" i="1"/>
  <c r="AV100" i="1"/>
  <c r="AU100" i="1"/>
  <c r="AY101" i="1" s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M97" i="1"/>
  <c r="AK97" i="1"/>
  <c r="AJ97" i="1"/>
  <c r="AN98" i="1" s="1"/>
  <c r="AX96" i="1"/>
  <c r="AV96" i="1"/>
  <c r="AU96" i="1"/>
  <c r="AM96" i="1"/>
  <c r="AK96" i="1"/>
  <c r="AJ96" i="1"/>
  <c r="AN97" i="1" s="1"/>
  <c r="AX95" i="1"/>
  <c r="AV95" i="1"/>
  <c r="AU95" i="1"/>
  <c r="AM95" i="1"/>
  <c r="AK95" i="1"/>
  <c r="AJ95" i="1"/>
  <c r="AN96" i="1" s="1"/>
  <c r="AX94" i="1"/>
  <c r="AV94" i="1"/>
  <c r="AU94" i="1"/>
  <c r="AY95" i="1" s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M92" i="1"/>
  <c r="AK92" i="1"/>
  <c r="AJ92" i="1"/>
  <c r="AN93" i="1" s="1"/>
  <c r="AX91" i="1"/>
  <c r="AV91" i="1"/>
  <c r="AU91" i="1"/>
  <c r="AY92" i="1" s="1"/>
  <c r="AM91" i="1"/>
  <c r="AK91" i="1"/>
  <c r="AJ91" i="1"/>
  <c r="AX90" i="1"/>
  <c r="AV90" i="1"/>
  <c r="AU90" i="1"/>
  <c r="AM90" i="1"/>
  <c r="AK90" i="1"/>
  <c r="AJ90" i="1"/>
  <c r="AN91" i="1" s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Y88" i="1" s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Y86" i="1" s="1"/>
  <c r="AM85" i="1"/>
  <c r="AK85" i="1"/>
  <c r="AJ85" i="1"/>
  <c r="AX84" i="1"/>
  <c r="AV84" i="1"/>
  <c r="AU84" i="1"/>
  <c r="AM84" i="1"/>
  <c r="AK84" i="1"/>
  <c r="AJ84" i="1"/>
  <c r="AN85" i="1" s="1"/>
  <c r="AX83" i="1"/>
  <c r="AV83" i="1"/>
  <c r="AU83" i="1"/>
  <c r="AY84" i="1" s="1"/>
  <c r="AM83" i="1"/>
  <c r="AK83" i="1"/>
  <c r="AJ83" i="1"/>
  <c r="AX82" i="1"/>
  <c r="AV82" i="1"/>
  <c r="AU82" i="1"/>
  <c r="AY83" i="1" s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M79" i="1"/>
  <c r="AK79" i="1"/>
  <c r="AJ79" i="1"/>
  <c r="AN80" i="1" s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N78" i="1" s="1"/>
  <c r="AX76" i="1"/>
  <c r="AV76" i="1"/>
  <c r="AU76" i="1"/>
  <c r="AM76" i="1"/>
  <c r="AK76" i="1"/>
  <c r="AJ76" i="1"/>
  <c r="AN77" i="1" s="1"/>
  <c r="AX75" i="1"/>
  <c r="AV75" i="1"/>
  <c r="AU75" i="1"/>
  <c r="AY76" i="1" s="1"/>
  <c r="AM75" i="1"/>
  <c r="AK75" i="1"/>
  <c r="AJ75" i="1"/>
  <c r="AX74" i="1"/>
  <c r="AV74" i="1"/>
  <c r="AU74" i="1"/>
  <c r="AY75" i="1" s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Y73" i="1" s="1"/>
  <c r="AM72" i="1"/>
  <c r="AK72" i="1"/>
  <c r="AJ72" i="1"/>
  <c r="AX71" i="1"/>
  <c r="AV71" i="1"/>
  <c r="AU71" i="1"/>
  <c r="AY72" i="1" s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M68" i="1"/>
  <c r="AK68" i="1"/>
  <c r="AJ68" i="1"/>
  <c r="AN69" i="1" s="1"/>
  <c r="AX67" i="1"/>
  <c r="AV67" i="1"/>
  <c r="AU67" i="1"/>
  <c r="AY68" i="1" s="1"/>
  <c r="AM67" i="1"/>
  <c r="AK67" i="1"/>
  <c r="AJ67" i="1"/>
  <c r="AX66" i="1"/>
  <c r="AV66" i="1"/>
  <c r="AU66" i="1"/>
  <c r="AY67" i="1" s="1"/>
  <c r="AM66" i="1"/>
  <c r="AK66" i="1"/>
  <c r="AJ66" i="1"/>
  <c r="AN67" i="1" s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Y64" i="1" s="1"/>
  <c r="AM63" i="1"/>
  <c r="AK63" i="1"/>
  <c r="AJ63" i="1"/>
  <c r="AX62" i="1"/>
  <c r="AV62" i="1"/>
  <c r="AU62" i="1"/>
  <c r="AM62" i="1"/>
  <c r="AK62" i="1"/>
  <c r="AJ62" i="1"/>
  <c r="AN63" i="1" s="1"/>
  <c r="AX61" i="1"/>
  <c r="AV61" i="1"/>
  <c r="AU61" i="1"/>
  <c r="AY62" i="1" s="1"/>
  <c r="AM61" i="1"/>
  <c r="AK61" i="1"/>
  <c r="AJ61" i="1"/>
  <c r="AX60" i="1"/>
  <c r="AV60" i="1"/>
  <c r="AU60" i="1"/>
  <c r="AY61" i="1" s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M57" i="1"/>
  <c r="AK57" i="1"/>
  <c r="AJ57" i="1"/>
  <c r="AN58" i="1" s="1"/>
  <c r="AX56" i="1"/>
  <c r="AV56" i="1"/>
  <c r="AU56" i="1"/>
  <c r="AM56" i="1"/>
  <c r="AK56" i="1"/>
  <c r="AJ56" i="1"/>
  <c r="AN57" i="1" s="1"/>
  <c r="AX55" i="1"/>
  <c r="AV55" i="1"/>
  <c r="AU55" i="1"/>
  <c r="AY56" i="1" s="1"/>
  <c r="AM55" i="1"/>
  <c r="AK55" i="1"/>
  <c r="AJ55" i="1"/>
  <c r="AX54" i="1"/>
  <c r="AV54" i="1"/>
  <c r="AU54" i="1"/>
  <c r="AY55" i="1" s="1"/>
  <c r="AM54" i="1"/>
  <c r="AK54" i="1"/>
  <c r="AJ54" i="1"/>
  <c r="AX53" i="1"/>
  <c r="AV53" i="1"/>
  <c r="AU53" i="1"/>
  <c r="AY54" i="1" s="1"/>
  <c r="AM53" i="1"/>
  <c r="AK53" i="1"/>
  <c r="AJ53" i="1"/>
  <c r="AN54" i="1" s="1"/>
  <c r="AX52" i="1"/>
  <c r="AV52" i="1"/>
  <c r="AU52" i="1"/>
  <c r="AY53" i="1" s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Y50" i="1" s="1"/>
  <c r="AM49" i="1"/>
  <c r="AK49" i="1"/>
  <c r="AJ49" i="1"/>
  <c r="AX48" i="1"/>
  <c r="AV48" i="1"/>
  <c r="AU48" i="1"/>
  <c r="AY49" i="1" s="1"/>
  <c r="AM48" i="1"/>
  <c r="AK48" i="1"/>
  <c r="AJ48" i="1"/>
  <c r="AX47" i="1"/>
  <c r="AV47" i="1"/>
  <c r="AU47" i="1"/>
  <c r="AY48" i="1" s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Y46" i="1" s="1"/>
  <c r="AM45" i="1"/>
  <c r="AK45" i="1"/>
  <c r="AJ45" i="1"/>
  <c r="AX44" i="1"/>
  <c r="AV44" i="1"/>
  <c r="AU44" i="1"/>
  <c r="AY45" i="1" s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M42" i="1"/>
  <c r="AK42" i="1"/>
  <c r="AJ42" i="1"/>
  <c r="AN43" i="1" s="1"/>
  <c r="AX41" i="1"/>
  <c r="AV41" i="1"/>
  <c r="AU41" i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Y40" i="1" s="1"/>
  <c r="AM39" i="1"/>
  <c r="AK39" i="1"/>
  <c r="AJ39" i="1"/>
  <c r="AX38" i="1"/>
  <c r="AV38" i="1"/>
  <c r="AU38" i="1"/>
  <c r="AY39" i="1" s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Y37" i="1" s="1"/>
  <c r="AM36" i="1"/>
  <c r="AK36" i="1"/>
  <c r="AJ36" i="1"/>
  <c r="AX35" i="1"/>
  <c r="AV35" i="1"/>
  <c r="AU35" i="1"/>
  <c r="AM35" i="1"/>
  <c r="AK35" i="1"/>
  <c r="AJ35" i="1"/>
  <c r="AN36" i="1" s="1"/>
  <c r="AX34" i="1"/>
  <c r="AV34" i="1"/>
  <c r="AU34" i="1"/>
  <c r="AM34" i="1"/>
  <c r="AK34" i="1"/>
  <c r="AJ34" i="1"/>
  <c r="AN35" i="1" s="1"/>
  <c r="AX33" i="1"/>
  <c r="AV33" i="1"/>
  <c r="AU33" i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Y31" i="1" s="1"/>
  <c r="AM30" i="1"/>
  <c r="AK30" i="1"/>
  <c r="AJ30" i="1"/>
  <c r="AX29" i="1"/>
  <c r="AV29" i="1"/>
  <c r="AU29" i="1"/>
  <c r="AM29" i="1"/>
  <c r="AK29" i="1"/>
  <c r="AJ29" i="1"/>
  <c r="AN30" i="1" s="1"/>
  <c r="AX28" i="1"/>
  <c r="AV28" i="1"/>
  <c r="AU28" i="1"/>
  <c r="AY29" i="1" s="1"/>
  <c r="AM28" i="1"/>
  <c r="AK28" i="1"/>
  <c r="AJ28" i="1"/>
  <c r="AX27" i="1"/>
  <c r="AV27" i="1"/>
  <c r="AU27" i="1"/>
  <c r="AY28" i="1" s="1"/>
  <c r="AM27" i="1"/>
  <c r="AK27" i="1"/>
  <c r="AJ27" i="1"/>
  <c r="AX26" i="1"/>
  <c r="AV26" i="1"/>
  <c r="AU26" i="1"/>
  <c r="AY27" i="1" s="1"/>
  <c r="AM26" i="1"/>
  <c r="AK26" i="1"/>
  <c r="AJ26" i="1"/>
  <c r="AX25" i="1"/>
  <c r="AV25" i="1"/>
  <c r="AU25" i="1"/>
  <c r="AY26" i="1" s="1"/>
  <c r="AM25" i="1"/>
  <c r="AK25" i="1"/>
  <c r="AJ25" i="1"/>
  <c r="AX24" i="1"/>
  <c r="AV24" i="1"/>
  <c r="AU24" i="1"/>
  <c r="AY25" i="1" s="1"/>
  <c r="AW25" i="1" s="1"/>
  <c r="AM24" i="1"/>
  <c r="AK24" i="1"/>
  <c r="AJ24" i="1"/>
  <c r="AX23" i="1"/>
  <c r="AV23" i="1"/>
  <c r="AU23" i="1"/>
  <c r="AY24" i="1" s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63" i="1" l="1"/>
  <c r="AN155" i="1"/>
  <c r="AN79" i="1"/>
  <c r="AN132" i="1"/>
  <c r="AN127" i="1"/>
  <c r="AN52" i="1"/>
  <c r="AN42" i="1"/>
  <c r="AN38" i="1"/>
  <c r="AN153" i="1"/>
  <c r="AN102" i="1"/>
  <c r="AN34" i="1"/>
  <c r="AY152" i="1"/>
  <c r="AZ176" i="1"/>
  <c r="BA176" i="1"/>
  <c r="AW176" i="1"/>
  <c r="AZ175" i="1"/>
  <c r="BA175" i="1"/>
  <c r="AW175" i="1"/>
  <c r="AO175" i="1"/>
  <c r="AP175" i="1"/>
  <c r="AL175" i="1"/>
  <c r="AN176" i="1" s="1"/>
  <c r="AZ174" i="1"/>
  <c r="BA174" i="1"/>
  <c r="AW174" i="1"/>
  <c r="AO173" i="1"/>
  <c r="AP173" i="1"/>
  <c r="AL173" i="1"/>
  <c r="AN174" i="1" s="1"/>
  <c r="AZ172" i="1"/>
  <c r="BA172" i="1"/>
  <c r="AW172" i="1"/>
  <c r="AY173" i="1" s="1"/>
  <c r="AW171" i="1"/>
  <c r="AZ171" i="1"/>
  <c r="BA171" i="1"/>
  <c r="AP170" i="1"/>
  <c r="AL170" i="1"/>
  <c r="AN171" i="1" s="1"/>
  <c r="AO170" i="1"/>
  <c r="AQ170" i="1" s="1"/>
  <c r="BA169" i="1"/>
  <c r="AW169" i="1"/>
  <c r="AY170" i="1" s="1"/>
  <c r="AZ169" i="1"/>
  <c r="BB169" i="1" s="1"/>
  <c r="BA168" i="1"/>
  <c r="AW168" i="1"/>
  <c r="AZ168" i="1"/>
  <c r="BB168" i="1" s="1"/>
  <c r="BA167" i="1"/>
  <c r="AW167" i="1"/>
  <c r="AZ167" i="1"/>
  <c r="BB167" i="1" s="1"/>
  <c r="BA166" i="1"/>
  <c r="AW166" i="1"/>
  <c r="AZ166" i="1"/>
  <c r="BB166" i="1" s="1"/>
  <c r="AP166" i="1"/>
  <c r="AL166" i="1"/>
  <c r="AN167" i="1" s="1"/>
  <c r="AO166" i="1"/>
  <c r="AQ166" i="1" s="1"/>
  <c r="BE166" i="1" s="1"/>
  <c r="AO165" i="1"/>
  <c r="AL165" i="1"/>
  <c r="AP165" i="1"/>
  <c r="AO164" i="1"/>
  <c r="AL164" i="1"/>
  <c r="AP164" i="1"/>
  <c r="AP163" i="1"/>
  <c r="AO163" i="1"/>
  <c r="AQ163" i="1" s="1"/>
  <c r="AL163" i="1"/>
  <c r="AW162" i="1"/>
  <c r="AY163" i="1" s="1"/>
  <c r="AZ162" i="1"/>
  <c r="BA162" i="1"/>
  <c r="AP161" i="1"/>
  <c r="AL161" i="1"/>
  <c r="AN162" i="1" s="1"/>
  <c r="AO161" i="1"/>
  <c r="AQ161" i="1" s="1"/>
  <c r="AW160" i="1"/>
  <c r="AY161" i="1" s="1"/>
  <c r="AZ160" i="1"/>
  <c r="BA160" i="1"/>
  <c r="AZ159" i="1"/>
  <c r="BA159" i="1"/>
  <c r="AW159" i="1"/>
  <c r="BA158" i="1"/>
  <c r="AW158" i="1"/>
  <c r="AZ158" i="1"/>
  <c r="BB158" i="1" s="1"/>
  <c r="AP157" i="1"/>
  <c r="AL157" i="1"/>
  <c r="AN158" i="1" s="1"/>
  <c r="AO157" i="1"/>
  <c r="AQ157" i="1" s="1"/>
  <c r="AZ156" i="1"/>
  <c r="BA156" i="1"/>
  <c r="AW156" i="1"/>
  <c r="AY157" i="1" s="1"/>
  <c r="AL155" i="1"/>
  <c r="AN156" i="1" s="1"/>
  <c r="AO155" i="1"/>
  <c r="AP155" i="1"/>
  <c r="AZ154" i="1"/>
  <c r="AW154" i="1"/>
  <c r="AY155" i="1" s="1"/>
  <c r="BA154" i="1"/>
  <c r="AW153" i="1"/>
  <c r="BA153" i="1"/>
  <c r="AZ153" i="1"/>
  <c r="BB153" i="1" s="1"/>
  <c r="AP153" i="1"/>
  <c r="AL153" i="1"/>
  <c r="AN154" i="1" s="1"/>
  <c r="AO153" i="1"/>
  <c r="AQ153" i="1" s="1"/>
  <c r="BE153" i="1" s="1"/>
  <c r="AW152" i="1"/>
  <c r="AZ152" i="1"/>
  <c r="BB152" i="1" s="1"/>
  <c r="BA152" i="1"/>
  <c r="AZ151" i="1"/>
  <c r="AW151" i="1"/>
  <c r="BA151" i="1"/>
  <c r="BA150" i="1"/>
  <c r="AW150" i="1"/>
  <c r="AZ150" i="1"/>
  <c r="BB150" i="1" s="1"/>
  <c r="BA149" i="1"/>
  <c r="AW149" i="1"/>
  <c r="AZ149" i="1"/>
  <c r="BB149" i="1" s="1"/>
  <c r="BA148" i="1"/>
  <c r="AZ148" i="1"/>
  <c r="AW148" i="1"/>
  <c r="BA147" i="1"/>
  <c r="AW147" i="1"/>
  <c r="AZ147" i="1"/>
  <c r="BB147" i="1" s="1"/>
  <c r="BA146" i="1"/>
  <c r="AZ146" i="1"/>
  <c r="BB146" i="1" s="1"/>
  <c r="AW146" i="1"/>
  <c r="AZ145" i="1"/>
  <c r="BA145" i="1"/>
  <c r="AW145" i="1"/>
  <c r="AL144" i="1"/>
  <c r="AN145" i="1" s="1"/>
  <c r="AO144" i="1"/>
  <c r="AP144" i="1"/>
  <c r="AO143" i="1"/>
  <c r="AL143" i="1"/>
  <c r="AP143" i="1"/>
  <c r="AP142" i="1"/>
  <c r="AL142" i="1"/>
  <c r="AO142" i="1"/>
  <c r="AQ142" i="1" s="1"/>
  <c r="AW141" i="1"/>
  <c r="AY142" i="1" s="1"/>
  <c r="AZ141" i="1"/>
  <c r="BA141" i="1"/>
  <c r="AZ140" i="1"/>
  <c r="BB140" i="1" s="1"/>
  <c r="BA140" i="1"/>
  <c r="AW140" i="1"/>
  <c r="BA139" i="1"/>
  <c r="AZ139" i="1"/>
  <c r="BB139" i="1" s="1"/>
  <c r="AW139" i="1"/>
  <c r="AZ138" i="1"/>
  <c r="AW138" i="1"/>
  <c r="BA138" i="1"/>
  <c r="BA137" i="1"/>
  <c r="AZ137" i="1"/>
  <c r="BB137" i="1" s="1"/>
  <c r="AW137" i="1"/>
  <c r="BA136" i="1"/>
  <c r="AZ136" i="1"/>
  <c r="BB136" i="1" s="1"/>
  <c r="AW136" i="1"/>
  <c r="AZ135" i="1"/>
  <c r="BB135" i="1" s="1"/>
  <c r="BA135" i="1"/>
  <c r="AW135" i="1"/>
  <c r="AZ134" i="1"/>
  <c r="BA134" i="1"/>
  <c r="AW134" i="1"/>
  <c r="AW133" i="1"/>
  <c r="AZ133" i="1"/>
  <c r="BA133" i="1"/>
  <c r="AL132" i="1"/>
  <c r="AN133" i="1" s="1"/>
  <c r="AP132" i="1"/>
  <c r="AO132" i="1"/>
  <c r="AQ132" i="1" s="1"/>
  <c r="AW131" i="1"/>
  <c r="AY132" i="1" s="1"/>
  <c r="AZ131" i="1"/>
  <c r="BA131" i="1"/>
  <c r="AW130" i="1"/>
  <c r="AZ130" i="1"/>
  <c r="BA130" i="1"/>
  <c r="BA129" i="1"/>
  <c r="AZ129" i="1"/>
  <c r="BB129" i="1" s="1"/>
  <c r="AW129" i="1"/>
  <c r="AZ128" i="1"/>
  <c r="AW128" i="1"/>
  <c r="BA128" i="1"/>
  <c r="AO127" i="1"/>
  <c r="AL127" i="1"/>
  <c r="AN128" i="1" s="1"/>
  <c r="AP127" i="1"/>
  <c r="BA126" i="1"/>
  <c r="AW126" i="1"/>
  <c r="AY127" i="1" s="1"/>
  <c r="AZ126" i="1"/>
  <c r="BB126" i="1" s="1"/>
  <c r="AZ125" i="1"/>
  <c r="BA125" i="1"/>
  <c r="AW125" i="1"/>
  <c r="BA124" i="1"/>
  <c r="AW124" i="1"/>
  <c r="AZ124" i="1"/>
  <c r="BB124" i="1" s="1"/>
  <c r="BA123" i="1"/>
  <c r="AW123" i="1"/>
  <c r="AZ123" i="1"/>
  <c r="BB123" i="1" s="1"/>
  <c r="AZ122" i="1"/>
  <c r="AW122" i="1"/>
  <c r="BA122" i="1"/>
  <c r="AO121" i="1"/>
  <c r="AL121" i="1"/>
  <c r="AN122" i="1" s="1"/>
  <c r="AP121" i="1"/>
  <c r="AW120" i="1"/>
  <c r="AY121" i="1" s="1"/>
  <c r="AZ120" i="1"/>
  <c r="BA120" i="1"/>
  <c r="AW119" i="1"/>
  <c r="AZ119" i="1"/>
  <c r="BA119" i="1"/>
  <c r="AZ118" i="1"/>
  <c r="AW118" i="1"/>
  <c r="BA118" i="1"/>
  <c r="AP117" i="1"/>
  <c r="AL117" i="1"/>
  <c r="AN118" i="1" s="1"/>
  <c r="AO117" i="1"/>
  <c r="AQ117" i="1" s="1"/>
  <c r="BA116" i="1"/>
  <c r="AW116" i="1"/>
  <c r="AY117" i="1" s="1"/>
  <c r="AZ116" i="1"/>
  <c r="BB116" i="1" s="1"/>
  <c r="AW115" i="1"/>
  <c r="BA115" i="1"/>
  <c r="AZ115" i="1"/>
  <c r="BB115" i="1" s="1"/>
  <c r="AW114" i="1"/>
  <c r="BA114" i="1"/>
  <c r="AZ114" i="1"/>
  <c r="BB114" i="1" s="1"/>
  <c r="AO113" i="1"/>
  <c r="AL113" i="1"/>
  <c r="AN114" i="1" s="1"/>
  <c r="AP113" i="1"/>
  <c r="AW112" i="1"/>
  <c r="AY113" i="1" s="1"/>
  <c r="BA112" i="1"/>
  <c r="AZ112" i="1"/>
  <c r="BB112" i="1" s="1"/>
  <c r="BA111" i="1"/>
  <c r="AW111" i="1"/>
  <c r="AZ111" i="1"/>
  <c r="BB111" i="1" s="1"/>
  <c r="AP110" i="1"/>
  <c r="AL110" i="1"/>
  <c r="AN111" i="1" s="1"/>
  <c r="AO110" i="1"/>
  <c r="AQ110" i="1" s="1"/>
  <c r="AZ109" i="1"/>
  <c r="AW109" i="1"/>
  <c r="AY110" i="1" s="1"/>
  <c r="BA109" i="1"/>
  <c r="AP108" i="1"/>
  <c r="AL108" i="1"/>
  <c r="AN109" i="1" s="1"/>
  <c r="AO108" i="1"/>
  <c r="AQ108" i="1" s="1"/>
  <c r="BA107" i="1"/>
  <c r="AW107" i="1"/>
  <c r="AY108" i="1" s="1"/>
  <c r="AZ107" i="1"/>
  <c r="BB107" i="1" s="1"/>
  <c r="BA106" i="1"/>
  <c r="AW106" i="1"/>
  <c r="AZ106" i="1"/>
  <c r="BB106" i="1" s="1"/>
  <c r="AW105" i="1"/>
  <c r="AZ105" i="1"/>
  <c r="BB105" i="1" s="1"/>
  <c r="BA105" i="1"/>
  <c r="AP104" i="1"/>
  <c r="AL104" i="1"/>
  <c r="AN105" i="1" s="1"/>
  <c r="AO104" i="1"/>
  <c r="AQ104" i="1" s="1"/>
  <c r="AO103" i="1"/>
  <c r="AL103" i="1"/>
  <c r="AP103" i="1"/>
  <c r="AZ101" i="1"/>
  <c r="AW101" i="1"/>
  <c r="BA101" i="1"/>
  <c r="BA102" i="1"/>
  <c r="AZ102" i="1"/>
  <c r="BB102" i="1" s="1"/>
  <c r="AW102" i="1"/>
  <c r="AY103" i="1" s="1"/>
  <c r="AP102" i="1"/>
  <c r="AL102" i="1"/>
  <c r="AO102" i="1"/>
  <c r="AQ102" i="1" s="1"/>
  <c r="BE102" i="1" s="1"/>
  <c r="AZ100" i="1"/>
  <c r="BA100" i="1"/>
  <c r="AW100" i="1"/>
  <c r="AZ99" i="1"/>
  <c r="BA99" i="1"/>
  <c r="AW99" i="1"/>
  <c r="AO98" i="1"/>
  <c r="AP98" i="1"/>
  <c r="AL98" i="1"/>
  <c r="AN99" i="1" s="1"/>
  <c r="AO97" i="1"/>
  <c r="AP97" i="1"/>
  <c r="AL97" i="1"/>
  <c r="AO96" i="1"/>
  <c r="AP96" i="1"/>
  <c r="AL96" i="1"/>
  <c r="AZ95" i="1"/>
  <c r="BA95" i="1"/>
  <c r="AW95" i="1"/>
  <c r="AY96" i="1" s="1"/>
  <c r="AZ94" i="1"/>
  <c r="BA94" i="1"/>
  <c r="AW94" i="1"/>
  <c r="AO93" i="1"/>
  <c r="AP93" i="1"/>
  <c r="AL93" i="1"/>
  <c r="AN94" i="1" s="1"/>
  <c r="AZ92" i="1"/>
  <c r="BA92" i="1"/>
  <c r="AW92" i="1"/>
  <c r="AY93" i="1" s="1"/>
  <c r="AP91" i="1"/>
  <c r="AL91" i="1"/>
  <c r="AN92" i="1" s="1"/>
  <c r="AO91" i="1"/>
  <c r="AQ91" i="1" s="1"/>
  <c r="AW90" i="1"/>
  <c r="AY91" i="1" s="1"/>
  <c r="AZ90" i="1"/>
  <c r="BA90" i="1"/>
  <c r="BA89" i="1"/>
  <c r="AW89" i="1"/>
  <c r="AZ89" i="1"/>
  <c r="BB89" i="1" s="1"/>
  <c r="BA88" i="1"/>
  <c r="AZ88" i="1"/>
  <c r="BB88" i="1" s="1"/>
  <c r="AW88" i="1"/>
  <c r="AW87" i="1"/>
  <c r="AZ87" i="1"/>
  <c r="BA87" i="1"/>
  <c r="BA86" i="1"/>
  <c r="AW86" i="1"/>
  <c r="AZ86" i="1"/>
  <c r="BB86" i="1" s="1"/>
  <c r="AL85" i="1"/>
  <c r="AN86" i="1" s="1"/>
  <c r="AO85" i="1"/>
  <c r="AP85" i="1"/>
  <c r="AZ84" i="1"/>
  <c r="AW84" i="1"/>
  <c r="AY85" i="1" s="1"/>
  <c r="BA84" i="1"/>
  <c r="BA83" i="1"/>
  <c r="AW83" i="1"/>
  <c r="AZ83" i="1"/>
  <c r="BB83" i="1" s="1"/>
  <c r="AW82" i="1"/>
  <c r="AZ82" i="1"/>
  <c r="BA82" i="1"/>
  <c r="AZ81" i="1"/>
  <c r="BA81" i="1"/>
  <c r="AW81" i="1"/>
  <c r="AO80" i="1"/>
  <c r="AL80" i="1"/>
  <c r="AN81" i="1" s="1"/>
  <c r="AP80" i="1"/>
  <c r="AP79" i="1"/>
  <c r="AL79" i="1"/>
  <c r="AO79" i="1"/>
  <c r="AQ79" i="1" s="1"/>
  <c r="AO78" i="1"/>
  <c r="AL78" i="1"/>
  <c r="AP78" i="1"/>
  <c r="AO77" i="1"/>
  <c r="AL77" i="1"/>
  <c r="AP77" i="1"/>
  <c r="BA76" i="1"/>
  <c r="AW76" i="1"/>
  <c r="AY77" i="1" s="1"/>
  <c r="AZ76" i="1"/>
  <c r="BB76" i="1" s="1"/>
  <c r="AW75" i="1"/>
  <c r="BA75" i="1"/>
  <c r="AZ75" i="1"/>
  <c r="BB75" i="1" s="1"/>
  <c r="BA74" i="1"/>
  <c r="AW74" i="1"/>
  <c r="AZ74" i="1"/>
  <c r="BB74" i="1" s="1"/>
  <c r="BA73" i="1"/>
  <c r="AW73" i="1"/>
  <c r="AZ73" i="1"/>
  <c r="BB73" i="1" s="1"/>
  <c r="AW72" i="1"/>
  <c r="AZ72" i="1"/>
  <c r="BA72" i="1"/>
  <c r="AZ71" i="1"/>
  <c r="BA71" i="1"/>
  <c r="AW71" i="1"/>
  <c r="AZ70" i="1"/>
  <c r="AW70" i="1"/>
  <c r="BA70" i="1"/>
  <c r="AP69" i="1"/>
  <c r="AO69" i="1"/>
  <c r="AQ69" i="1" s="1"/>
  <c r="AL69" i="1"/>
  <c r="AN70" i="1" s="1"/>
  <c r="AW68" i="1"/>
  <c r="AY69" i="1" s="1"/>
  <c r="BA68" i="1"/>
  <c r="AZ68" i="1"/>
  <c r="BB68" i="1" s="1"/>
  <c r="AZ67" i="1"/>
  <c r="AW67" i="1"/>
  <c r="BA67" i="1"/>
  <c r="AO67" i="1"/>
  <c r="AL67" i="1"/>
  <c r="AN68" i="1" s="1"/>
  <c r="AP67" i="1"/>
  <c r="AP66" i="1"/>
  <c r="AL66" i="1"/>
  <c r="AO66" i="1"/>
  <c r="AQ66" i="1" s="1"/>
  <c r="AL65" i="1"/>
  <c r="AO65" i="1"/>
  <c r="AP65" i="1"/>
  <c r="AZ64" i="1"/>
  <c r="AW64" i="1"/>
  <c r="AY65" i="1" s="1"/>
  <c r="BA64" i="1"/>
  <c r="AO63" i="1"/>
  <c r="AP63" i="1"/>
  <c r="AL63" i="1"/>
  <c r="AN64" i="1" s="1"/>
  <c r="AZ62" i="1"/>
  <c r="BA62" i="1"/>
  <c r="AW62" i="1"/>
  <c r="AY63" i="1" s="1"/>
  <c r="AZ61" i="1"/>
  <c r="BA61" i="1"/>
  <c r="AW61" i="1"/>
  <c r="AZ60" i="1"/>
  <c r="BA60" i="1"/>
  <c r="AW60" i="1"/>
  <c r="AZ59" i="1"/>
  <c r="BA59" i="1"/>
  <c r="AW59" i="1"/>
  <c r="AO58" i="1"/>
  <c r="AP58" i="1"/>
  <c r="AL58" i="1"/>
  <c r="AN59" i="1" s="1"/>
  <c r="AO57" i="1"/>
  <c r="AP57" i="1"/>
  <c r="AL57" i="1"/>
  <c r="AZ56" i="1"/>
  <c r="BA56" i="1"/>
  <c r="AW56" i="1"/>
  <c r="AY57" i="1" s="1"/>
  <c r="AZ55" i="1"/>
  <c r="BA55" i="1"/>
  <c r="AW55" i="1"/>
  <c r="AZ54" i="1"/>
  <c r="BA54" i="1"/>
  <c r="AW54" i="1"/>
  <c r="AO54" i="1"/>
  <c r="AP54" i="1"/>
  <c r="AL54" i="1"/>
  <c r="AN55" i="1" s="1"/>
  <c r="AZ53" i="1"/>
  <c r="BA53" i="1"/>
  <c r="AW53" i="1"/>
  <c r="AO52" i="1"/>
  <c r="AP52" i="1"/>
  <c r="AL52" i="1"/>
  <c r="AN53" i="1" s="1"/>
  <c r="AZ51" i="1"/>
  <c r="BA51" i="1"/>
  <c r="AW51" i="1"/>
  <c r="AY52" i="1" s="1"/>
  <c r="AZ50" i="1"/>
  <c r="BA50" i="1"/>
  <c r="AW50" i="1"/>
  <c r="AZ49" i="1"/>
  <c r="BA49" i="1"/>
  <c r="AW49" i="1"/>
  <c r="AZ48" i="1"/>
  <c r="BA48" i="1"/>
  <c r="AW48" i="1"/>
  <c r="AZ47" i="1"/>
  <c r="BA47" i="1"/>
  <c r="AW47" i="1"/>
  <c r="AZ46" i="1"/>
  <c r="BA46" i="1"/>
  <c r="AW46" i="1"/>
  <c r="AZ45" i="1"/>
  <c r="BA45" i="1"/>
  <c r="AW45" i="1"/>
  <c r="AZ44" i="1"/>
  <c r="BA44" i="1"/>
  <c r="AW44" i="1"/>
  <c r="AO43" i="1"/>
  <c r="AP43" i="1"/>
  <c r="AL43" i="1"/>
  <c r="AN44" i="1" s="1"/>
  <c r="AO42" i="1"/>
  <c r="AP42" i="1"/>
  <c r="AL42" i="1"/>
  <c r="AZ41" i="1"/>
  <c r="BA41" i="1"/>
  <c r="AW41" i="1"/>
  <c r="AY42" i="1" s="1"/>
  <c r="AZ40" i="1"/>
  <c r="BA40" i="1"/>
  <c r="AW40" i="1"/>
  <c r="AZ39" i="1"/>
  <c r="BA39" i="1"/>
  <c r="AW39" i="1"/>
  <c r="AO38" i="1"/>
  <c r="AP38" i="1"/>
  <c r="AL38" i="1"/>
  <c r="AN39" i="1" s="1"/>
  <c r="AZ37" i="1"/>
  <c r="BA37" i="1"/>
  <c r="AW37" i="1"/>
  <c r="AY38" i="1" s="1"/>
  <c r="AO36" i="1"/>
  <c r="AP36" i="1"/>
  <c r="AL36" i="1"/>
  <c r="AN37" i="1" s="1"/>
  <c r="AO35" i="1"/>
  <c r="AP35" i="1"/>
  <c r="AL35" i="1"/>
  <c r="AO34" i="1"/>
  <c r="AP34" i="1"/>
  <c r="AL34" i="1"/>
  <c r="AZ33" i="1"/>
  <c r="BA33" i="1"/>
  <c r="AW33" i="1"/>
  <c r="AY34" i="1" s="1"/>
  <c r="AZ32" i="1"/>
  <c r="BA32" i="1"/>
  <c r="AW32" i="1"/>
  <c r="AZ31" i="1"/>
  <c r="BA31" i="1"/>
  <c r="AW31" i="1"/>
  <c r="AO30" i="1"/>
  <c r="AP30" i="1"/>
  <c r="AL30" i="1"/>
  <c r="AN31" i="1" s="1"/>
  <c r="AZ29" i="1"/>
  <c r="BA29" i="1"/>
  <c r="AW29" i="1"/>
  <c r="AY30" i="1" s="1"/>
  <c r="AZ28" i="1"/>
  <c r="BA28" i="1"/>
  <c r="AW28" i="1"/>
  <c r="AZ27" i="1"/>
  <c r="BA27" i="1"/>
  <c r="AW27" i="1"/>
  <c r="BA25" i="1"/>
  <c r="AZ25" i="1"/>
  <c r="BB25" i="1" s="1"/>
  <c r="AZ26" i="1"/>
  <c r="BA26" i="1"/>
  <c r="AW26" i="1"/>
  <c r="AZ24" i="1"/>
  <c r="BA24" i="1"/>
  <c r="AW24" i="1"/>
  <c r="AZ23" i="1"/>
  <c r="BA23" i="1"/>
  <c r="AW23" i="1"/>
  <c r="AO23" i="1"/>
  <c r="AP23" i="1"/>
  <c r="AL23" i="1"/>
  <c r="AN24" i="1" s="1"/>
  <c r="AZ22" i="1"/>
  <c r="BA22" i="1"/>
  <c r="AO22" i="1"/>
  <c r="AP22" i="1"/>
  <c r="BB175" i="1" l="1"/>
  <c r="BB171" i="1"/>
  <c r="BB159" i="1"/>
  <c r="BB156" i="1"/>
  <c r="BB120" i="1"/>
  <c r="AQ63" i="1"/>
  <c r="BB61" i="1"/>
  <c r="BB60" i="1"/>
  <c r="BB59" i="1"/>
  <c r="AQ57" i="1"/>
  <c r="BB56" i="1"/>
  <c r="BB55" i="1"/>
  <c r="BB54" i="1"/>
  <c r="AQ54" i="1"/>
  <c r="BE54" i="1" s="1"/>
  <c r="BB53" i="1"/>
  <c r="AQ52" i="1"/>
  <c r="BB51" i="1"/>
  <c r="BB50" i="1"/>
  <c r="BB49" i="1"/>
  <c r="BB48" i="1"/>
  <c r="BB46" i="1"/>
  <c r="BB44" i="1"/>
  <c r="AQ43" i="1"/>
  <c r="AQ42" i="1"/>
  <c r="BB41" i="1"/>
  <c r="BB39" i="1"/>
  <c r="AQ35" i="1"/>
  <c r="AQ34" i="1"/>
  <c r="BB33" i="1"/>
  <c r="BB32" i="1"/>
  <c r="AQ30" i="1"/>
  <c r="BB29" i="1"/>
  <c r="BB27" i="1"/>
  <c r="BB26" i="1"/>
  <c r="BB24" i="1"/>
  <c r="BB23" i="1"/>
  <c r="BB151" i="1"/>
  <c r="BB138" i="1"/>
  <c r="BB128" i="1"/>
  <c r="BB119" i="1"/>
  <c r="AQ103" i="1"/>
  <c r="BB130" i="1"/>
  <c r="BB101" i="1"/>
  <c r="BB100" i="1"/>
  <c r="AQ155" i="1"/>
  <c r="BB131" i="1"/>
  <c r="AL176" i="1"/>
  <c r="AP176" i="1"/>
  <c r="AO176" i="1"/>
  <c r="AQ176" i="1" s="1"/>
  <c r="AL174" i="1"/>
  <c r="AP174" i="1"/>
  <c r="AO174" i="1"/>
  <c r="AQ174" i="1" s="1"/>
  <c r="AW173" i="1"/>
  <c r="BA173" i="1"/>
  <c r="AZ173" i="1"/>
  <c r="BB173" i="1" s="1"/>
  <c r="AO171" i="1"/>
  <c r="AP171" i="1"/>
  <c r="AL171" i="1"/>
  <c r="AN172" i="1" s="1"/>
  <c r="AW170" i="1"/>
  <c r="BA170" i="1"/>
  <c r="AZ170" i="1"/>
  <c r="BB170" i="1" s="1"/>
  <c r="BE170" i="1" s="1"/>
  <c r="AL167" i="1"/>
  <c r="AN168" i="1" s="1"/>
  <c r="AO167" i="1"/>
  <c r="AP167" i="1"/>
  <c r="BA163" i="1"/>
  <c r="AW163" i="1"/>
  <c r="AY164" i="1" s="1"/>
  <c r="AZ163" i="1"/>
  <c r="BB163" i="1" s="1"/>
  <c r="BE163" i="1" s="1"/>
  <c r="AO162" i="1"/>
  <c r="AL162" i="1"/>
  <c r="AP162" i="1"/>
  <c r="AW161" i="1"/>
  <c r="BA161" i="1"/>
  <c r="AZ161" i="1"/>
  <c r="BB161" i="1" s="1"/>
  <c r="BE161" i="1" s="1"/>
  <c r="AL158" i="1"/>
  <c r="AN159" i="1" s="1"/>
  <c r="AP158" i="1"/>
  <c r="AO158" i="1"/>
  <c r="AW157" i="1"/>
  <c r="BA157" i="1"/>
  <c r="AZ157" i="1"/>
  <c r="BB157" i="1" s="1"/>
  <c r="BE157" i="1" s="1"/>
  <c r="AO156" i="1"/>
  <c r="AL156" i="1"/>
  <c r="AP156" i="1"/>
  <c r="AW155" i="1"/>
  <c r="AZ155" i="1"/>
  <c r="BA155" i="1"/>
  <c r="AO154" i="1"/>
  <c r="AL154" i="1"/>
  <c r="AP154" i="1"/>
  <c r="AO145" i="1"/>
  <c r="AL145" i="1"/>
  <c r="AN146" i="1" s="1"/>
  <c r="AP145" i="1"/>
  <c r="BA142" i="1"/>
  <c r="AZ142" i="1"/>
  <c r="BB142" i="1" s="1"/>
  <c r="BE142" i="1" s="1"/>
  <c r="AW142" i="1"/>
  <c r="AY143" i="1" s="1"/>
  <c r="AO133" i="1"/>
  <c r="AP133" i="1"/>
  <c r="AL133" i="1"/>
  <c r="AN134" i="1" s="1"/>
  <c r="BA132" i="1"/>
  <c r="AZ132" i="1"/>
  <c r="BB132" i="1" s="1"/>
  <c r="BE132" i="1" s="1"/>
  <c r="AW132" i="1"/>
  <c r="AL128" i="1"/>
  <c r="AN129" i="1" s="1"/>
  <c r="AP128" i="1"/>
  <c r="AO128" i="1"/>
  <c r="AQ128" i="1" s="1"/>
  <c r="BE128" i="1" s="1"/>
  <c r="AZ127" i="1"/>
  <c r="BA127" i="1"/>
  <c r="AW127" i="1"/>
  <c r="AP122" i="1"/>
  <c r="AL122" i="1"/>
  <c r="AN123" i="1" s="1"/>
  <c r="AO122" i="1"/>
  <c r="AQ122" i="1" s="1"/>
  <c r="BA121" i="1"/>
  <c r="AZ121" i="1"/>
  <c r="BB121" i="1" s="1"/>
  <c r="AW121" i="1"/>
  <c r="AO118" i="1"/>
  <c r="AP118" i="1"/>
  <c r="AL118" i="1"/>
  <c r="AN119" i="1" s="1"/>
  <c r="AW117" i="1"/>
  <c r="BA117" i="1"/>
  <c r="AZ117" i="1"/>
  <c r="BB117" i="1" s="1"/>
  <c r="BE117" i="1" s="1"/>
  <c r="AO114" i="1"/>
  <c r="AL114" i="1"/>
  <c r="AN115" i="1" s="1"/>
  <c r="AP114" i="1"/>
  <c r="AZ113" i="1"/>
  <c r="BA113" i="1"/>
  <c r="AW113" i="1"/>
  <c r="AP111" i="1"/>
  <c r="AL111" i="1"/>
  <c r="AN112" i="1" s="1"/>
  <c r="AO111" i="1"/>
  <c r="AQ111" i="1" s="1"/>
  <c r="BE111" i="1" s="1"/>
  <c r="AZ110" i="1"/>
  <c r="AW110" i="1"/>
  <c r="BA110" i="1"/>
  <c r="AO109" i="1"/>
  <c r="AL109" i="1"/>
  <c r="AP109" i="1"/>
  <c r="BA108" i="1"/>
  <c r="AZ108" i="1"/>
  <c r="BB108" i="1" s="1"/>
  <c r="BE108" i="1" s="1"/>
  <c r="AW108" i="1"/>
  <c r="AP105" i="1"/>
  <c r="AO105" i="1"/>
  <c r="AQ105" i="1" s="1"/>
  <c r="BE105" i="1" s="1"/>
  <c r="AL105" i="1"/>
  <c r="AN106" i="1" s="1"/>
  <c r="AW103" i="1"/>
  <c r="AY104" i="1" s="1"/>
  <c r="BA103" i="1"/>
  <c r="AZ103" i="1"/>
  <c r="BB103" i="1" s="1"/>
  <c r="AL99" i="1"/>
  <c r="AN100" i="1" s="1"/>
  <c r="AP99" i="1"/>
  <c r="AO99" i="1"/>
  <c r="AW96" i="1"/>
  <c r="AY97" i="1" s="1"/>
  <c r="BA96" i="1"/>
  <c r="AZ96" i="1"/>
  <c r="BB96" i="1" s="1"/>
  <c r="AL94" i="1"/>
  <c r="AN95" i="1" s="1"/>
  <c r="AP94" i="1"/>
  <c r="AO94" i="1"/>
  <c r="AQ94" i="1" s="1"/>
  <c r="AW93" i="1"/>
  <c r="BA93" i="1"/>
  <c r="AZ93" i="1"/>
  <c r="BB93" i="1" s="1"/>
  <c r="AO92" i="1"/>
  <c r="AL92" i="1"/>
  <c r="AP92" i="1"/>
  <c r="BA91" i="1"/>
  <c r="AZ91" i="1"/>
  <c r="BB91" i="1" s="1"/>
  <c r="BE91" i="1" s="1"/>
  <c r="AW91" i="1"/>
  <c r="AO86" i="1"/>
  <c r="AL86" i="1"/>
  <c r="AN87" i="1" s="1"/>
  <c r="AP86" i="1"/>
  <c r="BA85" i="1"/>
  <c r="AW85" i="1"/>
  <c r="AZ85" i="1"/>
  <c r="BB85" i="1" s="1"/>
  <c r="AO81" i="1"/>
  <c r="AP81" i="1"/>
  <c r="AL81" i="1"/>
  <c r="AN82" i="1" s="1"/>
  <c r="AW77" i="1"/>
  <c r="AY78" i="1" s="1"/>
  <c r="AZ77" i="1"/>
  <c r="BA77" i="1"/>
  <c r="AO70" i="1"/>
  <c r="AL70" i="1"/>
  <c r="AN71" i="1" s="1"/>
  <c r="AP70" i="1"/>
  <c r="BA69" i="1"/>
  <c r="AZ69" i="1"/>
  <c r="BB69" i="1" s="1"/>
  <c r="BE69" i="1" s="1"/>
  <c r="AW69" i="1"/>
  <c r="AP68" i="1"/>
  <c r="AO68" i="1"/>
  <c r="AQ68" i="1" s="1"/>
  <c r="BE68" i="1" s="1"/>
  <c r="AL68" i="1"/>
  <c r="AW65" i="1"/>
  <c r="AY66" i="1" s="1"/>
  <c r="AZ65" i="1"/>
  <c r="BA65" i="1"/>
  <c r="AL64" i="1"/>
  <c r="AP64" i="1"/>
  <c r="AO64" i="1"/>
  <c r="AQ64" i="1" s="1"/>
  <c r="BE64" i="1" s="1"/>
  <c r="AZ63" i="1"/>
  <c r="AW63" i="1"/>
  <c r="BA63" i="1"/>
  <c r="AL59" i="1"/>
  <c r="AN60" i="1" s="1"/>
  <c r="AP59" i="1"/>
  <c r="AO59" i="1"/>
  <c r="AQ59" i="1" s="1"/>
  <c r="BE59" i="1" s="1"/>
  <c r="AW57" i="1"/>
  <c r="AY58" i="1" s="1"/>
  <c r="BA57" i="1"/>
  <c r="AZ57" i="1"/>
  <c r="BB57" i="1" s="1"/>
  <c r="BE57" i="1" s="1"/>
  <c r="AL55" i="1"/>
  <c r="AN56" i="1" s="1"/>
  <c r="AP55" i="1"/>
  <c r="AO55" i="1"/>
  <c r="AQ55" i="1" s="1"/>
  <c r="BE55" i="1" s="1"/>
  <c r="AL53" i="1"/>
  <c r="AP53" i="1"/>
  <c r="AO53" i="1"/>
  <c r="AW52" i="1"/>
  <c r="BA52" i="1"/>
  <c r="AZ52" i="1"/>
  <c r="BB52" i="1" s="1"/>
  <c r="BE52" i="1" s="1"/>
  <c r="AL44" i="1"/>
  <c r="AN45" i="1" s="1"/>
  <c r="AP44" i="1"/>
  <c r="AO44" i="1"/>
  <c r="AQ44" i="1" s="1"/>
  <c r="BE44" i="1" s="1"/>
  <c r="AW42" i="1"/>
  <c r="AY43" i="1" s="1"/>
  <c r="BA42" i="1"/>
  <c r="AZ42" i="1"/>
  <c r="BB42" i="1" s="1"/>
  <c r="BE42" i="1" s="1"/>
  <c r="AL39" i="1"/>
  <c r="AN40" i="1" s="1"/>
  <c r="AP39" i="1"/>
  <c r="AO39" i="1"/>
  <c r="AQ39" i="1" s="1"/>
  <c r="BE39" i="1" s="1"/>
  <c r="AW38" i="1"/>
  <c r="BA38" i="1"/>
  <c r="AZ38" i="1"/>
  <c r="BB38" i="1" s="1"/>
  <c r="AL37" i="1"/>
  <c r="AP37" i="1"/>
  <c r="AO37" i="1"/>
  <c r="AQ37" i="1" s="1"/>
  <c r="BE37" i="1" s="1"/>
  <c r="AW34" i="1"/>
  <c r="AY35" i="1" s="1"/>
  <c r="BA34" i="1"/>
  <c r="AZ34" i="1"/>
  <c r="BB34" i="1" s="1"/>
  <c r="BE34" i="1" s="1"/>
  <c r="AL31" i="1"/>
  <c r="AN32" i="1" s="1"/>
  <c r="AP31" i="1"/>
  <c r="AO31" i="1"/>
  <c r="AQ31" i="1" s="1"/>
  <c r="BE31" i="1" s="1"/>
  <c r="AW30" i="1"/>
  <c r="BA30" i="1"/>
  <c r="AZ30" i="1"/>
  <c r="BB30" i="1" s="1"/>
  <c r="BE30" i="1" s="1"/>
  <c r="AL24" i="1"/>
  <c r="AN25" i="1" s="1"/>
  <c r="AP24" i="1"/>
  <c r="AO24" i="1"/>
  <c r="AQ24" i="1" s="1"/>
  <c r="BE24" i="1" s="1"/>
  <c r="BB176" i="1"/>
  <c r="BB174" i="1"/>
  <c r="AQ173" i="1"/>
  <c r="BE173" i="1" s="1"/>
  <c r="BB172" i="1"/>
  <c r="BB162" i="1"/>
  <c r="BB160" i="1"/>
  <c r="BB145" i="1"/>
  <c r="AQ143" i="1"/>
  <c r="BB141" i="1"/>
  <c r="AQ113" i="1"/>
  <c r="BB99" i="1"/>
  <c r="AQ98" i="1"/>
  <c r="AQ97" i="1"/>
  <c r="AQ96" i="1"/>
  <c r="BE96" i="1" s="1"/>
  <c r="BB95" i="1"/>
  <c r="BB94" i="1"/>
  <c r="AQ93" i="1"/>
  <c r="BE93" i="1" s="1"/>
  <c r="BB92" i="1"/>
  <c r="BB90" i="1"/>
  <c r="BB87" i="1"/>
  <c r="AQ85" i="1"/>
  <c r="BB84" i="1"/>
  <c r="BB82" i="1"/>
  <c r="BB81" i="1"/>
  <c r="AQ80" i="1"/>
  <c r="AQ78" i="1"/>
  <c r="AQ77" i="1"/>
  <c r="BB72" i="1"/>
  <c r="BB71" i="1"/>
  <c r="BB70" i="1"/>
  <c r="BB67" i="1"/>
  <c r="AQ67" i="1"/>
  <c r="BE67" i="1" s="1"/>
  <c r="AQ65" i="1"/>
  <c r="BB64" i="1"/>
  <c r="AQ58" i="1"/>
  <c r="BB22" i="1"/>
  <c r="AQ22" i="1"/>
  <c r="BB122" i="1"/>
  <c r="AQ175" i="1"/>
  <c r="BE175" i="1" s="1"/>
  <c r="AQ165" i="1"/>
  <c r="AQ164" i="1"/>
  <c r="BB154" i="1"/>
  <c r="BB148" i="1"/>
  <c r="BB134" i="1"/>
  <c r="BB125" i="1"/>
  <c r="BB62" i="1"/>
  <c r="BB45" i="1"/>
  <c r="AQ38" i="1"/>
  <c r="BB37" i="1"/>
  <c r="BB28" i="1"/>
  <c r="BB133" i="1"/>
  <c r="BB109" i="1"/>
  <c r="BB47" i="1"/>
  <c r="BB40" i="1"/>
  <c r="AQ36" i="1"/>
  <c r="BB31" i="1"/>
  <c r="AQ23" i="1"/>
  <c r="BE23" i="1" s="1"/>
  <c r="AQ144" i="1"/>
  <c r="AQ127" i="1"/>
  <c r="AQ121" i="1"/>
  <c r="BE121" i="1" s="1"/>
  <c r="BB118" i="1"/>
  <c r="BE103" i="1" l="1"/>
  <c r="AQ158" i="1"/>
  <c r="BE158" i="1" s="1"/>
  <c r="BE122" i="1"/>
  <c r="AQ99" i="1"/>
  <c r="AQ53" i="1"/>
  <c r="BE53" i="1" s="1"/>
  <c r="AL172" i="1"/>
  <c r="AO172" i="1"/>
  <c r="AP172" i="1"/>
  <c r="AL168" i="1"/>
  <c r="AN169" i="1" s="1"/>
  <c r="AP168" i="1"/>
  <c r="AO168" i="1"/>
  <c r="AQ168" i="1" s="1"/>
  <c r="BE168" i="1" s="1"/>
  <c r="AZ164" i="1"/>
  <c r="AW164" i="1"/>
  <c r="AY165" i="1" s="1"/>
  <c r="BA164" i="1"/>
  <c r="AO159" i="1"/>
  <c r="AL159" i="1"/>
  <c r="AN160" i="1" s="1"/>
  <c r="AP159" i="1"/>
  <c r="AO146" i="1"/>
  <c r="AL146" i="1"/>
  <c r="AN147" i="1" s="1"/>
  <c r="AP146" i="1"/>
  <c r="BA143" i="1"/>
  <c r="AZ143" i="1"/>
  <c r="BB143" i="1" s="1"/>
  <c r="BE143" i="1" s="1"/>
  <c r="AW143" i="1"/>
  <c r="AY144" i="1" s="1"/>
  <c r="AO134" i="1"/>
  <c r="AL134" i="1"/>
  <c r="AN135" i="1" s="1"/>
  <c r="AP134" i="1"/>
  <c r="AP129" i="1"/>
  <c r="AO129" i="1"/>
  <c r="AQ129" i="1" s="1"/>
  <c r="BE129" i="1" s="1"/>
  <c r="AL129" i="1"/>
  <c r="AN130" i="1" s="1"/>
  <c r="AO123" i="1"/>
  <c r="AP123" i="1"/>
  <c r="AL123" i="1"/>
  <c r="AN124" i="1" s="1"/>
  <c r="AO119" i="1"/>
  <c r="AL119" i="1"/>
  <c r="AN120" i="1" s="1"/>
  <c r="AP119" i="1"/>
  <c r="AL115" i="1"/>
  <c r="AN116" i="1" s="1"/>
  <c r="AO115" i="1"/>
  <c r="AP115" i="1"/>
  <c r="AP112" i="1"/>
  <c r="AO112" i="1"/>
  <c r="AQ112" i="1" s="1"/>
  <c r="BE112" i="1" s="1"/>
  <c r="AL112" i="1"/>
  <c r="AO106" i="1"/>
  <c r="AL106" i="1"/>
  <c r="AN107" i="1" s="1"/>
  <c r="AP106" i="1"/>
  <c r="AW104" i="1"/>
  <c r="BA104" i="1"/>
  <c r="AZ104" i="1"/>
  <c r="BB104" i="1" s="1"/>
  <c r="BE104" i="1" s="1"/>
  <c r="AL100" i="1"/>
  <c r="AN101" i="1" s="1"/>
  <c r="AP100" i="1"/>
  <c r="AO100" i="1"/>
  <c r="AW97" i="1"/>
  <c r="AY98" i="1" s="1"/>
  <c r="BA97" i="1"/>
  <c r="AZ97" i="1"/>
  <c r="BB97" i="1" s="1"/>
  <c r="BE97" i="1" s="1"/>
  <c r="AL95" i="1"/>
  <c r="AP95" i="1"/>
  <c r="AO95" i="1"/>
  <c r="AQ95" i="1" s="1"/>
  <c r="BE95" i="1" s="1"/>
  <c r="AO87" i="1"/>
  <c r="AL87" i="1"/>
  <c r="AN88" i="1" s="1"/>
  <c r="AP87" i="1"/>
  <c r="AO82" i="1"/>
  <c r="AL82" i="1"/>
  <c r="AN83" i="1" s="1"/>
  <c r="AP82" i="1"/>
  <c r="AW78" i="1"/>
  <c r="AY79" i="1" s="1"/>
  <c r="BA78" i="1"/>
  <c r="AZ78" i="1"/>
  <c r="BB78" i="1" s="1"/>
  <c r="BE78" i="1" s="1"/>
  <c r="AL71" i="1"/>
  <c r="AN72" i="1" s="1"/>
  <c r="AO71" i="1"/>
  <c r="AP71" i="1"/>
  <c r="AZ66" i="1"/>
  <c r="BA66" i="1"/>
  <c r="AW66" i="1"/>
  <c r="AL60" i="1"/>
  <c r="AN61" i="1" s="1"/>
  <c r="AP60" i="1"/>
  <c r="AO60" i="1"/>
  <c r="AQ60" i="1" s="1"/>
  <c r="BE60" i="1" s="1"/>
  <c r="AW58" i="1"/>
  <c r="BA58" i="1"/>
  <c r="AZ58" i="1"/>
  <c r="BB58" i="1" s="1"/>
  <c r="BE58" i="1" s="1"/>
  <c r="AL56" i="1"/>
  <c r="AP56" i="1"/>
  <c r="AO56" i="1"/>
  <c r="AQ56" i="1" s="1"/>
  <c r="BE56" i="1" s="1"/>
  <c r="AL45" i="1"/>
  <c r="AN46" i="1" s="1"/>
  <c r="AP45" i="1"/>
  <c r="AO45" i="1"/>
  <c r="AQ45" i="1" s="1"/>
  <c r="BE45" i="1" s="1"/>
  <c r="AW43" i="1"/>
  <c r="BA43" i="1"/>
  <c r="AZ43" i="1"/>
  <c r="BB43" i="1" s="1"/>
  <c r="BE43" i="1" s="1"/>
  <c r="AL40" i="1"/>
  <c r="AN41" i="1" s="1"/>
  <c r="AP40" i="1"/>
  <c r="AO40" i="1"/>
  <c r="AQ40" i="1" s="1"/>
  <c r="BE40" i="1" s="1"/>
  <c r="AW35" i="1"/>
  <c r="AY36" i="1" s="1"/>
  <c r="BA35" i="1"/>
  <c r="AZ35" i="1"/>
  <c r="BB35" i="1" s="1"/>
  <c r="BE35" i="1" s="1"/>
  <c r="AL32" i="1"/>
  <c r="AN33" i="1" s="1"/>
  <c r="AP32" i="1"/>
  <c r="AO32" i="1"/>
  <c r="AQ32" i="1" s="1"/>
  <c r="BE32" i="1" s="1"/>
  <c r="AL25" i="1"/>
  <c r="AN26" i="1" s="1"/>
  <c r="AP25" i="1"/>
  <c r="AO25" i="1"/>
  <c r="AQ25" i="1" s="1"/>
  <c r="BC22" i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E22" i="1"/>
  <c r="AR22" i="1"/>
  <c r="AR23" i="1" s="1"/>
  <c r="AR24" i="1" s="1"/>
  <c r="BE176" i="1"/>
  <c r="BE174" i="1"/>
  <c r="AQ171" i="1"/>
  <c r="BE171" i="1" s="1"/>
  <c r="AQ167" i="1"/>
  <c r="BE167" i="1" s="1"/>
  <c r="AQ162" i="1"/>
  <c r="BE162" i="1" s="1"/>
  <c r="AQ156" i="1"/>
  <c r="BE156" i="1" s="1"/>
  <c r="BB155" i="1"/>
  <c r="BE155" i="1" s="1"/>
  <c r="AQ154" i="1"/>
  <c r="BE154" i="1" s="1"/>
  <c r="AQ145" i="1"/>
  <c r="BE145" i="1" s="1"/>
  <c r="AQ133" i="1"/>
  <c r="BE133" i="1" s="1"/>
  <c r="BB127" i="1"/>
  <c r="BE127" i="1" s="1"/>
  <c r="AQ118" i="1"/>
  <c r="BE118" i="1" s="1"/>
  <c r="AQ114" i="1"/>
  <c r="BE114" i="1" s="1"/>
  <c r="BB113" i="1"/>
  <c r="BE113" i="1" s="1"/>
  <c r="BB110" i="1"/>
  <c r="BE110" i="1" s="1"/>
  <c r="AQ109" i="1"/>
  <c r="BE109" i="1" s="1"/>
  <c r="BE99" i="1"/>
  <c r="BE94" i="1"/>
  <c r="AQ92" i="1"/>
  <c r="BE92" i="1" s="1"/>
  <c r="AQ86" i="1"/>
  <c r="BE86" i="1" s="1"/>
  <c r="AQ81" i="1"/>
  <c r="BE81" i="1" s="1"/>
  <c r="BB77" i="1"/>
  <c r="BE77" i="1" s="1"/>
  <c r="AQ70" i="1"/>
  <c r="BE70" i="1" s="1"/>
  <c r="BB65" i="1"/>
  <c r="BE65" i="1" s="1"/>
  <c r="BB63" i="1"/>
  <c r="BE63" i="1" s="1"/>
  <c r="BE85" i="1"/>
  <c r="BE38" i="1"/>
  <c r="AR25" i="1" l="1"/>
  <c r="AQ100" i="1"/>
  <c r="BE100" i="1" s="1"/>
  <c r="AL169" i="1"/>
  <c r="AP169" i="1"/>
  <c r="AO169" i="1"/>
  <c r="AQ169" i="1" s="1"/>
  <c r="BE169" i="1" s="1"/>
  <c r="BA165" i="1"/>
  <c r="AW165" i="1"/>
  <c r="AZ165" i="1"/>
  <c r="BB165" i="1" s="1"/>
  <c r="BE165" i="1" s="1"/>
  <c r="AP160" i="1"/>
  <c r="AO160" i="1"/>
  <c r="AQ160" i="1" s="1"/>
  <c r="BE160" i="1" s="1"/>
  <c r="AL160" i="1"/>
  <c r="AP147" i="1"/>
  <c r="AL147" i="1"/>
  <c r="AN148" i="1" s="1"/>
  <c r="AO147" i="1"/>
  <c r="AQ147" i="1" s="1"/>
  <c r="BE147" i="1" s="1"/>
  <c r="AW144" i="1"/>
  <c r="AZ144" i="1"/>
  <c r="BA144" i="1"/>
  <c r="AP135" i="1"/>
  <c r="AO135" i="1"/>
  <c r="AQ135" i="1" s="1"/>
  <c r="BE135" i="1" s="1"/>
  <c r="AL135" i="1"/>
  <c r="AN136" i="1" s="1"/>
  <c r="AP130" i="1"/>
  <c r="AO130" i="1"/>
  <c r="AQ130" i="1" s="1"/>
  <c r="BE130" i="1" s="1"/>
  <c r="AL130" i="1"/>
  <c r="AN131" i="1" s="1"/>
  <c r="AP124" i="1"/>
  <c r="AO124" i="1"/>
  <c r="AL124" i="1"/>
  <c r="AN125" i="1" s="1"/>
  <c r="AO120" i="1"/>
  <c r="AL120" i="1"/>
  <c r="AP120" i="1"/>
  <c r="AP116" i="1"/>
  <c r="AL116" i="1"/>
  <c r="AO116" i="1"/>
  <c r="AQ116" i="1" s="1"/>
  <c r="BE116" i="1" s="1"/>
  <c r="AP107" i="1"/>
  <c r="AL107" i="1"/>
  <c r="AO107" i="1"/>
  <c r="AQ107" i="1" s="1"/>
  <c r="BE107" i="1" s="1"/>
  <c r="AP101" i="1"/>
  <c r="AL101" i="1"/>
  <c r="AO101" i="1"/>
  <c r="AQ101" i="1" s="1"/>
  <c r="BE101" i="1" s="1"/>
  <c r="AW98" i="1"/>
  <c r="BA98" i="1"/>
  <c r="AZ98" i="1"/>
  <c r="BB98" i="1" s="1"/>
  <c r="BE98" i="1" s="1"/>
  <c r="AP88" i="1"/>
  <c r="AO88" i="1"/>
  <c r="AQ88" i="1" s="1"/>
  <c r="BE88" i="1" s="1"/>
  <c r="AL88" i="1"/>
  <c r="AN89" i="1" s="1"/>
  <c r="AO83" i="1"/>
  <c r="AL83" i="1"/>
  <c r="AN84" i="1" s="1"/>
  <c r="AP83" i="1"/>
  <c r="BA79" i="1"/>
  <c r="AZ79" i="1"/>
  <c r="BB79" i="1" s="1"/>
  <c r="BE79" i="1" s="1"/>
  <c r="AW79" i="1"/>
  <c r="AY80" i="1" s="1"/>
  <c r="AO72" i="1"/>
  <c r="AL72" i="1"/>
  <c r="AN73" i="1" s="1"/>
  <c r="AP72" i="1"/>
  <c r="AL61" i="1"/>
  <c r="AN62" i="1" s="1"/>
  <c r="AP61" i="1"/>
  <c r="AO61" i="1"/>
  <c r="AQ61" i="1" s="1"/>
  <c r="BE61" i="1" s="1"/>
  <c r="AL46" i="1"/>
  <c r="AN47" i="1" s="1"/>
  <c r="AP46" i="1"/>
  <c r="AO46" i="1"/>
  <c r="AL41" i="1"/>
  <c r="AP41" i="1"/>
  <c r="AO41" i="1"/>
  <c r="AQ41" i="1" s="1"/>
  <c r="BE41" i="1" s="1"/>
  <c r="AW36" i="1"/>
  <c r="BA36" i="1"/>
  <c r="AZ36" i="1"/>
  <c r="BB36" i="1" s="1"/>
  <c r="AL33" i="1"/>
  <c r="AP33" i="1"/>
  <c r="AO33" i="1"/>
  <c r="AO26" i="1"/>
  <c r="AP26" i="1"/>
  <c r="AL26" i="1"/>
  <c r="AN27" i="1" s="1"/>
  <c r="BF22" i="1"/>
  <c r="BF23" i="1" s="1"/>
  <c r="BF24" i="1" s="1"/>
  <c r="AQ172" i="1"/>
  <c r="BE172" i="1" s="1"/>
  <c r="BB164" i="1"/>
  <c r="BE164" i="1" s="1"/>
  <c r="AQ159" i="1"/>
  <c r="BE159" i="1" s="1"/>
  <c r="AQ146" i="1"/>
  <c r="BE146" i="1" s="1"/>
  <c r="AQ134" i="1"/>
  <c r="BE134" i="1" s="1"/>
  <c r="AQ123" i="1"/>
  <c r="BE123" i="1" s="1"/>
  <c r="AQ119" i="1"/>
  <c r="BE119" i="1" s="1"/>
  <c r="AQ115" i="1"/>
  <c r="BE115" i="1" s="1"/>
  <c r="AQ106" i="1"/>
  <c r="BE106" i="1" s="1"/>
  <c r="AQ87" i="1"/>
  <c r="BE87" i="1" s="1"/>
  <c r="AQ82" i="1"/>
  <c r="BE82" i="1" s="1"/>
  <c r="AQ71" i="1"/>
  <c r="BE71" i="1" s="1"/>
  <c r="BB66" i="1"/>
  <c r="BE66" i="1" s="1"/>
  <c r="BE25" i="1"/>
  <c r="AQ124" i="1" l="1"/>
  <c r="BE124" i="1" s="1"/>
  <c r="BF25" i="1"/>
  <c r="AP148" i="1"/>
  <c r="AO148" i="1"/>
  <c r="AQ148" i="1" s="1"/>
  <c r="BE148" i="1" s="1"/>
  <c r="AL148" i="1"/>
  <c r="AN149" i="1" s="1"/>
  <c r="AL136" i="1"/>
  <c r="AN137" i="1" s="1"/>
  <c r="AO136" i="1"/>
  <c r="AP136" i="1"/>
  <c r="AL131" i="1"/>
  <c r="AP131" i="1"/>
  <c r="AO131" i="1"/>
  <c r="AP125" i="1"/>
  <c r="AO125" i="1"/>
  <c r="AQ125" i="1" s="1"/>
  <c r="BE125" i="1" s="1"/>
  <c r="AL125" i="1"/>
  <c r="AN126" i="1" s="1"/>
  <c r="AP89" i="1"/>
  <c r="AO89" i="1"/>
  <c r="AQ89" i="1" s="1"/>
  <c r="BE89" i="1" s="1"/>
  <c r="AL89" i="1"/>
  <c r="AN90" i="1" s="1"/>
  <c r="AP84" i="1"/>
  <c r="AO84" i="1"/>
  <c r="AQ84" i="1" s="1"/>
  <c r="BE84" i="1" s="1"/>
  <c r="AL84" i="1"/>
  <c r="BA80" i="1"/>
  <c r="AW80" i="1"/>
  <c r="AZ80" i="1"/>
  <c r="BB80" i="1" s="1"/>
  <c r="BE80" i="1" s="1"/>
  <c r="AP73" i="1"/>
  <c r="AL73" i="1"/>
  <c r="AN74" i="1" s="1"/>
  <c r="AO73" i="1"/>
  <c r="AQ73" i="1" s="1"/>
  <c r="BE73" i="1" s="1"/>
  <c r="AL62" i="1"/>
  <c r="AP62" i="1"/>
  <c r="AO62" i="1"/>
  <c r="AL47" i="1"/>
  <c r="AN48" i="1" s="1"/>
  <c r="AP47" i="1"/>
  <c r="AO47" i="1"/>
  <c r="AQ47" i="1" s="1"/>
  <c r="BE47" i="1" s="1"/>
  <c r="BC36" i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E36" i="1"/>
  <c r="AL27" i="1"/>
  <c r="AN28" i="1" s="1"/>
  <c r="AP27" i="1"/>
  <c r="AO27" i="1"/>
  <c r="AQ27" i="1" s="1"/>
  <c r="BE27" i="1" s="1"/>
  <c r="BB144" i="1"/>
  <c r="AQ120" i="1"/>
  <c r="BE120" i="1" s="1"/>
  <c r="AQ83" i="1"/>
  <c r="BE83" i="1" s="1"/>
  <c r="AQ72" i="1"/>
  <c r="BE72" i="1" s="1"/>
  <c r="AQ46" i="1"/>
  <c r="BE46" i="1" s="1"/>
  <c r="AQ26" i="1"/>
  <c r="AQ33" i="1"/>
  <c r="BE33" i="1" s="1"/>
  <c r="AO149" i="1" l="1"/>
  <c r="AL149" i="1"/>
  <c r="AN150" i="1" s="1"/>
  <c r="AP149" i="1"/>
  <c r="AO137" i="1"/>
  <c r="AL137" i="1"/>
  <c r="AN138" i="1" s="1"/>
  <c r="AP137" i="1"/>
  <c r="AO126" i="1"/>
  <c r="AP126" i="1"/>
  <c r="AL126" i="1"/>
  <c r="AO90" i="1"/>
  <c r="AP90" i="1"/>
  <c r="AL90" i="1"/>
  <c r="AO74" i="1"/>
  <c r="AP74" i="1"/>
  <c r="AL74" i="1"/>
  <c r="AN75" i="1" s="1"/>
  <c r="AL48" i="1"/>
  <c r="AN49" i="1" s="1"/>
  <c r="AP48" i="1"/>
  <c r="AO48" i="1"/>
  <c r="AQ48" i="1" s="1"/>
  <c r="BE48" i="1" s="1"/>
  <c r="AL28" i="1"/>
  <c r="AN29" i="1" s="1"/>
  <c r="AP28" i="1"/>
  <c r="AO28" i="1"/>
  <c r="AQ28" i="1" s="1"/>
  <c r="BE26" i="1"/>
  <c r="AR26" i="1"/>
  <c r="AR27" i="1" s="1"/>
  <c r="AR28" i="1" s="1"/>
  <c r="AQ136" i="1"/>
  <c r="BE136" i="1" s="1"/>
  <c r="AQ131" i="1"/>
  <c r="BE131" i="1" s="1"/>
  <c r="AQ62" i="1"/>
  <c r="BE62" i="1" s="1"/>
  <c r="BC144" i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44" i="1"/>
  <c r="BB15" i="1"/>
  <c r="BB14" i="1"/>
  <c r="BB16" i="1" s="1"/>
  <c r="AT1" i="1" s="1"/>
  <c r="BB19" i="1"/>
  <c r="AP150" i="1" l="1"/>
  <c r="AL150" i="1"/>
  <c r="AN151" i="1" s="1"/>
  <c r="AO150" i="1"/>
  <c r="AQ150" i="1" s="1"/>
  <c r="BE150" i="1" s="1"/>
  <c r="AO138" i="1"/>
  <c r="AL138" i="1"/>
  <c r="AN139" i="1" s="1"/>
  <c r="AP138" i="1"/>
  <c r="AO75" i="1"/>
  <c r="AL75" i="1"/>
  <c r="AN76" i="1" s="1"/>
  <c r="AP75" i="1"/>
  <c r="AL49" i="1"/>
  <c r="AN50" i="1" s="1"/>
  <c r="AP49" i="1"/>
  <c r="AO49" i="1"/>
  <c r="AL29" i="1"/>
  <c r="AP29" i="1"/>
  <c r="AO29" i="1"/>
  <c r="AQ29" i="1" s="1"/>
  <c r="BF26" i="1"/>
  <c r="BF27" i="1" s="1"/>
  <c r="AQ149" i="1"/>
  <c r="BE149" i="1" s="1"/>
  <c r="AQ137" i="1"/>
  <c r="BE137" i="1" s="1"/>
  <c r="AQ126" i="1"/>
  <c r="BE126" i="1" s="1"/>
  <c r="AQ90" i="1"/>
  <c r="BE90" i="1" s="1"/>
  <c r="AQ74" i="1"/>
  <c r="BE74" i="1" s="1"/>
  <c r="BE28" i="1"/>
  <c r="BF28" i="1" l="1"/>
  <c r="AO151" i="1"/>
  <c r="AP151" i="1"/>
  <c r="AL151" i="1"/>
  <c r="AN152" i="1" s="1"/>
  <c r="AP139" i="1"/>
  <c r="AO139" i="1"/>
  <c r="AQ139" i="1" s="1"/>
  <c r="BE139" i="1" s="1"/>
  <c r="AL139" i="1"/>
  <c r="AN140" i="1" s="1"/>
  <c r="AO76" i="1"/>
  <c r="AL76" i="1"/>
  <c r="AP76" i="1"/>
  <c r="AL50" i="1"/>
  <c r="AN51" i="1" s="1"/>
  <c r="AP50" i="1"/>
  <c r="AO50" i="1"/>
  <c r="AR29" i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BE29" i="1"/>
  <c r="AQ75" i="1"/>
  <c r="BE75" i="1" s="1"/>
  <c r="AQ138" i="1"/>
  <c r="BE138" i="1" s="1"/>
  <c r="AQ49" i="1"/>
  <c r="AQ50" i="1" l="1"/>
  <c r="AP152" i="1"/>
  <c r="AL152" i="1"/>
  <c r="AO152" i="1"/>
  <c r="AQ152" i="1" s="1"/>
  <c r="AO140" i="1"/>
  <c r="AL140" i="1"/>
  <c r="AN141" i="1" s="1"/>
  <c r="AP140" i="1"/>
  <c r="AL51" i="1"/>
  <c r="AP51" i="1"/>
  <c r="AO51" i="1"/>
  <c r="AQ51" i="1" s="1"/>
  <c r="BF29" i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AQ151" i="1"/>
  <c r="BE151" i="1" s="1"/>
  <c r="AQ76" i="1"/>
  <c r="BE76" i="1" s="1"/>
  <c r="BE49" i="1"/>
  <c r="AR50" i="1" l="1"/>
  <c r="BE50" i="1"/>
  <c r="BF50" i="1" s="1"/>
  <c r="BE152" i="1"/>
  <c r="AO141" i="1"/>
  <c r="AL141" i="1"/>
  <c r="AP141" i="1"/>
  <c r="AR51" i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BE51" i="1"/>
  <c r="AQ140" i="1"/>
  <c r="BF51" i="1" l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E140" i="1"/>
  <c r="AQ141" i="1"/>
  <c r="AQ14" i="1" s="1"/>
  <c r="BE141" i="1" l="1"/>
  <c r="AQ15" i="1"/>
  <c r="AQ16" i="1" s="1"/>
  <c r="AI1" i="1" s="1"/>
  <c r="AQ19" i="1"/>
  <c r="AR141" i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F141" i="1" l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E14" i="1"/>
  <c r="BE18" i="1"/>
  <c r="BE16" i="1" l="1"/>
</calcChain>
</file>

<file path=xl/sharedStrings.xml><?xml version="1.0" encoding="utf-8"?>
<sst xmlns="http://schemas.openxmlformats.org/spreadsheetml/2006/main" count="74" uniqueCount="53">
  <si>
    <t>date</t>
  </si>
  <si>
    <t>BSCY</t>
  </si>
  <si>
    <t>IBDZ</t>
  </si>
  <si>
    <t>BSCY log rtn</t>
  </si>
  <si>
    <t>IBDZ log rtn</t>
  </si>
  <si>
    <t>BSCY div</t>
  </si>
  <si>
    <t>BSCY div cumsum</t>
  </si>
  <si>
    <t>IBDZ div</t>
  </si>
  <si>
    <t>IBDZ div cumsum</t>
  </si>
  <si>
    <t>BSCY div adjustment</t>
  </si>
  <si>
    <t>IBDZ div adjustment</t>
  </si>
  <si>
    <t>BSCY*</t>
  </si>
  <si>
    <t>IBDZ*</t>
  </si>
  <si>
    <t>IBDZ/BSCY</t>
  </si>
  <si>
    <t>IBDZ/BSCY avg</t>
  </si>
  <si>
    <t>IBDZ/BSCY 10 dma</t>
  </si>
  <si>
    <t>IBDZ/BSCY 20 dma</t>
  </si>
  <si>
    <t>BSCY x avg</t>
  </si>
  <si>
    <t>BSCY x 10 dma</t>
  </si>
  <si>
    <t>BSCY x 20 dma</t>
  </si>
  <si>
    <t>log diff BSCY x avg / IBDZ</t>
  </si>
  <si>
    <t>log diff BSCY x 10 dma / IBDZ</t>
  </si>
  <si>
    <t>log diff BSCY x 20 dma / IBDZ</t>
  </si>
  <si>
    <t>IBDZ*/BSCY*</t>
  </si>
  <si>
    <t>IBDZ*/BSCY* avg</t>
  </si>
  <si>
    <t>IBDZ*/BSCY* 10 dma</t>
  </si>
  <si>
    <t>IBDZ*/BSCY* 20 dma</t>
  </si>
  <si>
    <t>BSCY* x avg</t>
  </si>
  <si>
    <t>BSCY* x 10 dma</t>
  </si>
  <si>
    <t>BSCY* x 20 dma</t>
  </si>
  <si>
    <t>log diff BSCY* x avg / IBDZ*</t>
  </si>
  <si>
    <t>log diff BSCY* x 10 dma / IBDZ*</t>
  </si>
  <si>
    <t>log diff BSCY* x 20 dma / IBDZ*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</si>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</sst>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IBDZ/BSCY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1.2567453983371399</c:v>
                </c:pt>
                <c:pt idx="1">
                  <c:v>1.2567453983371399</c:v>
                </c:pt>
                <c:pt idx="2">
                  <c:v>1.2567453983371399</c:v>
                </c:pt>
                <c:pt idx="3">
                  <c:v>1.2567453983371399</c:v>
                </c:pt>
                <c:pt idx="4">
                  <c:v>1.2567453983371399</c:v>
                </c:pt>
                <c:pt idx="5">
                  <c:v>1.2567453983371399</c:v>
                </c:pt>
                <c:pt idx="6">
                  <c:v>1.2567453983371399</c:v>
                </c:pt>
                <c:pt idx="7">
                  <c:v>1.2567453983371399</c:v>
                </c:pt>
                <c:pt idx="8">
                  <c:v>1.2567453983371399</c:v>
                </c:pt>
                <c:pt idx="9">
                  <c:v>1.2567453983371399</c:v>
                </c:pt>
                <c:pt idx="10">
                  <c:v>1.2567453983371399</c:v>
                </c:pt>
                <c:pt idx="11">
                  <c:v>1.2567453983371399</c:v>
                </c:pt>
                <c:pt idx="12">
                  <c:v>1.2567453983371399</c:v>
                </c:pt>
                <c:pt idx="13">
                  <c:v>1.2567453983371399</c:v>
                </c:pt>
                <c:pt idx="14">
                  <c:v>1.2567453983371399</c:v>
                </c:pt>
                <c:pt idx="15">
                  <c:v>1.2567453983371399</c:v>
                </c:pt>
                <c:pt idx="16">
                  <c:v>1.2567453983371399</c:v>
                </c:pt>
                <c:pt idx="17">
                  <c:v>1.2567453983371399</c:v>
                </c:pt>
                <c:pt idx="18">
                  <c:v>1.2567453983371399</c:v>
                </c:pt>
                <c:pt idx="19">
                  <c:v>1.2567453983371399</c:v>
                </c:pt>
                <c:pt idx="20">
                  <c:v>1.2567453983371399</c:v>
                </c:pt>
                <c:pt idx="21">
                  <c:v>1.2567453983371399</c:v>
                </c:pt>
                <c:pt idx="22">
                  <c:v>1.2567453983371399</c:v>
                </c:pt>
                <c:pt idx="23">
                  <c:v>1.2567453983371399</c:v>
                </c:pt>
                <c:pt idx="24">
                  <c:v>1.2567453983371399</c:v>
                </c:pt>
                <c:pt idx="25">
                  <c:v>1.2567453983371399</c:v>
                </c:pt>
                <c:pt idx="26">
                  <c:v>1.2567453983371399</c:v>
                </c:pt>
                <c:pt idx="27">
                  <c:v>1.2567453983371399</c:v>
                </c:pt>
                <c:pt idx="28">
                  <c:v>1.2567453983371399</c:v>
                </c:pt>
                <c:pt idx="29">
                  <c:v>1.2567453983371399</c:v>
                </c:pt>
                <c:pt idx="30">
                  <c:v>1.2567453983371399</c:v>
                </c:pt>
                <c:pt idx="31">
                  <c:v>1.2567453983371399</c:v>
                </c:pt>
                <c:pt idx="32">
                  <c:v>1.2567453983371399</c:v>
                </c:pt>
                <c:pt idx="33">
                  <c:v>1.2567453983371399</c:v>
                </c:pt>
                <c:pt idx="34">
                  <c:v>1.2567453983371399</c:v>
                </c:pt>
                <c:pt idx="35">
                  <c:v>1.2567453983371399</c:v>
                </c:pt>
                <c:pt idx="36">
                  <c:v>1.2567453983371399</c:v>
                </c:pt>
                <c:pt idx="37">
                  <c:v>1.2567453983371399</c:v>
                </c:pt>
                <c:pt idx="38">
                  <c:v>1.2567453983371399</c:v>
                </c:pt>
                <c:pt idx="39">
                  <c:v>1.2567453983371399</c:v>
                </c:pt>
                <c:pt idx="40">
                  <c:v>1.2567453983371399</c:v>
                </c:pt>
                <c:pt idx="41">
                  <c:v>1.2567453983371399</c:v>
                </c:pt>
                <c:pt idx="42">
                  <c:v>1.2567453983371399</c:v>
                </c:pt>
                <c:pt idx="43">
                  <c:v>1.2567453983371399</c:v>
                </c:pt>
                <c:pt idx="44">
                  <c:v>1.2567453983371399</c:v>
                </c:pt>
                <c:pt idx="45">
                  <c:v>1.2567453983371399</c:v>
                </c:pt>
                <c:pt idx="46">
                  <c:v>1.2567453983371399</c:v>
                </c:pt>
                <c:pt idx="47">
                  <c:v>1.2567453983371399</c:v>
                </c:pt>
                <c:pt idx="48">
                  <c:v>1.2567453983371399</c:v>
                </c:pt>
                <c:pt idx="49">
                  <c:v>1.2567453983371399</c:v>
                </c:pt>
                <c:pt idx="50">
                  <c:v>1.2567453983371399</c:v>
                </c:pt>
                <c:pt idx="51">
                  <c:v>1.2567453983371399</c:v>
                </c:pt>
                <c:pt idx="52">
                  <c:v>1.2567453983371399</c:v>
                </c:pt>
                <c:pt idx="53">
                  <c:v>1.2567453983371399</c:v>
                </c:pt>
                <c:pt idx="54">
                  <c:v>1.2567453983371399</c:v>
                </c:pt>
                <c:pt idx="55">
                  <c:v>1.2567453983371399</c:v>
                </c:pt>
                <c:pt idx="56">
                  <c:v>1.2567453983371399</c:v>
                </c:pt>
                <c:pt idx="57">
                  <c:v>1.2567453983371399</c:v>
                </c:pt>
                <c:pt idx="58">
                  <c:v>1.2567453983371399</c:v>
                </c:pt>
                <c:pt idx="59">
                  <c:v>1.2567453983371399</c:v>
                </c:pt>
                <c:pt idx="60">
                  <c:v>1.2567453983371399</c:v>
                </c:pt>
                <c:pt idx="61">
                  <c:v>1.2567453983371399</c:v>
                </c:pt>
                <c:pt idx="62">
                  <c:v>1.2567453983371399</c:v>
                </c:pt>
                <c:pt idx="63">
                  <c:v>1.2567453983371399</c:v>
                </c:pt>
                <c:pt idx="64">
                  <c:v>1.2567453983371399</c:v>
                </c:pt>
                <c:pt idx="65">
                  <c:v>1.2567453983371399</c:v>
                </c:pt>
                <c:pt idx="66">
                  <c:v>1.2567453983371399</c:v>
                </c:pt>
                <c:pt idx="67">
                  <c:v>1.2567453983371399</c:v>
                </c:pt>
                <c:pt idx="68">
                  <c:v>1.2567453983371399</c:v>
                </c:pt>
                <c:pt idx="69">
                  <c:v>1.2567453983371399</c:v>
                </c:pt>
                <c:pt idx="70">
                  <c:v>1.2567453983371399</c:v>
                </c:pt>
                <c:pt idx="71">
                  <c:v>1.2567453983371399</c:v>
                </c:pt>
                <c:pt idx="72">
                  <c:v>1.2567453983371399</c:v>
                </c:pt>
                <c:pt idx="73">
                  <c:v>1.2567453983371399</c:v>
                </c:pt>
                <c:pt idx="74">
                  <c:v>1.2567453983371399</c:v>
                </c:pt>
                <c:pt idx="75">
                  <c:v>1.2567453983371399</c:v>
                </c:pt>
                <c:pt idx="76">
                  <c:v>1.2567453983371399</c:v>
                </c:pt>
                <c:pt idx="77">
                  <c:v>1.2567453983371399</c:v>
                </c:pt>
                <c:pt idx="78">
                  <c:v>1.2567453983371399</c:v>
                </c:pt>
                <c:pt idx="79">
                  <c:v>1.2567453983371399</c:v>
                </c:pt>
                <c:pt idx="80">
                  <c:v>1.2567453983371399</c:v>
                </c:pt>
                <c:pt idx="81">
                  <c:v>1.2567453983371399</c:v>
                </c:pt>
                <c:pt idx="82">
                  <c:v>1.2567453983371399</c:v>
                </c:pt>
                <c:pt idx="83">
                  <c:v>1.2567453983371399</c:v>
                </c:pt>
                <c:pt idx="84">
                  <c:v>1.2567453983371399</c:v>
                </c:pt>
                <c:pt idx="85">
                  <c:v>1.2567453983371399</c:v>
                </c:pt>
                <c:pt idx="86">
                  <c:v>1.2567453983371399</c:v>
                </c:pt>
                <c:pt idx="87">
                  <c:v>1.2567453983371399</c:v>
                </c:pt>
                <c:pt idx="88">
                  <c:v>1.2567453983371399</c:v>
                </c:pt>
                <c:pt idx="89">
                  <c:v>1.2567453983371399</c:v>
                </c:pt>
                <c:pt idx="90">
                  <c:v>1.2567453983371399</c:v>
                </c:pt>
                <c:pt idx="91">
                  <c:v>1.2567453983371399</c:v>
                </c:pt>
                <c:pt idx="92">
                  <c:v>1.2567453983371399</c:v>
                </c:pt>
                <c:pt idx="93">
                  <c:v>1.2567453983371399</c:v>
                </c:pt>
                <c:pt idx="94">
                  <c:v>1.2567453983371399</c:v>
                </c:pt>
                <c:pt idx="95">
                  <c:v>1.2567453983371399</c:v>
                </c:pt>
                <c:pt idx="96">
                  <c:v>1.2567453983371399</c:v>
                </c:pt>
                <c:pt idx="97">
                  <c:v>1.2567453983371399</c:v>
                </c:pt>
                <c:pt idx="98">
                  <c:v>1.2567453983371399</c:v>
                </c:pt>
                <c:pt idx="99">
                  <c:v>1.2567453983371399</c:v>
                </c:pt>
                <c:pt idx="100">
                  <c:v>1.2567453983371399</c:v>
                </c:pt>
                <c:pt idx="101">
                  <c:v>1.2567453983371399</c:v>
                </c:pt>
                <c:pt idx="102">
                  <c:v>1.2567453983371399</c:v>
                </c:pt>
                <c:pt idx="103">
                  <c:v>1.2567453983371399</c:v>
                </c:pt>
                <c:pt idx="104">
                  <c:v>1.2567453983371399</c:v>
                </c:pt>
                <c:pt idx="105">
                  <c:v>1.2567453983371399</c:v>
                </c:pt>
                <c:pt idx="106">
                  <c:v>1.2567453983371399</c:v>
                </c:pt>
                <c:pt idx="107">
                  <c:v>1.2567453983371399</c:v>
                </c:pt>
                <c:pt idx="108">
                  <c:v>1.2567453983371399</c:v>
                </c:pt>
                <c:pt idx="109">
                  <c:v>1.2567453983371399</c:v>
                </c:pt>
                <c:pt idx="110">
                  <c:v>1.2567453983371399</c:v>
                </c:pt>
                <c:pt idx="111">
                  <c:v>1.2567453983371399</c:v>
                </c:pt>
                <c:pt idx="112">
                  <c:v>1.2567453983371399</c:v>
                </c:pt>
                <c:pt idx="113">
                  <c:v>1.2567453983371399</c:v>
                </c:pt>
                <c:pt idx="114">
                  <c:v>1.2567453983371399</c:v>
                </c:pt>
                <c:pt idx="115">
                  <c:v>1.2567453983371399</c:v>
                </c:pt>
                <c:pt idx="116">
                  <c:v>1.2567453983371399</c:v>
                </c:pt>
                <c:pt idx="117">
                  <c:v>1.2567453983371399</c:v>
                </c:pt>
                <c:pt idx="118">
                  <c:v>1.2567453983371399</c:v>
                </c:pt>
                <c:pt idx="119">
                  <c:v>1.2567453983371399</c:v>
                </c:pt>
                <c:pt idx="120">
                  <c:v>1.2567453983371399</c:v>
                </c:pt>
                <c:pt idx="121">
                  <c:v>1.2567453983371399</c:v>
                </c:pt>
                <c:pt idx="122">
                  <c:v>1.2567453983371399</c:v>
                </c:pt>
                <c:pt idx="123">
                  <c:v>1.2567453983371399</c:v>
                </c:pt>
                <c:pt idx="124">
                  <c:v>1.2567453983371399</c:v>
                </c:pt>
                <c:pt idx="125">
                  <c:v>1.2567453983371399</c:v>
                </c:pt>
                <c:pt idx="126">
                  <c:v>1.2567453983371399</c:v>
                </c:pt>
                <c:pt idx="127">
                  <c:v>1.2567453983371399</c:v>
                </c:pt>
                <c:pt idx="128">
                  <c:v>1.2567453983371399</c:v>
                </c:pt>
                <c:pt idx="129">
                  <c:v>1.2567453983371399</c:v>
                </c:pt>
                <c:pt idx="130">
                  <c:v>1.2567453983371399</c:v>
                </c:pt>
                <c:pt idx="131">
                  <c:v>1.2567453983371399</c:v>
                </c:pt>
                <c:pt idx="132">
                  <c:v>1.2567453983371399</c:v>
                </c:pt>
                <c:pt idx="133">
                  <c:v>1.2567453983371399</c:v>
                </c:pt>
                <c:pt idx="134">
                  <c:v>1.2567453983371399</c:v>
                </c:pt>
                <c:pt idx="135">
                  <c:v>1.2567453983371399</c:v>
                </c:pt>
                <c:pt idx="136">
                  <c:v>1.2567453983371399</c:v>
                </c:pt>
                <c:pt idx="137">
                  <c:v>1.2567453983371399</c:v>
                </c:pt>
                <c:pt idx="138">
                  <c:v>1.2567453983371399</c:v>
                </c:pt>
                <c:pt idx="139">
                  <c:v>1.2567453983371399</c:v>
                </c:pt>
                <c:pt idx="140">
                  <c:v>1.2567453983371399</c:v>
                </c:pt>
                <c:pt idx="141">
                  <c:v>1.2567453983371399</c:v>
                </c:pt>
                <c:pt idx="142">
                  <c:v>1.2567453983371399</c:v>
                </c:pt>
                <c:pt idx="143">
                  <c:v>1.2567453983371399</c:v>
                </c:pt>
                <c:pt idx="144">
                  <c:v>1.2567453983371399</c:v>
                </c:pt>
                <c:pt idx="145">
                  <c:v>1.2567453983371399</c:v>
                </c:pt>
                <c:pt idx="146">
                  <c:v>1.2567453983371399</c:v>
                </c:pt>
                <c:pt idx="147">
                  <c:v>1.2567453983371399</c:v>
                </c:pt>
                <c:pt idx="148">
                  <c:v>1.2567453983371399</c:v>
                </c:pt>
                <c:pt idx="149">
                  <c:v>1.2567453983371399</c:v>
                </c:pt>
                <c:pt idx="150">
                  <c:v>1.2567453983371399</c:v>
                </c:pt>
                <c:pt idx="151">
                  <c:v>1.2567453983371399</c:v>
                </c:pt>
                <c:pt idx="152">
                  <c:v>1.2567453983371399</c:v>
                </c:pt>
                <c:pt idx="153">
                  <c:v>1.2567453983371399</c:v>
                </c:pt>
                <c:pt idx="154">
                  <c:v>1.2567453983371399</c:v>
                </c:pt>
                <c:pt idx="155">
                  <c:v>1.2567453983371399</c:v>
                </c:pt>
                <c:pt idx="156">
                  <c:v>1.2567453983371399</c:v>
                </c:pt>
                <c:pt idx="157">
                  <c:v>1.2567453983371399</c:v>
                </c:pt>
                <c:pt idx="158">
                  <c:v>1.2567453983371399</c:v>
                </c:pt>
                <c:pt idx="159">
                  <c:v>1.2567453983371399</c:v>
                </c:pt>
                <c:pt idx="160">
                  <c:v>1.2567453983371399</c:v>
                </c:pt>
                <c:pt idx="161">
                  <c:v>1.2567453983371399</c:v>
                </c:pt>
                <c:pt idx="162">
                  <c:v>1.2567453983371399</c:v>
                </c:pt>
                <c:pt idx="163">
                  <c:v>1.2567453983371399</c:v>
                </c:pt>
                <c:pt idx="164">
                  <c:v>1.2567453983371399</c:v>
                </c:pt>
                <c:pt idx="165">
                  <c:v>1.2567453983371399</c:v>
                </c:pt>
                <c:pt idx="166">
                  <c:v>1.2567453983371399</c:v>
                </c:pt>
                <c:pt idx="167">
                  <c:v>1.2567453983371399</c:v>
                </c:pt>
                <c:pt idx="168">
                  <c:v>1.2567453983371399</c:v>
                </c:pt>
                <c:pt idx="169">
                  <c:v>1.2567453983371399</c:v>
                </c:pt>
                <c:pt idx="170">
                  <c:v>1.2567453983371399</c:v>
                </c:pt>
                <c:pt idx="171">
                  <c:v>1.2567453983371399</c:v>
                </c:pt>
                <c:pt idx="172">
                  <c:v>1.2567453983371399</c:v>
                </c:pt>
                <c:pt idx="173">
                  <c:v>1.2567453983371399</c:v>
                </c:pt>
                <c:pt idx="174">
                  <c:v>1.2567453983371399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1-4CD0-BFC8-DBE42B226184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IBDZ/BSCY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1.25492675760012</c:v>
                </c:pt>
                <c:pt idx="10">
                  <c:v>1.25477111909769</c:v>
                </c:pt>
                <c:pt idx="11">
                  <c:v>1.2550511732109999</c:v>
                </c:pt>
                <c:pt idx="12">
                  <c:v>1.25547195075986</c:v>
                </c:pt>
                <c:pt idx="13">
                  <c:v>1.2559621909732599</c:v>
                </c:pt>
                <c:pt idx="14">
                  <c:v>1.2562722358284999</c:v>
                </c:pt>
                <c:pt idx="15">
                  <c:v>1.2566785579014901</c:v>
                </c:pt>
                <c:pt idx="16">
                  <c:v>1.2571805297232901</c:v>
                </c:pt>
                <c:pt idx="17">
                  <c:v>1.2576005297413899</c:v>
                </c:pt>
                <c:pt idx="18">
                  <c:v>1.25805620387643</c:v>
                </c:pt>
                <c:pt idx="19">
                  <c:v>1.25855796689167</c:v>
                </c:pt>
                <c:pt idx="20">
                  <c:v>1.25857147525961</c:v>
                </c:pt>
                <c:pt idx="21">
                  <c:v>1.2582222349607</c:v>
                </c:pt>
                <c:pt idx="22">
                  <c:v>1.2576494425979301</c:v>
                </c:pt>
                <c:pt idx="23">
                  <c:v>1.25730260048623</c:v>
                </c:pt>
                <c:pt idx="24">
                  <c:v>1.2569086405269501</c:v>
                </c:pt>
                <c:pt idx="25">
                  <c:v>1.25641944247243</c:v>
                </c:pt>
                <c:pt idx="26">
                  <c:v>1.25585696137209</c:v>
                </c:pt>
                <c:pt idx="27">
                  <c:v>1.25529464636348</c:v>
                </c:pt>
                <c:pt idx="28">
                  <c:v>1.25486217655066</c:v>
                </c:pt>
                <c:pt idx="29">
                  <c:v>1.2545471930343399</c:v>
                </c:pt>
                <c:pt idx="30">
                  <c:v>1.25470745520959</c:v>
                </c:pt>
                <c:pt idx="31">
                  <c:v>1.25464345957884</c:v>
                </c:pt>
                <c:pt idx="32">
                  <c:v>1.2545905331688101</c:v>
                </c:pt>
                <c:pt idx="33">
                  <c:v>1.2544441841337499</c:v>
                </c:pt>
                <c:pt idx="34">
                  <c:v>1.25494889547574</c:v>
                </c:pt>
                <c:pt idx="35">
                  <c:v>1.2553713998712099</c:v>
                </c:pt>
                <c:pt idx="36">
                  <c:v>1.2558665422700499</c:v>
                </c:pt>
                <c:pt idx="37">
                  <c:v>1.2564199595776699</c:v>
                </c:pt>
                <c:pt idx="38">
                  <c:v>1.25683155242302</c:v>
                </c:pt>
                <c:pt idx="39">
                  <c:v>1.2567388191959501</c:v>
                </c:pt>
                <c:pt idx="40">
                  <c:v>1.2565756655101701</c:v>
                </c:pt>
                <c:pt idx="41">
                  <c:v>1.2566484527848401</c:v>
                </c:pt>
                <c:pt idx="42">
                  <c:v>1.2567705405846701</c:v>
                </c:pt>
                <c:pt idx="43">
                  <c:v>1.2569179090577001</c:v>
                </c:pt>
                <c:pt idx="44">
                  <c:v>1.25648394932188</c:v>
                </c:pt>
                <c:pt idx="45">
                  <c:v>1.2560510742306401</c:v>
                </c:pt>
                <c:pt idx="46">
                  <c:v>1.2556092149521001</c:v>
                </c:pt>
                <c:pt idx="47">
                  <c:v>1.2552307750918399</c:v>
                </c:pt>
                <c:pt idx="48">
                  <c:v>1.2548664635703599</c:v>
                </c:pt>
                <c:pt idx="49">
                  <c:v>1.2548736410928201</c:v>
                </c:pt>
                <c:pt idx="50">
                  <c:v>1.25498598881537</c:v>
                </c:pt>
                <c:pt idx="51">
                  <c:v>1.25513816930426</c:v>
                </c:pt>
                <c:pt idx="52">
                  <c:v>1.2551798339744</c:v>
                </c:pt>
                <c:pt idx="53">
                  <c:v>1.25512930135832</c:v>
                </c:pt>
                <c:pt idx="54">
                  <c:v>1.25551590948994</c:v>
                </c:pt>
                <c:pt idx="55">
                  <c:v>1.2559980171518601</c:v>
                </c:pt>
                <c:pt idx="56">
                  <c:v>1.2564746851881901</c:v>
                </c:pt>
                <c:pt idx="57">
                  <c:v>1.25692020109947</c:v>
                </c:pt>
                <c:pt idx="58">
                  <c:v>1.2573902412400699</c:v>
                </c:pt>
                <c:pt idx="59">
                  <c:v>1.25792909666733</c:v>
                </c:pt>
                <c:pt idx="60">
                  <c:v>1.25833168087275</c:v>
                </c:pt>
                <c:pt idx="61">
                  <c:v>1.2582845352647301</c:v>
                </c:pt>
                <c:pt idx="62">
                  <c:v>1.2581893521145899</c:v>
                </c:pt>
                <c:pt idx="63">
                  <c:v>1.25810150558283</c:v>
                </c:pt>
                <c:pt idx="64">
                  <c:v>1.2575296882959</c:v>
                </c:pt>
                <c:pt idx="65">
                  <c:v>1.2571225995259401</c:v>
                </c:pt>
                <c:pt idx="66">
                  <c:v>1.2565256482241201</c:v>
                </c:pt>
                <c:pt idx="67">
                  <c:v>1.2559819402510199</c:v>
                </c:pt>
                <c:pt idx="68">
                  <c:v>1.2554467157098701</c:v>
                </c:pt>
                <c:pt idx="69">
                  <c:v>1.2549758397324999</c:v>
                </c:pt>
                <c:pt idx="70">
                  <c:v>1.2546435150523501</c:v>
                </c:pt>
                <c:pt idx="71">
                  <c:v>1.2545914348159299</c:v>
                </c:pt>
                <c:pt idx="72">
                  <c:v>1.25461136369646</c:v>
                </c:pt>
                <c:pt idx="73">
                  <c:v>1.2552070715638299</c:v>
                </c:pt>
                <c:pt idx="74">
                  <c:v>1.2556988841593899</c:v>
                </c:pt>
                <c:pt idx="75">
                  <c:v>1.25600997923984</c:v>
                </c:pt>
                <c:pt idx="76">
                  <c:v>1.25651568410557</c:v>
                </c:pt>
                <c:pt idx="77">
                  <c:v>1.2569479607626299</c:v>
                </c:pt>
                <c:pt idx="78">
                  <c:v>1.25741963257948</c:v>
                </c:pt>
                <c:pt idx="79">
                  <c:v>1.2578812631440399</c:v>
                </c:pt>
                <c:pt idx="80">
                  <c:v>1.2582869860058199</c:v>
                </c:pt>
                <c:pt idx="81">
                  <c:v>1.25876110136973</c:v>
                </c:pt>
                <c:pt idx="82">
                  <c:v>1.25863339972345</c:v>
                </c:pt>
                <c:pt idx="83">
                  <c:v>1.25812366048883</c:v>
                </c:pt>
                <c:pt idx="84">
                  <c:v>1.2577534553954901</c:v>
                </c:pt>
                <c:pt idx="85">
                  <c:v>1.25735860027236</c:v>
                </c:pt>
                <c:pt idx="86">
                  <c:v>1.2569515670457501</c:v>
                </c:pt>
                <c:pt idx="87">
                  <c:v>1.2565673211283599</c:v>
                </c:pt>
                <c:pt idx="88">
                  <c:v>1.2559898427838001</c:v>
                </c:pt>
                <c:pt idx="89">
                  <c:v>1.25546104566022</c:v>
                </c:pt>
                <c:pt idx="90">
                  <c:v>1.2548555477296901</c:v>
                </c:pt>
                <c:pt idx="91">
                  <c:v>1.2543369408977001</c:v>
                </c:pt>
                <c:pt idx="92">
                  <c:v>1.25438822324906</c:v>
                </c:pt>
                <c:pt idx="93">
                  <c:v>1.2548323986298699</c:v>
                </c:pt>
                <c:pt idx="94">
                  <c:v>1.2552571123703899</c:v>
                </c:pt>
                <c:pt idx="95">
                  <c:v>1.25567762972623</c:v>
                </c:pt>
                <c:pt idx="96">
                  <c:v>1.25613302091122</c:v>
                </c:pt>
                <c:pt idx="97">
                  <c:v>1.2565888342652201</c:v>
                </c:pt>
                <c:pt idx="98">
                  <c:v>1.25729380177274</c:v>
                </c:pt>
                <c:pt idx="99">
                  <c:v>1.25796076917597</c:v>
                </c:pt>
                <c:pt idx="100">
                  <c:v>1.2584678749868401</c:v>
                </c:pt>
                <c:pt idx="101">
                  <c:v>1.25892571710538</c:v>
                </c:pt>
                <c:pt idx="102">
                  <c:v>1.25897168129693</c:v>
                </c:pt>
                <c:pt idx="103">
                  <c:v>1.2584783098562899</c:v>
                </c:pt>
                <c:pt idx="104">
                  <c:v>1.2581398944361699</c:v>
                </c:pt>
                <c:pt idx="105">
                  <c:v>1.25768593404829</c:v>
                </c:pt>
                <c:pt idx="106">
                  <c:v>1.25730778718331</c:v>
                </c:pt>
                <c:pt idx="107">
                  <c:v>1.2567244133379001</c:v>
                </c:pt>
                <c:pt idx="108">
                  <c:v>1.25611923961479</c:v>
                </c:pt>
                <c:pt idx="109">
                  <c:v>1.2554794258347599</c:v>
                </c:pt>
                <c:pt idx="110">
                  <c:v>1.2549845542834399</c:v>
                </c:pt>
                <c:pt idx="111">
                  <c:v>1.2545390052297001</c:v>
                </c:pt>
                <c:pt idx="112">
                  <c:v>1.25458729108195</c:v>
                </c:pt>
                <c:pt idx="113">
                  <c:v>1.25459871128012</c:v>
                </c:pt>
                <c:pt idx="114">
                  <c:v>1.25445350314846</c:v>
                </c:pt>
                <c:pt idx="115">
                  <c:v>1.2544895192624099</c:v>
                </c:pt>
                <c:pt idx="116">
                  <c:v>1.2549756641335801</c:v>
                </c:pt>
                <c:pt idx="117">
                  <c:v>1.25567952351942</c:v>
                </c:pt>
                <c:pt idx="118">
                  <c:v>1.2561859237580599</c:v>
                </c:pt>
                <c:pt idx="119">
                  <c:v>1.2567144650586399</c:v>
                </c:pt>
                <c:pt idx="120">
                  <c:v>1.25734157552656</c:v>
                </c:pt>
                <c:pt idx="121">
                  <c:v>1.2579549274851201</c:v>
                </c:pt>
                <c:pt idx="122">
                  <c:v>1.25854905848702</c:v>
                </c:pt>
                <c:pt idx="123">
                  <c:v>1.2586485977005899</c:v>
                </c:pt>
                <c:pt idx="124">
                  <c:v>1.25861175175128</c:v>
                </c:pt>
                <c:pt idx="125">
                  <c:v>1.2586486666122101</c:v>
                </c:pt>
                <c:pt idx="126">
                  <c:v>1.25811390725392</c:v>
                </c:pt>
                <c:pt idx="127">
                  <c:v>1.25755690955785</c:v>
                </c:pt>
                <c:pt idx="128">
                  <c:v>1.25712481102471</c:v>
                </c:pt>
                <c:pt idx="129">
                  <c:v>1.2566095346881101</c:v>
                </c:pt>
                <c:pt idx="130">
                  <c:v>1.25608534251892</c:v>
                </c:pt>
                <c:pt idx="131">
                  <c:v>1.2555740289720501</c:v>
                </c:pt>
                <c:pt idx="132">
                  <c:v>1.25495895923402</c:v>
                </c:pt>
                <c:pt idx="133">
                  <c:v>1.2549124203429101</c:v>
                </c:pt>
                <c:pt idx="134">
                  <c:v>1.25506044898904</c:v>
                </c:pt>
                <c:pt idx="135">
                  <c:v>1.2557405352667701</c:v>
                </c:pt>
                <c:pt idx="136">
                  <c:v>1.25633476801823</c:v>
                </c:pt>
                <c:pt idx="137">
                  <c:v>1.25686817453511</c:v>
                </c:pt>
                <c:pt idx="138">
                  <c:v>1.2574308363822799</c:v>
                </c:pt>
                <c:pt idx="139">
                  <c:v>1.25800382716948</c:v>
                </c:pt>
                <c:pt idx="140">
                  <c:v>1.25856051912027</c:v>
                </c:pt>
                <c:pt idx="141">
                  <c:v>1.2590181983951501</c:v>
                </c:pt>
                <c:pt idx="142">
                  <c:v>1.25960332044625</c:v>
                </c:pt>
                <c:pt idx="143">
                  <c:v>1.26028563935347</c:v>
                </c:pt>
                <c:pt idx="144">
                  <c:v>1.26089715590493</c:v>
                </c:pt>
                <c:pt idx="145">
                  <c:v>1.26024973482179</c:v>
                </c:pt>
                <c:pt idx="146">
                  <c:v>1.2597325047528101</c:v>
                </c:pt>
                <c:pt idx="147">
                  <c:v>1.25932403031604</c:v>
                </c:pt>
                <c:pt idx="148">
                  <c:v>1.2588396954316801</c:v>
                </c:pt>
                <c:pt idx="149">
                  <c:v>1.2584288862506601</c:v>
                </c:pt>
                <c:pt idx="150">
                  <c:v>1.2578133174556001</c:v>
                </c:pt>
                <c:pt idx="151">
                  <c:v>1.2574218145631</c:v>
                </c:pt>
                <c:pt idx="152">
                  <c:v>1.25685386039817</c:v>
                </c:pt>
                <c:pt idx="153">
                  <c:v>1.2562974518135199</c:v>
                </c:pt>
                <c:pt idx="154">
                  <c:v>1.2556910663934999</c:v>
                </c:pt>
                <c:pt idx="155">
                  <c:v>1.2557413446677601</c:v>
                </c:pt>
                <c:pt idx="156">
                  <c:v>1.25573228742987</c:v>
                </c:pt>
                <c:pt idx="157">
                  <c:v>1.2557084251624</c:v>
                </c:pt>
                <c:pt idx="158">
                  <c:v>1.25556213872468</c:v>
                </c:pt>
                <c:pt idx="159">
                  <c:v>1.25552799612822</c:v>
                </c:pt>
                <c:pt idx="160">
                  <c:v>1.2561949129796199</c:v>
                </c:pt>
                <c:pt idx="161">
                  <c:v>1.25662271682654</c:v>
                </c:pt>
                <c:pt idx="162">
                  <c:v>1.25721210778922</c:v>
                </c:pt>
                <c:pt idx="163">
                  <c:v>1.25789026553575</c:v>
                </c:pt>
                <c:pt idx="164">
                  <c:v>1.25849665095577</c:v>
                </c:pt>
                <c:pt idx="165">
                  <c:v>1.25910298799889</c:v>
                </c:pt>
                <c:pt idx="166">
                  <c:v>1.2591076749130301</c:v>
                </c:pt>
                <c:pt idx="167">
                  <c:v>1.2590528522950299</c:v>
                </c:pt>
                <c:pt idx="168">
                  <c:v>1.2591798517206401</c:v>
                </c:pt>
                <c:pt idx="169">
                  <c:v>1.25918335994547</c:v>
                </c:pt>
                <c:pt idx="170">
                  <c:v>1.25861886446789</c:v>
                </c:pt>
                <c:pt idx="171">
                  <c:v>1.2581845640409499</c:v>
                </c:pt>
                <c:pt idx="172">
                  <c:v>1.2578297396684399</c:v>
                </c:pt>
                <c:pt idx="173">
                  <c:v>1.25712809054916</c:v>
                </c:pt>
                <c:pt idx="174">
                  <c:v>1.2565578780356299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D1-4CD0-BFC8-DBE42B226184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IBDZ/BSCY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1.2567423622459</c:v>
                </c:pt>
                <c:pt idx="20">
                  <c:v>1.25667129717865</c:v>
                </c:pt>
                <c:pt idx="21">
                  <c:v>1.2566367040858499</c:v>
                </c:pt>
                <c:pt idx="22">
                  <c:v>1.2565606966789</c:v>
                </c:pt>
                <c:pt idx="23">
                  <c:v>1.2566323957297501</c:v>
                </c:pt>
                <c:pt idx="24">
                  <c:v>1.25659043817773</c:v>
                </c:pt>
                <c:pt idx="25">
                  <c:v>1.2565490001869599</c:v>
                </c:pt>
                <c:pt idx="26">
                  <c:v>1.2565187455476901</c:v>
                </c:pt>
                <c:pt idx="27">
                  <c:v>1.25644758805243</c:v>
                </c:pt>
                <c:pt idx="28">
                  <c:v>1.25645919021355</c:v>
                </c:pt>
                <c:pt idx="29">
                  <c:v>1.25655257996301</c:v>
                </c:pt>
                <c:pt idx="30">
                  <c:v>1.2566394652346</c:v>
                </c:pt>
                <c:pt idx="31">
                  <c:v>1.2564328472697699</c:v>
                </c:pt>
                <c:pt idx="32">
                  <c:v>1.25611998788337</c:v>
                </c:pt>
                <c:pt idx="33">
                  <c:v>1.2558733923099901</c:v>
                </c:pt>
                <c:pt idx="34">
                  <c:v>1.25592876800134</c:v>
                </c:pt>
                <c:pt idx="35">
                  <c:v>1.2558954211718201</c:v>
                </c:pt>
                <c:pt idx="36">
                  <c:v>1.25586175182107</c:v>
                </c:pt>
                <c:pt idx="37">
                  <c:v>1.25585730297058</c:v>
                </c:pt>
                <c:pt idx="38">
                  <c:v>1.2558468644868399</c:v>
                </c:pt>
                <c:pt idx="39">
                  <c:v>1.25564300611514</c:v>
                </c:pt>
                <c:pt idx="40">
                  <c:v>1.2556415603598801</c:v>
                </c:pt>
                <c:pt idx="41">
                  <c:v>1.2556459561818401</c:v>
                </c:pt>
                <c:pt idx="42">
                  <c:v>1.2556805368767401</c:v>
                </c:pt>
                <c:pt idx="43">
                  <c:v>1.25568104659572</c:v>
                </c:pt>
                <c:pt idx="44">
                  <c:v>1.25571642239881</c:v>
                </c:pt>
                <c:pt idx="45">
                  <c:v>1.25571123705093</c:v>
                </c:pt>
                <c:pt idx="46">
                  <c:v>1.25573787861108</c:v>
                </c:pt>
                <c:pt idx="47">
                  <c:v>1.2558253673347499</c:v>
                </c:pt>
                <c:pt idx="48">
                  <c:v>1.25584900799669</c:v>
                </c:pt>
                <c:pt idx="49">
                  <c:v>1.25580623014438</c:v>
                </c:pt>
                <c:pt idx="50">
                  <c:v>1.25578082716277</c:v>
                </c:pt>
                <c:pt idx="51">
                  <c:v>1.25589331104455</c:v>
                </c:pt>
                <c:pt idx="52">
                  <c:v>1.2559751872795399</c:v>
                </c:pt>
                <c:pt idx="53">
                  <c:v>1.25602360520801</c:v>
                </c:pt>
                <c:pt idx="54">
                  <c:v>1.2559999294059101</c:v>
                </c:pt>
                <c:pt idx="55">
                  <c:v>1.25602454569125</c:v>
                </c:pt>
                <c:pt idx="56">
                  <c:v>1.2560419500701501</c:v>
                </c:pt>
                <c:pt idx="57">
                  <c:v>1.2560754880956599</c:v>
                </c:pt>
                <c:pt idx="58">
                  <c:v>1.25612835240521</c:v>
                </c:pt>
                <c:pt idx="59">
                  <c:v>1.2564013688800699</c:v>
                </c:pt>
                <c:pt idx="60">
                  <c:v>1.2566588348440599</c:v>
                </c:pt>
                <c:pt idx="61">
                  <c:v>1.2567113522844899</c:v>
                </c:pt>
                <c:pt idx="62">
                  <c:v>1.2566845930445001</c:v>
                </c:pt>
                <c:pt idx="63">
                  <c:v>1.2566154034705801</c:v>
                </c:pt>
                <c:pt idx="64">
                  <c:v>1.25652279889292</c:v>
                </c:pt>
                <c:pt idx="65">
                  <c:v>1.2565603083389001</c:v>
                </c:pt>
                <c:pt idx="66">
                  <c:v>1.2565001667061599</c:v>
                </c:pt>
                <c:pt idx="67">
                  <c:v>1.2564510706752501</c:v>
                </c:pt>
                <c:pt idx="68">
                  <c:v>1.2564184784749699</c:v>
                </c:pt>
                <c:pt idx="69">
                  <c:v>1.2564524681999101</c:v>
                </c:pt>
                <c:pt idx="70">
                  <c:v>1.2564875979625501</c:v>
                </c:pt>
                <c:pt idx="71">
                  <c:v>1.25643798504033</c:v>
                </c:pt>
                <c:pt idx="72">
                  <c:v>1.2564003579055301</c:v>
                </c:pt>
                <c:pt idx="73">
                  <c:v>1.2566542885733301</c:v>
                </c:pt>
                <c:pt idx="74">
                  <c:v>1.2566142862276499</c:v>
                </c:pt>
                <c:pt idx="75">
                  <c:v>1.2565662893828899</c:v>
                </c:pt>
                <c:pt idx="76">
                  <c:v>1.25652066616485</c:v>
                </c:pt>
                <c:pt idx="77">
                  <c:v>1.2564649505068199</c:v>
                </c:pt>
                <c:pt idx="78">
                  <c:v>1.2564331741446699</c:v>
                </c:pt>
                <c:pt idx="79">
                  <c:v>1.25642855143827</c:v>
                </c:pt>
                <c:pt idx="80">
                  <c:v>1.2564652505290801</c:v>
                </c:pt>
                <c:pt idx="81">
                  <c:v>1.2566762680928301</c:v>
                </c:pt>
                <c:pt idx="82">
                  <c:v>1.25662238170995</c:v>
                </c:pt>
                <c:pt idx="83">
                  <c:v>1.2566653660263301</c:v>
                </c:pt>
                <c:pt idx="84">
                  <c:v>1.2567261697774399</c:v>
                </c:pt>
                <c:pt idx="85">
                  <c:v>1.2566842897560999</c:v>
                </c:pt>
                <c:pt idx="86">
                  <c:v>1.25673362557566</c:v>
                </c:pt>
                <c:pt idx="87">
                  <c:v>1.2567576409454899</c:v>
                </c:pt>
                <c:pt idx="88">
                  <c:v>1.25670473768164</c:v>
                </c:pt>
                <c:pt idx="89">
                  <c:v>1.2566711544021301</c:v>
                </c:pt>
                <c:pt idx="90">
                  <c:v>1.25657126686775</c:v>
                </c:pt>
                <c:pt idx="91">
                  <c:v>1.25654902113372</c:v>
                </c:pt>
                <c:pt idx="92">
                  <c:v>1.25651081148626</c:v>
                </c:pt>
                <c:pt idx="93">
                  <c:v>1.2564780295593501</c:v>
                </c:pt>
                <c:pt idx="94">
                  <c:v>1.25650528388294</c:v>
                </c:pt>
                <c:pt idx="95">
                  <c:v>1.2565181149992899</c:v>
                </c:pt>
                <c:pt idx="96">
                  <c:v>1.25654229397849</c:v>
                </c:pt>
                <c:pt idx="97">
                  <c:v>1.2565780776967901</c:v>
                </c:pt>
                <c:pt idx="98">
                  <c:v>1.25664182227827</c:v>
                </c:pt>
                <c:pt idx="99">
                  <c:v>1.2567109074181</c:v>
                </c:pt>
                <c:pt idx="100">
                  <c:v>1.2566617113582601</c:v>
                </c:pt>
                <c:pt idx="101">
                  <c:v>1.2566313290015401</c:v>
                </c:pt>
                <c:pt idx="102">
                  <c:v>1.2566799522729999</c:v>
                </c:pt>
                <c:pt idx="103">
                  <c:v>1.2566553542430801</c:v>
                </c:pt>
                <c:pt idx="104">
                  <c:v>1.25669850340328</c:v>
                </c:pt>
                <c:pt idx="105">
                  <c:v>1.25668178188726</c:v>
                </c:pt>
                <c:pt idx="106">
                  <c:v>1.2567204040472699</c:v>
                </c:pt>
                <c:pt idx="107">
                  <c:v>1.25665662380156</c:v>
                </c:pt>
                <c:pt idx="108">
                  <c:v>1.25670652069376</c:v>
                </c:pt>
                <c:pt idx="109">
                  <c:v>1.2567200975053601</c:v>
                </c:pt>
                <c:pt idx="110">
                  <c:v>1.2567262146351399</c:v>
                </c:pt>
                <c:pt idx="111">
                  <c:v>1.2567323611675401</c:v>
                </c:pt>
                <c:pt idx="112">
                  <c:v>1.2567794861894399</c:v>
                </c:pt>
                <c:pt idx="113">
                  <c:v>1.2565385105682001</c:v>
                </c:pt>
                <c:pt idx="114">
                  <c:v>1.2562966987923201</c:v>
                </c:pt>
                <c:pt idx="115">
                  <c:v>1.2560877266553501</c:v>
                </c:pt>
                <c:pt idx="116">
                  <c:v>1.25614172565844</c:v>
                </c:pt>
                <c:pt idx="117">
                  <c:v>1.2562019684286601</c:v>
                </c:pt>
                <c:pt idx="118">
                  <c:v>1.2561525816864201</c:v>
                </c:pt>
                <c:pt idx="119">
                  <c:v>1.2560969454466999</c:v>
                </c:pt>
                <c:pt idx="120">
                  <c:v>1.256163064905</c:v>
                </c:pt>
                <c:pt idx="121">
                  <c:v>1.2562469663574101</c:v>
                </c:pt>
                <c:pt idx="122">
                  <c:v>1.2565681747844899</c:v>
                </c:pt>
                <c:pt idx="123">
                  <c:v>1.25662365449035</c:v>
                </c:pt>
                <c:pt idx="124">
                  <c:v>1.25653262744987</c:v>
                </c:pt>
                <c:pt idx="125">
                  <c:v>1.2565690929373099</c:v>
                </c:pt>
                <c:pt idx="126">
                  <c:v>1.2565447856937499</c:v>
                </c:pt>
                <c:pt idx="127">
                  <c:v>1.2566182165386299</c:v>
                </c:pt>
                <c:pt idx="128">
                  <c:v>1.2566553673913801</c:v>
                </c:pt>
                <c:pt idx="129">
                  <c:v>1.2566619998733799</c:v>
                </c:pt>
                <c:pt idx="130">
                  <c:v>1.25671345902274</c:v>
                </c:pt>
                <c:pt idx="131">
                  <c:v>1.2567644782285801</c:v>
                </c:pt>
                <c:pt idx="132">
                  <c:v>1.25675400886052</c:v>
                </c:pt>
                <c:pt idx="133">
                  <c:v>1.2567805090217501</c:v>
                </c:pt>
                <c:pt idx="134">
                  <c:v>1.25683610037016</c:v>
                </c:pt>
                <c:pt idx="135">
                  <c:v>1.2571946009394901</c:v>
                </c:pt>
                <c:pt idx="136">
                  <c:v>1.2572243376360801</c:v>
                </c:pt>
                <c:pt idx="137">
                  <c:v>1.2572125420464799</c:v>
                </c:pt>
                <c:pt idx="138">
                  <c:v>1.2572778237034901</c:v>
                </c:pt>
                <c:pt idx="139">
                  <c:v>1.2573066809288</c:v>
                </c:pt>
                <c:pt idx="140">
                  <c:v>1.2573229308195999</c:v>
                </c:pt>
                <c:pt idx="141">
                  <c:v>1.2572961136836001</c:v>
                </c:pt>
                <c:pt idx="142">
                  <c:v>1.25728113984014</c:v>
                </c:pt>
                <c:pt idx="143">
                  <c:v>1.2575990298481901</c:v>
                </c:pt>
                <c:pt idx="144">
                  <c:v>1.25797880244698</c:v>
                </c:pt>
                <c:pt idx="145">
                  <c:v>1.25799513504428</c:v>
                </c:pt>
                <c:pt idx="146">
                  <c:v>1.25803363638552</c:v>
                </c:pt>
                <c:pt idx="147">
                  <c:v>1.2580961024255699</c:v>
                </c:pt>
                <c:pt idx="148">
                  <c:v>1.25813526590698</c:v>
                </c:pt>
                <c:pt idx="149">
                  <c:v>1.2582163567100699</c:v>
                </c:pt>
                <c:pt idx="150">
                  <c:v>1.2581869182879399</c:v>
                </c:pt>
                <c:pt idx="151">
                  <c:v>1.25822000647913</c:v>
                </c:pt>
                <c:pt idx="152">
                  <c:v>1.2582285904222099</c:v>
                </c:pt>
                <c:pt idx="153">
                  <c:v>1.2582915455835</c:v>
                </c:pt>
                <c:pt idx="154">
                  <c:v>1.2582941111492101</c:v>
                </c:pt>
                <c:pt idx="155">
                  <c:v>1.25799553974478</c:v>
                </c:pt>
                <c:pt idx="156">
                  <c:v>1.25773239609134</c:v>
                </c:pt>
                <c:pt idx="157">
                  <c:v>1.25751622773922</c:v>
                </c:pt>
                <c:pt idx="158">
                  <c:v>1.2572009170781799</c:v>
                </c:pt>
                <c:pt idx="159">
                  <c:v>1.25697844118944</c:v>
                </c:pt>
                <c:pt idx="160">
                  <c:v>1.2570041152176099</c:v>
                </c:pt>
                <c:pt idx="161">
                  <c:v>1.25702226569482</c:v>
                </c:pt>
                <c:pt idx="162">
                  <c:v>1.25703298409369</c:v>
                </c:pt>
                <c:pt idx="163">
                  <c:v>1.2570938586746301</c:v>
                </c:pt>
                <c:pt idx="164">
                  <c:v>1.2570938586746301</c:v>
                </c:pt>
                <c:pt idx="165">
                  <c:v>1.25742216633333</c:v>
                </c:pt>
                <c:pt idx="166">
                  <c:v>1.2574199811714499</c:v>
                </c:pt>
                <c:pt idx="167">
                  <c:v>1.2573806387287101</c:v>
                </c:pt>
                <c:pt idx="168">
                  <c:v>1.2573709952226599</c:v>
                </c:pt>
                <c:pt idx="169">
                  <c:v>1.25735567803685</c:v>
                </c:pt>
                <c:pt idx="170">
                  <c:v>1.2574068887237499</c:v>
                </c:pt>
                <c:pt idx="171">
                  <c:v>1.2574036404337401</c:v>
                </c:pt>
                <c:pt idx="172">
                  <c:v>1.2575209237288301</c:v>
                </c:pt>
                <c:pt idx="173">
                  <c:v>1.2575091780424501</c:v>
                </c:pt>
                <c:pt idx="174">
                  <c:v>1.2575272644957001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D1-4CD0-BFC8-DBE42B226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BSCY* x 10 dma / IBDZ*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9.9262001587839001E-4</c:v>
                </c:pt>
                <c:pt idx="11">
                  <c:v>1.50554848777522E-3</c:v>
                </c:pt>
                <c:pt idx="12">
                  <c:v>-5.4899368419830902E-4</c:v>
                </c:pt>
                <c:pt idx="13">
                  <c:v>4.4304380415008702E-4</c:v>
                </c:pt>
                <c:pt idx="14">
                  <c:v>6.3686789584530901E-4</c:v>
                </c:pt>
                <c:pt idx="15">
                  <c:v>-2.6108171194784701E-4</c:v>
                </c:pt>
                <c:pt idx="16">
                  <c:v>-8.9714963310418103E-4</c:v>
                </c:pt>
                <c:pt idx="17">
                  <c:v>-2.26173408793169E-4</c:v>
                </c:pt>
                <c:pt idx="18">
                  <c:v>-8.8272192788595199E-5</c:v>
                </c:pt>
                <c:pt idx="19">
                  <c:v>6.4292974288479099E-4</c:v>
                </c:pt>
                <c:pt idx="20">
                  <c:v>2.0011729389631799E-4</c:v>
                </c:pt>
                <c:pt idx="21">
                  <c:v>-1.6055786643321901E-4</c:v>
                </c:pt>
                <c:pt idx="22">
                  <c:v>-1.3717711829489099E-4</c:v>
                </c:pt>
                <c:pt idx="23">
                  <c:v>-9.3766332276825498E-4</c:v>
                </c:pt>
                <c:pt idx="24">
                  <c:v>-2.4836041011933101E-4</c:v>
                </c:pt>
                <c:pt idx="25">
                  <c:v>-1.66530416131492E-4</c:v>
                </c:pt>
                <c:pt idx="26">
                  <c:v>-1.5321539905990199E-4</c:v>
                </c:pt>
                <c:pt idx="27">
                  <c:v>4.5268392741992103E-4</c:v>
                </c:pt>
                <c:pt idx="28">
                  <c:v>-4.3321752573726802E-4</c:v>
                </c:pt>
                <c:pt idx="29">
                  <c:v>-5.5784394768692105E-4</c:v>
                </c:pt>
                <c:pt idx="30">
                  <c:v>-6.9172321544430702E-4</c:v>
                </c:pt>
                <c:pt idx="31">
                  <c:v>8.3716799465272703E-4</c:v>
                </c:pt>
                <c:pt idx="32">
                  <c:v>6.0196777690591603E-4</c:v>
                </c:pt>
                <c:pt idx="33">
                  <c:v>5.5985111102123202E-4</c:v>
                </c:pt>
                <c:pt idx="34">
                  <c:v>-3.3987365949475002E-4</c:v>
                </c:pt>
                <c:pt idx="35">
                  <c:v>3.31216459343871E-4</c:v>
                </c:pt>
                <c:pt idx="36">
                  <c:v>-2.7905217239987401E-4</c:v>
                </c:pt>
                <c:pt idx="37">
                  <c:v>-7.76530949065948E-5</c:v>
                </c:pt>
                <c:pt idx="38">
                  <c:v>2.6505085353479999E-4</c:v>
                </c:pt>
                <c:pt idx="39">
                  <c:v>2.52754279214307E-4</c:v>
                </c:pt>
                <c:pt idx="40">
                  <c:v>4.5610171705024702E-4</c:v>
                </c:pt>
                <c:pt idx="41">
                  <c:v>-1.4578386250609299E-4</c:v>
                </c:pt>
                <c:pt idx="42">
                  <c:v>-6.6403975850100197E-4</c:v>
                </c:pt>
                <c:pt idx="43">
                  <c:v>-7.6977227056891705E-4</c:v>
                </c:pt>
                <c:pt idx="44">
                  <c:v>-6.3929917581067599E-4</c:v>
                </c:pt>
                <c:pt idx="45">
                  <c:v>3.6207547512039599E-5</c:v>
                </c:pt>
                <c:pt idx="46">
                  <c:v>-4.2513101236899101E-4</c:v>
                </c:pt>
                <c:pt idx="47">
                  <c:v>-7.04192040730106E-4</c:v>
                </c:pt>
                <c:pt idx="48">
                  <c:v>-4.4754277570413601E-4</c:v>
                </c:pt>
                <c:pt idx="49">
                  <c:v>5.1651320346506404E-4</c:v>
                </c:pt>
                <c:pt idx="50">
                  <c:v>-2.9967544113208401E-5</c:v>
                </c:pt>
                <c:pt idx="51">
                  <c:v>-7.2553604278212597E-4</c:v>
                </c:pt>
                <c:pt idx="52">
                  <c:v>-3.0470261953663202E-4</c:v>
                </c:pt>
                <c:pt idx="53">
                  <c:v>2.5676628327053698E-4</c:v>
                </c:pt>
                <c:pt idx="54">
                  <c:v>6.0095069483735101E-4</c:v>
                </c:pt>
                <c:pt idx="55">
                  <c:v>4.20182371176461E-4</c:v>
                </c:pt>
                <c:pt idx="56">
                  <c:v>-4.63215439130305E-5</c:v>
                </c:pt>
                <c:pt idx="57">
                  <c:v>-8.3262161572527903E-5</c:v>
                </c:pt>
                <c:pt idx="58">
                  <c:v>-1.2418757355000599E-4</c:v>
                </c:pt>
                <c:pt idx="59">
                  <c:v>1.7050168478464599E-4</c:v>
                </c:pt>
                <c:pt idx="60">
                  <c:v>7.1233195494415996E-4</c:v>
                </c:pt>
                <c:pt idx="61">
                  <c:v>-4.4919509728700901E-4</c:v>
                </c:pt>
                <c:pt idx="62">
                  <c:v>1.9728187496526099E-4</c:v>
                </c:pt>
                <c:pt idx="63">
                  <c:v>5.9736437160209704E-4</c:v>
                </c:pt>
                <c:pt idx="64">
                  <c:v>9.1949860473388703E-4</c:v>
                </c:pt>
                <c:pt idx="65">
                  <c:v>-5.5491552102217496E-4</c:v>
                </c:pt>
                <c:pt idx="66">
                  <c:v>5.5654720669264305E-4</c:v>
                </c:pt>
                <c:pt idx="67">
                  <c:v>-7.9387644311729001E-6</c:v>
                </c:pt>
                <c:pt idx="68">
                  <c:v>-1.2853624370472001E-4</c:v>
                </c:pt>
                <c:pt idx="69">
                  <c:v>-3.37040015813767E-4</c:v>
                </c:pt>
                <c:pt idx="70">
                  <c:v>-8.8785755076772205E-4</c:v>
                </c:pt>
                <c:pt idx="71">
                  <c:v>-2.1079267392182599E-4</c:v>
                </c:pt>
                <c:pt idx="72">
                  <c:v>-1.40892331991103E-4</c:v>
                </c:pt>
                <c:pt idx="73">
                  <c:v>-5.2914204863225797E-4</c:v>
                </c:pt>
                <c:pt idx="74">
                  <c:v>7.8486303927471001E-4</c:v>
                </c:pt>
                <c:pt idx="75">
                  <c:v>8.1106645234053205E-4</c:v>
                </c:pt>
                <c:pt idx="76">
                  <c:v>2.1075065032325599E-4</c:v>
                </c:pt>
                <c:pt idx="77">
                  <c:v>3.37706170911172E-4</c:v>
                </c:pt>
                <c:pt idx="78">
                  <c:v>-7.3321250765096403E-5</c:v>
                </c:pt>
                <c:pt idx="79">
                  <c:v>-1.66047794754544E-4</c:v>
                </c:pt>
                <c:pt idx="80">
                  <c:v>-2.8238363935355402E-4</c:v>
                </c:pt>
                <c:pt idx="81">
                  <c:v>-3.2483276814725901E-4</c:v>
                </c:pt>
                <c:pt idx="82">
                  <c:v>4.7471949489748499E-4</c:v>
                </c:pt>
                <c:pt idx="83">
                  <c:v>-6.4386653648576401E-4</c:v>
                </c:pt>
                <c:pt idx="84">
                  <c:v>-5.3798092939267498E-4</c:v>
                </c:pt>
                <c:pt idx="85">
                  <c:v>-2.1807236403821999E-4</c:v>
                </c:pt>
                <c:pt idx="86">
                  <c:v>-5.2000415126501301E-4</c:v>
                </c:pt>
                <c:pt idx="87">
                  <c:v>-5.1679646977563997E-4</c:v>
                </c:pt>
                <c:pt idx="88">
                  <c:v>7.0809358016169703E-4</c:v>
                </c:pt>
                <c:pt idx="89">
                  <c:v>1.7628801763954201E-4</c:v>
                </c:pt>
                <c:pt idx="90">
                  <c:v>6.3924713326026395E-4</c:v>
                </c:pt>
                <c:pt idx="91">
                  <c:v>-9.9466035916150899E-5</c:v>
                </c:pt>
                <c:pt idx="92">
                  <c:v>2.5543794229797398E-4</c:v>
                </c:pt>
                <c:pt idx="93">
                  <c:v>3.7082331205384202E-4</c:v>
                </c:pt>
                <c:pt idx="94">
                  <c:v>5.7044215754687095E-4</c:v>
                </c:pt>
                <c:pt idx="95">
                  <c:v>6.9411733202295997E-4</c:v>
                </c:pt>
                <c:pt idx="96">
                  <c:v>-5.9867608787405098E-5</c:v>
                </c:pt>
                <c:pt idx="97">
                  <c:v>-2.11794564344016E-4</c:v>
                </c:pt>
                <c:pt idx="98">
                  <c:v>-1.1118555198644099E-3</c:v>
                </c:pt>
                <c:pt idx="99">
                  <c:v>-1.1613116681735E-3</c:v>
                </c:pt>
                <c:pt idx="100">
                  <c:v>6.5501543064741096E-4</c:v>
                </c:pt>
                <c:pt idx="101">
                  <c:v>3.5531927711397997E-4</c:v>
                </c:pt>
                <c:pt idx="102">
                  <c:v>-1.01162733039571E-4</c:v>
                </c:pt>
                <c:pt idx="103">
                  <c:v>1.37573255956954E-5</c:v>
                </c:pt>
                <c:pt idx="104">
                  <c:v>-9.2561342353986598E-4</c:v>
                </c:pt>
                <c:pt idx="105">
                  <c:v>3.55126996632365E-4</c:v>
                </c:pt>
                <c:pt idx="106">
                  <c:v>-8.5469628531690601E-4</c:v>
                </c:pt>
                <c:pt idx="107">
                  <c:v>7.7034377186515496E-4</c:v>
                </c:pt>
                <c:pt idx="108">
                  <c:v>5.9776747634568802E-5</c:v>
                </c:pt>
                <c:pt idx="109">
                  <c:v>7.5526770350189693E-5</c:v>
                </c:pt>
                <c:pt idx="110">
                  <c:v>5.6607679184511497E-4</c:v>
                </c:pt>
                <c:pt idx="111">
                  <c:v>-8.83197567564625E-5</c:v>
                </c:pt>
                <c:pt idx="112">
                  <c:v>-3.1984493521113202E-4</c:v>
                </c:pt>
                <c:pt idx="113">
                  <c:v>1.0248797014767701E-4</c:v>
                </c:pt>
                <c:pt idx="114">
                  <c:v>3.7865097211912702E-4</c:v>
                </c:pt>
                <c:pt idx="115">
                  <c:v>-9.4023990175840403E-6</c:v>
                </c:pt>
                <c:pt idx="116">
                  <c:v>-5.5381410659659301E-4</c:v>
                </c:pt>
                <c:pt idx="117">
                  <c:v>-7.7873667299219705E-4</c:v>
                </c:pt>
                <c:pt idx="118">
                  <c:v>2.1751516034372801E-4</c:v>
                </c:pt>
                <c:pt idx="119">
                  <c:v>1.06849437626842E-4</c:v>
                </c:pt>
                <c:pt idx="120">
                  <c:v>-8.1476555148074297E-5</c:v>
                </c:pt>
                <c:pt idx="121">
                  <c:v>-5.66793784988164E-4</c:v>
                </c:pt>
                <c:pt idx="122">
                  <c:v>-6.1773618782533799E-4</c:v>
                </c:pt>
                <c:pt idx="123">
                  <c:v>-3.6915273965798003E-4</c:v>
                </c:pt>
                <c:pt idx="124">
                  <c:v>1.0242366099109E-3</c:v>
                </c:pt>
                <c:pt idx="125">
                  <c:v>1.33644526210655E-4</c:v>
                </c:pt>
                <c:pt idx="126">
                  <c:v>-1.5569536727781501E-4</c:v>
                </c:pt>
                <c:pt idx="127">
                  <c:v>-1.7545426631956901E-4</c:v>
                </c:pt>
                <c:pt idx="128">
                  <c:v>-2.93068043423654E-4</c:v>
                </c:pt>
                <c:pt idx="129">
                  <c:v>3.37101067090796E-4</c:v>
                </c:pt>
                <c:pt idx="130">
                  <c:v>2.2645160089787699E-4</c:v>
                </c:pt>
                <c:pt idx="131">
                  <c:v>-4.3430955091236398E-4</c:v>
                </c:pt>
                <c:pt idx="132">
                  <c:v>2.46128390210959E-4</c:v>
                </c:pt>
                <c:pt idx="133">
                  <c:v>-2.26398388161153E-5</c:v>
                </c:pt>
                <c:pt idx="134">
                  <c:v>-2.4395063996551699E-4</c:v>
                </c:pt>
                <c:pt idx="135">
                  <c:v>-8.7679551691737597E-4</c:v>
                </c:pt>
                <c:pt idx="136">
                  <c:v>-4.0122799551513499E-4</c:v>
                </c:pt>
                <c:pt idx="137">
                  <c:v>1.0562529191367E-4</c:v>
                </c:pt>
                <c:pt idx="138">
                  <c:v>-2.0495019352852201E-4</c:v>
                </c:pt>
                <c:pt idx="139">
                  <c:v>2.8573943881681602E-4</c:v>
                </c:pt>
                <c:pt idx="140">
                  <c:v>3.1320319014084498E-4</c:v>
                </c:pt>
                <c:pt idx="141">
                  <c:v>4.2569357921842202E-4</c:v>
                </c:pt>
                <c:pt idx="142">
                  <c:v>5.8251685010076401E-5</c:v>
                </c:pt>
                <c:pt idx="143">
                  <c:v>-8.6045411839999703E-4</c:v>
                </c:pt>
                <c:pt idx="144">
                  <c:v>-3.8380419677014999E-4</c:v>
                </c:pt>
                <c:pt idx="145">
                  <c:v>3.3012775858951298E-4</c:v>
                </c:pt>
                <c:pt idx="146">
                  <c:v>-4.07311113654322E-4</c:v>
                </c:pt>
                <c:pt idx="147">
                  <c:v>-7.7645570430156E-4</c:v>
                </c:pt>
                <c:pt idx="148">
                  <c:v>-4.0954135920407699E-4</c:v>
                </c:pt>
                <c:pt idx="149">
                  <c:v>-4.6020221130171901E-4</c:v>
                </c:pt>
                <c:pt idx="150">
                  <c:v>1.2351032785145901E-3</c:v>
                </c:pt>
                <c:pt idx="151">
                  <c:v>-4.5086023186710899E-4</c:v>
                </c:pt>
                <c:pt idx="152">
                  <c:v>7.0901404786229605E-4</c:v>
                </c:pt>
                <c:pt idx="153">
                  <c:v>-3.5301684583059903E-4</c:v>
                </c:pt>
                <c:pt idx="154">
                  <c:v>3.7787113615825102E-4</c:v>
                </c:pt>
                <c:pt idx="155">
                  <c:v>2.0098927306558299E-5</c:v>
                </c:pt>
                <c:pt idx="156">
                  <c:v>-1.2710594080772599E-4</c:v>
                </c:pt>
                <c:pt idx="157">
                  <c:v>-3.98299051153333E-4</c:v>
                </c:pt>
                <c:pt idx="158">
                  <c:v>8.0371320000897505E-4</c:v>
                </c:pt>
                <c:pt idx="159">
                  <c:v>-2.65831433070739E-4</c:v>
                </c:pt>
                <c:pt idx="160">
                  <c:v>2.8954067082870999E-4</c:v>
                </c:pt>
                <c:pt idx="161">
                  <c:v>5.7389261979445296E-4</c:v>
                </c:pt>
                <c:pt idx="162">
                  <c:v>2.7337992977197602E-4</c:v>
                </c:pt>
                <c:pt idx="163">
                  <c:v>-1.41779706010051E-3</c:v>
                </c:pt>
                <c:pt idx="164">
                  <c:v>-2.0508170768574799E-5</c:v>
                </c:pt>
                <c:pt idx="165">
                  <c:v>-2.83908437433746E-4</c:v>
                </c:pt>
                <c:pt idx="166">
                  <c:v>3.9004059794587997E-5</c:v>
                </c:pt>
                <c:pt idx="167">
                  <c:v>2.1376335932859699E-4</c:v>
                </c:pt>
                <c:pt idx="168">
                  <c:v>-3.93297280530352E-5</c:v>
                </c:pt>
                <c:pt idx="169">
                  <c:v>3.4895815638658797E-5</c:v>
                </c:pt>
                <c:pt idx="170">
                  <c:v>5.8214094003208102E-4</c:v>
                </c:pt>
                <c:pt idx="171">
                  <c:v>-2.1078982425122399E-4</c:v>
                </c:pt>
                <c:pt idx="172">
                  <c:v>-9.3978027150669905E-4</c:v>
                </c:pt>
                <c:pt idx="173">
                  <c:v>1.5871262192501001E-4</c:v>
                </c:pt>
                <c:pt idx="174">
                  <c:v>3.1882310825819102E-4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1-4BB6-A120-530FD55C7D2B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BSCY* x 20 dma / IBDZ*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5.0506166220773603E-4</c:v>
                </c:pt>
                <c:pt idx="21">
                  <c:v>7.3219902282277706E-5</c:v>
                </c:pt>
                <c:pt idx="22">
                  <c:v>-4.7103607940384902E-5</c:v>
                </c:pt>
                <c:pt idx="23">
                  <c:v>-8.4530324716247196E-4</c:v>
                </c:pt>
                <c:pt idx="24">
                  <c:v>-2.1497822812393801E-4</c:v>
                </c:pt>
                <c:pt idx="25">
                  <c:v>-2.44820683214808E-4</c:v>
                </c:pt>
                <c:pt idx="26">
                  <c:v>-2.6713917178927801E-4</c:v>
                </c:pt>
                <c:pt idx="27">
                  <c:v>3.69870289785013E-4</c:v>
                </c:pt>
                <c:pt idx="28">
                  <c:v>-5.17718666713924E-4</c:v>
                </c:pt>
                <c:pt idx="29">
                  <c:v>-6.8094287419146002E-4</c:v>
                </c:pt>
                <c:pt idx="30">
                  <c:v>-8.81522398233864E-4</c:v>
                </c:pt>
                <c:pt idx="31">
                  <c:v>5.92939962094052E-4</c:v>
                </c:pt>
                <c:pt idx="32">
                  <c:v>4.4306926608027298E-4</c:v>
                </c:pt>
                <c:pt idx="33">
                  <c:v>3.9240085474946202E-4</c:v>
                </c:pt>
                <c:pt idx="34">
                  <c:v>-3.8938627309634201E-4</c:v>
                </c:pt>
                <c:pt idx="35">
                  <c:v>3.1308849499324398E-4</c:v>
                </c:pt>
                <c:pt idx="36">
                  <c:v>-2.7100534429826302E-4</c:v>
                </c:pt>
                <c:pt idx="37">
                  <c:v>-1.00909354092379E-4</c:v>
                </c:pt>
                <c:pt idx="38">
                  <c:v>1.8730496423748701E-4</c:v>
                </c:pt>
                <c:pt idx="39">
                  <c:v>2.2784672110555599E-4</c:v>
                </c:pt>
                <c:pt idx="40">
                  <c:v>5.4157505506209798E-4</c:v>
                </c:pt>
                <c:pt idx="41">
                  <c:v>6.9238177653670194E-5</c:v>
                </c:pt>
                <c:pt idx="42">
                  <c:v>-5.0211737288355103E-4</c:v>
                </c:pt>
                <c:pt idx="43">
                  <c:v>-6.7603325319778298E-4</c:v>
                </c:pt>
                <c:pt idx="44">
                  <c:v>-6.6081403860773096E-4</c:v>
                </c:pt>
                <c:pt idx="45">
                  <c:v>7.0916549653041698E-6</c:v>
                </c:pt>
                <c:pt idx="46">
                  <c:v>-4.9497564166322899E-4</c:v>
                </c:pt>
                <c:pt idx="47">
                  <c:v>-7.8284013519100805E-4</c:v>
                </c:pt>
                <c:pt idx="48">
                  <c:v>-5.3655717723092905E-4</c:v>
                </c:pt>
                <c:pt idx="49">
                  <c:v>3.5583867791352201E-4</c:v>
                </c:pt>
                <c:pt idx="50">
                  <c:v>-2.3155930307680299E-4</c:v>
                </c:pt>
                <c:pt idx="51">
                  <c:v>-1.0374996875699199E-3</c:v>
                </c:pt>
                <c:pt idx="52">
                  <c:v>-6.4920491975163695E-4</c:v>
                </c:pt>
                <c:pt idx="53">
                  <c:v>-5.71211219470832E-5</c:v>
                </c:pt>
                <c:pt idx="54">
                  <c:v>3.6409037710577799E-4</c:v>
                </c:pt>
                <c:pt idx="55">
                  <c:v>2.38757746591885E-4</c:v>
                </c:pt>
                <c:pt idx="56">
                  <c:v>-2.0903717979516099E-4</c:v>
                </c:pt>
                <c:pt idx="57">
                  <c:v>-2.29020147810246E-4</c:v>
                </c:pt>
                <c:pt idx="58">
                  <c:v>-2.1427536648008301E-4</c:v>
                </c:pt>
                <c:pt idx="59">
                  <c:v>1.3210023435333601E-4</c:v>
                </c:pt>
                <c:pt idx="60">
                  <c:v>6.5567831464149605E-4</c:v>
                </c:pt>
                <c:pt idx="61">
                  <c:v>-4.2996796497914099E-4</c:v>
                </c:pt>
                <c:pt idx="62">
                  <c:v>2.9245555573433301E-4</c:v>
                </c:pt>
                <c:pt idx="63">
                  <c:v>7.4365805932777404E-4</c:v>
                </c:pt>
                <c:pt idx="64">
                  <c:v>1.0775118809333501E-3</c:v>
                </c:pt>
                <c:pt idx="65">
                  <c:v>-4.0351066969802901E-4</c:v>
                </c:pt>
                <c:pt idx="66">
                  <c:v>6.7327142744675998E-4</c:v>
                </c:pt>
                <c:pt idx="67">
                  <c:v>1.4793414465368899E-4</c:v>
                </c:pt>
                <c:pt idx="68">
                  <c:v>3.02196501909694E-5</c:v>
                </c:pt>
                <c:pt idx="69">
                  <c:v>-1.6978115830997299E-4</c:v>
                </c:pt>
                <c:pt idx="70">
                  <c:v>-7.0811894344400303E-4</c:v>
                </c:pt>
                <c:pt idx="71">
                  <c:v>-1.2455440791832E-4</c:v>
                </c:pt>
                <c:pt idx="72">
                  <c:v>-4.9850629810913198E-5</c:v>
                </c:pt>
                <c:pt idx="73">
                  <c:v>-4.8053118636827202E-4</c:v>
                </c:pt>
                <c:pt idx="74">
                  <c:v>7.5036054474285905E-4</c:v>
                </c:pt>
                <c:pt idx="75">
                  <c:v>7.3468394085106402E-4</c:v>
                </c:pt>
                <c:pt idx="76">
                  <c:v>2.2863899821679701E-4</c:v>
                </c:pt>
                <c:pt idx="77">
                  <c:v>2.9828889416617802E-4</c:v>
                </c:pt>
                <c:pt idx="78">
                  <c:v>-1.18756898059937E-4</c:v>
                </c:pt>
                <c:pt idx="79">
                  <c:v>-2.2892711709115901E-4</c:v>
                </c:pt>
                <c:pt idx="80">
                  <c:v>-3.3434698482691702E-4</c:v>
                </c:pt>
                <c:pt idx="81">
                  <c:v>-2.8965563618070202E-4</c:v>
                </c:pt>
                <c:pt idx="82">
                  <c:v>4.8715852389321902E-4</c:v>
                </c:pt>
                <c:pt idx="83">
                  <c:v>-5.9160026917664296E-4</c:v>
                </c:pt>
                <c:pt idx="84">
                  <c:v>-4.3475830778836699E-4</c:v>
                </c:pt>
                <c:pt idx="85">
                  <c:v>-1.60496679875775E-4</c:v>
                </c:pt>
                <c:pt idx="86">
                  <c:v>-5.6876730710183005E-4</c:v>
                </c:pt>
                <c:pt idx="87">
                  <c:v>-5.9147977000044199E-4</c:v>
                </c:pt>
                <c:pt idx="88">
                  <c:v>5.6988717902784402E-4</c:v>
                </c:pt>
                <c:pt idx="89">
                  <c:v>6.5099543409863502E-5</c:v>
                </c:pt>
                <c:pt idx="90">
                  <c:v>5.3179300120110304E-4</c:v>
                </c:pt>
                <c:pt idx="91">
                  <c:v>-1.9668574893006E-4</c:v>
                </c:pt>
                <c:pt idx="92">
                  <c:v>1.6194895678051799E-4</c:v>
                </c:pt>
                <c:pt idx="93">
                  <c:v>2.2501633356147299E-4</c:v>
                </c:pt>
                <c:pt idx="94">
                  <c:v>4.6129426784824701E-4</c:v>
                </c:pt>
                <c:pt idx="95">
                  <c:v>6.8528192300278405E-4</c:v>
                </c:pt>
                <c:pt idx="96">
                  <c:v>2.1703706309510501E-5</c:v>
                </c:pt>
                <c:pt idx="97">
                  <c:v>-5.7621670364439899E-5</c:v>
                </c:pt>
                <c:pt idx="98">
                  <c:v>-8.7679187663225998E-4</c:v>
                </c:pt>
                <c:pt idx="99">
                  <c:v>-1.0190226013547E-3</c:v>
                </c:pt>
                <c:pt idx="100">
                  <c:v>7.3861845653728695E-4</c:v>
                </c:pt>
                <c:pt idx="101">
                  <c:v>4.1273705852229502E-4</c:v>
                </c:pt>
                <c:pt idx="102">
                  <c:v>-1.6809432946866202E-5</c:v>
                </c:pt>
                <c:pt idx="103">
                  <c:v>1.09020254420085E-4</c:v>
                </c:pt>
                <c:pt idx="104">
                  <c:v>-8.7483402863442698E-4</c:v>
                </c:pt>
                <c:pt idx="105">
                  <c:v>2.91668909134042E-4</c:v>
                </c:pt>
                <c:pt idx="106">
                  <c:v>-9.8614593660954807E-4</c:v>
                </c:pt>
                <c:pt idx="107">
                  <c:v>5.5483082836197003E-4</c:v>
                </c:pt>
                <c:pt idx="108">
                  <c:v>-1.58878126914612E-4</c:v>
                </c:pt>
                <c:pt idx="109">
                  <c:v>-3.8900301707204999E-5</c:v>
                </c:pt>
                <c:pt idx="110">
                  <c:v>5.5474868953489303E-4</c:v>
                </c:pt>
                <c:pt idx="111">
                  <c:v>-1.14367130343987E-4</c:v>
                </c:pt>
                <c:pt idx="112">
                  <c:v>-3.9915134005311001E-4</c:v>
                </c:pt>
                <c:pt idx="113">
                  <c:v>1.3710216023854799E-5</c:v>
                </c:pt>
                <c:pt idx="114">
                  <c:v>2.9375849828283798E-4</c:v>
                </c:pt>
                <c:pt idx="115">
                  <c:v>3.21759554250225E-5</c:v>
                </c:pt>
                <c:pt idx="116">
                  <c:v>-5.0302071323285902E-4</c:v>
                </c:pt>
                <c:pt idx="117">
                  <c:v>-6.54896275965983E-4</c:v>
                </c:pt>
                <c:pt idx="118">
                  <c:v>2.4873309875327699E-4</c:v>
                </c:pt>
                <c:pt idx="119">
                  <c:v>1.1234813763906399E-4</c:v>
                </c:pt>
                <c:pt idx="120">
                  <c:v>-1.2428383176437899E-4</c:v>
                </c:pt>
                <c:pt idx="121">
                  <c:v>-6.4066969447251797E-4</c:v>
                </c:pt>
                <c:pt idx="122">
                  <c:v>-6.9814796729909595E-4</c:v>
                </c:pt>
                <c:pt idx="123">
                  <c:v>-4.5364144575370501E-4</c:v>
                </c:pt>
                <c:pt idx="124">
                  <c:v>9.1215977879474295E-4</c:v>
                </c:pt>
                <c:pt idx="125">
                  <c:v>-1.41109218597727E-5</c:v>
                </c:pt>
                <c:pt idx="126">
                  <c:v>-2.9700770285893399E-4</c:v>
                </c:pt>
                <c:pt idx="127">
                  <c:v>-3.3112842298574E-4</c:v>
                </c:pt>
                <c:pt idx="128">
                  <c:v>-3.69076182074477E-4</c:v>
                </c:pt>
                <c:pt idx="129">
                  <c:v>2.16961753475E-4</c:v>
                </c:pt>
                <c:pt idx="130">
                  <c:v>1.03694880543908E-4</c:v>
                </c:pt>
                <c:pt idx="131">
                  <c:v>-5.17304285329802E-4</c:v>
                </c:pt>
                <c:pt idx="132">
                  <c:v>1.9277386068023301E-4</c:v>
                </c:pt>
                <c:pt idx="133">
                  <c:v>-1.5187234156096401E-5</c:v>
                </c:pt>
                <c:pt idx="134">
                  <c:v>-1.8638969995608099E-4</c:v>
                </c:pt>
                <c:pt idx="135">
                  <c:v>-8.9792123402075599E-4</c:v>
                </c:pt>
                <c:pt idx="136">
                  <c:v>-4.6737939097247502E-4</c:v>
                </c:pt>
                <c:pt idx="137">
                  <c:v>1.4805218053852901E-5</c:v>
                </c:pt>
                <c:pt idx="138">
                  <c:v>-3.0539843949181302E-4</c:v>
                </c:pt>
                <c:pt idx="139">
                  <c:v>2.12776466108464E-4</c:v>
                </c:pt>
                <c:pt idx="140">
                  <c:v>2.3088208719450101E-4</c:v>
                </c:pt>
                <c:pt idx="141">
                  <c:v>3.3636021217441499E-4</c:v>
                </c:pt>
                <c:pt idx="142">
                  <c:v>4.6567520899109096E-6</c:v>
                </c:pt>
                <c:pt idx="143">
                  <c:v>-9.6665914882415398E-4</c:v>
                </c:pt>
                <c:pt idx="144">
                  <c:v>-5.6060077725406403E-4</c:v>
                </c:pt>
                <c:pt idx="145">
                  <c:v>1.8628016637788701E-4</c:v>
                </c:pt>
                <c:pt idx="146">
                  <c:v>-4.52549319060743E-4</c:v>
                </c:pt>
                <c:pt idx="147">
                  <c:v>-8.0762859211900597E-4</c:v>
                </c:pt>
                <c:pt idx="148">
                  <c:v>-4.9291608855540805E-4</c:v>
                </c:pt>
                <c:pt idx="149">
                  <c:v>-5.5650672734808098E-4</c:v>
                </c:pt>
                <c:pt idx="150">
                  <c:v>1.10173840403901E-3</c:v>
                </c:pt>
                <c:pt idx="151">
                  <c:v>-5.4760685267514996E-4</c:v>
                </c:pt>
                <c:pt idx="152">
                  <c:v>5.2471958841774095E-4</c:v>
                </c:pt>
                <c:pt idx="153">
                  <c:v>-5.0846682469823403E-4</c:v>
                </c:pt>
                <c:pt idx="154">
                  <c:v>2.84770232768509E-4</c:v>
                </c:pt>
                <c:pt idx="155">
                  <c:v>-1.9557373958371799E-5</c:v>
                </c:pt>
                <c:pt idx="156">
                  <c:v>-2.32188533387095E-4</c:v>
                </c:pt>
                <c:pt idx="157">
                  <c:v>-4.9505066823227997E-4</c:v>
                </c:pt>
                <c:pt idx="158">
                  <c:v>7.6342805910248595E-4</c:v>
                </c:pt>
                <c:pt idx="159">
                  <c:v>-2.3092168486498599E-4</c:v>
                </c:pt>
                <c:pt idx="160">
                  <c:v>3.8459458335084098E-4</c:v>
                </c:pt>
                <c:pt idx="161">
                  <c:v>5.9846676241115903E-4</c:v>
                </c:pt>
                <c:pt idx="162">
                  <c:v>4.0515383861422998E-4</c:v>
                </c:pt>
                <c:pt idx="163">
                  <c:v>-1.3087270643255601E-3</c:v>
                </c:pt>
                <c:pt idx="164">
                  <c:v>3.6354373957678901E-5</c:v>
                </c:pt>
                <c:pt idx="165">
                  <c:v>-2.7004982715976599E-4</c:v>
                </c:pt>
                <c:pt idx="166">
                  <c:v>5.8509015629159803E-5</c:v>
                </c:pt>
                <c:pt idx="167">
                  <c:v>2.4002317620547801E-4</c:v>
                </c:pt>
                <c:pt idx="168">
                  <c:v>1.09282997110926E-5</c:v>
                </c:pt>
                <c:pt idx="169">
                  <c:v>-8.5831462023379108E-6</c:v>
                </c:pt>
                <c:pt idx="170">
                  <c:v>5.3613646176188198E-4</c:v>
                </c:pt>
                <c:pt idx="171">
                  <c:v>-2.09024060089845E-4</c:v>
                </c:pt>
                <c:pt idx="172">
                  <c:v>-1.0307552998128199E-3</c:v>
                </c:pt>
                <c:pt idx="173">
                  <c:v>6.5790827857047E-6</c:v>
                </c:pt>
                <c:pt idx="174">
                  <c:v>2.7269739259610501E-4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1-4BB6-A120-530FD55C7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IBDZ*/BSCY*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1.2550529069020999</c:v>
                </c:pt>
                <c:pt idx="1">
                  <c:v>1.2550529069020999</c:v>
                </c:pt>
                <c:pt idx="2">
                  <c:v>1.2550529069020999</c:v>
                </c:pt>
                <c:pt idx="3">
                  <c:v>1.2550529069020999</c:v>
                </c:pt>
                <c:pt idx="4">
                  <c:v>1.2550529069020999</c:v>
                </c:pt>
                <c:pt idx="5">
                  <c:v>1.2550529069020999</c:v>
                </c:pt>
                <c:pt idx="6">
                  <c:v>1.2550529069020999</c:v>
                </c:pt>
                <c:pt idx="7">
                  <c:v>1.2550529069020999</c:v>
                </c:pt>
                <c:pt idx="8">
                  <c:v>1.2550529069020999</c:v>
                </c:pt>
                <c:pt idx="9">
                  <c:v>1.2550529069020999</c:v>
                </c:pt>
                <c:pt idx="10">
                  <c:v>1.2550529069020999</c:v>
                </c:pt>
                <c:pt idx="11">
                  <c:v>1.2550529069020999</c:v>
                </c:pt>
                <c:pt idx="12">
                  <c:v>1.2550529069020999</c:v>
                </c:pt>
                <c:pt idx="13">
                  <c:v>1.2550529069020999</c:v>
                </c:pt>
                <c:pt idx="14">
                  <c:v>1.2550529069020999</c:v>
                </c:pt>
                <c:pt idx="15">
                  <c:v>1.2550529069020999</c:v>
                </c:pt>
                <c:pt idx="16">
                  <c:v>1.2550529069020999</c:v>
                </c:pt>
                <c:pt idx="17">
                  <c:v>1.2550529069020999</c:v>
                </c:pt>
                <c:pt idx="18">
                  <c:v>1.2550529069020999</c:v>
                </c:pt>
                <c:pt idx="19">
                  <c:v>1.2550529069020999</c:v>
                </c:pt>
                <c:pt idx="20">
                  <c:v>1.2550529069020999</c:v>
                </c:pt>
                <c:pt idx="21">
                  <c:v>1.2550529069020999</c:v>
                </c:pt>
                <c:pt idx="22">
                  <c:v>1.2550529069020999</c:v>
                </c:pt>
                <c:pt idx="23">
                  <c:v>1.2550529069020999</c:v>
                </c:pt>
                <c:pt idx="24">
                  <c:v>1.2550529069020999</c:v>
                </c:pt>
                <c:pt idx="25">
                  <c:v>1.2550529069020999</c:v>
                </c:pt>
                <c:pt idx="26">
                  <c:v>1.2550529069020999</c:v>
                </c:pt>
                <c:pt idx="27">
                  <c:v>1.2550529069020999</c:v>
                </c:pt>
                <c:pt idx="28">
                  <c:v>1.2550529069020999</c:v>
                </c:pt>
                <c:pt idx="29">
                  <c:v>1.2550529069020999</c:v>
                </c:pt>
                <c:pt idx="30">
                  <c:v>1.2550529069020999</c:v>
                </c:pt>
                <c:pt idx="31">
                  <c:v>1.2550529069020999</c:v>
                </c:pt>
                <c:pt idx="32">
                  <c:v>1.2550529069020999</c:v>
                </c:pt>
                <c:pt idx="33">
                  <c:v>1.2550529069020999</c:v>
                </c:pt>
                <c:pt idx="34">
                  <c:v>1.2550529069020999</c:v>
                </c:pt>
                <c:pt idx="35">
                  <c:v>1.2550529069020999</c:v>
                </c:pt>
                <c:pt idx="36">
                  <c:v>1.2550529069020999</c:v>
                </c:pt>
                <c:pt idx="37">
                  <c:v>1.2550529069020999</c:v>
                </c:pt>
                <c:pt idx="38">
                  <c:v>1.2550529069020999</c:v>
                </c:pt>
                <c:pt idx="39">
                  <c:v>1.2550529069020999</c:v>
                </c:pt>
                <c:pt idx="40">
                  <c:v>1.2550529069020999</c:v>
                </c:pt>
                <c:pt idx="41">
                  <c:v>1.2550529069020999</c:v>
                </c:pt>
                <c:pt idx="42">
                  <c:v>1.2550529069020999</c:v>
                </c:pt>
                <c:pt idx="43">
                  <c:v>1.2550529069020999</c:v>
                </c:pt>
                <c:pt idx="44">
                  <c:v>1.2550529069020999</c:v>
                </c:pt>
                <c:pt idx="45">
                  <c:v>1.2550529069020999</c:v>
                </c:pt>
                <c:pt idx="46">
                  <c:v>1.2550529069020999</c:v>
                </c:pt>
                <c:pt idx="47">
                  <c:v>1.2550529069020999</c:v>
                </c:pt>
                <c:pt idx="48">
                  <c:v>1.2550529069020999</c:v>
                </c:pt>
                <c:pt idx="49">
                  <c:v>1.2550529069020999</c:v>
                </c:pt>
                <c:pt idx="50">
                  <c:v>1.2550529069020999</c:v>
                </c:pt>
                <c:pt idx="51">
                  <c:v>1.2550529069020999</c:v>
                </c:pt>
                <c:pt idx="52">
                  <c:v>1.2550529069020999</c:v>
                </c:pt>
                <c:pt idx="53">
                  <c:v>1.2550529069020999</c:v>
                </c:pt>
                <c:pt idx="54">
                  <c:v>1.2550529069020999</c:v>
                </c:pt>
                <c:pt idx="55">
                  <c:v>1.2550529069020999</c:v>
                </c:pt>
                <c:pt idx="56">
                  <c:v>1.2550529069020999</c:v>
                </c:pt>
                <c:pt idx="57">
                  <c:v>1.2550529069020999</c:v>
                </c:pt>
                <c:pt idx="58">
                  <c:v>1.2550529069020999</c:v>
                </c:pt>
                <c:pt idx="59">
                  <c:v>1.2550529069020999</c:v>
                </c:pt>
                <c:pt idx="60">
                  <c:v>1.2550529069020999</c:v>
                </c:pt>
                <c:pt idx="61">
                  <c:v>1.2550529069020999</c:v>
                </c:pt>
                <c:pt idx="62">
                  <c:v>1.2550529069020999</c:v>
                </c:pt>
                <c:pt idx="63">
                  <c:v>1.2550529069020999</c:v>
                </c:pt>
                <c:pt idx="64">
                  <c:v>1.2550529069020999</c:v>
                </c:pt>
                <c:pt idx="65">
                  <c:v>1.2550529069020999</c:v>
                </c:pt>
                <c:pt idx="66">
                  <c:v>1.2550529069020999</c:v>
                </c:pt>
                <c:pt idx="67">
                  <c:v>1.2550529069020999</c:v>
                </c:pt>
                <c:pt idx="68">
                  <c:v>1.2550529069020999</c:v>
                </c:pt>
                <c:pt idx="69">
                  <c:v>1.2550529069020999</c:v>
                </c:pt>
                <c:pt idx="70">
                  <c:v>1.2550529069020999</c:v>
                </c:pt>
                <c:pt idx="71">
                  <c:v>1.2550529069020999</c:v>
                </c:pt>
                <c:pt idx="72">
                  <c:v>1.2550529069020999</c:v>
                </c:pt>
                <c:pt idx="73">
                  <c:v>1.2550529069020999</c:v>
                </c:pt>
                <c:pt idx="74">
                  <c:v>1.2550529069020999</c:v>
                </c:pt>
                <c:pt idx="75">
                  <c:v>1.2550529069020999</c:v>
                </c:pt>
                <c:pt idx="76">
                  <c:v>1.2550529069020999</c:v>
                </c:pt>
                <c:pt idx="77">
                  <c:v>1.2550529069020999</c:v>
                </c:pt>
                <c:pt idx="78">
                  <c:v>1.2550529069020999</c:v>
                </c:pt>
                <c:pt idx="79">
                  <c:v>1.2550529069020999</c:v>
                </c:pt>
                <c:pt idx="80">
                  <c:v>1.2550529069020999</c:v>
                </c:pt>
                <c:pt idx="81">
                  <c:v>1.2550529069020999</c:v>
                </c:pt>
                <c:pt idx="82">
                  <c:v>1.2550529069020999</c:v>
                </c:pt>
                <c:pt idx="83">
                  <c:v>1.2550529069020999</c:v>
                </c:pt>
                <c:pt idx="84">
                  <c:v>1.2550529069020999</c:v>
                </c:pt>
                <c:pt idx="85">
                  <c:v>1.2550529069020999</c:v>
                </c:pt>
                <c:pt idx="86">
                  <c:v>1.2550529069020999</c:v>
                </c:pt>
                <c:pt idx="87">
                  <c:v>1.2550529069020999</c:v>
                </c:pt>
                <c:pt idx="88">
                  <c:v>1.2550529069020999</c:v>
                </c:pt>
                <c:pt idx="89">
                  <c:v>1.2550529069020999</c:v>
                </c:pt>
                <c:pt idx="90">
                  <c:v>1.2550529069020999</c:v>
                </c:pt>
                <c:pt idx="91">
                  <c:v>1.2550529069020999</c:v>
                </c:pt>
                <c:pt idx="92">
                  <c:v>1.2550529069020999</c:v>
                </c:pt>
                <c:pt idx="93">
                  <c:v>1.2550529069020999</c:v>
                </c:pt>
                <c:pt idx="94">
                  <c:v>1.2550529069020999</c:v>
                </c:pt>
                <c:pt idx="95">
                  <c:v>1.2550529069020999</c:v>
                </c:pt>
                <c:pt idx="96">
                  <c:v>1.2550529069020999</c:v>
                </c:pt>
                <c:pt idx="97">
                  <c:v>1.2550529069020999</c:v>
                </c:pt>
                <c:pt idx="98">
                  <c:v>1.2550529069020999</c:v>
                </c:pt>
                <c:pt idx="99">
                  <c:v>1.2550529069020999</c:v>
                </c:pt>
                <c:pt idx="100">
                  <c:v>1.2550529069020999</c:v>
                </c:pt>
                <c:pt idx="101">
                  <c:v>1.2550529069020999</c:v>
                </c:pt>
                <c:pt idx="102">
                  <c:v>1.2550529069020999</c:v>
                </c:pt>
                <c:pt idx="103">
                  <c:v>1.2550529069020999</c:v>
                </c:pt>
                <c:pt idx="104">
                  <c:v>1.2550529069020999</c:v>
                </c:pt>
                <c:pt idx="105">
                  <c:v>1.2550529069020999</c:v>
                </c:pt>
                <c:pt idx="106">
                  <c:v>1.2550529069020999</c:v>
                </c:pt>
                <c:pt idx="107">
                  <c:v>1.2550529069020999</c:v>
                </c:pt>
                <c:pt idx="108">
                  <c:v>1.2550529069020999</c:v>
                </c:pt>
                <c:pt idx="109">
                  <c:v>1.2550529069020999</c:v>
                </c:pt>
                <c:pt idx="110">
                  <c:v>1.2550529069020999</c:v>
                </c:pt>
                <c:pt idx="111">
                  <c:v>1.2550529069020999</c:v>
                </c:pt>
                <c:pt idx="112">
                  <c:v>1.2550529069020999</c:v>
                </c:pt>
                <c:pt idx="113">
                  <c:v>1.2550529069020999</c:v>
                </c:pt>
                <c:pt idx="114">
                  <c:v>1.2550529069020999</c:v>
                </c:pt>
                <c:pt idx="115">
                  <c:v>1.2550529069020999</c:v>
                </c:pt>
                <c:pt idx="116">
                  <c:v>1.2550529069020999</c:v>
                </c:pt>
                <c:pt idx="117">
                  <c:v>1.2550529069020999</c:v>
                </c:pt>
                <c:pt idx="118">
                  <c:v>1.2550529069020999</c:v>
                </c:pt>
                <c:pt idx="119">
                  <c:v>1.2550529069020999</c:v>
                </c:pt>
                <c:pt idx="120">
                  <c:v>1.2550529069020999</c:v>
                </c:pt>
                <c:pt idx="121">
                  <c:v>1.2550529069020999</c:v>
                </c:pt>
                <c:pt idx="122">
                  <c:v>1.2550529069020999</c:v>
                </c:pt>
                <c:pt idx="123">
                  <c:v>1.2550529069020999</c:v>
                </c:pt>
                <c:pt idx="124">
                  <c:v>1.2550529069020999</c:v>
                </c:pt>
                <c:pt idx="125">
                  <c:v>1.2550529069020999</c:v>
                </c:pt>
                <c:pt idx="126">
                  <c:v>1.2550529069020999</c:v>
                </c:pt>
                <c:pt idx="127">
                  <c:v>1.2550529069020999</c:v>
                </c:pt>
                <c:pt idx="128">
                  <c:v>1.2550529069020999</c:v>
                </c:pt>
                <c:pt idx="129">
                  <c:v>1.2550529069020999</c:v>
                </c:pt>
                <c:pt idx="130">
                  <c:v>1.2550529069020999</c:v>
                </c:pt>
                <c:pt idx="131">
                  <c:v>1.2550529069020999</c:v>
                </c:pt>
                <c:pt idx="132">
                  <c:v>1.2550529069020999</c:v>
                </c:pt>
                <c:pt idx="133">
                  <c:v>1.2550529069020999</c:v>
                </c:pt>
                <c:pt idx="134">
                  <c:v>1.2550529069020999</c:v>
                </c:pt>
                <c:pt idx="135">
                  <c:v>1.2550529069020999</c:v>
                </c:pt>
                <c:pt idx="136">
                  <c:v>1.2550529069020999</c:v>
                </c:pt>
                <c:pt idx="137">
                  <c:v>1.2550529069020999</c:v>
                </c:pt>
                <c:pt idx="138">
                  <c:v>1.2550529069020999</c:v>
                </c:pt>
                <c:pt idx="139">
                  <c:v>1.2550529069020999</c:v>
                </c:pt>
                <c:pt idx="140">
                  <c:v>1.2550529069020999</c:v>
                </c:pt>
                <c:pt idx="141">
                  <c:v>1.2550529069020999</c:v>
                </c:pt>
                <c:pt idx="142">
                  <c:v>1.2550529069020999</c:v>
                </c:pt>
                <c:pt idx="143">
                  <c:v>1.2550529069020999</c:v>
                </c:pt>
                <c:pt idx="144">
                  <c:v>1.2550529069020999</c:v>
                </c:pt>
                <c:pt idx="145">
                  <c:v>1.2550529069020999</c:v>
                </c:pt>
                <c:pt idx="146">
                  <c:v>1.2550529069020999</c:v>
                </c:pt>
                <c:pt idx="147">
                  <c:v>1.2550529069020999</c:v>
                </c:pt>
                <c:pt idx="148">
                  <c:v>1.2550529069020999</c:v>
                </c:pt>
                <c:pt idx="149">
                  <c:v>1.2550529069020999</c:v>
                </c:pt>
                <c:pt idx="150">
                  <c:v>1.2550529069020999</c:v>
                </c:pt>
                <c:pt idx="151">
                  <c:v>1.2550529069020999</c:v>
                </c:pt>
                <c:pt idx="152">
                  <c:v>1.2550529069020999</c:v>
                </c:pt>
                <c:pt idx="153">
                  <c:v>1.2550529069020999</c:v>
                </c:pt>
                <c:pt idx="154">
                  <c:v>1.2550529069020999</c:v>
                </c:pt>
                <c:pt idx="155">
                  <c:v>1.2550529069020999</c:v>
                </c:pt>
                <c:pt idx="156">
                  <c:v>1.2550529069020999</c:v>
                </c:pt>
                <c:pt idx="157">
                  <c:v>1.2550529069020999</c:v>
                </c:pt>
                <c:pt idx="158">
                  <c:v>1.2550529069020999</c:v>
                </c:pt>
                <c:pt idx="159">
                  <c:v>1.2550529069020999</c:v>
                </c:pt>
                <c:pt idx="160">
                  <c:v>1.2550529069020999</c:v>
                </c:pt>
                <c:pt idx="161">
                  <c:v>1.2550529069020999</c:v>
                </c:pt>
                <c:pt idx="162">
                  <c:v>1.2550529069020999</c:v>
                </c:pt>
                <c:pt idx="163">
                  <c:v>1.2550529069020999</c:v>
                </c:pt>
                <c:pt idx="164">
                  <c:v>1.2550529069020999</c:v>
                </c:pt>
                <c:pt idx="165">
                  <c:v>1.2550529069020999</c:v>
                </c:pt>
                <c:pt idx="166">
                  <c:v>1.2550529069020999</c:v>
                </c:pt>
                <c:pt idx="167">
                  <c:v>1.2550529069020999</c:v>
                </c:pt>
                <c:pt idx="168">
                  <c:v>1.2550529069020999</c:v>
                </c:pt>
                <c:pt idx="169">
                  <c:v>1.2550529069020999</c:v>
                </c:pt>
                <c:pt idx="170">
                  <c:v>1.2550529069020999</c:v>
                </c:pt>
                <c:pt idx="171">
                  <c:v>1.2550529069020999</c:v>
                </c:pt>
                <c:pt idx="172">
                  <c:v>1.2550529069020999</c:v>
                </c:pt>
                <c:pt idx="173">
                  <c:v>1.2550529069020999</c:v>
                </c:pt>
                <c:pt idx="174">
                  <c:v>1.2550529069020999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9-444A-9FE6-37A1A868F6FF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IBDZ*/BSCY*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1.25492675760012</c:v>
                </c:pt>
                <c:pt idx="10">
                  <c:v>1.25477111909769</c:v>
                </c:pt>
                <c:pt idx="11">
                  <c:v>1.2545608857694499</c:v>
                </c:pt>
                <c:pt idx="12">
                  <c:v>1.2544923255957801</c:v>
                </c:pt>
                <c:pt idx="13">
                  <c:v>1.25449443899077</c:v>
                </c:pt>
                <c:pt idx="14">
                  <c:v>1.25431691560037</c:v>
                </c:pt>
                <c:pt idx="15">
                  <c:v>1.2542353004770901</c:v>
                </c:pt>
                <c:pt idx="16">
                  <c:v>1.25424859100094</c:v>
                </c:pt>
                <c:pt idx="17">
                  <c:v>1.25417999944534</c:v>
                </c:pt>
                <c:pt idx="18">
                  <c:v>1.2541476415528801</c:v>
                </c:pt>
                <c:pt idx="19">
                  <c:v>1.25416174184217</c:v>
                </c:pt>
                <c:pt idx="20">
                  <c:v>1.2541846495707201</c:v>
                </c:pt>
                <c:pt idx="21">
                  <c:v>1.2543349108952599</c:v>
                </c:pt>
                <c:pt idx="22">
                  <c:v>1.2542606276833199</c:v>
                </c:pt>
                <c:pt idx="23">
                  <c:v>1.2544106876611301</c:v>
                </c:pt>
                <c:pt idx="24">
                  <c:v>1.2545133402801401</c:v>
                </c:pt>
                <c:pt idx="25">
                  <c:v>1.25452112375453</c:v>
                </c:pt>
                <c:pt idx="26">
                  <c:v>1.25445635458595</c:v>
                </c:pt>
                <c:pt idx="27">
                  <c:v>1.2543919855967101</c:v>
                </c:pt>
                <c:pt idx="28">
                  <c:v>1.25445646703332</c:v>
                </c:pt>
                <c:pt idx="29">
                  <c:v>1.2546379551654701</c:v>
                </c:pt>
                <c:pt idx="30">
                  <c:v>1.2547974881750901</c:v>
                </c:pt>
                <c:pt idx="31">
                  <c:v>1.25473362982702</c:v>
                </c:pt>
                <c:pt idx="32">
                  <c:v>1.25468078574278</c:v>
                </c:pt>
                <c:pt idx="33">
                  <c:v>1.2545349151907099</c:v>
                </c:pt>
                <c:pt idx="34">
                  <c:v>1.2545588250631801</c:v>
                </c:pt>
                <c:pt idx="35">
                  <c:v>1.2545009341665501</c:v>
                </c:pt>
                <c:pt idx="36">
                  <c:v>1.2545147045456899</c:v>
                </c:pt>
                <c:pt idx="37">
                  <c:v>1.2545870559863901</c:v>
                </c:pt>
                <c:pt idx="38">
                  <c:v>1.2545189602628399</c:v>
                </c:pt>
                <c:pt idx="39">
                  <c:v>1.2544235064720199</c:v>
                </c:pt>
                <c:pt idx="40">
                  <c:v>1.2542580439339801</c:v>
                </c:pt>
                <c:pt idx="41">
                  <c:v>1.25432738957169</c:v>
                </c:pt>
                <c:pt idx="42">
                  <c:v>1.2544455937250101</c:v>
                </c:pt>
                <c:pt idx="43">
                  <c:v>1.2545888992260401</c:v>
                </c:pt>
                <c:pt idx="44">
                  <c:v>1.2546318834537999</c:v>
                </c:pt>
                <c:pt idx="45">
                  <c:v>1.25467619283319</c:v>
                </c:pt>
                <c:pt idx="46">
                  <c:v>1.2547120582097899</c:v>
                </c:pt>
                <c:pt idx="47">
                  <c:v>1.25481043844453</c:v>
                </c:pt>
                <c:pt idx="48">
                  <c:v>1.254922195924</c:v>
                </c:pt>
                <c:pt idx="49">
                  <c:v>1.25492942233532</c:v>
                </c:pt>
                <c:pt idx="50">
                  <c:v>1.25504097611898</c:v>
                </c:pt>
                <c:pt idx="51">
                  <c:v>1.25519207373352</c:v>
                </c:pt>
                <c:pt idx="52">
                  <c:v>1.2552334740219</c:v>
                </c:pt>
                <c:pt idx="53">
                  <c:v>1.2551834351067801</c:v>
                </c:pt>
                <c:pt idx="54">
                  <c:v>1.2550872496114001</c:v>
                </c:pt>
                <c:pt idx="55">
                  <c:v>1.2550846033835501</c:v>
                </c:pt>
                <c:pt idx="56">
                  <c:v>1.255077906803</c:v>
                </c:pt>
                <c:pt idx="57">
                  <c:v>1.25503655520581</c:v>
                </c:pt>
                <c:pt idx="58">
                  <c:v>1.2550185831411</c:v>
                </c:pt>
                <c:pt idx="59">
                  <c:v>1.2550716270600999</c:v>
                </c:pt>
                <c:pt idx="60">
                  <c:v>1.2549927158330401</c:v>
                </c:pt>
                <c:pt idx="61">
                  <c:v>1.25495318533807</c:v>
                </c:pt>
                <c:pt idx="62">
                  <c:v>1.2548662891300599</c:v>
                </c:pt>
                <c:pt idx="63">
                  <c:v>1.2547868578107</c:v>
                </c:pt>
                <c:pt idx="64">
                  <c:v>1.2547072833083801</c:v>
                </c:pt>
                <c:pt idx="65">
                  <c:v>1.2547916571301401</c:v>
                </c:pt>
                <c:pt idx="66">
                  <c:v>1.25468673297497</c:v>
                </c:pt>
                <c:pt idx="67">
                  <c:v>1.25463816117736</c:v>
                </c:pt>
                <c:pt idx="68">
                  <c:v>1.25459886249635</c:v>
                </c:pt>
                <c:pt idx="69">
                  <c:v>1.25462057901476</c:v>
                </c:pt>
                <c:pt idx="70">
                  <c:v>1.25477628703852</c:v>
                </c:pt>
                <c:pt idx="71">
                  <c:v>1.2547247103910499</c:v>
                </c:pt>
                <c:pt idx="72">
                  <c:v>1.2547442977605601</c:v>
                </c:pt>
                <c:pt idx="73">
                  <c:v>1.2548734488455</c:v>
                </c:pt>
                <c:pt idx="74">
                  <c:v>1.2548989806587401</c:v>
                </c:pt>
                <c:pt idx="75">
                  <c:v>1.25474676603529</c:v>
                </c:pt>
                <c:pt idx="76">
                  <c:v>1.25478565149197</c:v>
                </c:pt>
                <c:pt idx="77">
                  <c:v>1.25475217954203</c:v>
                </c:pt>
                <c:pt idx="78">
                  <c:v>1.25475665403159</c:v>
                </c:pt>
                <c:pt idx="79">
                  <c:v>1.2547509777438299</c:v>
                </c:pt>
                <c:pt idx="80">
                  <c:v>1.2546880128343001</c:v>
                </c:pt>
                <c:pt idx="81">
                  <c:v>1.2546934958593601</c:v>
                </c:pt>
                <c:pt idx="82">
                  <c:v>1.2546131464410299</c:v>
                </c:pt>
                <c:pt idx="83">
                  <c:v>1.2546144262968699</c:v>
                </c:pt>
                <c:pt idx="84">
                  <c:v>1.25475448980279</c:v>
                </c:pt>
                <c:pt idx="85">
                  <c:v>1.25486914581088</c:v>
                </c:pt>
                <c:pt idx="86">
                  <c:v>1.2549730955573499</c:v>
                </c:pt>
                <c:pt idx="87">
                  <c:v>1.25509908102359</c:v>
                </c:pt>
                <c:pt idx="88">
                  <c:v>1.25503572953205</c:v>
                </c:pt>
                <c:pt idx="89">
                  <c:v>1.2550206775686401</c:v>
                </c:pt>
                <c:pt idx="90">
                  <c:v>1.25493200923306</c:v>
                </c:pt>
                <c:pt idx="91">
                  <c:v>1.25492812880671</c:v>
                </c:pt>
                <c:pt idx="92">
                  <c:v>1.2549790891800101</c:v>
                </c:pt>
                <c:pt idx="93">
                  <c:v>1.2548883481776201</c:v>
                </c:pt>
                <c:pt idx="94">
                  <c:v>1.2547766626349299</c:v>
                </c:pt>
                <c:pt idx="95">
                  <c:v>1.25466444820418</c:v>
                </c:pt>
                <c:pt idx="96">
                  <c:v>1.25458621935884</c:v>
                </c:pt>
                <c:pt idx="97">
                  <c:v>1.25450923267895</c:v>
                </c:pt>
                <c:pt idx="98">
                  <c:v>1.2546786500198599</c:v>
                </c:pt>
                <c:pt idx="99">
                  <c:v>1.2548108568288301</c:v>
                </c:pt>
                <c:pt idx="100">
                  <c:v>1.25478791082024</c:v>
                </c:pt>
                <c:pt idx="101">
                  <c:v>1.2547164409336</c:v>
                </c:pt>
                <c:pt idx="102">
                  <c:v>1.2547400173749099</c:v>
                </c:pt>
                <c:pt idx="103">
                  <c:v>1.2547609129422901</c:v>
                </c:pt>
                <c:pt idx="104">
                  <c:v>1.2549359292494999</c:v>
                </c:pt>
                <c:pt idx="105">
                  <c:v>1.2549943636630201</c:v>
                </c:pt>
                <c:pt idx="106">
                  <c:v>1.2551271533621899</c:v>
                </c:pt>
                <c:pt idx="107">
                  <c:v>1.2550580217876699</c:v>
                </c:pt>
                <c:pt idx="108">
                  <c:v>1.2549658377212101</c:v>
                </c:pt>
                <c:pt idx="109">
                  <c:v>1.2548392865634499</c:v>
                </c:pt>
                <c:pt idx="110">
                  <c:v>1.2548532812333</c:v>
                </c:pt>
                <c:pt idx="111">
                  <c:v>1.2549154787110099</c:v>
                </c:pt>
                <c:pt idx="112">
                  <c:v>1.2549628330478799</c:v>
                </c:pt>
                <c:pt idx="113">
                  <c:v>1.2549739795897401</c:v>
                </c:pt>
                <c:pt idx="114">
                  <c:v>1.25483157941582</c:v>
                </c:pt>
                <c:pt idx="115">
                  <c:v>1.25486688253108</c:v>
                </c:pt>
                <c:pt idx="116">
                  <c:v>1.2548163402094401</c:v>
                </c:pt>
                <c:pt idx="117">
                  <c:v>1.25497966480884</c:v>
                </c:pt>
                <c:pt idx="118">
                  <c:v>1.2549520364737099</c:v>
                </c:pt>
                <c:pt idx="119">
                  <c:v>1.2549467259671101</c:v>
                </c:pt>
                <c:pt idx="120">
                  <c:v>1.25503870863598</c:v>
                </c:pt>
                <c:pt idx="121">
                  <c:v>1.2551173230303601</c:v>
                </c:pt>
                <c:pt idx="122">
                  <c:v>1.2551749202981499</c:v>
                </c:pt>
                <c:pt idx="123">
                  <c:v>1.25525533390292</c:v>
                </c:pt>
                <c:pt idx="124">
                  <c:v>1.2552024780231199</c:v>
                </c:pt>
                <c:pt idx="125">
                  <c:v>1.2552216140624299</c:v>
                </c:pt>
                <c:pt idx="126">
                  <c:v>1.25520711641035</c:v>
                </c:pt>
                <c:pt idx="127">
                  <c:v>1.2551704638989101</c:v>
                </c:pt>
                <c:pt idx="128">
                  <c:v>1.25525362897559</c:v>
                </c:pt>
                <c:pt idx="129">
                  <c:v>1.2552548889989501</c:v>
                </c:pt>
                <c:pt idx="130">
                  <c:v>1.2552470577823001</c:v>
                </c:pt>
                <c:pt idx="131">
                  <c:v>1.25525126613858</c:v>
                </c:pt>
                <c:pt idx="132">
                  <c:v>1.25515621186237</c:v>
                </c:pt>
                <c:pt idx="133">
                  <c:v>1.2551108390249099</c:v>
                </c:pt>
                <c:pt idx="134">
                  <c:v>1.2552555138086601</c:v>
                </c:pt>
                <c:pt idx="135">
                  <c:v>1.2553876998653399</c:v>
                </c:pt>
                <c:pt idx="136">
                  <c:v>1.2554351434803901</c:v>
                </c:pt>
                <c:pt idx="137">
                  <c:v>1.2554226612408299</c:v>
                </c:pt>
                <c:pt idx="138">
                  <c:v>1.2554368230976301</c:v>
                </c:pt>
                <c:pt idx="139">
                  <c:v>1.2554615824555599</c:v>
                </c:pt>
                <c:pt idx="140">
                  <c:v>1.25547135873078</c:v>
                </c:pt>
                <c:pt idx="141">
                  <c:v>1.2553858271710501</c:v>
                </c:pt>
                <c:pt idx="142">
                  <c:v>1.2554228621488599</c:v>
                </c:pt>
                <c:pt idx="143">
                  <c:v>1.2555547553570301</c:v>
                </c:pt>
                <c:pt idx="144">
                  <c:v>1.2556167227131301</c:v>
                </c:pt>
                <c:pt idx="145">
                  <c:v>1.2555012905465399</c:v>
                </c:pt>
                <c:pt idx="146">
                  <c:v>1.2555134182182399</c:v>
                </c:pt>
                <c:pt idx="147">
                  <c:v>1.25563202847382</c:v>
                </c:pt>
                <c:pt idx="148">
                  <c:v>1.2556786665047099</c:v>
                </c:pt>
                <c:pt idx="149">
                  <c:v>1.25579651841081</c:v>
                </c:pt>
                <c:pt idx="150">
                  <c:v>1.25571431921195</c:v>
                </c:pt>
                <c:pt idx="151">
                  <c:v>1.25584867642539</c:v>
                </c:pt>
                <c:pt idx="152">
                  <c:v>1.2558132640948101</c:v>
                </c:pt>
                <c:pt idx="153">
                  <c:v>1.2557885745739801</c:v>
                </c:pt>
                <c:pt idx="154">
                  <c:v>1.25571631486736</c:v>
                </c:pt>
                <c:pt idx="155">
                  <c:v>1.2557651948051101</c:v>
                </c:pt>
                <c:pt idx="156">
                  <c:v>1.2557563993882299</c:v>
                </c:pt>
                <c:pt idx="157">
                  <c:v>1.25573320121383</c:v>
                </c:pt>
                <c:pt idx="158">
                  <c:v>1.25559100024318</c:v>
                </c:pt>
                <c:pt idx="159">
                  <c:v>1.25555781570062</c:v>
                </c:pt>
                <c:pt idx="160">
                  <c:v>1.25565260528127</c:v>
                </c:pt>
                <c:pt idx="161">
                  <c:v>1.25551776565597</c:v>
                </c:pt>
                <c:pt idx="162">
                  <c:v>1.2555393658114</c:v>
                </c:pt>
                <c:pt idx="163">
                  <c:v>1.25564577208622</c:v>
                </c:pt>
                <c:pt idx="164">
                  <c:v>1.25568151062482</c:v>
                </c:pt>
                <c:pt idx="165">
                  <c:v>1.25571620894898</c:v>
                </c:pt>
                <c:pt idx="166">
                  <c:v>1.2556904501197801</c:v>
                </c:pt>
                <c:pt idx="167">
                  <c:v>1.25560698938041</c:v>
                </c:pt>
                <c:pt idx="168">
                  <c:v>1.2557001909507901</c:v>
                </c:pt>
                <c:pt idx="169">
                  <c:v>1.2556733462374801</c:v>
                </c:pt>
                <c:pt idx="170">
                  <c:v>1.25564817092028</c:v>
                </c:pt>
                <c:pt idx="171">
                  <c:v>1.2557462383623199</c:v>
                </c:pt>
                <c:pt idx="172">
                  <c:v>1.25592147230198</c:v>
                </c:pt>
                <c:pt idx="173">
                  <c:v>1.2557616152209301</c:v>
                </c:pt>
                <c:pt idx="174">
                  <c:v>1.25573059420768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9-444A-9FE6-37A1A868F6FF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IBDZ*/BSCY*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1.2545442497211501</c:v>
                </c:pt>
                <c:pt idx="20">
                  <c:v>1.2544778843342099</c:v>
                </c:pt>
                <c:pt idx="21">
                  <c:v>1.2544478983323599</c:v>
                </c:pt>
                <c:pt idx="22">
                  <c:v>1.25437647663955</c:v>
                </c:pt>
                <c:pt idx="23">
                  <c:v>1.25445256332595</c:v>
                </c:pt>
                <c:pt idx="24">
                  <c:v>1.25441512794025</c:v>
                </c:pt>
                <c:pt idx="25">
                  <c:v>1.25437821211581</c:v>
                </c:pt>
                <c:pt idx="26">
                  <c:v>1.2543524727934401</c:v>
                </c:pt>
                <c:pt idx="27">
                  <c:v>1.2542859925210299</c:v>
                </c:pt>
                <c:pt idx="28">
                  <c:v>1.2543020542931</c:v>
                </c:pt>
                <c:pt idx="29">
                  <c:v>1.2543998485038199</c:v>
                </c:pt>
                <c:pt idx="30">
                  <c:v>1.2544910688729001</c:v>
                </c:pt>
                <c:pt idx="31">
                  <c:v>1.25453427036114</c:v>
                </c:pt>
                <c:pt idx="32">
                  <c:v>1.2544707067130501</c:v>
                </c:pt>
                <c:pt idx="33">
                  <c:v>1.2544728014259201</c:v>
                </c:pt>
                <c:pt idx="34">
                  <c:v>1.2545360826716601</c:v>
                </c:pt>
                <c:pt idx="35">
                  <c:v>1.2545110289605399</c:v>
                </c:pt>
                <c:pt idx="36">
                  <c:v>1.2544855295658199</c:v>
                </c:pt>
                <c:pt idx="37">
                  <c:v>1.2544895207915501</c:v>
                </c:pt>
                <c:pt idx="38">
                  <c:v>1.2544877136480801</c:v>
                </c:pt>
                <c:pt idx="39">
                  <c:v>1.2545307308187399</c:v>
                </c:pt>
                <c:pt idx="40">
                  <c:v>1.25452776605453</c:v>
                </c:pt>
                <c:pt idx="41">
                  <c:v>1.25453050969935</c:v>
                </c:pt>
                <c:pt idx="42">
                  <c:v>1.2545631897339</c:v>
                </c:pt>
                <c:pt idx="43">
                  <c:v>1.25456190720837</c:v>
                </c:pt>
                <c:pt idx="44">
                  <c:v>1.25459535425849</c:v>
                </c:pt>
                <c:pt idx="45">
                  <c:v>1.2545885634998699</c:v>
                </c:pt>
                <c:pt idx="46">
                  <c:v>1.25461338137774</c:v>
                </c:pt>
                <c:pt idx="47">
                  <c:v>1.25469874721546</c:v>
                </c:pt>
                <c:pt idx="48">
                  <c:v>1.2547205780934201</c:v>
                </c:pt>
                <c:pt idx="49">
                  <c:v>1.2546764644036701</c:v>
                </c:pt>
                <c:pt idx="50">
                  <c:v>1.2546495100264801</c:v>
                </c:pt>
                <c:pt idx="51">
                  <c:v>1.2547597316526</c:v>
                </c:pt>
                <c:pt idx="52">
                  <c:v>1.2548395338734599</c:v>
                </c:pt>
                <c:pt idx="53">
                  <c:v>1.25488616716641</c:v>
                </c:pt>
                <c:pt idx="54">
                  <c:v>1.2548595665325999</c:v>
                </c:pt>
                <c:pt idx="55">
                  <c:v>1.25488039810837</c:v>
                </c:pt>
                <c:pt idx="56">
                  <c:v>1.25489498250639</c:v>
                </c:pt>
                <c:pt idx="57">
                  <c:v>1.2549234968251699</c:v>
                </c:pt>
                <c:pt idx="58">
                  <c:v>1.2549703895325499</c:v>
                </c:pt>
                <c:pt idx="59">
                  <c:v>1.2550005246977101</c:v>
                </c:pt>
                <c:pt idx="60">
                  <c:v>1.25501684597601</c:v>
                </c:pt>
                <c:pt idx="61">
                  <c:v>1.2550726295357899</c:v>
                </c:pt>
                <c:pt idx="62">
                  <c:v>1.2550498815759801</c:v>
                </c:pt>
                <c:pt idx="63">
                  <c:v>1.25498514645874</c:v>
                </c:pt>
                <c:pt idx="64">
                  <c:v>1.2548972664598901</c:v>
                </c:pt>
                <c:pt idx="65">
                  <c:v>1.2549381302568501</c:v>
                </c:pt>
                <c:pt idx="66">
                  <c:v>1.25488231988899</c:v>
                </c:pt>
                <c:pt idx="67">
                  <c:v>1.2548373581915799</c:v>
                </c:pt>
                <c:pt idx="68">
                  <c:v>1.2548087228187199</c:v>
                </c:pt>
                <c:pt idx="69">
                  <c:v>1.25484610303743</c:v>
                </c:pt>
                <c:pt idx="70">
                  <c:v>1.2548845014357799</c:v>
                </c:pt>
                <c:pt idx="71">
                  <c:v>1.2548389478645601</c:v>
                </c:pt>
                <c:pt idx="72">
                  <c:v>1.25480529344531</c:v>
                </c:pt>
                <c:pt idx="73">
                  <c:v>1.2548301533281001</c:v>
                </c:pt>
                <c:pt idx="74">
                  <c:v>1.25480313198356</c:v>
                </c:pt>
                <c:pt idx="75">
                  <c:v>1.25476921158272</c:v>
                </c:pt>
                <c:pt idx="76">
                  <c:v>1.2547361922334701</c:v>
                </c:pt>
                <c:pt idx="77">
                  <c:v>1.2546951703597</c:v>
                </c:pt>
                <c:pt idx="78">
                  <c:v>1.2546777582639701</c:v>
                </c:pt>
                <c:pt idx="79">
                  <c:v>1.25468577837929</c:v>
                </c:pt>
                <c:pt idx="80">
                  <c:v>1.2547321499364099</c:v>
                </c:pt>
                <c:pt idx="81">
                  <c:v>1.25470910312521</c:v>
                </c:pt>
                <c:pt idx="82">
                  <c:v>1.2546787221008</c:v>
                </c:pt>
                <c:pt idx="83">
                  <c:v>1.25474393757119</c:v>
                </c:pt>
                <c:pt idx="84">
                  <c:v>1.25482673523077</c:v>
                </c:pt>
                <c:pt idx="85">
                  <c:v>1.25480795592309</c:v>
                </c:pt>
                <c:pt idx="86">
                  <c:v>1.2548793735246599</c:v>
                </c:pt>
                <c:pt idx="87">
                  <c:v>1.25492563028281</c:v>
                </c:pt>
                <c:pt idx="88">
                  <c:v>1.25489619178182</c:v>
                </c:pt>
                <c:pt idx="89">
                  <c:v>1.25488582765623</c:v>
                </c:pt>
                <c:pt idx="90">
                  <c:v>1.25481001103368</c:v>
                </c:pt>
                <c:pt idx="91">
                  <c:v>1.2548108123330299</c:v>
                </c:pt>
                <c:pt idx="92">
                  <c:v>1.25479611781052</c:v>
                </c:pt>
                <c:pt idx="93">
                  <c:v>1.25475138723725</c:v>
                </c:pt>
                <c:pt idx="94">
                  <c:v>1.2547655762188601</c:v>
                </c:pt>
                <c:pt idx="95">
                  <c:v>1.25476679700753</c:v>
                </c:pt>
                <c:pt idx="96">
                  <c:v>1.2547796574580901</c:v>
                </c:pt>
                <c:pt idx="97">
                  <c:v>1.25480415685127</c:v>
                </c:pt>
                <c:pt idx="98">
                  <c:v>1.2548571897759599</c:v>
                </c:pt>
                <c:pt idx="99">
                  <c:v>1.2549157671987401</c:v>
                </c:pt>
                <c:pt idx="100">
                  <c:v>1.2548599600266499</c:v>
                </c:pt>
                <c:pt idx="101">
                  <c:v>1.25482228487016</c:v>
                </c:pt>
                <c:pt idx="102">
                  <c:v>1.25485955327746</c:v>
                </c:pt>
                <c:pt idx="103">
                  <c:v>1.25482463055995</c:v>
                </c:pt>
                <c:pt idx="104">
                  <c:v>1.25485629594221</c:v>
                </c:pt>
                <c:pt idx="105">
                  <c:v>1.2548294059336</c:v>
                </c:pt>
                <c:pt idx="106">
                  <c:v>1.25485668636051</c:v>
                </c:pt>
                <c:pt idx="107">
                  <c:v>1.2547836272333099</c:v>
                </c:pt>
                <c:pt idx="108">
                  <c:v>1.2548222438705401</c:v>
                </c:pt>
                <c:pt idx="109">
                  <c:v>1.25482507169614</c:v>
                </c:pt>
                <c:pt idx="110">
                  <c:v>1.25482059602677</c:v>
                </c:pt>
                <c:pt idx="111">
                  <c:v>1.2548159598223101</c:v>
                </c:pt>
                <c:pt idx="112">
                  <c:v>1.2548514252114</c:v>
                </c:pt>
                <c:pt idx="113">
                  <c:v>1.2548674462660101</c:v>
                </c:pt>
                <c:pt idx="114">
                  <c:v>1.2548837543326601</c:v>
                </c:pt>
                <c:pt idx="115">
                  <c:v>1.2549306230970501</c:v>
                </c:pt>
                <c:pt idx="116">
                  <c:v>1.2549717467858099</c:v>
                </c:pt>
                <c:pt idx="117">
                  <c:v>1.2550188432982501</c:v>
                </c:pt>
                <c:pt idx="118">
                  <c:v>1.2549589370974601</c:v>
                </c:pt>
                <c:pt idx="119">
                  <c:v>1.2548930062652801</c:v>
                </c:pt>
                <c:pt idx="120">
                  <c:v>1.25494599493464</c:v>
                </c:pt>
                <c:pt idx="121">
                  <c:v>1.2550164008706799</c:v>
                </c:pt>
                <c:pt idx="122">
                  <c:v>1.25506887667302</c:v>
                </c:pt>
                <c:pt idx="123">
                  <c:v>1.25511465674633</c:v>
                </c:pt>
                <c:pt idx="124">
                  <c:v>1.25501702871947</c:v>
                </c:pt>
                <c:pt idx="125">
                  <c:v>1.2550442482967601</c:v>
                </c:pt>
                <c:pt idx="126">
                  <c:v>1.2550117283098901</c:v>
                </c:pt>
                <c:pt idx="127">
                  <c:v>1.25507506435387</c:v>
                </c:pt>
                <c:pt idx="128">
                  <c:v>1.2551028327246501</c:v>
                </c:pt>
                <c:pt idx="129">
                  <c:v>1.2551008074830301</c:v>
                </c:pt>
                <c:pt idx="130">
                  <c:v>1.25514288320914</c:v>
                </c:pt>
                <c:pt idx="131">
                  <c:v>1.25518429458447</c:v>
                </c:pt>
                <c:pt idx="132">
                  <c:v>1.2551655660802601</c:v>
                </c:pt>
                <c:pt idx="133">
                  <c:v>1.25518308646392</c:v>
                </c:pt>
                <c:pt idx="134">
                  <c:v>1.25522899591589</c:v>
                </c:pt>
                <c:pt idx="135">
                  <c:v>1.2553046569638899</c:v>
                </c:pt>
                <c:pt idx="136">
                  <c:v>1.2553211299453699</c:v>
                </c:pt>
                <c:pt idx="137">
                  <c:v>1.25529656256987</c:v>
                </c:pt>
                <c:pt idx="138">
                  <c:v>1.25534522603661</c:v>
                </c:pt>
                <c:pt idx="139">
                  <c:v>1.2553582357272599</c:v>
                </c:pt>
                <c:pt idx="140">
                  <c:v>1.2553592082565399</c:v>
                </c:pt>
                <c:pt idx="141">
                  <c:v>1.25531854665482</c:v>
                </c:pt>
                <c:pt idx="142">
                  <c:v>1.2552895370056101</c:v>
                </c:pt>
                <c:pt idx="143">
                  <c:v>1.25533279719097</c:v>
                </c:pt>
                <c:pt idx="144">
                  <c:v>1.25543611826089</c:v>
                </c:pt>
                <c:pt idx="145">
                  <c:v>1.25544449520594</c:v>
                </c:pt>
                <c:pt idx="146">
                  <c:v>1.25547428084931</c:v>
                </c:pt>
                <c:pt idx="147">
                  <c:v>1.2555273448573301</c:v>
                </c:pt>
                <c:pt idx="148">
                  <c:v>1.2555577448011701</c:v>
                </c:pt>
                <c:pt idx="149">
                  <c:v>1.25562905043319</c:v>
                </c:pt>
                <c:pt idx="150">
                  <c:v>1.25559283897136</c:v>
                </c:pt>
                <c:pt idx="151">
                  <c:v>1.25561725179822</c:v>
                </c:pt>
                <c:pt idx="152">
                  <c:v>1.2556180631218401</c:v>
                </c:pt>
                <c:pt idx="153">
                  <c:v>1.25567166496551</c:v>
                </c:pt>
                <c:pt idx="154">
                  <c:v>1.25566651879024</c:v>
                </c:pt>
                <c:pt idx="155">
                  <c:v>1.2556332426758201</c:v>
                </c:pt>
                <c:pt idx="156">
                  <c:v>1.2556349088032299</c:v>
                </c:pt>
                <c:pt idx="157">
                  <c:v>1.25568261484383</c:v>
                </c:pt>
                <c:pt idx="158">
                  <c:v>1.25563483337395</c:v>
                </c:pt>
                <c:pt idx="159">
                  <c:v>1.2556771670557101</c:v>
                </c:pt>
                <c:pt idx="160">
                  <c:v>1.25568346224661</c:v>
                </c:pt>
                <c:pt idx="161">
                  <c:v>1.2556832210406801</c:v>
                </c:pt>
                <c:pt idx="162">
                  <c:v>1.2556763149531001</c:v>
                </c:pt>
                <c:pt idx="163">
                  <c:v>1.2557171733301</c:v>
                </c:pt>
                <c:pt idx="164">
                  <c:v>1.25569891274609</c:v>
                </c:pt>
                <c:pt idx="165">
                  <c:v>1.2557407018770499</c:v>
                </c:pt>
                <c:pt idx="166">
                  <c:v>1.2557234247540101</c:v>
                </c:pt>
                <c:pt idx="167">
                  <c:v>1.25567009529712</c:v>
                </c:pt>
                <c:pt idx="168">
                  <c:v>1.2556455955969901</c:v>
                </c:pt>
                <c:pt idx="169">
                  <c:v>1.2556155809690499</c:v>
                </c:pt>
                <c:pt idx="170">
                  <c:v>1.2556503881007799</c:v>
                </c:pt>
                <c:pt idx="171">
                  <c:v>1.25563200200914</c:v>
                </c:pt>
                <c:pt idx="172">
                  <c:v>1.25573041905669</c:v>
                </c:pt>
                <c:pt idx="173">
                  <c:v>1.2557036936535699</c:v>
                </c:pt>
                <c:pt idx="174">
                  <c:v>1.25570605241625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69-444A-9FE6-37A1A868F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BSCY x avg / IBDZ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1.40114011560367E-3</c:v>
                </c:pt>
                <c:pt idx="2">
                  <c:v>6.4471042749333495E-4</c:v>
                </c:pt>
                <c:pt idx="3">
                  <c:v>2.2542907478906599E-3</c:v>
                </c:pt>
                <c:pt idx="4">
                  <c:v>1.0145769595446201E-3</c:v>
                </c:pt>
                <c:pt idx="5">
                  <c:v>1.02285374831596E-3</c:v>
                </c:pt>
                <c:pt idx="6">
                  <c:v>1.2080235864404499E-3</c:v>
                </c:pt>
                <c:pt idx="7">
                  <c:v>1.21592701232408E-3</c:v>
                </c:pt>
                <c:pt idx="8">
                  <c:v>1.69717335300335E-3</c:v>
                </c:pt>
                <c:pt idx="9">
                  <c:v>2.8246279004576799E-3</c:v>
                </c:pt>
                <c:pt idx="10">
                  <c:v>2.4407716391299599E-3</c:v>
                </c:pt>
                <c:pt idx="11">
                  <c:v>-8.2790592255112196E-4</c:v>
                </c:pt>
                <c:pt idx="12">
                  <c:v>-2.7000017581514501E-3</c:v>
                </c:pt>
                <c:pt idx="13">
                  <c:v>-1.6477613149174599E-3</c:v>
                </c:pt>
                <c:pt idx="14">
                  <c:v>-1.4519288668026599E-3</c:v>
                </c:pt>
                <c:pt idx="15">
                  <c:v>-2.2083585549132201E-3</c:v>
                </c:pt>
                <c:pt idx="16">
                  <c:v>-2.7830499893621999E-3</c:v>
                </c:pt>
                <c:pt idx="17">
                  <c:v>-2.12451936924006E-3</c:v>
                </c:pt>
                <c:pt idx="18">
                  <c:v>-1.92823275768407E-3</c:v>
                </c:pt>
                <c:pt idx="19">
                  <c:v>-1.1712304505271201E-3</c:v>
                </c:pt>
                <c:pt idx="20">
                  <c:v>2.3330278624038598E-3</c:v>
                </c:pt>
                <c:pt idx="21">
                  <c:v>1.9525827370239399E-3</c:v>
                </c:pt>
                <c:pt idx="22">
                  <c:v>1.85581477770914E-3</c:v>
                </c:pt>
                <c:pt idx="23">
                  <c:v>1.1113415883103599E-3</c:v>
                </c:pt>
                <c:pt idx="24">
                  <c:v>1.6831958453218201E-3</c:v>
                </c:pt>
                <c:pt idx="25">
                  <c:v>1.6831958453218201E-3</c:v>
                </c:pt>
                <c:pt idx="26">
                  <c:v>1.6901978298459401E-3</c:v>
                </c:pt>
                <c:pt idx="27">
                  <c:v>2.3503570829358799E-3</c:v>
                </c:pt>
                <c:pt idx="28">
                  <c:v>1.51223861419781E-3</c:v>
                </c:pt>
                <c:pt idx="29">
                  <c:v>1.33531763559782E-3</c:v>
                </c:pt>
                <c:pt idx="30">
                  <c:v>1.05564953962095E-3</c:v>
                </c:pt>
                <c:pt idx="31">
                  <c:v>2.4629253476349802E-3</c:v>
                </c:pt>
                <c:pt idx="32">
                  <c:v>2.2778247741712899E-3</c:v>
                </c:pt>
                <c:pt idx="33">
                  <c:v>2.2778247741712899E-3</c:v>
                </c:pt>
                <c:pt idx="34">
                  <c:v>-2.3315188481903598E-3</c:v>
                </c:pt>
                <c:pt idx="35">
                  <c:v>-1.67870343910744E-3</c:v>
                </c:pt>
                <c:pt idx="36">
                  <c:v>-2.24857815392917E-3</c:v>
                </c:pt>
                <c:pt idx="37">
                  <c:v>-2.05386757781649E-3</c:v>
                </c:pt>
                <c:pt idx="38">
                  <c:v>-1.76241971249386E-3</c:v>
                </c:pt>
                <c:pt idx="39">
                  <c:v>2.0744606617610298E-3</c:v>
                </c:pt>
                <c:pt idx="40">
                  <c:v>2.3560897952254701E-3</c:v>
                </c:pt>
                <c:pt idx="41">
                  <c:v>1.8824928173938999E-3</c:v>
                </c:pt>
                <c:pt idx="42">
                  <c:v>1.30462306018328E-3</c:v>
                </c:pt>
                <c:pt idx="43">
                  <c:v>1.10322087114248E-3</c:v>
                </c:pt>
                <c:pt idx="44">
                  <c:v>1.11943153776157E-3</c:v>
                </c:pt>
                <c:pt idx="45">
                  <c:v>1.76585853700692E-3</c:v>
                </c:pt>
                <c:pt idx="46">
                  <c:v>1.26559372872827E-3</c:v>
                </c:pt>
                <c:pt idx="47">
                  <c:v>9.5574748698489995E-4</c:v>
                </c:pt>
                <c:pt idx="48">
                  <c:v>1.1355198303113401E-3</c:v>
                </c:pt>
                <c:pt idx="49">
                  <c:v>2.0172317146172599E-3</c:v>
                </c:pt>
                <c:pt idx="50">
                  <c:v>1.46042459546102E-3</c:v>
                </c:pt>
                <c:pt idx="51">
                  <c:v>6.7003700598052701E-4</c:v>
                </c:pt>
                <c:pt idx="52">
                  <c:v>9.72717016719134E-4</c:v>
                </c:pt>
                <c:pt idx="53">
                  <c:v>1.5058368670695301E-3</c:v>
                </c:pt>
                <c:pt idx="54">
                  <c:v>-1.9555460140645701E-3</c:v>
                </c:pt>
                <c:pt idx="55">
                  <c:v>-2.0697164849026498E-3</c:v>
                </c:pt>
                <c:pt idx="56">
                  <c:v>-2.5248932890093601E-3</c:v>
                </c:pt>
                <c:pt idx="57">
                  <c:v>-2.5863589374143501E-3</c:v>
                </c:pt>
                <c:pt idx="58">
                  <c:v>-2.6018749615886899E-3</c:v>
                </c:pt>
                <c:pt idx="59">
                  <c:v>-2.2699288831804399E-3</c:v>
                </c:pt>
                <c:pt idx="60">
                  <c:v>-1.74250939940335E-3</c:v>
                </c:pt>
                <c:pt idx="61">
                  <c:v>1.04549941198312E-3</c:v>
                </c:pt>
                <c:pt idx="62">
                  <c:v>1.7311197516432699E-3</c:v>
                </c:pt>
                <c:pt idx="63">
                  <c:v>2.2061356183203499E-3</c:v>
                </c:pt>
                <c:pt idx="64">
                  <c:v>2.5958921991948401E-3</c:v>
                </c:pt>
                <c:pt idx="65">
                  <c:v>1.1680523221405299E-3</c:v>
                </c:pt>
                <c:pt idx="66">
                  <c:v>2.2243665730270999E-3</c:v>
                </c:pt>
                <c:pt idx="67">
                  <c:v>1.7381208045649001E-3</c:v>
                </c:pt>
                <c:pt idx="68">
                  <c:v>1.65492025913174E-3</c:v>
                </c:pt>
                <c:pt idx="69">
                  <c:v>1.47536965232919E-3</c:v>
                </c:pt>
                <c:pt idx="70">
                  <c:v>9.0070486747069304E-4</c:v>
                </c:pt>
                <c:pt idx="71">
                  <c:v>1.46042459546102E-3</c:v>
                </c:pt>
                <c:pt idx="72">
                  <c:v>1.5722822950947799E-3</c:v>
                </c:pt>
                <c:pt idx="73">
                  <c:v>-2.5331688626696702E-3</c:v>
                </c:pt>
                <c:pt idx="74">
                  <c:v>-1.3199855542560101E-3</c:v>
                </c:pt>
                <c:pt idx="75">
                  <c:v>-1.30717743903415E-3</c:v>
                </c:pt>
                <c:pt idx="76">
                  <c:v>-1.80040833553589E-3</c:v>
                </c:pt>
                <c:pt idx="77">
                  <c:v>-1.70159212251984E-3</c:v>
                </c:pt>
                <c:pt idx="78">
                  <c:v>-2.0973688450009399E-3</c:v>
                </c:pt>
                <c:pt idx="79">
                  <c:v>-2.1965266750047299E-3</c:v>
                </c:pt>
                <c:pt idx="80">
                  <c:v>-2.3253565331753799E-3</c:v>
                </c:pt>
                <c:pt idx="81">
                  <c:v>-2.3105349113932798E-3</c:v>
                </c:pt>
                <c:pt idx="82">
                  <c:v>2.5905292421191601E-3</c:v>
                </c:pt>
                <c:pt idx="83">
                  <c:v>1.52080205430298E-3</c:v>
                </c:pt>
                <c:pt idx="84">
                  <c:v>1.6262090131002899E-3</c:v>
                </c:pt>
                <c:pt idx="85">
                  <c:v>1.8355377663318499E-3</c:v>
                </c:pt>
                <c:pt idx="86">
                  <c:v>1.4377913623109201E-3</c:v>
                </c:pt>
                <c:pt idx="87">
                  <c:v>1.3553456802740901E-3</c:v>
                </c:pt>
                <c:pt idx="88">
                  <c:v>2.49857949767759E-3</c:v>
                </c:pt>
                <c:pt idx="89">
                  <c:v>2.0107504521784201E-3</c:v>
                </c:pt>
                <c:pt idx="90">
                  <c:v>2.4930268058714002E-3</c:v>
                </c:pt>
                <c:pt idx="91">
                  <c:v>1.8150261910116301E-3</c:v>
                </c:pt>
                <c:pt idx="92">
                  <c:v>2.1814976471737899E-3</c:v>
                </c:pt>
                <c:pt idx="93">
                  <c:v>-2.0126576959740498E-3</c:v>
                </c:pt>
                <c:pt idx="94">
                  <c:v>-1.75304827071302E-3</c:v>
                </c:pt>
                <c:pt idx="95">
                  <c:v>-1.51108585758658E-3</c:v>
                </c:pt>
                <c:pt idx="96">
                  <c:v>-2.1844296715534698E-3</c:v>
                </c:pt>
                <c:pt idx="97">
                  <c:v>-2.2699288831804399E-3</c:v>
                </c:pt>
                <c:pt idx="98">
                  <c:v>-3.1091704450248799E-3</c:v>
                </c:pt>
                <c:pt idx="99">
                  <c:v>-3.2929424819112601E-3</c:v>
                </c:pt>
                <c:pt idx="100">
                  <c:v>-1.54395764119764E-3</c:v>
                </c:pt>
                <c:pt idx="101">
                  <c:v>-1.8280258549873501E-3</c:v>
                </c:pt>
                <c:pt idx="102">
                  <c:v>1.8150261910116301E-3</c:v>
                </c:pt>
                <c:pt idx="103">
                  <c:v>1.91293076385571E-3</c:v>
                </c:pt>
                <c:pt idx="104">
                  <c:v>9.3864682916682798E-4</c:v>
                </c:pt>
                <c:pt idx="105">
                  <c:v>2.10217046140644E-3</c:v>
                </c:pt>
                <c:pt idx="106">
                  <c:v>8.2245858308915604E-4</c:v>
                </c:pt>
                <c:pt idx="107">
                  <c:v>2.3722457975847901E-3</c:v>
                </c:pt>
                <c:pt idx="108">
                  <c:v>1.7028444168481901E-3</c:v>
                </c:pt>
                <c:pt idx="109">
                  <c:v>1.79427595792136E-3</c:v>
                </c:pt>
                <c:pt idx="110">
                  <c:v>2.3954398202615302E-3</c:v>
                </c:pt>
                <c:pt idx="111">
                  <c:v>1.7170366226386001E-3</c:v>
                </c:pt>
                <c:pt idx="112">
                  <c:v>1.43018878006628E-3</c:v>
                </c:pt>
                <c:pt idx="113">
                  <c:v>1.8218896962053401E-3</c:v>
                </c:pt>
                <c:pt idx="114">
                  <c:v>2.09583114344622E-3</c:v>
                </c:pt>
                <c:pt idx="115">
                  <c:v>1.8150261910116301E-3</c:v>
                </c:pt>
                <c:pt idx="116">
                  <c:v>-3.04153385973488E-3</c:v>
                </c:pt>
                <c:pt idx="117">
                  <c:v>-3.2260087702189002E-3</c:v>
                </c:pt>
                <c:pt idx="118">
                  <c:v>-2.3253565331753799E-3</c:v>
                </c:pt>
                <c:pt idx="119">
                  <c:v>-2.4100617151718998E-3</c:v>
                </c:pt>
                <c:pt idx="120">
                  <c:v>-2.59401593456992E-3</c:v>
                </c:pt>
                <c:pt idx="121">
                  <c:v>-3.1599178863184101E-3</c:v>
                </c:pt>
                <c:pt idx="122">
                  <c:v>-3.2929424819112601E-3</c:v>
                </c:pt>
                <c:pt idx="123">
                  <c:v>1.0287204036405601E-3</c:v>
                </c:pt>
                <c:pt idx="124">
                  <c:v>2.3896748951260601E-3</c:v>
                </c:pt>
                <c:pt idx="125">
                  <c:v>1.52080205430298E-3</c:v>
                </c:pt>
                <c:pt idx="126">
                  <c:v>1.20968027234171E-3</c:v>
                </c:pt>
                <c:pt idx="127">
                  <c:v>1.20156839254092E-3</c:v>
                </c:pt>
                <c:pt idx="128">
                  <c:v>1.11078888241394E-3</c:v>
                </c:pt>
                <c:pt idx="129">
                  <c:v>1.68854186211058E-3</c:v>
                </c:pt>
                <c:pt idx="130">
                  <c:v>1.5748853272925601E-3</c:v>
                </c:pt>
                <c:pt idx="131">
                  <c:v>9.0404600235410501E-4</c:v>
                </c:pt>
                <c:pt idx="132">
                  <c:v>1.5970519603156501E-3</c:v>
                </c:pt>
                <c:pt idx="133">
                  <c:v>1.3994830749625401E-3</c:v>
                </c:pt>
                <c:pt idx="134">
                  <c:v>1.20968027234171E-3</c:v>
                </c:pt>
                <c:pt idx="135">
                  <c:v>-3.8842882620194899E-3</c:v>
                </c:pt>
                <c:pt idx="136">
                  <c:v>-3.5132188571056198E-3</c:v>
                </c:pt>
                <c:pt idx="137">
                  <c:v>-3.0388794060831801E-3</c:v>
                </c:pt>
                <c:pt idx="138">
                  <c:v>-3.3613070194530802E-3</c:v>
                </c:pt>
                <c:pt idx="139">
                  <c:v>-2.86808876037925E-3</c:v>
                </c:pt>
                <c:pt idx="140">
                  <c:v>-2.8519154751803998E-3</c:v>
                </c:pt>
                <c:pt idx="141">
                  <c:v>-2.7344026183623899E-3</c:v>
                </c:pt>
                <c:pt idx="142">
                  <c:v>-3.0554020979835202E-3</c:v>
                </c:pt>
                <c:pt idx="143">
                  <c:v>-4.0226473162158598E-3</c:v>
                </c:pt>
                <c:pt idx="144">
                  <c:v>-3.6502554017418601E-3</c:v>
                </c:pt>
                <c:pt idx="145">
                  <c:v>1.2605213929936701E-3</c:v>
                </c:pt>
                <c:pt idx="146">
                  <c:v>5.9641166801242102E-4</c:v>
                </c:pt>
                <c:pt idx="147">
                  <c:v>2.0677597245377099E-4</c:v>
                </c:pt>
                <c:pt idx="148">
                  <c:v>4.8703833503392798E-4</c:v>
                </c:pt>
                <c:pt idx="149">
                  <c:v>3.9670679525629097E-4</c:v>
                </c:pt>
                <c:pt idx="150">
                  <c:v>2.0442204926661199E-3</c:v>
                </c:pt>
                <c:pt idx="151">
                  <c:v>3.7713906183438101E-4</c:v>
                </c:pt>
                <c:pt idx="152">
                  <c:v>1.46023705858062E-3</c:v>
                </c:pt>
                <c:pt idx="153">
                  <c:v>3.9670679525629097E-4</c:v>
                </c:pt>
                <c:pt idx="154">
                  <c:v>1.16880296159133E-3</c:v>
                </c:pt>
                <c:pt idx="155">
                  <c:v>8.6002968568989603E-4</c:v>
                </c:pt>
                <c:pt idx="156">
                  <c:v>6.6852625966431199E-4</c:v>
                </c:pt>
                <c:pt idx="157">
                  <c:v>3.9670679525629097E-4</c:v>
                </c:pt>
                <c:pt idx="158">
                  <c:v>1.6522941697969401E-3</c:v>
                </c:pt>
                <c:pt idx="159">
                  <c:v>6.6852625966431199E-4</c:v>
                </c:pt>
                <c:pt idx="160">
                  <c:v>-3.2592485541405101E-3</c:v>
                </c:pt>
                <c:pt idx="161">
                  <c:v>-3.02242130124135E-3</c:v>
                </c:pt>
                <c:pt idx="162">
                  <c:v>-3.2254411747549101E-3</c:v>
                </c:pt>
                <c:pt idx="163">
                  <c:v>-4.9870584754061597E-3</c:v>
                </c:pt>
                <c:pt idx="164">
                  <c:v>-3.6502554017418601E-3</c:v>
                </c:pt>
                <c:pt idx="165">
                  <c:v>-3.9571610711931398E-3</c:v>
                </c:pt>
                <c:pt idx="166">
                  <c:v>6.3120795316472201E-4</c:v>
                </c:pt>
                <c:pt idx="167">
                  <c:v>8.3320205844206999E-4</c:v>
                </c:pt>
                <c:pt idx="168">
                  <c:v>6.4059282194081602E-4</c:v>
                </c:pt>
                <c:pt idx="169">
                  <c:v>6.4059282194081602E-4</c:v>
                </c:pt>
                <c:pt idx="170">
                  <c:v>1.2279129378513201E-3</c:v>
                </c:pt>
                <c:pt idx="171">
                  <c:v>4.2885358291405799E-4</c:v>
                </c:pt>
                <c:pt idx="172">
                  <c:v>-4.0720635361824701E-4</c:v>
                </c:pt>
                <c:pt idx="173">
                  <c:v>5.8372073908828301E-4</c:v>
                </c:pt>
                <c:pt idx="174">
                  <c:v>8.8067783097095303E-4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C-4A3C-BB6D-0C3F2341BDDD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BSCY x 10 dma / IBDZ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9.9262001587839001E-4</c:v>
                </c:pt>
                <c:pt idx="11">
                  <c:v>-2.4000872181203499E-3</c:v>
                </c:pt>
                <c:pt idx="12">
                  <c:v>-4.0490165647399604E-3</c:v>
                </c:pt>
                <c:pt idx="13">
                  <c:v>-2.66156506626204E-3</c:v>
                </c:pt>
                <c:pt idx="14">
                  <c:v>-2.0753260281541602E-3</c:v>
                </c:pt>
                <c:pt idx="15">
                  <c:v>-2.5849277502863399E-3</c:v>
                </c:pt>
                <c:pt idx="16">
                  <c:v>-2.8362367472095302E-3</c:v>
                </c:pt>
                <c:pt idx="17">
                  <c:v>-1.77834259001449E-3</c:v>
                </c:pt>
                <c:pt idx="18">
                  <c:v>-1.2480308589180001E-3</c:v>
                </c:pt>
                <c:pt idx="19">
                  <c:v>-1.2875802896545699E-4</c:v>
                </c:pt>
                <c:pt idx="20">
                  <c:v>3.7742606722027399E-3</c:v>
                </c:pt>
                <c:pt idx="21">
                  <c:v>3.4045487000006099E-3</c:v>
                </c:pt>
                <c:pt idx="22">
                  <c:v>3.0302527893646199E-3</c:v>
                </c:pt>
                <c:pt idx="23">
                  <c:v>1.8304365252180201E-3</c:v>
                </c:pt>
                <c:pt idx="24">
                  <c:v>2.1264667442662298E-3</c:v>
                </c:pt>
                <c:pt idx="25">
                  <c:v>1.81308021883968E-3</c:v>
                </c:pt>
                <c:pt idx="26">
                  <c:v>1.4307991137378199E-3</c:v>
                </c:pt>
                <c:pt idx="27">
                  <c:v>1.6431723597830101E-3</c:v>
                </c:pt>
                <c:pt idx="28">
                  <c:v>3.5719959481154002E-4</c:v>
                </c:pt>
                <c:pt idx="29">
                  <c:v>-1.6429731876929201E-4</c:v>
                </c:pt>
                <c:pt idx="30">
                  <c:v>-6.9500737050785105E-4</c:v>
                </c:pt>
                <c:pt idx="31">
                  <c:v>8.4000531393595005E-4</c:v>
                </c:pt>
                <c:pt idx="32">
                  <c:v>6.0389901593351696E-4</c:v>
                </c:pt>
                <c:pt idx="33">
                  <c:v>5.6171370344999902E-4</c:v>
                </c:pt>
                <c:pt idx="34">
                  <c:v>-4.16428755956837E-3</c:v>
                </c:pt>
                <c:pt idx="35">
                  <c:v>-3.1092144469048E-3</c:v>
                </c:pt>
                <c:pt idx="36">
                  <c:v>-3.3424752242543002E-3</c:v>
                </c:pt>
                <c:pt idx="37">
                  <c:v>-2.7534233577800899E-3</c:v>
                </c:pt>
                <c:pt idx="38">
                  <c:v>-2.02140685813756E-3</c:v>
                </c:pt>
                <c:pt idx="39">
                  <c:v>2.1430116451655601E-3</c:v>
                </c:pt>
                <c:pt idx="40">
                  <c:v>2.3508547186351001E-3</c:v>
                </c:pt>
                <c:pt idx="41">
                  <c:v>1.7474262477725801E-3</c:v>
                </c:pt>
                <c:pt idx="42">
                  <c:v>1.2274799158208899E-3</c:v>
                </c:pt>
                <c:pt idx="43">
                  <c:v>1.1232265111672901E-3</c:v>
                </c:pt>
                <c:pt idx="44">
                  <c:v>1.25668995285571E-3</c:v>
                </c:pt>
                <c:pt idx="45">
                  <c:v>1.5578003138718201E-3</c:v>
                </c:pt>
                <c:pt idx="46">
                  <c:v>7.1296311836860804E-4</c:v>
                </c:pt>
                <c:pt idx="47">
                  <c:v>5.1270502339841601E-5</c:v>
                </c:pt>
                <c:pt idx="48">
                  <c:v>-7.0401981270935498E-5</c:v>
                </c:pt>
                <c:pt idx="49">
                  <c:v>5.21033081544413E-4</c:v>
                </c:pt>
                <c:pt idx="50">
                  <c:v>-3.0054303964853901E-5</c:v>
                </c:pt>
                <c:pt idx="51">
                  <c:v>-7.3091678910087098E-4</c:v>
                </c:pt>
                <c:pt idx="52">
                  <c:v>-3.0698342236000102E-4</c:v>
                </c:pt>
                <c:pt idx="53">
                  <c:v>2.5933116275211199E-4</c:v>
                </c:pt>
                <c:pt idx="54">
                  <c:v>-3.2423117926349602E-3</c:v>
                </c:pt>
                <c:pt idx="55">
                  <c:v>-3.0485071397796299E-3</c:v>
                </c:pt>
                <c:pt idx="56">
                  <c:v>-3.1197659709679298E-3</c:v>
                </c:pt>
                <c:pt idx="57">
                  <c:v>-2.8017902494343301E-3</c:v>
                </c:pt>
                <c:pt idx="58">
                  <c:v>-2.4627930068082701E-3</c:v>
                </c:pt>
                <c:pt idx="59">
                  <c:v>-1.7569550348961E-3</c:v>
                </c:pt>
                <c:pt idx="60">
                  <c:v>-8.01076685177853E-4</c:v>
                </c:pt>
                <c:pt idx="61">
                  <c:v>2.3069182043211401E-3</c:v>
                </c:pt>
                <c:pt idx="62">
                  <c:v>2.95507108452003E-3</c:v>
                </c:pt>
                <c:pt idx="63">
                  <c:v>3.3544389179269701E-3</c:v>
                </c:pt>
                <c:pt idx="64">
                  <c:v>3.6743732590352601E-3</c:v>
                </c:pt>
                <c:pt idx="65">
                  <c:v>1.7919219920654499E-3</c:v>
                </c:pt>
                <c:pt idx="66">
                  <c:v>2.5244628326168998E-3</c:v>
                </c:pt>
                <c:pt idx="67">
                  <c:v>1.5632490064129299E-3</c:v>
                </c:pt>
                <c:pt idx="68">
                  <c:v>1.0472473947591701E-3</c:v>
                </c:pt>
                <c:pt idx="69">
                  <c:v>4.4146564817346303E-4</c:v>
                </c:pt>
                <c:pt idx="70">
                  <c:v>-5.0833596922104495E-4</c:v>
                </c:pt>
                <c:pt idx="71">
                  <c:v>-2.1345694821667301E-4</c:v>
                </c:pt>
                <c:pt idx="72">
                  <c:v>-1.4311009747995499E-4</c:v>
                </c:pt>
                <c:pt idx="73">
                  <c:v>-4.2326766240445898E-3</c:v>
                </c:pt>
                <c:pt idx="74">
                  <c:v>-2.5447913450107901E-3</c:v>
                </c:pt>
                <c:pt idx="75">
                  <c:v>-2.1402420729945198E-3</c:v>
                </c:pt>
                <c:pt idx="76">
                  <c:v>-2.3857570924129298E-3</c:v>
                </c:pt>
                <c:pt idx="77">
                  <c:v>-1.8843938487830599E-3</c:v>
                </c:pt>
                <c:pt idx="78">
                  <c:v>-1.9362016722467899E-3</c:v>
                </c:pt>
                <c:pt idx="79">
                  <c:v>-1.66017822514844E-3</c:v>
                </c:pt>
                <c:pt idx="80">
                  <c:v>-1.4219501535727901E-3</c:v>
                </c:pt>
                <c:pt idx="81">
                  <c:v>-1.0846358960654599E-3</c:v>
                </c:pt>
                <c:pt idx="82">
                  <c:v>4.1931515881572998E-3</c:v>
                </c:pt>
                <c:pt idx="83">
                  <c:v>3.0219689897295699E-3</c:v>
                </c:pt>
                <c:pt idx="84">
                  <c:v>2.7222997100222E-3</c:v>
                </c:pt>
                <c:pt idx="85">
                  <c:v>2.6373334091124899E-3</c:v>
                </c:pt>
                <c:pt idx="86">
                  <c:v>1.9256008942285701E-3</c:v>
                </c:pt>
                <c:pt idx="87">
                  <c:v>1.5193819280055899E-3</c:v>
                </c:pt>
                <c:pt idx="88">
                  <c:v>2.3568723335033199E-3</c:v>
                </c:pt>
                <c:pt idx="89">
                  <c:v>1.40936948394101E-3</c:v>
                </c:pt>
                <c:pt idx="90">
                  <c:v>1.4705369608317999E-3</c:v>
                </c:pt>
                <c:pt idx="91">
                  <c:v>3.1012871350675298E-4</c:v>
                </c:pt>
                <c:pt idx="92">
                  <c:v>2.6323464134282801E-4</c:v>
                </c:pt>
                <c:pt idx="93">
                  <c:v>-3.8900375057517199E-3</c:v>
                </c:pt>
                <c:pt idx="94">
                  <c:v>-3.2763935395904E-3</c:v>
                </c:pt>
                <c:pt idx="95">
                  <c:v>-2.6960258682308899E-3</c:v>
                </c:pt>
                <c:pt idx="96">
                  <c:v>-3.0344208261228701E-3</c:v>
                </c:pt>
                <c:pt idx="97">
                  <c:v>-2.7573201022276302E-3</c:v>
                </c:pt>
                <c:pt idx="98">
                  <c:v>-3.23375719524146E-3</c:v>
                </c:pt>
                <c:pt idx="99">
                  <c:v>-2.85666969486013E-3</c:v>
                </c:pt>
                <c:pt idx="100">
                  <c:v>-5.77346949924868E-4</c:v>
                </c:pt>
                <c:pt idx="101">
                  <c:v>-4.5837904432575701E-4</c:v>
                </c:pt>
                <c:pt idx="102">
                  <c:v>3.5484159817347699E-3</c:v>
                </c:pt>
                <c:pt idx="103">
                  <c:v>3.6828305343611502E-3</c:v>
                </c:pt>
                <c:pt idx="104">
                  <c:v>2.31658533038213E-3</c:v>
                </c:pt>
                <c:pt idx="105">
                  <c:v>3.2111643753309298E-3</c:v>
                </c:pt>
                <c:pt idx="106">
                  <c:v>1.5705686968138901E-3</c:v>
                </c:pt>
                <c:pt idx="107">
                  <c:v>2.8196419455939299E-3</c:v>
                </c:pt>
                <c:pt idx="108">
                  <c:v>1.6861463851921301E-3</c:v>
                </c:pt>
                <c:pt idx="109">
                  <c:v>1.29591347085835E-3</c:v>
                </c:pt>
                <c:pt idx="110">
                  <c:v>1.38759004713288E-3</c:v>
                </c:pt>
                <c:pt idx="111">
                  <c:v>3.1493976081189902E-4</c:v>
                </c:pt>
                <c:pt idx="112">
                  <c:v>-3.2699465326023502E-4</c:v>
                </c:pt>
                <c:pt idx="113">
                  <c:v>1.03194442866084E-4</c:v>
                </c:pt>
                <c:pt idx="114">
                  <c:v>3.86238601628693E-4</c:v>
                </c:pt>
                <c:pt idx="115">
                  <c:v>-1.0313748155806E-5</c:v>
                </c:pt>
                <c:pt idx="116">
                  <c:v>-4.8381636100888201E-3</c:v>
                </c:pt>
                <c:pt idx="117">
                  <c:v>-4.6351895290747801E-3</c:v>
                </c:pt>
                <c:pt idx="118">
                  <c:v>-3.1738395046613799E-3</c:v>
                </c:pt>
                <c:pt idx="119">
                  <c:v>-2.8553381804763802E-3</c:v>
                </c:pt>
                <c:pt idx="120">
                  <c:v>-2.6186300363908802E-3</c:v>
                </c:pt>
                <c:pt idx="121">
                  <c:v>-2.6856485338297999E-3</c:v>
                </c:pt>
                <c:pt idx="122">
                  <c:v>-2.3309755796652701E-3</c:v>
                </c:pt>
                <c:pt idx="123">
                  <c:v>2.4628749251012299E-3</c:v>
                </c:pt>
                <c:pt idx="124">
                  <c:v>3.9029167408378101E-3</c:v>
                </c:pt>
                <c:pt idx="125">
                  <c:v>3.00476925679492E-3</c:v>
                </c:pt>
                <c:pt idx="126">
                  <c:v>2.7229768685359998E-3</c:v>
                </c:pt>
                <c:pt idx="127">
                  <c:v>2.2899068525251802E-3</c:v>
                </c:pt>
                <c:pt idx="128">
                  <c:v>1.7563049337982601E-3</c:v>
                </c:pt>
                <c:pt idx="129">
                  <c:v>1.9903972952483098E-3</c:v>
                </c:pt>
                <c:pt idx="130">
                  <c:v>1.46677194674863E-3</c:v>
                </c:pt>
                <c:pt idx="131">
                  <c:v>3.78697579419809E-4</c:v>
                </c:pt>
                <c:pt idx="132">
                  <c:v>6.6455154874953701E-4</c:v>
                </c:pt>
                <c:pt idx="133">
                  <c:v>-2.3008707534262201E-5</c:v>
                </c:pt>
                <c:pt idx="134">
                  <c:v>-2.4989619225828199E-4</c:v>
                </c:pt>
                <c:pt idx="135">
                  <c:v>-5.2259123390790202E-3</c:v>
                </c:pt>
                <c:pt idx="136">
                  <c:v>-4.3131143793136697E-3</c:v>
                </c:pt>
                <c:pt idx="137">
                  <c:v>-3.36567385383746E-3</c:v>
                </c:pt>
                <c:pt idx="138">
                  <c:v>-3.2636180195259401E-3</c:v>
                </c:pt>
                <c:pt idx="139">
                  <c:v>-2.3228301960414701E-3</c:v>
                </c:pt>
                <c:pt idx="140">
                  <c:v>-1.8510769624385699E-3</c:v>
                </c:pt>
                <c:pt idx="141">
                  <c:v>-1.2911419114942299E-3</c:v>
                </c:pt>
                <c:pt idx="142">
                  <c:v>-1.24855452351434E-3</c:v>
                </c:pt>
                <c:pt idx="143">
                  <c:v>-1.7511629892614899E-3</c:v>
                </c:pt>
                <c:pt idx="144">
                  <c:v>-8.3722425683036299E-4</c:v>
                </c:pt>
                <c:pt idx="145">
                  <c:v>4.5586554543624201E-3</c:v>
                </c:pt>
                <c:pt idx="146">
                  <c:v>3.3809532054807499E-3</c:v>
                </c:pt>
                <c:pt idx="147">
                  <c:v>2.5808145562730401E-3</c:v>
                </c:pt>
                <c:pt idx="148">
                  <c:v>2.5367694373254002E-3</c:v>
                </c:pt>
                <c:pt idx="149">
                  <c:v>2.0617648237672599E-3</c:v>
                </c:pt>
                <c:pt idx="150">
                  <c:v>3.3828857098128998E-3</c:v>
                </c:pt>
                <c:pt idx="151">
                  <c:v>1.2265280030926799E-3</c:v>
                </c:pt>
                <c:pt idx="152">
                  <c:v>1.9983207936717898E-3</c:v>
                </c:pt>
                <c:pt idx="153">
                  <c:v>4.8300699662515601E-4</c:v>
                </c:pt>
                <c:pt idx="154">
                  <c:v>8.1230563538434695E-4</c:v>
                </c:pt>
                <c:pt idx="155">
                  <c:v>2.0739203854121201E-5</c:v>
                </c:pt>
                <c:pt idx="156">
                  <c:v>-1.30724702056231E-4</c:v>
                </c:pt>
                <c:pt idx="157">
                  <c:v>-4.0975685448411199E-4</c:v>
                </c:pt>
                <c:pt idx="158">
                  <c:v>8.2682766854352103E-4</c:v>
                </c:pt>
                <c:pt idx="159">
                  <c:v>-2.73444165930614E-4</c:v>
                </c:pt>
                <c:pt idx="160">
                  <c:v>-4.2284124253117797E-3</c:v>
                </c:pt>
                <c:pt idx="161">
                  <c:v>-3.4605418279015001E-3</c:v>
                </c:pt>
                <c:pt idx="162">
                  <c:v>-3.3230643680735002E-3</c:v>
                </c:pt>
                <c:pt idx="163">
                  <c:v>-4.6157638482693802E-3</c:v>
                </c:pt>
                <c:pt idx="164">
                  <c:v>-2.7396922580170701E-3</c:v>
                </c:pt>
                <c:pt idx="165">
                  <c:v>-2.5646486471023701E-3</c:v>
                </c:pt>
                <c:pt idx="166">
                  <c:v>2.5053990726763399E-3</c:v>
                </c:pt>
                <c:pt idx="167">
                  <c:v>2.7111155941955799E-3</c:v>
                </c:pt>
                <c:pt idx="168">
                  <c:v>2.4749645600902598E-3</c:v>
                </c:pt>
                <c:pt idx="169">
                  <c:v>2.5758284917765401E-3</c:v>
                </c:pt>
                <c:pt idx="170">
                  <c:v>3.1659347227492802E-3</c:v>
                </c:pt>
                <c:pt idx="171">
                  <c:v>1.91847200906504E-3</c:v>
                </c:pt>
                <c:pt idx="172">
                  <c:v>7.3729141167078595E-4</c:v>
                </c:pt>
                <c:pt idx="173">
                  <c:v>1.4461657558413399E-3</c:v>
                </c:pt>
                <c:pt idx="174">
                  <c:v>1.18514201078518E-3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C-4A3C-BB6D-0C3F2341BDDD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BSCY x 20 dma / IBDZ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2.3306120231148301E-3</c:v>
                </c:pt>
                <c:pt idx="21">
                  <c:v>1.8936182536219699E-3</c:v>
                </c:pt>
                <c:pt idx="22">
                  <c:v>1.7693223567971201E-3</c:v>
                </c:pt>
                <c:pt idx="23">
                  <c:v>9.64362548277839E-4</c:v>
                </c:pt>
                <c:pt idx="24">
                  <c:v>1.59327493670552E-3</c:v>
                </c:pt>
                <c:pt idx="25">
                  <c:v>1.559885496296E-3</c:v>
                </c:pt>
                <c:pt idx="26">
                  <c:v>1.53391040828982E-3</c:v>
                </c:pt>
                <c:pt idx="27">
                  <c:v>2.1699918072726801E-3</c:v>
                </c:pt>
                <c:pt idx="28">
                  <c:v>1.27524106748179E-3</c:v>
                </c:pt>
                <c:pt idx="29">
                  <c:v>1.1075541450060501E-3</c:v>
                </c:pt>
                <c:pt idx="30">
                  <c:v>9.0221100891328199E-4</c:v>
                </c:pt>
                <c:pt idx="31">
                  <c:v>2.3786301772945702E-3</c:v>
                </c:pt>
                <c:pt idx="32">
                  <c:v>2.0290950475581999E-3</c:v>
                </c:pt>
                <c:pt idx="33">
                  <c:v>1.7800579856187501E-3</c:v>
                </c:pt>
                <c:pt idx="34">
                  <c:v>-3.0256202100084101E-3</c:v>
                </c:pt>
                <c:pt idx="35">
                  <c:v>-2.32871240205985E-3</c:v>
                </c:pt>
                <c:pt idx="36">
                  <c:v>-2.9251389987102498E-3</c:v>
                </c:pt>
                <c:pt idx="37">
                  <c:v>-2.7572378220998002E-3</c:v>
                </c:pt>
                <c:pt idx="38">
                  <c:v>-2.4693324313921502E-3</c:v>
                </c:pt>
                <c:pt idx="39">
                  <c:v>1.35923606929939E-3</c:v>
                </c:pt>
                <c:pt idx="40">
                  <c:v>1.4785246139899599E-3</c:v>
                </c:pt>
                <c:pt idx="41">
                  <c:v>1.0037762291997801E-3</c:v>
                </c:pt>
                <c:pt idx="42">
                  <c:v>4.29407323188649E-4</c:v>
                </c:pt>
                <c:pt idx="43">
                  <c:v>2.55544918401115E-4</c:v>
                </c:pt>
                <c:pt idx="44">
                  <c:v>2.7216151540090098E-4</c:v>
                </c:pt>
                <c:pt idx="45">
                  <c:v>9.4676072038033801E-4</c:v>
                </c:pt>
                <c:pt idx="46">
                  <c:v>4.4236650955821097E-4</c:v>
                </c:pt>
                <c:pt idx="47">
                  <c:v>1.5373635376817401E-4</c:v>
                </c:pt>
                <c:pt idx="48">
                  <c:v>4.0317743735204402E-4</c:v>
                </c:pt>
                <c:pt idx="49">
                  <c:v>1.3037139449221999E-3</c:v>
                </c:pt>
                <c:pt idx="50">
                  <c:v>7.1284335107933E-4</c:v>
                </c:pt>
                <c:pt idx="51">
                  <c:v>-9.7772867575843806E-5</c:v>
                </c:pt>
                <c:pt idx="52">
                  <c:v>2.9447599299349298E-4</c:v>
                </c:pt>
                <c:pt idx="53">
                  <c:v>8.9278734128317905E-4</c:v>
                </c:pt>
                <c:pt idx="54">
                  <c:v>-2.53004621521109E-3</c:v>
                </c:pt>
                <c:pt idx="55">
                  <c:v>-2.6630666703501998E-3</c:v>
                </c:pt>
                <c:pt idx="56">
                  <c:v>-3.0986447121193299E-3</c:v>
                </c:pt>
                <c:pt idx="57">
                  <c:v>-3.1462537377557401E-3</c:v>
                </c:pt>
                <c:pt idx="58">
                  <c:v>-3.1350687606151099E-3</c:v>
                </c:pt>
                <c:pt idx="59">
                  <c:v>-2.7610366789019799E-3</c:v>
                </c:pt>
                <c:pt idx="60">
                  <c:v>-2.0162932179235401E-3</c:v>
                </c:pt>
                <c:pt idx="61">
                  <c:v>9.7661793882421709E-4</c:v>
                </c:pt>
                <c:pt idx="62">
                  <c:v>1.70402873236178E-3</c:v>
                </c:pt>
                <c:pt idx="63">
                  <c:v>2.1577513045643302E-3</c:v>
                </c:pt>
                <c:pt idx="64">
                  <c:v>2.4924491387426999E-3</c:v>
                </c:pt>
                <c:pt idx="65">
                  <c:v>9.9091289464485997E-4</c:v>
                </c:pt>
                <c:pt idx="66">
                  <c:v>2.0770784830149601E-3</c:v>
                </c:pt>
                <c:pt idx="67">
                  <c:v>1.54296945511316E-3</c:v>
                </c:pt>
                <c:pt idx="68">
                  <c:v>1.42069450967869E-3</c:v>
                </c:pt>
                <c:pt idx="69">
                  <c:v>1.2152036782498801E-3</c:v>
                </c:pt>
                <c:pt idx="70">
                  <c:v>6.6759139681785498E-4</c:v>
                </c:pt>
                <c:pt idx="71">
                  <c:v>1.2552702179124699E-3</c:v>
                </c:pt>
                <c:pt idx="72">
                  <c:v>1.3276417325489001E-3</c:v>
                </c:pt>
                <c:pt idx="73">
                  <c:v>-2.80775734041644E-3</c:v>
                </c:pt>
                <c:pt idx="74">
                  <c:v>-1.3924847785702101E-3</c:v>
                </c:pt>
                <c:pt idx="75">
                  <c:v>-1.41150958887964E-3</c:v>
                </c:pt>
                <c:pt idx="76">
                  <c:v>-1.9429365825730301E-3</c:v>
                </c:pt>
                <c:pt idx="77">
                  <c:v>-1.8804288768669399E-3</c:v>
                </c:pt>
                <c:pt idx="78">
                  <c:v>-2.3205478014367599E-3</c:v>
                </c:pt>
                <c:pt idx="79">
                  <c:v>-2.4449962405901E-3</c:v>
                </c:pt>
                <c:pt idx="80">
                  <c:v>-2.5775053353529298E-3</c:v>
                </c:pt>
                <c:pt idx="81">
                  <c:v>-2.5334750850252601E-3</c:v>
                </c:pt>
                <c:pt idx="82">
                  <c:v>2.5355203709453598E-3</c:v>
                </c:pt>
                <c:pt idx="83">
                  <c:v>1.4229121805966101E-3</c:v>
                </c:pt>
                <c:pt idx="84">
                  <c:v>1.56252478609606E-3</c:v>
                </c:pt>
                <c:pt idx="85">
                  <c:v>1.82023736672033E-3</c:v>
                </c:pt>
                <c:pt idx="86">
                  <c:v>1.3891657084135101E-3</c:v>
                </c:pt>
                <c:pt idx="87">
                  <c:v>1.3459779780808001E-3</c:v>
                </c:pt>
                <c:pt idx="88">
                  <c:v>2.5083209685755302E-3</c:v>
                </c:pt>
                <c:pt idx="89">
                  <c:v>1.9783959965078298E-3</c:v>
                </c:pt>
                <c:pt idx="90">
                  <c:v>2.43394870761448E-3</c:v>
                </c:pt>
                <c:pt idx="91">
                  <c:v>1.6764591158190899E-3</c:v>
                </c:pt>
                <c:pt idx="92">
                  <c:v>2.0252268956843802E-3</c:v>
                </c:pt>
                <c:pt idx="93">
                  <c:v>-2.1993373115644899E-3</c:v>
                </c:pt>
                <c:pt idx="94">
                  <c:v>-1.96581787633849E-3</c:v>
                </c:pt>
                <c:pt idx="95">
                  <c:v>-1.70216465177989E-3</c:v>
                </c:pt>
                <c:pt idx="96">
                  <c:v>-2.3652967690613799E-3</c:v>
                </c:pt>
                <c:pt idx="97">
                  <c:v>-2.4315533241209102E-3</c:v>
                </c:pt>
                <c:pt idx="98">
                  <c:v>-3.2423173655815899E-3</c:v>
                </c:pt>
                <c:pt idx="99">
                  <c:v>-3.3753619818457001E-3</c:v>
                </c:pt>
                <c:pt idx="100">
                  <c:v>-1.57140265304474E-3</c:v>
                </c:pt>
                <c:pt idx="101">
                  <c:v>-1.8946183131565699E-3</c:v>
                </c:pt>
                <c:pt idx="102">
                  <c:v>1.7242564035499599E-3</c:v>
                </c:pt>
                <c:pt idx="103">
                  <c:v>1.8608535743402099E-3</c:v>
                </c:pt>
                <c:pt idx="104">
                  <c:v>8.6699562590610403E-4</c:v>
                </c:pt>
                <c:pt idx="105">
                  <c:v>2.0648551795085499E-3</c:v>
                </c:pt>
                <c:pt idx="106">
                  <c:v>7.7183730359067304E-4</c:v>
                </c:pt>
                <c:pt idx="107">
                  <c:v>2.3523574904895099E-3</c:v>
                </c:pt>
                <c:pt idx="108">
                  <c:v>1.63220348090889E-3</c:v>
                </c:pt>
                <c:pt idx="109">
                  <c:v>1.7633403007981899E-3</c:v>
                </c:pt>
                <c:pt idx="110">
                  <c:v>2.3753075910202602E-3</c:v>
                </c:pt>
                <c:pt idx="111">
                  <c:v>1.70177191712184E-3</c:v>
                </c:pt>
                <c:pt idx="112">
                  <c:v>1.41981497067061E-3</c:v>
                </c:pt>
                <c:pt idx="113">
                  <c:v>1.8490132409220599E-3</c:v>
                </c:pt>
                <c:pt idx="114">
                  <c:v>1.9311957286646099E-3</c:v>
                </c:pt>
                <c:pt idx="115">
                  <c:v>1.4579294673994E-3</c:v>
                </c:pt>
                <c:pt idx="116">
                  <c:v>-3.5649842156458E-3</c:v>
                </c:pt>
                <c:pt idx="117">
                  <c:v>-3.7064702159775899E-3</c:v>
                </c:pt>
                <c:pt idx="118">
                  <c:v>-2.7578605514759001E-3</c:v>
                </c:pt>
                <c:pt idx="119">
                  <c:v>-2.88188083908968E-3</c:v>
                </c:pt>
                <c:pt idx="120">
                  <c:v>-3.1101270280011698E-3</c:v>
                </c:pt>
                <c:pt idx="121">
                  <c:v>-3.6233915472805201E-3</c:v>
                </c:pt>
                <c:pt idx="122">
                  <c:v>-3.6896265254176999E-3</c:v>
                </c:pt>
                <c:pt idx="123">
                  <c:v>8.8769259489952096E-4</c:v>
                </c:pt>
                <c:pt idx="124">
                  <c:v>2.2927978791975798E-3</c:v>
                </c:pt>
                <c:pt idx="125">
                  <c:v>1.35148462456028E-3</c:v>
                </c:pt>
                <c:pt idx="126">
                  <c:v>1.0693831461892401E-3</c:v>
                </c:pt>
                <c:pt idx="127">
                  <c:v>1.04192694318374E-3</c:v>
                </c:pt>
                <c:pt idx="128">
                  <c:v>1.00958442647238E-3</c:v>
                </c:pt>
                <c:pt idx="129">
                  <c:v>1.6169011217851E-3</c:v>
                </c:pt>
                <c:pt idx="130">
                  <c:v>1.5085224576263899E-3</c:v>
                </c:pt>
                <c:pt idx="131">
                  <c:v>8.7863137158814897E-4</c:v>
                </c:pt>
                <c:pt idx="132">
                  <c:v>1.61223383138901E-3</c:v>
                </c:pt>
                <c:pt idx="133">
                  <c:v>1.4063344976106599E-3</c:v>
                </c:pt>
                <c:pt idx="134">
                  <c:v>1.2376176685790501E-3</c:v>
                </c:pt>
                <c:pt idx="135">
                  <c:v>-3.81211870387556E-3</c:v>
                </c:pt>
                <c:pt idx="136">
                  <c:v>-3.1558494630396102E-3</c:v>
                </c:pt>
                <c:pt idx="137">
                  <c:v>-2.6578570748456301E-3</c:v>
                </c:pt>
                <c:pt idx="138">
                  <c:v>-2.9896669794878599E-3</c:v>
                </c:pt>
                <c:pt idx="139">
                  <c:v>-2.44452435600612E-3</c:v>
                </c:pt>
                <c:pt idx="140">
                  <c:v>-2.4053991873016199E-3</c:v>
                </c:pt>
                <c:pt idx="141">
                  <c:v>-2.2749620487354902E-3</c:v>
                </c:pt>
                <c:pt idx="142">
                  <c:v>-2.6172905134016801E-3</c:v>
                </c:pt>
                <c:pt idx="143">
                  <c:v>-3.59644536251979E-3</c:v>
                </c:pt>
                <c:pt idx="144">
                  <c:v>-2.9712461663486999E-3</c:v>
                </c:pt>
                <c:pt idx="145">
                  <c:v>2.24146730218233E-3</c:v>
                </c:pt>
                <c:pt idx="146">
                  <c:v>1.59034069841214E-3</c:v>
                </c:pt>
                <c:pt idx="147">
                  <c:v>1.23130985259239E-3</c:v>
                </c:pt>
                <c:pt idx="148">
                  <c:v>1.5612246946139999E-3</c:v>
                </c:pt>
                <c:pt idx="149">
                  <c:v>1.50202183552748E-3</c:v>
                </c:pt>
                <c:pt idx="150">
                  <c:v>3.2139866234704301E-3</c:v>
                </c:pt>
                <c:pt idx="151">
                  <c:v>1.5235079713561801E-3</c:v>
                </c:pt>
                <c:pt idx="152">
                  <c:v>2.6329039335573098E-3</c:v>
                </c:pt>
                <c:pt idx="153">
                  <c:v>1.57619593800703E-3</c:v>
                </c:pt>
                <c:pt idx="154">
                  <c:v>2.39832560925893E-3</c:v>
                </c:pt>
                <c:pt idx="155">
                  <c:v>2.0915912591616798E-3</c:v>
                </c:pt>
                <c:pt idx="156">
                  <c:v>1.66277699276378E-3</c:v>
                </c:pt>
                <c:pt idx="157">
                  <c:v>1.18175871106988E-3</c:v>
                </c:pt>
                <c:pt idx="158">
                  <c:v>2.26545981511732E-3</c:v>
                </c:pt>
                <c:pt idx="159">
                  <c:v>1.0309196355518099E-3</c:v>
                </c:pt>
                <c:pt idx="160">
                  <c:v>-3.07383212191315E-3</c:v>
                </c:pt>
                <c:pt idx="161">
                  <c:v>-2.8165798838778399E-3</c:v>
                </c:pt>
                <c:pt idx="162">
                  <c:v>-3.0051603884571798E-3</c:v>
                </c:pt>
                <c:pt idx="163">
                  <c:v>-4.7582509084256501E-3</c:v>
                </c:pt>
                <c:pt idx="164">
                  <c:v>-3.37302181271717E-3</c:v>
                </c:pt>
                <c:pt idx="165">
                  <c:v>-3.6799274821683798E-3</c:v>
                </c:pt>
                <c:pt idx="166">
                  <c:v>1.16957144336433E-3</c:v>
                </c:pt>
                <c:pt idx="167">
                  <c:v>1.36982773628743E-3</c:v>
                </c:pt>
                <c:pt idx="168">
                  <c:v>1.14592978256061E-3</c:v>
                </c:pt>
                <c:pt idx="169">
                  <c:v>1.13826023306866E-3</c:v>
                </c:pt>
                <c:pt idx="170">
                  <c:v>1.71339836039737E-3</c:v>
                </c:pt>
                <c:pt idx="171">
                  <c:v>9.5506705477112696E-4</c:v>
                </c:pt>
                <c:pt idx="172">
                  <c:v>1.16423790413922E-4</c:v>
                </c:pt>
                <c:pt idx="173">
                  <c:v>1.2006207146209201E-3</c:v>
                </c:pt>
                <c:pt idx="174">
                  <c:v>1.48823741223413E-3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1C-4A3C-BB6D-0C3F2341B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3.0268001073855983E-4</c:v>
                </c:pt>
                <c:pt idx="33">
                  <c:v>8.3579986108886072E-4</c:v>
                </c:pt>
                <c:pt idx="34">
                  <c:v>8.3579986108886072E-4</c:v>
                </c:pt>
                <c:pt idx="35">
                  <c:v>8.3579986108886072E-4</c:v>
                </c:pt>
                <c:pt idx="36">
                  <c:v>8.3579986108886072E-4</c:v>
                </c:pt>
                <c:pt idx="37">
                  <c:v>8.3579986108886072E-4</c:v>
                </c:pt>
                <c:pt idx="38">
                  <c:v>8.3579986108886072E-4</c:v>
                </c:pt>
                <c:pt idx="39">
                  <c:v>8.3579986108886072E-4</c:v>
                </c:pt>
                <c:pt idx="40">
                  <c:v>8.3579986108886072E-4</c:v>
                </c:pt>
                <c:pt idx="41">
                  <c:v>8.3579986108886072E-4</c:v>
                </c:pt>
                <c:pt idx="42">
                  <c:v>8.3579986108886072E-4</c:v>
                </c:pt>
                <c:pt idx="43">
                  <c:v>8.3579986108886072E-4</c:v>
                </c:pt>
                <c:pt idx="44">
                  <c:v>8.3579986108886072E-4</c:v>
                </c:pt>
                <c:pt idx="45">
                  <c:v>8.3579986108886072E-4</c:v>
                </c:pt>
                <c:pt idx="46">
                  <c:v>8.3579986108886072E-4</c:v>
                </c:pt>
                <c:pt idx="47">
                  <c:v>8.3579986108886072E-4</c:v>
                </c:pt>
                <c:pt idx="48">
                  <c:v>8.3579986108886072E-4</c:v>
                </c:pt>
                <c:pt idx="49">
                  <c:v>8.3579986108886072E-4</c:v>
                </c:pt>
                <c:pt idx="50">
                  <c:v>8.3579986108886072E-4</c:v>
                </c:pt>
                <c:pt idx="51">
                  <c:v>8.3579986108886072E-4</c:v>
                </c:pt>
                <c:pt idx="52">
                  <c:v>8.3579986108886072E-4</c:v>
                </c:pt>
                <c:pt idx="53">
                  <c:v>8.3579986108886072E-4</c:v>
                </c:pt>
                <c:pt idx="54">
                  <c:v>8.3579986108886072E-4</c:v>
                </c:pt>
                <c:pt idx="55">
                  <c:v>8.3579986108886072E-4</c:v>
                </c:pt>
                <c:pt idx="56">
                  <c:v>8.3579986108886072E-4</c:v>
                </c:pt>
                <c:pt idx="57">
                  <c:v>8.3579986108886072E-4</c:v>
                </c:pt>
                <c:pt idx="58">
                  <c:v>8.3579986108886072E-4</c:v>
                </c:pt>
                <c:pt idx="59">
                  <c:v>8.3579986108886072E-4</c:v>
                </c:pt>
                <c:pt idx="60">
                  <c:v>8.3579986108886072E-4</c:v>
                </c:pt>
                <c:pt idx="61">
                  <c:v>8.3579986108886072E-4</c:v>
                </c:pt>
                <c:pt idx="62">
                  <c:v>8.3579986108886072E-4</c:v>
                </c:pt>
                <c:pt idx="63">
                  <c:v>8.3579986108886072E-4</c:v>
                </c:pt>
                <c:pt idx="64">
                  <c:v>8.3579986108886072E-4</c:v>
                </c:pt>
                <c:pt idx="65">
                  <c:v>8.3579986108886072E-4</c:v>
                </c:pt>
                <c:pt idx="66">
                  <c:v>8.3579986108886072E-4</c:v>
                </c:pt>
                <c:pt idx="67">
                  <c:v>8.3579986108886072E-4</c:v>
                </c:pt>
                <c:pt idx="68">
                  <c:v>8.3579986108886072E-4</c:v>
                </c:pt>
                <c:pt idx="69">
                  <c:v>8.3579986108886072E-4</c:v>
                </c:pt>
                <c:pt idx="70">
                  <c:v>8.3579986108886072E-4</c:v>
                </c:pt>
                <c:pt idx="71">
                  <c:v>8.3579986108886072E-4</c:v>
                </c:pt>
                <c:pt idx="72">
                  <c:v>8.3579986108886072E-4</c:v>
                </c:pt>
                <c:pt idx="73">
                  <c:v>8.3579986108886072E-4</c:v>
                </c:pt>
                <c:pt idx="74">
                  <c:v>8.3579986108886072E-4</c:v>
                </c:pt>
                <c:pt idx="75">
                  <c:v>8.3579986108886072E-4</c:v>
                </c:pt>
                <c:pt idx="76">
                  <c:v>8.3579986108886072E-4</c:v>
                </c:pt>
                <c:pt idx="77">
                  <c:v>8.3579986108886072E-4</c:v>
                </c:pt>
                <c:pt idx="78">
                  <c:v>8.3579986108886072E-4</c:v>
                </c:pt>
                <c:pt idx="79">
                  <c:v>8.3579986108886072E-4</c:v>
                </c:pt>
                <c:pt idx="80">
                  <c:v>2.5847847018025008E-3</c:v>
                </c:pt>
                <c:pt idx="81">
                  <c:v>2.5847847018025008E-3</c:v>
                </c:pt>
                <c:pt idx="82">
                  <c:v>2.5847847018025008E-3</c:v>
                </c:pt>
                <c:pt idx="83">
                  <c:v>2.5847847018025008E-3</c:v>
                </c:pt>
                <c:pt idx="84">
                  <c:v>2.5847847018025008E-3</c:v>
                </c:pt>
                <c:pt idx="85">
                  <c:v>2.5847847018025008E-3</c:v>
                </c:pt>
                <c:pt idx="86">
                  <c:v>2.5847847018025008E-3</c:v>
                </c:pt>
                <c:pt idx="87">
                  <c:v>2.5847847018025008E-3</c:v>
                </c:pt>
                <c:pt idx="88">
                  <c:v>2.5847847018025008E-3</c:v>
                </c:pt>
                <c:pt idx="89">
                  <c:v>2.5847847018025008E-3</c:v>
                </c:pt>
                <c:pt idx="90">
                  <c:v>2.5847847018025008E-3</c:v>
                </c:pt>
                <c:pt idx="91">
                  <c:v>2.5847847018025008E-3</c:v>
                </c:pt>
                <c:pt idx="92">
                  <c:v>2.5847847018025008E-3</c:v>
                </c:pt>
                <c:pt idx="93">
                  <c:v>2.5847847018025008E-3</c:v>
                </c:pt>
                <c:pt idx="94">
                  <c:v>2.5847847018025008E-3</c:v>
                </c:pt>
                <c:pt idx="95">
                  <c:v>2.5847847018025008E-3</c:v>
                </c:pt>
                <c:pt idx="96">
                  <c:v>2.5847847018025008E-3</c:v>
                </c:pt>
                <c:pt idx="97">
                  <c:v>2.5847847018025008E-3</c:v>
                </c:pt>
                <c:pt idx="98">
                  <c:v>2.5847847018025008E-3</c:v>
                </c:pt>
                <c:pt idx="99">
                  <c:v>2.5847847018025008E-3</c:v>
                </c:pt>
                <c:pt idx="100">
                  <c:v>2.5847847018025008E-3</c:v>
                </c:pt>
                <c:pt idx="101">
                  <c:v>2.5847847018025008E-3</c:v>
                </c:pt>
                <c:pt idx="102">
                  <c:v>2.5847847018025008E-3</c:v>
                </c:pt>
                <c:pt idx="103">
                  <c:v>2.5847847018025008E-3</c:v>
                </c:pt>
                <c:pt idx="104">
                  <c:v>2.5847847018025008E-3</c:v>
                </c:pt>
                <c:pt idx="105">
                  <c:v>2.5847847018025008E-3</c:v>
                </c:pt>
                <c:pt idx="106">
                  <c:v>2.5847847018025008E-3</c:v>
                </c:pt>
                <c:pt idx="107">
                  <c:v>2.5847847018025008E-3</c:v>
                </c:pt>
                <c:pt idx="108">
                  <c:v>2.5847847018025008E-3</c:v>
                </c:pt>
                <c:pt idx="109">
                  <c:v>2.5847847018025008E-3</c:v>
                </c:pt>
                <c:pt idx="110">
                  <c:v>2.5847847018025008E-3</c:v>
                </c:pt>
                <c:pt idx="111">
                  <c:v>2.5847847018025008E-3</c:v>
                </c:pt>
                <c:pt idx="112">
                  <c:v>2.5847847018025008E-3</c:v>
                </c:pt>
                <c:pt idx="113">
                  <c:v>2.5847847018025008E-3</c:v>
                </c:pt>
                <c:pt idx="114">
                  <c:v>2.5847847018025008E-3</c:v>
                </c:pt>
                <c:pt idx="115">
                  <c:v>2.5847847018025008E-3</c:v>
                </c:pt>
                <c:pt idx="116">
                  <c:v>2.5847847018025008E-3</c:v>
                </c:pt>
                <c:pt idx="117">
                  <c:v>2.5847847018025008E-3</c:v>
                </c:pt>
                <c:pt idx="118">
                  <c:v>2.5847847018025008E-3</c:v>
                </c:pt>
                <c:pt idx="119">
                  <c:v>2.5847847018025008E-3</c:v>
                </c:pt>
                <c:pt idx="120">
                  <c:v>2.5847847018025008E-3</c:v>
                </c:pt>
                <c:pt idx="121">
                  <c:v>2.5847847018025008E-3</c:v>
                </c:pt>
                <c:pt idx="122">
                  <c:v>2.5847847018025008E-3</c:v>
                </c:pt>
                <c:pt idx="123">
                  <c:v>2.5847847018025008E-3</c:v>
                </c:pt>
                <c:pt idx="124">
                  <c:v>2.5847847018025008E-3</c:v>
                </c:pt>
                <c:pt idx="125">
                  <c:v>2.5847847018025008E-3</c:v>
                </c:pt>
                <c:pt idx="126">
                  <c:v>2.5847847018025008E-3</c:v>
                </c:pt>
                <c:pt idx="127">
                  <c:v>2.5847847018025008E-3</c:v>
                </c:pt>
                <c:pt idx="128">
                  <c:v>2.5847847018025008E-3</c:v>
                </c:pt>
                <c:pt idx="129">
                  <c:v>2.5847847018025008E-3</c:v>
                </c:pt>
                <c:pt idx="130">
                  <c:v>2.5847847018025008E-3</c:v>
                </c:pt>
                <c:pt idx="131">
                  <c:v>2.5847847018025008E-3</c:v>
                </c:pt>
                <c:pt idx="132">
                  <c:v>2.5847847018025008E-3</c:v>
                </c:pt>
                <c:pt idx="133">
                  <c:v>2.5847847018025008E-3</c:v>
                </c:pt>
                <c:pt idx="134">
                  <c:v>2.5847847018025008E-3</c:v>
                </c:pt>
                <c:pt idx="135">
                  <c:v>2.5847847018025008E-3</c:v>
                </c:pt>
                <c:pt idx="136">
                  <c:v>2.5847847018025008E-3</c:v>
                </c:pt>
                <c:pt idx="137">
                  <c:v>2.5847847018025008E-3</c:v>
                </c:pt>
                <c:pt idx="138">
                  <c:v>2.5847847018025008E-3</c:v>
                </c:pt>
                <c:pt idx="139">
                  <c:v>2.5847847018025008E-3</c:v>
                </c:pt>
                <c:pt idx="140">
                  <c:v>2.5847847018025008E-3</c:v>
                </c:pt>
                <c:pt idx="141">
                  <c:v>2.5847847018025008E-3</c:v>
                </c:pt>
                <c:pt idx="142">
                  <c:v>2.5847847018025008E-3</c:v>
                </c:pt>
                <c:pt idx="143">
                  <c:v>2.5847847018025008E-3</c:v>
                </c:pt>
                <c:pt idx="144">
                  <c:v>3.9215877754668008E-3</c:v>
                </c:pt>
                <c:pt idx="145">
                  <c:v>3.9215877754668008E-3</c:v>
                </c:pt>
                <c:pt idx="146">
                  <c:v>3.9215877754668008E-3</c:v>
                </c:pt>
                <c:pt idx="147">
                  <c:v>3.9215877754668008E-3</c:v>
                </c:pt>
                <c:pt idx="148">
                  <c:v>3.9215877754668008E-3</c:v>
                </c:pt>
                <c:pt idx="149">
                  <c:v>3.9215877754668008E-3</c:v>
                </c:pt>
                <c:pt idx="150">
                  <c:v>3.9215877754668008E-3</c:v>
                </c:pt>
                <c:pt idx="151">
                  <c:v>3.9215877754668008E-3</c:v>
                </c:pt>
                <c:pt idx="152">
                  <c:v>3.9215877754668008E-3</c:v>
                </c:pt>
                <c:pt idx="153">
                  <c:v>4.9125148681731911E-3</c:v>
                </c:pt>
                <c:pt idx="154">
                  <c:v>4.9125148681731911E-3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5C-49F4-B577-99F294DD3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1.4278398770544098E-3</c:v>
                </c:pt>
                <c:pt idx="46">
                  <c:v>1.4278398770544098E-3</c:v>
                </c:pt>
                <c:pt idx="47">
                  <c:v>1.4278398770544098E-3</c:v>
                </c:pt>
                <c:pt idx="48">
                  <c:v>1.4278398770544098E-3</c:v>
                </c:pt>
                <c:pt idx="49">
                  <c:v>1.4278398770544098E-3</c:v>
                </c:pt>
                <c:pt idx="50">
                  <c:v>1.4278398770544098E-3</c:v>
                </c:pt>
                <c:pt idx="51">
                  <c:v>1.4278398770544098E-3</c:v>
                </c:pt>
                <c:pt idx="52">
                  <c:v>1.4278398770544098E-3</c:v>
                </c:pt>
                <c:pt idx="53">
                  <c:v>1.4278398770544098E-3</c:v>
                </c:pt>
                <c:pt idx="54">
                  <c:v>1.4278398770544098E-3</c:v>
                </c:pt>
                <c:pt idx="55">
                  <c:v>1.4278398770544098E-3</c:v>
                </c:pt>
                <c:pt idx="56">
                  <c:v>1.4278398770544098E-3</c:v>
                </c:pt>
                <c:pt idx="57">
                  <c:v>1.4278398770544098E-3</c:v>
                </c:pt>
                <c:pt idx="58">
                  <c:v>1.4278398770544098E-3</c:v>
                </c:pt>
                <c:pt idx="59">
                  <c:v>1.4278398770544098E-3</c:v>
                </c:pt>
                <c:pt idx="60">
                  <c:v>1.4278398770544098E-3</c:v>
                </c:pt>
                <c:pt idx="61">
                  <c:v>1.4278398770544098E-3</c:v>
                </c:pt>
                <c:pt idx="62">
                  <c:v>1.4278398770544098E-3</c:v>
                </c:pt>
                <c:pt idx="63">
                  <c:v>1.4278398770544098E-3</c:v>
                </c:pt>
                <c:pt idx="64">
                  <c:v>1.4278398770544098E-3</c:v>
                </c:pt>
                <c:pt idx="65">
                  <c:v>1.4278398770544098E-3</c:v>
                </c:pt>
                <c:pt idx="66">
                  <c:v>1.4278398770544098E-3</c:v>
                </c:pt>
                <c:pt idx="67">
                  <c:v>1.4278398770544098E-3</c:v>
                </c:pt>
                <c:pt idx="68">
                  <c:v>1.4278398770544098E-3</c:v>
                </c:pt>
                <c:pt idx="69">
                  <c:v>1.4278398770544098E-3</c:v>
                </c:pt>
                <c:pt idx="70">
                  <c:v>1.4278398770544098E-3</c:v>
                </c:pt>
                <c:pt idx="71">
                  <c:v>1.4278398770544098E-3</c:v>
                </c:pt>
                <c:pt idx="72">
                  <c:v>1.4278398770544098E-3</c:v>
                </c:pt>
                <c:pt idx="73">
                  <c:v>1.4278398770544098E-3</c:v>
                </c:pt>
                <c:pt idx="74">
                  <c:v>1.4278398770544098E-3</c:v>
                </c:pt>
                <c:pt idx="75">
                  <c:v>1.4278398770544098E-3</c:v>
                </c:pt>
                <c:pt idx="76">
                  <c:v>1.4278398770544098E-3</c:v>
                </c:pt>
                <c:pt idx="77">
                  <c:v>1.4278398770544098E-3</c:v>
                </c:pt>
                <c:pt idx="78">
                  <c:v>1.4278398770544098E-3</c:v>
                </c:pt>
                <c:pt idx="79">
                  <c:v>1.4278398770544098E-3</c:v>
                </c:pt>
                <c:pt idx="80">
                  <c:v>1.4278398770544098E-3</c:v>
                </c:pt>
                <c:pt idx="81">
                  <c:v>1.4278398770544098E-3</c:v>
                </c:pt>
                <c:pt idx="82">
                  <c:v>1.4278398770544098E-3</c:v>
                </c:pt>
                <c:pt idx="83">
                  <c:v>1.4278398770544098E-3</c:v>
                </c:pt>
                <c:pt idx="84">
                  <c:v>1.4278398770544098E-3</c:v>
                </c:pt>
                <c:pt idx="85">
                  <c:v>1.4278398770544098E-3</c:v>
                </c:pt>
                <c:pt idx="86">
                  <c:v>1.4278398770544098E-3</c:v>
                </c:pt>
                <c:pt idx="87">
                  <c:v>1.4278398770544098E-3</c:v>
                </c:pt>
                <c:pt idx="88">
                  <c:v>1.4278398770544098E-3</c:v>
                </c:pt>
                <c:pt idx="89">
                  <c:v>1.4278398770544098E-3</c:v>
                </c:pt>
                <c:pt idx="90">
                  <c:v>1.4278398770544098E-3</c:v>
                </c:pt>
                <c:pt idx="91">
                  <c:v>1.4278398770544098E-3</c:v>
                </c:pt>
                <c:pt idx="92">
                  <c:v>1.4278398770544098E-3</c:v>
                </c:pt>
                <c:pt idx="93">
                  <c:v>1.4278398770544098E-3</c:v>
                </c:pt>
                <c:pt idx="94">
                  <c:v>1.4278398770544098E-3</c:v>
                </c:pt>
                <c:pt idx="95">
                  <c:v>1.4278398770544098E-3</c:v>
                </c:pt>
                <c:pt idx="96">
                  <c:v>1.4278398770544098E-3</c:v>
                </c:pt>
                <c:pt idx="97">
                  <c:v>1.4278398770544098E-3</c:v>
                </c:pt>
                <c:pt idx="98">
                  <c:v>1.4278398770544098E-3</c:v>
                </c:pt>
                <c:pt idx="99">
                  <c:v>1.4278398770544098E-3</c:v>
                </c:pt>
                <c:pt idx="100">
                  <c:v>1.4278398770544098E-3</c:v>
                </c:pt>
                <c:pt idx="101">
                  <c:v>1.4278398770544098E-3</c:v>
                </c:pt>
                <c:pt idx="102">
                  <c:v>1.4278398770544098E-3</c:v>
                </c:pt>
                <c:pt idx="103">
                  <c:v>1.4278398770544098E-3</c:v>
                </c:pt>
                <c:pt idx="104">
                  <c:v>1.4278398770544098E-3</c:v>
                </c:pt>
                <c:pt idx="105">
                  <c:v>1.4278398770544098E-3</c:v>
                </c:pt>
                <c:pt idx="106">
                  <c:v>1.4278398770544098E-3</c:v>
                </c:pt>
                <c:pt idx="107">
                  <c:v>1.4278398770544098E-3</c:v>
                </c:pt>
                <c:pt idx="108">
                  <c:v>1.4278398770544098E-3</c:v>
                </c:pt>
                <c:pt idx="109">
                  <c:v>1.4278398770544098E-3</c:v>
                </c:pt>
                <c:pt idx="110">
                  <c:v>1.4278398770544098E-3</c:v>
                </c:pt>
                <c:pt idx="111">
                  <c:v>1.4278398770544098E-3</c:v>
                </c:pt>
                <c:pt idx="112">
                  <c:v>1.4278398770544098E-3</c:v>
                </c:pt>
                <c:pt idx="113">
                  <c:v>1.4278398770544098E-3</c:v>
                </c:pt>
                <c:pt idx="114">
                  <c:v>1.4278398770544098E-3</c:v>
                </c:pt>
                <c:pt idx="115">
                  <c:v>1.4278398770544098E-3</c:v>
                </c:pt>
                <c:pt idx="116">
                  <c:v>1.4278398770544098E-3</c:v>
                </c:pt>
                <c:pt idx="117">
                  <c:v>1.4278398770544098E-3</c:v>
                </c:pt>
                <c:pt idx="118">
                  <c:v>1.4278398770544098E-3</c:v>
                </c:pt>
                <c:pt idx="119">
                  <c:v>1.4278398770544098E-3</c:v>
                </c:pt>
                <c:pt idx="120">
                  <c:v>1.4278398770544098E-3</c:v>
                </c:pt>
                <c:pt idx="121">
                  <c:v>1.4278398770544098E-3</c:v>
                </c:pt>
                <c:pt idx="122">
                  <c:v>1.4278398770544098E-3</c:v>
                </c:pt>
                <c:pt idx="123">
                  <c:v>1.4278398770544098E-3</c:v>
                </c:pt>
                <c:pt idx="124">
                  <c:v>1.4278398770544098E-3</c:v>
                </c:pt>
                <c:pt idx="125">
                  <c:v>1.4278398770544098E-3</c:v>
                </c:pt>
                <c:pt idx="126">
                  <c:v>1.4278398770544098E-3</c:v>
                </c:pt>
                <c:pt idx="127">
                  <c:v>1.4278398770544098E-3</c:v>
                </c:pt>
                <c:pt idx="128">
                  <c:v>1.4278398770544098E-3</c:v>
                </c:pt>
                <c:pt idx="129">
                  <c:v>1.4278398770544098E-3</c:v>
                </c:pt>
                <c:pt idx="130">
                  <c:v>1.4278398770544098E-3</c:v>
                </c:pt>
                <c:pt idx="131">
                  <c:v>3.0949213078863458E-3</c:v>
                </c:pt>
                <c:pt idx="132">
                  <c:v>3.0949213078863458E-3</c:v>
                </c:pt>
                <c:pt idx="133">
                  <c:v>3.0949213078863458E-3</c:v>
                </c:pt>
                <c:pt idx="134">
                  <c:v>3.0949213078863458E-3</c:v>
                </c:pt>
                <c:pt idx="135">
                  <c:v>3.0949213078863458E-3</c:v>
                </c:pt>
                <c:pt idx="136">
                  <c:v>3.0949213078863458E-3</c:v>
                </c:pt>
                <c:pt idx="137">
                  <c:v>3.0949213078863458E-3</c:v>
                </c:pt>
                <c:pt idx="138">
                  <c:v>3.0949213078863458E-3</c:v>
                </c:pt>
                <c:pt idx="139">
                  <c:v>3.0949213078863458E-3</c:v>
                </c:pt>
                <c:pt idx="140">
                  <c:v>3.0949213078863458E-3</c:v>
                </c:pt>
                <c:pt idx="141">
                  <c:v>3.0949213078863458E-3</c:v>
                </c:pt>
                <c:pt idx="142">
                  <c:v>3.0949213078863458E-3</c:v>
                </c:pt>
                <c:pt idx="143">
                  <c:v>3.0949213078863458E-3</c:v>
                </c:pt>
                <c:pt idx="144">
                  <c:v>3.0949213078863458E-3</c:v>
                </c:pt>
                <c:pt idx="145">
                  <c:v>3.0949213078863458E-3</c:v>
                </c:pt>
                <c:pt idx="146">
                  <c:v>3.0949213078863458E-3</c:v>
                </c:pt>
                <c:pt idx="147">
                  <c:v>3.0949213078863458E-3</c:v>
                </c:pt>
                <c:pt idx="148">
                  <c:v>3.0949213078863458E-3</c:v>
                </c:pt>
                <c:pt idx="149">
                  <c:v>3.0949213078863458E-3</c:v>
                </c:pt>
                <c:pt idx="150">
                  <c:v>3.0949213078863458E-3</c:v>
                </c:pt>
                <c:pt idx="151">
                  <c:v>3.0949213078863458E-3</c:v>
                </c:pt>
                <c:pt idx="152">
                  <c:v>3.0949213078863458E-3</c:v>
                </c:pt>
                <c:pt idx="153">
                  <c:v>3.0949213078863458E-3</c:v>
                </c:pt>
                <c:pt idx="154">
                  <c:v>3.0949213078863458E-3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D-46CB-95C5-76666AF06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3.0268001073855983E-4</c:v>
                </c:pt>
                <c:pt idx="33">
                  <c:v>8.3579986108886072E-4</c:v>
                </c:pt>
                <c:pt idx="34">
                  <c:v>8.3579986108886072E-4</c:v>
                </c:pt>
                <c:pt idx="35">
                  <c:v>8.3579986108886072E-4</c:v>
                </c:pt>
                <c:pt idx="36">
                  <c:v>8.3579986108886072E-4</c:v>
                </c:pt>
                <c:pt idx="37">
                  <c:v>8.3579986108886072E-4</c:v>
                </c:pt>
                <c:pt idx="38">
                  <c:v>8.3579986108886072E-4</c:v>
                </c:pt>
                <c:pt idx="39">
                  <c:v>8.3579986108886072E-4</c:v>
                </c:pt>
                <c:pt idx="40">
                  <c:v>8.3579986108886072E-4</c:v>
                </c:pt>
                <c:pt idx="41">
                  <c:v>8.3579986108886072E-4</c:v>
                </c:pt>
                <c:pt idx="42">
                  <c:v>8.3579986108886072E-4</c:v>
                </c:pt>
                <c:pt idx="43">
                  <c:v>8.3579986108886072E-4</c:v>
                </c:pt>
                <c:pt idx="44">
                  <c:v>8.3579986108886072E-4</c:v>
                </c:pt>
                <c:pt idx="45">
                  <c:v>2.2636397381432705E-3</c:v>
                </c:pt>
                <c:pt idx="46">
                  <c:v>2.2636397381432705E-3</c:v>
                </c:pt>
                <c:pt idx="47">
                  <c:v>2.2636397381432705E-3</c:v>
                </c:pt>
                <c:pt idx="48">
                  <c:v>2.2636397381432705E-3</c:v>
                </c:pt>
                <c:pt idx="49">
                  <c:v>2.2636397381432705E-3</c:v>
                </c:pt>
                <c:pt idx="50">
                  <c:v>2.2636397381432705E-3</c:v>
                </c:pt>
                <c:pt idx="51">
                  <c:v>2.2636397381432705E-3</c:v>
                </c:pt>
                <c:pt idx="52">
                  <c:v>2.2636397381432705E-3</c:v>
                </c:pt>
                <c:pt idx="53">
                  <c:v>2.2636397381432705E-3</c:v>
                </c:pt>
                <c:pt idx="54">
                  <c:v>2.2636397381432705E-3</c:v>
                </c:pt>
                <c:pt idx="55">
                  <c:v>2.2636397381432705E-3</c:v>
                </c:pt>
                <c:pt idx="56">
                  <c:v>2.2636397381432705E-3</c:v>
                </c:pt>
                <c:pt idx="57">
                  <c:v>2.2636397381432705E-3</c:v>
                </c:pt>
                <c:pt idx="58">
                  <c:v>2.2636397381432705E-3</c:v>
                </c:pt>
                <c:pt idx="59">
                  <c:v>2.2636397381432705E-3</c:v>
                </c:pt>
                <c:pt idx="60">
                  <c:v>2.2636397381432705E-3</c:v>
                </c:pt>
                <c:pt idx="61">
                  <c:v>2.2636397381432705E-3</c:v>
                </c:pt>
                <c:pt idx="62">
                  <c:v>2.2636397381432705E-3</c:v>
                </c:pt>
                <c:pt idx="63">
                  <c:v>2.2636397381432705E-3</c:v>
                </c:pt>
                <c:pt idx="64">
                  <c:v>2.2636397381432705E-3</c:v>
                </c:pt>
                <c:pt idx="65">
                  <c:v>2.2636397381432705E-3</c:v>
                </c:pt>
                <c:pt idx="66">
                  <c:v>2.2636397381432705E-3</c:v>
                </c:pt>
                <c:pt idx="67">
                  <c:v>2.2636397381432705E-3</c:v>
                </c:pt>
                <c:pt idx="68">
                  <c:v>2.2636397381432705E-3</c:v>
                </c:pt>
                <c:pt idx="69">
                  <c:v>2.2636397381432705E-3</c:v>
                </c:pt>
                <c:pt idx="70">
                  <c:v>2.2636397381432705E-3</c:v>
                </c:pt>
                <c:pt idx="71">
                  <c:v>2.2636397381432705E-3</c:v>
                </c:pt>
                <c:pt idx="72">
                  <c:v>2.2636397381432705E-3</c:v>
                </c:pt>
                <c:pt idx="73">
                  <c:v>2.2636397381432705E-3</c:v>
                </c:pt>
                <c:pt idx="74">
                  <c:v>2.2636397381432705E-3</c:v>
                </c:pt>
                <c:pt idx="75">
                  <c:v>2.2636397381432705E-3</c:v>
                </c:pt>
                <c:pt idx="76">
                  <c:v>2.2636397381432705E-3</c:v>
                </c:pt>
                <c:pt idx="77">
                  <c:v>2.2636397381432705E-3</c:v>
                </c:pt>
                <c:pt idx="78">
                  <c:v>2.2636397381432705E-3</c:v>
                </c:pt>
                <c:pt idx="79">
                  <c:v>2.2636397381432705E-3</c:v>
                </c:pt>
                <c:pt idx="80">
                  <c:v>4.0126245788569105E-3</c:v>
                </c:pt>
                <c:pt idx="81">
                  <c:v>4.0126245788569105E-3</c:v>
                </c:pt>
                <c:pt idx="82">
                  <c:v>4.0126245788569105E-3</c:v>
                </c:pt>
                <c:pt idx="83">
                  <c:v>4.0126245788569105E-3</c:v>
                </c:pt>
                <c:pt idx="84">
                  <c:v>4.0126245788569105E-3</c:v>
                </c:pt>
                <c:pt idx="85">
                  <c:v>4.0126245788569105E-3</c:v>
                </c:pt>
                <c:pt idx="86">
                  <c:v>4.0126245788569105E-3</c:v>
                </c:pt>
                <c:pt idx="87">
                  <c:v>4.0126245788569105E-3</c:v>
                </c:pt>
                <c:pt idx="88">
                  <c:v>4.0126245788569105E-3</c:v>
                </c:pt>
                <c:pt idx="89">
                  <c:v>4.0126245788569105E-3</c:v>
                </c:pt>
                <c:pt idx="90">
                  <c:v>4.0126245788569105E-3</c:v>
                </c:pt>
                <c:pt idx="91">
                  <c:v>4.0126245788569105E-3</c:v>
                </c:pt>
                <c:pt idx="92">
                  <c:v>4.0126245788569105E-3</c:v>
                </c:pt>
                <c:pt idx="93">
                  <c:v>4.0126245788569105E-3</c:v>
                </c:pt>
                <c:pt idx="94">
                  <c:v>4.0126245788569105E-3</c:v>
                </c:pt>
                <c:pt idx="95">
                  <c:v>4.0126245788569105E-3</c:v>
                </c:pt>
                <c:pt idx="96">
                  <c:v>4.0126245788569105E-3</c:v>
                </c:pt>
                <c:pt idx="97">
                  <c:v>4.0126245788569105E-3</c:v>
                </c:pt>
                <c:pt idx="98">
                  <c:v>4.0126245788569105E-3</c:v>
                </c:pt>
                <c:pt idx="99">
                  <c:v>4.0126245788569105E-3</c:v>
                </c:pt>
                <c:pt idx="100">
                  <c:v>4.0126245788569105E-3</c:v>
                </c:pt>
                <c:pt idx="101">
                  <c:v>4.0126245788569105E-3</c:v>
                </c:pt>
                <c:pt idx="102">
                  <c:v>4.0126245788569105E-3</c:v>
                </c:pt>
                <c:pt idx="103">
                  <c:v>4.0126245788569105E-3</c:v>
                </c:pt>
                <c:pt idx="104">
                  <c:v>4.0126245788569105E-3</c:v>
                </c:pt>
                <c:pt idx="105">
                  <c:v>4.0126245788569105E-3</c:v>
                </c:pt>
                <c:pt idx="106">
                  <c:v>4.0126245788569105E-3</c:v>
                </c:pt>
                <c:pt idx="107">
                  <c:v>4.0126245788569105E-3</c:v>
                </c:pt>
                <c:pt idx="108">
                  <c:v>4.0126245788569105E-3</c:v>
                </c:pt>
                <c:pt idx="109">
                  <c:v>4.0126245788569105E-3</c:v>
                </c:pt>
                <c:pt idx="110">
                  <c:v>4.0126245788569105E-3</c:v>
                </c:pt>
                <c:pt idx="111">
                  <c:v>4.0126245788569105E-3</c:v>
                </c:pt>
                <c:pt idx="112">
                  <c:v>4.0126245788569105E-3</c:v>
                </c:pt>
                <c:pt idx="113">
                  <c:v>4.0126245788569105E-3</c:v>
                </c:pt>
                <c:pt idx="114">
                  <c:v>4.0126245788569105E-3</c:v>
                </c:pt>
                <c:pt idx="115">
                  <c:v>4.0126245788569105E-3</c:v>
                </c:pt>
                <c:pt idx="116">
                  <c:v>4.0126245788569105E-3</c:v>
                </c:pt>
                <c:pt idx="117">
                  <c:v>4.0126245788569105E-3</c:v>
                </c:pt>
                <c:pt idx="118">
                  <c:v>4.0126245788569105E-3</c:v>
                </c:pt>
                <c:pt idx="119">
                  <c:v>4.0126245788569105E-3</c:v>
                </c:pt>
                <c:pt idx="120">
                  <c:v>4.0126245788569105E-3</c:v>
                </c:pt>
                <c:pt idx="121">
                  <c:v>4.0126245788569105E-3</c:v>
                </c:pt>
                <c:pt idx="122">
                  <c:v>4.0126245788569105E-3</c:v>
                </c:pt>
                <c:pt idx="123">
                  <c:v>4.0126245788569105E-3</c:v>
                </c:pt>
                <c:pt idx="124">
                  <c:v>4.0126245788569105E-3</c:v>
                </c:pt>
                <c:pt idx="125">
                  <c:v>4.0126245788569105E-3</c:v>
                </c:pt>
                <c:pt idx="126">
                  <c:v>4.0126245788569105E-3</c:v>
                </c:pt>
                <c:pt idx="127">
                  <c:v>4.0126245788569105E-3</c:v>
                </c:pt>
                <c:pt idx="128">
                  <c:v>4.0126245788569105E-3</c:v>
                </c:pt>
                <c:pt idx="129">
                  <c:v>4.0126245788569105E-3</c:v>
                </c:pt>
                <c:pt idx="130">
                  <c:v>4.0126245788569105E-3</c:v>
                </c:pt>
                <c:pt idx="131">
                  <c:v>5.6797060096888466E-3</c:v>
                </c:pt>
                <c:pt idx="132">
                  <c:v>5.6797060096888466E-3</c:v>
                </c:pt>
                <c:pt idx="133">
                  <c:v>5.6797060096888466E-3</c:v>
                </c:pt>
                <c:pt idx="134">
                  <c:v>5.6797060096888466E-3</c:v>
                </c:pt>
                <c:pt idx="135">
                  <c:v>5.6797060096888466E-3</c:v>
                </c:pt>
                <c:pt idx="136">
                  <c:v>5.6797060096888466E-3</c:v>
                </c:pt>
                <c:pt idx="137">
                  <c:v>5.6797060096888466E-3</c:v>
                </c:pt>
                <c:pt idx="138">
                  <c:v>5.6797060096888466E-3</c:v>
                </c:pt>
                <c:pt idx="139">
                  <c:v>5.6797060096888466E-3</c:v>
                </c:pt>
                <c:pt idx="140">
                  <c:v>5.6797060096888466E-3</c:v>
                </c:pt>
                <c:pt idx="141">
                  <c:v>5.6797060096888466E-3</c:v>
                </c:pt>
                <c:pt idx="142">
                  <c:v>5.6797060096888466E-3</c:v>
                </c:pt>
                <c:pt idx="143">
                  <c:v>5.6797060096888466E-3</c:v>
                </c:pt>
                <c:pt idx="144">
                  <c:v>7.0165090833531462E-3</c:v>
                </c:pt>
                <c:pt idx="145">
                  <c:v>7.0165090833531462E-3</c:v>
                </c:pt>
                <c:pt idx="146">
                  <c:v>7.0165090833531462E-3</c:v>
                </c:pt>
                <c:pt idx="147">
                  <c:v>7.0165090833531462E-3</c:v>
                </c:pt>
                <c:pt idx="148">
                  <c:v>7.0165090833531462E-3</c:v>
                </c:pt>
                <c:pt idx="149">
                  <c:v>7.0165090833531462E-3</c:v>
                </c:pt>
                <c:pt idx="150">
                  <c:v>7.0165090833531462E-3</c:v>
                </c:pt>
                <c:pt idx="151">
                  <c:v>7.0165090833531462E-3</c:v>
                </c:pt>
                <c:pt idx="152">
                  <c:v>7.0165090833531462E-3</c:v>
                </c:pt>
                <c:pt idx="153">
                  <c:v>8.0074361760595365E-3</c:v>
                </c:pt>
                <c:pt idx="154">
                  <c:v>8.0074361760595365E-3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C3-47D8-84F4-24E9AF49D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77168-7CBC-46D5-B41E-1C23D48BF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575D33-FDEC-4ABA-861F-EB029C799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18D107-9D8C-40DE-83D1-19220290A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3199E4-E6A0-44EE-BB5B-8E06D919D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3E1B12-061F-4491-B3E7-9A6045102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D1129C-BA0E-4154-96CA-73EF8F630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4CEE17E-0E1E-4C86-BEA9-6FCEF6FB7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SCZ_IBCA_2.xlsx" TargetMode="External"/><Relationship Id="rId1" Type="http://schemas.openxmlformats.org/officeDocument/2006/relationships/externalLinkPath" Target="BSCZ_IBCA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IBCA/BSCZ avg</v>
          </cell>
          <cell r="P1" t="str">
            <v>IBCA/BSCZ 10 dma</v>
          </cell>
          <cell r="Q1" t="str">
            <v>IBCA/BSCZ 20 dma</v>
          </cell>
          <cell r="U1" t="str">
            <v>log diff BSCZ x avg / IBCA</v>
          </cell>
          <cell r="V1" t="str">
            <v>log diff BSCZ x 10 dma / IBCA</v>
          </cell>
          <cell r="W1" t="str">
            <v>log diff BSCZ x 20 dma / IBCA</v>
          </cell>
          <cell r="Y1" t="str">
            <v>IBCA*/BSCZ* avg</v>
          </cell>
          <cell r="Z1" t="str">
            <v>IBCA*/BSCZ* 10 dma</v>
          </cell>
          <cell r="AA1" t="str">
            <v>IBCA*/BSCZ* 20 dma</v>
          </cell>
          <cell r="AF1" t="str">
            <v>log diff BSCZ* x 10 dma / IBCA*</v>
          </cell>
          <cell r="AG1" t="str">
            <v>log diff BSCZ* x 20 dma / IBCA*</v>
          </cell>
        </row>
        <row r="2">
          <cell r="O2">
            <v>1.2477004313447799</v>
          </cell>
          <cell r="Y2">
            <v>1.2471244094690801</v>
          </cell>
        </row>
        <row r="3">
          <cell r="O3">
            <v>1.2477004313447799</v>
          </cell>
          <cell r="U3">
            <v>8.4940778943325297E-4</v>
          </cell>
          <cell r="Y3">
            <v>1.2471244094690801</v>
          </cell>
        </row>
        <row r="4">
          <cell r="O4">
            <v>1.2477004313447799</v>
          </cell>
          <cell r="U4">
            <v>8.4940778943325297E-4</v>
          </cell>
          <cell r="Y4">
            <v>1.2471244094690801</v>
          </cell>
        </row>
        <row r="5">
          <cell r="O5">
            <v>1.2477004313447799</v>
          </cell>
          <cell r="U5">
            <v>1.03911369786485E-3</v>
          </cell>
          <cell r="Y5">
            <v>1.2471244094690801</v>
          </cell>
        </row>
        <row r="6">
          <cell r="O6">
            <v>1.2477004313447799</v>
          </cell>
          <cell r="U6">
            <v>3.7370446606917E-4</v>
          </cell>
          <cell r="Y6">
            <v>1.2471244094690801</v>
          </cell>
        </row>
        <row r="7">
          <cell r="O7">
            <v>1.2477004313447799</v>
          </cell>
          <cell r="U7">
            <v>8.4940778943325297E-4</v>
          </cell>
          <cell r="Y7">
            <v>1.2471244094690801</v>
          </cell>
        </row>
        <row r="8">
          <cell r="O8">
            <v>1.2477004313447799</v>
          </cell>
          <cell r="U8">
            <v>6.5937349765425503E-4</v>
          </cell>
          <cell r="Y8">
            <v>1.2471244094690801</v>
          </cell>
        </row>
        <row r="9">
          <cell r="O9">
            <v>1.2477004313447799</v>
          </cell>
          <cell r="U9">
            <v>2.7017863498772699E-4</v>
          </cell>
          <cell r="Y9">
            <v>1.2471244094690801</v>
          </cell>
        </row>
        <row r="10">
          <cell r="O10">
            <v>1.2477004313447799</v>
          </cell>
          <cell r="U10">
            <v>6.4978942078687898E-4</v>
          </cell>
          <cell r="Y10">
            <v>1.2471244094690801</v>
          </cell>
        </row>
        <row r="11">
          <cell r="O11">
            <v>1.2477004313447799</v>
          </cell>
          <cell r="P11">
            <v>1.2467731341519801</v>
          </cell>
          <cell r="U11">
            <v>7.4945015147079199E-4</v>
          </cell>
          <cell r="Y11">
            <v>1.2471244094690801</v>
          </cell>
          <cell r="Z11">
            <v>1.2467731341519801</v>
          </cell>
        </row>
        <row r="12">
          <cell r="O12">
            <v>1.2477004313447799</v>
          </cell>
          <cell r="P12">
            <v>1.2467975193277301</v>
          </cell>
          <cell r="U12">
            <v>9.4966366396567596E-4</v>
          </cell>
          <cell r="V12">
            <v>2.0618235524601E-4</v>
          </cell>
          <cell r="Y12">
            <v>1.2471244094690801</v>
          </cell>
          <cell r="Z12">
            <v>1.2467975193277301</v>
          </cell>
          <cell r="AF12">
            <v>2.0618235524601E-4</v>
          </cell>
        </row>
        <row r="13">
          <cell r="O13">
            <v>1.2477004313447799</v>
          </cell>
          <cell r="P13">
            <v>1.24714553011649</v>
          </cell>
          <cell r="U13">
            <v>-1.9382906633723699E-3</v>
          </cell>
          <cell r="V13">
            <v>-2.6622135322929398E-3</v>
          </cell>
          <cell r="Y13">
            <v>1.2471244094690801</v>
          </cell>
          <cell r="Z13">
            <v>1.2467328360468799</v>
          </cell>
          <cell r="AF13">
            <v>6.4448007285748796E-4</v>
          </cell>
        </row>
        <row r="14">
          <cell r="O14">
            <v>1.2477004313447799</v>
          </cell>
          <cell r="P14">
            <v>1.2475416635947401</v>
          </cell>
          <cell r="U14">
            <v>-2.3231607884697E-3</v>
          </cell>
          <cell r="V14">
            <v>-2.76799886346152E-3</v>
          </cell>
          <cell r="Y14">
            <v>1.2471244094690801</v>
          </cell>
          <cell r="Z14">
            <v>1.24671849633804</v>
          </cell>
          <cell r="AF14">
            <v>1.8863741532240799E-4</v>
          </cell>
        </row>
        <row r="15">
          <cell r="O15">
            <v>1.2477004313447799</v>
          </cell>
          <cell r="P15">
            <v>1.24793731315752</v>
          </cell>
          <cell r="U15">
            <v>-2.1301856399154901E-3</v>
          </cell>
          <cell r="V15">
            <v>-2.2574420296533801E-3</v>
          </cell>
          <cell r="Y15">
            <v>1.2471244094690801</v>
          </cell>
          <cell r="Z15">
            <v>1.24670414580097</v>
          </cell>
          <cell r="AF15">
            <v>3.6695013941564098E-4</v>
          </cell>
        </row>
        <row r="16">
          <cell r="O16">
            <v>1.2477004313447799</v>
          </cell>
          <cell r="P16">
            <v>1.2483462909377101</v>
          </cell>
          <cell r="U16">
            <v>-2.9000086186572798E-3</v>
          </cell>
          <cell r="V16">
            <v>-2.7101719214300702E-3</v>
          </cell>
          <cell r="Y16">
            <v>1.2471244094690801</v>
          </cell>
          <cell r="Z16">
            <v>1.2467028077322799</v>
          </cell>
          <cell r="AF16">
            <v>-4.1438355301877801E-4</v>
          </cell>
        </row>
        <row r="17">
          <cell r="O17">
            <v>1.2477004313447799</v>
          </cell>
          <cell r="P17">
            <v>1.2486942084641299</v>
          </cell>
          <cell r="U17">
            <v>-1.93754463675668E-3</v>
          </cell>
          <cell r="V17">
            <v>-1.42003861287587E-3</v>
          </cell>
          <cell r="Y17">
            <v>1.2471244094690801</v>
          </cell>
          <cell r="Z17">
            <v>1.2466411971867499</v>
          </cell>
          <cell r="AF17">
            <v>5.4385268579645602E-4</v>
          </cell>
        </row>
        <row r="18">
          <cell r="O18">
            <v>1.2477004313447799</v>
          </cell>
          <cell r="P18">
            <v>1.2491388107756101</v>
          </cell>
          <cell r="U18">
            <v>-2.9000086186572798E-3</v>
          </cell>
          <cell r="V18">
            <v>-2.1038386894412101E-3</v>
          </cell>
          <cell r="Y18">
            <v>1.2471244094690801</v>
          </cell>
          <cell r="Z18">
            <v>1.2466754836493601</v>
          </cell>
          <cell r="AF18">
            <v>-4.6487685063725402E-4</v>
          </cell>
        </row>
        <row r="19">
          <cell r="O19">
            <v>1.2477004313447799</v>
          </cell>
          <cell r="P19">
            <v>1.2494506428444401</v>
          </cell>
          <cell r="U19">
            <v>-2.2266313914807798E-3</v>
          </cell>
          <cell r="V19">
            <v>-1.0744710395589601E-3</v>
          </cell>
          <cell r="Y19">
            <v>1.2471244094690801</v>
          </cell>
          <cell r="Z19">
            <v>1.2465770792073401</v>
          </cell>
          <cell r="AF19">
            <v>2.3758257466114399E-4</v>
          </cell>
        </row>
        <row r="20">
          <cell r="O20">
            <v>1.2477004313447799</v>
          </cell>
          <cell r="P20">
            <v>1.24984590376779</v>
          </cell>
          <cell r="U20">
            <v>-2.5151712077119302E-3</v>
          </cell>
          <cell r="V20">
            <v>-1.1134043668236599E-3</v>
          </cell>
          <cell r="Y20">
            <v>1.2471244094690801</v>
          </cell>
          <cell r="Z20">
            <v>1.24656218215633</v>
          </cell>
          <cell r="AF20">
            <v>-1.31473347442888E-4</v>
          </cell>
        </row>
        <row r="21">
          <cell r="O21">
            <v>1.2477004313447799</v>
          </cell>
          <cell r="P21">
            <v>1.2503259610356701</v>
          </cell>
          <cell r="Q21">
            <v>1.24854954759383</v>
          </cell>
          <cell r="U21">
            <v>-3.0935768512291299E-3</v>
          </cell>
          <cell r="V21">
            <v>-1.37551226873692E-3</v>
          </cell>
          <cell r="Y21">
            <v>1.2471244094690801</v>
          </cell>
          <cell r="Z21">
            <v>1.2466314498801301</v>
          </cell>
          <cell r="AA21">
            <v>1.24670229201606</v>
          </cell>
          <cell r="AF21">
            <v>-7.1866889875058697E-4</v>
          </cell>
        </row>
        <row r="22">
          <cell r="O22">
            <v>1.2477004313447799</v>
          </cell>
          <cell r="P22">
            <v>1.2502645151671199</v>
          </cell>
          <cell r="Q22">
            <v>1.24853101724743</v>
          </cell>
          <cell r="U22">
            <v>1.4427260337007599E-3</v>
          </cell>
          <cell r="V22">
            <v>3.5448100354504501E-3</v>
          </cell>
          <cell r="W22">
            <v>2.1230395351162301E-3</v>
          </cell>
          <cell r="Y22">
            <v>1.2471244094690801</v>
          </cell>
          <cell r="Z22">
            <v>1.24663683561692</v>
          </cell>
          <cell r="AA22">
            <v>1.24671717747233</v>
          </cell>
          <cell r="AF22">
            <v>4.9329735136485101E-5</v>
          </cell>
          <cell r="AG22">
            <v>1.0615496855818199E-4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1.2477004313447799</v>
          </cell>
          <cell r="P23">
            <v>1.2498425608271899</v>
          </cell>
          <cell r="Q23">
            <v>1.2484940454718401</v>
          </cell>
          <cell r="U23">
            <v>1.4427260337007599E-3</v>
          </cell>
          <cell r="V23">
            <v>3.49566494819971E-3</v>
          </cell>
          <cell r="W23">
            <v>2.1081979263510198E-3</v>
          </cell>
          <cell r="Y23">
            <v>1.2471244094690801</v>
          </cell>
          <cell r="Z23">
            <v>1.2466944069519399</v>
          </cell>
          <cell r="AA23">
            <v>1.2467136214994099</v>
          </cell>
          <cell r="AF23">
            <v>5.3649957568351903E-5</v>
          </cell>
          <cell r="AG23">
            <v>1.1809476164442E-4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1.2477004313447799</v>
          </cell>
          <cell r="P24">
            <v>1.2493962194772299</v>
          </cell>
          <cell r="Q24">
            <v>1.24846894153598</v>
          </cell>
          <cell r="U24">
            <v>1.2522341195063201E-3</v>
          </cell>
          <cell r="V24">
            <v>2.9676240162136601E-3</v>
          </cell>
          <cell r="W24">
            <v>1.8880933533617899E-3</v>
          </cell>
          <cell r="Y24">
            <v>1.2471244094690801</v>
          </cell>
          <cell r="Z24">
            <v>1.2467253566738901</v>
          </cell>
          <cell r="AA24">
            <v>1.2467219265059599</v>
          </cell>
          <cell r="AF24">
            <v>-9.0449539775078707E-5</v>
          </cell>
          <cell r="AG24">
            <v>-7.50372628789929E-5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1.2477004313447799</v>
          </cell>
          <cell r="P25">
            <v>1.24889203481154</v>
          </cell>
          <cell r="Q25">
            <v>1.2484146739845301</v>
          </cell>
          <cell r="U25">
            <v>1.9102785313033701E-3</v>
          </cell>
          <cell r="V25">
            <v>3.2684865867088401E-3</v>
          </cell>
          <cell r="W25">
            <v>2.5260301896888201E-3</v>
          </cell>
          <cell r="Y25">
            <v>1.2471244094690801</v>
          </cell>
          <cell r="Z25">
            <v>1.24669790631874</v>
          </cell>
          <cell r="AA25">
            <v>1.2467010260598499</v>
          </cell>
          <cell r="AF25">
            <v>5.9273877067884896E-4</v>
          </cell>
          <cell r="AG25">
            <v>5.8998742482473403E-4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1.2477004313447799</v>
          </cell>
          <cell r="P26">
            <v>1.2483277705036999</v>
          </cell>
          <cell r="Q26">
            <v>1.2483370307207</v>
          </cell>
          <cell r="U26">
            <v>1.6195271959975901E-3</v>
          </cell>
          <cell r="V26">
            <v>2.57411115264312E-3</v>
          </cell>
          <cell r="W26">
            <v>2.1918106277284501E-3</v>
          </cell>
          <cell r="Y26">
            <v>1.2471244094690801</v>
          </cell>
          <cell r="Z26">
            <v>1.24661054180585</v>
          </cell>
          <cell r="AA26">
            <v>1.2466566747690599</v>
          </cell>
          <cell r="AF26">
            <v>2.8133056935656498E-4</v>
          </cell>
          <cell r="AG26">
            <v>2.8383296965252399E-4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1.2477004313447799</v>
          </cell>
          <cell r="P27">
            <v>1.2478838836874599</v>
          </cell>
          <cell r="Q27">
            <v>1.2482890460757901</v>
          </cell>
          <cell r="U27">
            <v>1.6195271959975901E-3</v>
          </cell>
          <cell r="V27">
            <v>2.1221971351141899E-3</v>
          </cell>
          <cell r="W27">
            <v>2.1296152050098499E-3</v>
          </cell>
          <cell r="Y27">
            <v>1.2471244094690801</v>
          </cell>
          <cell r="Z27">
            <v>1.2466427670076199</v>
          </cell>
          <cell r="AA27">
            <v>1.2466419820971799</v>
          </cell>
          <cell r="AF27">
            <v>2.1125138361207299E-4</v>
          </cell>
          <cell r="AG27">
            <v>2.48257415627532E-4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1.2477004313447799</v>
          </cell>
          <cell r="P28">
            <v>1.2471172064112299</v>
          </cell>
          <cell r="Q28">
            <v>1.2481280085934201</v>
          </cell>
          <cell r="U28">
            <v>3.2457664727414399E-3</v>
          </cell>
          <cell r="V28">
            <v>3.3927880274904699E-3</v>
          </cell>
          <cell r="W28">
            <v>3.7174148889247099E-3</v>
          </cell>
          <cell r="Y28">
            <v>1.2471244094690801</v>
          </cell>
          <cell r="Z28">
            <v>1.2463534906006499</v>
          </cell>
          <cell r="AA28">
            <v>1.246514487125</v>
          </cell>
          <cell r="AF28">
            <v>1.85844421109314E-3</v>
          </cell>
          <cell r="AG28">
            <v>1.85781459152094E-3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1.2477004313447799</v>
          </cell>
          <cell r="P29">
            <v>1.2467094970653201</v>
          </cell>
          <cell r="Q29">
            <v>1.24808006995488</v>
          </cell>
          <cell r="U29">
            <v>1.03911369786485E-3</v>
          </cell>
          <cell r="V29">
            <v>5.7156453887499995E-4</v>
          </cell>
          <cell r="W29">
            <v>1.3817472266574201E-3</v>
          </cell>
          <cell r="Y29">
            <v>1.2471244094690801</v>
          </cell>
          <cell r="Z29">
            <v>1.2464223019532701</v>
          </cell>
          <cell r="AA29">
            <v>1.2464996905803101</v>
          </cell>
          <cell r="AF29">
            <v>-5.7266977682678198E-4</v>
          </cell>
          <cell r="AG29">
            <v>-4.4350407209007799E-4</v>
          </cell>
          <cell r="AR29">
            <v>0</v>
          </cell>
          <cell r="BC29">
            <v>2.2066527748765782E-3</v>
          </cell>
          <cell r="BF29">
            <v>2.2066527748765782E-3</v>
          </cell>
        </row>
        <row r="30">
          <cell r="O30">
            <v>1.2477004313447799</v>
          </cell>
          <cell r="P30">
            <v>1.24619585161368</v>
          </cell>
          <cell r="Q30">
            <v>1.24802087769073</v>
          </cell>
          <cell r="U30">
            <v>1.59967888852463E-3</v>
          </cell>
          <cell r="V30">
            <v>8.0515484473277503E-4</v>
          </cell>
          <cell r="W30">
            <v>1.90390324865783E-3</v>
          </cell>
          <cell r="Y30">
            <v>1.2471244094690801</v>
          </cell>
          <cell r="Z30">
            <v>1.2463850104207901</v>
          </cell>
          <cell r="AA30">
            <v>1.24647359628856</v>
          </cell>
          <cell r="AF30">
            <v>4.3513996058752E-5</v>
          </cell>
          <cell r="AG30">
            <v>1.05600677707016E-4</v>
          </cell>
          <cell r="AR30">
            <v>0</v>
          </cell>
          <cell r="BC30">
            <v>2.2066527748765782E-3</v>
          </cell>
          <cell r="BF30">
            <v>2.2066527748765782E-3</v>
          </cell>
        </row>
        <row r="31">
          <cell r="O31">
            <v>1.2477004313447799</v>
          </cell>
          <cell r="P31">
            <v>1.2456348483236399</v>
          </cell>
          <cell r="Q31">
            <v>1.2479804046796601</v>
          </cell>
          <cell r="U31">
            <v>1.3989090759049499E-3</v>
          </cell>
          <cell r="V31">
            <v>1.9229922293503E-4</v>
          </cell>
          <cell r="W31">
            <v>1.6557056553545E-3</v>
          </cell>
          <cell r="Y31">
            <v>1.2471244094690801</v>
          </cell>
          <cell r="Z31">
            <v>1.24630072323542</v>
          </cell>
          <cell r="AA31">
            <v>1.2464660865577799</v>
          </cell>
          <cell r="AF31">
            <v>-1.8490758018899499E-4</v>
          </cell>
          <cell r="AG31">
            <v>-1.13835865516382E-4</v>
          </cell>
          <cell r="AR31">
            <v>0</v>
          </cell>
          <cell r="BC31">
            <v>2.2066527748765782E-3</v>
          </cell>
          <cell r="BF31">
            <v>2.2066527748765782E-3</v>
          </cell>
        </row>
        <row r="32">
          <cell r="O32">
            <v>1.2477004313447799</v>
          </cell>
          <cell r="P32">
            <v>1.2456286121115101</v>
          </cell>
          <cell r="Q32">
            <v>1.2479465636393201</v>
          </cell>
          <cell r="U32">
            <v>1.4927810942779801E-3</v>
          </cell>
          <cell r="V32">
            <v>-1.6410276770203501E-4</v>
          </cell>
          <cell r="W32">
            <v>1.71714739304791E-3</v>
          </cell>
          <cell r="Y32">
            <v>1.2471244094690801</v>
          </cell>
          <cell r="Z32">
            <v>1.24629358860882</v>
          </cell>
          <cell r="AA32">
            <v>1.2464652121128701</v>
          </cell>
          <cell r="AF32">
            <v>-1.5876600578320499E-4</v>
          </cell>
          <cell r="AG32">
            <v>-2.60914836832305E-5</v>
          </cell>
          <cell r="AR32">
            <v>0</v>
          </cell>
          <cell r="BC32">
            <v>2.2066527748765782E-3</v>
          </cell>
          <cell r="BF32">
            <v>2.2066527748765782E-3</v>
          </cell>
        </row>
        <row r="33">
          <cell r="O33">
            <v>1.2477004313447799</v>
          </cell>
          <cell r="P33">
            <v>1.2455389239144801</v>
          </cell>
          <cell r="Q33">
            <v>1.2476907423708301</v>
          </cell>
          <cell r="U33">
            <v>2.1628510534711198E-3</v>
          </cell>
          <cell r="V33">
            <v>5.0096072611807002E-4</v>
          </cell>
          <cell r="W33">
            <v>2.36010034058922E-3</v>
          </cell>
          <cell r="Y33">
            <v>1.2471244094690801</v>
          </cell>
          <cell r="Z33">
            <v>1.2462033036620701</v>
          </cell>
          <cell r="AA33">
            <v>1.2464488553069999</v>
          </cell>
          <cell r="AF33">
            <v>5.02803028349758E-4</v>
          </cell>
          <cell r="AG33">
            <v>6.40500670233724E-4</v>
          </cell>
          <cell r="AR33">
            <v>0</v>
          </cell>
          <cell r="BC33">
            <v>2.2066527748765782E-3</v>
          </cell>
          <cell r="BF33">
            <v>2.2066527748765782E-3</v>
          </cell>
        </row>
        <row r="34">
          <cell r="O34">
            <v>1.2477004313447799</v>
          </cell>
          <cell r="P34">
            <v>1.2454497391294801</v>
          </cell>
          <cell r="Q34">
            <v>1.24742297930336</v>
          </cell>
          <cell r="U34">
            <v>1.9681792491785602E-3</v>
          </cell>
          <cell r="V34">
            <v>2.3428397171696799E-4</v>
          </cell>
          <cell r="W34">
            <v>1.9604137540907402E-3</v>
          </cell>
          <cell r="Y34">
            <v>1.2471244094690801</v>
          </cell>
          <cell r="Z34">
            <v>1.24611339462618</v>
          </cell>
          <cell r="AA34">
            <v>1.2464193756500299</v>
          </cell>
          <cell r="AF34">
            <v>2.36922825070905E-4</v>
          </cell>
          <cell r="AG34">
            <v>4.3394321144469899E-4</v>
          </cell>
          <cell r="AR34">
            <v>0</v>
          </cell>
          <cell r="BC34">
            <v>2.2066527748765782E-3</v>
          </cell>
          <cell r="BF34">
            <v>2.2066527748765782E-3</v>
          </cell>
        </row>
        <row r="35">
          <cell r="O35">
            <v>1.2477004313447799</v>
          </cell>
          <cell r="P35">
            <v>1.2454425288503601</v>
          </cell>
          <cell r="Q35">
            <v>1.24716728183095</v>
          </cell>
          <cell r="U35">
            <v>1.9681792491785602E-3</v>
          </cell>
          <cell r="V35">
            <v>1.6267803760429899E-4</v>
          </cell>
          <cell r="W35">
            <v>1.7457838026133301E-3</v>
          </cell>
          <cell r="Y35">
            <v>1.2471244094690801</v>
          </cell>
          <cell r="Z35">
            <v>1.2461055437702899</v>
          </cell>
          <cell r="AA35">
            <v>1.2464017250445101</v>
          </cell>
          <cell r="AF35">
            <v>1.6477385941760601E-4</v>
          </cell>
          <cell r="AG35">
            <v>4.1029201592122602E-4</v>
          </cell>
          <cell r="AR35">
            <v>0</v>
          </cell>
          <cell r="BC35">
            <v>2.2066527748765782E-3</v>
          </cell>
          <cell r="BF35">
            <v>2.2066527748765782E-3</v>
          </cell>
        </row>
        <row r="36">
          <cell r="O36">
            <v>1.2477004313447799</v>
          </cell>
          <cell r="P36">
            <v>1.24593394282228</v>
          </cell>
          <cell r="Q36">
            <v>1.24713085666299</v>
          </cell>
          <cell r="U36">
            <v>-2.3176530583705699E-3</v>
          </cell>
          <cell r="V36">
            <v>-4.1289435842500099E-3</v>
          </cell>
          <cell r="W36">
            <v>-2.7450500855856598E-3</v>
          </cell>
          <cell r="Y36">
            <v>1.2471244094690801</v>
          </cell>
          <cell r="Z36">
            <v>1.2461982290498701</v>
          </cell>
          <cell r="AA36">
            <v>1.2464043854278599</v>
          </cell>
          <cell r="AF36">
            <v>-9.3730655465589104E-4</v>
          </cell>
          <cell r="AG36">
            <v>-6.99649253249094E-4</v>
          </cell>
          <cell r="AR36">
            <v>0</v>
          </cell>
          <cell r="BC36">
            <v>2.2066527748765782E-3</v>
          </cell>
          <cell r="BF36">
            <v>2.2066527748765782E-3</v>
          </cell>
        </row>
        <row r="37">
          <cell r="O37">
            <v>1.2477004313447799</v>
          </cell>
          <cell r="P37">
            <v>1.2463419724053399</v>
          </cell>
          <cell r="Q37">
            <v>1.2471129280463999</v>
          </cell>
          <cell r="U37">
            <v>-1.6506732206820101E-3</v>
          </cell>
          <cell r="V37">
            <v>-3.06747179893149E-3</v>
          </cell>
          <cell r="W37">
            <v>-2.10727699539565E-3</v>
          </cell>
          <cell r="Y37">
            <v>1.2471244094690801</v>
          </cell>
          <cell r="Z37">
            <v>1.2462079069402301</v>
          </cell>
          <cell r="AA37">
            <v>1.24642533697393</v>
          </cell>
          <cell r="AF37">
            <v>-1.9719739163809701E-4</v>
          </cell>
          <cell r="AG37">
            <v>-3.1782834772631203E-5</v>
          </cell>
          <cell r="AR37">
            <v>0</v>
          </cell>
          <cell r="BC37">
            <v>2.2066527748765782E-3</v>
          </cell>
          <cell r="BF37">
            <v>2.2066527748765782E-3</v>
          </cell>
        </row>
        <row r="38">
          <cell r="O38">
            <v>1.2477004313447799</v>
          </cell>
          <cell r="P38">
            <v>1.2469643253849201</v>
          </cell>
          <cell r="Q38">
            <v>1.24704076589807</v>
          </cell>
          <cell r="U38">
            <v>-1.7459702747658699E-3</v>
          </cell>
          <cell r="V38">
            <v>-2.8353335283693398E-3</v>
          </cell>
          <cell r="W38">
            <v>-2.2169500432811101E-3</v>
          </cell>
          <cell r="Y38">
            <v>1.2471244094690801</v>
          </cell>
          <cell r="Z38">
            <v>1.2464311736020599</v>
          </cell>
          <cell r="AA38">
            <v>1.2463923321013499</v>
          </cell>
          <cell r="AF38">
            <v>-2.83108626505153E-4</v>
          </cell>
          <cell r="AG38">
            <v>-1.08650522989764E-4</v>
          </cell>
          <cell r="AR38">
            <v>0</v>
          </cell>
          <cell r="BC38">
            <v>2.2066527748765782E-3</v>
          </cell>
          <cell r="BF38">
            <v>2.2066527748765782E-3</v>
          </cell>
        </row>
        <row r="39">
          <cell r="O39">
            <v>1.2477004313447799</v>
          </cell>
          <cell r="P39">
            <v>1.24738341734169</v>
          </cell>
          <cell r="Q39">
            <v>1.2470464572035</v>
          </cell>
          <cell r="U39">
            <v>-2.3176530583705699E-3</v>
          </cell>
          <cell r="V39">
            <v>-2.9077972685236301E-3</v>
          </cell>
          <cell r="W39">
            <v>-2.84649786424863E-3</v>
          </cell>
          <cell r="Y39">
            <v>1.2471244094690801</v>
          </cell>
          <cell r="Z39">
            <v>1.24645183662487</v>
          </cell>
          <cell r="AA39">
            <v>1.2464370692890701</v>
          </cell>
          <cell r="AF39">
            <v>-6.7602267357295997E-4</v>
          </cell>
          <cell r="AG39">
            <v>-7.0718532958979397E-4</v>
          </cell>
          <cell r="AR39">
            <v>0</v>
          </cell>
          <cell r="BC39">
            <v>2.2066527748765782E-3</v>
          </cell>
          <cell r="BF39">
            <v>2.2066527748765782E-3</v>
          </cell>
        </row>
        <row r="40">
          <cell r="O40">
            <v>1.2477004313447799</v>
          </cell>
          <cell r="P40">
            <v>1.2477890197850201</v>
          </cell>
          <cell r="Q40">
            <v>1.24699243569935</v>
          </cell>
          <cell r="U40">
            <v>-1.65103610192284E-3</v>
          </cell>
          <cell r="V40">
            <v>-1.90514700482372E-3</v>
          </cell>
          <cell r="W40">
            <v>-2.1753170694742601E-3</v>
          </cell>
          <cell r="Y40">
            <v>1.2471244094690801</v>
          </cell>
          <cell r="Z40">
            <v>1.24646010238626</v>
          </cell>
          <cell r="AA40">
            <v>1.2464225564035301</v>
          </cell>
          <cell r="AF40">
            <v>8.9268857163120904E-7</v>
          </cell>
          <cell r="AG40">
            <v>-1.09548797389303E-5</v>
          </cell>
          <cell r="AR40">
            <v>0</v>
          </cell>
          <cell r="BC40">
            <v>2.2066527748765782E-3</v>
          </cell>
          <cell r="BF40">
            <v>2.2066527748765782E-3</v>
          </cell>
        </row>
        <row r="41">
          <cell r="O41">
            <v>1.2477004313447799</v>
          </cell>
          <cell r="P41">
            <v>1.2477514472140401</v>
          </cell>
          <cell r="Q41">
            <v>1.2466931477688401</v>
          </cell>
          <cell r="U41">
            <v>1.7005106592184801E-3</v>
          </cell>
          <cell r="V41">
            <v>1.77150950894764E-3</v>
          </cell>
          <cell r="W41">
            <v>1.13290919308401E-3</v>
          </cell>
          <cell r="Y41">
            <v>1.2471244094690801</v>
          </cell>
          <cell r="Z41">
            <v>1.24650772361603</v>
          </cell>
          <cell r="AA41">
            <v>1.24640422342573</v>
          </cell>
          <cell r="AF41">
            <v>-5.0659279470765205E-4</v>
          </cell>
          <cell r="AG41">
            <v>-5.3671533786701995E-4</v>
          </cell>
          <cell r="AR41">
            <v>0</v>
          </cell>
          <cell r="BC41">
            <v>2.2066527748765782E-3</v>
          </cell>
          <cell r="BF41">
            <v>2.2066527748765782E-3</v>
          </cell>
        </row>
        <row r="42">
          <cell r="O42">
            <v>1.2477004313447799</v>
          </cell>
          <cell r="P42">
            <v>1.24772557013675</v>
          </cell>
          <cell r="Q42">
            <v>1.2466770911241301</v>
          </cell>
          <cell r="U42">
            <v>1.7005106592184801E-3</v>
          </cell>
          <cell r="V42">
            <v>1.7413977383895899E-3</v>
          </cell>
          <cell r="W42">
            <v>8.9287257104164795E-4</v>
          </cell>
          <cell r="Y42">
            <v>1.2471244094690801</v>
          </cell>
          <cell r="Z42">
            <v>1.2465670337092101</v>
          </cell>
          <cell r="AA42">
            <v>1.24643031115902</v>
          </cell>
          <cell r="AF42">
            <v>-4.6838834676130801E-4</v>
          </cell>
          <cell r="AG42">
            <v>-5.5142392327585399E-4</v>
          </cell>
          <cell r="AR42">
            <v>0</v>
          </cell>
          <cell r="BC42">
            <v>2.2066527748765782E-3</v>
          </cell>
          <cell r="BF42">
            <v>2.2066527748765782E-3</v>
          </cell>
        </row>
        <row r="43">
          <cell r="O43">
            <v>1.2477004313447799</v>
          </cell>
          <cell r="P43">
            <v>1.2477236617345999</v>
          </cell>
          <cell r="Q43">
            <v>1.24663129282454</v>
          </cell>
          <cell r="U43">
            <v>2.1781796437011398E-3</v>
          </cell>
          <cell r="V43">
            <v>2.1983275398499299E-3</v>
          </cell>
          <cell r="W43">
            <v>1.35766208463041E-3</v>
          </cell>
          <cell r="Y43">
            <v>1.2471244094690801</v>
          </cell>
          <cell r="Z43">
            <v>1.246650320981</v>
          </cell>
          <cell r="AA43">
            <v>1.2464268123215301</v>
          </cell>
          <cell r="AF43">
            <v>5.3793228108697998E-5</v>
          </cell>
          <cell r="AG43">
            <v>-5.5892047421089299E-5</v>
          </cell>
          <cell r="AR43">
            <v>0</v>
          </cell>
          <cell r="BC43">
            <v>2.2066527748765782E-3</v>
          </cell>
          <cell r="BF43">
            <v>2.2066527748765782E-3</v>
          </cell>
        </row>
        <row r="44">
          <cell r="O44">
            <v>1.2477004313447799</v>
          </cell>
          <cell r="P44">
            <v>1.24757634154171</v>
          </cell>
          <cell r="Q44">
            <v>1.2465130403356</v>
          </cell>
          <cell r="U44">
            <v>3.1519394865015499E-3</v>
          </cell>
          <cell r="V44">
            <v>3.1705578767599199E-3</v>
          </cell>
          <cell r="W44">
            <v>2.2946849558701998E-3</v>
          </cell>
          <cell r="Y44">
            <v>1.2471244094690801</v>
          </cell>
          <cell r="Z44">
            <v>1.24658955015742</v>
          </cell>
          <cell r="AA44">
            <v>1.2463514723918001</v>
          </cell>
          <cell r="AF44">
            <v>1.0834441644766101E-3</v>
          </cell>
          <cell r="AG44">
            <v>9.0414071888532898E-4</v>
          </cell>
          <cell r="AR44">
            <v>0</v>
          </cell>
          <cell r="BC44">
            <v>2.2066527748765782E-3</v>
          </cell>
          <cell r="BF44">
            <v>2.2066527748765782E-3</v>
          </cell>
        </row>
        <row r="45">
          <cell r="O45">
            <v>1.2477004313447799</v>
          </cell>
          <cell r="P45">
            <v>1.2475590750549601</v>
          </cell>
          <cell r="Q45">
            <v>1.24650080195266</v>
          </cell>
          <cell r="U45">
            <v>2.1068479782450902E-3</v>
          </cell>
          <cell r="V45">
            <v>2.0073882273104098E-3</v>
          </cell>
          <cell r="W45">
            <v>1.1547313191296901E-3</v>
          </cell>
          <cell r="Y45">
            <v>1.2471244094690801</v>
          </cell>
          <cell r="Z45">
            <v>1.2466585030730499</v>
          </cell>
          <cell r="AA45">
            <v>1.24638202342167</v>
          </cell>
          <cell r="AF45">
            <v>-6.4685292530815999E-6</v>
          </cell>
          <cell r="AG45">
            <v>-1.9747005250789101E-4</v>
          </cell>
          <cell r="AR45">
            <v>0</v>
          </cell>
          <cell r="BC45">
            <v>2.2066527748765782E-3</v>
          </cell>
          <cell r="BF45">
            <v>2.2066527748765782E-3</v>
          </cell>
        </row>
        <row r="46">
          <cell r="O46">
            <v>1.2477004313447799</v>
          </cell>
          <cell r="P46">
            <v>1.2470810628203099</v>
          </cell>
          <cell r="Q46">
            <v>1.24650750282129</v>
          </cell>
          <cell r="U46">
            <v>1.5119473878867399E-3</v>
          </cell>
          <cell r="V46">
            <v>1.3986475169813499E-3</v>
          </cell>
          <cell r="W46">
            <v>5.5001258598407399E-4</v>
          </cell>
          <cell r="Y46">
            <v>1.2471244094690801</v>
          </cell>
          <cell r="Z46">
            <v>1.2466637485479899</v>
          </cell>
          <cell r="AA46">
            <v>1.24643098879893</v>
          </cell>
          <cell r="AF46">
            <v>-5.3570963582690403E-4</v>
          </cell>
          <cell r="AG46">
            <v>-7.5751080558460995E-4</v>
          </cell>
          <cell r="AR46">
            <v>0</v>
          </cell>
          <cell r="BC46">
            <v>2.2066527748765782E-3</v>
          </cell>
          <cell r="BF46">
            <v>2.2066527748765782E-3</v>
          </cell>
        </row>
        <row r="47">
          <cell r="O47">
            <v>1.2477004313447799</v>
          </cell>
          <cell r="P47">
            <v>1.2466241258107</v>
          </cell>
          <cell r="Q47">
            <v>1.2464830491080201</v>
          </cell>
          <cell r="U47">
            <v>2.012220148501E-3</v>
          </cell>
          <cell r="V47">
            <v>1.5156888581650599E-3</v>
          </cell>
          <cell r="W47">
            <v>1.0556610756896499E-3</v>
          </cell>
          <cell r="Y47">
            <v>1.2471244094690801</v>
          </cell>
          <cell r="Z47">
            <v>1.2466908889283901</v>
          </cell>
          <cell r="AA47">
            <v>1.2464493979343101</v>
          </cell>
          <cell r="AF47">
            <v>-4.1434194239416201E-5</v>
          </cell>
          <cell r="AG47">
            <v>-2.2815774408748601E-4</v>
          </cell>
          <cell r="AR47">
            <v>0</v>
          </cell>
          <cell r="BC47">
            <v>2.2066527748765782E-3</v>
          </cell>
          <cell r="BF47">
            <v>2.2066527748765782E-3</v>
          </cell>
        </row>
        <row r="48">
          <cell r="O48">
            <v>1.2477004313447799</v>
          </cell>
          <cell r="P48">
            <v>1.2461762218535</v>
          </cell>
          <cell r="Q48">
            <v>1.2465702736192099</v>
          </cell>
          <cell r="U48">
            <v>1.8440395445602699E-3</v>
          </cell>
          <cell r="V48">
            <v>9.8103589269347893E-4</v>
          </cell>
          <cell r="W48">
            <v>8.6786249665864103E-4</v>
          </cell>
          <cell r="Y48">
            <v>1.2471244094690801</v>
          </cell>
          <cell r="Z48">
            <v>1.24672818504058</v>
          </cell>
          <cell r="AA48">
            <v>1.24657967932132</v>
          </cell>
          <cell r="AF48">
            <v>-1.94769724679455E-4</v>
          </cell>
          <cell r="AG48">
            <v>-3.8849407794154999E-4</v>
          </cell>
          <cell r="AR48">
            <v>0</v>
          </cell>
          <cell r="BC48">
            <v>2.2066527748765782E-3</v>
          </cell>
          <cell r="BF48">
            <v>2.2066527748765782E-3</v>
          </cell>
        </row>
        <row r="49">
          <cell r="O49">
            <v>1.2477004313447799</v>
          </cell>
          <cell r="P49">
            <v>1.2456422171310499</v>
          </cell>
          <cell r="Q49">
            <v>1.24651281723637</v>
          </cell>
          <cell r="U49">
            <v>1.9614929172667101E-3</v>
          </cell>
          <cell r="V49">
            <v>7.3913119451036395E-4</v>
          </cell>
          <cell r="W49">
            <v>1.0552899131844201E-3</v>
          </cell>
          <cell r="Y49">
            <v>1.2471244094690801</v>
          </cell>
          <cell r="Z49">
            <v>1.24668043418686</v>
          </cell>
          <cell r="AA49">
            <v>1.2465661354058699</v>
          </cell>
          <cell r="AF49">
            <v>-5.4846567281527E-5</v>
          </cell>
          <cell r="AG49">
            <v>-1.7397001894942701E-4</v>
          </cell>
          <cell r="AR49">
            <v>0</v>
          </cell>
          <cell r="BC49">
            <v>2.2066527748765782E-3</v>
          </cell>
          <cell r="BF49">
            <v>2.2066527748765782E-3</v>
          </cell>
        </row>
        <row r="50">
          <cell r="O50">
            <v>1.2477004313447799</v>
          </cell>
          <cell r="P50">
            <v>1.2451777227506999</v>
          </cell>
          <cell r="Q50">
            <v>1.24648337126786</v>
          </cell>
          <cell r="U50">
            <v>2.07255015364712E-3</v>
          </cell>
          <cell r="V50">
            <v>4.21581978459264E-4</v>
          </cell>
          <cell r="W50">
            <v>1.1202545158628899E-3</v>
          </cell>
          <cell r="Y50">
            <v>1.2471244094690801</v>
          </cell>
          <cell r="Z50">
            <v>1.2467018037081501</v>
          </cell>
          <cell r="AA50">
            <v>1.2465809530472101</v>
          </cell>
          <cell r="AF50">
            <v>1.28462309074004E-5</v>
          </cell>
          <cell r="AG50">
            <v>-7.8840473862463805E-5</v>
          </cell>
          <cell r="AR50">
            <v>0</v>
          </cell>
          <cell r="BC50">
            <v>2.2066527748765782E-3</v>
          </cell>
          <cell r="BF50">
            <v>2.2066527748765782E-3</v>
          </cell>
        </row>
        <row r="51">
          <cell r="O51">
            <v>1.2477004313447799</v>
          </cell>
          <cell r="P51">
            <v>1.2450122862942301</v>
          </cell>
          <cell r="Q51">
            <v>1.24638186675413</v>
          </cell>
          <cell r="U51">
            <v>3.0295810671073001E-3</v>
          </cell>
          <cell r="V51">
            <v>1.0056478467153E-3</v>
          </cell>
          <cell r="W51">
            <v>2.0536624742228601E-3</v>
          </cell>
          <cell r="Y51">
            <v>1.2471244094690801</v>
          </cell>
          <cell r="Z51">
            <v>1.24654000107204</v>
          </cell>
          <cell r="AA51">
            <v>1.24652386234404</v>
          </cell>
          <cell r="AF51">
            <v>9.8558075977332998E-4</v>
          </cell>
          <cell r="AG51">
            <v>8.8863976043333196E-4</v>
          </cell>
          <cell r="AR51">
            <v>0</v>
          </cell>
          <cell r="BC51">
            <v>2.2066527748765782E-3</v>
          </cell>
          <cell r="BF51">
            <v>2.2066527748765782E-3</v>
          </cell>
        </row>
        <row r="52">
          <cell r="O52">
            <v>1.2477004313447799</v>
          </cell>
          <cell r="P52">
            <v>1.2448503709149199</v>
          </cell>
          <cell r="Q52">
            <v>1.2462879705258301</v>
          </cell>
          <cell r="U52">
            <v>3.0012753082988299E-3</v>
          </cell>
          <cell r="V52">
            <v>8.4447153897926298E-4</v>
          </cell>
          <cell r="W52">
            <v>1.94392069373611E-3</v>
          </cell>
          <cell r="Y52">
            <v>1.2471244094690801</v>
          </cell>
          <cell r="Z52">
            <v>1.2463808053480301</v>
          </cell>
          <cell r="AA52">
            <v>1.2464739195286201</v>
          </cell>
          <cell r="AF52">
            <v>8.3485691390625095E-4</v>
          </cell>
          <cell r="AG52">
            <v>8.2191001090486699E-4</v>
          </cell>
          <cell r="AR52">
            <v>0</v>
          </cell>
          <cell r="BC52">
            <v>2.2066527748765782E-3</v>
          </cell>
          <cell r="BF52">
            <v>2.2066527748765782E-3</v>
          </cell>
        </row>
        <row r="53">
          <cell r="O53">
            <v>1.2477004313447799</v>
          </cell>
          <cell r="P53">
            <v>1.24478113820814</v>
          </cell>
          <cell r="Q53">
            <v>1.2462523999713699</v>
          </cell>
          <cell r="U53">
            <v>2.7344267178304599E-3</v>
          </cell>
          <cell r="V53">
            <v>4.47563261028998E-4</v>
          </cell>
          <cell r="W53">
            <v>1.6017342250295001E-3</v>
          </cell>
          <cell r="Y53">
            <v>1.2471244094690801</v>
          </cell>
          <cell r="Z53">
            <v>1.2463145819038699</v>
          </cell>
          <cell r="AA53">
            <v>1.24648245144243</v>
          </cell>
          <cell r="AF53">
            <v>4.3580539946650002E-4</v>
          </cell>
          <cell r="AG53">
            <v>5.1051025868332101E-4</v>
          </cell>
          <cell r="AR53">
            <v>0</v>
          </cell>
          <cell r="BC53">
            <v>2.2066527748765782E-3</v>
          </cell>
          <cell r="BF53">
            <v>2.2066527748765782E-3</v>
          </cell>
        </row>
        <row r="54">
          <cell r="O54">
            <v>1.2477004313447799</v>
          </cell>
          <cell r="P54">
            <v>1.2449192474480899</v>
          </cell>
          <cell r="Q54">
            <v>1.2462477944949</v>
          </cell>
          <cell r="U54">
            <v>2.0421508589084998E-3</v>
          </cell>
          <cell r="V54">
            <v>-3.00329428373468E-4</v>
          </cell>
          <cell r="W54">
            <v>8.8091675860558301E-4</v>
          </cell>
          <cell r="Y54">
            <v>1.2471244094690801</v>
          </cell>
          <cell r="Z54">
            <v>1.2464535550611</v>
          </cell>
          <cell r="AA54">
            <v>1.2465215526092599</v>
          </cell>
          <cell r="AF54">
            <v>-3.0126382452587902E-4</v>
          </cell>
          <cell r="AG54">
            <v>-1.6658014464905599E-4</v>
          </cell>
          <cell r="AR54">
            <v>0</v>
          </cell>
          <cell r="BC54">
            <v>2.2066527748765782E-3</v>
          </cell>
          <cell r="BF54">
            <v>2.2066527748765782E-3</v>
          </cell>
        </row>
        <row r="55">
          <cell r="O55">
            <v>1.2477004313447799</v>
          </cell>
          <cell r="P55">
            <v>1.2449336235296899</v>
          </cell>
          <cell r="Q55">
            <v>1.2462463492923199</v>
          </cell>
          <cell r="U55">
            <v>1.9913910164973902E-3</v>
          </cell>
          <cell r="V55">
            <v>-2.4014480462233501E-4</v>
          </cell>
          <cell r="W55">
            <v>8.2646144890846098E-4</v>
          </cell>
          <cell r="Y55">
            <v>1.2471244094690801</v>
          </cell>
          <cell r="Z55">
            <v>1.24647095309079</v>
          </cell>
          <cell r="AA55">
            <v>1.2465647280819201</v>
          </cell>
          <cell r="AF55">
            <v>-2.5512258464343597E-4</v>
          </cell>
          <cell r="AG55">
            <v>-2.0057125922586999E-4</v>
          </cell>
          <cell r="AR55">
            <v>0</v>
          </cell>
          <cell r="BC55">
            <v>2.2066527748765782E-3</v>
          </cell>
          <cell r="BF55">
            <v>2.2066527748765782E-3</v>
          </cell>
        </row>
        <row r="56">
          <cell r="O56">
            <v>1.2477004313447799</v>
          </cell>
          <cell r="P56">
            <v>1.2452420591467599</v>
          </cell>
          <cell r="Q56">
            <v>1.2461615609835299</v>
          </cell>
          <cell r="U56">
            <v>-9.6076596886186696E-4</v>
          </cell>
          <cell r="V56">
            <v>-3.1807540541602601E-3</v>
          </cell>
          <cell r="W56">
            <v>-2.1268551801623299E-3</v>
          </cell>
          <cell r="Y56">
            <v>1.2471244094690801</v>
          </cell>
          <cell r="Z56">
            <v>1.24631620288176</v>
          </cell>
          <cell r="AA56">
            <v>1.24648997571487</v>
          </cell>
          <cell r="AF56">
            <v>5.5526230573189005E-4</v>
          </cell>
          <cell r="AG56">
            <v>6.3049186773064001E-4</v>
          </cell>
          <cell r="AR56">
            <v>0</v>
          </cell>
          <cell r="BC56">
            <v>2.2066527748765782E-3</v>
          </cell>
          <cell r="BF56">
            <v>2.2066527748765782E-3</v>
          </cell>
        </row>
        <row r="57">
          <cell r="O57">
            <v>1.2477004313447799</v>
          </cell>
          <cell r="P57">
            <v>1.2457841329385899</v>
          </cell>
          <cell r="Q57">
            <v>1.24620412937465</v>
          </cell>
          <cell r="U57">
            <v>-2.3316654312960901E-3</v>
          </cell>
          <cell r="V57">
            <v>-4.3039315419570899E-3</v>
          </cell>
          <cell r="W57">
            <v>-3.5657919076615102E-3</v>
          </cell>
          <cell r="Y57">
            <v>1.2471244094690801</v>
          </cell>
          <cell r="Z57">
            <v>1.24639122179381</v>
          </cell>
          <cell r="AA57">
            <v>1.2465410553611</v>
          </cell>
          <cell r="AF57">
            <v>-9.2180514582689899E-4</v>
          </cell>
          <cell r="AG57">
            <v>-7.8238569566339703E-4</v>
          </cell>
          <cell r="AR57">
            <v>0</v>
          </cell>
          <cell r="BC57">
            <v>2.2066527748765782E-3</v>
          </cell>
          <cell r="BF57">
            <v>2.2066527748765782E-3</v>
          </cell>
        </row>
        <row r="58">
          <cell r="O58">
            <v>1.2477004313447799</v>
          </cell>
          <cell r="P58">
            <v>1.2461951305638299</v>
          </cell>
          <cell r="Q58">
            <v>1.2461856762086601</v>
          </cell>
          <cell r="U58">
            <v>-1.4506478536697601E-3</v>
          </cell>
          <cell r="V58">
            <v>-2.9876926871662099E-3</v>
          </cell>
          <cell r="W58">
            <v>-2.6506153049133401E-3</v>
          </cell>
          <cell r="Y58">
            <v>1.2471244094690801</v>
          </cell>
          <cell r="Z58">
            <v>1.2463367730743899</v>
          </cell>
          <cell r="AA58">
            <v>1.2465324790574801</v>
          </cell>
          <cell r="AF58">
            <v>1.5876008257784099E-6</v>
          </cell>
          <cell r="AG58">
            <v>1.21794289825366E-4</v>
          </cell>
          <cell r="AR58">
            <v>0</v>
          </cell>
          <cell r="BC58">
            <v>2.2066527748765782E-3</v>
          </cell>
          <cell r="BF58">
            <v>2.2066527748765782E-3</v>
          </cell>
        </row>
        <row r="59">
          <cell r="O59">
            <v>1.2477004313447799</v>
          </cell>
          <cell r="P59">
            <v>1.24669421366045</v>
          </cell>
          <cell r="Q59">
            <v>1.2461682153957501</v>
          </cell>
          <cell r="U59">
            <v>-2.0383740917792898E-3</v>
          </cell>
          <cell r="V59">
            <v>-3.2455625456597002E-3</v>
          </cell>
          <cell r="W59">
            <v>-3.25314915131909E-3</v>
          </cell>
          <cell r="Y59">
            <v>1.2471244094690801</v>
          </cell>
          <cell r="Z59">
            <v>1.2463659999635299</v>
          </cell>
          <cell r="AA59">
            <v>1.2465232170752001</v>
          </cell>
          <cell r="AF59">
            <v>-6.0323557651038395E-4</v>
          </cell>
          <cell r="AG59">
            <v>-4.4622294270835102E-4</v>
          </cell>
          <cell r="AR59">
            <v>0</v>
          </cell>
          <cell r="BC59">
            <v>2.2066527748765782E-3</v>
          </cell>
          <cell r="BF59">
            <v>2.2066527748765782E-3</v>
          </cell>
        </row>
        <row r="60">
          <cell r="O60">
            <v>1.2477004313447799</v>
          </cell>
          <cell r="P60">
            <v>1.2472689146635301</v>
          </cell>
          <cell r="Q60">
            <v>1.2462233187071201</v>
          </cell>
          <cell r="U60">
            <v>-2.53246831431508E-3</v>
          </cell>
          <cell r="V60">
            <v>-3.3392514277491799E-3</v>
          </cell>
          <cell r="W60">
            <v>-3.7612548775763899E-3</v>
          </cell>
          <cell r="Y60">
            <v>1.2471244094690801</v>
          </cell>
          <cell r="Z60">
            <v>1.2464688188174999</v>
          </cell>
          <cell r="AA60">
            <v>1.24658531126283</v>
          </cell>
          <cell r="AF60">
            <v>-1.0638144927028199E-3</v>
          </cell>
          <cell r="AG60">
            <v>-9.37682043016768E-4</v>
          </cell>
          <cell r="AR60">
            <v>0</v>
          </cell>
          <cell r="BC60">
            <v>2.2066527748765782E-3</v>
          </cell>
          <cell r="BF60">
            <v>2.2066527748765782E-3</v>
          </cell>
        </row>
        <row r="61">
          <cell r="O61">
            <v>1.2477004313447799</v>
          </cell>
          <cell r="P61">
            <v>1.24779047408952</v>
          </cell>
          <cell r="Q61">
            <v>1.2464013801918701</v>
          </cell>
          <cell r="U61">
            <v>-1.15450225828121E-3</v>
          </cell>
          <cell r="V61">
            <v>-1.5004116669422899E-3</v>
          </cell>
          <cell r="W61">
            <v>-2.3390716023599599E-3</v>
          </cell>
          <cell r="Y61">
            <v>1.2471244094690801</v>
          </cell>
          <cell r="Z61">
            <v>1.2465223932656</v>
          </cell>
          <cell r="AA61">
            <v>1.24653119716882</v>
          </cell>
          <cell r="AF61">
            <v>3.6862158364932897E-4</v>
          </cell>
          <cell r="AG61">
            <v>4.62075186606379E-4</v>
          </cell>
          <cell r="AR61">
            <v>0</v>
          </cell>
          <cell r="BC61">
            <v>2.2066527748765782E-3</v>
          </cell>
          <cell r="BF61">
            <v>2.2066527748765782E-3</v>
          </cell>
        </row>
        <row r="62">
          <cell r="O62">
            <v>1.2477004313447799</v>
          </cell>
          <cell r="P62">
            <v>1.2483456058803499</v>
          </cell>
          <cell r="Q62">
            <v>1.2465979883976299</v>
          </cell>
          <cell r="U62">
            <v>-1.45140960317997E-3</v>
          </cell>
          <cell r="V62">
            <v>-1.3792452490025799E-3</v>
          </cell>
          <cell r="W62">
            <v>-2.4931082735176599E-3</v>
          </cell>
          <cell r="Y62">
            <v>1.2471244094690801</v>
          </cell>
          <cell r="Z62">
            <v>1.24661203893748</v>
          </cell>
          <cell r="AA62">
            <v>1.2464964221427499</v>
          </cell>
          <cell r="AF62">
            <v>1.01233729365184E-4</v>
          </cell>
          <cell r="AG62">
            <v>1.08296476235772E-4</v>
          </cell>
          <cell r="AR62">
            <v>0</v>
          </cell>
          <cell r="BC62">
            <v>2.2066527748765782E-3</v>
          </cell>
          <cell r="BF62">
            <v>2.2066527748765782E-3</v>
          </cell>
        </row>
        <row r="63">
          <cell r="O63">
            <v>1.2477004313447799</v>
          </cell>
          <cell r="P63">
            <v>1.24830770260535</v>
          </cell>
          <cell r="Q63">
            <v>1.24654442040674</v>
          </cell>
          <cell r="U63">
            <v>3.0390899974193099E-3</v>
          </cell>
          <cell r="V63">
            <v>3.5560472492569902E-3</v>
          </cell>
          <cell r="W63">
            <v>2.15511957093632E-3</v>
          </cell>
          <cell r="Y63">
            <v>1.2471244094690801</v>
          </cell>
          <cell r="Z63">
            <v>1.2466164114285201</v>
          </cell>
          <cell r="AA63">
            <v>1.2464654966661901</v>
          </cell>
          <cell r="AF63">
            <v>5.8621604368815897E-4</v>
          </cell>
          <cell r="AG63">
            <v>4.9346693420266696E-4</v>
          </cell>
          <cell r="AR63">
            <v>0</v>
          </cell>
          <cell r="BC63">
            <v>2.2066527748765782E-3</v>
          </cell>
          <cell r="BF63">
            <v>2.2066527748765782E-3</v>
          </cell>
        </row>
        <row r="64">
          <cell r="O64">
            <v>1.2477004313447799</v>
          </cell>
          <cell r="P64">
            <v>1.2481978270651399</v>
          </cell>
          <cell r="Q64">
            <v>1.2465585372566099</v>
          </cell>
          <cell r="U64">
            <v>2.9249649966190099E-3</v>
          </cell>
          <cell r="V64">
            <v>3.4115589818568201E-3</v>
          </cell>
          <cell r="W64">
            <v>1.9980223029181601E-3</v>
          </cell>
          <cell r="Y64">
            <v>1.2471244094690801</v>
          </cell>
          <cell r="Z64">
            <v>1.24654893861628</v>
          </cell>
          <cell r="AA64">
            <v>1.24650124683869</v>
          </cell>
          <cell r="AF64">
            <v>4.8224659569966497E-4</v>
          </cell>
          <cell r="AG64">
            <v>3.6117976510487799E-4</v>
          </cell>
          <cell r="AR64">
            <v>0</v>
          </cell>
          <cell r="BC64">
            <v>2.2066527748765782E-3</v>
          </cell>
          <cell r="BF64">
            <v>2.2066527748765782E-3</v>
          </cell>
        </row>
        <row r="65">
          <cell r="O65">
            <v>1.2477004313447799</v>
          </cell>
          <cell r="P65">
            <v>1.2480804751742101</v>
          </cell>
          <cell r="Q65">
            <v>1.2465070493519499</v>
          </cell>
          <cell r="U65">
            <v>2.93425563988884E-3</v>
          </cell>
          <cell r="V65">
            <v>3.3328261547401301E-3</v>
          </cell>
          <cell r="W65">
            <v>2.0186376689229099E-3</v>
          </cell>
          <cell r="Y65">
            <v>1.2471244094690801</v>
          </cell>
          <cell r="Z65">
            <v>1.24647255025778</v>
          </cell>
          <cell r="AA65">
            <v>1.24647175167429</v>
          </cell>
          <cell r="AF65">
            <v>4.3427548860713899E-4</v>
          </cell>
          <cell r="AG65">
            <v>3.9601570717396099E-4</v>
          </cell>
          <cell r="AR65">
            <v>0</v>
          </cell>
          <cell r="BC65">
            <v>2.2066527748765782E-3</v>
          </cell>
          <cell r="BF65">
            <v>2.2066527748765782E-3</v>
          </cell>
        </row>
        <row r="66">
          <cell r="O66">
            <v>1.2477004313447799</v>
          </cell>
          <cell r="P66">
            <v>1.24764464809571</v>
          </cell>
          <cell r="Q66">
            <v>1.24644335362123</v>
          </cell>
          <cell r="U66">
            <v>2.53502543230968E-3</v>
          </cell>
          <cell r="V66">
            <v>2.83957446654012E-3</v>
          </cell>
          <cell r="W66">
            <v>1.57810256752285E-3</v>
          </cell>
          <cell r="Y66">
            <v>1.2471244094690801</v>
          </cell>
          <cell r="Z66">
            <v>1.2465442115425001</v>
          </cell>
          <cell r="AA66">
            <v>1.24643020721213</v>
          </cell>
          <cell r="AF66">
            <v>-1.8523672199291901E-5</v>
          </cell>
          <cell r="AG66">
            <v>-1.9164347158915999E-5</v>
          </cell>
          <cell r="AR66">
            <v>0</v>
          </cell>
          <cell r="BC66">
            <v>2.2066527748765782E-3</v>
          </cell>
          <cell r="BF66">
            <v>2.2066527748765782E-3</v>
          </cell>
        </row>
        <row r="67">
          <cell r="O67">
            <v>1.2477004313447799</v>
          </cell>
          <cell r="P67">
            <v>1.2470514286410299</v>
          </cell>
          <cell r="Q67">
            <v>1.24641778078981</v>
          </cell>
          <cell r="U67">
            <v>2.42304961896841E-3</v>
          </cell>
          <cell r="V67">
            <v>2.3783397713826198E-3</v>
          </cell>
          <cell r="W67">
            <v>1.4150260739165101E-3</v>
          </cell>
          <cell r="Y67">
            <v>1.2471244094690801</v>
          </cell>
          <cell r="Z67">
            <v>1.24646035661368</v>
          </cell>
          <cell r="AA67">
            <v>1.24642578920375</v>
          </cell>
          <cell r="AF67">
            <v>-6.6447433701031396E-5</v>
          </cell>
          <cell r="AG67">
            <v>-1.5790792329904401E-4</v>
          </cell>
          <cell r="AR67">
            <v>0</v>
          </cell>
          <cell r="BC67">
            <v>2.2066527748765782E-3</v>
          </cell>
          <cell r="BF67">
            <v>2.2066527748765782E-3</v>
          </cell>
        </row>
        <row r="68">
          <cell r="O68">
            <v>1.2477004313447799</v>
          </cell>
          <cell r="P68">
            <v>1.2465683418724101</v>
          </cell>
          <cell r="Q68">
            <v>1.24638173621812</v>
          </cell>
          <cell r="U68">
            <v>2.42304961896841E-3</v>
          </cell>
          <cell r="V68">
            <v>1.9027552130958701E-3</v>
          </cell>
          <cell r="W68">
            <v>1.39450922195727E-3</v>
          </cell>
          <cell r="Y68">
            <v>1.2471244094690801</v>
          </cell>
          <cell r="Z68">
            <v>1.24648413670715</v>
          </cell>
          <cell r="AA68">
            <v>1.24641045489077</v>
          </cell>
          <cell r="AF68">
            <v>-1.3371961596675701E-4</v>
          </cell>
          <cell r="AG68">
            <v>-1.6145245887773301E-4</v>
          </cell>
          <cell r="AR68">
            <v>0</v>
          </cell>
          <cell r="BC68">
            <v>2.2066527748765782E-3</v>
          </cell>
          <cell r="BF68">
            <v>2.2066527748765782E-3</v>
          </cell>
        </row>
        <row r="69">
          <cell r="O69">
            <v>1.2477004313447799</v>
          </cell>
          <cell r="P69">
            <v>1.2460107655941099</v>
          </cell>
          <cell r="Q69">
            <v>1.24635248962728</v>
          </cell>
          <cell r="U69">
            <v>2.4313316382902801E-3</v>
          </cell>
          <cell r="V69">
            <v>1.52357898367168E-3</v>
          </cell>
          <cell r="W69">
            <v>1.3738722917656699E-3</v>
          </cell>
          <cell r="Y69">
            <v>1.2471244094690801</v>
          </cell>
          <cell r="Z69">
            <v>1.24643731062017</v>
          </cell>
          <cell r="AA69">
            <v>1.24640165529185</v>
          </cell>
          <cell r="AF69">
            <v>-1.09451473198109E-4</v>
          </cell>
          <cell r="AG69">
            <v>-1.68564936439853E-4</v>
          </cell>
          <cell r="AR69">
            <v>0</v>
          </cell>
          <cell r="BC69">
            <v>2.2066527748765782E-3</v>
          </cell>
          <cell r="BF69">
            <v>2.2066527748765782E-3</v>
          </cell>
        </row>
        <row r="70">
          <cell r="O70">
            <v>1.2477004313447799</v>
          </cell>
          <cell r="P70">
            <v>1.2453569870771399</v>
          </cell>
          <cell r="Q70">
            <v>1.2463129508703401</v>
          </cell>
          <cell r="U70">
            <v>2.7078528899396001E-3</v>
          </cell>
          <cell r="V70">
            <v>1.3527111948401899E-3</v>
          </cell>
          <cell r="W70">
            <v>1.62692807281407E-3</v>
          </cell>
          <cell r="Y70">
            <v>1.2471244094690801</v>
          </cell>
          <cell r="Z70">
            <v>1.24629539056289</v>
          </cell>
          <cell r="AA70">
            <v>1.2463821046901999</v>
          </cell>
          <cell r="AF70">
            <v>1.3150624123598199E-4</v>
          </cell>
          <cell r="AG70">
            <v>1.02900038583623E-4</v>
          </cell>
          <cell r="AR70">
            <v>0</v>
          </cell>
          <cell r="BC70">
            <v>2.2066527748765782E-3</v>
          </cell>
          <cell r="BF70">
            <v>2.2066527748765782E-3</v>
          </cell>
        </row>
        <row r="71">
          <cell r="O71">
            <v>1.2477004313447799</v>
          </cell>
          <cell r="P71">
            <v>1.2448295378493499</v>
          </cell>
          <cell r="Q71">
            <v>1.2463100059694301</v>
          </cell>
          <cell r="U71">
            <v>3.0769306729307999E-3</v>
          </cell>
          <cell r="V71">
            <v>1.1969539499437E-3</v>
          </cell>
          <cell r="W71">
            <v>1.96428177739325E-3</v>
          </cell>
          <cell r="Y71">
            <v>1.2471244094690801</v>
          </cell>
          <cell r="Z71">
            <v>1.2462755935940599</v>
          </cell>
          <cell r="AA71">
            <v>1.2463989934298301</v>
          </cell>
          <cell r="AF71">
            <v>3.88371850219307E-4</v>
          </cell>
          <cell r="AG71">
            <v>4.5794693765305398E-4</v>
          </cell>
          <cell r="AR71">
            <v>0</v>
          </cell>
          <cell r="BC71">
            <v>2.2066527748765782E-3</v>
          </cell>
          <cell r="BF71">
            <v>2.2066527748765782E-3</v>
          </cell>
        </row>
        <row r="72">
          <cell r="O72">
            <v>1.2477004313447799</v>
          </cell>
          <cell r="P72">
            <v>1.2442884778221801</v>
          </cell>
          <cell r="Q72">
            <v>1.2463170418512699</v>
          </cell>
          <cell r="U72">
            <v>2.8881611203403199E-3</v>
          </cell>
          <cell r="V72">
            <v>5.8456212616950405E-4</v>
          </cell>
          <cell r="W72">
            <v>1.7731493316137099E-3</v>
          </cell>
          <cell r="Y72">
            <v>1.2471244094690801</v>
          </cell>
          <cell r="Z72">
            <v>1.2462405491208901</v>
          </cell>
          <cell r="AA72">
            <v>1.2464262940291899</v>
          </cell>
          <cell r="AF72">
            <v>1.8442949455727299E-4</v>
          </cell>
          <cell r="AG72">
            <v>2.8343947886504302E-4</v>
          </cell>
          <cell r="AR72">
            <v>0</v>
          </cell>
          <cell r="BC72">
            <v>2.2066527748765782E-3</v>
          </cell>
          <cell r="BF72">
            <v>2.2066527748765782E-3</v>
          </cell>
        </row>
        <row r="73">
          <cell r="O73">
            <v>1.2477004313447799</v>
          </cell>
          <cell r="P73">
            <v>1.24434149091317</v>
          </cell>
          <cell r="Q73">
            <v>1.24632459675926</v>
          </cell>
          <cell r="U73">
            <v>2.6130011818910098E-3</v>
          </cell>
          <cell r="V73">
            <v>-1.2533817595558001E-4</v>
          </cell>
          <cell r="W73">
            <v>1.50363474780388E-3</v>
          </cell>
          <cell r="Y73">
            <v>1.2471244094690801</v>
          </cell>
          <cell r="Z73">
            <v>1.2462915195415101</v>
          </cell>
          <cell r="AA73">
            <v>1.24645396548502</v>
          </cell>
          <cell r="AF73">
            <v>-1.2085556071695E-4</v>
          </cell>
          <cell r="AG73">
            <v>2.8177519373308898E-5</v>
          </cell>
          <cell r="AR73">
            <v>0</v>
          </cell>
          <cell r="BC73">
            <v>2.2066527748765782E-3</v>
          </cell>
          <cell r="BF73">
            <v>2.2066527748765782E-3</v>
          </cell>
        </row>
        <row r="74">
          <cell r="O74">
            <v>1.2477004313447799</v>
          </cell>
          <cell r="P74">
            <v>1.24431086257741</v>
          </cell>
          <cell r="Q74">
            <v>1.24625434482127</v>
          </cell>
          <cell r="U74">
            <v>3.1711926560552299E-3</v>
          </cell>
          <cell r="V74">
            <v>4.7545753560951397E-4</v>
          </cell>
          <cell r="W74">
            <v>2.0678879902338802E-3</v>
          </cell>
          <cell r="Y74">
            <v>1.2471244094690801</v>
          </cell>
          <cell r="Z74">
            <v>1.2462594288175599</v>
          </cell>
          <cell r="AA74">
            <v>1.24640418371692</v>
          </cell>
          <cell r="AF74">
            <v>4.7917360044808199E-4</v>
          </cell>
          <cell r="AG74">
            <v>6.0950856221063095E-4</v>
          </cell>
          <cell r="AR74">
            <v>0</v>
          </cell>
          <cell r="BC74">
            <v>2.2066527748765782E-3</v>
          </cell>
          <cell r="BF74">
            <v>2.2066527748765782E-3</v>
          </cell>
        </row>
        <row r="75">
          <cell r="O75">
            <v>1.2477004313447799</v>
          </cell>
          <cell r="P75">
            <v>1.24496674735991</v>
          </cell>
          <cell r="Q75">
            <v>1.2465236112670599</v>
          </cell>
          <cell r="U75">
            <v>-2.3240911512785898E-3</v>
          </cell>
          <cell r="V75">
            <v>-5.0444406665133704E-3</v>
          </cell>
          <cell r="W75">
            <v>-3.4837646941939101E-3</v>
          </cell>
          <cell r="Y75">
            <v>1.2471244094690801</v>
          </cell>
          <cell r="Z75">
            <v>1.24640858052701</v>
          </cell>
          <cell r="AA75">
            <v>1.2464405653924</v>
          </cell>
          <cell r="AF75">
            <v>-9.943214611947001E-4</v>
          </cell>
          <cell r="AG75">
            <v>-8.7817670841281695E-4</v>
          </cell>
          <cell r="AR75">
            <v>0</v>
          </cell>
          <cell r="BC75">
            <v>2.2066527748765782E-3</v>
          </cell>
          <cell r="BF75">
            <v>2.2066527748765782E-3</v>
          </cell>
        </row>
        <row r="76">
          <cell r="O76">
            <v>1.2477004313447799</v>
          </cell>
          <cell r="P76">
            <v>1.24552471716265</v>
          </cell>
          <cell r="Q76">
            <v>1.24658468262918</v>
          </cell>
          <cell r="U76">
            <v>-1.9382906633723699E-3</v>
          </cell>
          <cell r="V76">
            <v>-4.1316721979756301E-3</v>
          </cell>
          <cell r="W76">
            <v>-2.8819269566208198E-3</v>
          </cell>
          <cell r="Y76">
            <v>1.2471244094690801</v>
          </cell>
          <cell r="Z76">
            <v>1.2464601951529599</v>
          </cell>
          <cell r="AA76">
            <v>1.24650220334773</v>
          </cell>
          <cell r="AF76">
            <v>-4.8383776187377602E-4</v>
          </cell>
          <cell r="AG76">
            <v>-4.5817646950133101E-4</v>
          </cell>
          <cell r="AR76">
            <v>0</v>
          </cell>
          <cell r="BC76">
            <v>2.2066527748765782E-3</v>
          </cell>
          <cell r="BF76">
            <v>2.2066527748765782E-3</v>
          </cell>
        </row>
        <row r="77">
          <cell r="O77">
            <v>1.2477004313447799</v>
          </cell>
          <cell r="P77">
            <v>1.2460808334115401</v>
          </cell>
          <cell r="Q77">
            <v>1.2465661310262901</v>
          </cell>
          <cell r="U77">
            <v>-2.0349412695359198E-3</v>
          </cell>
          <cell r="V77">
            <v>-3.78024272032782E-3</v>
          </cell>
          <cell r="W77">
            <v>-2.9295854172932401E-3</v>
          </cell>
          <cell r="Y77">
            <v>1.2471244094690801</v>
          </cell>
          <cell r="Z77">
            <v>1.24651102706776</v>
          </cell>
          <cell r="AA77">
            <v>1.2464856918407199</v>
          </cell>
          <cell r="AF77">
            <v>-5.4152163335628397E-4</v>
          </cell>
          <cell r="AG77">
            <v>-5.0782020665272702E-4</v>
          </cell>
          <cell r="AR77">
            <v>0</v>
          </cell>
          <cell r="BC77">
            <v>2.2066527748765782E-3</v>
          </cell>
          <cell r="BF77">
            <v>2.2066527748765782E-3</v>
          </cell>
        </row>
        <row r="78">
          <cell r="O78">
            <v>1.2477004313447799</v>
          </cell>
          <cell r="P78">
            <v>1.2465885000025401</v>
          </cell>
          <cell r="Q78">
            <v>1.2465784209374799</v>
          </cell>
          <cell r="U78">
            <v>-1.64734392873914E-3</v>
          </cell>
          <cell r="V78">
            <v>-2.94625348736388E-3</v>
          </cell>
          <cell r="W78">
            <v>-2.5568701307952398E-3</v>
          </cell>
          <cell r="Y78">
            <v>1.2471244094690801</v>
          </cell>
          <cell r="Z78">
            <v>1.24651350018681</v>
          </cell>
          <cell r="AA78">
            <v>1.2464988184469801</v>
          </cell>
          <cell r="AF78">
            <v>-1.12907252733859E-4</v>
          </cell>
          <cell r="AG78">
            <v>-1.33232371371506E-4</v>
          </cell>
          <cell r="AR78">
            <v>0</v>
          </cell>
          <cell r="BC78">
            <v>2.2066527748765782E-3</v>
          </cell>
          <cell r="BF78">
            <v>2.2066527748765782E-3</v>
          </cell>
        </row>
        <row r="79">
          <cell r="O79">
            <v>1.2477004313447799</v>
          </cell>
          <cell r="P79">
            <v>1.2470729961265701</v>
          </cell>
          <cell r="Q79">
            <v>1.2465418808603399</v>
          </cell>
          <cell r="U79">
            <v>-1.45367713317076E-3</v>
          </cell>
          <cell r="V79">
            <v>-2.34525902004043E-3</v>
          </cell>
          <cell r="W79">
            <v>-2.3533443712280499E-3</v>
          </cell>
          <cell r="Y79">
            <v>1.2471244094690801</v>
          </cell>
          <cell r="Z79">
            <v>1.24649305755081</v>
          </cell>
          <cell r="AA79">
            <v>1.2464651840854899</v>
          </cell>
          <cell r="AF79">
            <v>7.8103165309952095E-5</v>
          </cell>
          <cell r="AG79">
            <v>6.6324852203947097E-5</v>
          </cell>
          <cell r="AR79">
            <v>0</v>
          </cell>
          <cell r="BC79">
            <v>2.2066527748765782E-3</v>
          </cell>
          <cell r="BF79">
            <v>2.2066527748765782E-3</v>
          </cell>
        </row>
        <row r="80">
          <cell r="O80">
            <v>1.2477004313447799</v>
          </cell>
          <cell r="P80">
            <v>1.2476282012686699</v>
          </cell>
          <cell r="Q80">
            <v>1.2464925941729099</v>
          </cell>
          <cell r="U80">
            <v>-1.7441154662117401E-3</v>
          </cell>
          <cell r="V80">
            <v>-2.2471152372814298E-3</v>
          </cell>
          <cell r="W80">
            <v>-2.6730954310668301E-3</v>
          </cell>
          <cell r="Y80">
            <v>1.2471244094690801</v>
          </cell>
          <cell r="Z80">
            <v>1.24654207340741</v>
          </cell>
          <cell r="AA80">
            <v>1.2464187319851501</v>
          </cell>
          <cell r="AF80">
            <v>-2.16991805477105E-4</v>
          </cell>
          <cell r="AG80">
            <v>-2.3935356417660001E-4</v>
          </cell>
          <cell r="AR80">
            <v>0</v>
          </cell>
          <cell r="BC80">
            <v>2.2066527748765782E-3</v>
          </cell>
          <cell r="BF80">
            <v>2.2066527748765782E-3</v>
          </cell>
        </row>
        <row r="81">
          <cell r="O81">
            <v>1.2477004313447799</v>
          </cell>
          <cell r="P81">
            <v>1.24822932326017</v>
          </cell>
          <cell r="Q81">
            <v>1.2465294305547601</v>
          </cell>
          <cell r="U81">
            <v>-1.7441154662117401E-3</v>
          </cell>
          <cell r="V81">
            <v>-1.8020077014776401E-3</v>
          </cell>
          <cell r="W81">
            <v>-2.7126349464104802E-3</v>
          </cell>
          <cell r="Y81">
            <v>1.2471244094690801</v>
          </cell>
          <cell r="Z81">
            <v>1.2466372841256901</v>
          </cell>
          <cell r="AA81">
            <v>1.24645643885987</v>
          </cell>
          <cell r="AF81">
            <v>-1.77669570510561E-4</v>
          </cell>
          <cell r="AG81">
            <v>-2.76621324657921E-4</v>
          </cell>
          <cell r="AR81">
            <v>0</v>
          </cell>
          <cell r="BC81">
            <v>2.2066527748765782E-3</v>
          </cell>
          <cell r="BF81">
            <v>2.2066527748765782E-3</v>
          </cell>
        </row>
        <row r="82">
          <cell r="O82">
            <v>1.2477004313447799</v>
          </cell>
          <cell r="P82">
            <v>1.2488191162308</v>
          </cell>
          <cell r="Q82">
            <v>1.2465537970264899</v>
          </cell>
          <cell r="U82">
            <v>-1.84134916748918E-3</v>
          </cell>
          <cell r="V82">
            <v>-1.4175456350989601E-3</v>
          </cell>
          <cell r="W82">
            <v>-2.7803170580999901E-3</v>
          </cell>
          <cell r="Y82">
            <v>1.2471244094690801</v>
          </cell>
          <cell r="Z82">
            <v>1.24671969547803</v>
          </cell>
          <cell r="AA82">
            <v>1.2464801222994599</v>
          </cell>
          <cell r="AF82">
            <v>-1.8655988830886599E-4</v>
          </cell>
          <cell r="AG82">
            <v>-3.3163687796741698E-4</v>
          </cell>
          <cell r="AR82">
            <v>0</v>
          </cell>
          <cell r="BC82">
            <v>2.2066527748765782E-3</v>
          </cell>
          <cell r="BF82">
            <v>2.2066527748765782E-3</v>
          </cell>
        </row>
        <row r="83">
          <cell r="O83">
            <v>1.2477004313447799</v>
          </cell>
          <cell r="P83">
            <v>1.24944784251806</v>
          </cell>
          <cell r="Q83">
            <v>1.24689466671562</v>
          </cell>
          <cell r="U83">
            <v>-2.4265437613861999E-3</v>
          </cell>
          <cell r="V83">
            <v>-1.53034812616673E-3</v>
          </cell>
          <cell r="W83">
            <v>-3.34596439303169E-3</v>
          </cell>
          <cell r="Y83">
            <v>1.2471244094690801</v>
          </cell>
          <cell r="Z83">
            <v>1.2468399972759301</v>
          </cell>
          <cell r="AA83">
            <v>1.24656575840872</v>
          </cell>
          <cell r="AF83">
            <v>-7.0119150952997105E-4</v>
          </cell>
          <cell r="AG83">
            <v>-8.9337280009053996E-4</v>
          </cell>
          <cell r="AR83">
            <v>0</v>
          </cell>
          <cell r="BC83">
            <v>2.2066527748765782E-3</v>
          </cell>
          <cell r="BF83">
            <v>2.2066527748765782E-3</v>
          </cell>
        </row>
        <row r="84">
          <cell r="O84">
            <v>1.2477004313447799</v>
          </cell>
          <cell r="P84">
            <v>1.24956164485497</v>
          </cell>
          <cell r="Q84">
            <v>1.2469362537161901</v>
          </cell>
          <cell r="U84">
            <v>2.25661734403737E-3</v>
          </cell>
          <cell r="V84">
            <v>3.6561429363173399E-3</v>
          </cell>
          <cell r="W84">
            <v>1.6106089735277E-3</v>
          </cell>
          <cell r="Y84">
            <v>1.2471244094690801</v>
          </cell>
          <cell r="Z84">
            <v>1.2469518687707899</v>
          </cell>
          <cell r="AA84">
            <v>1.2466056487941799</v>
          </cell>
          <cell r="AF84">
            <v>2.1502368116213502E-5</v>
          </cell>
          <cell r="AG84">
            <v>-1.9846894436594499E-4</v>
          </cell>
          <cell r="AR84">
            <v>0</v>
          </cell>
          <cell r="BC84">
            <v>2.2066527748765782E-3</v>
          </cell>
          <cell r="BF84">
            <v>2.2066527748765782E-3</v>
          </cell>
        </row>
        <row r="85">
          <cell r="O85">
            <v>1.2477004313447799</v>
          </cell>
          <cell r="P85">
            <v>1.2490858427693801</v>
          </cell>
          <cell r="Q85">
            <v>1.24702629506464</v>
          </cell>
          <cell r="U85">
            <v>1.48774428217705E-3</v>
          </cell>
          <cell r="V85">
            <v>2.9783478295885698E-3</v>
          </cell>
          <cell r="W85">
            <v>8.7508781233976499E-4</v>
          </cell>
          <cell r="Y85">
            <v>1.2471244094690801</v>
          </cell>
          <cell r="Z85">
            <v>1.2469783954803</v>
          </cell>
          <cell r="AA85">
            <v>1.24669348800366</v>
          </cell>
          <cell r="AF85">
            <v>-6.5147762357794397E-4</v>
          </cell>
          <cell r="AG85">
            <v>-9.2916921593314797E-4</v>
          </cell>
          <cell r="AR85">
            <v>0</v>
          </cell>
          <cell r="BC85">
            <v>2.2066527748765782E-3</v>
          </cell>
          <cell r="BF85">
            <v>2.2066527748765782E-3</v>
          </cell>
        </row>
        <row r="86">
          <cell r="O86">
            <v>1.2477004313447799</v>
          </cell>
          <cell r="P86">
            <v>1.24852574592707</v>
          </cell>
          <cell r="Q86">
            <v>1.24702523154486</v>
          </cell>
          <cell r="U86">
            <v>2.5521165278492401E-3</v>
          </cell>
          <cell r="V86">
            <v>3.66187236168968E-3</v>
          </cell>
          <cell r="W86">
            <v>2.0116675164069801E-3</v>
          </cell>
          <cell r="Y86">
            <v>1.2471244094690801</v>
          </cell>
          <cell r="Z86">
            <v>1.2469223694365199</v>
          </cell>
          <cell r="AA86">
            <v>1.24669128229474</v>
          </cell>
          <cell r="AF86">
            <v>4.2260658017978899E-4</v>
          </cell>
          <cell r="AG86">
            <v>1.94102196928737E-4</v>
          </cell>
          <cell r="AR86">
            <v>0</v>
          </cell>
          <cell r="BC86">
            <v>2.2066527748765782E-3</v>
          </cell>
          <cell r="BF86">
            <v>2.2066527748765782E-3</v>
          </cell>
        </row>
        <row r="87">
          <cell r="O87">
            <v>1.2477004313447799</v>
          </cell>
          <cell r="P87">
            <v>1.2479804587744101</v>
          </cell>
          <cell r="Q87">
            <v>1.2470306460929801</v>
          </cell>
          <cell r="U87">
            <v>2.33605040812056E-3</v>
          </cell>
          <cell r="V87">
            <v>2.9973002739145898E-3</v>
          </cell>
          <cell r="W87">
            <v>1.79474855160178E-3</v>
          </cell>
          <cell r="Y87">
            <v>1.2471244094690801</v>
          </cell>
          <cell r="Z87">
            <v>1.2468795754806301</v>
          </cell>
          <cell r="AA87">
            <v>1.2466953012741899</v>
          </cell>
          <cell r="AF87">
            <v>1.72395990989619E-4</v>
          </cell>
          <cell r="AG87">
            <v>-1.2947189403906401E-5</v>
          </cell>
          <cell r="AR87">
            <v>0</v>
          </cell>
          <cell r="BC87">
            <v>2.2066527748765782E-3</v>
          </cell>
          <cell r="BF87">
            <v>2.2066527748765782E-3</v>
          </cell>
        </row>
        <row r="88">
          <cell r="O88">
            <v>1.2477004313447799</v>
          </cell>
          <cell r="P88">
            <v>1.24754219490566</v>
          </cell>
          <cell r="Q88">
            <v>1.2470653474541</v>
          </cell>
          <cell r="U88">
            <v>1.86561049643605E-3</v>
          </cell>
          <cell r="V88">
            <v>2.0900201410420801E-3</v>
          </cell>
          <cell r="W88">
            <v>1.32865060207299E-3</v>
          </cell>
          <cell r="Y88">
            <v>1.2471244094690801</v>
          </cell>
          <cell r="Z88">
            <v>1.24694371124568</v>
          </cell>
          <cell r="AA88">
            <v>1.2467286057162501</v>
          </cell>
          <cell r="AF88">
            <v>-3.3161883392434499E-4</v>
          </cell>
          <cell r="AG88">
            <v>-4.7941805061660402E-4</v>
          </cell>
          <cell r="AR88">
            <v>0</v>
          </cell>
          <cell r="BC88">
            <v>2.2066527748765782E-3</v>
          </cell>
          <cell r="BF88">
            <v>2.2066527748765782E-3</v>
          </cell>
        </row>
        <row r="89">
          <cell r="O89">
            <v>1.2477004313447799</v>
          </cell>
          <cell r="P89">
            <v>1.2471299267683</v>
          </cell>
          <cell r="Q89">
            <v>1.2471014614474401</v>
          </cell>
          <cell r="U89">
            <v>1.8512019137741499E-3</v>
          </cell>
          <cell r="V89">
            <v>1.72437141025817E-3</v>
          </cell>
          <cell r="W89">
            <v>1.34206882416449E-3</v>
          </cell>
          <cell r="Y89">
            <v>1.2471244094690801</v>
          </cell>
          <cell r="Z89">
            <v>1.2470324451349299</v>
          </cell>
          <cell r="AA89">
            <v>1.2467627513428701</v>
          </cell>
          <cell r="AF89">
            <v>-2.8848382657159E-4</v>
          </cell>
          <cell r="AG89">
            <v>-4.61004914048727E-4</v>
          </cell>
          <cell r="AR89">
            <v>0</v>
          </cell>
          <cell r="BC89">
            <v>2.2066527748765782E-3</v>
          </cell>
          <cell r="BF89">
            <v>2.2066527748765782E-3</v>
          </cell>
        </row>
        <row r="90">
          <cell r="O90">
            <v>1.2477004313447799</v>
          </cell>
          <cell r="P90">
            <v>1.24669239638425</v>
          </cell>
          <cell r="Q90">
            <v>1.2471602988264601</v>
          </cell>
          <cell r="U90">
            <v>1.76260934299821E-3</v>
          </cell>
          <cell r="V90">
            <v>1.3052599408056101E-3</v>
          </cell>
          <cell r="W90">
            <v>1.2824350168615399E-3</v>
          </cell>
          <cell r="Y90">
            <v>1.2471244094690801</v>
          </cell>
          <cell r="Z90">
            <v>1.2470977724111201</v>
          </cell>
          <cell r="AA90">
            <v>1.24681992290926</v>
          </cell>
          <cell r="AF90">
            <v>-3.0819893621977302E-4</v>
          </cell>
          <cell r="AG90">
            <v>-5.2449079009066701E-4</v>
          </cell>
          <cell r="AR90">
            <v>0</v>
          </cell>
          <cell r="BC90">
            <v>2.2066527748765782E-3</v>
          </cell>
          <cell r="BF90">
            <v>2.2066527748765782E-3</v>
          </cell>
        </row>
        <row r="91">
          <cell r="O91">
            <v>1.2477004313447799</v>
          </cell>
          <cell r="P91">
            <v>1.2462899158596801</v>
          </cell>
          <cell r="Q91">
            <v>1.2472596195599299</v>
          </cell>
          <cell r="U91">
            <v>1.48123768669001E-3</v>
          </cell>
          <cell r="V91">
            <v>6.7299689622032596E-4</v>
          </cell>
          <cell r="W91">
            <v>1.04824155168956E-3</v>
          </cell>
          <cell r="Y91">
            <v>1.2471244094690801</v>
          </cell>
          <cell r="Z91">
            <v>1.2471982953054901</v>
          </cell>
          <cell r="AA91">
            <v>1.2469177897155901</v>
          </cell>
          <cell r="AF91">
            <v>-5.3792233661701197E-4</v>
          </cell>
          <cell r="AG91">
            <v>-7.6074404683323005E-4</v>
          </cell>
          <cell r="AR91">
            <v>0</v>
          </cell>
          <cell r="BC91">
            <v>2.2066527748765782E-3</v>
          </cell>
          <cell r="BF91">
            <v>2.2066527748765782E-3</v>
          </cell>
        </row>
        <row r="92">
          <cell r="O92">
            <v>1.2477004313447799</v>
          </cell>
          <cell r="P92">
            <v>1.24597284268895</v>
          </cell>
          <cell r="Q92">
            <v>1.2473959794598799</v>
          </cell>
          <cell r="U92">
            <v>6.9845878174907801E-4</v>
          </cell>
          <cell r="V92">
            <v>-4.3267280989662599E-4</v>
          </cell>
          <cell r="W92">
            <v>3.4509697999587398E-4</v>
          </cell>
          <cell r="Y92">
            <v>1.2471244094690801</v>
          </cell>
          <cell r="Z92">
            <v>1.24738436061623</v>
          </cell>
          <cell r="AA92">
            <v>1.24705202804713</v>
          </cell>
          <cell r="AF92">
            <v>-1.2277884785090001E-3</v>
          </cell>
          <cell r="AG92">
            <v>-1.45272234808136E-3</v>
          </cell>
          <cell r="AR92">
            <v>0</v>
          </cell>
          <cell r="BC92">
            <v>2.2066527748765782E-3</v>
          </cell>
          <cell r="BF92">
            <v>2.2066527748765782E-3</v>
          </cell>
        </row>
        <row r="93">
          <cell r="O93">
            <v>1.2477004313447799</v>
          </cell>
          <cell r="P93">
            <v>1.2454850378108999</v>
          </cell>
          <cell r="Q93">
            <v>1.2474664401644799</v>
          </cell>
          <cell r="U93">
            <v>1.48123768669001E-3</v>
          </cell>
          <cell r="V93">
            <v>9.5660072966818096E-5</v>
          </cell>
          <cell r="W93">
            <v>1.23719750844188E-3</v>
          </cell>
          <cell r="Y93">
            <v>1.2471244094690801</v>
          </cell>
          <cell r="Z93">
            <v>1.2474018209482001</v>
          </cell>
          <cell r="AA93">
            <v>1.2471209091120601</v>
          </cell>
          <cell r="AF93">
            <v>-3.0814461835996701E-4</v>
          </cell>
          <cell r="AG93">
            <v>-5.7460366504609797E-4</v>
          </cell>
          <cell r="AR93">
            <v>7.8277890494083302E-4</v>
          </cell>
          <cell r="BC93">
            <v>2.2066527748765782E-3</v>
          </cell>
          <cell r="BF93">
            <v>2.9894316798174114E-3</v>
          </cell>
        </row>
        <row r="94">
          <cell r="O94">
            <v>1.2477004313447799</v>
          </cell>
          <cell r="P94">
            <v>1.2455050763384401</v>
          </cell>
          <cell r="Q94">
            <v>1.2475333605967001</v>
          </cell>
          <cell r="U94">
            <v>2.09566379185027E-3</v>
          </cell>
          <cell r="V94">
            <v>3.1850429500562897E-4</v>
          </cell>
          <cell r="W94">
            <v>1.9081082550571999E-3</v>
          </cell>
          <cell r="Y94">
            <v>1.2471244094690801</v>
          </cell>
          <cell r="Z94">
            <v>1.24742325024673</v>
          </cell>
          <cell r="AA94">
            <v>1.24718755950876</v>
          </cell>
          <cell r="AF94">
            <v>3.0014112962088702E-4</v>
          </cell>
          <cell r="AG94">
            <v>7.4918217086754297E-5</v>
          </cell>
          <cell r="AR94">
            <v>1.3972050101013031E-3</v>
          </cell>
          <cell r="BC94">
            <v>2.2066527748765782E-3</v>
          </cell>
          <cell r="BF94">
            <v>3.6038577849778815E-3</v>
          </cell>
        </row>
        <row r="95">
          <cell r="O95">
            <v>1.2477004313447799</v>
          </cell>
          <cell r="P95">
            <v>1.24595755814576</v>
          </cell>
          <cell r="Q95">
            <v>1.24752170045757</v>
          </cell>
          <cell r="U95">
            <v>-2.1376015767067299E-3</v>
          </cell>
          <cell r="V95">
            <v>-3.8986722682020801E-3</v>
          </cell>
          <cell r="W95">
            <v>-2.2715134761612898E-3</v>
          </cell>
          <cell r="Y95">
            <v>1.2471244094690801</v>
          </cell>
          <cell r="Z95">
            <v>1.24734835686737</v>
          </cell>
          <cell r="AA95">
            <v>1.2471633761738401</v>
          </cell>
          <cell r="AF95">
            <v>3.2687861978234899E-4</v>
          </cell>
          <cell r="AG95">
            <v>1.3791869244941801E-4</v>
          </cell>
          <cell r="AR95">
            <v>1.3972050101013031E-3</v>
          </cell>
          <cell r="BC95">
            <v>2.2066527748765782E-3</v>
          </cell>
          <cell r="BF95">
            <v>3.6038577849778815E-3</v>
          </cell>
        </row>
        <row r="96">
          <cell r="O96">
            <v>1.2477004313447799</v>
          </cell>
          <cell r="P96">
            <v>1.2466918258344299</v>
          </cell>
          <cell r="Q96">
            <v>1.2476087858807501</v>
          </cell>
          <cell r="U96">
            <v>-3.3305527189569002E-3</v>
          </cell>
          <cell r="V96">
            <v>-4.72839756388925E-3</v>
          </cell>
          <cell r="W96">
            <v>-3.4738112170632201E-3</v>
          </cell>
          <cell r="Y96">
            <v>1.2471244094690801</v>
          </cell>
          <cell r="Z96">
            <v>1.2475492713427001</v>
          </cell>
          <cell r="AA96">
            <v>1.2472358203896099</v>
          </cell>
          <cell r="AF96">
            <v>-8.91345042528004E-4</v>
          </cell>
          <cell r="AG96">
            <v>-1.0396551838876701E-3</v>
          </cell>
          <cell r="AR96">
            <v>1.3972050101013031E-3</v>
          </cell>
          <cell r="BC96">
            <v>2.2066527748765782E-3</v>
          </cell>
          <cell r="BF96">
            <v>3.6038577849778815E-3</v>
          </cell>
        </row>
        <row r="97">
          <cell r="O97">
            <v>1.2477004313447799</v>
          </cell>
          <cell r="P97">
            <v>1.2472375421736801</v>
          </cell>
          <cell r="Q97">
            <v>1.2476090004740501</v>
          </cell>
          <cell r="U97">
            <v>-2.0383740917792898E-3</v>
          </cell>
          <cell r="V97">
            <v>-2.8470725331924802E-3</v>
          </cell>
          <cell r="W97">
            <v>-2.1118282861098099E-3</v>
          </cell>
          <cell r="Y97">
            <v>1.2471244094690801</v>
          </cell>
          <cell r="Z97">
            <v>1.2475687186953599</v>
          </cell>
          <cell r="AA97">
            <v>1.2472241470879999</v>
          </cell>
          <cell r="AF97">
            <v>5.1905147827984897E-4</v>
          </cell>
          <cell r="AG97">
            <v>2.6776654333637699E-4</v>
          </cell>
          <cell r="AR97">
            <v>2.6893836372790525E-3</v>
          </cell>
          <cell r="BC97">
            <v>2.2066527748765782E-3</v>
          </cell>
          <cell r="BF97">
            <v>4.8960364121556311E-3</v>
          </cell>
        </row>
        <row r="98">
          <cell r="O98">
            <v>1.2477004313447799</v>
          </cell>
          <cell r="P98">
            <v>1.2477984795418999</v>
          </cell>
          <cell r="Q98">
            <v>1.2476703372237801</v>
          </cell>
          <cell r="U98">
            <v>-2.6284409043062498E-3</v>
          </cell>
          <cell r="V98">
            <v>-2.99950357706897E-3</v>
          </cell>
          <cell r="W98">
            <v>-2.7017230949752799E-3</v>
          </cell>
          <cell r="Y98">
            <v>1.2471244094690801</v>
          </cell>
          <cell r="Z98">
            <v>1.2476023517221499</v>
          </cell>
          <cell r="AA98">
            <v>1.24727303148391</v>
          </cell>
          <cell r="AF98">
            <v>-4.86890158896453E-5</v>
          </cell>
          <cell r="AG98">
            <v>-3.2492165570474299E-4</v>
          </cell>
          <cell r="AR98">
            <v>2.6893836372790525E-3</v>
          </cell>
          <cell r="BC98">
            <v>2.2066527748765782E-3</v>
          </cell>
          <cell r="BF98">
            <v>4.8960364121556311E-3</v>
          </cell>
        </row>
        <row r="99">
          <cell r="O99">
            <v>1.2477004313447799</v>
          </cell>
          <cell r="P99">
            <v>1.2482591972916599</v>
          </cell>
          <cell r="Q99">
            <v>1.24769456202998</v>
          </cell>
          <cell r="U99">
            <v>-1.84134916748918E-3</v>
          </cell>
          <cell r="V99">
            <v>-1.76276913145552E-3</v>
          </cell>
          <cell r="W99">
            <v>-1.86546912704423E-3</v>
          </cell>
          <cell r="Y99">
            <v>1.2471244094690801</v>
          </cell>
          <cell r="Z99">
            <v>1.2475389831418</v>
          </cell>
          <cell r="AA99">
            <v>1.24728571413836</v>
          </cell>
          <cell r="AF99">
            <v>7.4775427947026398E-4</v>
          </cell>
          <cell r="AG99">
            <v>4.83756933260208E-4</v>
          </cell>
          <cell r="AR99">
            <v>2.6893836372790525E-3</v>
          </cell>
          <cell r="BC99">
            <v>2.2066527748765782E-3</v>
          </cell>
          <cell r="BF99">
            <v>4.8960364121556311E-3</v>
          </cell>
        </row>
        <row r="100">
          <cell r="O100">
            <v>1.2477004313447799</v>
          </cell>
          <cell r="P100">
            <v>1.24877006583005</v>
          </cell>
          <cell r="Q100">
            <v>1.24773123110715</v>
          </cell>
          <cell r="U100">
            <v>-2.3307056734621599E-3</v>
          </cell>
          <cell r="V100">
            <v>-1.8829693000043299E-3</v>
          </cell>
          <cell r="W100">
            <v>-2.3354097903005399E-3</v>
          </cell>
          <cell r="Y100">
            <v>1.2471244094690801</v>
          </cell>
          <cell r="Z100">
            <v>1.24752546137856</v>
          </cell>
          <cell r="AA100">
            <v>1.2473116168948399</v>
          </cell>
          <cell r="AF100">
            <v>2.0631730788908399E-4</v>
          </cell>
          <cell r="AG100">
            <v>3.2817963525983301E-6</v>
          </cell>
          <cell r="AR100">
            <v>2.6893836372790525E-3</v>
          </cell>
          <cell r="BC100">
            <v>2.2066527748765782E-3</v>
          </cell>
          <cell r="BF100">
            <v>4.8960364121556311E-3</v>
          </cell>
        </row>
        <row r="101">
          <cell r="O101">
            <v>1.2477004313447799</v>
          </cell>
          <cell r="P101">
            <v>1.2492580137593801</v>
          </cell>
          <cell r="Q101">
            <v>1.2477739648095301</v>
          </cell>
          <cell r="U101">
            <v>-2.4276875014963102E-3</v>
          </cell>
          <cell r="V101">
            <v>-1.57077006391833E-3</v>
          </cell>
          <cell r="W101">
            <v>-2.4030025839917898E-3</v>
          </cell>
          <cell r="Y101">
            <v>1.2471244094690801</v>
          </cell>
          <cell r="Z101">
            <v>1.24748913038019</v>
          </cell>
          <cell r="AA101">
            <v>1.24734371284284</v>
          </cell>
          <cell r="AF101">
            <v>9.6176401972340907E-5</v>
          </cell>
          <cell r="AG101">
            <v>-7.5253216505232097E-5</v>
          </cell>
          <cell r="AR101">
            <v>2.6893836372790525E-3</v>
          </cell>
          <cell r="BC101">
            <v>2.2066527748765782E-3</v>
          </cell>
          <cell r="BF101">
            <v>4.8960364121556311E-3</v>
          </cell>
        </row>
        <row r="102">
          <cell r="O102">
            <v>1.2477004313447799</v>
          </cell>
          <cell r="P102">
            <v>1.24969703814962</v>
          </cell>
          <cell r="Q102">
            <v>1.2478349404192901</v>
          </cell>
          <cell r="U102">
            <v>-2.81648332569528E-3</v>
          </cell>
          <cell r="V102">
            <v>-1.5688993943935401E-3</v>
          </cell>
          <cell r="W102">
            <v>-2.7575498700915901E-3</v>
          </cell>
          <cell r="Y102">
            <v>1.2471244094690801</v>
          </cell>
          <cell r="Z102">
            <v>1.2474050111667201</v>
          </cell>
          <cell r="AA102">
            <v>1.2473946858914799</v>
          </cell>
          <cell r="AF102">
            <v>-3.2076010490582102E-4</v>
          </cell>
          <cell r="AG102">
            <v>-4.3733507938607103E-4</v>
          </cell>
          <cell r="AR102">
            <v>2.6893836372790525E-3</v>
          </cell>
          <cell r="BC102">
            <v>2.2066527748765782E-3</v>
          </cell>
          <cell r="BF102">
            <v>4.8960364121556311E-3</v>
          </cell>
        </row>
        <row r="103">
          <cell r="O103">
            <v>1.2477004313447799</v>
          </cell>
          <cell r="P103">
            <v>1.2500873295501</v>
          </cell>
          <cell r="Q103">
            <v>1.2477861836805</v>
          </cell>
          <cell r="U103">
            <v>-1.6465882359164099E-3</v>
          </cell>
          <cell r="V103">
            <v>-4.7637924954671603E-5</v>
          </cell>
          <cell r="W103">
            <v>-1.53878846184374E-3</v>
          </cell>
          <cell r="Y103">
            <v>1.2471244094690801</v>
          </cell>
          <cell r="Z103">
            <v>1.24727407840622</v>
          </cell>
          <cell r="AA103">
            <v>1.2473379496772099</v>
          </cell>
          <cell r="AF103">
            <v>7.5829637397211195E-4</v>
          </cell>
          <cell r="AG103">
            <v>7.50018935703733E-4</v>
          </cell>
          <cell r="AR103">
            <v>2.6893836372790525E-3</v>
          </cell>
          <cell r="BC103">
            <v>2.2066527748765782E-3</v>
          </cell>
          <cell r="BF103">
            <v>4.8960364121556311E-3</v>
          </cell>
        </row>
        <row r="104">
          <cell r="O104">
            <v>1.2477004313447799</v>
          </cell>
          <cell r="P104">
            <v>1.2500662935637099</v>
          </cell>
          <cell r="Q104">
            <v>1.24778568495108</v>
          </cell>
          <cell r="U104">
            <v>2.2646298144939699E-3</v>
          </cell>
          <cell r="V104">
            <v>4.1758401817180097E-3</v>
          </cell>
          <cell r="W104">
            <v>2.3333557577516701E-3</v>
          </cell>
          <cell r="Y104">
            <v>1.2471244094690801</v>
          </cell>
          <cell r="Z104">
            <v>1.2472333310852199</v>
          </cell>
          <cell r="AA104">
            <v>1.2473282906659799</v>
          </cell>
          <cell r="AF104">
            <v>5.2453798902016302E-4</v>
          </cell>
          <cell r="AG104">
            <v>5.7574536739076398E-4</v>
          </cell>
          <cell r="AR104">
            <v>2.6893836372790525E-3</v>
          </cell>
          <cell r="BC104">
            <v>2.2066527748765782E-3</v>
          </cell>
          <cell r="BF104">
            <v>4.8960364121556311E-3</v>
          </cell>
        </row>
        <row r="105">
          <cell r="O105">
            <v>1.2477004313447799</v>
          </cell>
          <cell r="P105">
            <v>1.2495419270919801</v>
          </cell>
          <cell r="Q105">
            <v>1.24774974261887</v>
          </cell>
          <cell r="U105">
            <v>2.06490579957572E-3</v>
          </cell>
          <cell r="V105">
            <v>3.9592884117394499E-3</v>
          </cell>
          <cell r="W105">
            <v>2.1332320513370701E-3</v>
          </cell>
          <cell r="Y105">
            <v>1.2471244094690801</v>
          </cell>
          <cell r="Z105">
            <v>1.2472180204718499</v>
          </cell>
          <cell r="AA105">
            <v>1.2472831886696101</v>
          </cell>
          <cell r="AF105">
            <v>2.9740343677024699E-4</v>
          </cell>
          <cell r="AG105">
            <v>3.7353671804100599E-4</v>
          </cell>
          <cell r="AR105">
            <v>2.6893836372790525E-3</v>
          </cell>
          <cell r="BC105">
            <v>2.2066527748765782E-3</v>
          </cell>
          <cell r="BF105">
            <v>4.8960364121556311E-3</v>
          </cell>
        </row>
        <row r="106">
          <cell r="O106">
            <v>1.2477004313447799</v>
          </cell>
          <cell r="P106">
            <v>1.24889131734565</v>
          </cell>
          <cell r="Q106">
            <v>1.2477915715900401</v>
          </cell>
          <cell r="U106">
            <v>1.8801319662383601E-3</v>
          </cell>
          <cell r="V106">
            <v>3.3549556450507101E-3</v>
          </cell>
          <cell r="W106">
            <v>1.91965291087971E-3</v>
          </cell>
          <cell r="Y106">
            <v>1.2471244094690801</v>
          </cell>
          <cell r="Z106">
            <v>1.24708128586721</v>
          </cell>
          <cell r="AA106">
            <v>1.24731527860495</v>
          </cell>
          <cell r="AF106">
            <v>9.9984489247633898E-5</v>
          </cell>
          <cell r="AG106">
            <v>1.52233971057427E-4</v>
          </cell>
          <cell r="AR106">
            <v>2.6893836372790525E-3</v>
          </cell>
          <cell r="BC106">
            <v>2.2066527748765782E-3</v>
          </cell>
          <cell r="BF106">
            <v>4.8960364121556311E-3</v>
          </cell>
        </row>
        <row r="107">
          <cell r="O107">
            <v>1.2477004313447799</v>
          </cell>
          <cell r="P107">
            <v>1.2484032721696301</v>
          </cell>
          <cell r="Q107">
            <v>1.2478204071716601</v>
          </cell>
          <cell r="U107">
            <v>1.8728570376905799E-3</v>
          </cell>
          <cell r="V107">
            <v>2.8268665122563202E-3</v>
          </cell>
          <cell r="W107">
            <v>1.9459009466162901E-3</v>
          </cell>
          <cell r="Y107">
            <v>1.2471244094690801</v>
          </cell>
          <cell r="Z107">
            <v>1.2471009853698201</v>
          </cell>
          <cell r="AA107">
            <v>1.24733485203259</v>
          </cell>
          <cell r="AF107">
            <v>-1.4117851644072999E-5</v>
          </cell>
          <cell r="AG107">
            <v>1.7349685386252E-4</v>
          </cell>
          <cell r="AR107">
            <v>2.6893836372790525E-3</v>
          </cell>
          <cell r="BC107">
            <v>2.2066527748765782E-3</v>
          </cell>
          <cell r="BF107">
            <v>4.8960364121556311E-3</v>
          </cell>
        </row>
        <row r="108">
          <cell r="O108">
            <v>1.2477004313447799</v>
          </cell>
          <cell r="P108">
            <v>1.2477896359816101</v>
          </cell>
          <cell r="Q108">
            <v>1.2477940577617599</v>
          </cell>
          <cell r="U108">
            <v>2.2888563301086502E-3</v>
          </cell>
          <cell r="V108">
            <v>2.85200668514535E-3</v>
          </cell>
          <cell r="W108">
            <v>2.38500926548922E-3</v>
          </cell>
          <cell r="Y108">
            <v>1.2471244094690801</v>
          </cell>
          <cell r="Z108">
            <v>1.2469980862168799</v>
          </cell>
          <cell r="AA108">
            <v>1.2473002189695099</v>
          </cell>
          <cell r="AF108">
            <v>4.0142242144936501E-4</v>
          </cell>
          <cell r="AG108">
            <v>5.8893308814949598E-4</v>
          </cell>
          <cell r="AR108">
            <v>2.6893836372790525E-3</v>
          </cell>
          <cell r="BC108">
            <v>2.2066527748765782E-3</v>
          </cell>
          <cell r="BF108">
            <v>4.8960364121556311E-3</v>
          </cell>
        </row>
        <row r="109">
          <cell r="O109">
            <v>1.2477004313447799</v>
          </cell>
          <cell r="P109">
            <v>1.24729847684605</v>
          </cell>
          <cell r="Q109">
            <v>1.2477788370688601</v>
          </cell>
          <cell r="U109">
            <v>2.09566379185027E-3</v>
          </cell>
          <cell r="V109">
            <v>2.1671564722134501E-3</v>
          </cell>
          <cell r="W109">
            <v>2.1707001563271802E-3</v>
          </cell>
          <cell r="Y109">
            <v>1.2471244094690801</v>
          </cell>
          <cell r="Z109">
            <v>1.2470149313873899</v>
          </cell>
          <cell r="AA109">
            <v>1.2472769572645901</v>
          </cell>
          <cell r="AF109">
            <v>1.28183298864137E-4</v>
          </cell>
          <cell r="AG109">
            <v>3.7044201626239E-4</v>
          </cell>
          <cell r="AR109">
            <v>2.6893836372790525E-3</v>
          </cell>
          <cell r="BC109">
            <v>2.2066527748765782E-3</v>
          </cell>
          <cell r="BF109">
            <v>4.8960364121556311E-3</v>
          </cell>
        </row>
        <row r="110">
          <cell r="O110">
            <v>1.2477004313447799</v>
          </cell>
          <cell r="P110">
            <v>1.24678408310233</v>
          </cell>
          <cell r="Q110">
            <v>1.24777707446619</v>
          </cell>
          <cell r="U110">
            <v>1.79091320716605E-3</v>
          </cell>
          <cell r="V110">
            <v>1.4687050483650501E-3</v>
          </cell>
          <cell r="W110">
            <v>1.85375141631528E-3</v>
          </cell>
          <cell r="Y110">
            <v>1.2471244094690801</v>
          </cell>
          <cell r="Z110">
            <v>1.2470074266796201</v>
          </cell>
          <cell r="AA110">
            <v>1.2472664440290899</v>
          </cell>
          <cell r="AF110">
            <v>-1.5366906443293601E-4</v>
          </cell>
          <cell r="AG110">
            <v>5.6431348720152502E-5</v>
          </cell>
          <cell r="AR110">
            <v>2.6893836372790525E-3</v>
          </cell>
          <cell r="BC110">
            <v>2.2066527748765782E-3</v>
          </cell>
          <cell r="BF110">
            <v>4.8960364121556311E-3</v>
          </cell>
        </row>
        <row r="111">
          <cell r="O111">
            <v>1.2477004313447799</v>
          </cell>
          <cell r="P111">
            <v>1.24624462604162</v>
          </cell>
          <cell r="Q111">
            <v>1.2477513199004999</v>
          </cell>
          <cell r="U111">
            <v>1.89476765505781E-3</v>
          </cell>
          <cell r="V111">
            <v>1.1600681382919499E-3</v>
          </cell>
          <cell r="W111">
            <v>1.9561932709963501E-3</v>
          </cell>
          <cell r="Y111">
            <v>1.2471244094690801</v>
          </cell>
          <cell r="Z111">
            <v>1.24697509063428</v>
          </cell>
          <cell r="AA111">
            <v>1.2472321105072299</v>
          </cell>
          <cell r="AF111">
            <v>-5.9899617379225898E-5</v>
          </cell>
          <cell r="AG111">
            <v>1.47789965906389E-4</v>
          </cell>
          <cell r="AR111">
            <v>2.6893836372790525E-3</v>
          </cell>
          <cell r="BC111">
            <v>2.2066527748765782E-3</v>
          </cell>
          <cell r="BF111">
            <v>4.8960364121556311E-3</v>
          </cell>
        </row>
        <row r="112">
          <cell r="O112">
            <v>1.2477004313447799</v>
          </cell>
          <cell r="P112">
            <v>1.2456721146662399</v>
          </cell>
          <cell r="Q112">
            <v>1.2476845764079301</v>
          </cell>
          <cell r="U112">
            <v>1.76964387446749E-3</v>
          </cell>
          <cell r="V112">
            <v>6.0217190934975205E-4</v>
          </cell>
          <cell r="W112">
            <v>1.81042891925518E-3</v>
          </cell>
          <cell r="Y112">
            <v>1.2471244094690801</v>
          </cell>
          <cell r="Z112">
            <v>1.24690841704883</v>
          </cell>
          <cell r="AA112">
            <v>1.24715671410777</v>
          </cell>
          <cell r="AF112">
            <v>-1.9847089043964399E-4</v>
          </cell>
          <cell r="AG112">
            <v>7.6225517961329602E-6</v>
          </cell>
          <cell r="AR112">
            <v>2.6893836372790525E-3</v>
          </cell>
          <cell r="BC112">
            <v>2.2066527748765782E-3</v>
          </cell>
          <cell r="BF112">
            <v>4.8960364121556311E-3</v>
          </cell>
        </row>
        <row r="113">
          <cell r="O113">
            <v>1.2477004313447799</v>
          </cell>
          <cell r="P113">
            <v>1.2452818232657601</v>
          </cell>
          <cell r="Q113">
            <v>1.2476845764079301</v>
          </cell>
          <cell r="U113">
            <v>1.48123768669001E-3</v>
          </cell>
          <cell r="V113">
            <v>-1.45729073019307E-4</v>
          </cell>
          <cell r="W113">
            <v>1.4685302793704101E-3</v>
          </cell>
          <cell r="Y113">
            <v>1.2471244094690801</v>
          </cell>
          <cell r="Z113">
            <v>1.2470202480344901</v>
          </cell>
          <cell r="AA113">
            <v>1.2471471632203499</v>
          </cell>
          <cell r="AF113">
            <v>-5.3667151342204605E-4</v>
          </cell>
          <cell r="AG113">
            <v>-3.37561188142308E-4</v>
          </cell>
          <cell r="AR113">
            <v>2.6893836372790525E-3</v>
          </cell>
          <cell r="BC113">
            <v>2.2066527748765782E-3</v>
          </cell>
          <cell r="BF113">
            <v>4.8960364121556311E-3</v>
          </cell>
        </row>
        <row r="114">
          <cell r="O114">
            <v>1.2477004313447799</v>
          </cell>
          <cell r="P114">
            <v>1.24535542189648</v>
          </cell>
          <cell r="Q114">
            <v>1.2477108577300899</v>
          </cell>
          <cell r="U114">
            <v>1.6735929399553601E-3</v>
          </cell>
          <cell r="V114">
            <v>-2.6674083769030098E-4</v>
          </cell>
          <cell r="W114">
            <v>1.6608855326356599E-3</v>
          </cell>
          <cell r="Y114">
            <v>1.2471244094690801</v>
          </cell>
          <cell r="Z114">
            <v>1.2470923354327601</v>
          </cell>
          <cell r="AA114">
            <v>1.2471628332589899</v>
          </cell>
          <cell r="AF114">
            <v>-2.5708649244362202E-4</v>
          </cell>
          <cell r="AG114">
            <v>-1.5531691162332499E-4</v>
          </cell>
          <cell r="AR114">
            <v>2.6893836372790525E-3</v>
          </cell>
          <cell r="BC114">
            <v>2.2066527748765782E-3</v>
          </cell>
          <cell r="BF114">
            <v>4.8960364121556311E-3</v>
          </cell>
        </row>
        <row r="115">
          <cell r="O115">
            <v>1.2477004313447799</v>
          </cell>
          <cell r="P115">
            <v>1.2453682987764301</v>
          </cell>
          <cell r="Q115">
            <v>1.2474551129342</v>
          </cell>
          <cell r="U115">
            <v>1.9614929172667101E-3</v>
          </cell>
          <cell r="V115">
            <v>8.02593806439109E-5</v>
          </cell>
          <cell r="W115">
            <v>1.9698493636414799E-3</v>
          </cell>
          <cell r="Y115">
            <v>1.2471244094690801</v>
          </cell>
          <cell r="Z115">
            <v>1.2471047286343</v>
          </cell>
          <cell r="AA115">
            <v>1.2471613745530801</v>
          </cell>
          <cell r="AF115">
            <v>8.4960155956045305E-5</v>
          </cell>
          <cell r="AG115">
            <v>1.4148831485255199E-4</v>
          </cell>
          <cell r="AR115">
            <v>2.6893836372790525E-3</v>
          </cell>
          <cell r="BC115">
            <v>2.2066527748765782E-3</v>
          </cell>
          <cell r="BF115">
            <v>4.8960364121556311E-3</v>
          </cell>
        </row>
        <row r="116">
          <cell r="O116">
            <v>1.2477004313447799</v>
          </cell>
          <cell r="P116">
            <v>1.24552699593016</v>
          </cell>
          <cell r="Q116">
            <v>1.24720915663791</v>
          </cell>
          <cell r="U116">
            <v>6.0663247115091805E-4</v>
          </cell>
          <cell r="V116">
            <v>-1.2642611952997701E-3</v>
          </cell>
          <cell r="W116">
            <v>4.0999670474833698E-4</v>
          </cell>
          <cell r="Y116">
            <v>1.2471244094690801</v>
          </cell>
          <cell r="Z116">
            <v>1.24726060021192</v>
          </cell>
          <cell r="AA116">
            <v>1.2471709430395601</v>
          </cell>
          <cell r="AF116">
            <v>-1.2399538357451901E-3</v>
          </cell>
          <cell r="AG116">
            <v>-1.1945329251907501E-3</v>
          </cell>
          <cell r="AR116">
            <v>2.6893836372790525E-3</v>
          </cell>
          <cell r="BC116">
            <v>2.2066527748765782E-3</v>
          </cell>
          <cell r="BF116">
            <v>4.8960364121556311E-3</v>
          </cell>
        </row>
        <row r="117">
          <cell r="O117">
            <v>1.2477004313447799</v>
          </cell>
          <cell r="P117">
            <v>1.2455030811296099</v>
          </cell>
          <cell r="Q117">
            <v>1.24695317664962</v>
          </cell>
          <cell r="U117">
            <v>2.06490579957572E-3</v>
          </cell>
          <cell r="V117">
            <v>3.21433911375355E-4</v>
          </cell>
          <cell r="W117">
            <v>1.6710841431956001E-3</v>
          </cell>
          <cell r="Y117">
            <v>1.2471244094690801</v>
          </cell>
          <cell r="Z117">
            <v>1.2472369564777901</v>
          </cell>
          <cell r="AA117">
            <v>1.2471689709238001</v>
          </cell>
          <cell r="AF117">
            <v>3.19266890800218E-4</v>
          </cell>
          <cell r="AG117">
            <v>2.47381035575271E-4</v>
          </cell>
          <cell r="AR117">
            <v>4.1476569657041126E-3</v>
          </cell>
          <cell r="BC117">
            <v>2.2066527748765782E-3</v>
          </cell>
          <cell r="BF117">
            <v>6.3543097405806912E-3</v>
          </cell>
        </row>
        <row r="118">
          <cell r="O118">
            <v>1.2477004313447799</v>
          </cell>
          <cell r="P118">
            <v>1.24609189369094</v>
          </cell>
          <cell r="Q118">
            <v>1.24694076483628</v>
          </cell>
          <cell r="U118">
            <v>-2.4299884467247198E-3</v>
          </cell>
          <cell r="V118">
            <v>-4.1926610670021403E-3</v>
          </cell>
          <cell r="W118">
            <v>-3.0290733979335999E-3</v>
          </cell>
          <cell r="Y118">
            <v>1.2471244094690801</v>
          </cell>
          <cell r="Z118">
            <v>1.24729305270539</v>
          </cell>
          <cell r="AA118">
            <v>1.24714556946114</v>
          </cell>
          <cell r="AF118">
            <v>6.0553810617067599E-5</v>
          </cell>
          <cell r="AG118">
            <v>6.0433933213852698E-6</v>
          </cell>
          <cell r="AR118">
            <v>4.1476569657041126E-3</v>
          </cell>
          <cell r="BC118">
            <v>2.2066527748765782E-3</v>
          </cell>
          <cell r="BF118">
            <v>6.3543097405806912E-3</v>
          </cell>
        </row>
        <row r="119">
          <cell r="O119">
            <v>1.2477004313447799</v>
          </cell>
          <cell r="P119">
            <v>1.2466934010364099</v>
          </cell>
          <cell r="Q119">
            <v>1.24699593894123</v>
          </cell>
          <cell r="U119">
            <v>-2.72374542063568E-3</v>
          </cell>
          <cell r="V119">
            <v>-4.0137789657453803E-3</v>
          </cell>
          <cell r="W119">
            <v>-3.3327841338192301E-3</v>
          </cell>
          <cell r="Y119">
            <v>1.2471244094690801</v>
          </cell>
          <cell r="Z119">
            <v>1.24736146312679</v>
          </cell>
          <cell r="AA119">
            <v>1.24718819725709</v>
          </cell>
          <cell r="AF119">
            <v>-1.8382413475225801E-4</v>
          </cell>
          <cell r="AG119">
            <v>-3.0207378268288002E-4</v>
          </cell>
          <cell r="AR119">
            <v>4.1476569657041126E-3</v>
          </cell>
          <cell r="BC119">
            <v>2.2066527748765782E-3</v>
          </cell>
          <cell r="BF119">
            <v>6.3543097405806912E-3</v>
          </cell>
        </row>
        <row r="120">
          <cell r="O120">
            <v>1.2477004313447799</v>
          </cell>
          <cell r="P120">
            <v>1.24717100049148</v>
          </cell>
          <cell r="Q120">
            <v>1.24697754179691</v>
          </cell>
          <cell r="U120">
            <v>-2.03645208489657E-3</v>
          </cell>
          <cell r="V120">
            <v>-2.8438870216035898E-3</v>
          </cell>
          <cell r="W120">
            <v>-2.6012442020227101E-3</v>
          </cell>
          <cell r="Y120">
            <v>1.2471244094690801</v>
          </cell>
          <cell r="Z120">
            <v>1.2473108835315501</v>
          </cell>
          <cell r="AA120">
            <v>1.2471591551055801</v>
          </cell>
          <cell r="AF120">
            <v>5.2980663771429203E-4</v>
          </cell>
          <cell r="AG120">
            <v>3.9089108696180601E-4</v>
          </cell>
          <cell r="AR120">
            <v>4.1476569657041126E-3</v>
          </cell>
          <cell r="BC120">
            <v>2.2066527748765782E-3</v>
          </cell>
          <cell r="BF120">
            <v>6.3543097405806912E-3</v>
          </cell>
        </row>
        <row r="121">
          <cell r="O121">
            <v>1.2477004313447799</v>
          </cell>
          <cell r="P121">
            <v>1.2478078754765201</v>
          </cell>
          <cell r="Q121">
            <v>1.2470262507590699</v>
          </cell>
          <cell r="U121">
            <v>-3.20627089640721E-3</v>
          </cell>
          <cell r="V121">
            <v>-3.6306862426188202E-3</v>
          </cell>
          <cell r="W121">
            <v>-3.78581629336255E-3</v>
          </cell>
          <cell r="Y121">
            <v>1.2471244094690801</v>
          </cell>
          <cell r="Z121">
            <v>1.24741581907198</v>
          </cell>
          <cell r="AA121">
            <v>1.2471954548531301</v>
          </cell>
          <cell r="AF121">
            <v>-6.5767584861707801E-4</v>
          </cell>
          <cell r="AG121">
            <v>-7.7932768151305499E-4</v>
          </cell>
          <cell r="AR121">
            <v>4.1476569657041126E-3</v>
          </cell>
          <cell r="BC121">
            <v>2.2066527748765782E-3</v>
          </cell>
          <cell r="BF121">
            <v>6.3543097405806912E-3</v>
          </cell>
        </row>
        <row r="122">
          <cell r="O122">
            <v>1.2477004313447799</v>
          </cell>
          <cell r="P122">
            <v>1.2483314638699801</v>
          </cell>
          <cell r="Q122">
            <v>1.24700178926811</v>
          </cell>
          <cell r="U122">
            <v>-2.4254044746595598E-3</v>
          </cell>
          <cell r="V122">
            <v>-2.3392944573037999E-3</v>
          </cell>
          <cell r="W122">
            <v>-2.96588901508031E-3</v>
          </cell>
          <cell r="Y122">
            <v>1.2471244094690801</v>
          </cell>
          <cell r="Z122">
            <v>1.2474118639265599</v>
          </cell>
          <cell r="AA122">
            <v>1.2471601404877</v>
          </cell>
          <cell r="AF122">
            <v>1.8661683644379299E-4</v>
          </cell>
          <cell r="AG122">
            <v>9.9446456863366494E-6</v>
          </cell>
          <cell r="AR122">
            <v>4.1476569657041126E-3</v>
          </cell>
          <cell r="BC122">
            <v>2.2066527748765782E-3</v>
          </cell>
          <cell r="BF122">
            <v>6.3543097405806912E-3</v>
          </cell>
        </row>
        <row r="123">
          <cell r="O123">
            <v>1.2477004313447799</v>
          </cell>
          <cell r="P123">
            <v>1.2489529106683901</v>
          </cell>
          <cell r="Q123">
            <v>1.2471173669670701</v>
          </cell>
          <cell r="U123">
            <v>-3.49448320468857E-3</v>
          </cell>
          <cell r="V123">
            <v>-2.98885461889358E-3</v>
          </cell>
          <cell r="W123">
            <v>-4.0545837963897801E-3</v>
          </cell>
          <cell r="Y123">
            <v>1.2471244094690801</v>
          </cell>
          <cell r="Z123">
            <v>1.2475033611478601</v>
          </cell>
          <cell r="AA123">
            <v>1.2472618045911801</v>
          </cell>
          <cell r="AF123">
            <v>-8.6612703188929498E-4</v>
          </cell>
          <cell r="AG123">
            <v>-1.06794396824383E-3</v>
          </cell>
          <cell r="AR123">
            <v>4.1476569657041126E-3</v>
          </cell>
          <cell r="BC123">
            <v>2.2066527748765782E-3</v>
          </cell>
          <cell r="BF123">
            <v>6.3543097405806912E-3</v>
          </cell>
        </row>
        <row r="124">
          <cell r="O124">
            <v>1.2477004313447799</v>
          </cell>
          <cell r="P124">
            <v>1.2495014241112501</v>
          </cell>
          <cell r="Q124">
            <v>1.2474284230038699</v>
          </cell>
          <cell r="U124">
            <v>-2.7202983915150698E-3</v>
          </cell>
          <cell r="V124">
            <v>-1.71697173210585E-3</v>
          </cell>
          <cell r="W124">
            <v>-3.18771880892839E-3</v>
          </cell>
          <cell r="Y124">
            <v>1.2471244094690801</v>
          </cell>
          <cell r="Z124">
            <v>1.24752245527772</v>
          </cell>
          <cell r="AA124">
            <v>1.24730739535524</v>
          </cell>
          <cell r="AF124">
            <v>-2.2814476103440999E-5</v>
          </cell>
          <cell r="AG124">
            <v>-2.1646521386012801E-4</v>
          </cell>
          <cell r="AR124">
            <v>4.9218417788775629E-3</v>
          </cell>
          <cell r="BC124">
            <v>2.2066527748765782E-3</v>
          </cell>
          <cell r="BF124">
            <v>7.1284945537541406E-3</v>
          </cell>
        </row>
        <row r="125">
          <cell r="O125">
            <v>1.2477004313447799</v>
          </cell>
          <cell r="P125">
            <v>1.2495235539276099</v>
          </cell>
          <cell r="Q125">
            <v>1.2474459263520199</v>
          </cell>
          <cell r="U125">
            <v>1.7837956441657101E-3</v>
          </cell>
          <cell r="V125">
            <v>3.22620453457004E-3</v>
          </cell>
          <cell r="W125">
            <v>1.56576414529339E-3</v>
          </cell>
          <cell r="Y125">
            <v>1.2471244094690801</v>
          </cell>
          <cell r="Z125">
            <v>1.2475262865877199</v>
          </cell>
          <cell r="AA125">
            <v>1.2473155076110101</v>
          </cell>
          <cell r="AF125">
            <v>3.99074765194165E-4</v>
          </cell>
          <cell r="AG125">
            <v>2.26670284014523E-4</v>
          </cell>
          <cell r="AR125">
            <v>4.9218417788775629E-3</v>
          </cell>
          <cell r="BC125">
            <v>2.2066527748765782E-3</v>
          </cell>
          <cell r="BF125">
            <v>7.1284945537541406E-3</v>
          </cell>
        </row>
        <row r="126">
          <cell r="O126">
            <v>1.2477004313447799</v>
          </cell>
          <cell r="P126">
            <v>1.2494873805244899</v>
          </cell>
          <cell r="Q126">
            <v>1.2475071882273301</v>
          </cell>
          <cell r="U126">
            <v>8.9677106463527997E-4</v>
          </cell>
          <cell r="V126">
            <v>2.3568907154786702E-3</v>
          </cell>
          <cell r="W126">
            <v>6.9277101240527398E-4</v>
          </cell>
          <cell r="Y126">
            <v>1.2471244094690801</v>
          </cell>
          <cell r="Z126">
            <v>1.24747138373472</v>
          </cell>
          <cell r="AA126">
            <v>1.24736599197332</v>
          </cell>
          <cell r="AF126">
            <v>-4.6218796853466601E-4</v>
          </cell>
          <cell r="AG126">
            <v>-6.3115978686987596E-4</v>
          </cell>
          <cell r="AR126">
            <v>4.9218417788775629E-3</v>
          </cell>
          <cell r="BC126">
            <v>2.2066527748765782E-3</v>
          </cell>
          <cell r="BF126">
            <v>7.1284945537541406E-3</v>
          </cell>
        </row>
        <row r="127">
          <cell r="O127">
            <v>1.2477004313447799</v>
          </cell>
          <cell r="P127">
            <v>1.2496329130841899</v>
          </cell>
          <cell r="Q127">
            <v>1.2475679971069</v>
          </cell>
          <cell r="U127">
            <v>8.9677106463527997E-4</v>
          </cell>
          <cell r="V127">
            <v>2.3279405395339398E-3</v>
          </cell>
          <cell r="W127">
            <v>7.4187965092823002E-4</v>
          </cell>
          <cell r="Y127">
            <v>1.2471244094690801</v>
          </cell>
          <cell r="Z127">
            <v>1.2475954394083599</v>
          </cell>
          <cell r="AA127">
            <v>1.24741619794307</v>
          </cell>
          <cell r="AF127">
            <v>-5.0619831264515805E-4</v>
          </cell>
          <cell r="AG127">
            <v>-5.9068619348864101E-4</v>
          </cell>
          <cell r="AR127">
            <v>4.9218417788775629E-3</v>
          </cell>
          <cell r="BC127">
            <v>2.2066527748765782E-3</v>
          </cell>
          <cell r="BF127">
            <v>7.1284945537541406E-3</v>
          </cell>
        </row>
        <row r="128">
          <cell r="O128">
            <v>1.2477004313447799</v>
          </cell>
          <cell r="P128">
            <v>1.24916638420558</v>
          </cell>
          <cell r="Q128">
            <v>1.2476291389482601</v>
          </cell>
          <cell r="U128">
            <v>1.30702021785192E-3</v>
          </cell>
          <cell r="V128">
            <v>2.8546567233571E-3</v>
          </cell>
          <cell r="W128">
            <v>1.20087192815411E-3</v>
          </cell>
          <cell r="Y128">
            <v>1.2471244094690801</v>
          </cell>
          <cell r="Z128">
            <v>1.24764049366119</v>
          </cell>
          <cell r="AA128">
            <v>1.24746677318329</v>
          </cell>
          <cell r="AF128">
            <v>-1.32549573434404E-5</v>
          </cell>
          <cell r="AG128">
            <v>-1.5693482072280199E-4</v>
          </cell>
          <cell r="AR128">
            <v>4.9218417788775629E-3</v>
          </cell>
          <cell r="BC128">
            <v>2.2066527748765782E-3</v>
          </cell>
          <cell r="BF128">
            <v>7.1284945537541406E-3</v>
          </cell>
        </row>
        <row r="129">
          <cell r="O129">
            <v>1.2477004313447799</v>
          </cell>
          <cell r="P129">
            <v>1.2487607604051201</v>
          </cell>
          <cell r="Q129">
            <v>1.2477270807207601</v>
          </cell>
          <cell r="U129">
            <v>5.2364996400889696E-4</v>
          </cell>
          <cell r="V129">
            <v>1.69788402415449E-3</v>
          </cell>
          <cell r="W129">
            <v>4.6650929818859501E-4</v>
          </cell>
          <cell r="Y129">
            <v>1.2471244094690801</v>
          </cell>
          <cell r="Z129">
            <v>1.24774520214961</v>
          </cell>
          <cell r="AA129">
            <v>1.2475533326382</v>
          </cell>
          <cell r="AF129">
            <v>-7.4428644770535004E-4</v>
          </cell>
          <cell r="AG129">
            <v>-8.8353535334510802E-4</v>
          </cell>
          <cell r="AR129">
            <v>4.9218417788775629E-3</v>
          </cell>
          <cell r="BC129">
            <v>2.2066527748765782E-3</v>
          </cell>
          <cell r="BF129">
            <v>7.1284945537541406E-3</v>
          </cell>
        </row>
        <row r="130">
          <cell r="O130">
            <v>1.2477004313447799</v>
          </cell>
          <cell r="P130">
            <v>1.24846596701471</v>
          </cell>
          <cell r="Q130">
            <v>1.2478184837530999</v>
          </cell>
          <cell r="U130">
            <v>3.2421915594386198E-4</v>
          </cell>
          <cell r="V130">
            <v>1.1736848937642401E-3</v>
          </cell>
          <cell r="W130">
            <v>3.4557772144194401E-4</v>
          </cell>
          <cell r="Y130">
            <v>1.2471244094690801</v>
          </cell>
          <cell r="Z130">
            <v>1.2479562343675501</v>
          </cell>
          <cell r="AA130">
            <v>1.24763355894955</v>
          </cell>
          <cell r="AF130">
            <v>-8.5389451930701905E-4</v>
          </cell>
          <cell r="AG130">
            <v>-1.0076793343218699E-3</v>
          </cell>
          <cell r="AR130">
            <v>4.9218417788775629E-3</v>
          </cell>
          <cell r="BC130">
            <v>2.2066527748765782E-3</v>
          </cell>
          <cell r="BF130">
            <v>7.1284945537541406E-3</v>
          </cell>
        </row>
        <row r="131">
          <cell r="O131">
            <v>1.2477004313447799</v>
          </cell>
          <cell r="P131">
            <v>1.24791364988149</v>
          </cell>
          <cell r="Q131">
            <v>1.2478607626790099</v>
          </cell>
          <cell r="U131">
            <v>1.21600318198122E-3</v>
          </cell>
          <cell r="V131">
            <v>1.8293723022664099E-3</v>
          </cell>
          <cell r="W131">
            <v>1.31061469358691E-3</v>
          </cell>
          <cell r="Y131">
            <v>1.2471244094690801</v>
          </cell>
          <cell r="Z131">
            <v>1.2479157409452999</v>
          </cell>
          <cell r="AA131">
            <v>1.2476657800086399</v>
          </cell>
          <cell r="AF131">
            <v>1.84069068173858E-4</v>
          </cell>
          <cell r="AG131">
            <v>-7.4527453310045195E-5</v>
          </cell>
          <cell r="AR131">
            <v>5.8136258049148728E-3</v>
          </cell>
          <cell r="BC131">
            <v>2.2066527748765782E-3</v>
          </cell>
          <cell r="BF131">
            <v>8.0202785797914514E-3</v>
          </cell>
        </row>
        <row r="132">
          <cell r="O132">
            <v>1.2477004313447799</v>
          </cell>
          <cell r="P132">
            <v>1.2475313687987799</v>
          </cell>
          <cell r="Q132">
            <v>1.24793141633438</v>
          </cell>
          <cell r="U132">
            <v>6.3573904487262305E-4</v>
          </cell>
          <cell r="V132">
            <v>8.0661365151123599E-4</v>
          </cell>
          <cell r="W132">
            <v>7.6423225499929501E-4</v>
          </cell>
          <cell r="Y132">
            <v>1.2471244094690801</v>
          </cell>
          <cell r="Z132">
            <v>1.2480415291690401</v>
          </cell>
          <cell r="AA132">
            <v>1.2477266965478</v>
          </cell>
          <cell r="AF132">
            <v>-4.2076783577584199E-4</v>
          </cell>
          <cell r="AG132">
            <v>-6.2109063460484397E-4</v>
          </cell>
          <cell r="AR132">
            <v>5.8136258049148728E-3</v>
          </cell>
          <cell r="BC132">
            <v>2.2066527748765782E-3</v>
          </cell>
          <cell r="BF132">
            <v>8.0202785797914514E-3</v>
          </cell>
        </row>
        <row r="133">
          <cell r="O133">
            <v>1.2477004313447799</v>
          </cell>
          <cell r="P133">
            <v>1.2468807691644599</v>
          </cell>
          <cell r="Q133">
            <v>1.24791683991643</v>
          </cell>
          <cell r="U133">
            <v>1.7152639473580499E-3</v>
          </cell>
          <cell r="V133">
            <v>1.5797554577230101E-3</v>
          </cell>
          <cell r="W133">
            <v>1.90037537753079E-3</v>
          </cell>
          <cell r="Y133">
            <v>1.2471244094690801</v>
          </cell>
          <cell r="Z133">
            <v>1.2479043354335799</v>
          </cell>
          <cell r="AA133">
            <v>1.2477038482907199</v>
          </cell>
          <cell r="AF133">
            <v>7.3800206433867401E-4</v>
          </cell>
          <cell r="AG133">
            <v>4.8570890693503402E-4</v>
          </cell>
          <cell r="AR133">
            <v>5.8136258049148728E-3</v>
          </cell>
          <cell r="BC133">
            <v>2.2066527748765782E-3</v>
          </cell>
          <cell r="BF133">
            <v>8.0202785797914514E-3</v>
          </cell>
        </row>
        <row r="134">
          <cell r="O134">
            <v>1.2477004313447799</v>
          </cell>
          <cell r="P134">
            <v>1.2463408767828501</v>
          </cell>
          <cell r="Q134">
            <v>1.24792115044705</v>
          </cell>
          <cell r="U134">
            <v>1.60438399813244E-3</v>
          </cell>
          <cell r="V134">
            <v>9.4722983562090196E-4</v>
          </cell>
          <cell r="W134">
            <v>1.77781489611196E-3</v>
          </cell>
          <cell r="Y134">
            <v>1.2471244094690801</v>
          </cell>
          <cell r="Z134">
            <v>1.2478762108492001</v>
          </cell>
          <cell r="AA134">
            <v>1.24769933306346</v>
          </cell>
          <cell r="AF134">
            <v>5.2402252145719596E-4</v>
          </cell>
          <cell r="AG134">
            <v>3.6335055011189199E-4</v>
          </cell>
          <cell r="AR134">
            <v>5.8136258049148728E-3</v>
          </cell>
          <cell r="BC134">
            <v>2.2066527748765782E-3</v>
          </cell>
          <cell r="BF134">
            <v>8.0202785797914514E-3</v>
          </cell>
        </row>
        <row r="135">
          <cell r="O135">
            <v>1.2477004313447799</v>
          </cell>
          <cell r="P135">
            <v>1.2464979239306899</v>
          </cell>
          <cell r="Q135">
            <v>1.2480107389291499</v>
          </cell>
          <cell r="U135">
            <v>5.2364996400889696E-4</v>
          </cell>
          <cell r="V135">
            <v>-5.6659236050271295E-4</v>
          </cell>
          <cell r="W135">
            <v>7.00535037013096E-4</v>
          </cell>
          <cell r="Y135">
            <v>1.2471244094690801</v>
          </cell>
          <cell r="Z135">
            <v>1.2480306849848599</v>
          </cell>
          <cell r="AA135">
            <v>1.2477784857862899</v>
          </cell>
          <cell r="AF135">
            <v>-5.5537391646246902E-4</v>
          </cell>
          <cell r="AG135">
            <v>-6.9712701743761003E-4</v>
          </cell>
          <cell r="AR135">
            <v>5.8136258049148728E-3</v>
          </cell>
          <cell r="BC135">
            <v>2.2066527748765782E-3</v>
          </cell>
          <cell r="BF135">
            <v>8.0202785797914514E-3</v>
          </cell>
        </row>
        <row r="136">
          <cell r="O136">
            <v>1.2477004313447799</v>
          </cell>
          <cell r="P136">
            <v>1.2464709892422601</v>
          </cell>
          <cell r="Q136">
            <v>1.2479791848833801</v>
          </cell>
          <cell r="U136">
            <v>1.1128627299422801E-3</v>
          </cell>
          <cell r="V136">
            <v>1.4861904441077799E-4</v>
          </cell>
          <cell r="W136">
            <v>1.3615354046165901E-3</v>
          </cell>
          <cell r="Y136">
            <v>1.2471244094690801</v>
          </cell>
          <cell r="Z136">
            <v>1.2480053803247999</v>
          </cell>
          <cell r="AA136">
            <v>1.2477383820297601</v>
          </cell>
          <cell r="AF136">
            <v>1.44814689476205E-4</v>
          </cell>
          <cell r="AG136">
            <v>-5.7283453588893002E-5</v>
          </cell>
          <cell r="AR136">
            <v>5.8136258049148728E-3</v>
          </cell>
          <cell r="BC136">
            <v>2.2066527748765782E-3</v>
          </cell>
          <cell r="BF136">
            <v>8.0202785797914514E-3</v>
          </cell>
        </row>
        <row r="137">
          <cell r="O137">
            <v>1.2477004313447799</v>
          </cell>
          <cell r="P137">
            <v>1.2470357791797</v>
          </cell>
          <cell r="Q137">
            <v>1.24833434613195</v>
          </cell>
          <cell r="U137">
            <v>-3.62370432791946E-3</v>
          </cell>
          <cell r="V137">
            <v>-4.6095565367506803E-3</v>
          </cell>
          <cell r="W137">
            <v>-3.4003154458356901E-3</v>
          </cell>
          <cell r="Y137">
            <v>1.2471244094690801</v>
          </cell>
          <cell r="Z137">
            <v>1.24800883376547</v>
          </cell>
          <cell r="AA137">
            <v>1.2478021365869201</v>
          </cell>
          <cell r="AF137">
            <v>-1.0589584108162E-4</v>
          </cell>
          <cell r="AG137">
            <v>-3.19858748720905E-4</v>
          </cell>
          <cell r="AR137">
            <v>5.8136258049148728E-3</v>
          </cell>
          <cell r="BC137">
            <v>2.2066527748765782E-3</v>
          </cell>
          <cell r="BF137">
            <v>8.0202785797914514E-3</v>
          </cell>
        </row>
        <row r="138">
          <cell r="O138">
            <v>1.2477004313447799</v>
          </cell>
          <cell r="P138">
            <v>1.24761499560887</v>
          </cell>
          <cell r="Q138">
            <v>1.2483906899072199</v>
          </cell>
          <cell r="U138">
            <v>-3.3305527189569002E-3</v>
          </cell>
          <cell r="V138">
            <v>-3.8633963743330601E-3</v>
          </cell>
          <cell r="W138">
            <v>-2.8226152442773701E-3</v>
          </cell>
          <cell r="Y138">
            <v>1.2471244094690801</v>
          </cell>
          <cell r="Z138">
            <v>1.24802469095622</v>
          </cell>
          <cell r="AA138">
            <v>1.2478325923087099</v>
          </cell>
          <cell r="AF138">
            <v>1.90950785274678E-4</v>
          </cell>
          <cell r="AG138">
            <v>2.5315501605109598E-5</v>
          </cell>
          <cell r="AR138">
            <v>5.8136258049148728E-3</v>
          </cell>
          <cell r="BC138">
            <v>2.2066527748765782E-3</v>
          </cell>
          <cell r="BF138">
            <v>8.0202785797914514E-3</v>
          </cell>
        </row>
        <row r="139">
          <cell r="O139">
            <v>1.2477004313447799</v>
          </cell>
          <cell r="P139">
            <v>1.2481467072372501</v>
          </cell>
          <cell r="Q139">
            <v>1.2484537338211801</v>
          </cell>
          <cell r="U139">
            <v>-3.7310508586760999E-3</v>
          </cell>
          <cell r="V139">
            <v>-3.7995277614589098E-3</v>
          </cell>
          <cell r="W139">
            <v>-3.1779792386898999E-3</v>
          </cell>
          <cell r="Y139">
            <v>1.2471244094690801</v>
          </cell>
          <cell r="Z139">
            <v>1.2479927963250399</v>
          </cell>
          <cell r="AA139">
            <v>1.24786899923733</v>
          </cell>
          <cell r="AF139">
            <v>-1.80912717280153E-4</v>
          </cell>
          <cell r="AG139">
            <v>-3.3484671757908402E-4</v>
          </cell>
          <cell r="AR139">
            <v>5.8136258049148728E-3</v>
          </cell>
          <cell r="BC139">
            <v>2.2066527748765782E-3</v>
          </cell>
          <cell r="BF139">
            <v>8.0202785797914514E-3</v>
          </cell>
        </row>
        <row r="140">
          <cell r="O140">
            <v>1.2477004313447799</v>
          </cell>
          <cell r="P140">
            <v>1.2486671103837601</v>
          </cell>
          <cell r="Q140">
            <v>1.24856653869923</v>
          </cell>
          <cell r="U140">
            <v>-3.8393518301623498E-3</v>
          </cell>
          <cell r="V140">
            <v>-3.4817370625591301E-3</v>
          </cell>
          <cell r="W140">
            <v>-3.2357813377788102E-3</v>
          </cell>
          <cell r="Y140">
            <v>1.2471244094690801</v>
          </cell>
          <cell r="Z140">
            <v>1.24794812960909</v>
          </cell>
          <cell r="AA140">
            <v>1.2479521819883199</v>
          </cell>
          <cell r="AF140">
            <v>-2.9774302371993303E-4</v>
          </cell>
          <cell r="AG140">
            <v>-3.9694490103286202E-4</v>
          </cell>
          <cell r="AR140">
            <v>5.8136258049148728E-3</v>
          </cell>
          <cell r="BC140">
            <v>2.2066527748765782E-3</v>
          </cell>
          <cell r="BF140">
            <v>8.0202785797914514E-3</v>
          </cell>
        </row>
        <row r="141">
          <cell r="O141">
            <v>1.2477004313447799</v>
          </cell>
          <cell r="P141">
            <v>1.2492109524247299</v>
          </cell>
          <cell r="Q141">
            <v>1.24856230115311</v>
          </cell>
          <cell r="U141">
            <v>-3.1385603457545698E-3</v>
          </cell>
          <cell r="V141">
            <v>-2.3640917860324002E-3</v>
          </cell>
          <cell r="W141">
            <v>-2.4446382616222198E-3</v>
          </cell>
          <cell r="Y141">
            <v>1.2471244094690801</v>
          </cell>
          <cell r="Z141">
            <v>1.2479271632837301</v>
          </cell>
          <cell r="AA141">
            <v>1.2479214521145101</v>
          </cell>
          <cell r="AF141">
            <v>3.45624962590893E-4</v>
          </cell>
          <cell r="AG141">
            <v>3.4887219102342301E-4</v>
          </cell>
          <cell r="AR141">
            <v>5.8136258049148728E-3</v>
          </cell>
          <cell r="BC141">
            <v>2.2066527748765782E-3</v>
          </cell>
          <cell r="BF141">
            <v>8.0202785797914514E-3</v>
          </cell>
        </row>
        <row r="142">
          <cell r="O142">
            <v>1.2477004313447799</v>
          </cell>
          <cell r="P142">
            <v>1.24979438273746</v>
          </cell>
          <cell r="Q142">
            <v>1.24866287576812</v>
          </cell>
          <cell r="U142">
            <v>-4.0323668749907603E-3</v>
          </cell>
          <cell r="V142">
            <v>-2.8224550823370098E-3</v>
          </cell>
          <cell r="W142">
            <v>-3.3418387255663299E-3</v>
          </cell>
          <cell r="Y142">
            <v>1.2471244094690801</v>
          </cell>
          <cell r="Z142">
            <v>1.2479442375511201</v>
          </cell>
          <cell r="AA142">
            <v>1.24799288336008</v>
          </cell>
          <cell r="AF142">
            <v>-5.4837011275247897E-4</v>
          </cell>
          <cell r="AG142">
            <v>-5.5294664771028202E-4</v>
          </cell>
          <cell r="AR142">
            <v>5.8136258049148728E-3</v>
          </cell>
          <cell r="BC142">
            <v>2.2066527748765782E-3</v>
          </cell>
          <cell r="BF142">
            <v>8.0202785797914514E-3</v>
          </cell>
        </row>
        <row r="143">
          <cell r="O143">
            <v>1.2477004313447799</v>
          </cell>
          <cell r="P143">
            <v>1.25043697687676</v>
          </cell>
          <cell r="Q143">
            <v>1.2486588730206101</v>
          </cell>
          <cell r="U143">
            <v>-3.4305429862597002E-3</v>
          </cell>
          <cell r="V143">
            <v>-1.7537011593924299E-3</v>
          </cell>
          <cell r="W143">
            <v>-2.65946574099121E-3</v>
          </cell>
          <cell r="Y143">
            <v>1.2471244094690801</v>
          </cell>
          <cell r="Z143">
            <v>1.24802119246335</v>
          </cell>
          <cell r="AA143">
            <v>1.2479627639484701</v>
          </cell>
          <cell r="AF143">
            <v>4.3173291464171098E-5</v>
          </cell>
          <cell r="AG143">
            <v>8.2153287038264398E-5</v>
          </cell>
          <cell r="AR143">
            <v>5.8136258049148728E-3</v>
          </cell>
          <cell r="BC143">
            <v>2.2066527748765782E-3</v>
          </cell>
          <cell r="BF143">
            <v>8.0202785797914514E-3</v>
          </cell>
        </row>
        <row r="144">
          <cell r="O144">
            <v>1.2477004313447799</v>
          </cell>
          <cell r="P144">
            <v>1.25102920892181</v>
          </cell>
          <cell r="Q144">
            <v>1.24868504285233</v>
          </cell>
          <cell r="U144">
            <v>-3.1385603457545698E-3</v>
          </cell>
          <cell r="V144">
            <v>-9.4769076622798704E-4</v>
          </cell>
          <cell r="W144">
            <v>-2.3706887326852802E-3</v>
          </cell>
          <cell r="Y144">
            <v>1.2471244094690801</v>
          </cell>
          <cell r="Z144">
            <v>1.2480478229981899</v>
          </cell>
          <cell r="AA144">
            <v>1.24796201692369</v>
          </cell>
          <cell r="AF144">
            <v>4.0416963589954598E-4</v>
          </cell>
          <cell r="AG144">
            <v>3.5735161469873099E-4</v>
          </cell>
          <cell r="AR144">
            <v>5.8136258049148728E-3</v>
          </cell>
          <cell r="BC144">
            <v>2.2066527748765782E-3</v>
          </cell>
          <cell r="BF144">
            <v>8.0202785797914514E-3</v>
          </cell>
        </row>
        <row r="145">
          <cell r="O145">
            <v>1.2477004313447799</v>
          </cell>
          <cell r="P145">
            <v>1.2514864177460501</v>
          </cell>
          <cell r="Q145">
            <v>1.24899217083837</v>
          </cell>
          <cell r="U145">
            <v>-3.1359766450305701E-3</v>
          </cell>
          <cell r="V145">
            <v>-4.7159912085920303E-4</v>
          </cell>
          <cell r="W145">
            <v>-2.3471468999596702E-3</v>
          </cell>
          <cell r="Y145">
            <v>1.2471244094690801</v>
          </cell>
          <cell r="Z145">
            <v>1.2479430485477701</v>
          </cell>
          <cell r="AA145">
            <v>1.2479868667663201</v>
          </cell>
          <cell r="AF145">
            <v>4.2164826517653302E-4</v>
          </cell>
          <cell r="AG145">
            <v>3.5289366881198302E-4</v>
          </cell>
          <cell r="AR145">
            <v>5.8136258049148728E-3</v>
          </cell>
          <cell r="BC145">
            <v>2.2066527748765782E-3</v>
          </cell>
          <cell r="BF145">
            <v>8.0202785797914514E-3</v>
          </cell>
        </row>
        <row r="146">
          <cell r="O146">
            <v>1.2477004313447799</v>
          </cell>
          <cell r="P146">
            <v>1.25217982463415</v>
          </cell>
          <cell r="Q146">
            <v>1.24932540693821</v>
          </cell>
          <cell r="U146">
            <v>-4.4353843445358899E-3</v>
          </cell>
          <cell r="V146">
            <v>-1.40560744027808E-3</v>
          </cell>
          <cell r="W146">
            <v>-3.4006237114390498E-3</v>
          </cell>
          <cell r="Y146">
            <v>1.2471244094690801</v>
          </cell>
          <cell r="Z146">
            <v>1.24806754115056</v>
          </cell>
          <cell r="AA146">
            <v>1.2480364607376799</v>
          </cell>
          <cell r="AF146">
            <v>-9.2256704481113202E-4</v>
          </cell>
          <cell r="AG146">
            <v>-8.8745530687242005E-4</v>
          </cell>
          <cell r="AR146">
            <v>5.8136258049148728E-3</v>
          </cell>
          <cell r="BC146">
            <v>2.2066527748765782E-3</v>
          </cell>
          <cell r="BF146">
            <v>8.0202785797914514E-3</v>
          </cell>
        </row>
        <row r="147">
          <cell r="O147">
            <v>1.2477004313447799</v>
          </cell>
          <cell r="P147">
            <v>1.25159595551397</v>
          </cell>
          <cell r="Q147">
            <v>1.2493158673468401</v>
          </cell>
          <cell r="U147">
            <v>1.0498347416658901E-3</v>
          </cell>
          <cell r="V147">
            <v>4.6335248585467901E-3</v>
          </cell>
          <cell r="W147">
            <v>2.3513637830530499E-3</v>
          </cell>
          <cell r="Y147">
            <v>1.2471244094690801</v>
          </cell>
          <cell r="Z147">
            <v>1.2479975666574401</v>
          </cell>
          <cell r="AA147">
            <v>1.2480032002114601</v>
          </cell>
          <cell r="AF147">
            <v>5.0469953515476398E-4</v>
          </cell>
          <cell r="AG147">
            <v>4.7979639581623401E-4</v>
          </cell>
          <cell r="AR147">
            <v>5.8136258049148728E-3</v>
          </cell>
          <cell r="BC147">
            <v>2.2066527748765782E-3</v>
          </cell>
          <cell r="BF147">
            <v>8.0202785797914514E-3</v>
          </cell>
        </row>
        <row r="148">
          <cell r="O148">
            <v>1.2477004313447799</v>
          </cell>
          <cell r="P148">
            <v>1.2511126366902801</v>
          </cell>
          <cell r="Q148">
            <v>1.2493638161495699</v>
          </cell>
          <cell r="U148">
            <v>5.3771618936063702E-4</v>
          </cell>
          <cell r="V148">
            <v>3.6550153974459101E-3</v>
          </cell>
          <cell r="W148">
            <v>1.83160940765617E-3</v>
          </cell>
          <cell r="Y148">
            <v>1.2471244094690801</v>
          </cell>
          <cell r="Z148">
            <v>1.24802586197004</v>
          </cell>
          <cell r="AA148">
            <v>1.2480252764631301</v>
          </cell>
          <cell r="AF148">
            <v>-4.4818568828535398E-5</v>
          </cell>
          <cell r="AG148">
            <v>-4.0304504497324998E-5</v>
          </cell>
          <cell r="AR148">
            <v>5.8136258049148728E-3</v>
          </cell>
          <cell r="BC148">
            <v>2.2066527748765782E-3</v>
          </cell>
          <cell r="BF148">
            <v>8.0202785797914514E-3</v>
          </cell>
        </row>
        <row r="149">
          <cell r="O149">
            <v>1.2477004313447799</v>
          </cell>
          <cell r="P149">
            <v>1.25056694780733</v>
          </cell>
          <cell r="Q149">
            <v>1.2493568275222899</v>
          </cell>
          <cell r="U149">
            <v>6.3573904487262305E-4</v>
          </cell>
          <cell r="V149">
            <v>3.36680165218108E-3</v>
          </cell>
          <cell r="W149">
            <v>1.9680115744989202E-3</v>
          </cell>
          <cell r="Y149">
            <v>1.2471244094690801</v>
          </cell>
          <cell r="Z149">
            <v>1.2479942196492999</v>
          </cell>
          <cell r="AA149">
            <v>1.24799350798717</v>
          </cell>
          <cell r="AF149">
            <v>7.3551067203621195E-5</v>
          </cell>
          <cell r="AG149">
            <v>7.3081920639425901E-5</v>
          </cell>
          <cell r="AR149">
            <v>5.8136258049148728E-3</v>
          </cell>
          <cell r="BC149">
            <v>2.2066527748765782E-3</v>
          </cell>
          <cell r="BF149">
            <v>8.0202785797914514E-3</v>
          </cell>
        </row>
        <row r="150">
          <cell r="O150">
            <v>1.2477004313447799</v>
          </cell>
          <cell r="P150">
            <v>1.2499942069930301</v>
          </cell>
          <cell r="Q150">
            <v>1.2493306586883901</v>
          </cell>
          <cell r="U150">
            <v>7.4391626764334895E-4</v>
          </cell>
          <cell r="V150">
            <v>3.0387208545462601E-3</v>
          </cell>
          <cell r="W150">
            <v>2.07059503287252E-3</v>
          </cell>
          <cell r="Y150">
            <v>1.2471244094690801</v>
          </cell>
          <cell r="Z150">
            <v>1.2479384075242199</v>
          </cell>
          <cell r="AA150">
            <v>1.24794326856666</v>
          </cell>
          <cell r="AF150">
            <v>1.50579424067098E-4</v>
          </cell>
          <cell r="AG150">
            <v>1.5000917917401901E-4</v>
          </cell>
          <cell r="AR150">
            <v>5.8136258049148728E-3</v>
          </cell>
          <cell r="BC150">
            <v>2.2066527748765782E-3</v>
          </cell>
          <cell r="BF150">
            <v>8.0202785797914514E-3</v>
          </cell>
        </row>
        <row r="151">
          <cell r="O151">
            <v>1.2477004313447799</v>
          </cell>
          <cell r="P151">
            <v>1.24958393450493</v>
          </cell>
          <cell r="Q151">
            <v>1.2493974434648301</v>
          </cell>
          <cell r="U151">
            <v>1.4474880414033301E-4</v>
          </cell>
          <cell r="V151">
            <v>1.9814635553151599E-3</v>
          </cell>
          <cell r="W151">
            <v>1.4504815054535399E-3</v>
          </cell>
          <cell r="Y151">
            <v>1.2471244094690801</v>
          </cell>
          <cell r="Z151">
            <v>1.24803995659663</v>
          </cell>
          <cell r="AA151">
            <v>1.2479835599401801</v>
          </cell>
          <cell r="AF151">
            <v>-4.75844002270477E-4</v>
          </cell>
          <cell r="AG151">
            <v>-4.7194875155859002E-4</v>
          </cell>
          <cell r="AR151">
            <v>5.8136258049148728E-3</v>
          </cell>
          <cell r="BC151">
            <v>2.2066527748765782E-3</v>
          </cell>
          <cell r="BF151">
            <v>8.0202785797914514E-3</v>
          </cell>
        </row>
        <row r="152">
          <cell r="O152">
            <v>1.2477004313447799</v>
          </cell>
          <cell r="P152">
            <v>1.24902325977774</v>
          </cell>
          <cell r="Q152">
            <v>1.2494088212576</v>
          </cell>
          <cell r="U152">
            <v>4.5325951128450401E-4</v>
          </cell>
          <cell r="V152">
            <v>1.9617008750693202E-3</v>
          </cell>
          <cell r="W152">
            <v>1.8124472294917999E-3</v>
          </cell>
          <cell r="Y152">
            <v>1.2471244094690801</v>
          </cell>
          <cell r="Z152">
            <v>1.2479950308154899</v>
          </cell>
          <cell r="AA152">
            <v>1.24796963418331</v>
          </cell>
          <cell r="AF152">
            <v>-9.8119048701556799E-5</v>
          </cell>
          <cell r="AG152">
            <v>-1.4330825151527701E-4</v>
          </cell>
          <cell r="AR152">
            <v>5.8136258049148728E-3</v>
          </cell>
          <cell r="BC152">
            <v>2.2066527748765782E-3</v>
          </cell>
          <cell r="BF152">
            <v>8.0202785797914514E-3</v>
          </cell>
        </row>
        <row r="153">
          <cell r="O153">
            <v>1.2477004313447799</v>
          </cell>
          <cell r="P153">
            <v>1.24853795536109</v>
          </cell>
          <cell r="Q153">
            <v>1.2494874661189299</v>
          </cell>
          <cell r="U153">
            <v>4.5325951128450401E-4</v>
          </cell>
          <cell r="V153">
            <v>1.5129110549789099E-3</v>
          </cell>
          <cell r="W153">
            <v>1.8215538120452601E-3</v>
          </cell>
          <cell r="Y153">
            <v>1.2471244094690801</v>
          </cell>
          <cell r="Z153">
            <v>1.2480222366398801</v>
          </cell>
          <cell r="AA153">
            <v>1.2480217145516099</v>
          </cell>
          <cell r="AF153">
            <v>-1.3411676618309E-4</v>
          </cell>
          <cell r="AG153">
            <v>-1.5446691980342399E-4</v>
          </cell>
          <cell r="AR153">
            <v>5.8136258049148728E-3</v>
          </cell>
          <cell r="BC153">
            <v>2.2066527748765782E-3</v>
          </cell>
          <cell r="BF153">
            <v>8.0202785797914514E-3</v>
          </cell>
        </row>
        <row r="154">
          <cell r="O154">
            <v>1.2477004313447799</v>
          </cell>
          <cell r="P154">
            <v>1.2479903183382599</v>
          </cell>
          <cell r="Q154">
            <v>1.2495097636300401</v>
          </cell>
          <cell r="U154">
            <v>1.2464564633591301E-3</v>
          </cell>
          <cell r="V154">
            <v>1.9174853620387E-3</v>
          </cell>
          <cell r="W154">
            <v>2.6776944418960601E-3</v>
          </cell>
          <cell r="Y154">
            <v>1.2471244094690801</v>
          </cell>
          <cell r="Z154">
            <v>1.24799038660829</v>
          </cell>
          <cell r="AA154">
            <v>1.2480191048032401</v>
          </cell>
          <cell r="AF154">
            <v>6.6034631717377099E-4</v>
          </cell>
          <cell r="AG154">
            <v>6.5992798458445405E-4</v>
          </cell>
          <cell r="AR154">
            <v>5.8136258049148728E-3</v>
          </cell>
          <cell r="BC154">
            <v>2.2066527748765782E-3</v>
          </cell>
          <cell r="BF154">
            <v>8.0202785797914514E-3</v>
          </cell>
        </row>
        <row r="155">
          <cell r="O155">
            <v>1.2477004313447799</v>
          </cell>
          <cell r="P155">
            <v>1.2475680975487999</v>
          </cell>
          <cell r="Q155">
            <v>1.2495272576474299</v>
          </cell>
          <cell r="U155">
            <v>2.4312228060144201E-4</v>
          </cell>
          <cell r="V155">
            <v>4.7543230925003901E-4</v>
          </cell>
          <cell r="W155">
            <v>1.6922054258670599E-3</v>
          </cell>
          <cell r="Y155">
            <v>1.2471244094690801</v>
          </cell>
          <cell r="Z155">
            <v>1.2480794651073399</v>
          </cell>
          <cell r="AA155">
            <v>1.2480112568275601</v>
          </cell>
          <cell r="AF155">
            <v>-3.3816265656407598E-4</v>
          </cell>
          <cell r="AG155">
            <v>-3.1515136990721597E-4</v>
          </cell>
          <cell r="AR155">
            <v>5.8136258049148728E-3</v>
          </cell>
          <cell r="BC155">
            <v>2.2066527748765782E-3</v>
          </cell>
          <cell r="BF155">
            <v>8.0202785797914514E-3</v>
          </cell>
        </row>
        <row r="156">
          <cell r="O156">
            <v>1.2477004313447799</v>
          </cell>
          <cell r="P156">
            <v>1.24684580791001</v>
          </cell>
          <cell r="Q156">
            <v>1.2495128162720801</v>
          </cell>
          <cell r="U156">
            <v>1.3446352080570699E-3</v>
          </cell>
          <cell r="V156">
            <v>1.23856742851784E-3</v>
          </cell>
          <cell r="W156">
            <v>2.8077189601478101E-3</v>
          </cell>
          <cell r="Y156">
            <v>1.2471244094690801</v>
          </cell>
          <cell r="Z156">
            <v>1.2478778606022201</v>
          </cell>
          <cell r="AA156">
            <v>1.2479727008763899</v>
          </cell>
          <cell r="AF156">
            <v>8.0204874010139302E-4</v>
          </cell>
          <cell r="AG156">
            <v>7.4739665618334897E-4</v>
          </cell>
          <cell r="AR156">
            <v>5.8136258049148728E-3</v>
          </cell>
          <cell r="BC156">
            <v>2.2066527748765782E-3</v>
          </cell>
          <cell r="BF156">
            <v>8.0202785797914514E-3</v>
          </cell>
        </row>
        <row r="157">
          <cell r="O157">
            <v>1.2477004313447799</v>
          </cell>
          <cell r="P157">
            <v>1.24685738257055</v>
          </cell>
          <cell r="Q157">
            <v>1.24922666904226</v>
          </cell>
          <cell r="U157">
            <v>9.56973665952846E-4</v>
          </cell>
          <cell r="V157">
            <v>2.7178013876037402E-4</v>
          </cell>
          <cell r="W157">
            <v>2.4084998800131701E-3</v>
          </cell>
          <cell r="Y157">
            <v>1.2471244094690801</v>
          </cell>
          <cell r="Z157">
            <v>1.24788937472101</v>
          </cell>
          <cell r="AA157">
            <v>1.2479434706892301</v>
          </cell>
          <cell r="AF157">
            <v>2.6041070337377397E-4</v>
          </cell>
          <cell r="AG157">
            <v>3.3640906295393999E-4</v>
          </cell>
          <cell r="AR157">
            <v>5.8136258049148728E-3</v>
          </cell>
          <cell r="BC157">
            <v>2.2066527748765782E-3</v>
          </cell>
          <cell r="BF157">
            <v>8.0202785797914514E-3</v>
          </cell>
        </row>
        <row r="158">
          <cell r="O158">
            <v>1.2477004313447799</v>
          </cell>
          <cell r="P158">
            <v>1.2467682637932</v>
          </cell>
          <cell r="Q158">
            <v>1.2489404502417401</v>
          </cell>
          <cell r="U158">
            <v>1.2526200654395601E-3</v>
          </cell>
          <cell r="V158">
            <v>5.7670964826514101E-4</v>
          </cell>
          <cell r="W158">
            <v>2.4751130147242901E-3</v>
          </cell>
          <cell r="Y158">
            <v>1.2471244094690801</v>
          </cell>
          <cell r="Z158">
            <v>1.24780331954646</v>
          </cell>
          <cell r="AA158">
            <v>1.2479145907582501</v>
          </cell>
          <cell r="AF158">
            <v>5.5823818080697797E-4</v>
          </cell>
          <cell r="AG158">
            <v>6.0158721223312203E-4</v>
          </cell>
          <cell r="AR158">
            <v>5.8136258049148728E-3</v>
          </cell>
          <cell r="BC158">
            <v>2.2066527748765782E-3</v>
          </cell>
          <cell r="BF158">
            <v>8.0202785797914514E-3</v>
          </cell>
        </row>
        <row r="159">
          <cell r="O159">
            <v>1.2477004313447799</v>
          </cell>
          <cell r="P159">
            <v>1.2467798975907001</v>
          </cell>
          <cell r="Q159">
            <v>1.2486734226990099</v>
          </cell>
          <cell r="U159">
            <v>5.4244218778708099E-4</v>
          </cell>
          <cell r="V159">
            <v>-2.0494549985622E-4</v>
          </cell>
          <cell r="W159">
            <v>1.53579209891368E-3</v>
          </cell>
          <cell r="Y159">
            <v>1.2471244094690801</v>
          </cell>
          <cell r="Z159">
            <v>1.2478148867380301</v>
          </cell>
          <cell r="AA159">
            <v>1.2479045531936599</v>
          </cell>
          <cell r="AF159">
            <v>-1.97466818328426E-4</v>
          </cell>
          <cell r="AG159">
            <v>-1.08297115772258E-4</v>
          </cell>
          <cell r="AR159">
            <v>5.8136258049148728E-3</v>
          </cell>
          <cell r="BC159">
            <v>2.2066527748765782E-3</v>
          </cell>
          <cell r="BF159">
            <v>8.0202785797914514E-3</v>
          </cell>
        </row>
        <row r="160">
          <cell r="O160">
            <v>1.2477004313447799</v>
          </cell>
          <cell r="P160">
            <v>1.2467663155350499</v>
          </cell>
          <cell r="Q160">
            <v>1.24838026126404</v>
          </cell>
          <cell r="U160">
            <v>8.5285991620230399E-4</v>
          </cell>
          <cell r="V160">
            <v>1.14803347714651E-4</v>
          </cell>
          <cell r="W160">
            <v>1.6323837058175199E-3</v>
          </cell>
          <cell r="Y160">
            <v>1.2471244094690801</v>
          </cell>
          <cell r="Z160">
            <v>1.24780202401979</v>
          </cell>
          <cell r="AA160">
            <v>1.2478702157720101</v>
          </cell>
          <cell r="AF160">
            <v>1.0996015436150001E-4</v>
          </cell>
          <cell r="AG160">
            <v>1.81816352808855E-4</v>
          </cell>
          <cell r="AR160">
            <v>5.8136258049148728E-3</v>
          </cell>
          <cell r="BC160">
            <v>2.2066527748765782E-3</v>
          </cell>
          <cell r="BF160">
            <v>8.0202785797914514E-3</v>
          </cell>
        </row>
        <row r="161">
          <cell r="O161">
            <v>1.2477004313447799</v>
          </cell>
          <cell r="P161">
            <v>1.24670261070981</v>
          </cell>
          <cell r="Q161">
            <v>1.24814327260737</v>
          </cell>
          <cell r="U161">
            <v>6.5553103109794995E-4</v>
          </cell>
          <cell r="V161">
            <v>-9.3419304334104597E-5</v>
          </cell>
          <cell r="W161">
            <v>1.2002489467289701E-3</v>
          </cell>
          <cell r="Y161">
            <v>1.2471244094690801</v>
          </cell>
          <cell r="Z161">
            <v>1.2477405900688801</v>
          </cell>
          <cell r="AA161">
            <v>1.2478902733327599</v>
          </cell>
          <cell r="AF161">
            <v>-9.2966603136567495E-5</v>
          </cell>
          <cell r="AG161">
            <v>-3.8318599971042399E-5</v>
          </cell>
          <cell r="AR161">
            <v>5.8136258049148728E-3</v>
          </cell>
          <cell r="BC161">
            <v>2.2066527748765782E-3</v>
          </cell>
          <cell r="BF161">
            <v>8.0202785797914514E-3</v>
          </cell>
        </row>
        <row r="162">
          <cell r="O162">
            <v>1.2477004313447799</v>
          </cell>
          <cell r="P162">
            <v>1.2472391079694001</v>
          </cell>
          <cell r="Q162">
            <v>1.24813118387357</v>
          </cell>
          <cell r="U162">
            <v>-3.8393518301623498E-3</v>
          </cell>
          <cell r="V162">
            <v>-4.63939951401654E-3</v>
          </cell>
          <cell r="W162">
            <v>-3.48448885013472E-3</v>
          </cell>
          <cell r="Y162">
            <v>1.2471244094690801</v>
          </cell>
          <cell r="Z162">
            <v>1.2476929905454299</v>
          </cell>
          <cell r="AA162">
            <v>1.24784401068046</v>
          </cell>
          <cell r="AF162">
            <v>4.3412374243559499E-5</v>
          </cell>
          <cell r="AG162">
            <v>1.63368627589086E-4</v>
          </cell>
          <cell r="AR162">
            <v>5.8136258049148728E-3</v>
          </cell>
          <cell r="BC162">
            <v>2.2066527748765782E-3</v>
          </cell>
          <cell r="BF162">
            <v>8.0202785797914514E-3</v>
          </cell>
        </row>
        <row r="163">
          <cell r="O163">
            <v>1.2477004313447799</v>
          </cell>
          <cell r="P163">
            <v>1.24772441238605</v>
          </cell>
          <cell r="Q163">
            <v>1.24813118387357</v>
          </cell>
          <cell r="U163">
            <v>-3.4305429862597002E-3</v>
          </cell>
          <cell r="V163">
            <v>-3.80035024881737E-3</v>
          </cell>
          <cell r="W163">
            <v>-3.0853654266531001E-3</v>
          </cell>
          <cell r="Y163">
            <v>1.2471244094690801</v>
          </cell>
          <cell r="Z163">
            <v>1.2475985897677699</v>
          </cell>
          <cell r="AA163">
            <v>1.2478104132038199</v>
          </cell>
          <cell r="AF163">
            <v>3.8043774186340601E-4</v>
          </cell>
          <cell r="AG163">
            <v>5.0146991661425503E-4</v>
          </cell>
          <cell r="AR163">
            <v>5.8136258049148728E-3</v>
          </cell>
          <cell r="BC163">
            <v>2.2066527748765782E-3</v>
          </cell>
          <cell r="BF163">
            <v>8.0202785797914514E-3</v>
          </cell>
        </row>
        <row r="164">
          <cell r="O164">
            <v>1.2477004313447799</v>
          </cell>
          <cell r="P164">
            <v>1.24834622883164</v>
          </cell>
          <cell r="Q164">
            <v>1.24816827358495</v>
          </cell>
          <cell r="U164">
            <v>-3.7310508586760999E-3</v>
          </cell>
          <cell r="V164">
            <v>-3.7118308518484101E-3</v>
          </cell>
          <cell r="W164">
            <v>-3.3858732990696199E-3</v>
          </cell>
          <cell r="Y164">
            <v>1.2471244094690801</v>
          </cell>
          <cell r="Z164">
            <v>1.24763634592739</v>
          </cell>
          <cell r="AA164">
            <v>1.2478133662678399</v>
          </cell>
          <cell r="AF164">
            <v>1.8152136799301699E-5</v>
          </cell>
          <cell r="AG164">
            <v>1.87922652422786E-4</v>
          </cell>
          <cell r="AR164">
            <v>5.8136258049148728E-3</v>
          </cell>
          <cell r="BC164">
            <v>2.2066527748765782E-3</v>
          </cell>
          <cell r="BF164">
            <v>8.0202785797914514E-3</v>
          </cell>
        </row>
        <row r="165">
          <cell r="O165">
            <v>1.2477004313447799</v>
          </cell>
          <cell r="P165">
            <v>1.2489179264521899</v>
          </cell>
          <cell r="Q165">
            <v>1.2482430120004899</v>
          </cell>
          <cell r="U165">
            <v>-4.3295315907807396E-3</v>
          </cell>
          <cell r="V165">
            <v>-3.8120753175732301E-3</v>
          </cell>
          <cell r="W165">
            <v>-3.9546382763049996E-3</v>
          </cell>
          <cell r="Y165">
            <v>1.2471244094690801</v>
          </cell>
          <cell r="Z165">
            <v>1.24762483891243</v>
          </cell>
          <cell r="AA165">
            <v>1.24785215200989</v>
          </cell>
          <cell r="AF165">
            <v>-5.2971410293483701E-4</v>
          </cell>
          <cell r="AG165">
            <v>-3.8783960241253702E-4</v>
          </cell>
          <cell r="AR165">
            <v>5.8136258049148728E-3</v>
          </cell>
          <cell r="BC165">
            <v>2.2066527748765782E-3</v>
          </cell>
          <cell r="BF165">
            <v>8.0202785797914514E-3</v>
          </cell>
        </row>
        <row r="166">
          <cell r="O166">
            <v>1.2477004313447799</v>
          </cell>
          <cell r="P166">
            <v>1.2494903659411301</v>
          </cell>
          <cell r="Q166">
            <v>1.24816808692557</v>
          </cell>
          <cell r="U166">
            <v>-3.23897343412717E-3</v>
          </cell>
          <cell r="V166">
            <v>-2.2636580038682399E-3</v>
          </cell>
          <cell r="W166">
            <v>-2.8042034350686802E-3</v>
          </cell>
          <cell r="Y166">
            <v>1.2471244094690801</v>
          </cell>
          <cell r="Z166">
            <v>1.2476132647171501</v>
          </cell>
          <cell r="AA166">
            <v>1.2477455626596801</v>
          </cell>
          <cell r="AF166">
            <v>5.3053652532430995E-4</v>
          </cell>
          <cell r="AG166">
            <v>7.1271660465212195E-4</v>
          </cell>
          <cell r="AR166">
            <v>5.8136258049148728E-3</v>
          </cell>
          <cell r="BC166">
            <v>2.2066527748765782E-3</v>
          </cell>
          <cell r="BF166">
            <v>8.0202785797914514E-3</v>
          </cell>
        </row>
        <row r="167">
          <cell r="O167">
            <v>1.2477004313447799</v>
          </cell>
          <cell r="P167">
            <v>1.25011494261361</v>
          </cell>
          <cell r="Q167">
            <v>1.24848616259208</v>
          </cell>
          <cell r="U167">
            <v>-4.0411300765547898E-3</v>
          </cell>
          <cell r="V167">
            <v>-2.6075712913564801E-3</v>
          </cell>
          <cell r="W167">
            <v>-3.66638630873673E-3</v>
          </cell>
          <cell r="Y167">
            <v>1.2471244094690801</v>
          </cell>
          <cell r="Z167">
            <v>1.2476506207915199</v>
          </cell>
          <cell r="AA167">
            <v>1.24776999775627</v>
          </cell>
          <cell r="AF167">
            <v>-2.5103842550302E-4</v>
          </cell>
          <cell r="AG167">
            <v>-1.45003220299014E-4</v>
          </cell>
          <cell r="AR167">
            <v>5.8136258049148728E-3</v>
          </cell>
          <cell r="BC167">
            <v>2.2066527748765782E-3</v>
          </cell>
          <cell r="BF167">
            <v>8.0202785797914514E-3</v>
          </cell>
        </row>
        <row r="168">
          <cell r="O168">
            <v>1.2477004313447799</v>
          </cell>
          <cell r="P168">
            <v>1.2502874158802499</v>
          </cell>
          <cell r="Q168">
            <v>1.2485278398367201</v>
          </cell>
          <cell r="U168">
            <v>-1.30484763859725E-4</v>
          </cell>
          <cell r="V168">
            <v>1.80281426700225E-3</v>
          </cell>
          <cell r="W168">
            <v>4.9906053948554603E-4</v>
          </cell>
          <cell r="Y168">
            <v>1.2471244094690801</v>
          </cell>
          <cell r="Z168">
            <v>1.2477363223870599</v>
          </cell>
          <cell r="AA168">
            <v>1.24776982096676</v>
          </cell>
          <cell r="AF168">
            <v>-3.2002620801995603E-4</v>
          </cell>
          <cell r="AG168">
            <v>-2.2434937987527101E-4</v>
          </cell>
          <cell r="AR168">
            <v>5.8136258049148728E-3</v>
          </cell>
          <cell r="BC168">
            <v>2.2066527748765782E-3</v>
          </cell>
          <cell r="BF168">
            <v>8.0202785797914514E-3</v>
          </cell>
        </row>
        <row r="169">
          <cell r="O169">
            <v>1.2477004313447799</v>
          </cell>
          <cell r="P169">
            <v>1.25029623532968</v>
          </cell>
          <cell r="Q169">
            <v>1.2485380664601899</v>
          </cell>
          <cell r="U169">
            <v>4.71720702750402E-4</v>
          </cell>
          <cell r="V169">
            <v>2.54297614397247E-3</v>
          </cell>
          <cell r="W169">
            <v>1.1346476728470499E-3</v>
          </cell>
          <cell r="Y169">
            <v>1.2471244094690801</v>
          </cell>
          <cell r="Z169">
            <v>1.2476635903109901</v>
          </cell>
          <cell r="AA169">
            <v>1.2477392385245101</v>
          </cell>
          <cell r="AF169">
            <v>3.3177537401953499E-4</v>
          </cell>
          <cell r="AG169">
            <v>3.5862249662948098E-4</v>
          </cell>
          <cell r="AR169">
            <v>5.8136258049148728E-3</v>
          </cell>
          <cell r="BC169">
            <v>2.2066527748765782E-3</v>
          </cell>
          <cell r="BF169">
            <v>8.0202785797914514E-3</v>
          </cell>
        </row>
        <row r="170">
          <cell r="O170">
            <v>1.2477004313447799</v>
          </cell>
          <cell r="P170">
            <v>1.2503691362227201</v>
          </cell>
          <cell r="Q170">
            <v>1.2485677258788801</v>
          </cell>
          <cell r="U170">
            <v>2.6825028885882601E-4</v>
          </cell>
          <cell r="V170">
            <v>2.3465596428131502E-3</v>
          </cell>
          <cell r="W170">
            <v>9.3936817089059095E-4</v>
          </cell>
          <cell r="Y170">
            <v>1.2471244094690801</v>
          </cell>
          <cell r="Z170">
            <v>1.24765261534361</v>
          </cell>
          <cell r="AA170">
            <v>1.2477273196817</v>
          </cell>
          <cell r="AF170">
            <v>7.6670737672953398E-5</v>
          </cell>
          <cell r="AG170">
            <v>1.3730079921573E-4</v>
          </cell>
          <cell r="AR170">
            <v>5.8136258049148728E-3</v>
          </cell>
          <cell r="BC170">
            <v>2.2066527748765782E-3</v>
          </cell>
          <cell r="BF170">
            <v>8.0202785797914514E-3</v>
          </cell>
        </row>
        <row r="171">
          <cell r="O171">
            <v>1.2477004313447799</v>
          </cell>
          <cell r="P171">
            <v>1.2503672593294</v>
          </cell>
          <cell r="Q171">
            <v>1.24853493501961</v>
          </cell>
          <cell r="U171">
            <v>6.7058382878614202E-4</v>
          </cell>
          <cell r="V171">
            <v>2.8071983793377798E-3</v>
          </cell>
          <cell r="W171">
            <v>1.3654567465736099E-3</v>
          </cell>
          <cell r="Y171">
            <v>1.2471244094690801</v>
          </cell>
          <cell r="Z171">
            <v>1.24756902344374</v>
          </cell>
          <cell r="AA171">
            <v>1.24765480675631</v>
          </cell>
          <cell r="AF171">
            <v>4.5736407778707402E-4</v>
          </cell>
          <cell r="AG171">
            <v>5.17238197207762E-4</v>
          </cell>
          <cell r="AR171">
            <v>5.8136258049148728E-3</v>
          </cell>
          <cell r="BC171">
            <v>2.2066527748765782E-3</v>
          </cell>
          <cell r="BF171">
            <v>8.0202785797914514E-3</v>
          </cell>
        </row>
        <row r="172">
          <cell r="O172">
            <v>1.2477004313447799</v>
          </cell>
          <cell r="P172">
            <v>1.24987868574828</v>
          </cell>
          <cell r="Q172">
            <v>1.2485588968588399</v>
          </cell>
          <cell r="U172">
            <v>6.9063157547452893E-5</v>
          </cell>
          <cell r="V172">
            <v>2.2041766355997798E-3</v>
          </cell>
          <cell r="W172">
            <v>7.3767295064051301E-4</v>
          </cell>
          <cell r="Y172">
            <v>1.2471244094690801</v>
          </cell>
          <cell r="Z172">
            <v>1.24758125263039</v>
          </cell>
          <cell r="AA172">
            <v>1.2476371215879101</v>
          </cell>
          <cell r="AF172">
            <v>-1.9210902057603801E-4</v>
          </cell>
          <cell r="AG172">
            <v>-1.23351010518377E-4</v>
          </cell>
          <cell r="AR172">
            <v>5.8136258049148728E-3</v>
          </cell>
          <cell r="BC172">
            <v>2.2066527748765782E-3</v>
          </cell>
          <cell r="BF172">
            <v>8.0202785797914514E-3</v>
          </cell>
        </row>
        <row r="173">
          <cell r="O173">
            <v>1.2477004313447799</v>
          </cell>
          <cell r="P173">
            <v>1.24937806772604</v>
          </cell>
          <cell r="Q173">
            <v>1.2485512400560399</v>
          </cell>
          <cell r="U173">
            <v>5.7605732804934305E-4</v>
          </cell>
          <cell r="V173">
            <v>2.3203503843781501E-3</v>
          </cell>
          <cell r="W173">
            <v>1.26385890235075E-3</v>
          </cell>
          <cell r="Y173">
            <v>1.2471244094690801</v>
          </cell>
          <cell r="Z173">
            <v>1.2475790875046899</v>
          </cell>
          <cell r="AA173">
            <v>1.2475888386362299</v>
          </cell>
          <cell r="AF173">
            <v>3.0823790118218801E-4</v>
          </cell>
          <cell r="AG173">
            <v>3.5301871724453799E-4</v>
          </cell>
          <cell r="AR173">
            <v>5.8136258049148728E-3</v>
          </cell>
          <cell r="BC173">
            <v>2.2066527748765782E-3</v>
          </cell>
          <cell r="BF173">
            <v>8.0202785797914514E-3</v>
          </cell>
        </row>
        <row r="174">
          <cell r="O174">
            <v>1.2477004313447799</v>
          </cell>
          <cell r="P174">
            <v>1.24890063726913</v>
          </cell>
          <cell r="Q174">
            <v>1.24862343305038</v>
          </cell>
          <cell r="U174">
            <v>8.8467083248242398E-5</v>
          </cell>
          <cell r="V174">
            <v>1.43214661457741E-3</v>
          </cell>
          <cell r="W174">
            <v>7.7013612643958801E-4</v>
          </cell>
          <cell r="Y174">
            <v>1.2471244094690801</v>
          </cell>
          <cell r="Z174">
            <v>1.24760021259512</v>
          </cell>
          <cell r="AA174">
            <v>1.24761827926125</v>
          </cell>
          <cell r="AF174">
            <v>-1.6679458612726099E-4</v>
          </cell>
          <cell r="AG174">
            <v>-1.58978573875065E-4</v>
          </cell>
          <cell r="AR174">
            <v>5.8136258049148728E-3</v>
          </cell>
          <cell r="BC174">
            <v>2.2066527748765782E-3</v>
          </cell>
          <cell r="BF174">
            <v>8.0202785797914514E-3</v>
          </cell>
        </row>
        <row r="175">
          <cell r="O175">
            <v>1.2477004313447799</v>
          </cell>
          <cell r="P175">
            <v>1.2482335361474499</v>
          </cell>
          <cell r="Q175">
            <v>1.24857573129982</v>
          </cell>
          <cell r="U175">
            <v>1.00823550042995E-3</v>
          </cell>
          <cell r="V175">
            <v>1.9697075048216899E-3</v>
          </cell>
          <cell r="W175">
            <v>1.74772428297557E-3</v>
          </cell>
          <cell r="Y175">
            <v>1.2471244094690801</v>
          </cell>
          <cell r="Z175">
            <v>1.24743821087045</v>
          </cell>
          <cell r="AA175">
            <v>1.24753152489144</v>
          </cell>
          <cell r="AF175">
            <v>7.3994836316571499E-4</v>
          </cell>
          <cell r="AG175">
            <v>7.5442939253919097E-4</v>
          </cell>
          <cell r="AR175">
            <v>5.8136258049148728E-3</v>
          </cell>
          <cell r="BC175">
            <v>2.2066527748765782E-3</v>
          </cell>
          <cell r="BF175">
            <v>8.0202785797914514E-3</v>
          </cell>
        </row>
        <row r="176">
          <cell r="O176">
            <v>1.2477004313447799</v>
          </cell>
          <cell r="P176">
            <v>1.2478298198230799</v>
          </cell>
          <cell r="Q176">
            <v>1.2486600928820999</v>
          </cell>
          <cell r="U176">
            <v>-8.5414046567642601E-6</v>
          </cell>
          <cell r="V176">
            <v>4.1863721281527698E-4</v>
          </cell>
          <cell r="W176">
            <v>6.9274317595369704E-4</v>
          </cell>
          <cell r="Y176">
            <v>1.2471244094690801</v>
          </cell>
          <cell r="Z176">
            <v>1.2475323821919799</v>
          </cell>
          <cell r="AA176">
            <v>1.24757282345456</v>
          </cell>
          <cell r="AF176">
            <v>-3.7398166373952499E-4</v>
          </cell>
          <cell r="AG176">
            <v>-2.9917993793476903E-4</v>
          </cell>
          <cell r="AR176">
            <v>5.8136258049148728E-3</v>
          </cell>
          <cell r="BC176">
            <v>2.2066527748765782E-3</v>
          </cell>
          <cell r="BF176">
            <v>8.0202785797914514E-3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B3C3-C02E-44CB-B38C-B4ECD439CB9C}">
  <dimension ref="A1:DZ183"/>
  <sheetViews>
    <sheetView tabSelected="1" topLeftCell="AS1" workbookViewId="0">
      <selection activeCell="BQ17" sqref="BQ17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2.538777513131385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1.8036551358181345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21</v>
      </c>
      <c r="C2" s="33">
        <v>26.36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21</v>
      </c>
      <c r="M2" s="33">
        <v>26.36</v>
      </c>
      <c r="N2" s="34">
        <v>1.2552380952380899</v>
      </c>
      <c r="O2" s="34">
        <v>1.2567453983371399</v>
      </c>
      <c r="X2" s="34">
        <v>1.2552380952380899</v>
      </c>
      <c r="Y2" s="34">
        <v>1.2550529069020999</v>
      </c>
      <c r="AI2" s="4">
        <v>0</v>
      </c>
      <c r="AJ2" s="10">
        <v>4.9726253941699152</v>
      </c>
      <c r="AK2" s="10">
        <v>5.5499373561338494</v>
      </c>
      <c r="AL2" s="10">
        <v>4.6789532362431077</v>
      </c>
      <c r="AM2" s="10">
        <v>3.308870615782729</v>
      </c>
      <c r="AN2" s="10">
        <v>1.9308233468844676</v>
      </c>
      <c r="AO2" s="10">
        <v>1.2750711555097243</v>
      </c>
      <c r="AP2" s="10" t="e">
        <v>#DIV/0!</v>
      </c>
      <c r="AQ2" s="10" t="e">
        <v>#DIV/0!</v>
      </c>
      <c r="AR2"/>
      <c r="AT2" s="4">
        <v>0</v>
      </c>
      <c r="AU2" s="10">
        <v>6.0644983507490791</v>
      </c>
      <c r="AV2" s="11">
        <v>5.7806652793741193</v>
      </c>
      <c r="AW2" s="11">
        <v>4.1744531311271995</v>
      </c>
      <c r="AX2" s="11">
        <v>3.3591708175098658</v>
      </c>
      <c r="AY2" s="11">
        <v>1.2750711555097243</v>
      </c>
      <c r="AZ2" s="11">
        <v>1.2750711555097243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21.06</v>
      </c>
      <c r="C3" s="33">
        <v>26.43</v>
      </c>
      <c r="D3" s="15">
        <v>2.8530689824064798E-3</v>
      </c>
      <c r="E3" s="15">
        <v>2.6520189818914101E-3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21.06</v>
      </c>
      <c r="M3" s="33">
        <v>26.43</v>
      </c>
      <c r="N3" s="34">
        <v>1.2549857549857499</v>
      </c>
      <c r="O3" s="34">
        <v>1.2567453983371399</v>
      </c>
      <c r="R3" s="33">
        <v>26.467058088980199</v>
      </c>
      <c r="U3" s="15">
        <v>1.40114011560367E-3</v>
      </c>
      <c r="X3" s="34">
        <v>1.2549857549857499</v>
      </c>
      <c r="Y3" s="34">
        <v>1.2550529069020999</v>
      </c>
      <c r="AB3" s="33">
        <v>26.431414219358299</v>
      </c>
      <c r="AE3" s="15">
        <v>5.3506678911277998E-5</v>
      </c>
      <c r="AI3" s="4">
        <f t="shared" ref="AI3:AI9" si="2">AI2-AK$12</f>
        <v>-2.0000000000000001E-4</v>
      </c>
      <c r="AJ3" s="10">
        <v>4.9726253941699152</v>
      </c>
      <c r="AK3" s="10">
        <v>6.0316130915469648</v>
      </c>
      <c r="AL3" s="10">
        <v>4.9905736436251305</v>
      </c>
      <c r="AM3" s="10">
        <v>3.308870615782729</v>
      </c>
      <c r="AN3" s="10">
        <v>1.9308233468844676</v>
      </c>
      <c r="AO3" s="11">
        <v>1.2750711555097243</v>
      </c>
      <c r="AP3" s="10" t="e">
        <v>#DIV/0!</v>
      </c>
      <c r="AQ3" s="10" t="e">
        <v>#DIV/0!</v>
      </c>
      <c r="AR3"/>
      <c r="AT3" s="4">
        <f>AT2+AV$12</f>
        <v>2.0000000000000001E-4</v>
      </c>
      <c r="AU3" s="10">
        <v>6.0644983507490791</v>
      </c>
      <c r="AV3" s="11">
        <v>6.1517170629025344</v>
      </c>
      <c r="AW3" s="11">
        <v>3.8684684629709261</v>
      </c>
      <c r="AX3" s="11">
        <v>3.0442726066153996</v>
      </c>
      <c r="AY3" s="11">
        <v>1.2750711555097243</v>
      </c>
      <c r="AZ3" s="11">
        <v>1.2750711555097243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21.06</v>
      </c>
      <c r="C4" s="33">
        <v>26.45</v>
      </c>
      <c r="D4" s="15">
        <v>0</v>
      </c>
      <c r="E4" s="15">
        <v>7.5642968811057403E-4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21.06</v>
      </c>
      <c r="M4" s="33">
        <v>26.45</v>
      </c>
      <c r="N4" s="34">
        <v>1.25593542260208</v>
      </c>
      <c r="O4" s="34">
        <v>1.2567453983371399</v>
      </c>
      <c r="R4" s="33">
        <v>26.467058088980199</v>
      </c>
      <c r="U4" s="15">
        <v>6.4471042749333495E-4</v>
      </c>
      <c r="X4" s="34">
        <v>1.25593542260208</v>
      </c>
      <c r="Y4" s="34">
        <v>1.2550529069020999</v>
      </c>
      <c r="AB4" s="33">
        <v>26.431414219358299</v>
      </c>
      <c r="AE4" s="15">
        <v>-7.0292300919918204E-4</v>
      </c>
      <c r="AG4"/>
      <c r="AI4" s="4">
        <f t="shared" si="2"/>
        <v>-4.0000000000000002E-4</v>
      </c>
      <c r="AJ4" s="10">
        <v>4.9726253941699152</v>
      </c>
      <c r="AK4" s="11">
        <v>6.0316130915469648</v>
      </c>
      <c r="AL4" s="11">
        <v>4.8548834221129722</v>
      </c>
      <c r="AM4" s="11">
        <v>2.9982522769160713</v>
      </c>
      <c r="AN4" s="10">
        <v>1.9308233468844676</v>
      </c>
      <c r="AO4" s="11">
        <v>1.2750711555097243</v>
      </c>
      <c r="AP4" s="11" t="e">
        <v>#DIV/0!</v>
      </c>
      <c r="AQ4" s="11" t="e">
        <v>#DIV/0!</v>
      </c>
      <c r="AR4"/>
      <c r="AT4" s="4">
        <f t="shared" ref="AT4:AT9" si="3">AT3+AV$12</f>
        <v>4.0000000000000002E-4</v>
      </c>
      <c r="AU4" s="10">
        <v>6.0644983507490791</v>
      </c>
      <c r="AV4" s="11">
        <v>6.1517170629025344</v>
      </c>
      <c r="AW4" s="11">
        <v>3.7774223583440243</v>
      </c>
      <c r="AX4" s="11">
        <v>2.6627809813420398</v>
      </c>
      <c r="AY4" s="11">
        <v>1.2750711555097243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21.07</v>
      </c>
      <c r="C5" s="33">
        <v>26.42</v>
      </c>
      <c r="D5" s="15">
        <v>4.7472111026834399E-4</v>
      </c>
      <c r="E5" s="15">
        <v>-1.1348592101289999E-3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21.07</v>
      </c>
      <c r="M5" s="33">
        <v>26.42</v>
      </c>
      <c r="N5" s="34">
        <v>1.2539155196962499</v>
      </c>
      <c r="O5" s="34">
        <v>1.2567453983371399</v>
      </c>
      <c r="R5" s="33">
        <v>26.4796255429636</v>
      </c>
      <c r="U5" s="15">
        <v>2.2542907478906599E-3</v>
      </c>
      <c r="X5" s="34">
        <v>1.2539155196962499</v>
      </c>
      <c r="Y5" s="34">
        <v>1.2550529069020999</v>
      </c>
      <c r="AB5" s="33">
        <v>26.443964748427401</v>
      </c>
      <c r="AE5" s="15">
        <v>9.0665731119819596E-4</v>
      </c>
      <c r="AG5" s="29"/>
      <c r="AI5" s="4">
        <f t="shared" si="2"/>
        <v>-6.0000000000000006E-4</v>
      </c>
      <c r="AJ5" s="10">
        <v>4.9726253941699152</v>
      </c>
      <c r="AK5" s="11">
        <v>6.0316130915469648</v>
      </c>
      <c r="AL5" s="11">
        <v>4.8548834221129722</v>
      </c>
      <c r="AM5" s="11">
        <v>3.1942535487532417</v>
      </c>
      <c r="AN5" s="11">
        <v>1.9308233468844676</v>
      </c>
      <c r="AO5" s="11">
        <v>1.2750711555097243</v>
      </c>
      <c r="AP5" s="10" t="e">
        <v>#DIV/0!</v>
      </c>
      <c r="AQ5" s="11" t="e">
        <v>#DIV/0!</v>
      </c>
      <c r="AR5"/>
      <c r="AT5" s="4">
        <f t="shared" si="3"/>
        <v>6.0000000000000006E-4</v>
      </c>
      <c r="AU5" s="10">
        <v>6.0644983507490791</v>
      </c>
      <c r="AV5" s="11">
        <v>6.1517170629025344</v>
      </c>
      <c r="AW5" s="11">
        <v>3.7774223583440243</v>
      </c>
      <c r="AX5" s="11">
        <v>2.33133009002148</v>
      </c>
      <c r="AY5" s="11">
        <v>1.2750711555097243</v>
      </c>
      <c r="AZ5" s="11">
        <v>1.2750711555097243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21.02</v>
      </c>
      <c r="C6" s="33">
        <v>26.39</v>
      </c>
      <c r="D6" s="15">
        <v>-2.3758623672926098E-3</v>
      </c>
      <c r="E6" s="15">
        <v>-1.1361485789465899E-3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21.02</v>
      </c>
      <c r="M6" s="33">
        <v>26.39</v>
      </c>
      <c r="N6" s="34">
        <v>1.25547098001902</v>
      </c>
      <c r="O6" s="34">
        <v>1.2567453983371399</v>
      </c>
      <c r="R6" s="33">
        <v>26.416788273046699</v>
      </c>
      <c r="U6" s="15">
        <v>1.0145769595446201E-3</v>
      </c>
      <c r="X6" s="34">
        <v>1.25547098001902</v>
      </c>
      <c r="Y6" s="34">
        <v>1.2550529069020999</v>
      </c>
      <c r="AB6" s="33">
        <v>26.381212103082198</v>
      </c>
      <c r="AE6" s="15">
        <v>-3.3305647714786303E-4</v>
      </c>
      <c r="AG6" s="29"/>
      <c r="AI6" s="4">
        <f t="shared" si="2"/>
        <v>-8.0000000000000004E-4</v>
      </c>
      <c r="AJ6" s="10">
        <v>4.9726253941699152</v>
      </c>
      <c r="AK6" s="11">
        <v>6.0316130915469648</v>
      </c>
      <c r="AL6" s="11">
        <v>4.8548834221129722</v>
      </c>
      <c r="AM6" s="11">
        <v>3.1942535487532417</v>
      </c>
      <c r="AN6" s="11">
        <v>1.9308233468844676</v>
      </c>
      <c r="AO6" s="11">
        <v>1.2750711555097243</v>
      </c>
      <c r="AP6" s="11" t="e">
        <v>#DIV/0!</v>
      </c>
      <c r="AQ6" s="11" t="e">
        <v>#DIV/0!</v>
      </c>
      <c r="AR6"/>
      <c r="AT6" s="4">
        <f t="shared" si="3"/>
        <v>8.0000000000000004E-4</v>
      </c>
      <c r="AU6" s="10">
        <v>6.0644983507490791</v>
      </c>
      <c r="AV6" s="11">
        <v>6.1517170629025344</v>
      </c>
      <c r="AW6" s="11">
        <v>3.7774223583440243</v>
      </c>
      <c r="AX6" s="11">
        <v>2.33133009002148</v>
      </c>
      <c r="AY6" s="11">
        <v>1.2750711555097243</v>
      </c>
      <c r="AZ6" s="11">
        <v>1.2750711555097243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21.06</v>
      </c>
      <c r="C7" s="33">
        <v>26.44</v>
      </c>
      <c r="D7" s="15">
        <v>1.90114125702437E-3</v>
      </c>
      <c r="E7" s="15">
        <v>1.89286446825279E-3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21.06</v>
      </c>
      <c r="M7" s="33">
        <v>26.44</v>
      </c>
      <c r="N7" s="34">
        <v>1.2554605887939201</v>
      </c>
      <c r="O7" s="34">
        <v>1.2567453983371399</v>
      </c>
      <c r="R7" s="33">
        <v>26.467058088980199</v>
      </c>
      <c r="U7" s="15">
        <v>1.02285374831596E-3</v>
      </c>
      <c r="X7" s="34">
        <v>1.2554605887939201</v>
      </c>
      <c r="Y7" s="34">
        <v>1.2550529069020999</v>
      </c>
      <c r="AB7" s="33">
        <v>26.431414219358299</v>
      </c>
      <c r="AE7" s="15">
        <v>-3.2477968837638397E-4</v>
      </c>
      <c r="AG7"/>
      <c r="AI7" s="4">
        <f t="shared" si="2"/>
        <v>-1E-3</v>
      </c>
      <c r="AJ7" s="10">
        <v>4.9726253941699152</v>
      </c>
      <c r="AK7" s="11">
        <v>6.0316130915469648</v>
      </c>
      <c r="AL7" s="11">
        <v>4.8548834221129722</v>
      </c>
      <c r="AM7" s="11">
        <v>3.1942535487532417</v>
      </c>
      <c r="AN7" s="11">
        <v>1.9308233468844676</v>
      </c>
      <c r="AO7" s="11">
        <v>1.2750711555097243</v>
      </c>
      <c r="AP7" s="11" t="e">
        <v>#DIV/0!</v>
      </c>
      <c r="AQ7" s="11" t="e">
        <v>#DIV/0!</v>
      </c>
      <c r="AR7"/>
      <c r="AT7" s="4">
        <f t="shared" si="3"/>
        <v>1E-3</v>
      </c>
      <c r="AU7" s="10">
        <v>6.0644983507490791</v>
      </c>
      <c r="AV7" s="11">
        <v>6.1517170629025344</v>
      </c>
      <c r="AW7" s="11">
        <v>3.7774223583440243</v>
      </c>
      <c r="AX7" s="11">
        <v>2.33133009002148</v>
      </c>
      <c r="AY7" s="11">
        <v>1.2750711555097243</v>
      </c>
      <c r="AZ7" s="11">
        <v>1.2750711555097243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21.04</v>
      </c>
      <c r="C8" s="33">
        <v>26.41</v>
      </c>
      <c r="D8" s="15">
        <v>-9.5011883632035304E-4</v>
      </c>
      <c r="E8" s="15">
        <v>-1.1352886744446899E-3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21.04</v>
      </c>
      <c r="M8" s="33">
        <v>26.41</v>
      </c>
      <c r="N8" s="34">
        <v>1.2552281368821201</v>
      </c>
      <c r="O8" s="34">
        <v>1.2567453983371399</v>
      </c>
      <c r="R8" s="33">
        <v>26.4419231810135</v>
      </c>
      <c r="U8" s="15">
        <v>1.2080235864404499E-3</v>
      </c>
      <c r="X8" s="34">
        <v>1.2552281368821201</v>
      </c>
      <c r="Y8" s="34">
        <v>1.2550529069020999</v>
      </c>
      <c r="AB8" s="33">
        <v>26.4063131612203</v>
      </c>
      <c r="AE8" s="15">
        <v>-1.3960985025190901E-4</v>
      </c>
      <c r="AG8"/>
      <c r="AI8" s="4">
        <f t="shared" si="2"/>
        <v>-1.2000000000000001E-3</v>
      </c>
      <c r="AJ8" s="10">
        <v>4.9726253941699152</v>
      </c>
      <c r="AK8" s="11">
        <v>6.0316130915469648</v>
      </c>
      <c r="AL8" s="11">
        <v>4.8548834221129722</v>
      </c>
      <c r="AM8" s="11">
        <v>3.1942535487532417</v>
      </c>
      <c r="AN8" s="11">
        <v>1.9308233468844676</v>
      </c>
      <c r="AO8" s="11">
        <v>1.2750711555097243</v>
      </c>
      <c r="AP8" s="11" t="e">
        <v>#DIV/0!</v>
      </c>
      <c r="AQ8" s="11" t="e">
        <v>#DIV/0!</v>
      </c>
      <c r="AR8"/>
      <c r="AT8" s="4">
        <f t="shared" si="3"/>
        <v>1.2000000000000001E-3</v>
      </c>
      <c r="AU8" s="10">
        <v>6.0644983507490791</v>
      </c>
      <c r="AV8" s="11">
        <v>6.1517170629025344</v>
      </c>
      <c r="AW8" s="11">
        <v>3.7774223583440243</v>
      </c>
      <c r="AX8" s="11">
        <v>2.33133009002148</v>
      </c>
      <c r="AY8" s="11">
        <v>1.2750711555097243</v>
      </c>
      <c r="AZ8" s="11">
        <v>1.2750711555097243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21.08</v>
      </c>
      <c r="C9" s="33">
        <v>26.46</v>
      </c>
      <c r="D9" s="15">
        <v>1.8993358036523101E-3</v>
      </c>
      <c r="E9" s="15">
        <v>1.8914323777687299E-3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21.08</v>
      </c>
      <c r="M9" s="33">
        <v>26.46</v>
      </c>
      <c r="N9" s="34">
        <v>1.2552182163187799</v>
      </c>
      <c r="O9" s="34">
        <v>1.2567453983371399</v>
      </c>
      <c r="R9" s="33">
        <v>26.492192996947001</v>
      </c>
      <c r="U9" s="15">
        <v>1.21592701232408E-3</v>
      </c>
      <c r="X9" s="34">
        <v>1.2552182163187799</v>
      </c>
      <c r="Y9" s="34">
        <v>1.2550529069020999</v>
      </c>
      <c r="AB9" s="33">
        <v>26.456515277496401</v>
      </c>
      <c r="AE9" s="15">
        <v>-1.3170642436839499E-4</v>
      </c>
      <c r="AF9"/>
      <c r="AI9" s="4">
        <f t="shared" si="2"/>
        <v>-1.4000000000000002E-3</v>
      </c>
      <c r="AJ9" s="10">
        <v>4.9726253941699152</v>
      </c>
      <c r="AK9" s="11">
        <v>6.0316130915469648</v>
      </c>
      <c r="AL9" s="11">
        <v>4.8548834221129722</v>
      </c>
      <c r="AM9" s="11">
        <v>3.1942535487532417</v>
      </c>
      <c r="AN9" s="11">
        <v>1.9308233468844676</v>
      </c>
      <c r="AO9" s="11">
        <v>1.2750711555097243</v>
      </c>
      <c r="AP9" s="11" t="e">
        <v>#DIV/0!</v>
      </c>
      <c r="AQ9" s="11" t="e">
        <v>#DIV/0!</v>
      </c>
      <c r="AR9"/>
      <c r="AT9" s="4">
        <f t="shared" si="3"/>
        <v>1.4000000000000002E-3</v>
      </c>
      <c r="AU9" s="10">
        <v>6.0644983507490791</v>
      </c>
      <c r="AV9" s="10">
        <v>6.1517170629025344</v>
      </c>
      <c r="AW9" s="10">
        <v>3.7774223583440243</v>
      </c>
      <c r="AX9" s="10">
        <v>2.33133009002148</v>
      </c>
      <c r="AY9" s="10">
        <v>1.2750711555097243</v>
      </c>
      <c r="AZ9" s="10">
        <v>1.2750711555097243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21.13</v>
      </c>
      <c r="C10" s="33">
        <v>26.51</v>
      </c>
      <c r="D10" s="15">
        <v>2.3691079548038099E-3</v>
      </c>
      <c r="E10" s="15">
        <v>1.88786161412448E-3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21.13</v>
      </c>
      <c r="M10" s="33">
        <v>26.51</v>
      </c>
      <c r="N10" s="34">
        <v>1.25461429247515</v>
      </c>
      <c r="O10" s="34">
        <v>1.2567453983371399</v>
      </c>
      <c r="R10" s="33">
        <v>26.555030266863799</v>
      </c>
      <c r="U10" s="15">
        <v>1.69717335300335E-3</v>
      </c>
      <c r="X10" s="34">
        <v>1.25461429247515</v>
      </c>
      <c r="Y10" s="34">
        <v>1.2550529069020999</v>
      </c>
      <c r="AB10" s="33">
        <v>26.5192679228415</v>
      </c>
      <c r="AE10" s="15">
        <v>3.4953991631083602E-4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21.09</v>
      </c>
      <c r="C11" s="33">
        <v>26.43</v>
      </c>
      <c r="D11" s="15">
        <v>-1.8948371372821001E-3</v>
      </c>
      <c r="E11" s="15">
        <v>-3.0222916847363899E-3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21.09</v>
      </c>
      <c r="M11" s="33">
        <v>26.43</v>
      </c>
      <c r="N11" s="34">
        <v>1.2532005689900401</v>
      </c>
      <c r="O11" s="34">
        <v>1.2567453983371399</v>
      </c>
      <c r="P11" s="34">
        <v>1.25492675760012</v>
      </c>
      <c r="R11" s="33">
        <v>26.504760450930299</v>
      </c>
      <c r="U11" s="15">
        <v>2.8246279004576799E-3</v>
      </c>
      <c r="X11" s="34">
        <v>1.2532005689900401</v>
      </c>
      <c r="Y11" s="34">
        <v>1.2550529069020999</v>
      </c>
      <c r="Z11" s="34">
        <v>1.25492675760012</v>
      </c>
      <c r="AB11" s="33">
        <v>26.4690658065654</v>
      </c>
      <c r="AE11" s="15">
        <v>1.47699446376521E-3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21.05</v>
      </c>
      <c r="C12" s="33">
        <v>26.39</v>
      </c>
      <c r="D12" s="15">
        <v>-1.8984343622927299E-3</v>
      </c>
      <c r="E12" s="15">
        <v>-1.5145781009650501E-3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21.05</v>
      </c>
      <c r="M12" s="33">
        <v>26.39</v>
      </c>
      <c r="N12" s="34">
        <v>1.2536817102137701</v>
      </c>
      <c r="O12" s="34">
        <v>1.2567453983371399</v>
      </c>
      <c r="P12" s="34">
        <v>1.25477111909769</v>
      </c>
      <c r="R12" s="33">
        <v>26.454490634996802</v>
      </c>
      <c r="S12" s="33">
        <v>26.416208247482601</v>
      </c>
      <c r="U12" s="15">
        <v>2.4407716391299599E-3</v>
      </c>
      <c r="V12" s="15">
        <v>9.9262001587839001E-4</v>
      </c>
      <c r="X12" s="34">
        <v>1.2536817102137701</v>
      </c>
      <c r="Y12" s="34">
        <v>1.2550529069020999</v>
      </c>
      <c r="Z12" s="34">
        <v>1.25477111909769</v>
      </c>
      <c r="AB12" s="33">
        <v>26.418863690289299</v>
      </c>
      <c r="AC12" s="33">
        <v>26.416208247482601</v>
      </c>
      <c r="AE12" s="15">
        <v>1.09313820243755E-3</v>
      </c>
      <c r="AF12" s="15">
        <v>9.9262001587839001E-4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20.87</v>
      </c>
      <c r="C13" s="33">
        <v>26.25</v>
      </c>
      <c r="D13" s="15">
        <v>-8.5878390392810505E-3</v>
      </c>
      <c r="E13" s="15">
        <v>-5.3191614775999303E-3</v>
      </c>
      <c r="F13" s="33">
        <v>8.1670000000000006E-2</v>
      </c>
      <c r="G13" s="33">
        <v>8.1670000000000006E-2</v>
      </c>
      <c r="H13" s="33">
        <v>0</v>
      </c>
      <c r="I13" s="33">
        <v>0</v>
      </c>
      <c r="J13" s="33">
        <v>8.1670000000000006E-2</v>
      </c>
      <c r="K13" s="33">
        <v>0</v>
      </c>
      <c r="L13" s="33">
        <v>20.95167</v>
      </c>
      <c r="M13" s="33">
        <v>26.25</v>
      </c>
      <c r="N13" s="34">
        <v>1.25778629611883</v>
      </c>
      <c r="O13" s="34">
        <v>1.2567453983371399</v>
      </c>
      <c r="P13" s="34">
        <v>1.2550511732109999</v>
      </c>
      <c r="R13" s="33">
        <v>26.228276463296201</v>
      </c>
      <c r="S13" s="33">
        <v>26.187073255568801</v>
      </c>
      <c r="U13" s="15">
        <v>-8.2790592255112196E-4</v>
      </c>
      <c r="V13" s="15">
        <v>-2.4000872181203499E-3</v>
      </c>
      <c r="X13" s="34">
        <v>1.25288342170337</v>
      </c>
      <c r="Y13" s="34">
        <v>1.2550529069020999</v>
      </c>
      <c r="Z13" s="34">
        <v>1.2545608857694499</v>
      </c>
      <c r="AB13" s="33">
        <v>26.295454337953601</v>
      </c>
      <c r="AC13" s="33">
        <v>26.289550412865498</v>
      </c>
      <c r="AE13" s="15">
        <v>1.73009634665195E-3</v>
      </c>
      <c r="AF13" s="15">
        <v>1.50554848777522E-3</v>
      </c>
    </row>
    <row r="14" spans="1:130" x14ac:dyDescent="0.25">
      <c r="A14" s="1">
        <v>46043</v>
      </c>
      <c r="B14" s="33">
        <v>20.95</v>
      </c>
      <c r="C14" s="33">
        <v>26.4</v>
      </c>
      <c r="D14" s="15">
        <v>3.8259252790372499E-3</v>
      </c>
      <c r="E14" s="15">
        <v>5.6980211146375704E-3</v>
      </c>
      <c r="F14" s="33">
        <v>0</v>
      </c>
      <c r="G14" s="33">
        <v>8.1670000000000006E-2</v>
      </c>
      <c r="H14" s="33">
        <v>0</v>
      </c>
      <c r="I14" s="33">
        <v>0</v>
      </c>
      <c r="J14" s="33">
        <v>8.1670000000000006E-2</v>
      </c>
      <c r="K14" s="33">
        <v>0</v>
      </c>
      <c r="L14" s="33">
        <v>21.031669999999998</v>
      </c>
      <c r="M14" s="33">
        <v>26.4</v>
      </c>
      <c r="N14" s="34">
        <v>1.2601431980906901</v>
      </c>
      <c r="O14" s="34">
        <v>1.2567453983371399</v>
      </c>
      <c r="P14" s="34">
        <v>1.25547195075986</v>
      </c>
      <c r="R14" s="33">
        <v>26.328816095163099</v>
      </c>
      <c r="S14" s="33">
        <v>26.293322078770402</v>
      </c>
      <c r="U14" s="15">
        <v>-2.7000017581514501E-3</v>
      </c>
      <c r="V14" s="15">
        <v>-4.0490165647399604E-3</v>
      </c>
      <c r="X14" s="34">
        <v>1.2552498208653899</v>
      </c>
      <c r="Y14" s="34">
        <v>1.2550529069020999</v>
      </c>
      <c r="Z14" s="34">
        <v>1.2544923255957801</v>
      </c>
      <c r="AB14" s="33">
        <v>26.395858570505801</v>
      </c>
      <c r="AC14" s="33">
        <v>26.385510544410799</v>
      </c>
      <c r="AE14" s="15">
        <v>-1.56884635074867E-4</v>
      </c>
      <c r="AF14" s="15">
        <v>-5.4899368419830902E-4</v>
      </c>
      <c r="AQ14" s="20">
        <f>AVERAGE(AQ22:AQ176)</f>
        <v>3.1693644310794784E-5</v>
      </c>
      <c r="AR14" s="21" t="s">
        <v>41</v>
      </c>
      <c r="BB14" s="20">
        <f>AVERAGE(BB22:BB176)</f>
        <v>1.9967234244428037E-5</v>
      </c>
      <c r="BC14" s="21" t="s">
        <v>41</v>
      </c>
      <c r="BD14" s="22"/>
      <c r="BE14" s="20">
        <f>AVERAGE(BE22:BE176)</f>
        <v>5.1660878555222818E-5</v>
      </c>
      <c r="BF14" s="21" t="s">
        <v>41</v>
      </c>
    </row>
    <row r="15" spans="1:130" x14ac:dyDescent="0.25">
      <c r="A15" s="1">
        <v>46044</v>
      </c>
      <c r="B15" s="33">
        <v>20.98</v>
      </c>
      <c r="C15" s="33">
        <v>26.41</v>
      </c>
      <c r="D15" s="15">
        <v>1.43095660000434E-3</v>
      </c>
      <c r="E15" s="15">
        <v>3.7871615677046903E-4</v>
      </c>
      <c r="F15" s="33">
        <v>0</v>
      </c>
      <c r="G15" s="33">
        <v>8.1670000000000006E-2</v>
      </c>
      <c r="H15" s="33">
        <v>0</v>
      </c>
      <c r="I15" s="33">
        <v>0</v>
      </c>
      <c r="J15" s="33">
        <v>8.1670000000000006E-2</v>
      </c>
      <c r="K15" s="33">
        <v>0</v>
      </c>
      <c r="L15" s="33">
        <v>21.061669999999999</v>
      </c>
      <c r="M15" s="33">
        <v>26.41</v>
      </c>
      <c r="N15" s="34">
        <v>1.2588179218303099</v>
      </c>
      <c r="O15" s="34">
        <v>1.2567453983371399</v>
      </c>
      <c r="P15" s="34">
        <v>1.2559621909732599</v>
      </c>
      <c r="R15" s="33">
        <v>26.366518457113202</v>
      </c>
      <c r="S15" s="33">
        <v>26.339801526941802</v>
      </c>
      <c r="U15" s="15">
        <v>-1.6477613149174599E-3</v>
      </c>
      <c r="V15" s="15">
        <v>-2.66156506626204E-3</v>
      </c>
      <c r="X15" s="34">
        <v>1.25393665364617</v>
      </c>
      <c r="Y15" s="34">
        <v>1.2550529069020999</v>
      </c>
      <c r="Z15" s="34">
        <v>1.25449443899077</v>
      </c>
      <c r="AB15" s="33">
        <v>26.433510157712899</v>
      </c>
      <c r="AC15" s="33">
        <v>26.421703379230902</v>
      </c>
      <c r="AE15" s="15">
        <v>8.89803088171833E-4</v>
      </c>
      <c r="AF15" s="15">
        <v>4.4304380415008702E-4</v>
      </c>
      <c r="AQ15" s="20">
        <f>STDEV(AQ22:AQ176)</f>
        <v>1.9817451640559078E-4</v>
      </c>
      <c r="AR15" s="21" t="s">
        <v>42</v>
      </c>
      <c r="BB15" s="20">
        <f>STDEV(BB22:BB176)</f>
        <v>1.7573759572358526E-4</v>
      </c>
      <c r="BC15" s="21" t="s">
        <v>42</v>
      </c>
      <c r="BD15" s="22"/>
      <c r="BE15" s="20">
        <f>STDEV(BE22:BE176)</f>
        <v>2.6245562298117802E-4</v>
      </c>
      <c r="BF15" s="21" t="s">
        <v>42</v>
      </c>
    </row>
    <row r="16" spans="1:130" x14ac:dyDescent="0.25">
      <c r="A16" s="1">
        <v>46045</v>
      </c>
      <c r="B16" s="33">
        <v>21</v>
      </c>
      <c r="C16" s="33">
        <v>26.43</v>
      </c>
      <c r="D16" s="15">
        <v>9.5283475527184502E-4</v>
      </c>
      <c r="E16" s="15">
        <v>7.5700230715691904E-4</v>
      </c>
      <c r="F16" s="33">
        <v>0</v>
      </c>
      <c r="G16" s="33">
        <v>8.1670000000000006E-2</v>
      </c>
      <c r="H16" s="33">
        <v>0</v>
      </c>
      <c r="I16" s="33">
        <v>0</v>
      </c>
      <c r="J16" s="33">
        <v>8.1670000000000006E-2</v>
      </c>
      <c r="K16" s="33">
        <v>0</v>
      </c>
      <c r="L16" s="33">
        <v>21.081669999999999</v>
      </c>
      <c r="M16" s="33">
        <v>26.43</v>
      </c>
      <c r="N16" s="34">
        <v>1.25857142857142</v>
      </c>
      <c r="O16" s="34">
        <v>1.2567453983371399</v>
      </c>
      <c r="P16" s="34">
        <v>1.2562722358284999</v>
      </c>
      <c r="R16" s="33">
        <v>26.39165336508</v>
      </c>
      <c r="S16" s="33">
        <v>26.3752060104386</v>
      </c>
      <c r="U16" s="15">
        <v>-1.4519288668026599E-3</v>
      </c>
      <c r="V16" s="15">
        <v>-2.0753260281541602E-3</v>
      </c>
      <c r="X16" s="34">
        <v>1.25369574611499</v>
      </c>
      <c r="Y16" s="34">
        <v>1.2550529069020999</v>
      </c>
      <c r="Z16" s="34">
        <v>1.25431691560037</v>
      </c>
      <c r="AB16" s="33">
        <v>26.458611215850901</v>
      </c>
      <c r="AC16" s="33">
        <v>26.446837779638699</v>
      </c>
      <c r="AE16" s="15">
        <v>1.0819425197309499E-3</v>
      </c>
      <c r="AF16" s="15">
        <v>6.3686789584530901E-4</v>
      </c>
      <c r="AQ16" s="23">
        <f>SQRT(252)*AQ14/AQ15</f>
        <v>2.538777513131385</v>
      </c>
      <c r="AR16" s="21" t="s">
        <v>43</v>
      </c>
      <c r="BB16" s="23">
        <f>SQRT(252)*BB14/BB15</f>
        <v>1.8036551358181345</v>
      </c>
      <c r="BC16" s="21" t="s">
        <v>43</v>
      </c>
      <c r="BD16" s="22"/>
      <c r="BE16" s="23">
        <f>SQRT(252)*BE14/BE15</f>
        <v>3.124684522640953</v>
      </c>
      <c r="BF16" s="21" t="s">
        <v>43</v>
      </c>
    </row>
    <row r="17" spans="1:124" x14ac:dyDescent="0.25">
      <c r="A17" s="1">
        <v>46048</v>
      </c>
      <c r="B17" s="33">
        <v>21</v>
      </c>
      <c r="C17" s="33">
        <v>26.45</v>
      </c>
      <c r="D17" s="15">
        <v>0</v>
      </c>
      <c r="E17" s="15">
        <v>7.5642968811057403E-4</v>
      </c>
      <c r="F17" s="33">
        <v>0</v>
      </c>
      <c r="G17" s="33">
        <v>8.1670000000000006E-2</v>
      </c>
      <c r="H17" s="33">
        <v>0</v>
      </c>
      <c r="I17" s="33">
        <v>0</v>
      </c>
      <c r="J17" s="33">
        <v>8.1670000000000006E-2</v>
      </c>
      <c r="K17" s="33">
        <v>0</v>
      </c>
      <c r="L17" s="33">
        <v>21.081669999999999</v>
      </c>
      <c r="M17" s="33">
        <v>26.45</v>
      </c>
      <c r="N17" s="34">
        <v>1.2595238095237999</v>
      </c>
      <c r="O17" s="34">
        <v>1.2567453983371399</v>
      </c>
      <c r="P17" s="34">
        <v>1.2566785579014901</v>
      </c>
      <c r="R17" s="33">
        <v>26.39165336508</v>
      </c>
      <c r="S17" s="33">
        <v>26.381716952398602</v>
      </c>
      <c r="U17" s="15">
        <v>-2.2083585549132201E-3</v>
      </c>
      <c r="V17" s="15">
        <v>-2.5849277502863399E-3</v>
      </c>
      <c r="X17" s="34">
        <v>1.2546444375611601</v>
      </c>
      <c r="Y17" s="34">
        <v>1.2550529069020999</v>
      </c>
      <c r="Z17" s="34">
        <v>1.2542353004770901</v>
      </c>
      <c r="AB17" s="33">
        <v>26.458611215850901</v>
      </c>
      <c r="AC17" s="33">
        <v>26.4430952901049</v>
      </c>
      <c r="AE17" s="15">
        <v>3.2551283162047899E-4</v>
      </c>
      <c r="AF17" s="15">
        <v>-2.6108171194784701E-4</v>
      </c>
    </row>
    <row r="18" spans="1:124" x14ac:dyDescent="0.25">
      <c r="A18" s="1">
        <v>46049</v>
      </c>
      <c r="B18" s="33">
        <v>20.98</v>
      </c>
      <c r="C18" s="33">
        <v>26.44</v>
      </c>
      <c r="D18" s="15">
        <v>-9.5283475527185402E-4</v>
      </c>
      <c r="E18" s="15">
        <v>-3.7814332082281E-4</v>
      </c>
      <c r="F18" s="33">
        <v>0</v>
      </c>
      <c r="G18" s="33">
        <v>8.1670000000000006E-2</v>
      </c>
      <c r="H18" s="33">
        <v>0</v>
      </c>
      <c r="I18" s="33">
        <v>0</v>
      </c>
      <c r="J18" s="33">
        <v>8.1670000000000006E-2</v>
      </c>
      <c r="K18" s="33">
        <v>0</v>
      </c>
      <c r="L18" s="33">
        <v>21.061669999999999</v>
      </c>
      <c r="M18" s="33">
        <v>26.44</v>
      </c>
      <c r="N18" s="34">
        <v>1.26024785510009</v>
      </c>
      <c r="O18" s="34">
        <v>1.2567453983371399</v>
      </c>
      <c r="P18" s="34">
        <v>1.2571805297232901</v>
      </c>
      <c r="R18" s="33">
        <v>26.366518457113202</v>
      </c>
      <c r="S18" s="33">
        <v>26.3651161447733</v>
      </c>
      <c r="U18" s="15">
        <v>-2.7830499893621999E-3</v>
      </c>
      <c r="V18" s="15">
        <v>-2.8362367472095302E-3</v>
      </c>
      <c r="X18" s="34">
        <v>1.2553610421205901</v>
      </c>
      <c r="Y18" s="34">
        <v>1.2550529069020999</v>
      </c>
      <c r="Z18" s="34">
        <v>1.25424859100094</v>
      </c>
      <c r="AB18" s="33">
        <v>26.433510157712899</v>
      </c>
      <c r="AC18" s="33">
        <v>26.4162900009994</v>
      </c>
      <c r="AE18" s="15">
        <v>-2.4548558627277201E-4</v>
      </c>
      <c r="AF18" s="15">
        <v>-8.9714963310418103E-4</v>
      </c>
      <c r="BE18" s="24">
        <f>SUM(BE22:BE176)</f>
        <v>8.0074361760595365E-3</v>
      </c>
      <c r="BF18" s="20">
        <f>BF176</f>
        <v>8.0074361760595365E-3</v>
      </c>
    </row>
    <row r="19" spans="1:124" x14ac:dyDescent="0.25">
      <c r="A19" s="1">
        <v>46050</v>
      </c>
      <c r="B19" s="33">
        <v>20.97</v>
      </c>
      <c r="C19" s="33">
        <v>26.41</v>
      </c>
      <c r="D19" s="15">
        <v>-4.7675805432262998E-4</v>
      </c>
      <c r="E19" s="15">
        <v>-1.1352886744446899E-3</v>
      </c>
      <c r="F19" s="33">
        <v>0</v>
      </c>
      <c r="G19" s="33">
        <v>8.1670000000000006E-2</v>
      </c>
      <c r="H19" s="33">
        <v>0</v>
      </c>
      <c r="I19" s="33">
        <v>0</v>
      </c>
      <c r="J19" s="33">
        <v>8.1670000000000006E-2</v>
      </c>
      <c r="K19" s="33">
        <v>0</v>
      </c>
      <c r="L19" s="33">
        <v>21.051669999999898</v>
      </c>
      <c r="M19" s="33">
        <v>26.41</v>
      </c>
      <c r="N19" s="34">
        <v>1.25941821649976</v>
      </c>
      <c r="O19" s="34">
        <v>1.2567453983371399</v>
      </c>
      <c r="P19" s="34">
        <v>1.2576005297413899</v>
      </c>
      <c r="R19" s="33">
        <v>26.3539510031299</v>
      </c>
      <c r="S19" s="33">
        <v>26.363075708297401</v>
      </c>
      <c r="U19" s="15">
        <v>-2.12451936924006E-3</v>
      </c>
      <c r="V19" s="15">
        <v>-1.77834259001449E-3</v>
      </c>
      <c r="X19" s="34">
        <v>1.25453230076283</v>
      </c>
      <c r="Y19" s="34">
        <v>1.2550529069020999</v>
      </c>
      <c r="Z19" s="34">
        <v>1.25417999944534</v>
      </c>
      <c r="AB19" s="33">
        <v>26.4209596286438</v>
      </c>
      <c r="AC19" s="33">
        <v>26.404027435716799</v>
      </c>
      <c r="AE19" s="15">
        <v>4.14894178645905E-4</v>
      </c>
      <c r="AF19" s="15">
        <v>-2.26173408793169E-4</v>
      </c>
      <c r="AI19" s="12"/>
      <c r="AJ19"/>
      <c r="AK19"/>
      <c r="AL19"/>
      <c r="AM19"/>
      <c r="AN19"/>
      <c r="AO19"/>
      <c r="AP19"/>
      <c r="AQ19" s="24">
        <f>SUM(AQ22:AQ176)</f>
        <v>4.9125148681731911E-3</v>
      </c>
      <c r="AR19" s="24">
        <f>AR176</f>
        <v>4.9125148681731911E-3</v>
      </c>
      <c r="AU19"/>
      <c r="AV19"/>
      <c r="AW19"/>
      <c r="AX19"/>
      <c r="AY19"/>
      <c r="AZ19"/>
      <c r="BA19"/>
      <c r="BB19" s="24">
        <f>SUM(BB22:BB176)</f>
        <v>3.0949213078863458E-3</v>
      </c>
      <c r="BC19" s="24">
        <f>BC176</f>
        <v>3.0949213078863458E-3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20.99</v>
      </c>
      <c r="C20" s="33">
        <v>26.43</v>
      </c>
      <c r="D20" s="15">
        <v>9.5328891871301002E-4</v>
      </c>
      <c r="E20" s="15">
        <v>7.5700230715691904E-4</v>
      </c>
      <c r="F20" s="33">
        <v>0</v>
      </c>
      <c r="G20" s="33">
        <v>8.1670000000000006E-2</v>
      </c>
      <c r="H20" s="33">
        <v>0</v>
      </c>
      <c r="I20" s="33">
        <v>0</v>
      </c>
      <c r="J20" s="33">
        <v>8.1670000000000006E-2</v>
      </c>
      <c r="K20" s="33">
        <v>0</v>
      </c>
      <c r="L20" s="33">
        <v>21.071669999999902</v>
      </c>
      <c r="M20" s="33">
        <v>26.43</v>
      </c>
      <c r="N20" s="34">
        <v>1.2591710338256299</v>
      </c>
      <c r="O20" s="34">
        <v>1.2567453983371399</v>
      </c>
      <c r="P20" s="34">
        <v>1.25805620387643</v>
      </c>
      <c r="R20" s="33">
        <v>26.379085911096599</v>
      </c>
      <c r="S20" s="33">
        <v>26.397035119271699</v>
      </c>
      <c r="U20" s="15">
        <v>-1.92823275768407E-3</v>
      </c>
      <c r="V20" s="15">
        <v>-1.2480308589180001E-3</v>
      </c>
      <c r="X20" s="34">
        <v>1.25429071355046</v>
      </c>
      <c r="Y20" s="34">
        <v>1.2550529069020999</v>
      </c>
      <c r="Z20" s="34">
        <v>1.2541476415528801</v>
      </c>
      <c r="AB20" s="33">
        <v>26.446060686781902</v>
      </c>
      <c r="AC20" s="33">
        <v>26.427667068912498</v>
      </c>
      <c r="AE20" s="15">
        <v>6.0748425912354796E-4</v>
      </c>
      <c r="AF20" s="15">
        <v>-8.8272192788595199E-5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BSCY log rtn</v>
      </c>
      <c r="AP20" s="7" t="str">
        <f>E1</f>
        <v>IBDZ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BSCY log rtn</v>
      </c>
      <c r="BA20" s="24" t="str">
        <f>E1</f>
        <v>IBDZ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20.99</v>
      </c>
      <c r="C21" s="33">
        <v>26.41</v>
      </c>
      <c r="D21" s="15">
        <v>0</v>
      </c>
      <c r="E21" s="15">
        <v>-7.5700230715700101E-4</v>
      </c>
      <c r="F21" s="33">
        <v>0</v>
      </c>
      <c r="G21" s="33">
        <v>8.1670000000000006E-2</v>
      </c>
      <c r="H21" s="33">
        <v>0</v>
      </c>
      <c r="I21" s="33">
        <v>0</v>
      </c>
      <c r="J21" s="33">
        <v>8.1670000000000006E-2</v>
      </c>
      <c r="K21" s="33">
        <v>0</v>
      </c>
      <c r="L21" s="33">
        <v>21.071669999999902</v>
      </c>
      <c r="M21" s="33">
        <v>26.41</v>
      </c>
      <c r="N21" s="34">
        <v>1.2582181991424399</v>
      </c>
      <c r="O21" s="34">
        <v>1.2567453983371399</v>
      </c>
      <c r="P21" s="34">
        <v>1.25855796689167</v>
      </c>
      <c r="Q21" s="34">
        <v>1.2567423622459</v>
      </c>
      <c r="R21" s="33">
        <v>26.379085911096599</v>
      </c>
      <c r="S21" s="33">
        <v>26.406599719366401</v>
      </c>
      <c r="U21" s="15">
        <v>-1.1712304505271201E-3</v>
      </c>
      <c r="V21" s="15">
        <v>-1.2875802896545699E-4</v>
      </c>
      <c r="X21" s="34">
        <v>1.2533415718830001</v>
      </c>
      <c r="Y21" s="34">
        <v>1.2550529069020999</v>
      </c>
      <c r="Z21" s="34">
        <v>1.25416174184217</v>
      </c>
      <c r="AA21" s="34">
        <v>1.2545442497211501</v>
      </c>
      <c r="AB21" s="33">
        <v>26.446060686781902</v>
      </c>
      <c r="AC21" s="33">
        <v>26.426985234080501</v>
      </c>
      <c r="AE21" s="15">
        <v>1.36448656628056E-3</v>
      </c>
      <c r="AF21" s="15">
        <v>6.4292974288479099E-4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20.96</v>
      </c>
      <c r="C22" s="33">
        <v>26.28</v>
      </c>
      <c r="D22" s="15">
        <v>-1.4302743797001199E-3</v>
      </c>
      <c r="E22" s="15">
        <v>-4.9345326926309996E-3</v>
      </c>
      <c r="F22" s="33">
        <v>0</v>
      </c>
      <c r="G22" s="33">
        <v>8.1670000000000006E-2</v>
      </c>
      <c r="H22" s="33">
        <v>0.104377</v>
      </c>
      <c r="I22" s="33">
        <v>0.104377</v>
      </c>
      <c r="J22" s="33">
        <v>8.1670000000000006E-2</v>
      </c>
      <c r="K22" s="33">
        <v>0.104377</v>
      </c>
      <c r="L22" s="33">
        <v>21.04167</v>
      </c>
      <c r="M22" s="33">
        <v>26.384377000000001</v>
      </c>
      <c r="N22" s="34">
        <v>1.25381679389312</v>
      </c>
      <c r="O22" s="34">
        <v>1.2567453983371399</v>
      </c>
      <c r="P22" s="34">
        <v>1.25857147525961</v>
      </c>
      <c r="Q22" s="34">
        <v>1.25667129717865</v>
      </c>
      <c r="R22" s="33">
        <v>26.341383549146499</v>
      </c>
      <c r="S22" s="33">
        <v>26.379374986049498</v>
      </c>
      <c r="T22" s="33">
        <v>26.341319912674098</v>
      </c>
      <c r="U22" s="15">
        <v>2.3330278624038598E-3</v>
      </c>
      <c r="V22" s="15">
        <v>3.7742606722027399E-3</v>
      </c>
      <c r="W22" s="15">
        <v>2.3306120231148301E-3</v>
      </c>
      <c r="X22" s="34">
        <v>1.2539107874992801</v>
      </c>
      <c r="Y22" s="34">
        <v>1.2550529069020999</v>
      </c>
      <c r="Z22" s="34">
        <v>1.2541846495707201</v>
      </c>
      <c r="AA22" s="34">
        <v>1.2544778843342099</v>
      </c>
      <c r="AB22" s="33">
        <v>26.408409099574801</v>
      </c>
      <c r="AC22" s="33">
        <v>26.3896574984682</v>
      </c>
      <c r="AD22" s="33">
        <v>26.39770610303</v>
      </c>
      <c r="AE22" s="15">
        <v>9.1043125435828201E-4</v>
      </c>
      <c r="AF22" s="15">
        <v>2.0011729389631799E-4</v>
      </c>
      <c r="AG22" s="15">
        <v>5.0506166220773603E-4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20.96</v>
      </c>
      <c r="C23" s="33">
        <v>26.29</v>
      </c>
      <c r="D23" s="15">
        <v>0</v>
      </c>
      <c r="E23" s="15">
        <v>3.8044512538009398E-4</v>
      </c>
      <c r="F23" s="33">
        <v>0</v>
      </c>
      <c r="G23" s="33">
        <v>8.1670000000000006E-2</v>
      </c>
      <c r="H23" s="33">
        <v>0</v>
      </c>
      <c r="I23" s="33">
        <v>0.104377</v>
      </c>
      <c r="J23" s="33">
        <v>8.1670000000000006E-2</v>
      </c>
      <c r="K23" s="33">
        <v>0.104377</v>
      </c>
      <c r="L23" s="33">
        <v>21.04167</v>
      </c>
      <c r="M23" s="33">
        <v>26.394376999999999</v>
      </c>
      <c r="N23" s="34">
        <v>1.25429389312977</v>
      </c>
      <c r="O23" s="34">
        <v>1.2567453983371399</v>
      </c>
      <c r="P23" s="34">
        <v>1.2582222349607</v>
      </c>
      <c r="Q23" s="34">
        <v>1.2566367040858499</v>
      </c>
      <c r="R23" s="33">
        <v>26.341383549146499</v>
      </c>
      <c r="S23" s="33">
        <v>26.379658121441501</v>
      </c>
      <c r="T23" s="33">
        <v>26.339830388864499</v>
      </c>
      <c r="U23" s="15">
        <v>1.9525827370239399E-3</v>
      </c>
      <c r="V23" s="15">
        <v>3.4045487000006099E-3</v>
      </c>
      <c r="W23" s="15">
        <v>1.8936182536219699E-3</v>
      </c>
      <c r="X23" s="34">
        <v>1.2543860349487399</v>
      </c>
      <c r="Y23" s="34">
        <v>1.2550529069020999</v>
      </c>
      <c r="Z23" s="34">
        <v>1.2543349108952599</v>
      </c>
      <c r="AA23" s="34">
        <v>1.2544478983323599</v>
      </c>
      <c r="AB23" s="33">
        <v>26.408409099574801</v>
      </c>
      <c r="AC23" s="33">
        <v>26.390139515332798</v>
      </c>
      <c r="AD23" s="33">
        <v>26.396309664458599</v>
      </c>
      <c r="AE23" s="15">
        <v>5.3149089060288996E-4</v>
      </c>
      <c r="AF23" s="15">
        <v>-1.6055786643321901E-4</v>
      </c>
      <c r="AG23" s="15">
        <v>7.3219902282277706E-5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20.95</v>
      </c>
      <c r="C24" s="33">
        <v>26.28</v>
      </c>
      <c r="D24" s="15">
        <v>-4.7721308469475299E-4</v>
      </c>
      <c r="E24" s="15">
        <v>-3.8044512537996502E-4</v>
      </c>
      <c r="F24" s="33">
        <v>0</v>
      </c>
      <c r="G24" s="33">
        <v>8.1670000000000006E-2</v>
      </c>
      <c r="H24" s="33">
        <v>0</v>
      </c>
      <c r="I24" s="33">
        <v>0.104377</v>
      </c>
      <c r="J24" s="33">
        <v>8.1670000000000006E-2</v>
      </c>
      <c r="K24" s="33">
        <v>0.104377</v>
      </c>
      <c r="L24" s="33">
        <v>21.031669999999998</v>
      </c>
      <c r="M24" s="33">
        <v>26.384377000000001</v>
      </c>
      <c r="N24" s="34">
        <v>1.2544152744629999</v>
      </c>
      <c r="O24" s="34">
        <v>1.2567453983371399</v>
      </c>
      <c r="P24" s="34">
        <v>1.2576494425979301</v>
      </c>
      <c r="Q24" s="34">
        <v>1.2565606966789</v>
      </c>
      <c r="R24" s="33">
        <v>26.328816095163099</v>
      </c>
      <c r="S24" s="33">
        <v>26.359755822426798</v>
      </c>
      <c r="T24" s="33">
        <v>26.3265389505986</v>
      </c>
      <c r="U24" s="15">
        <v>1.85581477770914E-3</v>
      </c>
      <c r="V24" s="15">
        <v>3.0302527893646199E-3</v>
      </c>
      <c r="W24" s="15">
        <v>1.7693223567971201E-3</v>
      </c>
      <c r="X24" s="34">
        <v>1.2545069887460101</v>
      </c>
      <c r="Y24" s="34">
        <v>1.2550529069020999</v>
      </c>
      <c r="Z24" s="34">
        <v>1.2542606276833199</v>
      </c>
      <c r="AA24" s="34">
        <v>1.25437647663955</v>
      </c>
      <c r="AB24" s="33">
        <v>26.395858570505801</v>
      </c>
      <c r="AC24" s="33">
        <v>26.3807579154286</v>
      </c>
      <c r="AD24" s="33">
        <v>26.383134229919701</v>
      </c>
      <c r="AE24" s="15">
        <v>4.35070839030755E-4</v>
      </c>
      <c r="AF24" s="15">
        <v>-1.3717711829489099E-4</v>
      </c>
      <c r="AG24" s="15">
        <v>-4.7103607940384902E-5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21.03</v>
      </c>
      <c r="C25" s="33">
        <v>26.4</v>
      </c>
      <c r="D25" s="15">
        <v>3.8113433464617898E-3</v>
      </c>
      <c r="E25" s="15">
        <v>4.5558165358606604E-3</v>
      </c>
      <c r="F25" s="33">
        <v>0</v>
      </c>
      <c r="G25" s="33">
        <v>8.1670000000000006E-2</v>
      </c>
      <c r="H25" s="33">
        <v>0</v>
      </c>
      <c r="I25" s="33">
        <v>0.104377</v>
      </c>
      <c r="J25" s="33">
        <v>8.1670000000000006E-2</v>
      </c>
      <c r="K25" s="33">
        <v>0.104377</v>
      </c>
      <c r="L25" s="33">
        <v>21.11167</v>
      </c>
      <c r="M25" s="33">
        <v>26.504376999999899</v>
      </c>
      <c r="N25" s="34">
        <v>1.25534950071326</v>
      </c>
      <c r="O25" s="34">
        <v>1.2567453983371399</v>
      </c>
      <c r="P25" s="34">
        <v>1.25730260048623</v>
      </c>
      <c r="Q25" s="34">
        <v>1.2566323957297501</v>
      </c>
      <c r="R25" s="33">
        <v>26.429355727030099</v>
      </c>
      <c r="S25" s="33">
        <v>26.448367777834601</v>
      </c>
      <c r="T25" s="33">
        <v>26.4254714511572</v>
      </c>
      <c r="U25" s="15">
        <v>1.1113415883103599E-3</v>
      </c>
      <c r="V25" s="15">
        <v>1.8304365252180201E-3</v>
      </c>
      <c r="W25" s="15">
        <v>9.64362548277839E-4</v>
      </c>
      <c r="X25" s="34">
        <v>1.2554372534242899</v>
      </c>
      <c r="Y25" s="34">
        <v>1.2550529069020999</v>
      </c>
      <c r="Z25" s="34">
        <v>1.2544106876611301</v>
      </c>
      <c r="AA25" s="34">
        <v>1.25445256332595</v>
      </c>
      <c r="AB25" s="33">
        <v>26.496262803057999</v>
      </c>
      <c r="AC25" s="33">
        <v>26.4795364656432</v>
      </c>
      <c r="AD25" s="33">
        <v>26.481982230577</v>
      </c>
      <c r="AE25" s="15">
        <v>-3.0619241713035901E-4</v>
      </c>
      <c r="AF25" s="15">
        <v>-9.3766332276825498E-4</v>
      </c>
      <c r="AG25" s="15">
        <v>-8.4530324716247196E-4</v>
      </c>
      <c r="AI25" s="12"/>
      <c r="AJ25">
        <f t="shared" si="6"/>
        <v>0</v>
      </c>
      <c r="AK25">
        <f t="shared" si="7"/>
        <v>0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21.05</v>
      </c>
      <c r="C26" s="33">
        <v>26.41</v>
      </c>
      <c r="D26" s="15">
        <v>9.5057041378202901E-4</v>
      </c>
      <c r="E26" s="15">
        <v>3.7871615677046903E-4</v>
      </c>
      <c r="F26" s="33">
        <v>0</v>
      </c>
      <c r="G26" s="33">
        <v>8.1670000000000006E-2</v>
      </c>
      <c r="H26" s="33">
        <v>0</v>
      </c>
      <c r="I26" s="33">
        <v>0.104377</v>
      </c>
      <c r="J26" s="33">
        <v>8.1670000000000006E-2</v>
      </c>
      <c r="K26" s="33">
        <v>0.104377</v>
      </c>
      <c r="L26" s="33">
        <v>21.13167</v>
      </c>
      <c r="M26" s="33">
        <v>26.514377</v>
      </c>
      <c r="N26" s="34">
        <v>1.25463182897862</v>
      </c>
      <c r="O26" s="34">
        <v>1.2567453983371399</v>
      </c>
      <c r="P26" s="34">
        <v>1.2569086405269501</v>
      </c>
      <c r="Q26" s="34">
        <v>1.25659043817773</v>
      </c>
      <c r="R26" s="33">
        <v>26.454490634996802</v>
      </c>
      <c r="S26" s="33">
        <v>26.4662197402352</v>
      </c>
      <c r="T26" s="33">
        <v>26.452111930111201</v>
      </c>
      <c r="U26" s="15">
        <v>1.6831958453218201E-3</v>
      </c>
      <c r="V26" s="15">
        <v>2.1264667442662298E-3</v>
      </c>
      <c r="W26" s="15">
        <v>1.59327493670552E-3</v>
      </c>
      <c r="X26" s="34">
        <v>1.25472227230502</v>
      </c>
      <c r="Y26" s="34">
        <v>1.2550529069020999</v>
      </c>
      <c r="Z26" s="34">
        <v>1.2545133402801401</v>
      </c>
      <c r="AA26" s="34">
        <v>1.25441512794025</v>
      </c>
      <c r="AB26" s="33">
        <v>26.521363861196001</v>
      </c>
      <c r="AC26" s="33">
        <v>26.507792696128199</v>
      </c>
      <c r="AD26" s="33">
        <v>26.508677598858199</v>
      </c>
      <c r="AE26" s="15">
        <v>2.6347746342457798E-4</v>
      </c>
      <c r="AF26" s="15">
        <v>-2.4836041011933101E-4</v>
      </c>
      <c r="AG26" s="15">
        <v>-2.1497822812393801E-4</v>
      </c>
      <c r="AI26" s="12"/>
      <c r="AJ26">
        <f t="shared" si="6"/>
        <v>0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21.05</v>
      </c>
      <c r="C27" s="33">
        <v>26.41</v>
      </c>
      <c r="D27" s="15">
        <v>0</v>
      </c>
      <c r="E27" s="15">
        <v>0</v>
      </c>
      <c r="F27" s="33">
        <v>0</v>
      </c>
      <c r="G27" s="33">
        <v>8.1670000000000006E-2</v>
      </c>
      <c r="H27" s="33">
        <v>0</v>
      </c>
      <c r="I27" s="33">
        <v>0.104377</v>
      </c>
      <c r="J27" s="33">
        <v>8.1670000000000006E-2</v>
      </c>
      <c r="K27" s="33">
        <v>0.104377</v>
      </c>
      <c r="L27" s="33">
        <v>21.13167</v>
      </c>
      <c r="M27" s="33">
        <v>26.514377</v>
      </c>
      <c r="N27" s="34">
        <v>1.25463182897862</v>
      </c>
      <c r="O27" s="34">
        <v>1.2567453983371399</v>
      </c>
      <c r="P27" s="34">
        <v>1.25641944247243</v>
      </c>
      <c r="Q27" s="34">
        <v>1.2565490001869599</v>
      </c>
      <c r="R27" s="33">
        <v>26.454490634996802</v>
      </c>
      <c r="S27" s="33">
        <v>26.457926883092298</v>
      </c>
      <c r="T27" s="33">
        <v>26.451228723641201</v>
      </c>
      <c r="U27" s="15">
        <v>1.6831958453218201E-3</v>
      </c>
      <c r="V27" s="15">
        <v>1.81308021883968E-3</v>
      </c>
      <c r="W27" s="15">
        <v>1.559885496296E-3</v>
      </c>
      <c r="X27" s="34">
        <v>1.25472227230502</v>
      </c>
      <c r="Y27" s="34">
        <v>1.2550529069020999</v>
      </c>
      <c r="Z27" s="34">
        <v>1.25452112375453</v>
      </c>
      <c r="AA27" s="34">
        <v>1.25437821211581</v>
      </c>
      <c r="AB27" s="33">
        <v>26.521363861196001</v>
      </c>
      <c r="AC27" s="33">
        <v>26.5099619173976</v>
      </c>
      <c r="AD27" s="33">
        <v>26.5078865266413</v>
      </c>
      <c r="AE27" s="15">
        <v>2.6347746342457798E-4</v>
      </c>
      <c r="AF27" s="15">
        <v>-1.66530416131492E-4</v>
      </c>
      <c r="AG27" s="15">
        <v>-2.44820683214808E-4</v>
      </c>
      <c r="AI27" s="12"/>
      <c r="AJ27">
        <f t="shared" si="6"/>
        <v>0</v>
      </c>
      <c r="AK27">
        <f t="shared" si="7"/>
        <v>0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21.09</v>
      </c>
      <c r="C28" s="33">
        <v>26.46</v>
      </c>
      <c r="D28" s="15">
        <v>1.8984343622928501E-3</v>
      </c>
      <c r="E28" s="15">
        <v>1.8914323777687299E-3</v>
      </c>
      <c r="F28" s="33">
        <v>0</v>
      </c>
      <c r="G28" s="33">
        <v>8.1670000000000006E-2</v>
      </c>
      <c r="H28" s="33">
        <v>0</v>
      </c>
      <c r="I28" s="33">
        <v>0.104377</v>
      </c>
      <c r="J28" s="33">
        <v>8.1670000000000006E-2</v>
      </c>
      <c r="K28" s="33">
        <v>0.104377</v>
      </c>
      <c r="L28" s="33">
        <v>21.171669999999999</v>
      </c>
      <c r="M28" s="33">
        <v>26.564377</v>
      </c>
      <c r="N28" s="34">
        <v>1.2546230440967201</v>
      </c>
      <c r="O28" s="34">
        <v>1.2567453983371399</v>
      </c>
      <c r="P28" s="34">
        <v>1.25585696137209</v>
      </c>
      <c r="Q28" s="34">
        <v>1.2565187455476901</v>
      </c>
      <c r="R28" s="33">
        <v>26.504760450930299</v>
      </c>
      <c r="S28" s="33">
        <v>26.497886041743602</v>
      </c>
      <c r="T28" s="33">
        <v>26.500618413943101</v>
      </c>
      <c r="U28" s="15">
        <v>1.6901978298459401E-3</v>
      </c>
      <c r="V28" s="15">
        <v>1.4307991137378199E-3</v>
      </c>
      <c r="W28" s="15">
        <v>1.53391040828982E-3</v>
      </c>
      <c r="X28" s="34">
        <v>1.2547133504348</v>
      </c>
      <c r="Y28" s="34">
        <v>1.2550529069020999</v>
      </c>
      <c r="Z28" s="34">
        <v>1.25445635458595</v>
      </c>
      <c r="AA28" s="34">
        <v>1.2543524727934401</v>
      </c>
      <c r="AB28" s="33">
        <v>26.571565977472101</v>
      </c>
      <c r="AC28" s="33">
        <v>26.56030724016</v>
      </c>
      <c r="AD28" s="33">
        <v>26.557281562105999</v>
      </c>
      <c r="AE28" s="15">
        <v>2.7058812220755201E-4</v>
      </c>
      <c r="AF28" s="15">
        <v>-1.5321539905990199E-4</v>
      </c>
      <c r="AG28" s="15">
        <v>-2.6713917178927801E-4</v>
      </c>
      <c r="AI28" s="12"/>
      <c r="AJ28">
        <f t="shared" si="6"/>
        <v>0</v>
      </c>
      <c r="AK28">
        <f t="shared" si="7"/>
        <v>0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21.08</v>
      </c>
      <c r="C29" s="33">
        <v>26.43</v>
      </c>
      <c r="D29" s="15">
        <v>-4.7427081752174501E-4</v>
      </c>
      <c r="E29" s="15">
        <v>-1.13443007061186E-3</v>
      </c>
      <c r="F29" s="33">
        <v>0</v>
      </c>
      <c r="G29" s="33">
        <v>8.1670000000000006E-2</v>
      </c>
      <c r="H29" s="33">
        <v>0</v>
      </c>
      <c r="I29" s="33">
        <v>0.104377</v>
      </c>
      <c r="J29" s="33">
        <v>8.1670000000000006E-2</v>
      </c>
      <c r="K29" s="33">
        <v>0.104377</v>
      </c>
      <c r="L29" s="33">
        <v>21.161669999999901</v>
      </c>
      <c r="M29" s="33">
        <v>26.534376999999999</v>
      </c>
      <c r="N29" s="34">
        <v>1.2537950664136599</v>
      </c>
      <c r="O29" s="34">
        <v>1.2567453983371399</v>
      </c>
      <c r="P29" s="34">
        <v>1.25529464636348</v>
      </c>
      <c r="Q29" s="34">
        <v>1.25644758805243</v>
      </c>
      <c r="R29" s="33">
        <v>26.492192996947001</v>
      </c>
      <c r="S29" s="33">
        <v>26.473464745723799</v>
      </c>
      <c r="T29" s="33">
        <v>26.487415156145399</v>
      </c>
      <c r="U29" s="15">
        <v>2.3503570829358799E-3</v>
      </c>
      <c r="V29" s="15">
        <v>1.6431723597830101E-3</v>
      </c>
      <c r="W29" s="15">
        <v>2.1699918072726801E-3</v>
      </c>
      <c r="X29" s="34">
        <v>1.2538886108705001</v>
      </c>
      <c r="Y29" s="34">
        <v>1.2550529069020999</v>
      </c>
      <c r="Z29" s="34">
        <v>1.2543919855967101</v>
      </c>
      <c r="AA29" s="34">
        <v>1.2542859925210299</v>
      </c>
      <c r="AB29" s="33">
        <v>26.559015448403098</v>
      </c>
      <c r="AC29" s="33">
        <v>26.5463914051508</v>
      </c>
      <c r="AD29" s="33">
        <v>26.544193092938901</v>
      </c>
      <c r="AE29" s="15">
        <v>9.2811738092256498E-4</v>
      </c>
      <c r="AF29" s="15">
        <v>4.5268392741992103E-4</v>
      </c>
      <c r="AG29" s="15">
        <v>3.69870289785013E-4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0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21.15</v>
      </c>
      <c r="C30" s="33">
        <v>26.54</v>
      </c>
      <c r="D30" s="15">
        <v>3.3151818191254801E-3</v>
      </c>
      <c r="E30" s="15">
        <v>4.1533002878634904E-3</v>
      </c>
      <c r="F30" s="33">
        <v>0</v>
      </c>
      <c r="G30" s="33">
        <v>8.1670000000000006E-2</v>
      </c>
      <c r="H30" s="33">
        <v>0</v>
      </c>
      <c r="I30" s="33">
        <v>0.104377</v>
      </c>
      <c r="J30" s="33">
        <v>8.1670000000000006E-2</v>
      </c>
      <c r="K30" s="33">
        <v>0.104377</v>
      </c>
      <c r="L30" s="33">
        <v>21.231669999999902</v>
      </c>
      <c r="M30" s="33">
        <v>26.644376999999999</v>
      </c>
      <c r="N30" s="34">
        <v>1.25484633569739</v>
      </c>
      <c r="O30" s="34">
        <v>1.2567453983371399</v>
      </c>
      <c r="P30" s="34">
        <v>1.25486217655066</v>
      </c>
      <c r="Q30" s="34">
        <v>1.25645919021355</v>
      </c>
      <c r="R30" s="33">
        <v>26.580165174830601</v>
      </c>
      <c r="S30" s="33">
        <v>26.5494817705877</v>
      </c>
      <c r="T30" s="33">
        <v>26.573866487309001</v>
      </c>
      <c r="U30" s="15">
        <v>1.51223861419781E-3</v>
      </c>
      <c r="V30" s="15">
        <v>3.5719959481154002E-4</v>
      </c>
      <c r="W30" s="15">
        <v>1.27524106748179E-3</v>
      </c>
      <c r="X30" s="34">
        <v>1.2549355279165499</v>
      </c>
      <c r="Y30" s="34">
        <v>1.2550529069020999</v>
      </c>
      <c r="Z30" s="34">
        <v>1.25445646703332</v>
      </c>
      <c r="AA30" s="34">
        <v>1.2543020542931</v>
      </c>
      <c r="AB30" s="33">
        <v>26.6468691518862</v>
      </c>
      <c r="AC30" s="33">
        <v>26.6328366888342</v>
      </c>
      <c r="AD30" s="33">
        <v>26.630586278829</v>
      </c>
      <c r="AE30" s="15">
        <v>9.3529503175114197E-5</v>
      </c>
      <c r="AF30" s="15">
        <v>-4.3321752573726802E-4</v>
      </c>
      <c r="AG30" s="15">
        <v>-5.17718666713924E-4</v>
      </c>
      <c r="AI30" s="12"/>
      <c r="AJ30">
        <f t="shared" si="6"/>
        <v>0</v>
      </c>
      <c r="AK30">
        <f t="shared" si="7"/>
        <v>0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21.21</v>
      </c>
      <c r="C31" s="33">
        <v>26.62</v>
      </c>
      <c r="D31" s="15">
        <v>2.8328630843040999E-3</v>
      </c>
      <c r="E31" s="15">
        <v>3.0097840629041898E-3</v>
      </c>
      <c r="F31" s="33">
        <v>0</v>
      </c>
      <c r="G31" s="33">
        <v>8.1670000000000006E-2</v>
      </c>
      <c r="H31" s="33">
        <v>0</v>
      </c>
      <c r="I31" s="33">
        <v>0.104377</v>
      </c>
      <c r="J31" s="33">
        <v>8.1670000000000006E-2</v>
      </c>
      <c r="K31" s="33">
        <v>0.104377</v>
      </c>
      <c r="L31" s="33">
        <v>21.29167</v>
      </c>
      <c r="M31" s="33">
        <v>26.724377</v>
      </c>
      <c r="N31" s="34">
        <v>1.2550683639792499</v>
      </c>
      <c r="O31" s="34">
        <v>1.2567453983371399</v>
      </c>
      <c r="P31" s="34">
        <v>1.2545471930343399</v>
      </c>
      <c r="Q31" s="34">
        <v>1.25655257996301</v>
      </c>
      <c r="R31" s="33">
        <v>26.6555698987308</v>
      </c>
      <c r="S31" s="33">
        <v>26.6156267646396</v>
      </c>
      <c r="T31" s="33">
        <v>26.649499424429401</v>
      </c>
      <c r="U31" s="15">
        <v>1.33531763559782E-3</v>
      </c>
      <c r="V31" s="15">
        <v>-1.6429731876929201E-4</v>
      </c>
      <c r="W31" s="15">
        <v>1.1075541450060501E-3</v>
      </c>
      <c r="X31" s="34">
        <v>1.2551564532044599</v>
      </c>
      <c r="Y31" s="34">
        <v>1.2550529069020999</v>
      </c>
      <c r="Z31" s="34">
        <v>1.2546379551654701</v>
      </c>
      <c r="AA31" s="34">
        <v>1.2543998485038199</v>
      </c>
      <c r="AB31" s="33">
        <v>26.722172326300299</v>
      </c>
      <c r="AC31" s="33">
        <v>26.709473125439398</v>
      </c>
      <c r="AD31" s="33">
        <v>26.706185420330801</v>
      </c>
      <c r="AE31" s="15">
        <v>-8.2500132511709003E-5</v>
      </c>
      <c r="AF31" s="15">
        <v>-5.5784394768692105E-4</v>
      </c>
      <c r="AG31" s="15">
        <v>-6.8094287419146002E-4</v>
      </c>
      <c r="AI31" s="12"/>
      <c r="AJ31">
        <f t="shared" si="6"/>
        <v>0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21.22</v>
      </c>
      <c r="C32" s="33">
        <v>26.64</v>
      </c>
      <c r="D32" s="15">
        <v>4.7136460924582799E-4</v>
      </c>
      <c r="E32" s="15">
        <v>7.5103270522274999E-4</v>
      </c>
      <c r="F32" s="33">
        <v>0</v>
      </c>
      <c r="G32" s="33">
        <v>8.1670000000000006E-2</v>
      </c>
      <c r="H32" s="33">
        <v>0</v>
      </c>
      <c r="I32" s="33">
        <v>0.104377</v>
      </c>
      <c r="J32" s="33">
        <v>8.1670000000000006E-2</v>
      </c>
      <c r="K32" s="33">
        <v>0.104377</v>
      </c>
      <c r="L32" s="33">
        <v>21.301669999999898</v>
      </c>
      <c r="M32" s="33">
        <v>26.744377</v>
      </c>
      <c r="N32" s="34">
        <v>1.25541941564561</v>
      </c>
      <c r="O32" s="34">
        <v>1.2567453983371399</v>
      </c>
      <c r="P32" s="34">
        <v>1.25470745520959</v>
      </c>
      <c r="Q32" s="34">
        <v>1.2566394652346</v>
      </c>
      <c r="R32" s="33">
        <v>26.668137352714201</v>
      </c>
      <c r="S32" s="33">
        <v>26.621491436188801</v>
      </c>
      <c r="T32" s="33">
        <v>26.664045746815098</v>
      </c>
      <c r="U32" s="15">
        <v>1.05564953962095E-3</v>
      </c>
      <c r="V32" s="15">
        <v>-6.9500737050785105E-4</v>
      </c>
      <c r="W32" s="15">
        <v>9.0221100891328199E-4</v>
      </c>
      <c r="X32" s="34">
        <v>1.25550611759547</v>
      </c>
      <c r="Y32" s="34">
        <v>1.2550529069020999</v>
      </c>
      <c r="Z32" s="34">
        <v>1.2547974881750901</v>
      </c>
      <c r="AA32" s="34">
        <v>1.2544910688729001</v>
      </c>
      <c r="AB32" s="33">
        <v>26.734722855369402</v>
      </c>
      <c r="AC32" s="33">
        <v>26.725883690409599</v>
      </c>
      <c r="AD32" s="33">
        <v>26.720811620878401</v>
      </c>
      <c r="AE32" s="15">
        <v>-3.6104365112977398E-4</v>
      </c>
      <c r="AF32" s="15">
        <v>-6.9172321544430702E-4</v>
      </c>
      <c r="AG32" s="15">
        <v>-8.81522398233864E-4</v>
      </c>
      <c r="AI32" s="12"/>
      <c r="AJ32">
        <f t="shared" si="6"/>
        <v>0</v>
      </c>
      <c r="AK32">
        <f t="shared" si="7"/>
        <v>0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21.21</v>
      </c>
      <c r="C33" s="33">
        <v>26.59</v>
      </c>
      <c r="D33" s="15">
        <v>-4.7136460924585E-4</v>
      </c>
      <c r="E33" s="15">
        <v>-1.8786404172599399E-3</v>
      </c>
      <c r="F33" s="33">
        <v>0</v>
      </c>
      <c r="G33" s="33">
        <v>8.1670000000000006E-2</v>
      </c>
      <c r="H33" s="33">
        <v>0</v>
      </c>
      <c r="I33" s="33">
        <v>0.104377</v>
      </c>
      <c r="J33" s="33">
        <v>8.1670000000000006E-2</v>
      </c>
      <c r="K33" s="33">
        <v>0.104377</v>
      </c>
      <c r="L33" s="33">
        <v>21.29167</v>
      </c>
      <c r="M33" s="33">
        <v>26.694376999999999</v>
      </c>
      <c r="N33" s="34">
        <v>1.2536539368222499</v>
      </c>
      <c r="O33" s="34">
        <v>1.2567453983371399</v>
      </c>
      <c r="P33" s="34">
        <v>1.25464345957884</v>
      </c>
      <c r="Q33" s="34">
        <v>1.2564328472697699</v>
      </c>
      <c r="R33" s="33">
        <v>26.6555698987308</v>
      </c>
      <c r="S33" s="33">
        <v>26.6123451249955</v>
      </c>
      <c r="T33" s="33">
        <v>26.653323057625901</v>
      </c>
      <c r="U33" s="15">
        <v>2.4629253476349802E-3</v>
      </c>
      <c r="V33" s="15">
        <v>8.4000531393595005E-4</v>
      </c>
      <c r="W33" s="15">
        <v>2.3786301772945702E-3</v>
      </c>
      <c r="X33" s="34">
        <v>1.2537474514681</v>
      </c>
      <c r="Y33" s="34">
        <v>1.2550529069020999</v>
      </c>
      <c r="Z33" s="34">
        <v>1.25473362982702</v>
      </c>
      <c r="AA33" s="34">
        <v>1.25453427036114</v>
      </c>
      <c r="AB33" s="33">
        <v>26.722172326300299</v>
      </c>
      <c r="AC33" s="33">
        <v>26.716734035052902</v>
      </c>
      <c r="AD33" s="33">
        <v>26.710209856389199</v>
      </c>
      <c r="AE33" s="15">
        <v>1.0407010246681399E-3</v>
      </c>
      <c r="AF33" s="15">
        <v>8.3716799465272703E-4</v>
      </c>
      <c r="AG33" s="15">
        <v>5.92939962094052E-4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0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21.23</v>
      </c>
      <c r="C34" s="33">
        <v>26.62</v>
      </c>
      <c r="D34" s="15">
        <v>9.4250713857353305E-4</v>
      </c>
      <c r="E34" s="15">
        <v>1.12760771203725E-3</v>
      </c>
      <c r="F34" s="33">
        <v>0</v>
      </c>
      <c r="G34" s="33">
        <v>8.1670000000000006E-2</v>
      </c>
      <c r="H34" s="33">
        <v>0</v>
      </c>
      <c r="I34" s="33">
        <v>0.104377</v>
      </c>
      <c r="J34" s="33">
        <v>8.1670000000000006E-2</v>
      </c>
      <c r="K34" s="33">
        <v>0.104377</v>
      </c>
      <c r="L34" s="33">
        <v>21.311669999999999</v>
      </c>
      <c r="M34" s="33">
        <v>26.724377</v>
      </c>
      <c r="N34" s="34">
        <v>1.2538860103626901</v>
      </c>
      <c r="O34" s="34">
        <v>1.2567453983371399</v>
      </c>
      <c r="P34" s="34">
        <v>1.2545905331688101</v>
      </c>
      <c r="Q34" s="34">
        <v>1.25611998788337</v>
      </c>
      <c r="R34" s="33">
        <v>26.680704806697499</v>
      </c>
      <c r="S34" s="33">
        <v>26.636080646858801</v>
      </c>
      <c r="T34" s="33">
        <v>26.674069347537301</v>
      </c>
      <c r="U34" s="15">
        <v>2.2778247741712899E-3</v>
      </c>
      <c r="V34" s="15">
        <v>6.0389901593351696E-4</v>
      </c>
      <c r="W34" s="15">
        <v>2.0290950475581999E-3</v>
      </c>
      <c r="X34" s="34">
        <v>1.2539785479035599</v>
      </c>
      <c r="Y34" s="34">
        <v>1.2550529069020999</v>
      </c>
      <c r="Z34" s="34">
        <v>1.25468078574278</v>
      </c>
      <c r="AA34" s="34">
        <v>1.2544707067130501</v>
      </c>
      <c r="AB34" s="33">
        <v>26.747273384438401</v>
      </c>
      <c r="AC34" s="33">
        <v>26.740469056775702</v>
      </c>
      <c r="AD34" s="33">
        <v>26.7362203736275</v>
      </c>
      <c r="AE34" s="15">
        <v>8.5639345983117899E-4</v>
      </c>
      <c r="AF34" s="15">
        <v>6.0196777690591603E-4</v>
      </c>
      <c r="AG34" s="15">
        <v>4.4306926608027298E-4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0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21.23</v>
      </c>
      <c r="C35" s="33">
        <v>26.62</v>
      </c>
      <c r="D35" s="15">
        <v>0</v>
      </c>
      <c r="E35" s="15">
        <v>0</v>
      </c>
      <c r="F35" s="33">
        <v>0</v>
      </c>
      <c r="G35" s="33">
        <v>8.1670000000000006E-2</v>
      </c>
      <c r="H35" s="33">
        <v>0</v>
      </c>
      <c r="I35" s="33">
        <v>0.104377</v>
      </c>
      <c r="J35" s="33">
        <v>8.1670000000000006E-2</v>
      </c>
      <c r="K35" s="33">
        <v>0.104377</v>
      </c>
      <c r="L35" s="33">
        <v>21.311669999999999</v>
      </c>
      <c r="M35" s="33">
        <v>26.724377</v>
      </c>
      <c r="N35" s="34">
        <v>1.2538860103626901</v>
      </c>
      <c r="O35" s="34">
        <v>1.2567453983371399</v>
      </c>
      <c r="P35" s="34">
        <v>1.2544441841337499</v>
      </c>
      <c r="Q35" s="34">
        <v>1.2558733923099901</v>
      </c>
      <c r="R35" s="33">
        <v>26.680704806697499</v>
      </c>
      <c r="S35" s="33">
        <v>26.6349570191738</v>
      </c>
      <c r="T35" s="33">
        <v>26.667427342764</v>
      </c>
      <c r="U35" s="15">
        <v>2.2778247741712899E-3</v>
      </c>
      <c r="V35" s="15">
        <v>5.6171370344999902E-4</v>
      </c>
      <c r="W35" s="15">
        <v>1.7800579856187501E-3</v>
      </c>
      <c r="X35" s="34">
        <v>1.2539785479035599</v>
      </c>
      <c r="Y35" s="34">
        <v>1.2550529069020999</v>
      </c>
      <c r="Z35" s="34">
        <v>1.2545349151907099</v>
      </c>
      <c r="AA35" s="34">
        <v>1.2544728014259201</v>
      </c>
      <c r="AB35" s="33">
        <v>26.747273384438401</v>
      </c>
      <c r="AC35" s="33">
        <v>26.739342861090801</v>
      </c>
      <c r="AD35" s="33">
        <v>26.7348657261354</v>
      </c>
      <c r="AE35" s="15">
        <v>8.5639345983117899E-4</v>
      </c>
      <c r="AF35" s="15">
        <v>5.5985111102123202E-4</v>
      </c>
      <c r="AG35" s="15">
        <v>3.9240085474946202E-4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0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21.18</v>
      </c>
      <c r="C36" s="33">
        <v>26.68</v>
      </c>
      <c r="D36" s="15">
        <v>-2.3579355419044001E-3</v>
      </c>
      <c r="E36" s="15">
        <v>2.2514080804574201E-3</v>
      </c>
      <c r="F36" s="33">
        <v>8.1119999999999998E-2</v>
      </c>
      <c r="G36" s="33">
        <v>0.16278999999999999</v>
      </c>
      <c r="H36" s="33">
        <v>0</v>
      </c>
      <c r="I36" s="33">
        <v>0.104377</v>
      </c>
      <c r="J36" s="33">
        <v>0.16278999999999999</v>
      </c>
      <c r="K36" s="33">
        <v>0.104377</v>
      </c>
      <c r="L36" s="33">
        <v>21.342790000000001</v>
      </c>
      <c r="M36" s="33">
        <v>26.784376999999999</v>
      </c>
      <c r="N36" s="34">
        <v>1.25967894239848</v>
      </c>
      <c r="O36" s="34">
        <v>1.2567453983371399</v>
      </c>
      <c r="P36" s="34">
        <v>1.25494889547574</v>
      </c>
      <c r="Q36" s="34">
        <v>1.25592876800134</v>
      </c>
      <c r="R36" s="33">
        <v>26.6178675367807</v>
      </c>
      <c r="S36" s="33">
        <v>26.5691278199529</v>
      </c>
      <c r="T36" s="33">
        <v>26.599398449125601</v>
      </c>
      <c r="U36" s="15">
        <v>-2.3315188481903598E-3</v>
      </c>
      <c r="V36" s="15">
        <v>-4.16428755956837E-3</v>
      </c>
      <c r="W36" s="15">
        <v>-3.0256202100084101E-3</v>
      </c>
      <c r="X36" s="34">
        <v>1.25496137102974</v>
      </c>
      <c r="Y36" s="34">
        <v>1.2550529069020999</v>
      </c>
      <c r="Z36" s="34">
        <v>1.2545588250631801</v>
      </c>
      <c r="AA36" s="34">
        <v>1.2545360826716601</v>
      </c>
      <c r="AB36" s="33">
        <v>26.786330630901201</v>
      </c>
      <c r="AC36" s="33">
        <v>26.775275242583099</v>
      </c>
      <c r="AD36" s="33">
        <v>26.773949561545201</v>
      </c>
      <c r="AE36" s="15">
        <v>7.2936535225962001E-5</v>
      </c>
      <c r="AF36" s="15">
        <v>-3.3987365949475002E-4</v>
      </c>
      <c r="AG36" s="15">
        <v>-3.8938627309634201E-4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21.17</v>
      </c>
      <c r="C37" s="33">
        <v>26.65</v>
      </c>
      <c r="D37" s="15">
        <v>-4.7225502648649001E-4</v>
      </c>
      <c r="E37" s="15">
        <v>-1.12507043556946E-3</v>
      </c>
      <c r="F37" s="33">
        <v>0</v>
      </c>
      <c r="G37" s="33">
        <v>0.16278999999999999</v>
      </c>
      <c r="H37" s="33">
        <v>0</v>
      </c>
      <c r="I37" s="33">
        <v>0.104377</v>
      </c>
      <c r="J37" s="33">
        <v>0.16278999999999999</v>
      </c>
      <c r="K37" s="33">
        <v>0.104377</v>
      </c>
      <c r="L37" s="33">
        <v>21.332789999999999</v>
      </c>
      <c r="M37" s="33">
        <v>26.754376999999899</v>
      </c>
      <c r="N37" s="34">
        <v>1.25885687293339</v>
      </c>
      <c r="O37" s="34">
        <v>1.2567453983371399</v>
      </c>
      <c r="P37" s="34">
        <v>1.2553713998712099</v>
      </c>
      <c r="Q37" s="34">
        <v>1.2558954211718201</v>
      </c>
      <c r="R37" s="33">
        <v>26.605300082797299</v>
      </c>
      <c r="S37" s="33">
        <v>26.567268117221399</v>
      </c>
      <c r="T37" s="33">
        <v>26.5880120185885</v>
      </c>
      <c r="U37" s="15">
        <v>-1.67870343910744E-3</v>
      </c>
      <c r="V37" s="15">
        <v>-3.1092144469048E-3</v>
      </c>
      <c r="W37" s="15">
        <v>-2.32871240205985E-3</v>
      </c>
      <c r="X37" s="34">
        <v>1.25414336333878</v>
      </c>
      <c r="Y37" s="34">
        <v>1.2550529069020999</v>
      </c>
      <c r="Z37" s="34">
        <v>1.2545009341665501</v>
      </c>
      <c r="AA37" s="34">
        <v>1.2545110289605399</v>
      </c>
      <c r="AB37" s="33">
        <v>26.773780101832202</v>
      </c>
      <c r="AC37" s="33">
        <v>26.763239957719598</v>
      </c>
      <c r="AD37" s="33">
        <v>26.762754799057198</v>
      </c>
      <c r="AE37" s="15">
        <v>7.2496808156963905E-4</v>
      </c>
      <c r="AF37" s="15">
        <v>3.31216459343871E-4</v>
      </c>
      <c r="AG37" s="15">
        <v>3.1308849499324398E-4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0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21.15</v>
      </c>
      <c r="C38" s="33">
        <v>26.64</v>
      </c>
      <c r="D38" s="15">
        <v>-9.4517965448698402E-4</v>
      </c>
      <c r="E38" s="15">
        <v>-3.7530493966512498E-4</v>
      </c>
      <c r="F38" s="33">
        <v>0</v>
      </c>
      <c r="G38" s="33">
        <v>0.16278999999999999</v>
      </c>
      <c r="H38" s="33">
        <v>0</v>
      </c>
      <c r="I38" s="33">
        <v>0.104377</v>
      </c>
      <c r="J38" s="33">
        <v>0.16278999999999999</v>
      </c>
      <c r="K38" s="33">
        <v>0.104377</v>
      </c>
      <c r="L38" s="33">
        <v>21.31279</v>
      </c>
      <c r="M38" s="33">
        <v>26.744377</v>
      </c>
      <c r="N38" s="34">
        <v>1.2595744680851</v>
      </c>
      <c r="O38" s="34">
        <v>1.2567453983371399</v>
      </c>
      <c r="P38" s="34">
        <v>1.2558665422700499</v>
      </c>
      <c r="Q38" s="34">
        <v>1.25586175182107</v>
      </c>
      <c r="R38" s="33">
        <v>26.580165174830601</v>
      </c>
      <c r="S38" s="33">
        <v>26.5511051072762</v>
      </c>
      <c r="T38" s="33">
        <v>26.562188157784099</v>
      </c>
      <c r="U38" s="15">
        <v>-2.24857815392917E-3</v>
      </c>
      <c r="V38" s="15">
        <v>-3.3424752242543002E-3</v>
      </c>
      <c r="W38" s="15">
        <v>-2.9251389987102498E-3</v>
      </c>
      <c r="X38" s="34">
        <v>1.25485105422612</v>
      </c>
      <c r="Y38" s="34">
        <v>1.2550529069020999</v>
      </c>
      <c r="Z38" s="34">
        <v>1.2545147045456899</v>
      </c>
      <c r="AA38" s="34">
        <v>1.2544855295658199</v>
      </c>
      <c r="AB38" s="33">
        <v>26.7486790436941</v>
      </c>
      <c r="AC38" s="33">
        <v>26.7369149646956</v>
      </c>
      <c r="AD38" s="33">
        <v>26.7371301129199</v>
      </c>
      <c r="AE38" s="15">
        <v>1.6084494032007901E-4</v>
      </c>
      <c r="AF38" s="15">
        <v>-2.7905217239987401E-4</v>
      </c>
      <c r="AG38" s="15">
        <v>-2.7100534429826302E-4</v>
      </c>
      <c r="AI38" s="12"/>
      <c r="AJ38">
        <f t="shared" si="6"/>
        <v>0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21.17</v>
      </c>
      <c r="C39" s="33">
        <v>26.66</v>
      </c>
      <c r="D39" s="15">
        <v>9.4517965448703497E-4</v>
      </c>
      <c r="E39" s="15">
        <v>7.5046907837417805E-4</v>
      </c>
      <c r="F39" s="33">
        <v>0</v>
      </c>
      <c r="G39" s="33">
        <v>0.16278999999999999</v>
      </c>
      <c r="H39" s="33">
        <v>0</v>
      </c>
      <c r="I39" s="33">
        <v>0.104377</v>
      </c>
      <c r="J39" s="33">
        <v>0.16278999999999999</v>
      </c>
      <c r="K39" s="33">
        <v>0.104377</v>
      </c>
      <c r="L39" s="33">
        <v>21.332789999999999</v>
      </c>
      <c r="M39" s="33">
        <v>26.764377</v>
      </c>
      <c r="N39" s="34">
        <v>1.2593292394898401</v>
      </c>
      <c r="O39" s="34">
        <v>1.2567453983371399</v>
      </c>
      <c r="P39" s="34">
        <v>1.2564199595776699</v>
      </c>
      <c r="Q39" s="34">
        <v>1.25585730297058</v>
      </c>
      <c r="R39" s="33">
        <v>26.605300082797299</v>
      </c>
      <c r="S39" s="33">
        <v>26.586694699857102</v>
      </c>
      <c r="T39" s="33">
        <v>26.586593286052199</v>
      </c>
      <c r="U39" s="15">
        <v>-2.05386757781649E-3</v>
      </c>
      <c r="V39" s="15">
        <v>-2.7534233577800899E-3</v>
      </c>
      <c r="W39" s="15">
        <v>-2.7572378220998002E-3</v>
      </c>
      <c r="X39" s="34">
        <v>1.2546121252775599</v>
      </c>
      <c r="Y39" s="34">
        <v>1.2550529069020999</v>
      </c>
      <c r="Z39" s="34">
        <v>1.2545870559863901</v>
      </c>
      <c r="AA39" s="34">
        <v>1.2544895207915501</v>
      </c>
      <c r="AB39" s="33">
        <v>26.773780101832202</v>
      </c>
      <c r="AC39" s="33">
        <v>26.762298743985198</v>
      </c>
      <c r="AD39" s="33">
        <v>26.761676360266399</v>
      </c>
      <c r="AE39" s="15">
        <v>3.5126729935853199E-4</v>
      </c>
      <c r="AF39" s="15">
        <v>-7.76530949065948E-5</v>
      </c>
      <c r="AG39" s="15">
        <v>-1.00909354092379E-4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21.2</v>
      </c>
      <c r="C40" s="33">
        <v>26.69</v>
      </c>
      <c r="D40" s="15">
        <v>1.41609653119279E-3</v>
      </c>
      <c r="E40" s="15">
        <v>1.12464866587026E-3</v>
      </c>
      <c r="F40" s="33">
        <v>0</v>
      </c>
      <c r="G40" s="33">
        <v>0.16278999999999999</v>
      </c>
      <c r="H40" s="33">
        <v>0</v>
      </c>
      <c r="I40" s="33">
        <v>0.104377</v>
      </c>
      <c r="J40" s="33">
        <v>0.16278999999999999</v>
      </c>
      <c r="K40" s="33">
        <v>0.104377</v>
      </c>
      <c r="L40" s="33">
        <v>21.36279</v>
      </c>
      <c r="M40" s="33">
        <v>26.794377000000001</v>
      </c>
      <c r="N40" s="34">
        <v>1.2589622641509399</v>
      </c>
      <c r="O40" s="34">
        <v>1.2567453983371399</v>
      </c>
      <c r="P40" s="34">
        <v>1.25683155242302</v>
      </c>
      <c r="Q40" s="34">
        <v>1.2558468644868399</v>
      </c>
      <c r="R40" s="33">
        <v>26.643002444747399</v>
      </c>
      <c r="S40" s="33">
        <v>26.6361031430467</v>
      </c>
      <c r="T40" s="33">
        <v>26.6241748229763</v>
      </c>
      <c r="U40" s="15">
        <v>-1.76241971249386E-3</v>
      </c>
      <c r="V40" s="15">
        <v>-2.02140685813756E-3</v>
      </c>
      <c r="W40" s="15">
        <v>-2.4693324313921502E-3</v>
      </c>
      <c r="X40" s="34">
        <v>1.2542545706810699</v>
      </c>
      <c r="Y40" s="34">
        <v>1.2550529069020999</v>
      </c>
      <c r="Z40" s="34">
        <v>1.2545189602628399</v>
      </c>
      <c r="AA40" s="34">
        <v>1.2544877136480801</v>
      </c>
      <c r="AB40" s="33">
        <v>26.8114316890392</v>
      </c>
      <c r="AC40" s="33">
        <v>26.801479813755599</v>
      </c>
      <c r="AD40" s="33">
        <v>26.799396189870599</v>
      </c>
      <c r="AE40" s="15">
        <v>6.36300058959095E-4</v>
      </c>
      <c r="AF40" s="15">
        <v>2.6505085353479999E-4</v>
      </c>
      <c r="AG40" s="15">
        <v>1.8730496423748701E-4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B41" s="33">
        <v>21.13</v>
      </c>
      <c r="C41" s="33">
        <v>26.5</v>
      </c>
      <c r="D41" s="15">
        <v>-3.3073500500013999E-3</v>
      </c>
      <c r="E41" s="15">
        <v>-7.1442304242562496E-3</v>
      </c>
      <c r="F41" s="33">
        <v>0</v>
      </c>
      <c r="G41" s="33">
        <v>0.16278999999999999</v>
      </c>
      <c r="H41" s="33">
        <v>0.101081</v>
      </c>
      <c r="I41" s="33">
        <v>0.205458</v>
      </c>
      <c r="J41" s="33">
        <v>0.16278999999999999</v>
      </c>
      <c r="K41" s="33">
        <v>0.205458</v>
      </c>
      <c r="L41" s="33">
        <v>21.29279</v>
      </c>
      <c r="M41" s="33">
        <v>26.705458</v>
      </c>
      <c r="N41" s="34">
        <v>1.25414103170847</v>
      </c>
      <c r="O41" s="34">
        <v>1.2567453983371399</v>
      </c>
      <c r="P41" s="34">
        <v>1.2567388191959501</v>
      </c>
      <c r="Q41" s="34">
        <v>1.25564300611514</v>
      </c>
      <c r="R41" s="33">
        <v>26.555030266863799</v>
      </c>
      <c r="S41" s="33">
        <v>26.5568507026986</v>
      </c>
      <c r="T41" s="33">
        <v>26.536044246606998</v>
      </c>
      <c r="U41" s="15">
        <v>2.0744606617610298E-3</v>
      </c>
      <c r="V41" s="15">
        <v>2.1430116451655601E-3</v>
      </c>
      <c r="W41" s="15">
        <v>1.35923606929939E-3</v>
      </c>
      <c r="X41" s="34">
        <v>1.2542019152962101</v>
      </c>
      <c r="Y41" s="34">
        <v>1.2550529069020999</v>
      </c>
      <c r="Z41" s="34">
        <v>1.2544235064720199</v>
      </c>
      <c r="AA41" s="34">
        <v>1.2545307308187399</v>
      </c>
      <c r="AB41" s="33">
        <v>26.723577985556101</v>
      </c>
      <c r="AC41" s="33">
        <v>26.712208771895099</v>
      </c>
      <c r="AD41" s="33">
        <v>26.7115434442888</v>
      </c>
      <c r="AE41" s="15">
        <v>6.7828235776975295E-4</v>
      </c>
      <c r="AF41" s="15">
        <v>2.52754279214307E-4</v>
      </c>
      <c r="AG41" s="15">
        <v>2.2784672110555599E-4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B42" s="33">
        <v>21.12</v>
      </c>
      <c r="C42" s="33">
        <v>26.48</v>
      </c>
      <c r="D42" s="15">
        <v>-4.7337278990446899E-4</v>
      </c>
      <c r="E42" s="15">
        <v>-7.5500192336904099E-4</v>
      </c>
      <c r="F42" s="33">
        <v>0</v>
      </c>
      <c r="G42" s="33">
        <v>0.16278999999999999</v>
      </c>
      <c r="H42" s="33">
        <v>0</v>
      </c>
      <c r="I42" s="33">
        <v>0.205458</v>
      </c>
      <c r="J42" s="33">
        <v>0.16278999999999999</v>
      </c>
      <c r="K42" s="33">
        <v>0.205458</v>
      </c>
      <c r="L42" s="33">
        <v>21.282789999999999</v>
      </c>
      <c r="M42" s="33">
        <v>26.685458000000001</v>
      </c>
      <c r="N42" s="34">
        <v>1.25378787878787</v>
      </c>
      <c r="O42" s="34">
        <v>1.2567453983371399</v>
      </c>
      <c r="P42" s="34">
        <v>1.2565756655101701</v>
      </c>
      <c r="Q42" s="34">
        <v>1.2556415603598801</v>
      </c>
      <c r="R42" s="33">
        <v>26.542462812880402</v>
      </c>
      <c r="S42" s="33">
        <v>26.542323861418399</v>
      </c>
      <c r="T42" s="33">
        <v>26.519180289151901</v>
      </c>
      <c r="U42" s="15">
        <v>2.3560897952254701E-3</v>
      </c>
      <c r="V42" s="15">
        <v>2.3508547186351001E-3</v>
      </c>
      <c r="W42" s="15">
        <v>1.4785246139899599E-3</v>
      </c>
      <c r="X42" s="34">
        <v>1.2538514922150701</v>
      </c>
      <c r="Y42" s="34">
        <v>1.2550529069020999</v>
      </c>
      <c r="Z42" s="34">
        <v>1.2542580439339801</v>
      </c>
      <c r="AA42" s="34">
        <v>1.25452776605453</v>
      </c>
      <c r="AB42" s="33">
        <v>26.711027456487098</v>
      </c>
      <c r="AC42" s="33">
        <v>26.697632059307701</v>
      </c>
      <c r="AD42" s="33">
        <v>26.699914092561901</v>
      </c>
      <c r="AE42" s="15">
        <v>9.5772065232137098E-4</v>
      </c>
      <c r="AF42" s="15">
        <v>4.5610171705024702E-4</v>
      </c>
      <c r="AG42" s="15">
        <v>5.4157505506209798E-4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0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25">
      <c r="A43" s="1">
        <v>46085</v>
      </c>
      <c r="B43" s="33">
        <v>21.11</v>
      </c>
      <c r="C43" s="33">
        <v>26.48</v>
      </c>
      <c r="D43" s="15">
        <v>-4.7359697783160601E-4</v>
      </c>
      <c r="E43" s="15">
        <v>0</v>
      </c>
      <c r="F43" s="33">
        <v>0</v>
      </c>
      <c r="G43" s="33">
        <v>0.16278999999999999</v>
      </c>
      <c r="H43" s="33">
        <v>0</v>
      </c>
      <c r="I43" s="33">
        <v>0.205458</v>
      </c>
      <c r="J43" s="33">
        <v>0.16278999999999999</v>
      </c>
      <c r="K43" s="33">
        <v>0.205458</v>
      </c>
      <c r="L43" s="33">
        <v>21.272790000000001</v>
      </c>
      <c r="M43" s="33">
        <v>26.685458000000001</v>
      </c>
      <c r="N43" s="34">
        <v>1.2543818095689201</v>
      </c>
      <c r="O43" s="34">
        <v>1.2567453983371399</v>
      </c>
      <c r="P43" s="34">
        <v>1.2566484527848401</v>
      </c>
      <c r="Q43" s="34">
        <v>1.2556459561818401</v>
      </c>
      <c r="R43" s="33">
        <v>26.5298953588971</v>
      </c>
      <c r="S43" s="33">
        <v>26.526312298919802</v>
      </c>
      <c r="T43" s="33">
        <v>26.506593339197199</v>
      </c>
      <c r="U43" s="15">
        <v>1.8824928173938999E-3</v>
      </c>
      <c r="V43" s="15">
        <v>1.7474262477725801E-3</v>
      </c>
      <c r="W43" s="15">
        <v>1.0037762291997801E-3</v>
      </c>
      <c r="X43" s="34">
        <v>1.2544409078451799</v>
      </c>
      <c r="Y43" s="34">
        <v>1.2550529069020999</v>
      </c>
      <c r="Z43" s="34">
        <v>1.25432738957169</v>
      </c>
      <c r="AA43" s="34">
        <v>1.25453050969935</v>
      </c>
      <c r="AB43" s="33">
        <v>26.698476927418</v>
      </c>
      <c r="AC43" s="33">
        <v>26.6815679744183</v>
      </c>
      <c r="AD43" s="33">
        <v>26.687305716447199</v>
      </c>
      <c r="AE43" s="15">
        <v>4.8774702329020599E-4</v>
      </c>
      <c r="AF43" s="15">
        <v>-1.4578386250609299E-4</v>
      </c>
      <c r="AG43" s="15">
        <v>6.9238177653670194E-5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25">
      <c r="A44" s="1">
        <v>46086</v>
      </c>
      <c r="B44" s="33">
        <v>21.05</v>
      </c>
      <c r="C44" s="33">
        <v>26.42</v>
      </c>
      <c r="D44" s="15">
        <v>-2.8463017318387999E-3</v>
      </c>
      <c r="E44" s="15">
        <v>-2.2684319746281499E-3</v>
      </c>
      <c r="F44" s="33">
        <v>0</v>
      </c>
      <c r="G44" s="33">
        <v>0.16278999999999999</v>
      </c>
      <c r="H44" s="33">
        <v>0</v>
      </c>
      <c r="I44" s="33">
        <v>0.205458</v>
      </c>
      <c r="J44" s="33">
        <v>0.16278999999999999</v>
      </c>
      <c r="K44" s="33">
        <v>0.205458</v>
      </c>
      <c r="L44" s="33">
        <v>21.212789999999998</v>
      </c>
      <c r="M44" s="33">
        <v>26.625457999999998</v>
      </c>
      <c r="N44" s="34">
        <v>1.2551068883610399</v>
      </c>
      <c r="O44" s="34">
        <v>1.2567453983371399</v>
      </c>
      <c r="P44" s="34">
        <v>1.2567705405846701</v>
      </c>
      <c r="Q44" s="34">
        <v>1.2556805368767401</v>
      </c>
      <c r="R44" s="33">
        <v>26.454490634996802</v>
      </c>
      <c r="S44" s="33">
        <v>26.452449931120899</v>
      </c>
      <c r="T44" s="33">
        <v>26.431347377627802</v>
      </c>
      <c r="U44" s="15">
        <v>1.30462306018328E-3</v>
      </c>
      <c r="V44" s="15">
        <v>1.2274799158208899E-3</v>
      </c>
      <c r="W44" s="15">
        <v>4.29407323188649E-4</v>
      </c>
      <c r="X44" s="34">
        <v>1.2551605894368401</v>
      </c>
      <c r="Y44" s="34">
        <v>1.2550529069020999</v>
      </c>
      <c r="Z44" s="34">
        <v>1.2544455937250101</v>
      </c>
      <c r="AA44" s="34">
        <v>1.2545631897339</v>
      </c>
      <c r="AB44" s="33">
        <v>26.623173753003901</v>
      </c>
      <c r="AC44" s="33">
        <v>26.607783506232401</v>
      </c>
      <c r="AD44" s="33">
        <v>26.6120922508454</v>
      </c>
      <c r="AE44" s="15">
        <v>-8.57955189549551E-5</v>
      </c>
      <c r="AF44" s="15">
        <v>-6.6403975850100197E-4</v>
      </c>
      <c r="AG44" s="15">
        <v>-5.0211737288355103E-4</v>
      </c>
      <c r="AI44" s="12"/>
      <c r="AJ44">
        <f t="shared" si="6"/>
        <v>0</v>
      </c>
      <c r="AK44">
        <f t="shared" si="7"/>
        <v>0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25">
      <c r="A45" s="1">
        <v>46087</v>
      </c>
      <c r="B45" s="33">
        <v>20.99</v>
      </c>
      <c r="C45" s="33">
        <v>26.35</v>
      </c>
      <c r="D45" s="15">
        <v>-2.8544262958488799E-3</v>
      </c>
      <c r="E45" s="15">
        <v>-2.6530241068078901E-3</v>
      </c>
      <c r="F45" s="33">
        <v>0</v>
      </c>
      <c r="G45" s="33">
        <v>0.16278999999999999</v>
      </c>
      <c r="H45" s="33">
        <v>0</v>
      </c>
      <c r="I45" s="33">
        <v>0.205458</v>
      </c>
      <c r="J45" s="33">
        <v>0.16278999999999999</v>
      </c>
      <c r="K45" s="33">
        <v>0.205458</v>
      </c>
      <c r="L45" s="33">
        <v>21.15279</v>
      </c>
      <c r="M45" s="33">
        <v>26.555458000000002</v>
      </c>
      <c r="N45" s="34">
        <v>1.2553596950929</v>
      </c>
      <c r="O45" s="34">
        <v>1.2567453983371399</v>
      </c>
      <c r="P45" s="34">
        <v>1.2569179090577001</v>
      </c>
      <c r="Q45" s="34">
        <v>1.25568104659572</v>
      </c>
      <c r="R45" s="33">
        <v>26.379085911096599</v>
      </c>
      <c r="S45" s="33">
        <v>26.3796136468724</v>
      </c>
      <c r="T45" s="33">
        <v>26.356734469042799</v>
      </c>
      <c r="U45" s="15">
        <v>1.10322087114248E-3</v>
      </c>
      <c r="V45" s="15">
        <v>1.1232265111672901E-3</v>
      </c>
      <c r="W45" s="15">
        <v>2.55544918401115E-4</v>
      </c>
      <c r="X45" s="34">
        <v>1.25541160291384</v>
      </c>
      <c r="Y45" s="34">
        <v>1.2550529069020999</v>
      </c>
      <c r="Z45" s="34">
        <v>1.2545888992260401</v>
      </c>
      <c r="AA45" s="34">
        <v>1.25456190720837</v>
      </c>
      <c r="AB45" s="33">
        <v>26.547870578589801</v>
      </c>
      <c r="AC45" s="33">
        <v>26.535024210490601</v>
      </c>
      <c r="AD45" s="33">
        <v>26.5375116941713</v>
      </c>
      <c r="AE45" s="15">
        <v>-2.8576067319676101E-4</v>
      </c>
      <c r="AF45" s="15">
        <v>-7.6977227056891705E-4</v>
      </c>
      <c r="AG45" s="15">
        <v>-6.7603325319778298E-4</v>
      </c>
      <c r="AI45" s="12"/>
      <c r="AJ45">
        <f t="shared" si="6"/>
        <v>0</v>
      </c>
      <c r="AK45">
        <f t="shared" si="7"/>
        <v>0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25">
      <c r="A46" s="1">
        <v>46090</v>
      </c>
      <c r="B46" s="33">
        <v>21.07</v>
      </c>
      <c r="C46" s="33">
        <v>26.45</v>
      </c>
      <c r="D46" s="15">
        <v>3.8040939835560401E-3</v>
      </c>
      <c r="E46" s="15">
        <v>3.78788331693693E-3</v>
      </c>
      <c r="F46" s="33">
        <v>0</v>
      </c>
      <c r="G46" s="33">
        <v>0.16278999999999999</v>
      </c>
      <c r="H46" s="33">
        <v>0</v>
      </c>
      <c r="I46" s="33">
        <v>0.205458</v>
      </c>
      <c r="J46" s="33">
        <v>0.16278999999999999</v>
      </c>
      <c r="K46" s="33">
        <v>0.205458</v>
      </c>
      <c r="L46" s="33">
        <v>21.232790000000001</v>
      </c>
      <c r="M46" s="33">
        <v>26.655457999999999</v>
      </c>
      <c r="N46" s="34">
        <v>1.2553393450403401</v>
      </c>
      <c r="O46" s="34">
        <v>1.2567453983371399</v>
      </c>
      <c r="P46" s="34">
        <v>1.25648394932188</v>
      </c>
      <c r="Q46" s="34">
        <v>1.25571642239881</v>
      </c>
      <c r="R46" s="33">
        <v>26.4796255429636</v>
      </c>
      <c r="S46" s="33">
        <v>26.4832603438457</v>
      </c>
      <c r="T46" s="33">
        <v>26.457199651771901</v>
      </c>
      <c r="U46" s="15">
        <v>1.11943153776157E-3</v>
      </c>
      <c r="V46" s="15">
        <v>1.25668995285571E-3</v>
      </c>
      <c r="W46" s="15">
        <v>2.7216151540090098E-4</v>
      </c>
      <c r="X46" s="34">
        <v>1.2553912133073399</v>
      </c>
      <c r="Y46" s="34">
        <v>1.2550529069020999</v>
      </c>
      <c r="Z46" s="34">
        <v>1.2546318834537999</v>
      </c>
      <c r="AA46" s="34">
        <v>1.25459535425849</v>
      </c>
      <c r="AB46" s="33">
        <v>26.648274811141999</v>
      </c>
      <c r="AC46" s="33">
        <v>26.638422633597699</v>
      </c>
      <c r="AD46" s="33">
        <v>26.637849517754901</v>
      </c>
      <c r="AE46" s="15">
        <v>-2.6951916958361502E-4</v>
      </c>
      <c r="AF46" s="15">
        <v>-6.3929917581067599E-4</v>
      </c>
      <c r="AG46" s="15">
        <v>-6.6081403860773096E-4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25">
      <c r="A47" s="1">
        <v>46091</v>
      </c>
      <c r="B47" s="33">
        <v>20.98</v>
      </c>
      <c r="C47" s="33">
        <v>26.32</v>
      </c>
      <c r="D47" s="15">
        <v>-4.28062484794657E-3</v>
      </c>
      <c r="E47" s="15">
        <v>-4.9270518471918497E-3</v>
      </c>
      <c r="F47" s="33">
        <v>0</v>
      </c>
      <c r="G47" s="33">
        <v>0.16278999999999999</v>
      </c>
      <c r="H47" s="33">
        <v>0</v>
      </c>
      <c r="I47" s="33">
        <v>0.205458</v>
      </c>
      <c r="J47" s="33">
        <v>0.16278999999999999</v>
      </c>
      <c r="K47" s="33">
        <v>0.205458</v>
      </c>
      <c r="L47" s="33">
        <v>21.142790000000002</v>
      </c>
      <c r="M47" s="33">
        <v>26.525458</v>
      </c>
      <c r="N47" s="34">
        <v>1.2545281220209701</v>
      </c>
      <c r="O47" s="34">
        <v>1.2567453983371399</v>
      </c>
      <c r="P47" s="34">
        <v>1.2560510742306401</v>
      </c>
      <c r="Q47" s="34">
        <v>1.25571123705093</v>
      </c>
      <c r="R47" s="33">
        <v>26.366518457113202</v>
      </c>
      <c r="S47" s="33">
        <v>26.361033256773101</v>
      </c>
      <c r="T47" s="33">
        <v>26.344930541927098</v>
      </c>
      <c r="U47" s="15">
        <v>1.76585853700692E-3</v>
      </c>
      <c r="V47" s="15">
        <v>1.5578003138718201E-3</v>
      </c>
      <c r="W47" s="15">
        <v>9.4676072038033801E-4</v>
      </c>
      <c r="X47" s="34">
        <v>1.2545864571326599</v>
      </c>
      <c r="Y47" s="34">
        <v>1.2550529069020999</v>
      </c>
      <c r="Z47" s="34">
        <v>1.25467619283319</v>
      </c>
      <c r="AA47" s="34">
        <v>1.2545885634998699</v>
      </c>
      <c r="AB47" s="33">
        <v>26.535320049520799</v>
      </c>
      <c r="AC47" s="33">
        <v>26.5264184391682</v>
      </c>
      <c r="AD47" s="33">
        <v>26.525646110062901</v>
      </c>
      <c r="AE47" s="15">
        <v>3.7172653688436998E-4</v>
      </c>
      <c r="AF47" s="15">
        <v>3.6207547512039599E-5</v>
      </c>
      <c r="AG47" s="15">
        <v>7.0916549653041698E-6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25">
      <c r="A48" s="1">
        <v>46092</v>
      </c>
      <c r="B48" s="33">
        <v>20.85</v>
      </c>
      <c r="C48" s="33">
        <v>26.17</v>
      </c>
      <c r="D48" s="15">
        <v>-6.2156547233406601E-3</v>
      </c>
      <c r="E48" s="15">
        <v>-5.7153899150618904E-3</v>
      </c>
      <c r="F48" s="33">
        <v>0</v>
      </c>
      <c r="G48" s="33">
        <v>0.16278999999999999</v>
      </c>
      <c r="H48" s="33">
        <v>0</v>
      </c>
      <c r="I48" s="33">
        <v>0.205458</v>
      </c>
      <c r="J48" s="33">
        <v>0.16278999999999999</v>
      </c>
      <c r="K48" s="33">
        <v>0.205458</v>
      </c>
      <c r="L48" s="33">
        <v>21.012789999999999</v>
      </c>
      <c r="M48" s="33">
        <v>26.375457999999998</v>
      </c>
      <c r="N48" s="34">
        <v>1.25515587529976</v>
      </c>
      <c r="O48" s="34">
        <v>1.2567453983371399</v>
      </c>
      <c r="P48" s="34">
        <v>1.2556092149521001</v>
      </c>
      <c r="Q48" s="34">
        <v>1.25573787861108</v>
      </c>
      <c r="R48" s="33">
        <v>26.203141555329399</v>
      </c>
      <c r="S48" s="33">
        <v>26.1886648977089</v>
      </c>
      <c r="T48" s="33">
        <v>26.181579292511898</v>
      </c>
      <c r="U48" s="15">
        <v>1.26559372872827E-3</v>
      </c>
      <c r="V48" s="15">
        <v>7.1296311836860804E-4</v>
      </c>
      <c r="W48" s="15">
        <v>4.4236650955821097E-4</v>
      </c>
      <c r="X48" s="34">
        <v>1.2552097079921301</v>
      </c>
      <c r="Y48" s="34">
        <v>1.2550529069020999</v>
      </c>
      <c r="Z48" s="34">
        <v>1.2547120582097899</v>
      </c>
      <c r="AA48" s="34">
        <v>1.25461338137774</v>
      </c>
      <c r="AB48" s="33">
        <v>26.372163171623502</v>
      </c>
      <c r="AC48" s="33">
        <v>26.3642473580034</v>
      </c>
      <c r="AD48" s="33">
        <v>26.362406021224501</v>
      </c>
      <c r="AE48" s="15">
        <v>-1.2492803685041501E-4</v>
      </c>
      <c r="AF48" s="15">
        <v>-4.2513101236899101E-4</v>
      </c>
      <c r="AG48" s="15">
        <v>-4.9497564166322899E-4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B49" s="33">
        <v>20.74</v>
      </c>
      <c r="C49" s="33">
        <v>26.04</v>
      </c>
      <c r="D49" s="15">
        <v>-5.2897454434292996E-3</v>
      </c>
      <c r="E49" s="15">
        <v>-4.9798992016860501E-3</v>
      </c>
      <c r="F49" s="33">
        <v>0</v>
      </c>
      <c r="G49" s="33">
        <v>0.16278999999999999</v>
      </c>
      <c r="H49" s="33">
        <v>0</v>
      </c>
      <c r="I49" s="33">
        <v>0.205458</v>
      </c>
      <c r="J49" s="33">
        <v>0.16278999999999999</v>
      </c>
      <c r="K49" s="33">
        <v>0.205458</v>
      </c>
      <c r="L49" s="33">
        <v>20.90279</v>
      </c>
      <c r="M49" s="33">
        <v>26.245457999999999</v>
      </c>
      <c r="N49" s="34">
        <v>1.2555448408871701</v>
      </c>
      <c r="O49" s="34">
        <v>1.2567453983371399</v>
      </c>
      <c r="P49" s="34">
        <v>1.2552307750918399</v>
      </c>
      <c r="Q49" s="34">
        <v>1.2558253673347499</v>
      </c>
      <c r="R49" s="33">
        <v>26.064899561512298</v>
      </c>
      <c r="S49" s="33">
        <v>26.041335118106701</v>
      </c>
      <c r="T49" s="33">
        <v>26.044003602393801</v>
      </c>
      <c r="U49" s="15">
        <v>9.5574748698489995E-4</v>
      </c>
      <c r="V49" s="15">
        <v>5.1270502339841601E-5</v>
      </c>
      <c r="W49" s="15">
        <v>1.5373635376817401E-4</v>
      </c>
      <c r="X49" s="34">
        <v>1.25559592762497</v>
      </c>
      <c r="Y49" s="34">
        <v>1.2550529069020999</v>
      </c>
      <c r="Z49" s="34">
        <v>1.25481043844453</v>
      </c>
      <c r="AA49" s="34">
        <v>1.25469874721546</v>
      </c>
      <c r="AB49" s="33">
        <v>26.234107351864299</v>
      </c>
      <c r="AC49" s="33">
        <v>26.226982663227101</v>
      </c>
      <c r="AD49" s="33">
        <v>26.224920042128801</v>
      </c>
      <c r="AE49" s="15">
        <v>-4.3257402139620297E-4</v>
      </c>
      <c r="AF49" s="15">
        <v>-7.04192040730106E-4</v>
      </c>
      <c r="AG49" s="15">
        <v>-7.8284013519100805E-4</v>
      </c>
      <c r="AI49" s="12"/>
      <c r="AJ49">
        <f t="shared" si="6"/>
        <v>0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B50" s="33">
        <v>20.68</v>
      </c>
      <c r="C50" s="33">
        <v>25.96</v>
      </c>
      <c r="D50" s="15">
        <v>-2.8971531611527799E-3</v>
      </c>
      <c r="E50" s="15">
        <v>-3.0769255044791901E-3</v>
      </c>
      <c r="F50" s="33">
        <v>0</v>
      </c>
      <c r="G50" s="33">
        <v>0.16278999999999999</v>
      </c>
      <c r="H50" s="33">
        <v>0</v>
      </c>
      <c r="I50" s="33">
        <v>0.205458</v>
      </c>
      <c r="J50" s="33">
        <v>0.16278999999999999</v>
      </c>
      <c r="K50" s="33">
        <v>0.205458</v>
      </c>
      <c r="L50" s="33">
        <v>20.842790000000001</v>
      </c>
      <c r="M50" s="33">
        <v>26.165458000000001</v>
      </c>
      <c r="N50" s="34">
        <v>1.2553191489361699</v>
      </c>
      <c r="O50" s="34">
        <v>1.2567453983371399</v>
      </c>
      <c r="P50" s="34">
        <v>1.2548664635703599</v>
      </c>
      <c r="Q50" s="34">
        <v>1.25584900799669</v>
      </c>
      <c r="R50" s="33">
        <v>25.989494837612099</v>
      </c>
      <c r="S50" s="33">
        <v>25.9581724288992</v>
      </c>
      <c r="T50" s="33">
        <v>25.970468596482799</v>
      </c>
      <c r="U50" s="15">
        <v>1.1355198303113401E-3</v>
      </c>
      <c r="V50" s="15">
        <v>-7.0401981270935498E-5</v>
      </c>
      <c r="W50" s="15">
        <v>4.0317743735204402E-4</v>
      </c>
      <c r="X50" s="34">
        <v>1.2553721454757201</v>
      </c>
      <c r="Y50" s="34">
        <v>1.2550529069020999</v>
      </c>
      <c r="Z50" s="34">
        <v>1.254922195924</v>
      </c>
      <c r="AA50" s="34">
        <v>1.2547205780934201</v>
      </c>
      <c r="AB50" s="33">
        <v>26.158804177450101</v>
      </c>
      <c r="AC50" s="33">
        <v>26.1537504583073</v>
      </c>
      <c r="AD50" s="33">
        <v>26.151422501475</v>
      </c>
      <c r="AE50" s="15">
        <v>-2.5433029760162399E-4</v>
      </c>
      <c r="AF50" s="15">
        <v>-4.4754277570413601E-4</v>
      </c>
      <c r="AG50" s="15">
        <v>-5.3655717723092905E-4</v>
      </c>
      <c r="AI50" s="12"/>
      <c r="AJ50">
        <f t="shared" si="6"/>
        <v>0</v>
      </c>
      <c r="AK50">
        <f t="shared" si="7"/>
        <v>0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25">
      <c r="A51" s="1">
        <v>46097</v>
      </c>
      <c r="B51" s="33">
        <v>20.77</v>
      </c>
      <c r="C51" s="33">
        <v>26.05</v>
      </c>
      <c r="D51" s="15">
        <v>4.3425882477925101E-3</v>
      </c>
      <c r="E51" s="15">
        <v>3.46087636348665E-3</v>
      </c>
      <c r="F51" s="33">
        <v>0</v>
      </c>
      <c r="G51" s="33">
        <v>0.16278999999999999</v>
      </c>
      <c r="H51" s="33">
        <v>0</v>
      </c>
      <c r="I51" s="33">
        <v>0.205458</v>
      </c>
      <c r="J51" s="33">
        <v>0.16278999999999999</v>
      </c>
      <c r="K51" s="33">
        <v>0.205458</v>
      </c>
      <c r="L51" s="33">
        <v>20.932790000000001</v>
      </c>
      <c r="M51" s="33">
        <v>26.255458000000001</v>
      </c>
      <c r="N51" s="34">
        <v>1.25421280693307</v>
      </c>
      <c r="O51" s="34">
        <v>1.2567453983371399</v>
      </c>
      <c r="P51" s="34">
        <v>1.2548736410928201</v>
      </c>
      <c r="Q51" s="34">
        <v>1.25580623014438</v>
      </c>
      <c r="R51" s="33">
        <v>26.102601923462402</v>
      </c>
      <c r="S51" s="33">
        <v>26.0635764483564</v>
      </c>
      <c r="T51" s="33">
        <v>26.083983896091301</v>
      </c>
      <c r="U51" s="15">
        <v>2.0172317146172599E-3</v>
      </c>
      <c r="V51" s="15">
        <v>5.21033081544413E-4</v>
      </c>
      <c r="W51" s="15">
        <v>1.3037139449221999E-3</v>
      </c>
      <c r="X51" s="34">
        <v>1.2542741794094301</v>
      </c>
      <c r="Y51" s="34">
        <v>1.2550529069020999</v>
      </c>
      <c r="Z51" s="34">
        <v>1.25492942233532</v>
      </c>
      <c r="AA51" s="34">
        <v>1.2546764644036701</v>
      </c>
      <c r="AB51" s="33">
        <v>26.271758939071301</v>
      </c>
      <c r="AC51" s="33">
        <v>26.2690227936159</v>
      </c>
      <c r="AD51" s="33">
        <v>26.2648023699082</v>
      </c>
      <c r="AE51" s="15">
        <v>6.2066641046572496E-4</v>
      </c>
      <c r="AF51" s="15">
        <v>5.1651320346506404E-4</v>
      </c>
      <c r="AG51" s="15">
        <v>3.5583867791352201E-4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0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0</v>
      </c>
      <c r="BH51" s="29"/>
    </row>
    <row r="52" spans="1:60" x14ac:dyDescent="0.25">
      <c r="A52" s="1">
        <v>46098</v>
      </c>
      <c r="B52" s="33">
        <v>20.87</v>
      </c>
      <c r="C52" s="33">
        <v>26.19</v>
      </c>
      <c r="D52" s="15">
        <v>4.8030832010884303E-3</v>
      </c>
      <c r="E52" s="15">
        <v>5.3598903202445704E-3</v>
      </c>
      <c r="F52" s="33">
        <v>0</v>
      </c>
      <c r="G52" s="33">
        <v>0.16278999999999999</v>
      </c>
      <c r="H52" s="33">
        <v>0</v>
      </c>
      <c r="I52" s="33">
        <v>0.205458</v>
      </c>
      <c r="J52" s="33">
        <v>0.16278999999999999</v>
      </c>
      <c r="K52" s="33">
        <v>0.205458</v>
      </c>
      <c r="L52" s="33">
        <v>21.032789999999999</v>
      </c>
      <c r="M52" s="33">
        <v>26.395458000000001</v>
      </c>
      <c r="N52" s="34">
        <v>1.25491135601341</v>
      </c>
      <c r="O52" s="34">
        <v>1.2567453983371399</v>
      </c>
      <c r="P52" s="34">
        <v>1.25498598881537</v>
      </c>
      <c r="Q52" s="34">
        <v>1.25578082716277</v>
      </c>
      <c r="R52" s="33">
        <v>26.228276463296201</v>
      </c>
      <c r="S52" s="33">
        <v>26.189212889607202</v>
      </c>
      <c r="T52" s="33">
        <v>26.208676023113298</v>
      </c>
      <c r="U52" s="15">
        <v>1.46042459546102E-3</v>
      </c>
      <c r="V52" s="15">
        <v>-3.0054303964853901E-5</v>
      </c>
      <c r="W52" s="15">
        <v>7.1284335107933E-4</v>
      </c>
      <c r="X52" s="34">
        <v>1.25496703005164</v>
      </c>
      <c r="Y52" s="34">
        <v>1.2550529069020999</v>
      </c>
      <c r="Z52" s="34">
        <v>1.25504097611898</v>
      </c>
      <c r="AA52" s="34">
        <v>1.2546495100264801</v>
      </c>
      <c r="AB52" s="33">
        <v>26.3972642297615</v>
      </c>
      <c r="AC52" s="33">
        <v>26.394667004800102</v>
      </c>
      <c r="AD52" s="33">
        <v>26.3893465937449</v>
      </c>
      <c r="AE52" s="15">
        <v>6.8427225799027493E-5</v>
      </c>
      <c r="AF52" s="15">
        <v>-2.9967544113208401E-5</v>
      </c>
      <c r="AG52" s="15">
        <v>-2.3155930307680299E-4</v>
      </c>
      <c r="AI52" s="12"/>
      <c r="AJ52">
        <f t="shared" si="6"/>
        <v>0</v>
      </c>
      <c r="AK52">
        <f t="shared" si="7"/>
        <v>0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0</v>
      </c>
      <c r="BH52" s="29"/>
    </row>
    <row r="53" spans="1:60" x14ac:dyDescent="0.25">
      <c r="A53" s="1">
        <v>46099</v>
      </c>
      <c r="B53" s="33">
        <v>20.75</v>
      </c>
      <c r="C53" s="33">
        <v>26.06</v>
      </c>
      <c r="D53" s="15">
        <v>-5.7664744124021399E-3</v>
      </c>
      <c r="E53" s="15">
        <v>-4.9760868229215202E-3</v>
      </c>
      <c r="F53" s="33">
        <v>0</v>
      </c>
      <c r="G53" s="33">
        <v>0.16278999999999999</v>
      </c>
      <c r="H53" s="33">
        <v>0</v>
      </c>
      <c r="I53" s="33">
        <v>0.205458</v>
      </c>
      <c r="J53" s="33">
        <v>0.16278999999999999</v>
      </c>
      <c r="K53" s="33">
        <v>0.205458</v>
      </c>
      <c r="L53" s="33">
        <v>20.912790000000001</v>
      </c>
      <c r="M53" s="33">
        <v>26.265457999999999</v>
      </c>
      <c r="N53" s="34">
        <v>1.2559036144578299</v>
      </c>
      <c r="O53" s="34">
        <v>1.2567453983371399</v>
      </c>
      <c r="P53" s="34">
        <v>1.25513816930426</v>
      </c>
      <c r="Q53" s="34">
        <v>1.25589331104455</v>
      </c>
      <c r="R53" s="33">
        <v>26.077467015495699</v>
      </c>
      <c r="S53" s="33">
        <v>26.040959267919099</v>
      </c>
      <c r="T53" s="33">
        <v>26.057452163627602</v>
      </c>
      <c r="U53" s="15">
        <v>6.7003700598052701E-4</v>
      </c>
      <c r="V53" s="15">
        <v>-7.3091678910087098E-4</v>
      </c>
      <c r="W53" s="15">
        <v>-9.7772867575843806E-5</v>
      </c>
      <c r="X53" s="34">
        <v>1.2559518839906101</v>
      </c>
      <c r="Y53" s="34">
        <v>1.2550529069020999</v>
      </c>
      <c r="Z53" s="34">
        <v>1.25519207373352</v>
      </c>
      <c r="AA53" s="34">
        <v>1.2547597316526</v>
      </c>
      <c r="AB53" s="33">
        <v>26.246657880933299</v>
      </c>
      <c r="AC53" s="33">
        <v>26.2464083749712</v>
      </c>
      <c r="AD53" s="33">
        <v>26.238221726786598</v>
      </c>
      <c r="AE53" s="15">
        <v>-7.1602979824813401E-4</v>
      </c>
      <c r="AF53" s="15">
        <v>-7.2553604278212597E-4</v>
      </c>
      <c r="AG53" s="15">
        <v>-1.0374996875699199E-3</v>
      </c>
      <c r="AI53" s="12"/>
      <c r="AJ53">
        <f t="shared" si="6"/>
        <v>1</v>
      </c>
      <c r="AK53">
        <f t="shared" si="7"/>
        <v>0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0</v>
      </c>
      <c r="BH53" s="29"/>
    </row>
    <row r="54" spans="1:60" x14ac:dyDescent="0.25">
      <c r="A54" s="1">
        <v>46100</v>
      </c>
      <c r="B54" s="33">
        <v>20.82</v>
      </c>
      <c r="C54" s="33">
        <v>26.14</v>
      </c>
      <c r="D54" s="15">
        <v>3.3678165101154898E-3</v>
      </c>
      <c r="E54" s="15">
        <v>3.06513649937693E-3</v>
      </c>
      <c r="F54" s="33">
        <v>0</v>
      </c>
      <c r="G54" s="33">
        <v>0.16278999999999999</v>
      </c>
      <c r="H54" s="33">
        <v>0</v>
      </c>
      <c r="I54" s="33">
        <v>0.205458</v>
      </c>
      <c r="J54" s="33">
        <v>0.16278999999999999</v>
      </c>
      <c r="K54" s="33">
        <v>0.205458</v>
      </c>
      <c r="L54" s="33">
        <v>20.982790000000001</v>
      </c>
      <c r="M54" s="33">
        <v>26.345458000000001</v>
      </c>
      <c r="N54" s="34">
        <v>1.2555235350624401</v>
      </c>
      <c r="O54" s="34">
        <v>1.2567453983371399</v>
      </c>
      <c r="P54" s="34">
        <v>1.2551798339744</v>
      </c>
      <c r="Q54" s="34">
        <v>1.2559751872795399</v>
      </c>
      <c r="R54" s="33">
        <v>26.165439193379299</v>
      </c>
      <c r="S54" s="33">
        <v>26.1319766849148</v>
      </c>
      <c r="T54" s="33">
        <v>26.1476987359476</v>
      </c>
      <c r="U54" s="15">
        <v>9.72717016719134E-4</v>
      </c>
      <c r="V54" s="15">
        <v>-3.0698342236000102E-4</v>
      </c>
      <c r="W54" s="15">
        <v>2.9447599299349298E-4</v>
      </c>
      <c r="X54" s="34">
        <v>1.2555745923206501</v>
      </c>
      <c r="Y54" s="34">
        <v>1.2550529069020999</v>
      </c>
      <c r="Z54" s="34">
        <v>1.2552334740219</v>
      </c>
      <c r="AA54" s="34">
        <v>1.2548395338734599</v>
      </c>
      <c r="AB54" s="33">
        <v>26.334511584416401</v>
      </c>
      <c r="AC54" s="33">
        <v>26.337431692814999</v>
      </c>
      <c r="AD54" s="33">
        <v>26.328359949722898</v>
      </c>
      <c r="AE54" s="15">
        <v>-4.1558170315697898E-4</v>
      </c>
      <c r="AF54" s="15">
        <v>-3.0470261953663202E-4</v>
      </c>
      <c r="AG54" s="15">
        <v>-6.4920491975163695E-4</v>
      </c>
      <c r="AI54" s="12"/>
      <c r="AJ54">
        <f t="shared" si="6"/>
        <v>0</v>
      </c>
      <c r="AK54">
        <f t="shared" si="7"/>
        <v>0</v>
      </c>
      <c r="AL54">
        <f t="shared" si="14"/>
        <v>1</v>
      </c>
      <c r="AM54">
        <f t="shared" si="4"/>
        <v>1</v>
      </c>
      <c r="AN54">
        <f t="shared" si="15"/>
        <v>1</v>
      </c>
      <c r="AO54" s="28">
        <f t="shared" si="8"/>
        <v>3.3678165101154898E-3</v>
      </c>
      <c r="AP54" s="28">
        <f t="shared" si="9"/>
        <v>-3.06513649937693E-3</v>
      </c>
      <c r="AQ54" s="28">
        <f t="shared" si="16"/>
        <v>3.0268001073855983E-4</v>
      </c>
      <c r="AR54" s="29">
        <f t="shared" si="17"/>
        <v>3.0268001073855983E-4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3.0268001073855983E-4</v>
      </c>
      <c r="BF54" s="29">
        <f t="shared" si="23"/>
        <v>3.0268001073855983E-4</v>
      </c>
      <c r="BH54" s="29"/>
    </row>
    <row r="55" spans="1:60" x14ac:dyDescent="0.25">
      <c r="A55" s="1">
        <v>46101</v>
      </c>
      <c r="B55" s="33">
        <v>20.6</v>
      </c>
      <c r="C55" s="33">
        <v>25.85</v>
      </c>
      <c r="D55" s="15">
        <v>-1.06229873912873E-2</v>
      </c>
      <c r="E55" s="15">
        <v>-1.1156107241637601E-2</v>
      </c>
      <c r="F55" s="33">
        <v>0</v>
      </c>
      <c r="G55" s="33">
        <v>0.16278999999999999</v>
      </c>
      <c r="H55" s="33">
        <v>0</v>
      </c>
      <c r="I55" s="33">
        <v>0.205458</v>
      </c>
      <c r="J55" s="33">
        <v>0.16278999999999999</v>
      </c>
      <c r="K55" s="33">
        <v>0.205458</v>
      </c>
      <c r="L55" s="33">
        <v>20.762789999999999</v>
      </c>
      <c r="M55" s="33">
        <v>26.055458000000002</v>
      </c>
      <c r="N55" s="34">
        <v>1.25485436893203</v>
      </c>
      <c r="O55" s="34">
        <v>1.2567453983371399</v>
      </c>
      <c r="P55" s="34">
        <v>1.25512930135832</v>
      </c>
      <c r="Q55" s="34">
        <v>1.25602360520801</v>
      </c>
      <c r="R55" s="33">
        <v>25.888955205745098</v>
      </c>
      <c r="S55" s="33">
        <v>25.856704579872801</v>
      </c>
      <c r="T55" s="33">
        <v>25.873088857958599</v>
      </c>
      <c r="U55" s="15">
        <v>1.5058368670695301E-3</v>
      </c>
      <c r="V55" s="15">
        <v>2.5933116275211199E-4</v>
      </c>
      <c r="W55" s="15">
        <v>8.9278734128317905E-4</v>
      </c>
      <c r="X55" s="34">
        <v>1.2549112137626901</v>
      </c>
      <c r="Y55" s="34">
        <v>1.2550529069020999</v>
      </c>
      <c r="Z55" s="34">
        <v>1.2551834351067801</v>
      </c>
      <c r="AA55" s="34">
        <v>1.25488616716641</v>
      </c>
      <c r="AB55" s="33">
        <v>26.058399944897999</v>
      </c>
      <c r="AC55" s="33">
        <v>26.062149022087201</v>
      </c>
      <c r="AD55" s="33">
        <v>26.053969725512498</v>
      </c>
      <c r="AE55" s="15">
        <v>1.1290451396801701E-4</v>
      </c>
      <c r="AF55" s="15">
        <v>2.5676628327053698E-4</v>
      </c>
      <c r="AG55" s="15">
        <v>-5.71211219470832E-5</v>
      </c>
      <c r="AI55" s="12"/>
      <c r="AJ55">
        <f t="shared" si="6"/>
        <v>0</v>
      </c>
      <c r="AK55">
        <f t="shared" si="7"/>
        <v>1</v>
      </c>
      <c r="AL55">
        <f t="shared" si="14"/>
        <v>1</v>
      </c>
      <c r="AM55">
        <f t="shared" si="4"/>
        <v>0</v>
      </c>
      <c r="AN55">
        <f t="shared" si="15"/>
        <v>1</v>
      </c>
      <c r="AO55" s="28">
        <f t="shared" si="8"/>
        <v>-1.06229873912873E-2</v>
      </c>
      <c r="AP55" s="28">
        <f t="shared" si="9"/>
        <v>1.1156107241637601E-2</v>
      </c>
      <c r="AQ55" s="28">
        <f t="shared" si="16"/>
        <v>5.3311985035030089E-4</v>
      </c>
      <c r="AR55" s="29">
        <f t="shared" si="17"/>
        <v>8.3579986108886072E-4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5.3311985035030089E-4</v>
      </c>
      <c r="BF55" s="29">
        <f t="shared" si="23"/>
        <v>8.3579986108886072E-4</v>
      </c>
      <c r="BH55" s="29"/>
    </row>
    <row r="56" spans="1:60" x14ac:dyDescent="0.25">
      <c r="A56" s="1">
        <v>46104</v>
      </c>
      <c r="B56" s="33">
        <v>20.64</v>
      </c>
      <c r="C56" s="33">
        <v>25.99</v>
      </c>
      <c r="D56" s="15">
        <v>1.9398648178264499E-3</v>
      </c>
      <c r="E56" s="15">
        <v>5.4012476989607396E-3</v>
      </c>
      <c r="F56" s="33">
        <v>7.9579999999999998E-2</v>
      </c>
      <c r="G56" s="33">
        <v>0.242369999999999</v>
      </c>
      <c r="H56" s="33">
        <v>0</v>
      </c>
      <c r="I56" s="33">
        <v>0.205458</v>
      </c>
      <c r="J56" s="33">
        <v>0.242369999999999</v>
      </c>
      <c r="K56" s="33">
        <v>0.205458</v>
      </c>
      <c r="L56" s="33">
        <v>20.882370000000002</v>
      </c>
      <c r="M56" s="33">
        <v>26.195457999999999</v>
      </c>
      <c r="N56" s="34">
        <v>1.2592054263565799</v>
      </c>
      <c r="O56" s="34">
        <v>1.2567453983371399</v>
      </c>
      <c r="P56" s="34">
        <v>1.25551590948994</v>
      </c>
      <c r="Q56" s="34">
        <v>1.2559999294059101</v>
      </c>
      <c r="R56" s="33">
        <v>25.939225021678599</v>
      </c>
      <c r="S56" s="33">
        <v>25.9058687800357</v>
      </c>
      <c r="T56" s="33">
        <v>25.924327211493299</v>
      </c>
      <c r="U56" s="15">
        <v>-1.9555460140645701E-3</v>
      </c>
      <c r="V56" s="15">
        <v>-3.2423117926349602E-3</v>
      </c>
      <c r="W56" s="15">
        <v>-2.53004621521109E-3</v>
      </c>
      <c r="X56" s="34">
        <v>1.25442935835348</v>
      </c>
      <c r="Y56" s="34">
        <v>1.2550529069020999</v>
      </c>
      <c r="Z56" s="34">
        <v>1.2550872496114001</v>
      </c>
      <c r="AA56" s="34">
        <v>1.2548595665325999</v>
      </c>
      <c r="AB56" s="33">
        <v>26.208479171505299</v>
      </c>
      <c r="AC56" s="33">
        <v>26.211204909770899</v>
      </c>
      <c r="AD56" s="33">
        <v>26.204997250650901</v>
      </c>
      <c r="AE56" s="15">
        <v>4.9695394949928699E-4</v>
      </c>
      <c r="AF56" s="15">
        <v>6.0095069483735101E-4</v>
      </c>
      <c r="AG56" s="15">
        <v>3.6409037710577799E-4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8.3579986108886072E-4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8.3579986108886072E-4</v>
      </c>
      <c r="BH56" s="29"/>
    </row>
    <row r="57" spans="1:60" x14ac:dyDescent="0.25">
      <c r="A57" s="1">
        <v>46105</v>
      </c>
      <c r="B57" s="33">
        <v>20.59</v>
      </c>
      <c r="C57" s="33">
        <v>25.93</v>
      </c>
      <c r="D57" s="15">
        <v>-2.4254195736639001E-3</v>
      </c>
      <c r="E57" s="15">
        <v>-2.3112491028258299E-3</v>
      </c>
      <c r="F57" s="33">
        <v>0</v>
      </c>
      <c r="G57" s="33">
        <v>0.242369999999999</v>
      </c>
      <c r="H57" s="33">
        <v>0</v>
      </c>
      <c r="I57" s="33">
        <v>0.205458</v>
      </c>
      <c r="J57" s="33">
        <v>0.242369999999999</v>
      </c>
      <c r="K57" s="33">
        <v>0.205458</v>
      </c>
      <c r="L57" s="33">
        <v>20.832370000000001</v>
      </c>
      <c r="M57" s="33">
        <v>26.135458</v>
      </c>
      <c r="N57" s="34">
        <v>1.25934919864011</v>
      </c>
      <c r="O57" s="34">
        <v>1.2567453983371399</v>
      </c>
      <c r="P57" s="34">
        <v>1.2559980171518601</v>
      </c>
      <c r="Q57" s="34">
        <v>1.25602454569125</v>
      </c>
      <c r="R57" s="33">
        <v>25.876387751761801</v>
      </c>
      <c r="S57" s="33">
        <v>25.851072576398</v>
      </c>
      <c r="T57" s="33">
        <v>25.8610385464678</v>
      </c>
      <c r="U57" s="15">
        <v>-2.0697164849026498E-3</v>
      </c>
      <c r="V57" s="15">
        <v>-3.0485071397796299E-3</v>
      </c>
      <c r="W57" s="15">
        <v>-2.6630666703501998E-3</v>
      </c>
      <c r="X57" s="34">
        <v>1.2545599948541599</v>
      </c>
      <c r="Y57" s="34">
        <v>1.2550529069020999</v>
      </c>
      <c r="Z57" s="34">
        <v>1.2550846033835501</v>
      </c>
      <c r="AA57" s="34">
        <v>1.25488039810837</v>
      </c>
      <c r="AB57" s="33">
        <v>26.1457265261602</v>
      </c>
      <c r="AC57" s="33">
        <v>26.146441966186998</v>
      </c>
      <c r="AD57" s="33">
        <v>26.141698788046799</v>
      </c>
      <c r="AE57" s="15">
        <v>3.9281919051236102E-4</v>
      </c>
      <c r="AF57" s="15">
        <v>4.20182371176461E-4</v>
      </c>
      <c r="AG57" s="15">
        <v>2.38757746591885E-4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8.3579986108886072E-4</v>
      </c>
      <c r="AT57" s="12"/>
      <c r="AU57">
        <f t="shared" si="10"/>
        <v>0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8.3579986108886072E-4</v>
      </c>
      <c r="BH57" s="29"/>
    </row>
    <row r="58" spans="1:60" x14ac:dyDescent="0.25">
      <c r="A58" s="1">
        <v>46106</v>
      </c>
      <c r="B58" s="33">
        <v>20.66</v>
      </c>
      <c r="C58" s="33">
        <v>26.03</v>
      </c>
      <c r="D58" s="15">
        <v>3.39394265179431E-3</v>
      </c>
      <c r="E58" s="15">
        <v>3.8491194559010702E-3</v>
      </c>
      <c r="F58" s="33">
        <v>0</v>
      </c>
      <c r="G58" s="33">
        <v>0.242369999999999</v>
      </c>
      <c r="H58" s="33">
        <v>0</v>
      </c>
      <c r="I58" s="33">
        <v>0.205458</v>
      </c>
      <c r="J58" s="33">
        <v>0.242369999999999</v>
      </c>
      <c r="K58" s="33">
        <v>0.205458</v>
      </c>
      <c r="L58" s="33">
        <v>20.902370000000001</v>
      </c>
      <c r="M58" s="33">
        <v>26.235458000000001</v>
      </c>
      <c r="N58" s="34">
        <v>1.25992255566311</v>
      </c>
      <c r="O58" s="34">
        <v>1.2567453983371399</v>
      </c>
      <c r="P58" s="34">
        <v>1.2564746851881901</v>
      </c>
      <c r="Q58" s="34">
        <v>1.2560419500701501</v>
      </c>
      <c r="R58" s="33">
        <v>25.964359929645401</v>
      </c>
      <c r="S58" s="33">
        <v>25.948919034357399</v>
      </c>
      <c r="T58" s="33">
        <v>25.9494671139812</v>
      </c>
      <c r="U58" s="15">
        <v>-2.5248932890093601E-3</v>
      </c>
      <c r="V58" s="15">
        <v>-3.1197659709679298E-3</v>
      </c>
      <c r="W58" s="15">
        <v>-3.0986447121193299E-3</v>
      </c>
      <c r="X58" s="34">
        <v>1.2551427421866499</v>
      </c>
      <c r="Y58" s="34">
        <v>1.2550529069020999</v>
      </c>
      <c r="Z58" s="34">
        <v>1.255077906803</v>
      </c>
      <c r="AA58" s="34">
        <v>1.25489498250639</v>
      </c>
      <c r="AB58" s="33">
        <v>26.233580229643401</v>
      </c>
      <c r="AC58" s="33">
        <v>26.234242761226199</v>
      </c>
      <c r="AD58" s="33">
        <v>26.2299743870085</v>
      </c>
      <c r="AE58" s="15">
        <v>-7.1576320845834297E-5</v>
      </c>
      <c r="AF58" s="15">
        <v>-4.63215439130305E-5</v>
      </c>
      <c r="AG58" s="15">
        <v>-2.0903717979516099E-4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8.3579986108886072E-4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8.3579986108886072E-4</v>
      </c>
      <c r="BH58" s="29"/>
    </row>
    <row r="59" spans="1:60" x14ac:dyDescent="0.25">
      <c r="A59" s="1">
        <v>46107</v>
      </c>
      <c r="B59" s="33">
        <v>20.5</v>
      </c>
      <c r="C59" s="33">
        <v>25.83</v>
      </c>
      <c r="D59" s="15">
        <v>-7.7745775471300396E-3</v>
      </c>
      <c r="E59" s="15">
        <v>-7.7131118987250101E-3</v>
      </c>
      <c r="F59" s="33">
        <v>0</v>
      </c>
      <c r="G59" s="33">
        <v>0.242369999999999</v>
      </c>
      <c r="H59" s="33">
        <v>0</v>
      </c>
      <c r="I59" s="33">
        <v>0.205458</v>
      </c>
      <c r="J59" s="33">
        <v>0.242369999999999</v>
      </c>
      <c r="K59" s="33">
        <v>0.205458</v>
      </c>
      <c r="L59" s="33">
        <v>20.742370000000001</v>
      </c>
      <c r="M59" s="33">
        <v>26.035457999999998</v>
      </c>
      <c r="N59" s="34">
        <v>1.26</v>
      </c>
      <c r="O59" s="34">
        <v>1.2567453983371399</v>
      </c>
      <c r="P59" s="34">
        <v>1.25692020109947</v>
      </c>
      <c r="Q59" s="34">
        <v>1.2560754880956599</v>
      </c>
      <c r="R59" s="33">
        <v>25.763280665911399</v>
      </c>
      <c r="S59" s="33">
        <v>25.757731046358</v>
      </c>
      <c r="T59" s="33">
        <v>25.748859976438101</v>
      </c>
      <c r="U59" s="15">
        <v>-2.5863589374143501E-3</v>
      </c>
      <c r="V59" s="15">
        <v>-2.8017902494343301E-3</v>
      </c>
      <c r="W59" s="15">
        <v>-3.1462537377557401E-3</v>
      </c>
      <c r="X59" s="34">
        <v>1.2551824116530499</v>
      </c>
      <c r="Y59" s="34">
        <v>1.2550529069020999</v>
      </c>
      <c r="Z59" s="34">
        <v>1.25503655520581</v>
      </c>
      <c r="AA59" s="34">
        <v>1.2549234968251699</v>
      </c>
      <c r="AB59" s="33">
        <v>26.032771764539</v>
      </c>
      <c r="AC59" s="33">
        <v>26.0332903217334</v>
      </c>
      <c r="AD59" s="33">
        <v>26.0294960382912</v>
      </c>
      <c r="AE59" s="15">
        <v>-1.03181363202166E-4</v>
      </c>
      <c r="AF59" s="15">
        <v>-8.3262161572527903E-5</v>
      </c>
      <c r="AG59" s="15">
        <v>-2.29020147810246E-4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8.3579986108886072E-4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8.3579986108886072E-4</v>
      </c>
      <c r="BH59" s="29"/>
    </row>
    <row r="60" spans="1:60" x14ac:dyDescent="0.25">
      <c r="A60" s="1">
        <v>46108</v>
      </c>
      <c r="B60" s="33">
        <v>20.46</v>
      </c>
      <c r="C60" s="33">
        <v>25.78</v>
      </c>
      <c r="D60" s="15">
        <v>-1.9531256208820701E-3</v>
      </c>
      <c r="E60" s="15">
        <v>-1.93760959670763E-3</v>
      </c>
      <c r="F60" s="33">
        <v>0</v>
      </c>
      <c r="G60" s="33">
        <v>0.242369999999999</v>
      </c>
      <c r="H60" s="33">
        <v>0</v>
      </c>
      <c r="I60" s="33">
        <v>0.205458</v>
      </c>
      <c r="J60" s="33">
        <v>0.242369999999999</v>
      </c>
      <c r="K60" s="33">
        <v>0.205458</v>
      </c>
      <c r="L60" s="33">
        <v>20.702369999999998</v>
      </c>
      <c r="M60" s="33">
        <v>25.985458000000001</v>
      </c>
      <c r="N60" s="34">
        <v>1.2600195503421301</v>
      </c>
      <c r="O60" s="34">
        <v>1.2567453983371399</v>
      </c>
      <c r="P60" s="34">
        <v>1.2573902412400699</v>
      </c>
      <c r="Q60" s="34">
        <v>1.25612835240521</v>
      </c>
      <c r="R60" s="33">
        <v>25.713010849977898</v>
      </c>
      <c r="S60" s="33">
        <v>25.7165873144953</v>
      </c>
      <c r="T60" s="33">
        <v>25.6993044864372</v>
      </c>
      <c r="U60" s="15">
        <v>-2.6018749615886899E-3</v>
      </c>
      <c r="V60" s="15">
        <v>-2.4627930068082701E-3</v>
      </c>
      <c r="W60" s="15">
        <v>-3.1350687606151099E-3</v>
      </c>
      <c r="X60" s="34">
        <v>1.2551924248286499</v>
      </c>
      <c r="Y60" s="34">
        <v>1.2550529069020999</v>
      </c>
      <c r="Z60" s="34">
        <v>1.2550185831411</v>
      </c>
      <c r="AA60" s="34">
        <v>1.2549703895325499</v>
      </c>
      <c r="AB60" s="33">
        <v>25.982569648262899</v>
      </c>
      <c r="AC60" s="33">
        <v>25.982231129396101</v>
      </c>
      <c r="AD60" s="33">
        <v>25.979890552968499</v>
      </c>
      <c r="AE60" s="15">
        <v>-1.11158797849361E-4</v>
      </c>
      <c r="AF60" s="15">
        <v>-1.2418757355000599E-4</v>
      </c>
      <c r="AG60" s="15">
        <v>-2.1427536648008301E-4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8.3579986108886072E-4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8.3579986108886072E-4</v>
      </c>
      <c r="BH60" s="29"/>
    </row>
    <row r="61" spans="1:60" x14ac:dyDescent="0.25">
      <c r="A61" s="1">
        <v>46111</v>
      </c>
      <c r="B61" s="33">
        <v>20.57</v>
      </c>
      <c r="C61" s="33">
        <v>25.91</v>
      </c>
      <c r="D61" s="15">
        <v>5.3619431413853696E-3</v>
      </c>
      <c r="E61" s="15">
        <v>5.02999706297732E-3</v>
      </c>
      <c r="F61" s="33">
        <v>0</v>
      </c>
      <c r="G61" s="33">
        <v>0.242369999999999</v>
      </c>
      <c r="H61" s="33">
        <v>0</v>
      </c>
      <c r="I61" s="33">
        <v>0.205458</v>
      </c>
      <c r="J61" s="33">
        <v>0.242369999999999</v>
      </c>
      <c r="K61" s="33">
        <v>0.205458</v>
      </c>
      <c r="L61" s="33">
        <v>20.812370000000001</v>
      </c>
      <c r="M61" s="33">
        <v>26.115458</v>
      </c>
      <c r="N61" s="34">
        <v>1.25960136120563</v>
      </c>
      <c r="O61" s="34">
        <v>1.2567453983371399</v>
      </c>
      <c r="P61" s="34">
        <v>1.25792909666733</v>
      </c>
      <c r="Q61" s="34">
        <v>1.2564013688800699</v>
      </c>
      <c r="R61" s="33">
        <v>25.851252843794999</v>
      </c>
      <c r="S61" s="33">
        <v>25.864517262308301</v>
      </c>
      <c r="T61" s="33">
        <v>25.838560208975299</v>
      </c>
      <c r="U61" s="15">
        <v>-2.2699288831804399E-3</v>
      </c>
      <c r="V61" s="15">
        <v>-1.7569550348961E-3</v>
      </c>
      <c r="W61" s="15">
        <v>-2.7610366789019799E-3</v>
      </c>
      <c r="X61" s="34">
        <v>1.2548046185994099</v>
      </c>
      <c r="Y61" s="34">
        <v>1.2550529069020999</v>
      </c>
      <c r="Z61" s="34">
        <v>1.2550716270600999</v>
      </c>
      <c r="AA61" s="34">
        <v>1.2550005246977101</v>
      </c>
      <c r="AB61" s="33">
        <v>26.120625468022201</v>
      </c>
      <c r="AC61" s="33">
        <v>26.119911109208399</v>
      </c>
      <c r="AD61" s="33">
        <v>26.118908085995599</v>
      </c>
      <c r="AE61" s="15">
        <v>1.97850516194774E-4</v>
      </c>
      <c r="AF61" s="15">
        <v>1.7050168478464599E-4</v>
      </c>
      <c r="AG61" s="15">
        <v>1.3210023435333601E-4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8.3579986108886072E-4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8.3579986108886072E-4</v>
      </c>
      <c r="BH61" s="29"/>
    </row>
    <row r="62" spans="1:60" x14ac:dyDescent="0.25">
      <c r="A62" s="1">
        <v>46112</v>
      </c>
      <c r="B62" s="33">
        <v>20.7</v>
      </c>
      <c r="C62" s="33">
        <v>26.06</v>
      </c>
      <c r="D62" s="15">
        <v>6.2999966064575903E-3</v>
      </c>
      <c r="E62" s="15">
        <v>5.77257712268047E-3</v>
      </c>
      <c r="F62" s="33">
        <v>0</v>
      </c>
      <c r="G62" s="33">
        <v>0.242369999999999</v>
      </c>
      <c r="H62" s="33">
        <v>0</v>
      </c>
      <c r="I62" s="33">
        <v>0.205458</v>
      </c>
      <c r="J62" s="33">
        <v>0.242369999999999</v>
      </c>
      <c r="K62" s="33">
        <v>0.205458</v>
      </c>
      <c r="L62" s="33">
        <v>20.94237</v>
      </c>
      <c r="M62" s="33">
        <v>26.265457999999999</v>
      </c>
      <c r="N62" s="34">
        <v>1.25893719806763</v>
      </c>
      <c r="O62" s="34">
        <v>1.2567453983371399</v>
      </c>
      <c r="P62" s="34">
        <v>1.25833168087275</v>
      </c>
      <c r="Q62" s="34">
        <v>1.2566588348440599</v>
      </c>
      <c r="R62" s="33">
        <v>26.014629745578802</v>
      </c>
      <c r="S62" s="33">
        <v>26.039132301013701</v>
      </c>
      <c r="T62" s="33">
        <v>26.007508335817601</v>
      </c>
      <c r="U62" s="15">
        <v>-1.74250939940335E-3</v>
      </c>
      <c r="V62" s="15">
        <v>-8.01076685177853E-4</v>
      </c>
      <c r="W62" s="15">
        <v>-2.0162932179235401E-3</v>
      </c>
      <c r="X62" s="34">
        <v>1.2541779177810299</v>
      </c>
      <c r="Y62" s="34">
        <v>1.2550529069020999</v>
      </c>
      <c r="Z62" s="34">
        <v>1.2549927158330401</v>
      </c>
      <c r="AA62" s="34">
        <v>1.25501684597601</v>
      </c>
      <c r="AB62" s="33">
        <v>26.283782345919398</v>
      </c>
      <c r="AC62" s="33">
        <v>26.2841743903947</v>
      </c>
      <c r="AD62" s="33">
        <v>26.2826853384136</v>
      </c>
      <c r="AE62" s="15">
        <v>6.9741623443437097E-4</v>
      </c>
      <c r="AF62" s="15">
        <v>7.1233195494415996E-4</v>
      </c>
      <c r="AG62" s="15">
        <v>6.5567831464149605E-4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8.3579986108886072E-4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8.3579986108886072E-4</v>
      </c>
      <c r="BH62" s="29"/>
    </row>
    <row r="63" spans="1:60" x14ac:dyDescent="0.25">
      <c r="A63" s="1">
        <v>46113</v>
      </c>
      <c r="B63" s="33">
        <v>20.71</v>
      </c>
      <c r="C63" s="33">
        <v>26</v>
      </c>
      <c r="D63" s="15">
        <v>4.82975136169449E-4</v>
      </c>
      <c r="E63" s="15">
        <v>-2.3050336752169802E-3</v>
      </c>
      <c r="F63" s="33">
        <v>0</v>
      </c>
      <c r="G63" s="33">
        <v>0.242369999999999</v>
      </c>
      <c r="H63" s="33">
        <v>0.101428</v>
      </c>
      <c r="I63" s="33">
        <v>0.30688599999999999</v>
      </c>
      <c r="J63" s="33">
        <v>0.242369999999999</v>
      </c>
      <c r="K63" s="33">
        <v>0.30688599999999999</v>
      </c>
      <c r="L63" s="33">
        <v>20.952369999999998</v>
      </c>
      <c r="M63" s="33">
        <v>26.306885999999999</v>
      </c>
      <c r="N63" s="34">
        <v>1.25543215837759</v>
      </c>
      <c r="O63" s="34">
        <v>1.2567453983371399</v>
      </c>
      <c r="P63" s="34">
        <v>1.2582845352647301</v>
      </c>
      <c r="Q63" s="34">
        <v>1.2567113522844899</v>
      </c>
      <c r="R63" s="33">
        <v>26.027197199562199</v>
      </c>
      <c r="S63" s="33">
        <v>26.060049110874701</v>
      </c>
      <c r="T63" s="33">
        <v>26.0254044696206</v>
      </c>
      <c r="U63" s="15">
        <v>1.04549941198312E-3</v>
      </c>
      <c r="V63" s="15">
        <v>2.3069182043211401E-3</v>
      </c>
      <c r="W63" s="15">
        <v>9.7661793882421709E-4</v>
      </c>
      <c r="X63" s="34">
        <v>1.25555657904093</v>
      </c>
      <c r="Y63" s="34">
        <v>1.2550529069020999</v>
      </c>
      <c r="Z63" s="34">
        <v>1.25495318533807</v>
      </c>
      <c r="AA63" s="34">
        <v>1.2550726295357899</v>
      </c>
      <c r="AB63" s="33">
        <v>26.296332874988501</v>
      </c>
      <c r="AC63" s="33">
        <v>26.2950717294387</v>
      </c>
      <c r="AD63" s="33">
        <v>26.295577313122401</v>
      </c>
      <c r="AE63" s="15">
        <v>-4.01234957812929E-4</v>
      </c>
      <c r="AF63" s="15">
        <v>-4.4919509728700901E-4</v>
      </c>
      <c r="AG63" s="15">
        <v>-4.2996796497914099E-4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8.3579986108886072E-4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8.3579986108886072E-4</v>
      </c>
      <c r="BH63" s="29"/>
    </row>
    <row r="64" spans="1:60" x14ac:dyDescent="0.25">
      <c r="A64" s="1">
        <v>46114</v>
      </c>
      <c r="B64" s="33">
        <v>20.78</v>
      </c>
      <c r="C64" s="33">
        <v>26.07</v>
      </c>
      <c r="D64" s="15">
        <v>3.3743102635886398E-3</v>
      </c>
      <c r="E64" s="15">
        <v>2.6886899239283901E-3</v>
      </c>
      <c r="F64" s="33">
        <v>0</v>
      </c>
      <c r="G64" s="33">
        <v>0.242369999999999</v>
      </c>
      <c r="H64" s="33">
        <v>0</v>
      </c>
      <c r="I64" s="33">
        <v>0.30688599999999999</v>
      </c>
      <c r="J64" s="33">
        <v>0.242369999999999</v>
      </c>
      <c r="K64" s="33">
        <v>0.30688599999999999</v>
      </c>
      <c r="L64" s="33">
        <v>21.022369999999999</v>
      </c>
      <c r="M64" s="33">
        <v>26.376885999999999</v>
      </c>
      <c r="N64" s="34">
        <v>1.2545717035611099</v>
      </c>
      <c r="O64" s="34">
        <v>1.2567453983371399</v>
      </c>
      <c r="P64" s="34">
        <v>1.2581893521145899</v>
      </c>
      <c r="Q64" s="34">
        <v>1.2566845930445001</v>
      </c>
      <c r="R64" s="33">
        <v>26.115169377445799</v>
      </c>
      <c r="S64" s="33">
        <v>26.147152642801</v>
      </c>
      <c r="T64" s="33">
        <v>26.114461900471898</v>
      </c>
      <c r="U64" s="15">
        <v>1.7311197516432699E-3</v>
      </c>
      <c r="V64" s="15">
        <v>2.95507108452003E-3</v>
      </c>
      <c r="W64" s="15">
        <v>1.70402873236178E-3</v>
      </c>
      <c r="X64" s="34">
        <v>1.2547056302405399</v>
      </c>
      <c r="Y64" s="34">
        <v>1.2550529069020999</v>
      </c>
      <c r="Z64" s="34">
        <v>1.2548662891300599</v>
      </c>
      <c r="AA64" s="34">
        <v>1.2550498815759801</v>
      </c>
      <c r="AB64" s="33">
        <v>26.384186578471599</v>
      </c>
      <c r="AC64" s="33">
        <v>26.3820901948556</v>
      </c>
      <c r="AD64" s="33">
        <v>26.384601194974401</v>
      </c>
      <c r="AE64" s="15">
        <v>2.7674109571582302E-4</v>
      </c>
      <c r="AF64" s="15">
        <v>1.9728187496526099E-4</v>
      </c>
      <c r="AG64" s="15">
        <v>2.9245555573433301E-4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8.3579986108886072E-4</v>
      </c>
      <c r="AT64" s="12"/>
      <c r="AU64">
        <f t="shared" si="10"/>
        <v>0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8.3579986108886072E-4</v>
      </c>
      <c r="BH64" s="29"/>
    </row>
    <row r="65" spans="1:60" x14ac:dyDescent="0.25">
      <c r="A65" s="1">
        <v>46118</v>
      </c>
      <c r="B65" s="33">
        <v>20.75</v>
      </c>
      <c r="C65" s="33">
        <v>26.02</v>
      </c>
      <c r="D65" s="15">
        <v>-1.4447389943740799E-3</v>
      </c>
      <c r="E65" s="15">
        <v>-1.9197548610512E-3</v>
      </c>
      <c r="F65" s="33">
        <v>0</v>
      </c>
      <c r="G65" s="33">
        <v>0.242369999999999</v>
      </c>
      <c r="H65" s="33">
        <v>0</v>
      </c>
      <c r="I65" s="33">
        <v>0.30688599999999999</v>
      </c>
      <c r="J65" s="33">
        <v>0.242369999999999</v>
      </c>
      <c r="K65" s="33">
        <v>0.30688599999999999</v>
      </c>
      <c r="L65" s="33">
        <v>20.992370000000001</v>
      </c>
      <c r="M65" s="33">
        <v>26.326885999999998</v>
      </c>
      <c r="N65" s="34">
        <v>1.25397590361445</v>
      </c>
      <c r="O65" s="34">
        <v>1.2567453983371399</v>
      </c>
      <c r="P65" s="34">
        <v>1.25810150558283</v>
      </c>
      <c r="Q65" s="34">
        <v>1.2566154034705801</v>
      </c>
      <c r="R65" s="33">
        <v>26.077467015495699</v>
      </c>
      <c r="S65" s="33">
        <v>26.107429056377899</v>
      </c>
      <c r="T65" s="33">
        <v>26.076205305673401</v>
      </c>
      <c r="U65" s="15">
        <v>2.2061356183203499E-3</v>
      </c>
      <c r="V65" s="15">
        <v>3.3544389179269701E-3</v>
      </c>
      <c r="W65" s="15">
        <v>2.1577513045643302E-3</v>
      </c>
      <c r="X65" s="34">
        <v>1.25411690056911</v>
      </c>
      <c r="Y65" s="34">
        <v>1.2550529069020999</v>
      </c>
      <c r="Z65" s="34">
        <v>1.2547868578107</v>
      </c>
      <c r="AA65" s="34">
        <v>1.25498514645874</v>
      </c>
      <c r="AB65" s="33">
        <v>26.346534991264502</v>
      </c>
      <c r="AC65" s="33">
        <v>26.342617441945201</v>
      </c>
      <c r="AD65" s="33">
        <v>26.346471482499201</v>
      </c>
      <c r="AE65" s="15">
        <v>7.4606857903801503E-4</v>
      </c>
      <c r="AF65" s="15">
        <v>5.9736437160209704E-4</v>
      </c>
      <c r="AG65" s="15">
        <v>7.4365805932777404E-4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8.3579986108886072E-4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8.3579986108886072E-4</v>
      </c>
      <c r="BH65" s="29"/>
    </row>
    <row r="66" spans="1:60" x14ac:dyDescent="0.25">
      <c r="A66" s="1">
        <v>46119</v>
      </c>
      <c r="B66" s="33">
        <v>20.79</v>
      </c>
      <c r="C66" s="33">
        <v>26.06</v>
      </c>
      <c r="D66" s="15">
        <v>1.9258551932142601E-3</v>
      </c>
      <c r="E66" s="15">
        <v>1.5360986123398299E-3</v>
      </c>
      <c r="F66" s="33">
        <v>0</v>
      </c>
      <c r="G66" s="33">
        <v>0.242369999999999</v>
      </c>
      <c r="H66" s="33">
        <v>0</v>
      </c>
      <c r="I66" s="33">
        <v>0.30688599999999999</v>
      </c>
      <c r="J66" s="33">
        <v>0.242369999999999</v>
      </c>
      <c r="K66" s="33">
        <v>0.30688599999999999</v>
      </c>
      <c r="L66" s="33">
        <v>21.03237</v>
      </c>
      <c r="M66" s="33">
        <v>26.366885999999901</v>
      </c>
      <c r="N66" s="34">
        <v>1.2534872534872501</v>
      </c>
      <c r="O66" s="34">
        <v>1.2567453983371399</v>
      </c>
      <c r="P66" s="34">
        <v>1.2575296882959</v>
      </c>
      <c r="Q66" s="34">
        <v>1.25652279889292</v>
      </c>
      <c r="R66" s="33">
        <v>26.1277368314292</v>
      </c>
      <c r="S66" s="33">
        <v>26.155930301067201</v>
      </c>
      <c r="T66" s="33">
        <v>26.125034238153301</v>
      </c>
      <c r="U66" s="15">
        <v>2.5958921991948401E-3</v>
      </c>
      <c r="V66" s="15">
        <v>3.6743732590352601E-3</v>
      </c>
      <c r="W66" s="15">
        <v>2.4924491387426999E-3</v>
      </c>
      <c r="X66" s="34">
        <v>1.2536336133303001</v>
      </c>
      <c r="Y66" s="34">
        <v>1.2550529069020999</v>
      </c>
      <c r="Z66" s="34">
        <v>1.2547072833083801</v>
      </c>
      <c r="AA66" s="34">
        <v>1.2548972664598901</v>
      </c>
      <c r="AB66" s="33">
        <v>26.396737107540599</v>
      </c>
      <c r="AC66" s="33">
        <v>26.391141464612101</v>
      </c>
      <c r="AD66" s="33">
        <v>26.395311944824499</v>
      </c>
      <c r="AE66" s="15">
        <v>1.1315034475439E-3</v>
      </c>
      <c r="AF66" s="15">
        <v>9.1949860473388703E-4</v>
      </c>
      <c r="AG66" s="15">
        <v>1.0775118809333501E-3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8.3579986108886072E-4</v>
      </c>
      <c r="AT66" s="12"/>
      <c r="AU66">
        <f t="shared" si="10"/>
        <v>1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8.3579986108886072E-4</v>
      </c>
      <c r="BH66" s="29"/>
    </row>
    <row r="67" spans="1:60" x14ac:dyDescent="0.25">
      <c r="A67" s="1">
        <v>46120</v>
      </c>
      <c r="B67" s="33">
        <v>20.84</v>
      </c>
      <c r="C67" s="33">
        <v>26.16</v>
      </c>
      <c r="D67" s="15">
        <v>2.4021150152446101E-3</v>
      </c>
      <c r="E67" s="15">
        <v>3.8299548922990198E-3</v>
      </c>
      <c r="F67" s="33">
        <v>0</v>
      </c>
      <c r="G67" s="33">
        <v>0.242369999999999</v>
      </c>
      <c r="H67" s="33">
        <v>0</v>
      </c>
      <c r="I67" s="33">
        <v>0.30688599999999999</v>
      </c>
      <c r="J67" s="33">
        <v>0.242369999999999</v>
      </c>
      <c r="K67" s="33">
        <v>0.30688599999999999</v>
      </c>
      <c r="L67" s="33">
        <v>21.082370000000001</v>
      </c>
      <c r="M67" s="33">
        <v>26.466885999999999</v>
      </c>
      <c r="N67" s="34">
        <v>1.2552783109404899</v>
      </c>
      <c r="O67" s="34">
        <v>1.2567453983371399</v>
      </c>
      <c r="P67" s="34">
        <v>1.2571225995259401</v>
      </c>
      <c r="Q67" s="34">
        <v>1.2565603083389001</v>
      </c>
      <c r="R67" s="33">
        <v>26.190574101346002</v>
      </c>
      <c r="S67" s="33">
        <v>26.206918704086601</v>
      </c>
      <c r="T67" s="33">
        <v>26.185935128928499</v>
      </c>
      <c r="U67" s="15">
        <v>1.1680523221405299E-3</v>
      </c>
      <c r="V67" s="15">
        <v>1.7919219920654499E-3</v>
      </c>
      <c r="W67" s="15">
        <v>9.9091289464485997E-4</v>
      </c>
      <c r="X67" s="34">
        <v>1.25540373307175</v>
      </c>
      <c r="Y67" s="34">
        <v>1.2550529069020999</v>
      </c>
      <c r="Z67" s="34">
        <v>1.2547916571301401</v>
      </c>
      <c r="AA67" s="34">
        <v>1.2549381302568501</v>
      </c>
      <c r="AB67" s="33">
        <v>26.459489752885698</v>
      </c>
      <c r="AC67" s="33">
        <v>26.452203188402201</v>
      </c>
      <c r="AD67" s="33">
        <v>26.456208483496098</v>
      </c>
      <c r="AE67" s="15">
        <v>-2.7949191899690802E-4</v>
      </c>
      <c r="AF67" s="15">
        <v>-5.5491552102217496E-4</v>
      </c>
      <c r="AG67" s="15">
        <v>-4.0351066969802901E-4</v>
      </c>
      <c r="AI67" s="12"/>
      <c r="AJ67">
        <f t="shared" si="6"/>
        <v>0</v>
      </c>
      <c r="AK67">
        <f t="shared" si="7"/>
        <v>0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8.3579986108886072E-4</v>
      </c>
      <c r="AT67" s="12"/>
      <c r="AU67">
        <f t="shared" si="10"/>
        <v>0</v>
      </c>
      <c r="AV67">
        <f t="shared" si="11"/>
        <v>1</v>
      </c>
      <c r="AW67">
        <f t="shared" si="18"/>
        <v>1</v>
      </c>
      <c r="AX67">
        <f t="shared" si="5"/>
        <v>1</v>
      </c>
      <c r="AY67">
        <f t="shared" si="19"/>
        <v>1</v>
      </c>
      <c r="AZ67" s="28">
        <f t="shared" si="12"/>
        <v>-2.4021150152446101E-3</v>
      </c>
      <c r="BA67" s="28">
        <f t="shared" si="13"/>
        <v>3.8299548922990198E-3</v>
      </c>
      <c r="BB67" s="28">
        <f t="shared" si="20"/>
        <v>1.4278398770544098E-3</v>
      </c>
      <c r="BC67" s="29">
        <f t="shared" si="21"/>
        <v>1.4278398770544098E-3</v>
      </c>
      <c r="BE67" s="29">
        <f t="shared" si="22"/>
        <v>1.4278398770544098E-3</v>
      </c>
      <c r="BF67" s="29">
        <f t="shared" si="23"/>
        <v>2.2636397381432705E-3</v>
      </c>
      <c r="BH67" s="29"/>
    </row>
    <row r="68" spans="1:60" x14ac:dyDescent="0.25">
      <c r="A68" s="1">
        <v>46121</v>
      </c>
      <c r="B68" s="33">
        <v>20.87</v>
      </c>
      <c r="C68" s="33">
        <v>26.17</v>
      </c>
      <c r="D68" s="15">
        <v>1.4385042039432999E-3</v>
      </c>
      <c r="E68" s="15">
        <v>3.8218995305652499E-4</v>
      </c>
      <c r="F68" s="33">
        <v>0</v>
      </c>
      <c r="G68" s="33">
        <v>0.242369999999999</v>
      </c>
      <c r="H68" s="33">
        <v>0</v>
      </c>
      <c r="I68" s="33">
        <v>0.30688599999999999</v>
      </c>
      <c r="J68" s="33">
        <v>0.242369999999999</v>
      </c>
      <c r="K68" s="33">
        <v>0.30688599999999999</v>
      </c>
      <c r="L68" s="33">
        <v>21.112369999999999</v>
      </c>
      <c r="M68" s="33">
        <v>26.476886</v>
      </c>
      <c r="N68" s="34">
        <v>1.2539530426449399</v>
      </c>
      <c r="O68" s="34">
        <v>1.2567453983371399</v>
      </c>
      <c r="P68" s="34">
        <v>1.2565256482241201</v>
      </c>
      <c r="Q68" s="34">
        <v>1.2565001667061599</v>
      </c>
      <c r="R68" s="33">
        <v>26.228276463296201</v>
      </c>
      <c r="S68" s="33">
        <v>26.236148652106401</v>
      </c>
      <c r="T68" s="33">
        <v>26.224413635032899</v>
      </c>
      <c r="U68" s="15">
        <v>2.2243665730270999E-3</v>
      </c>
      <c r="V68" s="15">
        <v>2.5244628326168998E-3</v>
      </c>
      <c r="W68" s="15">
        <v>2.0770784830149601E-3</v>
      </c>
      <c r="X68" s="34">
        <v>1.2540935006349301</v>
      </c>
      <c r="Y68" s="34">
        <v>1.2550529069020999</v>
      </c>
      <c r="Z68" s="34">
        <v>1.25468673297497</v>
      </c>
      <c r="AA68" s="34">
        <v>1.25488231988899</v>
      </c>
      <c r="AB68" s="33">
        <v>26.497141340092799</v>
      </c>
      <c r="AC68" s="33">
        <v>26.491625738244799</v>
      </c>
      <c r="AD68" s="33">
        <v>26.494718133090799</v>
      </c>
      <c r="AE68" s="15">
        <v>7.6472724831488004E-4</v>
      </c>
      <c r="AF68" s="15">
        <v>5.5654720669264305E-4</v>
      </c>
      <c r="AG68" s="15">
        <v>6.7327142744675998E-4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8.3579986108886072E-4</v>
      </c>
      <c r="AT68" s="12"/>
      <c r="AU68">
        <f t="shared" si="10"/>
        <v>0</v>
      </c>
      <c r="AV68">
        <f t="shared" si="11"/>
        <v>0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1.4278398770544098E-3</v>
      </c>
      <c r="BE68" s="29">
        <f t="shared" si="22"/>
        <v>0</v>
      </c>
      <c r="BF68" s="29">
        <f t="shared" si="23"/>
        <v>2.2636397381432705E-3</v>
      </c>
      <c r="BH68" s="29"/>
    </row>
    <row r="69" spans="1:60" x14ac:dyDescent="0.25">
      <c r="A69" s="1">
        <v>46122</v>
      </c>
      <c r="B69" s="33">
        <v>20.82</v>
      </c>
      <c r="C69" s="33">
        <v>26.12</v>
      </c>
      <c r="D69" s="15">
        <v>-2.3986579022865699E-3</v>
      </c>
      <c r="E69" s="15">
        <v>-1.9124121338241499E-3</v>
      </c>
      <c r="F69" s="33">
        <v>0</v>
      </c>
      <c r="G69" s="33">
        <v>0.242369999999999</v>
      </c>
      <c r="H69" s="33">
        <v>0</v>
      </c>
      <c r="I69" s="33">
        <v>0.30688599999999999</v>
      </c>
      <c r="J69" s="33">
        <v>0.242369999999999</v>
      </c>
      <c r="K69" s="33">
        <v>0.30688599999999999</v>
      </c>
      <c r="L69" s="33">
        <v>21.062370000000001</v>
      </c>
      <c r="M69" s="33">
        <v>26.426886</v>
      </c>
      <c r="N69" s="34">
        <v>1.2545629202689701</v>
      </c>
      <c r="O69" s="34">
        <v>1.2567453983371399</v>
      </c>
      <c r="P69" s="34">
        <v>1.2559819402510199</v>
      </c>
      <c r="Q69" s="34">
        <v>1.2564510706752501</v>
      </c>
      <c r="R69" s="33">
        <v>26.165439193379299</v>
      </c>
      <c r="S69" s="33">
        <v>26.160863996026301</v>
      </c>
      <c r="T69" s="33">
        <v>26.160333470822199</v>
      </c>
      <c r="U69" s="15">
        <v>1.7381208045649001E-3</v>
      </c>
      <c r="V69" s="15">
        <v>1.5632490064129299E-3</v>
      </c>
      <c r="W69" s="15">
        <v>1.54296945511316E-3</v>
      </c>
      <c r="X69" s="34">
        <v>1.2546966936769199</v>
      </c>
      <c r="Y69" s="34">
        <v>1.2550529069020999</v>
      </c>
      <c r="Z69" s="34">
        <v>1.25463816117736</v>
      </c>
      <c r="AA69" s="34">
        <v>1.2548373581915799</v>
      </c>
      <c r="AB69" s="33">
        <v>26.4343886947477</v>
      </c>
      <c r="AC69" s="33">
        <v>26.4266762040101</v>
      </c>
      <c r="AD69" s="33">
        <v>26.430795727960199</v>
      </c>
      <c r="AE69" s="15">
        <v>2.83863559531869E-4</v>
      </c>
      <c r="AF69" s="15">
        <v>-7.9387644311729001E-6</v>
      </c>
      <c r="AG69" s="15">
        <v>1.4793414465368899E-4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8.3579986108886072E-4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1.4278398770544098E-3</v>
      </c>
      <c r="BE69" s="29">
        <f t="shared" si="22"/>
        <v>0</v>
      </c>
      <c r="BF69" s="29">
        <f t="shared" si="23"/>
        <v>2.2636397381432705E-3</v>
      </c>
      <c r="BH69" s="29"/>
    </row>
    <row r="70" spans="1:60" x14ac:dyDescent="0.25">
      <c r="A70" s="1">
        <v>46125</v>
      </c>
      <c r="B70" s="33">
        <v>20.89</v>
      </c>
      <c r="C70" s="33">
        <v>26.21</v>
      </c>
      <c r="D70" s="15">
        <v>3.3565123816516099E-3</v>
      </c>
      <c r="E70" s="15">
        <v>3.4397129270846501E-3</v>
      </c>
      <c r="F70" s="33">
        <v>0</v>
      </c>
      <c r="G70" s="33">
        <v>0.242369999999999</v>
      </c>
      <c r="H70" s="33">
        <v>0</v>
      </c>
      <c r="I70" s="33">
        <v>0.30688599999999999</v>
      </c>
      <c r="J70" s="33">
        <v>0.242369999999999</v>
      </c>
      <c r="K70" s="33">
        <v>0.30688599999999999</v>
      </c>
      <c r="L70" s="33">
        <v>21.132370000000002</v>
      </c>
      <c r="M70" s="33">
        <v>26.516886</v>
      </c>
      <c r="N70" s="34">
        <v>1.2546673049305801</v>
      </c>
      <c r="O70" s="34">
        <v>1.2567453983371399</v>
      </c>
      <c r="P70" s="34">
        <v>1.2554467157098701</v>
      </c>
      <c r="Q70" s="34">
        <v>1.2564184784749699</v>
      </c>
      <c r="R70" s="33">
        <v>26.253411371262899</v>
      </c>
      <c r="S70" s="33">
        <v>26.237462731843902</v>
      </c>
      <c r="T70" s="33">
        <v>26.247262866406</v>
      </c>
      <c r="U70" s="15">
        <v>1.65492025913174E-3</v>
      </c>
      <c r="V70" s="15">
        <v>1.0472473947591701E-3</v>
      </c>
      <c r="W70" s="15">
        <v>1.42069450967869E-3</v>
      </c>
      <c r="X70" s="34">
        <v>1.2547994380185401</v>
      </c>
      <c r="Y70" s="34">
        <v>1.2550529069020999</v>
      </c>
      <c r="Z70" s="34">
        <v>1.25459886249635</v>
      </c>
      <c r="AA70" s="34">
        <v>1.2548087228187199</v>
      </c>
      <c r="AB70" s="33">
        <v>26.522242398230802</v>
      </c>
      <c r="AC70" s="33">
        <v>26.513477838119599</v>
      </c>
      <c r="AD70" s="33">
        <v>26.517687343127101</v>
      </c>
      <c r="AE70" s="15">
        <v>2.01979120353591E-4</v>
      </c>
      <c r="AF70" s="15">
        <v>-1.2853624370472001E-4</v>
      </c>
      <c r="AG70" s="15">
        <v>3.02196501909694E-5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8.3579986108886072E-4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1.4278398770544098E-3</v>
      </c>
      <c r="BE70" s="29">
        <f t="shared" si="22"/>
        <v>0</v>
      </c>
      <c r="BF70" s="29">
        <f t="shared" si="23"/>
        <v>2.2636397381432705E-3</v>
      </c>
      <c r="BH70" s="29"/>
    </row>
    <row r="71" spans="1:60" x14ac:dyDescent="0.25">
      <c r="A71" s="1">
        <v>46126</v>
      </c>
      <c r="B71" s="33">
        <v>20.95</v>
      </c>
      <c r="C71" s="33">
        <v>26.29</v>
      </c>
      <c r="D71" s="15">
        <v>2.86807079967217E-3</v>
      </c>
      <c r="E71" s="15">
        <v>3.0476214064748602E-3</v>
      </c>
      <c r="F71" s="33">
        <v>0</v>
      </c>
      <c r="G71" s="33">
        <v>0.242369999999999</v>
      </c>
      <c r="H71" s="33">
        <v>0</v>
      </c>
      <c r="I71" s="33">
        <v>0.30688599999999999</v>
      </c>
      <c r="J71" s="33">
        <v>0.242369999999999</v>
      </c>
      <c r="K71" s="33">
        <v>0.30688599999999999</v>
      </c>
      <c r="L71" s="33">
        <v>21.19237</v>
      </c>
      <c r="M71" s="33">
        <v>26.596885999999898</v>
      </c>
      <c r="N71" s="34">
        <v>1.2548926014319799</v>
      </c>
      <c r="O71" s="34">
        <v>1.2567453983371399</v>
      </c>
      <c r="P71" s="34">
        <v>1.2549758397324999</v>
      </c>
      <c r="Q71" s="34">
        <v>1.2564524681999101</v>
      </c>
      <c r="R71" s="33">
        <v>26.328816095163099</v>
      </c>
      <c r="S71" s="33">
        <v>26.3016086941217</v>
      </c>
      <c r="T71" s="33">
        <v>26.321967124050602</v>
      </c>
      <c r="U71" s="15">
        <v>1.47536965232919E-3</v>
      </c>
      <c r="V71" s="15">
        <v>4.4146564817346303E-4</v>
      </c>
      <c r="W71" s="15">
        <v>1.2152036782498801E-3</v>
      </c>
      <c r="X71" s="34">
        <v>1.2550217837835</v>
      </c>
      <c r="Y71" s="34">
        <v>1.2550529069020999</v>
      </c>
      <c r="Z71" s="34">
        <v>1.25462057901476</v>
      </c>
      <c r="AA71" s="34">
        <v>1.25484610303743</v>
      </c>
      <c r="AB71" s="33">
        <v>26.597545572645</v>
      </c>
      <c r="AC71" s="33">
        <v>26.587923295601801</v>
      </c>
      <c r="AD71" s="33">
        <v>26.5923707332019</v>
      </c>
      <c r="AE71" s="15">
        <v>2.4798559757111101E-5</v>
      </c>
      <c r="AF71" s="15">
        <v>-3.37040015813767E-4</v>
      </c>
      <c r="AG71" s="15">
        <v>-1.6978115830997299E-4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8.3579986108886072E-4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1.4278398770544098E-3</v>
      </c>
      <c r="BE71" s="29">
        <f t="shared" si="22"/>
        <v>0</v>
      </c>
      <c r="BF71" s="29">
        <f t="shared" si="23"/>
        <v>2.2636397381432705E-3</v>
      </c>
      <c r="BH71" s="29"/>
    </row>
    <row r="72" spans="1:60" x14ac:dyDescent="0.25">
      <c r="A72" s="1">
        <v>46127</v>
      </c>
      <c r="B72" s="33">
        <v>20.93</v>
      </c>
      <c r="C72" s="33">
        <v>26.28</v>
      </c>
      <c r="D72" s="15">
        <v>-9.5510991023834899E-4</v>
      </c>
      <c r="E72" s="15">
        <v>-3.8044512537996502E-4</v>
      </c>
      <c r="F72" s="33">
        <v>0</v>
      </c>
      <c r="G72" s="33">
        <v>0.242369999999999</v>
      </c>
      <c r="H72" s="33">
        <v>0</v>
      </c>
      <c r="I72" s="33">
        <v>0.30688599999999999</v>
      </c>
      <c r="J72" s="33">
        <v>0.242369999999999</v>
      </c>
      <c r="K72" s="33">
        <v>0.30688599999999999</v>
      </c>
      <c r="L72" s="33">
        <v>21.172370000000001</v>
      </c>
      <c r="M72" s="33">
        <v>26.586886</v>
      </c>
      <c r="N72" s="34">
        <v>1.25561395126612</v>
      </c>
      <c r="O72" s="34">
        <v>1.2567453983371399</v>
      </c>
      <c r="P72" s="34">
        <v>1.2546435150523501</v>
      </c>
      <c r="Q72" s="34">
        <v>1.2564875979625501</v>
      </c>
      <c r="R72" s="33">
        <v>26.3036811871964</v>
      </c>
      <c r="S72" s="33">
        <v>26.266644325601298</v>
      </c>
      <c r="T72" s="33">
        <v>26.297550159424201</v>
      </c>
      <c r="U72" s="15">
        <v>9.0070486747069304E-4</v>
      </c>
      <c r="V72" s="15">
        <v>-5.0833596922104495E-4</v>
      </c>
      <c r="W72" s="15">
        <v>6.6759139681785498E-4</v>
      </c>
      <c r="X72" s="34">
        <v>1.2557349980186401</v>
      </c>
      <c r="Y72" s="34">
        <v>1.2550529069020999</v>
      </c>
      <c r="Z72" s="34">
        <v>1.25477628703852</v>
      </c>
      <c r="AA72" s="34">
        <v>1.2548845014357799</v>
      </c>
      <c r="AB72" s="33">
        <v>26.572444514506898</v>
      </c>
      <c r="AC72" s="33">
        <v>26.563291108514701</v>
      </c>
      <c r="AD72" s="33">
        <v>26.568065986566602</v>
      </c>
      <c r="AE72" s="15">
        <v>-5.4332835679162298E-4</v>
      </c>
      <c r="AF72" s="15">
        <v>-8.8785755076772205E-4</v>
      </c>
      <c r="AG72" s="15">
        <v>-7.0811894344400303E-4</v>
      </c>
      <c r="AI72" s="12"/>
      <c r="AJ72">
        <f t="shared" si="6"/>
        <v>0</v>
      </c>
      <c r="AK72">
        <f t="shared" si="7"/>
        <v>0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8.3579986108886072E-4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1.4278398770544098E-3</v>
      </c>
      <c r="BE72" s="29">
        <f t="shared" si="22"/>
        <v>0</v>
      </c>
      <c r="BF72" s="29">
        <f t="shared" si="23"/>
        <v>2.2636397381432705E-3</v>
      </c>
      <c r="BH72" s="29"/>
    </row>
    <row r="73" spans="1:60" x14ac:dyDescent="0.25">
      <c r="A73" s="1">
        <v>46128</v>
      </c>
      <c r="B73" s="33">
        <v>20.87</v>
      </c>
      <c r="C73" s="33">
        <v>26.19</v>
      </c>
      <c r="D73" s="15">
        <v>-2.87081536879888E-3</v>
      </c>
      <c r="E73" s="15">
        <v>-3.43053509678924E-3</v>
      </c>
      <c r="F73" s="33">
        <v>0</v>
      </c>
      <c r="G73" s="33">
        <v>0.242369999999999</v>
      </c>
      <c r="H73" s="33">
        <v>0</v>
      </c>
      <c r="I73" s="33">
        <v>0.30688599999999999</v>
      </c>
      <c r="J73" s="33">
        <v>0.242369999999999</v>
      </c>
      <c r="K73" s="33">
        <v>0.30688599999999999</v>
      </c>
      <c r="L73" s="33">
        <v>21.112369999999999</v>
      </c>
      <c r="M73" s="33">
        <v>26.496886</v>
      </c>
      <c r="N73" s="34">
        <v>1.25491135601341</v>
      </c>
      <c r="O73" s="34">
        <v>1.2567453983371399</v>
      </c>
      <c r="P73" s="34">
        <v>1.2545914348159299</v>
      </c>
      <c r="Q73" s="34">
        <v>1.25643798504033</v>
      </c>
      <c r="R73" s="33">
        <v>26.228276463296201</v>
      </c>
      <c r="S73" s="33">
        <v>26.184410159142601</v>
      </c>
      <c r="T73" s="33">
        <v>26.2228961694784</v>
      </c>
      <c r="U73" s="15">
        <v>1.46042459546102E-3</v>
      </c>
      <c r="V73" s="15">
        <v>-2.1345694821667301E-4</v>
      </c>
      <c r="W73" s="15">
        <v>1.2552702179124699E-3</v>
      </c>
      <c r="X73" s="34">
        <v>1.25504081256628</v>
      </c>
      <c r="Y73" s="34">
        <v>1.2550529069020999</v>
      </c>
      <c r="Z73" s="34">
        <v>1.2547247103910499</v>
      </c>
      <c r="AA73" s="34">
        <v>1.2548389478645601</v>
      </c>
      <c r="AB73" s="33">
        <v>26.497141340092799</v>
      </c>
      <c r="AC73" s="33">
        <v>26.4913012391834</v>
      </c>
      <c r="AD73" s="33">
        <v>26.493585901577699</v>
      </c>
      <c r="AE73" s="15">
        <v>9.6365611623165495E-6</v>
      </c>
      <c r="AF73" s="15">
        <v>-2.1079267392182599E-4</v>
      </c>
      <c r="AG73" s="15">
        <v>-1.2455440791832E-4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8.3579986108886072E-4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1.4278398770544098E-3</v>
      </c>
      <c r="BE73" s="29">
        <f t="shared" si="22"/>
        <v>0</v>
      </c>
      <c r="BF73" s="29">
        <f t="shared" si="23"/>
        <v>2.2636397381432705E-3</v>
      </c>
      <c r="BH73" s="29"/>
    </row>
    <row r="74" spans="1:60" x14ac:dyDescent="0.25">
      <c r="A74" s="1">
        <v>46129</v>
      </c>
      <c r="B74" s="33">
        <v>20.96</v>
      </c>
      <c r="C74" s="33">
        <v>26.3</v>
      </c>
      <c r="D74" s="15">
        <v>4.3031383637320997E-3</v>
      </c>
      <c r="E74" s="15">
        <v>4.1912806640982498E-3</v>
      </c>
      <c r="F74" s="33">
        <v>0</v>
      </c>
      <c r="G74" s="33">
        <v>0.242369999999999</v>
      </c>
      <c r="H74" s="33">
        <v>0</v>
      </c>
      <c r="I74" s="33">
        <v>0.30688599999999999</v>
      </c>
      <c r="J74" s="33">
        <v>0.242369999999999</v>
      </c>
      <c r="K74" s="33">
        <v>0.30688599999999999</v>
      </c>
      <c r="L74" s="33">
        <v>21.202369999999998</v>
      </c>
      <c r="M74" s="33">
        <v>26.606885999999999</v>
      </c>
      <c r="N74" s="34">
        <v>1.2547709923664101</v>
      </c>
      <c r="O74" s="34">
        <v>1.2567453983371399</v>
      </c>
      <c r="P74" s="34">
        <v>1.25461136369646</v>
      </c>
      <c r="Q74" s="34">
        <v>1.2564003579055301</v>
      </c>
      <c r="R74" s="33">
        <v>26.341383549146499</v>
      </c>
      <c r="S74" s="33">
        <v>26.296236473741999</v>
      </c>
      <c r="T74" s="33">
        <v>26.3349401664453</v>
      </c>
      <c r="U74" s="15">
        <v>1.5722822950947799E-3</v>
      </c>
      <c r="V74" s="15">
        <v>-1.4311009747995499E-4</v>
      </c>
      <c r="W74" s="15">
        <v>1.3276417325489001E-3</v>
      </c>
      <c r="X74" s="34">
        <v>1.2549015039356399</v>
      </c>
      <c r="Y74" s="34">
        <v>1.2550529069020999</v>
      </c>
      <c r="Z74" s="34">
        <v>1.2547442977605601</v>
      </c>
      <c r="AA74" s="34">
        <v>1.25480529344531</v>
      </c>
      <c r="AB74" s="33">
        <v>26.610096101713999</v>
      </c>
      <c r="AC74" s="33">
        <v>26.603137557854001</v>
      </c>
      <c r="AD74" s="33">
        <v>26.605559663035201</v>
      </c>
      <c r="AE74" s="15">
        <v>1.2064200528314E-4</v>
      </c>
      <c r="AF74" s="15">
        <v>-1.40892331991103E-4</v>
      </c>
      <c r="AG74" s="15">
        <v>-4.9850629810913198E-5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8.3579986108886072E-4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1.4278398770544098E-3</v>
      </c>
      <c r="BE74" s="29">
        <f t="shared" si="22"/>
        <v>0</v>
      </c>
      <c r="BF74" s="29">
        <f t="shared" si="23"/>
        <v>2.2636397381432705E-3</v>
      </c>
      <c r="BH74" s="29"/>
    </row>
    <row r="75" spans="1:60" x14ac:dyDescent="0.25">
      <c r="A75" s="1">
        <v>46132</v>
      </c>
      <c r="B75" s="33">
        <v>20.89</v>
      </c>
      <c r="C75" s="33">
        <v>26.32</v>
      </c>
      <c r="D75" s="15">
        <v>-3.3452838843669799E-3</v>
      </c>
      <c r="E75" s="15">
        <v>7.6016727339752496E-4</v>
      </c>
      <c r="F75" s="33">
        <v>7.7369999999999994E-2</v>
      </c>
      <c r="G75" s="33">
        <v>0.31973999999999902</v>
      </c>
      <c r="H75" s="33">
        <v>0</v>
      </c>
      <c r="I75" s="33">
        <v>0.30688599999999999</v>
      </c>
      <c r="J75" s="33">
        <v>0.31973999999999902</v>
      </c>
      <c r="K75" s="33">
        <v>0.30688599999999999</v>
      </c>
      <c r="L75" s="33">
        <v>21.20974</v>
      </c>
      <c r="M75" s="33">
        <v>26.626885999999999</v>
      </c>
      <c r="N75" s="34">
        <v>1.25993298228817</v>
      </c>
      <c r="O75" s="34">
        <v>1.2567453983371399</v>
      </c>
      <c r="P75" s="34">
        <v>1.2552070715638299</v>
      </c>
      <c r="Q75" s="34">
        <v>1.2566542885733301</v>
      </c>
      <c r="R75" s="33">
        <v>26.253411371262899</v>
      </c>
      <c r="S75" s="33">
        <v>26.208831387619099</v>
      </c>
      <c r="T75" s="33">
        <v>26.2462034766465</v>
      </c>
      <c r="U75" s="15">
        <v>-2.5331688626696702E-3</v>
      </c>
      <c r="V75" s="15">
        <v>-4.2326766240445898E-3</v>
      </c>
      <c r="W75" s="15">
        <v>-2.80775734041644E-3</v>
      </c>
      <c r="X75" s="34">
        <v>1.25540841141852</v>
      </c>
      <c r="Y75" s="34">
        <v>1.2550529069020999</v>
      </c>
      <c r="Z75" s="34">
        <v>1.2548734488455</v>
      </c>
      <c r="AA75" s="34">
        <v>1.2548301533281001</v>
      </c>
      <c r="AB75" s="33">
        <v>26.619345841637902</v>
      </c>
      <c r="AC75" s="33">
        <v>26.6128003219841</v>
      </c>
      <c r="AD75" s="33">
        <v>26.614094024598799</v>
      </c>
      <c r="AE75" s="15">
        <v>-2.8321847956943501E-4</v>
      </c>
      <c r="AF75" s="15">
        <v>-5.2914204863225797E-4</v>
      </c>
      <c r="AG75" s="15">
        <v>-4.8053118636827202E-4</v>
      </c>
      <c r="AI75" s="12"/>
      <c r="AJ75">
        <f t="shared" si="6"/>
        <v>0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8.3579986108886072E-4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1.4278398770544098E-3</v>
      </c>
      <c r="BE75" s="29">
        <f t="shared" si="22"/>
        <v>0</v>
      </c>
      <c r="BF75" s="29">
        <f t="shared" si="23"/>
        <v>2.2636397381432705E-3</v>
      </c>
      <c r="BH75" s="29"/>
    </row>
    <row r="76" spans="1:60" x14ac:dyDescent="0.25">
      <c r="A76" s="1">
        <v>46133</v>
      </c>
      <c r="B76" s="33">
        <v>20.82</v>
      </c>
      <c r="C76" s="33">
        <v>26.2</v>
      </c>
      <c r="D76" s="15">
        <v>-3.3565123816516398E-3</v>
      </c>
      <c r="E76" s="15">
        <v>-4.56969569006529E-3</v>
      </c>
      <c r="F76" s="33">
        <v>0</v>
      </c>
      <c r="G76" s="33">
        <v>0.31973999999999902</v>
      </c>
      <c r="H76" s="33">
        <v>0</v>
      </c>
      <c r="I76" s="33">
        <v>0.30688599999999999</v>
      </c>
      <c r="J76" s="33">
        <v>0.31973999999999902</v>
      </c>
      <c r="K76" s="33">
        <v>0.30688599999999999</v>
      </c>
      <c r="L76" s="33">
        <v>21.13974</v>
      </c>
      <c r="M76" s="33">
        <v>26.506885999999898</v>
      </c>
      <c r="N76" s="34">
        <v>1.25840537944284</v>
      </c>
      <c r="O76" s="34">
        <v>1.2567453983371399</v>
      </c>
      <c r="P76" s="34">
        <v>1.2556988841593899</v>
      </c>
      <c r="Q76" s="34">
        <v>1.2566142862276499</v>
      </c>
      <c r="R76" s="33">
        <v>26.165439193379299</v>
      </c>
      <c r="S76" s="33">
        <v>26.133411229958998</v>
      </c>
      <c r="T76" s="33">
        <v>26.163542288096899</v>
      </c>
      <c r="U76" s="15">
        <v>-1.3199855542560101E-3</v>
      </c>
      <c r="V76" s="15">
        <v>-2.5447913450107901E-3</v>
      </c>
      <c r="W76" s="15">
        <v>-1.3924847785702101E-3</v>
      </c>
      <c r="X76" s="34">
        <v>1.2538889314627299</v>
      </c>
      <c r="Y76" s="34">
        <v>1.2550529069020999</v>
      </c>
      <c r="Z76" s="34">
        <v>1.2548989806587401</v>
      </c>
      <c r="AA76" s="34">
        <v>1.25480313198356</v>
      </c>
      <c r="AB76" s="33">
        <v>26.5314921381547</v>
      </c>
      <c r="AC76" s="33">
        <v>26.5276984414973</v>
      </c>
      <c r="AD76" s="33">
        <v>26.526783185516301</v>
      </c>
      <c r="AE76" s="15">
        <v>9.2786170255827196E-4</v>
      </c>
      <c r="AF76" s="15">
        <v>7.8486303927471001E-4</v>
      </c>
      <c r="AG76" s="15">
        <v>7.5036054474285905E-4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8.3579986108886072E-4</v>
      </c>
      <c r="AT76" s="12"/>
      <c r="AU76">
        <f t="shared" si="10"/>
        <v>0</v>
      </c>
      <c r="AV76">
        <f t="shared" si="11"/>
        <v>0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1.4278398770544098E-3</v>
      </c>
      <c r="BE76" s="29">
        <f t="shared" si="22"/>
        <v>0</v>
      </c>
      <c r="BF76" s="29">
        <f t="shared" si="23"/>
        <v>2.2636397381432705E-3</v>
      </c>
      <c r="BH76" s="29"/>
    </row>
    <row r="77" spans="1:60" x14ac:dyDescent="0.25">
      <c r="A77" s="1">
        <v>46134</v>
      </c>
      <c r="B77" s="33">
        <v>20.86</v>
      </c>
      <c r="C77" s="33">
        <v>26.25</v>
      </c>
      <c r="D77" s="15">
        <v>1.9193863858034399E-3</v>
      </c>
      <c r="E77" s="15">
        <v>1.9065782705816601E-3</v>
      </c>
      <c r="F77" s="33">
        <v>0</v>
      </c>
      <c r="G77" s="33">
        <v>0.31973999999999902</v>
      </c>
      <c r="H77" s="33">
        <v>0</v>
      </c>
      <c r="I77" s="33">
        <v>0.30688599999999999</v>
      </c>
      <c r="J77" s="33">
        <v>0.31973999999999902</v>
      </c>
      <c r="K77" s="33">
        <v>0.30688599999999999</v>
      </c>
      <c r="L77" s="33">
        <v>21.179739999999999</v>
      </c>
      <c r="M77" s="33">
        <v>26.556885999999999</v>
      </c>
      <c r="N77" s="34">
        <v>1.2583892617449599</v>
      </c>
      <c r="O77" s="34">
        <v>1.2567453983371399</v>
      </c>
      <c r="P77" s="34">
        <v>1.25600997923984</v>
      </c>
      <c r="Q77" s="34">
        <v>1.2565662893828899</v>
      </c>
      <c r="R77" s="33">
        <v>26.2157090093128</v>
      </c>
      <c r="S77" s="33">
        <v>26.1938787235649</v>
      </c>
      <c r="T77" s="33">
        <v>26.212974010708699</v>
      </c>
      <c r="U77" s="15">
        <v>-1.30717743903415E-3</v>
      </c>
      <c r="V77" s="15">
        <v>-2.1402420729945198E-3</v>
      </c>
      <c r="W77" s="15">
        <v>-1.41150958887964E-3</v>
      </c>
      <c r="X77" s="34">
        <v>1.2538815868372299</v>
      </c>
      <c r="Y77" s="34">
        <v>1.2550529069020999</v>
      </c>
      <c r="Z77" s="34">
        <v>1.25474676603529</v>
      </c>
      <c r="AA77" s="34">
        <v>1.25476921158272</v>
      </c>
      <c r="AB77" s="33">
        <v>26.581694254430801</v>
      </c>
      <c r="AC77" s="33">
        <v>26.5784341366173</v>
      </c>
      <c r="AD77" s="33">
        <v>26.576404086597599</v>
      </c>
      <c r="AE77" s="15">
        <v>9.3371919665303799E-4</v>
      </c>
      <c r="AF77" s="15">
        <v>8.1106645234053205E-4</v>
      </c>
      <c r="AG77" s="15">
        <v>7.3468394085106402E-4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8.3579986108886072E-4</v>
      </c>
      <c r="AT77" s="12"/>
      <c r="AU77">
        <f t="shared" si="10"/>
        <v>0</v>
      </c>
      <c r="AV77">
        <f t="shared" si="11"/>
        <v>0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1.4278398770544098E-3</v>
      </c>
      <c r="BE77" s="29">
        <f t="shared" si="22"/>
        <v>0</v>
      </c>
      <c r="BF77" s="29">
        <f t="shared" si="23"/>
        <v>2.2636397381432705E-3</v>
      </c>
      <c r="BH77" s="29"/>
    </row>
    <row r="78" spans="1:60" x14ac:dyDescent="0.25">
      <c r="A78" s="1">
        <v>46135</v>
      </c>
      <c r="B78" s="33">
        <v>20.81</v>
      </c>
      <c r="C78" s="33">
        <v>26.2</v>
      </c>
      <c r="D78" s="15">
        <v>-2.3998091670833599E-3</v>
      </c>
      <c r="E78" s="15">
        <v>-1.9065782705816399E-3</v>
      </c>
      <c r="F78" s="33">
        <v>0</v>
      </c>
      <c r="G78" s="33">
        <v>0.31973999999999902</v>
      </c>
      <c r="H78" s="33">
        <v>0</v>
      </c>
      <c r="I78" s="33">
        <v>0.30688599999999999</v>
      </c>
      <c r="J78" s="33">
        <v>0.31973999999999902</v>
      </c>
      <c r="K78" s="33">
        <v>0.30688599999999999</v>
      </c>
      <c r="L78" s="33">
        <v>21.129739999999899</v>
      </c>
      <c r="M78" s="33">
        <v>26.506885999999898</v>
      </c>
      <c r="N78" s="34">
        <v>1.2590100913022499</v>
      </c>
      <c r="O78" s="34">
        <v>1.2567453983371399</v>
      </c>
      <c r="P78" s="34">
        <v>1.25651568410557</v>
      </c>
      <c r="Q78" s="34">
        <v>1.25652066616485</v>
      </c>
      <c r="R78" s="33">
        <v>26.152871739395898</v>
      </c>
      <c r="S78" s="33">
        <v>26.137567667981099</v>
      </c>
      <c r="T78" s="33">
        <v>26.149144482057999</v>
      </c>
      <c r="U78" s="15">
        <v>-1.80040833553589E-3</v>
      </c>
      <c r="V78" s="15">
        <v>-2.3857570924129298E-3</v>
      </c>
      <c r="W78" s="15">
        <v>-1.9429365825730301E-3</v>
      </c>
      <c r="X78" s="34">
        <v>1.2544823552017199</v>
      </c>
      <c r="Y78" s="34">
        <v>1.2550529069020999</v>
      </c>
      <c r="Z78" s="34">
        <v>1.25478565149197</v>
      </c>
      <c r="AA78" s="34">
        <v>1.2547361922334701</v>
      </c>
      <c r="AB78" s="33">
        <v>26.518941609085701</v>
      </c>
      <c r="AC78" s="33">
        <v>26.512472932166599</v>
      </c>
      <c r="AD78" s="33">
        <v>26.512947200747899</v>
      </c>
      <c r="AE78" s="15">
        <v>4.5470706774554398E-4</v>
      </c>
      <c r="AF78" s="15">
        <v>2.1075065032325599E-4</v>
      </c>
      <c r="AG78" s="15">
        <v>2.2863899821679701E-4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8.3579986108886072E-4</v>
      </c>
      <c r="AT78" s="12"/>
      <c r="AU78">
        <f t="shared" si="10"/>
        <v>0</v>
      </c>
      <c r="AV78">
        <f t="shared" si="11"/>
        <v>0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1.4278398770544098E-3</v>
      </c>
      <c r="BE78" s="29">
        <f t="shared" si="22"/>
        <v>0</v>
      </c>
      <c r="BF78" s="29">
        <f t="shared" si="23"/>
        <v>2.2636397381432705E-3</v>
      </c>
      <c r="BH78" s="29"/>
    </row>
    <row r="79" spans="1:60" x14ac:dyDescent="0.25">
      <c r="A79" s="1">
        <v>46136</v>
      </c>
      <c r="B79" s="33">
        <v>20.82</v>
      </c>
      <c r="C79" s="33">
        <v>26.21</v>
      </c>
      <c r="D79" s="15">
        <v>4.80422781279908E-4</v>
      </c>
      <c r="E79" s="15">
        <v>3.8160656826382097E-4</v>
      </c>
      <c r="F79" s="33">
        <v>0</v>
      </c>
      <c r="G79" s="33">
        <v>0.31973999999999902</v>
      </c>
      <c r="H79" s="33">
        <v>0</v>
      </c>
      <c r="I79" s="33">
        <v>0.30688599999999999</v>
      </c>
      <c r="J79" s="33">
        <v>0.31973999999999902</v>
      </c>
      <c r="K79" s="33">
        <v>0.30688599999999999</v>
      </c>
      <c r="L79" s="33">
        <v>21.13974</v>
      </c>
      <c r="M79" s="33">
        <v>26.516886</v>
      </c>
      <c r="N79" s="34">
        <v>1.2588856868395699</v>
      </c>
      <c r="O79" s="34">
        <v>1.2567453983371399</v>
      </c>
      <c r="P79" s="34">
        <v>1.2569479607626299</v>
      </c>
      <c r="Q79" s="34">
        <v>1.2564649505068199</v>
      </c>
      <c r="R79" s="33">
        <v>26.165439193379299</v>
      </c>
      <c r="S79" s="33">
        <v>26.160656543078002</v>
      </c>
      <c r="T79" s="33">
        <v>26.1607602695521</v>
      </c>
      <c r="U79" s="15">
        <v>-1.70159212251984E-3</v>
      </c>
      <c r="V79" s="15">
        <v>-1.8843938487830599E-3</v>
      </c>
      <c r="W79" s="15">
        <v>-1.8804288768669399E-3</v>
      </c>
      <c r="X79" s="34">
        <v>1.25436197417754</v>
      </c>
      <c r="Y79" s="34">
        <v>1.2550529069020999</v>
      </c>
      <c r="Z79" s="34">
        <v>1.25475217954203</v>
      </c>
      <c r="AA79" s="34">
        <v>1.2546951703597</v>
      </c>
      <c r="AB79" s="33">
        <v>26.5314921381547</v>
      </c>
      <c r="AC79" s="33">
        <v>26.525842428270899</v>
      </c>
      <c r="AD79" s="33">
        <v>26.524796872405702</v>
      </c>
      <c r="AE79" s="15">
        <v>5.5067238760118399E-4</v>
      </c>
      <c r="AF79" s="15">
        <v>3.37706170911172E-4</v>
      </c>
      <c r="AG79" s="15">
        <v>2.9828889416617802E-4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8.3579986108886072E-4</v>
      </c>
      <c r="AT79" s="12"/>
      <c r="AU79">
        <f t="shared" si="10"/>
        <v>0</v>
      </c>
      <c r="AV79">
        <f t="shared" si="11"/>
        <v>0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1.4278398770544098E-3</v>
      </c>
      <c r="BE79" s="29">
        <f t="shared" si="22"/>
        <v>0</v>
      </c>
      <c r="BF79" s="29">
        <f t="shared" si="23"/>
        <v>2.2636397381432705E-3</v>
      </c>
      <c r="BH79" s="29"/>
    </row>
    <row r="80" spans="1:60" x14ac:dyDescent="0.25">
      <c r="A80" s="1">
        <v>46139</v>
      </c>
      <c r="B80" s="33">
        <v>20.78</v>
      </c>
      <c r="C80" s="33">
        <v>26.17</v>
      </c>
      <c r="D80" s="15">
        <v>-1.9230775157414799E-3</v>
      </c>
      <c r="E80" s="15">
        <v>-1.52730079326048E-3</v>
      </c>
      <c r="F80" s="33">
        <v>0</v>
      </c>
      <c r="G80" s="33">
        <v>0.31973999999999902</v>
      </c>
      <c r="H80" s="33">
        <v>0</v>
      </c>
      <c r="I80" s="33">
        <v>0.30688599999999999</v>
      </c>
      <c r="J80" s="33">
        <v>0.31973999999999902</v>
      </c>
      <c r="K80" s="33">
        <v>0.30688599999999999</v>
      </c>
      <c r="L80" s="33">
        <v>21.099740000000001</v>
      </c>
      <c r="M80" s="33">
        <v>26.476886</v>
      </c>
      <c r="N80" s="34">
        <v>1.25938402309913</v>
      </c>
      <c r="O80" s="34">
        <v>1.2567453983371399</v>
      </c>
      <c r="P80" s="34">
        <v>1.25741963257948</v>
      </c>
      <c r="Q80" s="34">
        <v>1.2564331741446699</v>
      </c>
      <c r="R80" s="33">
        <v>26.115169377445799</v>
      </c>
      <c r="S80" s="33">
        <v>26.119378624647499</v>
      </c>
      <c r="T80" s="33">
        <v>26.109341671531901</v>
      </c>
      <c r="U80" s="15">
        <v>-2.0973688450009399E-3</v>
      </c>
      <c r="V80" s="15">
        <v>-1.9362016722467899E-3</v>
      </c>
      <c r="W80" s="15">
        <v>-2.3205478014367599E-3</v>
      </c>
      <c r="X80" s="34">
        <v>1.2548441829140999</v>
      </c>
      <c r="Y80" s="34">
        <v>1.2550529069020999</v>
      </c>
      <c r="Z80" s="34">
        <v>1.25475665403159</v>
      </c>
      <c r="AA80" s="34">
        <v>1.2546777582639701</v>
      </c>
      <c r="AB80" s="33">
        <v>26.4812900218786</v>
      </c>
      <c r="AC80" s="33">
        <v>26.474944752770298</v>
      </c>
      <c r="AD80" s="33">
        <v>26.473741873845299</v>
      </c>
      <c r="AE80" s="15">
        <v>1.66320754211979E-4</v>
      </c>
      <c r="AF80" s="15">
        <v>-7.3321250765096403E-5</v>
      </c>
      <c r="AG80" s="15">
        <v>-1.18756898059937E-4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8.3579986108886072E-4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1.4278398770544098E-3</v>
      </c>
      <c r="BE80" s="29">
        <f t="shared" si="22"/>
        <v>0</v>
      </c>
      <c r="BF80" s="29">
        <f t="shared" si="23"/>
        <v>2.2636397381432705E-3</v>
      </c>
      <c r="BH80" s="29"/>
    </row>
    <row r="81" spans="1:60" x14ac:dyDescent="0.25">
      <c r="A81" s="1">
        <v>46140</v>
      </c>
      <c r="B81" s="33">
        <v>20.77</v>
      </c>
      <c r="C81" s="33">
        <v>26.16</v>
      </c>
      <c r="D81" s="15">
        <v>-4.8134778306045E-4</v>
      </c>
      <c r="E81" s="15">
        <v>-3.8218995305664398E-4</v>
      </c>
      <c r="F81" s="33">
        <v>0</v>
      </c>
      <c r="G81" s="33">
        <v>0.31973999999999902</v>
      </c>
      <c r="H81" s="33">
        <v>0</v>
      </c>
      <c r="I81" s="33">
        <v>0.30688599999999999</v>
      </c>
      <c r="J81" s="33">
        <v>0.31973999999999902</v>
      </c>
      <c r="K81" s="33">
        <v>0.30688599999999999</v>
      </c>
      <c r="L81" s="33">
        <v>21.089739999999999</v>
      </c>
      <c r="M81" s="33">
        <v>26.466885999999999</v>
      </c>
      <c r="N81" s="34">
        <v>1.2595089070775101</v>
      </c>
      <c r="O81" s="34">
        <v>1.2567453983371399</v>
      </c>
      <c r="P81" s="34">
        <v>1.2578812631440399</v>
      </c>
      <c r="Q81" s="34">
        <v>1.25642855143827</v>
      </c>
      <c r="R81" s="33">
        <v>26.102601923462402</v>
      </c>
      <c r="S81" s="33">
        <v>26.1166057686759</v>
      </c>
      <c r="T81" s="33">
        <v>26.096117026984899</v>
      </c>
      <c r="U81" s="15">
        <v>-2.1965266750047299E-3</v>
      </c>
      <c r="V81" s="15">
        <v>-1.66017822514844E-3</v>
      </c>
      <c r="W81" s="15">
        <v>-2.4449962405901E-3</v>
      </c>
      <c r="X81" s="34">
        <v>1.2549650209059</v>
      </c>
      <c r="Y81" s="34">
        <v>1.2550529069020999</v>
      </c>
      <c r="Z81" s="34">
        <v>1.2547509777438299</v>
      </c>
      <c r="AA81" s="34">
        <v>1.25468577837929</v>
      </c>
      <c r="AB81" s="33">
        <v>26.4687394928096</v>
      </c>
      <c r="AC81" s="33">
        <v>26.462491596796198</v>
      </c>
      <c r="AD81" s="33">
        <v>26.460827705570001</v>
      </c>
      <c r="AE81" s="15">
        <v>7.0028182085545197E-5</v>
      </c>
      <c r="AF81" s="15">
        <v>-1.66047794754544E-4</v>
      </c>
      <c r="AG81" s="15">
        <v>-2.2892711709115901E-4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8.3579986108886072E-4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1.4278398770544098E-3</v>
      </c>
      <c r="BE81" s="29">
        <f t="shared" si="22"/>
        <v>0</v>
      </c>
      <c r="BF81" s="29">
        <f t="shared" si="23"/>
        <v>2.2636397381432705E-3</v>
      </c>
      <c r="BH81" s="29"/>
    </row>
    <row r="82" spans="1:60" x14ac:dyDescent="0.25">
      <c r="A82" s="1">
        <v>46141</v>
      </c>
      <c r="B82" s="33">
        <v>20.68</v>
      </c>
      <c r="C82" s="33">
        <v>26.05</v>
      </c>
      <c r="D82" s="15">
        <v>-4.3425882477925899E-3</v>
      </c>
      <c r="E82" s="15">
        <v>-4.2137583896220097E-3</v>
      </c>
      <c r="F82" s="33">
        <v>0</v>
      </c>
      <c r="G82" s="33">
        <v>0.31973999999999902</v>
      </c>
      <c r="H82" s="33">
        <v>0</v>
      </c>
      <c r="I82" s="33">
        <v>0.30688599999999999</v>
      </c>
      <c r="J82" s="33">
        <v>0.31973999999999902</v>
      </c>
      <c r="K82" s="33">
        <v>0.30688599999999999</v>
      </c>
      <c r="L82" s="33">
        <v>20.999739999999999</v>
      </c>
      <c r="M82" s="33">
        <v>26.356885999999999</v>
      </c>
      <c r="N82" s="34">
        <v>1.25967117988394</v>
      </c>
      <c r="O82" s="34">
        <v>1.2567453983371399</v>
      </c>
      <c r="P82" s="34">
        <v>1.2582869860058199</v>
      </c>
      <c r="Q82" s="34">
        <v>1.2564652505290801</v>
      </c>
      <c r="R82" s="33">
        <v>25.989494837612099</v>
      </c>
      <c r="S82" s="33">
        <v>26.012984521818801</v>
      </c>
      <c r="T82" s="33">
        <v>25.982942443743401</v>
      </c>
      <c r="U82" s="15">
        <v>-2.3253565331753799E-3</v>
      </c>
      <c r="V82" s="15">
        <v>-1.4219501535727901E-3</v>
      </c>
      <c r="W82" s="15">
        <v>-2.5775053353529298E-3</v>
      </c>
      <c r="X82" s="34">
        <v>1.2551053489233599</v>
      </c>
      <c r="Y82" s="34">
        <v>1.2550529069020999</v>
      </c>
      <c r="Z82" s="34">
        <v>1.2546880128343001</v>
      </c>
      <c r="AA82" s="34">
        <v>1.2547321499364099</v>
      </c>
      <c r="AB82" s="33">
        <v>26.3557847311884</v>
      </c>
      <c r="AC82" s="33">
        <v>26.349444297366201</v>
      </c>
      <c r="AD82" s="33">
        <v>26.348075127662799</v>
      </c>
      <c r="AE82" s="15">
        <v>-4.1783836653382103E-5</v>
      </c>
      <c r="AF82" s="15">
        <v>-2.8238363935355402E-4</v>
      </c>
      <c r="AG82" s="15">
        <v>-3.3434698482691702E-4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8.3579986108886072E-4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1.4278398770544098E-3</v>
      </c>
      <c r="BE82" s="29">
        <f t="shared" si="22"/>
        <v>0</v>
      </c>
      <c r="BF82" s="29">
        <f t="shared" si="23"/>
        <v>2.2636397381432705E-3</v>
      </c>
      <c r="BH82" s="29"/>
    </row>
    <row r="83" spans="1:60" x14ac:dyDescent="0.25">
      <c r="A83" s="1">
        <v>46142</v>
      </c>
      <c r="B83" s="33">
        <v>20.72</v>
      </c>
      <c r="C83" s="33">
        <v>26.1</v>
      </c>
      <c r="D83" s="15">
        <v>1.9323677510538601E-3</v>
      </c>
      <c r="E83" s="15">
        <v>1.91754612927185E-3</v>
      </c>
      <c r="F83" s="33">
        <v>0</v>
      </c>
      <c r="G83" s="33">
        <v>0.31973999999999902</v>
      </c>
      <c r="H83" s="33">
        <v>0</v>
      </c>
      <c r="I83" s="33">
        <v>0.30688599999999999</v>
      </c>
      <c r="J83" s="33">
        <v>0.31973999999999902</v>
      </c>
      <c r="K83" s="33">
        <v>0.30688599999999999</v>
      </c>
      <c r="L83" s="33">
        <v>21.039739999999998</v>
      </c>
      <c r="M83" s="33">
        <v>26.406886</v>
      </c>
      <c r="N83" s="34">
        <v>1.2596525096525</v>
      </c>
      <c r="O83" s="34">
        <v>1.2567453983371399</v>
      </c>
      <c r="P83" s="34">
        <v>1.25876110136973</v>
      </c>
      <c r="Q83" s="34">
        <v>1.2566762680928301</v>
      </c>
      <c r="R83" s="33">
        <v>26.0397646535456</v>
      </c>
      <c r="S83" s="33">
        <v>26.0717063500406</v>
      </c>
      <c r="T83" s="33">
        <v>26.0339599909627</v>
      </c>
      <c r="U83" s="15">
        <v>-2.3105349113932798E-3</v>
      </c>
      <c r="V83" s="15">
        <v>-1.0846358960654599E-3</v>
      </c>
      <c r="W83" s="15">
        <v>-2.5334750850252601E-3</v>
      </c>
      <c r="X83" s="34">
        <v>1.25509564281687</v>
      </c>
      <c r="Y83" s="34">
        <v>1.2550529069020999</v>
      </c>
      <c r="Z83" s="34">
        <v>1.2546934958593601</v>
      </c>
      <c r="AA83" s="34">
        <v>1.25470910312521</v>
      </c>
      <c r="AB83" s="33">
        <v>26.405986847464501</v>
      </c>
      <c r="AC83" s="33">
        <v>26.398309571150399</v>
      </c>
      <c r="AD83" s="33">
        <v>26.399238204303099</v>
      </c>
      <c r="AE83" s="15">
        <v>-3.4050506517252302E-5</v>
      </c>
      <c r="AF83" s="15">
        <v>-3.2483276814725901E-4</v>
      </c>
      <c r="AG83" s="15">
        <v>-2.8965563618070202E-4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8.3579986108886072E-4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1.4278398770544098E-3</v>
      </c>
      <c r="BE83" s="29">
        <f t="shared" si="22"/>
        <v>0</v>
      </c>
      <c r="BF83" s="29">
        <f t="shared" si="23"/>
        <v>2.2636397381432705E-3</v>
      </c>
      <c r="BH83" s="29"/>
    </row>
    <row r="84" spans="1:60" x14ac:dyDescent="0.25">
      <c r="A84" s="1">
        <v>46143</v>
      </c>
      <c r="B84" s="33">
        <v>20.75</v>
      </c>
      <c r="C84" s="33">
        <v>26.01</v>
      </c>
      <c r="D84" s="15">
        <v>1.44682928542501E-3</v>
      </c>
      <c r="E84" s="15">
        <v>-3.4542348680875498E-3</v>
      </c>
      <c r="F84" s="33">
        <v>0</v>
      </c>
      <c r="G84" s="33">
        <v>0.31973999999999902</v>
      </c>
      <c r="H84" s="33">
        <v>0.10663300000000001</v>
      </c>
      <c r="I84" s="33">
        <v>0.41351899999999903</v>
      </c>
      <c r="J84" s="33">
        <v>0.31973999999999902</v>
      </c>
      <c r="K84" s="33">
        <v>0.41351899999999903</v>
      </c>
      <c r="L84" s="33">
        <v>21.069739999999999</v>
      </c>
      <c r="M84" s="33">
        <v>26.423518999999999</v>
      </c>
      <c r="N84" s="34">
        <v>1.2534939759036099</v>
      </c>
      <c r="O84" s="34">
        <v>1.2567453983371399</v>
      </c>
      <c r="P84" s="34">
        <v>1.25863339972345</v>
      </c>
      <c r="Q84" s="34">
        <v>1.25662238170995</v>
      </c>
      <c r="R84" s="33">
        <v>26.077467015495699</v>
      </c>
      <c r="S84" s="33">
        <v>26.1192928534219</v>
      </c>
      <c r="T84" s="33">
        <v>26.076032562926301</v>
      </c>
      <c r="U84" s="15">
        <v>2.5905292421191601E-3</v>
      </c>
      <c r="V84" s="15">
        <v>4.1931515881572998E-3</v>
      </c>
      <c r="W84" s="15">
        <v>2.5355203709453598E-3</v>
      </c>
      <c r="X84" s="34">
        <v>1.25409800975237</v>
      </c>
      <c r="Y84" s="34">
        <v>1.2550529069020999</v>
      </c>
      <c r="Z84" s="34">
        <v>1.2546131464410299</v>
      </c>
      <c r="AA84" s="34">
        <v>1.2546787221008</v>
      </c>
      <c r="AB84" s="33">
        <v>26.443638434671598</v>
      </c>
      <c r="AC84" s="33">
        <v>26.436065737447901</v>
      </c>
      <c r="AD84" s="33">
        <v>26.436394578481298</v>
      </c>
      <c r="AE84" s="15">
        <v>7.6113173543604601E-4</v>
      </c>
      <c r="AF84" s="15">
        <v>4.7471949489748499E-4</v>
      </c>
      <c r="AG84" s="15">
        <v>4.8715852389321902E-4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8.3579986108886072E-4</v>
      </c>
      <c r="AT84" s="12"/>
      <c r="AU84">
        <f t="shared" si="10"/>
        <v>0</v>
      </c>
      <c r="AV84">
        <f t="shared" si="11"/>
        <v>0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1.4278398770544098E-3</v>
      </c>
      <c r="BE84" s="29">
        <f t="shared" si="22"/>
        <v>0</v>
      </c>
      <c r="BF84" s="29">
        <f t="shared" si="23"/>
        <v>2.2636397381432705E-3</v>
      </c>
      <c r="BH84" s="29"/>
    </row>
    <row r="85" spans="1:60" x14ac:dyDescent="0.25">
      <c r="A85" s="1">
        <v>46146</v>
      </c>
      <c r="B85" s="33">
        <v>20.68</v>
      </c>
      <c r="C85" s="33">
        <v>25.95</v>
      </c>
      <c r="D85" s="15">
        <v>-3.3791970364788898E-3</v>
      </c>
      <c r="E85" s="15">
        <v>-2.3094698486626399E-3</v>
      </c>
      <c r="F85" s="33">
        <v>0</v>
      </c>
      <c r="G85" s="33">
        <v>0.31973999999999902</v>
      </c>
      <c r="H85" s="33">
        <v>0</v>
      </c>
      <c r="I85" s="33">
        <v>0.41351899999999903</v>
      </c>
      <c r="J85" s="33">
        <v>0.31973999999999902</v>
      </c>
      <c r="K85" s="33">
        <v>0.41351899999999903</v>
      </c>
      <c r="L85" s="33">
        <v>20.999739999999999</v>
      </c>
      <c r="M85" s="33">
        <v>26.363519</v>
      </c>
      <c r="N85" s="34">
        <v>1.2548355899419701</v>
      </c>
      <c r="O85" s="34">
        <v>1.2567453983371399</v>
      </c>
      <c r="P85" s="34">
        <v>1.25812366048883</v>
      </c>
      <c r="Q85" s="34">
        <v>1.2566653660263301</v>
      </c>
      <c r="R85" s="33">
        <v>25.989494837612099</v>
      </c>
      <c r="S85" s="33">
        <v>26.028538706281001</v>
      </c>
      <c r="T85" s="33">
        <v>25.986950853761901</v>
      </c>
      <c r="U85" s="15">
        <v>1.52080205430298E-3</v>
      </c>
      <c r="V85" s="15">
        <v>3.0219689897295699E-3</v>
      </c>
      <c r="W85" s="15">
        <v>1.4229121805966101E-3</v>
      </c>
      <c r="X85" s="34">
        <v>1.25542120997688</v>
      </c>
      <c r="Y85" s="34">
        <v>1.2550529069020999</v>
      </c>
      <c r="Z85" s="34">
        <v>1.2546144262968699</v>
      </c>
      <c r="AA85" s="34">
        <v>1.25474393757119</v>
      </c>
      <c r="AB85" s="33">
        <v>26.3557847311884</v>
      </c>
      <c r="AC85" s="33">
        <v>26.346549875843699</v>
      </c>
      <c r="AD85" s="33">
        <v>26.347926947649</v>
      </c>
      <c r="AE85" s="15">
        <v>-2.93413164425027E-4</v>
      </c>
      <c r="AF85" s="15">
        <v>-6.4386653648576401E-4</v>
      </c>
      <c r="AG85" s="15">
        <v>-5.9160026917664296E-4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8.3579986108886072E-4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1.4278398770544098E-3</v>
      </c>
      <c r="BE85" s="29">
        <f t="shared" si="22"/>
        <v>0</v>
      </c>
      <c r="BF85" s="29">
        <f t="shared" si="23"/>
        <v>2.2636397381432705E-3</v>
      </c>
      <c r="BH85" s="29"/>
    </row>
    <row r="86" spans="1:60" x14ac:dyDescent="0.25">
      <c r="A86" s="1">
        <v>46147</v>
      </c>
      <c r="B86" s="33">
        <v>20.73</v>
      </c>
      <c r="C86" s="33">
        <v>26.01</v>
      </c>
      <c r="D86" s="15">
        <v>2.4148768074598601E-3</v>
      </c>
      <c r="E86" s="15">
        <v>2.3094698486626399E-3</v>
      </c>
      <c r="F86" s="33">
        <v>0</v>
      </c>
      <c r="G86" s="33">
        <v>0.31973999999999902</v>
      </c>
      <c r="H86" s="33">
        <v>0</v>
      </c>
      <c r="I86" s="33">
        <v>0.41351899999999903</v>
      </c>
      <c r="J86" s="33">
        <v>0.31973999999999902</v>
      </c>
      <c r="K86" s="33">
        <v>0.41351899999999903</v>
      </c>
      <c r="L86" s="33">
        <v>21.04974</v>
      </c>
      <c r="M86" s="33">
        <v>26.423518999999999</v>
      </c>
      <c r="N86" s="34">
        <v>1.2547033285094</v>
      </c>
      <c r="O86" s="34">
        <v>1.2567453983371399</v>
      </c>
      <c r="P86" s="34">
        <v>1.2577534553954901</v>
      </c>
      <c r="Q86" s="34">
        <v>1.2567261697774399</v>
      </c>
      <c r="R86" s="33">
        <v>26.052332107529001</v>
      </c>
      <c r="S86" s="33">
        <v>26.0809034819335</v>
      </c>
      <c r="T86" s="33">
        <v>26.0506730377259</v>
      </c>
      <c r="U86" s="15">
        <v>1.6262090131002899E-3</v>
      </c>
      <c r="V86" s="15">
        <v>2.7222997100222E-3</v>
      </c>
      <c r="W86" s="15">
        <v>1.56252478609606E-3</v>
      </c>
      <c r="X86" s="34">
        <v>1.2552895665219601</v>
      </c>
      <c r="Y86" s="34">
        <v>1.2550529069020999</v>
      </c>
      <c r="Z86" s="34">
        <v>1.25475448980279</v>
      </c>
      <c r="AA86" s="34">
        <v>1.25482673523077</v>
      </c>
      <c r="AB86" s="33">
        <v>26.4185373765335</v>
      </c>
      <c r="AC86" s="33">
        <v>26.4093074737983</v>
      </c>
      <c r="AD86" s="33">
        <v>26.412033652449701</v>
      </c>
      <c r="AE86" s="15">
        <v>-1.88547676710215E-4</v>
      </c>
      <c r="AF86" s="15">
        <v>-5.3798092939267498E-4</v>
      </c>
      <c r="AG86" s="15">
        <v>-4.3475830778836699E-4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8.3579986108886072E-4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1.4278398770544098E-3</v>
      </c>
      <c r="BE86" s="29">
        <f t="shared" si="22"/>
        <v>0</v>
      </c>
      <c r="BF86" s="29">
        <f t="shared" si="23"/>
        <v>2.2636397381432705E-3</v>
      </c>
      <c r="BH86" s="29"/>
    </row>
    <row r="87" spans="1:60" x14ac:dyDescent="0.25">
      <c r="A87" s="1">
        <v>46148</v>
      </c>
      <c r="B87" s="33">
        <v>20.83</v>
      </c>
      <c r="C87" s="33">
        <v>26.13</v>
      </c>
      <c r="D87" s="15">
        <v>4.8123288251922499E-3</v>
      </c>
      <c r="E87" s="15">
        <v>4.6030000719609401E-3</v>
      </c>
      <c r="F87" s="33">
        <v>0</v>
      </c>
      <c r="G87" s="33">
        <v>0.31973999999999902</v>
      </c>
      <c r="H87" s="33">
        <v>0</v>
      </c>
      <c r="I87" s="33">
        <v>0.41351899999999903</v>
      </c>
      <c r="J87" s="33">
        <v>0.31973999999999902</v>
      </c>
      <c r="K87" s="33">
        <v>0.41351899999999903</v>
      </c>
      <c r="L87" s="33">
        <v>21.149739999999898</v>
      </c>
      <c r="M87" s="33">
        <v>26.543519</v>
      </c>
      <c r="N87" s="34">
        <v>1.2544407105136799</v>
      </c>
      <c r="O87" s="34">
        <v>1.2567453983371399</v>
      </c>
      <c r="P87" s="34">
        <v>1.25735860027236</v>
      </c>
      <c r="Q87" s="34">
        <v>1.2566842897560999</v>
      </c>
      <c r="R87" s="33">
        <v>26.1780066473627</v>
      </c>
      <c r="S87" s="33">
        <v>26.199004475888</v>
      </c>
      <c r="T87" s="33">
        <v>26.177606116464101</v>
      </c>
      <c r="U87" s="15">
        <v>1.8355377663318499E-3</v>
      </c>
      <c r="V87" s="15">
        <v>2.6373334091124899E-3</v>
      </c>
      <c r="W87" s="15">
        <v>1.82023736672033E-3</v>
      </c>
      <c r="X87" s="34">
        <v>1.2550281469181099</v>
      </c>
      <c r="Y87" s="34">
        <v>1.2550529069020999</v>
      </c>
      <c r="Z87" s="34">
        <v>1.25486914581088</v>
      </c>
      <c r="AA87" s="34">
        <v>1.25480795592309</v>
      </c>
      <c r="AB87" s="33">
        <v>26.5440426672237</v>
      </c>
      <c r="AC87" s="33">
        <v>26.537731223161799</v>
      </c>
      <c r="AD87" s="33">
        <v>26.5392591951796</v>
      </c>
      <c r="AE87" s="15">
        <v>1.9728433830745899E-5</v>
      </c>
      <c r="AF87" s="15">
        <v>-2.1807236403821999E-4</v>
      </c>
      <c r="AG87" s="15">
        <v>-1.60496679875775E-4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8.3579986108886072E-4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1.4278398770544098E-3</v>
      </c>
      <c r="BE87" s="29">
        <f t="shared" ref="BE87:BE150" si="42">AQ87+BB87</f>
        <v>0</v>
      </c>
      <c r="BF87" s="29">
        <f t="shared" ref="BF87:BF150" si="43">BF86+BE87</f>
        <v>2.2636397381432705E-3</v>
      </c>
      <c r="BH87" s="29"/>
    </row>
    <row r="88" spans="1:60" x14ac:dyDescent="0.25">
      <c r="A88" s="1">
        <v>46149</v>
      </c>
      <c r="B88" s="33">
        <v>20.75</v>
      </c>
      <c r="C88" s="33">
        <v>26.04</v>
      </c>
      <c r="D88" s="15">
        <v>-3.8480085961732102E-3</v>
      </c>
      <c r="E88" s="15">
        <v>-3.45026219215267E-3</v>
      </c>
      <c r="F88" s="33">
        <v>0</v>
      </c>
      <c r="G88" s="33">
        <v>0.31973999999999902</v>
      </c>
      <c r="H88" s="33">
        <v>0</v>
      </c>
      <c r="I88" s="33">
        <v>0.41351899999999903</v>
      </c>
      <c r="J88" s="33">
        <v>0.31973999999999902</v>
      </c>
      <c r="K88" s="33">
        <v>0.41351899999999903</v>
      </c>
      <c r="L88" s="33">
        <v>21.069739999999999</v>
      </c>
      <c r="M88" s="33">
        <v>26.453519</v>
      </c>
      <c r="N88" s="34">
        <v>1.25493975903614</v>
      </c>
      <c r="O88" s="34">
        <v>1.2567453983371399</v>
      </c>
      <c r="P88" s="34">
        <v>1.2569515670457501</v>
      </c>
      <c r="Q88" s="34">
        <v>1.25673362557566</v>
      </c>
      <c r="R88" s="33">
        <v>26.077467015495699</v>
      </c>
      <c r="S88" s="33">
        <v>26.090190955651501</v>
      </c>
      <c r="T88" s="33">
        <v>26.076199012439101</v>
      </c>
      <c r="U88" s="15">
        <v>1.4377913623109201E-3</v>
      </c>
      <c r="V88" s="15">
        <v>1.9256008942285701E-3</v>
      </c>
      <c r="W88" s="15">
        <v>1.3891657084135101E-3</v>
      </c>
      <c r="X88" s="34">
        <v>1.25552185266643</v>
      </c>
      <c r="Y88" s="34">
        <v>1.2550529069020999</v>
      </c>
      <c r="Z88" s="34">
        <v>1.2549730955573499</v>
      </c>
      <c r="AA88" s="34">
        <v>1.2548793735246599</v>
      </c>
      <c r="AB88" s="33">
        <v>26.443638434671598</v>
      </c>
      <c r="AC88" s="33">
        <v>26.439766636257399</v>
      </c>
      <c r="AD88" s="33">
        <v>26.4384773812309</v>
      </c>
      <c r="AE88" s="15">
        <v>-3.7357642347813502E-4</v>
      </c>
      <c r="AF88" s="15">
        <v>-5.2000415126501301E-4</v>
      </c>
      <c r="AG88" s="15">
        <v>-5.6876730710183005E-4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8.3579986108886072E-4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1.4278398770544098E-3</v>
      </c>
      <c r="BE88" s="29">
        <f t="shared" si="42"/>
        <v>0</v>
      </c>
      <c r="BF88" s="29">
        <f t="shared" si="43"/>
        <v>2.2636397381432705E-3</v>
      </c>
      <c r="BH88" s="29"/>
    </row>
    <row r="89" spans="1:60" x14ac:dyDescent="0.25">
      <c r="A89" s="1">
        <v>46150</v>
      </c>
      <c r="B89" s="33">
        <v>20.82</v>
      </c>
      <c r="C89" s="33">
        <v>26.13</v>
      </c>
      <c r="D89" s="15">
        <v>3.3678165101154898E-3</v>
      </c>
      <c r="E89" s="15">
        <v>3.45026219215252E-3</v>
      </c>
      <c r="F89" s="33">
        <v>0</v>
      </c>
      <c r="G89" s="33">
        <v>0.31973999999999902</v>
      </c>
      <c r="H89" s="33">
        <v>0</v>
      </c>
      <c r="I89" s="33">
        <v>0.41351899999999903</v>
      </c>
      <c r="J89" s="33">
        <v>0.31973999999999902</v>
      </c>
      <c r="K89" s="33">
        <v>0.41351899999999903</v>
      </c>
      <c r="L89" s="33">
        <v>21.13974</v>
      </c>
      <c r="M89" s="33">
        <v>26.543519</v>
      </c>
      <c r="N89" s="34">
        <v>1.2550432276657</v>
      </c>
      <c r="O89" s="34">
        <v>1.2567453983371399</v>
      </c>
      <c r="P89" s="34">
        <v>1.2565673211283599</v>
      </c>
      <c r="Q89" s="34">
        <v>1.2567576409454899</v>
      </c>
      <c r="R89" s="33">
        <v>26.165439193379299</v>
      </c>
      <c r="S89" s="33">
        <v>26.169731625892499</v>
      </c>
      <c r="T89" s="33">
        <v>26.165194084485201</v>
      </c>
      <c r="U89" s="15">
        <v>1.3553456802740901E-3</v>
      </c>
      <c r="V89" s="15">
        <v>1.5193819280055899E-3</v>
      </c>
      <c r="W89" s="15">
        <v>1.3459779780808001E-3</v>
      </c>
      <c r="X89" s="34">
        <v>1.2556218288398999</v>
      </c>
      <c r="Y89" s="34">
        <v>1.2550529069020999</v>
      </c>
      <c r="Z89" s="34">
        <v>1.25509908102359</v>
      </c>
      <c r="AA89" s="34">
        <v>1.25492563028281</v>
      </c>
      <c r="AB89" s="33">
        <v>26.5314921381547</v>
      </c>
      <c r="AC89" s="33">
        <v>26.529804947077601</v>
      </c>
      <c r="AD89" s="33">
        <v>26.527823687674299</v>
      </c>
      <c r="AE89" s="15">
        <v>-4.5320243154686101E-4</v>
      </c>
      <c r="AF89" s="15">
        <v>-5.1679646977563997E-4</v>
      </c>
      <c r="AG89" s="15">
        <v>-5.9147977000044199E-4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8.3579986108886072E-4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1.4278398770544098E-3</v>
      </c>
      <c r="BE89" s="29">
        <f t="shared" si="42"/>
        <v>0</v>
      </c>
      <c r="BF89" s="29">
        <f t="shared" si="43"/>
        <v>2.2636397381432705E-3</v>
      </c>
      <c r="BH89" s="29"/>
    </row>
    <row r="90" spans="1:60" x14ac:dyDescent="0.25">
      <c r="A90" s="1">
        <v>46153</v>
      </c>
      <c r="B90" s="33">
        <v>20.78</v>
      </c>
      <c r="C90" s="33">
        <v>26.05</v>
      </c>
      <c r="D90" s="15">
        <v>-1.9230775157414799E-3</v>
      </c>
      <c r="E90" s="15">
        <v>-3.0663113331451698E-3</v>
      </c>
      <c r="F90" s="33">
        <v>0</v>
      </c>
      <c r="G90" s="33">
        <v>0.31973999999999902</v>
      </c>
      <c r="H90" s="33">
        <v>0</v>
      </c>
      <c r="I90" s="33">
        <v>0.41351899999999903</v>
      </c>
      <c r="J90" s="33">
        <v>0.31973999999999902</v>
      </c>
      <c r="K90" s="33">
        <v>0.41351899999999903</v>
      </c>
      <c r="L90" s="33">
        <v>21.099740000000001</v>
      </c>
      <c r="M90" s="33">
        <v>26.463519000000002</v>
      </c>
      <c r="N90" s="34">
        <v>1.2536092396535099</v>
      </c>
      <c r="O90" s="34">
        <v>1.2567453983371399</v>
      </c>
      <c r="P90" s="34">
        <v>1.2559898427838001</v>
      </c>
      <c r="Q90" s="34">
        <v>1.25670473768164</v>
      </c>
      <c r="R90" s="33">
        <v>26.115169377445799</v>
      </c>
      <c r="S90" s="33">
        <v>26.111468933047298</v>
      </c>
      <c r="T90" s="33">
        <v>26.115423778847401</v>
      </c>
      <c r="U90" s="15">
        <v>2.49857949767759E-3</v>
      </c>
      <c r="V90" s="15">
        <v>2.3568723335033199E-3</v>
      </c>
      <c r="W90" s="15">
        <v>2.5083209685755302E-3</v>
      </c>
      <c r="X90" s="34">
        <v>1.2542106679987499</v>
      </c>
      <c r="Y90" s="34">
        <v>1.2550529069020999</v>
      </c>
      <c r="Z90" s="34">
        <v>1.25503572953205</v>
      </c>
      <c r="AA90" s="34">
        <v>1.25489619178182</v>
      </c>
      <c r="AB90" s="33">
        <v>26.4812900218786</v>
      </c>
      <c r="AC90" s="33">
        <v>26.482264283836699</v>
      </c>
      <c r="AD90" s="33">
        <v>26.478604518303499</v>
      </c>
      <c r="AE90" s="15">
        <v>6.7130367922193504E-4</v>
      </c>
      <c r="AF90" s="15">
        <v>7.0809358016169703E-4</v>
      </c>
      <c r="AG90" s="15">
        <v>5.6988717902784402E-4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8.3579986108886072E-4</v>
      </c>
      <c r="AT90" s="12"/>
      <c r="AU90">
        <f t="shared" si="30"/>
        <v>0</v>
      </c>
      <c r="AV90">
        <f t="shared" si="31"/>
        <v>0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1.4278398770544098E-3</v>
      </c>
      <c r="BE90" s="29">
        <f t="shared" si="42"/>
        <v>0</v>
      </c>
      <c r="BF90" s="29">
        <f t="shared" si="43"/>
        <v>2.2636397381432705E-3</v>
      </c>
      <c r="BH90" s="29"/>
    </row>
    <row r="91" spans="1:60" x14ac:dyDescent="0.25">
      <c r="A91" s="1">
        <v>46154</v>
      </c>
      <c r="B91" s="33">
        <v>20.73</v>
      </c>
      <c r="C91" s="33">
        <v>26</v>
      </c>
      <c r="D91" s="15">
        <v>-2.4090592233931602E-3</v>
      </c>
      <c r="E91" s="15">
        <v>-1.92123017789393E-3</v>
      </c>
      <c r="F91" s="33">
        <v>0</v>
      </c>
      <c r="G91" s="33">
        <v>0.31973999999999902</v>
      </c>
      <c r="H91" s="33">
        <v>0</v>
      </c>
      <c r="I91" s="33">
        <v>0.41351899999999903</v>
      </c>
      <c r="J91" s="33">
        <v>0.31973999999999902</v>
      </c>
      <c r="K91" s="33">
        <v>0.41351899999999903</v>
      </c>
      <c r="L91" s="33">
        <v>21.04974</v>
      </c>
      <c r="M91" s="33">
        <v>26.413519000000001</v>
      </c>
      <c r="N91" s="34">
        <v>1.25422093584177</v>
      </c>
      <c r="O91" s="34">
        <v>1.2567453983371399</v>
      </c>
      <c r="P91" s="34">
        <v>1.25546104566022</v>
      </c>
      <c r="Q91" s="34">
        <v>1.2566711544021301</v>
      </c>
      <c r="R91" s="33">
        <v>26.052332107529001</v>
      </c>
      <c r="S91" s="33">
        <v>26.036669440908099</v>
      </c>
      <c r="T91" s="33">
        <v>26.051489212140499</v>
      </c>
      <c r="U91" s="15">
        <v>2.0107504521784201E-3</v>
      </c>
      <c r="V91" s="15">
        <v>1.40936948394101E-3</v>
      </c>
      <c r="W91" s="15">
        <v>1.9783959965078298E-3</v>
      </c>
      <c r="X91" s="34">
        <v>1.25481450127174</v>
      </c>
      <c r="Y91" s="34">
        <v>1.2550529069020999</v>
      </c>
      <c r="Z91" s="34">
        <v>1.2550206775686401</v>
      </c>
      <c r="AA91" s="34">
        <v>1.25488582765623</v>
      </c>
      <c r="AB91" s="33">
        <v>26.4185373765335</v>
      </c>
      <c r="AC91" s="33">
        <v>26.418175797360099</v>
      </c>
      <c r="AD91" s="33">
        <v>26.415238563997502</v>
      </c>
      <c r="AE91" s="15">
        <v>1.8997468176865299E-4</v>
      </c>
      <c r="AF91" s="15">
        <v>1.7628801763954201E-4</v>
      </c>
      <c r="AG91" s="15">
        <v>6.5099543409863502E-5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8.3579986108886072E-4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1.4278398770544098E-3</v>
      </c>
      <c r="BE91" s="29">
        <f t="shared" si="42"/>
        <v>0</v>
      </c>
      <c r="BF91" s="29">
        <f t="shared" si="43"/>
        <v>2.2636397381432705E-3</v>
      </c>
      <c r="BH91" s="29"/>
    </row>
    <row r="92" spans="1:60" x14ac:dyDescent="0.25">
      <c r="A92" s="1">
        <v>46155</v>
      </c>
      <c r="B92" s="33">
        <v>20.74</v>
      </c>
      <c r="C92" s="33">
        <v>26</v>
      </c>
      <c r="D92" s="15">
        <v>4.8227635369299098E-4</v>
      </c>
      <c r="E92" s="15">
        <v>0</v>
      </c>
      <c r="F92" s="33">
        <v>0</v>
      </c>
      <c r="G92" s="33">
        <v>0.31973999999999902</v>
      </c>
      <c r="H92" s="33">
        <v>0</v>
      </c>
      <c r="I92" s="33">
        <v>0.41351899999999903</v>
      </c>
      <c r="J92" s="33">
        <v>0.31973999999999902</v>
      </c>
      <c r="K92" s="33">
        <v>0.41351899999999903</v>
      </c>
      <c r="L92" s="33">
        <v>21.059739999999898</v>
      </c>
      <c r="M92" s="33">
        <v>26.413519000000001</v>
      </c>
      <c r="N92" s="34">
        <v>1.25361620057859</v>
      </c>
      <c r="O92" s="34">
        <v>1.2567453983371399</v>
      </c>
      <c r="P92" s="34">
        <v>1.2548555477296901</v>
      </c>
      <c r="Q92" s="34">
        <v>1.25657126686775</v>
      </c>
      <c r="R92" s="33">
        <v>26.064899561512298</v>
      </c>
      <c r="S92" s="33">
        <v>26.0382620869931</v>
      </c>
      <c r="T92" s="33">
        <v>26.0633597423002</v>
      </c>
      <c r="U92" s="15">
        <v>2.4930268058714002E-3</v>
      </c>
      <c r="V92" s="15">
        <v>1.4705369608317999E-3</v>
      </c>
      <c r="W92" s="15">
        <v>2.43394870761448E-3</v>
      </c>
      <c r="X92" s="34">
        <v>1.25421866556757</v>
      </c>
      <c r="Y92" s="34">
        <v>1.2550529069020999</v>
      </c>
      <c r="Z92" s="34">
        <v>1.25493200923306</v>
      </c>
      <c r="AA92" s="34">
        <v>1.25481001103368</v>
      </c>
      <c r="AB92" s="33">
        <v>26.431087905602499</v>
      </c>
      <c r="AC92" s="33">
        <v>26.430409164219402</v>
      </c>
      <c r="AD92" s="33">
        <v>26.4275692601251</v>
      </c>
      <c r="AE92" s="15">
        <v>6.6492712421060301E-4</v>
      </c>
      <c r="AF92" s="15">
        <v>6.3924713326026395E-4</v>
      </c>
      <c r="AG92" s="15">
        <v>5.3179300120110304E-4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8.3579986108886072E-4</v>
      </c>
      <c r="AT92" s="12"/>
      <c r="AU92">
        <f t="shared" si="30"/>
        <v>0</v>
      </c>
      <c r="AV92">
        <f t="shared" si="31"/>
        <v>0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1.4278398770544098E-3</v>
      </c>
      <c r="BE92" s="29">
        <f t="shared" si="42"/>
        <v>0</v>
      </c>
      <c r="BF92" s="29">
        <f t="shared" si="43"/>
        <v>2.2636397381432705E-3</v>
      </c>
      <c r="BH92" s="29"/>
    </row>
    <row r="93" spans="1:60" x14ac:dyDescent="0.25">
      <c r="A93" s="1">
        <v>46156</v>
      </c>
      <c r="B93" s="33">
        <v>20.71</v>
      </c>
      <c r="C93" s="33">
        <v>25.98</v>
      </c>
      <c r="D93" s="15">
        <v>-1.4475273938883101E-3</v>
      </c>
      <c r="E93" s="15">
        <v>-7.6952677902854098E-4</v>
      </c>
      <c r="F93" s="33">
        <v>0</v>
      </c>
      <c r="G93" s="33">
        <v>0.31973999999999902</v>
      </c>
      <c r="H93" s="33">
        <v>0</v>
      </c>
      <c r="I93" s="33">
        <v>0.41351899999999903</v>
      </c>
      <c r="J93" s="33">
        <v>0.31973999999999902</v>
      </c>
      <c r="K93" s="33">
        <v>0.41351899999999903</v>
      </c>
      <c r="L93" s="33">
        <v>21.02974</v>
      </c>
      <c r="M93" s="33">
        <v>26.393519000000001</v>
      </c>
      <c r="N93" s="34">
        <v>1.25446644133268</v>
      </c>
      <c r="O93" s="34">
        <v>1.2567453983371399</v>
      </c>
      <c r="P93" s="34">
        <v>1.2543369408977001</v>
      </c>
      <c r="Q93" s="34">
        <v>1.25654902113372</v>
      </c>
      <c r="R93" s="33">
        <v>26.027197199562199</v>
      </c>
      <c r="S93" s="33">
        <v>25.9880583934819</v>
      </c>
      <c r="T93" s="33">
        <v>26.023590936831202</v>
      </c>
      <c r="U93" s="15">
        <v>1.8150261910116301E-3</v>
      </c>
      <c r="V93" s="15">
        <v>3.1012871350675298E-4</v>
      </c>
      <c r="W93" s="15">
        <v>1.6764591158190899E-3</v>
      </c>
      <c r="X93" s="34">
        <v>1.2550568385534</v>
      </c>
      <c r="Y93" s="34">
        <v>1.2550529069020999</v>
      </c>
      <c r="Z93" s="34">
        <v>1.25492812880671</v>
      </c>
      <c r="AA93" s="34">
        <v>1.2548108123330299</v>
      </c>
      <c r="AB93" s="33">
        <v>26.393436318395501</v>
      </c>
      <c r="AC93" s="33">
        <v>26.390893871848899</v>
      </c>
      <c r="AD93" s="33">
        <v>26.388328281435498</v>
      </c>
      <c r="AE93" s="15">
        <v>-3.1326529055345301E-6</v>
      </c>
      <c r="AF93" s="15">
        <v>-9.9466035916150899E-5</v>
      </c>
      <c r="AG93" s="15">
        <v>-1.9668574893006E-4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8.3579986108886072E-4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1.4278398770544098E-3</v>
      </c>
      <c r="BE93" s="29">
        <f t="shared" si="42"/>
        <v>0</v>
      </c>
      <c r="BF93" s="29">
        <f t="shared" si="43"/>
        <v>2.2636397381432705E-3</v>
      </c>
      <c r="BH93" s="29"/>
    </row>
    <row r="94" spans="1:60" x14ac:dyDescent="0.25">
      <c r="A94" s="1">
        <v>46157</v>
      </c>
      <c r="B94" s="33">
        <v>20.59</v>
      </c>
      <c r="C94" s="33">
        <v>25.82</v>
      </c>
      <c r="D94" s="15">
        <v>-5.8111543677947701E-3</v>
      </c>
      <c r="E94" s="15">
        <v>-6.1776258239569799E-3</v>
      </c>
      <c r="F94" s="33">
        <v>0</v>
      </c>
      <c r="G94" s="33">
        <v>0.31973999999999902</v>
      </c>
      <c r="H94" s="33">
        <v>0</v>
      </c>
      <c r="I94" s="33">
        <v>0.41351899999999903</v>
      </c>
      <c r="J94" s="33">
        <v>0.31973999999999902</v>
      </c>
      <c r="K94" s="33">
        <v>0.41351899999999903</v>
      </c>
      <c r="L94" s="33">
        <v>20.909739999999999</v>
      </c>
      <c r="M94" s="33">
        <v>26.233519000000001</v>
      </c>
      <c r="N94" s="34">
        <v>1.25400679941719</v>
      </c>
      <c r="O94" s="34">
        <v>1.2567453983371399</v>
      </c>
      <c r="P94" s="34">
        <v>1.25438822324906</v>
      </c>
      <c r="Q94" s="34">
        <v>1.25651081148626</v>
      </c>
      <c r="R94" s="33">
        <v>25.876387751761801</v>
      </c>
      <c r="S94" s="33">
        <v>25.826797613083802</v>
      </c>
      <c r="T94" s="33">
        <v>25.872344345143301</v>
      </c>
      <c r="U94" s="15">
        <v>2.1814976471737899E-3</v>
      </c>
      <c r="V94" s="15">
        <v>2.6323464134282801E-4</v>
      </c>
      <c r="W94" s="15">
        <v>2.0252268956843802E-3</v>
      </c>
      <c r="X94" s="34">
        <v>1.2546076134853901</v>
      </c>
      <c r="Y94" s="34">
        <v>1.2550529069020999</v>
      </c>
      <c r="Z94" s="34">
        <v>1.2549790891800101</v>
      </c>
      <c r="AA94" s="34">
        <v>1.25479611781052</v>
      </c>
      <c r="AB94" s="33">
        <v>26.2428299695672</v>
      </c>
      <c r="AC94" s="33">
        <v>26.240220892034898</v>
      </c>
      <c r="AD94" s="33">
        <v>26.237767835072599</v>
      </c>
      <c r="AE94" s="15">
        <v>3.5486347079441601E-4</v>
      </c>
      <c r="AF94" s="15">
        <v>2.5543794229797398E-4</v>
      </c>
      <c r="AG94" s="15">
        <v>1.6194895678051799E-4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8.3579986108886072E-4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1.4278398770544098E-3</v>
      </c>
      <c r="BE94" s="29">
        <f t="shared" si="42"/>
        <v>0</v>
      </c>
      <c r="BF94" s="29">
        <f t="shared" si="43"/>
        <v>2.2636397381432705E-3</v>
      </c>
      <c r="BH94" s="29"/>
    </row>
    <row r="95" spans="1:60" x14ac:dyDescent="0.25">
      <c r="A95" s="1">
        <v>46160</v>
      </c>
      <c r="B95" s="33">
        <v>20.48</v>
      </c>
      <c r="C95" s="33">
        <v>25.79</v>
      </c>
      <c r="D95" s="15">
        <v>-5.35672086839097E-3</v>
      </c>
      <c r="E95" s="15">
        <v>-1.16256552524312E-3</v>
      </c>
      <c r="F95" s="33">
        <v>8.7650000000000006E-2</v>
      </c>
      <c r="G95" s="33">
        <v>0.40738999999999997</v>
      </c>
      <c r="H95" s="33">
        <v>0</v>
      </c>
      <c r="I95" s="33">
        <v>0.41351899999999903</v>
      </c>
      <c r="J95" s="33">
        <v>0.40738999999999997</v>
      </c>
      <c r="K95" s="33">
        <v>0.41351899999999903</v>
      </c>
      <c r="L95" s="33">
        <v>20.88739</v>
      </c>
      <c r="M95" s="33">
        <v>26.203519</v>
      </c>
      <c r="N95" s="34">
        <v>1.25927734375</v>
      </c>
      <c r="O95" s="34">
        <v>1.2567453983371399</v>
      </c>
      <c r="P95" s="34">
        <v>1.2548323986298699</v>
      </c>
      <c r="Q95" s="34">
        <v>1.2564780295593501</v>
      </c>
      <c r="R95" s="33">
        <v>25.7381457579447</v>
      </c>
      <c r="S95" s="33">
        <v>25.689870812140899</v>
      </c>
      <c r="T95" s="33">
        <v>25.733341419238599</v>
      </c>
      <c r="U95" s="15">
        <v>-2.0126576959740498E-3</v>
      </c>
      <c r="V95" s="15">
        <v>-3.8900375057517199E-3</v>
      </c>
      <c r="W95" s="15">
        <v>-2.1993373115644899E-3</v>
      </c>
      <c r="X95" s="34">
        <v>1.2545137999529801</v>
      </c>
      <c r="Y95" s="34">
        <v>1.2550529069020999</v>
      </c>
      <c r="Z95" s="34">
        <v>1.2548883481776201</v>
      </c>
      <c r="AA95" s="34">
        <v>1.25475138723725</v>
      </c>
      <c r="AB95" s="33">
        <v>26.214779537098</v>
      </c>
      <c r="AC95" s="33">
        <v>26.213237677547699</v>
      </c>
      <c r="AD95" s="33">
        <v>26.209415883194399</v>
      </c>
      <c r="AE95" s="15">
        <v>4.2964146435458498E-4</v>
      </c>
      <c r="AF95" s="15">
        <v>3.7082331205384202E-4</v>
      </c>
      <c r="AG95" s="15">
        <v>2.2501633356147299E-4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8.3579986108886072E-4</v>
      </c>
      <c r="AT95" s="12"/>
      <c r="AU95">
        <f t="shared" si="30"/>
        <v>0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1.4278398770544098E-3</v>
      </c>
      <c r="BE95" s="29">
        <f t="shared" si="42"/>
        <v>0</v>
      </c>
      <c r="BF95" s="29">
        <f t="shared" si="43"/>
        <v>2.2636397381432705E-3</v>
      </c>
      <c r="BH95" s="29"/>
    </row>
    <row r="96" spans="1:60" x14ac:dyDescent="0.25">
      <c r="A96" s="1">
        <v>46161</v>
      </c>
      <c r="B96" s="33">
        <v>20.39</v>
      </c>
      <c r="C96" s="33">
        <v>25.67</v>
      </c>
      <c r="D96" s="15">
        <v>-4.4042155849432201E-3</v>
      </c>
      <c r="E96" s="15">
        <v>-4.6638250102042202E-3</v>
      </c>
      <c r="F96" s="33">
        <v>0</v>
      </c>
      <c r="G96" s="33">
        <v>0.40738999999999997</v>
      </c>
      <c r="H96" s="33">
        <v>0</v>
      </c>
      <c r="I96" s="33">
        <v>0.41351899999999903</v>
      </c>
      <c r="J96" s="33">
        <v>0.40738999999999997</v>
      </c>
      <c r="K96" s="33">
        <v>0.41351899999999903</v>
      </c>
      <c r="L96" s="33">
        <v>20.79739</v>
      </c>
      <c r="M96" s="33">
        <v>26.083518999999999</v>
      </c>
      <c r="N96" s="34">
        <v>1.25895046591466</v>
      </c>
      <c r="O96" s="34">
        <v>1.2567453983371399</v>
      </c>
      <c r="P96" s="34">
        <v>1.2552571123703899</v>
      </c>
      <c r="Q96" s="34">
        <v>1.25650528388294</v>
      </c>
      <c r="R96" s="33">
        <v>25.625038672094298</v>
      </c>
      <c r="S96" s="33">
        <v>25.586032608063</v>
      </c>
      <c r="T96" s="33">
        <v>25.619587022715098</v>
      </c>
      <c r="U96" s="15">
        <v>-1.75304827071302E-3</v>
      </c>
      <c r="V96" s="15">
        <v>-3.2763935395904E-3</v>
      </c>
      <c r="W96" s="15">
        <v>-1.96581787633849E-3</v>
      </c>
      <c r="X96" s="34">
        <v>1.2541727110949901</v>
      </c>
      <c r="Y96" s="34">
        <v>1.2550529069020999</v>
      </c>
      <c r="Z96" s="34">
        <v>1.2547766626349299</v>
      </c>
      <c r="AA96" s="34">
        <v>1.2547655762188601</v>
      </c>
      <c r="AB96" s="33">
        <v>26.1018247754768</v>
      </c>
      <c r="AC96" s="33">
        <v>26.0984023835058</v>
      </c>
      <c r="AD96" s="33">
        <v>26.0955539534141</v>
      </c>
      <c r="AE96" s="15">
        <v>7.0156771626973997E-4</v>
      </c>
      <c r="AF96" s="15">
        <v>5.7044215754687095E-4</v>
      </c>
      <c r="AG96" s="15">
        <v>4.6129426784824701E-4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8.3579986108886072E-4</v>
      </c>
      <c r="AT96" s="12"/>
      <c r="AU96">
        <f t="shared" si="30"/>
        <v>0</v>
      </c>
      <c r="AV96">
        <f t="shared" si="31"/>
        <v>0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1.4278398770544098E-3</v>
      </c>
      <c r="BE96" s="29">
        <f t="shared" si="42"/>
        <v>0</v>
      </c>
      <c r="BF96" s="29">
        <f t="shared" si="43"/>
        <v>2.2636397381432705E-3</v>
      </c>
      <c r="BH96" s="29"/>
    </row>
    <row r="97" spans="1:60" x14ac:dyDescent="0.25">
      <c r="A97" s="1">
        <v>46162</v>
      </c>
      <c r="B97" s="33">
        <v>20.53</v>
      </c>
      <c r="C97" s="33">
        <v>25.84</v>
      </c>
      <c r="D97" s="15">
        <v>6.8426464444785199E-3</v>
      </c>
      <c r="E97" s="15">
        <v>6.6006840313520901E-3</v>
      </c>
      <c r="F97" s="33">
        <v>0</v>
      </c>
      <c r="G97" s="33">
        <v>0.40738999999999997</v>
      </c>
      <c r="H97" s="33">
        <v>0</v>
      </c>
      <c r="I97" s="33">
        <v>0.41351899999999903</v>
      </c>
      <c r="J97" s="33">
        <v>0.40738999999999997</v>
      </c>
      <c r="K97" s="33">
        <v>0.41351899999999903</v>
      </c>
      <c r="L97" s="33">
        <v>20.937390000000001</v>
      </c>
      <c r="M97" s="33">
        <v>26.253519000000001</v>
      </c>
      <c r="N97" s="34">
        <v>1.25864588407208</v>
      </c>
      <c r="O97" s="34">
        <v>1.2567453983371399</v>
      </c>
      <c r="P97" s="34">
        <v>1.25567762972623</v>
      </c>
      <c r="Q97" s="34">
        <v>1.2565181149992899</v>
      </c>
      <c r="R97" s="33">
        <v>25.800983027861498</v>
      </c>
      <c r="S97" s="33">
        <v>25.770428516964198</v>
      </c>
      <c r="T97" s="33">
        <v>25.7960534781168</v>
      </c>
      <c r="U97" s="15">
        <v>-1.51108585758658E-3</v>
      </c>
      <c r="V97" s="15">
        <v>-2.6960258682308899E-3</v>
      </c>
      <c r="W97" s="15">
        <v>-1.70216465177989E-3</v>
      </c>
      <c r="X97" s="34">
        <v>1.2539060026106399</v>
      </c>
      <c r="Y97" s="34">
        <v>1.2550529069020999</v>
      </c>
      <c r="Z97" s="34">
        <v>1.25466444820418</v>
      </c>
      <c r="AA97" s="34">
        <v>1.25476679700753</v>
      </c>
      <c r="AB97" s="33">
        <v>26.2775321824431</v>
      </c>
      <c r="AC97" s="33">
        <v>26.2717483484859</v>
      </c>
      <c r="AD97" s="33">
        <v>26.271516227869</v>
      </c>
      <c r="AE97" s="15">
        <v>9.1424723378682505E-4</v>
      </c>
      <c r="AF97" s="15">
        <v>6.9411733202295997E-4</v>
      </c>
      <c r="AG97" s="15">
        <v>6.8528192300278405E-4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8.3579986108886072E-4</v>
      </c>
      <c r="AT97" s="12"/>
      <c r="AU97">
        <f t="shared" si="30"/>
        <v>0</v>
      </c>
      <c r="AV97">
        <f t="shared" si="31"/>
        <v>0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1.4278398770544098E-3</v>
      </c>
      <c r="BE97" s="29">
        <f t="shared" si="42"/>
        <v>0</v>
      </c>
      <c r="BF97" s="29">
        <f t="shared" si="43"/>
        <v>2.2636397381432705E-3</v>
      </c>
      <c r="BH97" s="29"/>
    </row>
    <row r="98" spans="1:60" x14ac:dyDescent="0.25">
      <c r="A98" s="1">
        <v>46163</v>
      </c>
      <c r="B98" s="33">
        <v>20.54</v>
      </c>
      <c r="C98" s="33">
        <v>25.87</v>
      </c>
      <c r="D98" s="15">
        <v>4.8697346956976E-4</v>
      </c>
      <c r="E98" s="15">
        <v>1.1603172835367799E-3</v>
      </c>
      <c r="F98" s="33">
        <v>0</v>
      </c>
      <c r="G98" s="33">
        <v>0.40738999999999997</v>
      </c>
      <c r="H98" s="33">
        <v>0</v>
      </c>
      <c r="I98" s="33">
        <v>0.41351899999999903</v>
      </c>
      <c r="J98" s="33">
        <v>0.40738999999999997</v>
      </c>
      <c r="K98" s="33">
        <v>0.41351899999999903</v>
      </c>
      <c r="L98" s="33">
        <v>20.947389999999999</v>
      </c>
      <c r="M98" s="33">
        <v>26.283518999999998</v>
      </c>
      <c r="N98" s="34">
        <v>1.25949367088607</v>
      </c>
      <c r="O98" s="34">
        <v>1.2567453983371399</v>
      </c>
      <c r="P98" s="34">
        <v>1.25613302091122</v>
      </c>
      <c r="Q98" s="34">
        <v>1.25654229397849</v>
      </c>
      <c r="R98" s="33">
        <v>25.813550481844899</v>
      </c>
      <c r="S98" s="33">
        <v>25.7916185145769</v>
      </c>
      <c r="T98" s="33">
        <v>25.808882082085599</v>
      </c>
      <c r="U98" s="15">
        <v>-2.1844296715534698E-3</v>
      </c>
      <c r="V98" s="15">
        <v>-3.0344208261228701E-3</v>
      </c>
      <c r="W98" s="15">
        <v>-2.3652967690613799E-3</v>
      </c>
      <c r="X98" s="34">
        <v>1.2547395642130099</v>
      </c>
      <c r="Y98" s="34">
        <v>1.2550529069020999</v>
      </c>
      <c r="Z98" s="34">
        <v>1.25458621935884</v>
      </c>
      <c r="AA98" s="34">
        <v>1.2547796574580901</v>
      </c>
      <c r="AB98" s="33">
        <v>26.290082711512099</v>
      </c>
      <c r="AC98" s="33">
        <v>26.281945515667701</v>
      </c>
      <c r="AD98" s="33">
        <v>26.284089455967599</v>
      </c>
      <c r="AE98" s="15">
        <v>2.4969609585627403E-4</v>
      </c>
      <c r="AF98" s="15">
        <v>-5.9867608787405098E-5</v>
      </c>
      <c r="AG98" s="15">
        <v>2.1703706309510501E-5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8.3579986108886072E-4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1.4278398770544098E-3</v>
      </c>
      <c r="BE98" s="29">
        <f t="shared" si="42"/>
        <v>0</v>
      </c>
      <c r="BF98" s="29">
        <f t="shared" si="43"/>
        <v>2.2636397381432705E-3</v>
      </c>
      <c r="BH98" s="29"/>
    </row>
    <row r="99" spans="1:60" x14ac:dyDescent="0.25">
      <c r="A99" s="1">
        <v>46164</v>
      </c>
      <c r="B99" s="33">
        <v>20.57</v>
      </c>
      <c r="C99" s="33">
        <v>25.91</v>
      </c>
      <c r="D99" s="15">
        <v>1.4594991644537199E-3</v>
      </c>
      <c r="E99" s="15">
        <v>1.5449983760807899E-3</v>
      </c>
      <c r="F99" s="33">
        <v>0</v>
      </c>
      <c r="G99" s="33">
        <v>0.40738999999999997</v>
      </c>
      <c r="H99" s="33">
        <v>0</v>
      </c>
      <c r="I99" s="33">
        <v>0.41351899999999903</v>
      </c>
      <c r="J99" s="33">
        <v>0.40738999999999997</v>
      </c>
      <c r="K99" s="33">
        <v>0.41351899999999903</v>
      </c>
      <c r="L99" s="33">
        <v>20.97739</v>
      </c>
      <c r="M99" s="33">
        <v>26.323519000000001</v>
      </c>
      <c r="N99" s="34">
        <v>1.25960136120563</v>
      </c>
      <c r="O99" s="34">
        <v>1.2567453983371399</v>
      </c>
      <c r="P99" s="34">
        <v>1.2565888342652201</v>
      </c>
      <c r="Q99" s="34">
        <v>1.2565780776967901</v>
      </c>
      <c r="R99" s="33">
        <v>25.851252843794999</v>
      </c>
      <c r="S99" s="33">
        <v>25.838656240143901</v>
      </c>
      <c r="T99" s="33">
        <v>25.8470749871375</v>
      </c>
      <c r="U99" s="15">
        <v>-2.2699288831804399E-3</v>
      </c>
      <c r="V99" s="15">
        <v>-2.7573201022276302E-3</v>
      </c>
      <c r="W99" s="15">
        <v>-2.4315533241209102E-3</v>
      </c>
      <c r="X99" s="34">
        <v>1.2548519620410299</v>
      </c>
      <c r="Y99" s="34">
        <v>1.2550529069020999</v>
      </c>
      <c r="Z99" s="34">
        <v>1.25450923267895</v>
      </c>
      <c r="AA99" s="34">
        <v>1.25480415685127</v>
      </c>
      <c r="AB99" s="33">
        <v>26.3277342987192</v>
      </c>
      <c r="AC99" s="33">
        <v>26.317944412115899</v>
      </c>
      <c r="AD99" s="33">
        <v>26.322002238564899</v>
      </c>
      <c r="AE99" s="15">
        <v>1.60121496226946E-4</v>
      </c>
      <c r="AF99" s="15">
        <v>-2.11794564344016E-4</v>
      </c>
      <c r="AG99" s="15">
        <v>-5.7621670364439899E-5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8.3579986108886072E-4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1.4278398770544098E-3</v>
      </c>
      <c r="BE99" s="29">
        <f t="shared" si="42"/>
        <v>0</v>
      </c>
      <c r="BF99" s="29">
        <f t="shared" si="43"/>
        <v>2.2636397381432705E-3</v>
      </c>
      <c r="BH99" s="29"/>
    </row>
    <row r="100" spans="1:60" x14ac:dyDescent="0.25">
      <c r="A100" s="1">
        <v>46168</v>
      </c>
      <c r="B100" s="33">
        <v>20.64</v>
      </c>
      <c r="C100" s="33">
        <v>26.02</v>
      </c>
      <c r="D100" s="15">
        <v>3.39723694849623E-3</v>
      </c>
      <c r="E100" s="15">
        <v>4.2364785103405998E-3</v>
      </c>
      <c r="F100" s="33">
        <v>0</v>
      </c>
      <c r="G100" s="33">
        <v>0.40738999999999997</v>
      </c>
      <c r="H100" s="33">
        <v>0</v>
      </c>
      <c r="I100" s="33">
        <v>0.41351899999999903</v>
      </c>
      <c r="J100" s="33">
        <v>0.40738999999999997</v>
      </c>
      <c r="K100" s="33">
        <v>0.41351899999999903</v>
      </c>
      <c r="L100" s="33">
        <v>21.04739</v>
      </c>
      <c r="M100" s="33">
        <v>26.433519</v>
      </c>
      <c r="N100" s="34">
        <v>1.26065891472868</v>
      </c>
      <c r="O100" s="34">
        <v>1.2567453983371399</v>
      </c>
      <c r="P100" s="34">
        <v>1.25729380177274</v>
      </c>
      <c r="Q100" s="34">
        <v>1.25664182227827</v>
      </c>
      <c r="R100" s="33">
        <v>25.939225021678599</v>
      </c>
      <c r="S100" s="33">
        <v>25.9359935392342</v>
      </c>
      <c r="T100" s="33">
        <v>25.935771523661799</v>
      </c>
      <c r="U100" s="15">
        <v>-3.1091704450248799E-3</v>
      </c>
      <c r="V100" s="15">
        <v>-3.23375719524146E-3</v>
      </c>
      <c r="W100" s="15">
        <v>-3.2423173655815899E-3</v>
      </c>
      <c r="X100" s="34">
        <v>1.2559048414078799</v>
      </c>
      <c r="Y100" s="34">
        <v>1.2550529069020999</v>
      </c>
      <c r="Z100" s="34">
        <v>1.2546786500198599</v>
      </c>
      <c r="AA100" s="34">
        <v>1.2548571897759599</v>
      </c>
      <c r="AB100" s="33">
        <v>26.415588002202298</v>
      </c>
      <c r="AC100" s="33">
        <v>26.404145078794599</v>
      </c>
      <c r="AD100" s="33">
        <v>26.410352462869898</v>
      </c>
      <c r="AE100" s="15">
        <v>-6.7857337627101502E-4</v>
      </c>
      <c r="AF100" s="15">
        <v>-1.1118555198644099E-3</v>
      </c>
      <c r="AG100" s="15">
        <v>-8.7679187663225998E-4</v>
      </c>
      <c r="AI100" s="12"/>
      <c r="AJ100">
        <f t="shared" si="26"/>
        <v>0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8.3579986108886072E-4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1.4278398770544098E-3</v>
      </c>
      <c r="BE100" s="29">
        <f t="shared" si="42"/>
        <v>0</v>
      </c>
      <c r="BF100" s="29">
        <f t="shared" si="43"/>
        <v>2.2636397381432705E-3</v>
      </c>
      <c r="BH100" s="29"/>
    </row>
    <row r="101" spans="1:60" x14ac:dyDescent="0.25">
      <c r="A101" s="1">
        <v>46169</v>
      </c>
      <c r="B101" s="33">
        <v>20.66</v>
      </c>
      <c r="C101" s="33">
        <v>26.05</v>
      </c>
      <c r="D101" s="15">
        <v>9.6852307813050499E-4</v>
      </c>
      <c r="E101" s="15">
        <v>1.1522951150166401E-3</v>
      </c>
      <c r="F101" s="33">
        <v>0</v>
      </c>
      <c r="G101" s="33">
        <v>0.40738999999999997</v>
      </c>
      <c r="H101" s="33">
        <v>0</v>
      </c>
      <c r="I101" s="33">
        <v>0.41351899999999903</v>
      </c>
      <c r="J101" s="33">
        <v>0.40738999999999997</v>
      </c>
      <c r="K101" s="33">
        <v>0.41351899999999903</v>
      </c>
      <c r="L101" s="33">
        <v>21.06739</v>
      </c>
      <c r="M101" s="33">
        <v>26.463519000000002</v>
      </c>
      <c r="N101" s="34">
        <v>1.2608906098741499</v>
      </c>
      <c r="O101" s="34">
        <v>1.2567453983371399</v>
      </c>
      <c r="P101" s="34">
        <v>1.25796076917597</v>
      </c>
      <c r="Q101" s="34">
        <v>1.2567109074181</v>
      </c>
      <c r="R101" s="33">
        <v>25.964359929645401</v>
      </c>
      <c r="S101" s="33">
        <v>25.975689944624801</v>
      </c>
      <c r="T101" s="33">
        <v>25.962220048269</v>
      </c>
      <c r="U101" s="15">
        <v>-3.2929424819112601E-3</v>
      </c>
      <c r="V101" s="15">
        <v>-2.85666969486013E-3</v>
      </c>
      <c r="W101" s="15">
        <v>-3.3753619818457001E-3</v>
      </c>
      <c r="X101" s="34">
        <v>1.2561365693614599</v>
      </c>
      <c r="Y101" s="34">
        <v>1.2550529069020999</v>
      </c>
      <c r="Z101" s="34">
        <v>1.2548108568288301</v>
      </c>
      <c r="AA101" s="34">
        <v>1.2549157671987401</v>
      </c>
      <c r="AB101" s="33">
        <v>26.440689060340301</v>
      </c>
      <c r="AC101" s="33">
        <v>26.432804444641999</v>
      </c>
      <c r="AD101" s="33">
        <v>26.4365658113142</v>
      </c>
      <c r="AE101" s="15">
        <v>-8.6306711370528295E-4</v>
      </c>
      <c r="AF101" s="15">
        <v>-1.1613116681735E-3</v>
      </c>
      <c r="AG101" s="15">
        <v>-1.0190226013547E-3</v>
      </c>
      <c r="AI101" s="12"/>
      <c r="AJ101">
        <f t="shared" si="26"/>
        <v>1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8.3579986108886072E-4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1.4278398770544098E-3</v>
      </c>
      <c r="BE101" s="29">
        <f t="shared" si="42"/>
        <v>0</v>
      </c>
      <c r="BF101" s="29">
        <f t="shared" si="43"/>
        <v>2.2636397381432705E-3</v>
      </c>
      <c r="BH101" s="29"/>
    </row>
    <row r="102" spans="1:60" x14ac:dyDescent="0.25">
      <c r="A102" s="1">
        <v>46170</v>
      </c>
      <c r="B102" s="33">
        <v>20.72</v>
      </c>
      <c r="C102" s="33">
        <v>26.08</v>
      </c>
      <c r="D102" s="15">
        <v>2.8999536997898101E-3</v>
      </c>
      <c r="E102" s="15">
        <v>1.1509688590761701E-3</v>
      </c>
      <c r="F102" s="33">
        <v>0</v>
      </c>
      <c r="G102" s="33">
        <v>0.40738999999999997</v>
      </c>
      <c r="H102" s="33">
        <v>0</v>
      </c>
      <c r="I102" s="33">
        <v>0.41351899999999903</v>
      </c>
      <c r="J102" s="33">
        <v>0.40738999999999997</v>
      </c>
      <c r="K102" s="33">
        <v>0.41351899999999903</v>
      </c>
      <c r="L102" s="33">
        <v>21.127389999999998</v>
      </c>
      <c r="M102" s="33">
        <v>26.493518999999999</v>
      </c>
      <c r="N102" s="34">
        <v>1.25868725868725</v>
      </c>
      <c r="O102" s="34">
        <v>1.2567453983371399</v>
      </c>
      <c r="P102" s="34">
        <v>1.2584678749868401</v>
      </c>
      <c r="Q102" s="34">
        <v>1.2566617113582601</v>
      </c>
      <c r="R102" s="33">
        <v>26.0397646535456</v>
      </c>
      <c r="S102" s="33">
        <v>26.0649471373262</v>
      </c>
      <c r="T102" s="33">
        <v>26.039050001703</v>
      </c>
      <c r="U102" s="15">
        <v>-1.54395764119764E-3</v>
      </c>
      <c r="V102" s="15">
        <v>-5.77346949924868E-4</v>
      </c>
      <c r="W102" s="15">
        <v>-1.57140265304474E-3</v>
      </c>
      <c r="X102" s="34">
        <v>1.2539892054816</v>
      </c>
      <c r="Y102" s="34">
        <v>1.2550529069020999</v>
      </c>
      <c r="Z102" s="34">
        <v>1.25478791082024</v>
      </c>
      <c r="AA102" s="34">
        <v>1.2548599600266499</v>
      </c>
      <c r="AB102" s="33">
        <v>26.515992234754499</v>
      </c>
      <c r="AC102" s="33">
        <v>26.510878348456998</v>
      </c>
      <c r="AD102" s="33">
        <v>26.513094830756899</v>
      </c>
      <c r="AE102" s="15">
        <v>8.47894484496248E-4</v>
      </c>
      <c r="AF102" s="15">
        <v>6.5501543064741096E-4</v>
      </c>
      <c r="AG102" s="15">
        <v>7.3861845653728695E-4</v>
      </c>
      <c r="AI102" s="12"/>
      <c r="AJ102">
        <f t="shared" si="26"/>
        <v>0</v>
      </c>
      <c r="AK102">
        <f t="shared" si="27"/>
        <v>1</v>
      </c>
      <c r="AL102">
        <f t="shared" si="34"/>
        <v>1</v>
      </c>
      <c r="AM102">
        <f t="shared" si="24"/>
        <v>1</v>
      </c>
      <c r="AN102">
        <f t="shared" si="35"/>
        <v>1</v>
      </c>
      <c r="AO102" s="28">
        <f t="shared" si="28"/>
        <v>2.8999536997898101E-3</v>
      </c>
      <c r="AP102" s="28">
        <f t="shared" si="29"/>
        <v>-1.1509688590761701E-3</v>
      </c>
      <c r="AQ102" s="28">
        <f t="shared" si="36"/>
        <v>1.7489848407136401E-3</v>
      </c>
      <c r="AR102" s="29">
        <f t="shared" si="37"/>
        <v>2.5847847018025008E-3</v>
      </c>
      <c r="AT102" s="12"/>
      <c r="AU102">
        <f t="shared" si="30"/>
        <v>0</v>
      </c>
      <c r="AV102">
        <f t="shared" si="31"/>
        <v>0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1.4278398770544098E-3</v>
      </c>
      <c r="BE102" s="29">
        <f t="shared" si="42"/>
        <v>1.7489848407136401E-3</v>
      </c>
      <c r="BF102" s="29">
        <f t="shared" si="43"/>
        <v>4.0126245788569105E-3</v>
      </c>
      <c r="BH102" s="29"/>
    </row>
    <row r="103" spans="1:60" x14ac:dyDescent="0.25">
      <c r="A103" s="1">
        <v>46171</v>
      </c>
      <c r="B103" s="33">
        <v>20.73</v>
      </c>
      <c r="C103" s="33">
        <v>26.1</v>
      </c>
      <c r="D103" s="15">
        <v>4.8250905640599202E-4</v>
      </c>
      <c r="E103" s="15">
        <v>7.6657727019568403E-4</v>
      </c>
      <c r="F103" s="33">
        <v>0</v>
      </c>
      <c r="G103" s="33">
        <v>0.40738999999999997</v>
      </c>
      <c r="H103" s="33">
        <v>0</v>
      </c>
      <c r="I103" s="33">
        <v>0.41351899999999903</v>
      </c>
      <c r="J103" s="33">
        <v>0.40738999999999997</v>
      </c>
      <c r="K103" s="33">
        <v>0.41351899999999903</v>
      </c>
      <c r="L103" s="33">
        <v>21.13739</v>
      </c>
      <c r="M103" s="33">
        <v>26.513518999999999</v>
      </c>
      <c r="N103" s="34">
        <v>1.2590448625180799</v>
      </c>
      <c r="O103" s="34">
        <v>1.2567453983371399</v>
      </c>
      <c r="P103" s="34">
        <v>1.25892571710538</v>
      </c>
      <c r="Q103" s="34">
        <v>1.2566313290015401</v>
      </c>
      <c r="R103" s="33">
        <v>26.052332107529001</v>
      </c>
      <c r="S103" s="33">
        <v>26.088039048477199</v>
      </c>
      <c r="T103" s="33">
        <v>26.050597276456799</v>
      </c>
      <c r="U103" s="15">
        <v>-1.8280258549873501E-3</v>
      </c>
      <c r="V103" s="15">
        <v>-4.5837904432575701E-4</v>
      </c>
      <c r="W103" s="15">
        <v>-1.8946183131565699E-3</v>
      </c>
      <c r="X103" s="34">
        <v>1.25434213968706</v>
      </c>
      <c r="Y103" s="34">
        <v>1.2550529069020999</v>
      </c>
      <c r="Z103" s="34">
        <v>1.2547164409336</v>
      </c>
      <c r="AA103" s="34">
        <v>1.25482228487016</v>
      </c>
      <c r="AB103" s="33">
        <v>26.528542763823499</v>
      </c>
      <c r="AC103" s="33">
        <v>26.522941438292602</v>
      </c>
      <c r="AD103" s="33">
        <v>26.524464370467701</v>
      </c>
      <c r="AE103" s="15">
        <v>5.6648492632864304E-4</v>
      </c>
      <c r="AF103" s="15">
        <v>3.5531927711397997E-4</v>
      </c>
      <c r="AG103" s="15">
        <v>4.1273705852229502E-4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2.5847847018025008E-3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1.4278398770544098E-3</v>
      </c>
      <c r="BE103" s="29">
        <f t="shared" si="42"/>
        <v>0</v>
      </c>
      <c r="BF103" s="29">
        <f t="shared" si="43"/>
        <v>4.0126245788569105E-3</v>
      </c>
      <c r="BH103" s="29"/>
    </row>
    <row r="104" spans="1:60" x14ac:dyDescent="0.25">
      <c r="A104" s="1">
        <v>46174</v>
      </c>
      <c r="B104" s="33">
        <v>20.71</v>
      </c>
      <c r="C104" s="33">
        <v>25.98</v>
      </c>
      <c r="D104" s="15">
        <v>-9.6525104019542E-4</v>
      </c>
      <c r="E104" s="15">
        <v>-4.6083030861943297E-3</v>
      </c>
      <c r="F104" s="33">
        <v>0</v>
      </c>
      <c r="G104" s="33">
        <v>0.40738999999999997</v>
      </c>
      <c r="H104" s="33">
        <v>0.10549799999999999</v>
      </c>
      <c r="I104" s="33">
        <v>0.51901699999999995</v>
      </c>
      <c r="J104" s="33">
        <v>0.40738999999999997</v>
      </c>
      <c r="K104" s="33">
        <v>0.51901699999999995</v>
      </c>
      <c r="L104" s="33">
        <v>21.11739</v>
      </c>
      <c r="M104" s="33">
        <v>26.499016999999998</v>
      </c>
      <c r="N104" s="34">
        <v>1.25446644133268</v>
      </c>
      <c r="O104" s="34">
        <v>1.2567453983371399</v>
      </c>
      <c r="P104" s="34">
        <v>1.25897168129693</v>
      </c>
      <c r="Q104" s="34">
        <v>1.2566799522729999</v>
      </c>
      <c r="R104" s="33">
        <v>26.027197199562199</v>
      </c>
      <c r="S104" s="33">
        <v>26.0723516012525</v>
      </c>
      <c r="T104" s="33">
        <v>26.024834823622001</v>
      </c>
      <c r="U104" s="15">
        <v>1.8150261910116301E-3</v>
      </c>
      <c r="V104" s="15">
        <v>3.5484159817347699E-3</v>
      </c>
      <c r="W104" s="15">
        <v>1.7242564035499599E-3</v>
      </c>
      <c r="X104" s="34">
        <v>1.25484337789849</v>
      </c>
      <c r="Y104" s="34">
        <v>1.2550529069020999</v>
      </c>
      <c r="Z104" s="34">
        <v>1.2547400173749099</v>
      </c>
      <c r="AA104" s="34">
        <v>1.25485955327746</v>
      </c>
      <c r="AB104" s="33">
        <v>26.5034417056854</v>
      </c>
      <c r="AC104" s="33">
        <v>26.496336422606898</v>
      </c>
      <c r="AD104" s="33">
        <v>26.498571570294299</v>
      </c>
      <c r="AE104" s="15">
        <v>1.66962280762917E-4</v>
      </c>
      <c r="AF104" s="15">
        <v>-1.01162733039571E-4</v>
      </c>
      <c r="AG104" s="15">
        <v>-1.6809432946866202E-5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2.5847847018025008E-3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1.4278398770544098E-3</v>
      </c>
      <c r="BE104" s="29">
        <f t="shared" si="42"/>
        <v>0</v>
      </c>
      <c r="BF104" s="29">
        <f t="shared" si="43"/>
        <v>4.0126245788569105E-3</v>
      </c>
      <c r="BH104" s="29"/>
    </row>
    <row r="105" spans="1:60" x14ac:dyDescent="0.25">
      <c r="A105" s="1">
        <v>46175</v>
      </c>
      <c r="B105" s="33">
        <v>20.72</v>
      </c>
      <c r="C105" s="33">
        <v>25.99</v>
      </c>
      <c r="D105" s="15">
        <v>4.8274198378937399E-4</v>
      </c>
      <c r="E105" s="15">
        <v>3.84837410945387E-4</v>
      </c>
      <c r="F105" s="33">
        <v>0</v>
      </c>
      <c r="G105" s="33">
        <v>0.40738999999999997</v>
      </c>
      <c r="H105" s="33">
        <v>0</v>
      </c>
      <c r="I105" s="33">
        <v>0.51901699999999995</v>
      </c>
      <c r="J105" s="33">
        <v>0.40738999999999997</v>
      </c>
      <c r="K105" s="33">
        <v>0.51901699999999995</v>
      </c>
      <c r="L105" s="33">
        <v>21.127389999999998</v>
      </c>
      <c r="M105" s="33">
        <v>26.509017</v>
      </c>
      <c r="N105" s="34">
        <v>1.2543436293436201</v>
      </c>
      <c r="O105" s="34">
        <v>1.2567453983371399</v>
      </c>
      <c r="P105" s="34">
        <v>1.2584783098562899</v>
      </c>
      <c r="Q105" s="34">
        <v>1.2566553542430801</v>
      </c>
      <c r="R105" s="33">
        <v>26.0397646535456</v>
      </c>
      <c r="S105" s="33">
        <v>26.085893236472401</v>
      </c>
      <c r="T105" s="33">
        <v>26.0384086110965</v>
      </c>
      <c r="U105" s="15">
        <v>1.91293076385571E-3</v>
      </c>
      <c r="V105" s="15">
        <v>3.6828305343611502E-3</v>
      </c>
      <c r="W105" s="15">
        <v>1.8608535743402099E-3</v>
      </c>
      <c r="X105" s="34">
        <v>1.2547227556267</v>
      </c>
      <c r="Y105" s="34">
        <v>1.2550529069020999</v>
      </c>
      <c r="Z105" s="34">
        <v>1.2547609129422901</v>
      </c>
      <c r="AA105" s="34">
        <v>1.25482463055995</v>
      </c>
      <c r="AB105" s="33">
        <v>26.515992234754499</v>
      </c>
      <c r="AC105" s="33">
        <v>26.509381695686699</v>
      </c>
      <c r="AD105" s="33">
        <v>26.5119071773188</v>
      </c>
      <c r="AE105" s="15">
        <v>2.6309226138422398E-4</v>
      </c>
      <c r="AF105" s="15">
        <v>1.37573255956954E-5</v>
      </c>
      <c r="AG105" s="15">
        <v>1.09020254420085E-4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2.5847847018025008E-3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1.4278398770544098E-3</v>
      </c>
      <c r="BE105" s="29">
        <f t="shared" si="42"/>
        <v>0</v>
      </c>
      <c r="BF105" s="29">
        <f t="shared" si="43"/>
        <v>4.0126245788569105E-3</v>
      </c>
      <c r="BH105" s="29"/>
    </row>
    <row r="106" spans="1:60" x14ac:dyDescent="0.25">
      <c r="A106" s="1">
        <v>46176</v>
      </c>
      <c r="B106" s="33">
        <v>20.66</v>
      </c>
      <c r="C106" s="33">
        <v>25.94</v>
      </c>
      <c r="D106" s="15">
        <v>-2.8999536997897598E-3</v>
      </c>
      <c r="E106" s="15">
        <v>-1.9256697651009701E-3</v>
      </c>
      <c r="F106" s="33">
        <v>0</v>
      </c>
      <c r="G106" s="33">
        <v>0.40738999999999997</v>
      </c>
      <c r="H106" s="33">
        <v>0</v>
      </c>
      <c r="I106" s="33">
        <v>0.51901699999999995</v>
      </c>
      <c r="J106" s="33">
        <v>0.40738999999999997</v>
      </c>
      <c r="K106" s="33">
        <v>0.51901699999999995</v>
      </c>
      <c r="L106" s="33">
        <v>21.06739</v>
      </c>
      <c r="M106" s="33">
        <v>26.459016999999999</v>
      </c>
      <c r="N106" s="34">
        <v>1.2555663117134499</v>
      </c>
      <c r="O106" s="34">
        <v>1.2567453983371399</v>
      </c>
      <c r="P106" s="34">
        <v>1.2581398944361699</v>
      </c>
      <c r="Q106" s="34">
        <v>1.25669850340328</v>
      </c>
      <c r="R106" s="33">
        <v>25.964359929645401</v>
      </c>
      <c r="S106" s="33">
        <v>26.000161881631101</v>
      </c>
      <c r="T106" s="33">
        <v>25.9624996186621</v>
      </c>
      <c r="U106" s="15">
        <v>9.3864682916682798E-4</v>
      </c>
      <c r="V106" s="15">
        <v>2.31658533038213E-3</v>
      </c>
      <c r="W106" s="15">
        <v>8.6699562590610403E-4</v>
      </c>
      <c r="X106" s="34">
        <v>1.25592287416713</v>
      </c>
      <c r="Y106" s="34">
        <v>1.2550529069020999</v>
      </c>
      <c r="Z106" s="34">
        <v>1.2549359292494999</v>
      </c>
      <c r="AA106" s="34">
        <v>1.25485629594221</v>
      </c>
      <c r="AB106" s="33">
        <v>26.440689060340301</v>
      </c>
      <c r="AC106" s="33">
        <v>26.434537509711198</v>
      </c>
      <c r="AD106" s="33">
        <v>26.4358798736125</v>
      </c>
      <c r="AE106" s="15">
        <v>-6.9293165342210596E-4</v>
      </c>
      <c r="AF106" s="15">
        <v>-9.2561342353986598E-4</v>
      </c>
      <c r="AG106" s="15">
        <v>-8.7483402863442698E-4</v>
      </c>
      <c r="AI106" s="12"/>
      <c r="AJ106">
        <f t="shared" si="26"/>
        <v>0</v>
      </c>
      <c r="AK106">
        <f t="shared" si="27"/>
        <v>0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2.5847847018025008E-3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1.4278398770544098E-3</v>
      </c>
      <c r="BE106" s="29">
        <f t="shared" si="42"/>
        <v>0</v>
      </c>
      <c r="BF106" s="29">
        <f t="shared" si="43"/>
        <v>4.0126245788569105E-3</v>
      </c>
      <c r="BH106" s="29"/>
    </row>
    <row r="107" spans="1:60" x14ac:dyDescent="0.25">
      <c r="A107" s="1">
        <v>46177</v>
      </c>
      <c r="B107" s="33">
        <v>20.7</v>
      </c>
      <c r="C107" s="33">
        <v>25.96</v>
      </c>
      <c r="D107" s="15">
        <v>1.9342365798309599E-3</v>
      </c>
      <c r="E107" s="15">
        <v>7.7071294759130198E-4</v>
      </c>
      <c r="F107" s="33">
        <v>0</v>
      </c>
      <c r="G107" s="33">
        <v>0.40738999999999997</v>
      </c>
      <c r="H107" s="33">
        <v>0</v>
      </c>
      <c r="I107" s="33">
        <v>0.51901699999999995</v>
      </c>
      <c r="J107" s="33">
        <v>0.40738999999999997</v>
      </c>
      <c r="K107" s="33">
        <v>0.51901699999999995</v>
      </c>
      <c r="L107" s="33">
        <v>21.107389999999999</v>
      </c>
      <c r="M107" s="33">
        <v>26.479016999999999</v>
      </c>
      <c r="N107" s="34">
        <v>1.2541062801932299</v>
      </c>
      <c r="O107" s="34">
        <v>1.2567453983371399</v>
      </c>
      <c r="P107" s="34">
        <v>1.25768593404829</v>
      </c>
      <c r="Q107" s="34">
        <v>1.25668178188726</v>
      </c>
      <c r="R107" s="33">
        <v>26.014629745578802</v>
      </c>
      <c r="S107" s="33">
        <v>26.043495814828798</v>
      </c>
      <c r="T107" s="33">
        <v>26.013659020447999</v>
      </c>
      <c r="U107" s="15">
        <v>2.10217046140644E-3</v>
      </c>
      <c r="V107" s="15">
        <v>3.2111643753309298E-3</v>
      </c>
      <c r="W107" s="15">
        <v>2.0648551795085499E-3</v>
      </c>
      <c r="X107" s="34">
        <v>1.2544903467458499</v>
      </c>
      <c r="Y107" s="34">
        <v>1.2550529069020999</v>
      </c>
      <c r="Z107" s="34">
        <v>1.2549943636630201</v>
      </c>
      <c r="AA107" s="34">
        <v>1.2548294059336</v>
      </c>
      <c r="AB107" s="33">
        <v>26.490891176616401</v>
      </c>
      <c r="AC107" s="33">
        <v>26.488422083681701</v>
      </c>
      <c r="AD107" s="33">
        <v>26.486741232407699</v>
      </c>
      <c r="AE107" s="15">
        <v>4.48336696215363E-4</v>
      </c>
      <c r="AF107" s="15">
        <v>3.55126996632365E-4</v>
      </c>
      <c r="AG107" s="15">
        <v>2.91668909134042E-4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2.5847847018025008E-3</v>
      </c>
      <c r="AT107" s="12"/>
      <c r="AU107">
        <f t="shared" si="30"/>
        <v>0</v>
      </c>
      <c r="AV107">
        <f t="shared" si="31"/>
        <v>0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1.4278398770544098E-3</v>
      </c>
      <c r="BE107" s="29">
        <f t="shared" si="42"/>
        <v>0</v>
      </c>
      <c r="BF107" s="29">
        <f t="shared" si="43"/>
        <v>4.0126245788569105E-3</v>
      </c>
      <c r="BH107" s="29"/>
    </row>
    <row r="108" spans="1:60" x14ac:dyDescent="0.25">
      <c r="A108" s="1">
        <v>46178</v>
      </c>
      <c r="B108" s="33">
        <v>20.57</v>
      </c>
      <c r="C108" s="33">
        <v>25.83</v>
      </c>
      <c r="D108" s="15">
        <v>-6.29999660645752E-3</v>
      </c>
      <c r="E108" s="15">
        <v>-5.0202847281402398E-3</v>
      </c>
      <c r="F108" s="33">
        <v>0</v>
      </c>
      <c r="G108" s="33">
        <v>0.40738999999999997</v>
      </c>
      <c r="H108" s="33">
        <v>0</v>
      </c>
      <c r="I108" s="33">
        <v>0.51901699999999995</v>
      </c>
      <c r="J108" s="33">
        <v>0.40738999999999997</v>
      </c>
      <c r="K108" s="33">
        <v>0.51901699999999995</v>
      </c>
      <c r="L108" s="33">
        <v>20.97739</v>
      </c>
      <c r="M108" s="33">
        <v>26.349017</v>
      </c>
      <c r="N108" s="34">
        <v>1.2557122022362599</v>
      </c>
      <c r="O108" s="34">
        <v>1.2567453983371399</v>
      </c>
      <c r="P108" s="34">
        <v>1.25730778718331</v>
      </c>
      <c r="Q108" s="34">
        <v>1.2567204040472699</v>
      </c>
      <c r="R108" s="33">
        <v>25.851252843794999</v>
      </c>
      <c r="S108" s="33">
        <v>25.870599663373302</v>
      </c>
      <c r="T108" s="33">
        <v>25.849944253421</v>
      </c>
      <c r="U108" s="15">
        <v>8.2245858308915604E-4</v>
      </c>
      <c r="V108" s="15">
        <v>1.5705686968138901E-3</v>
      </c>
      <c r="W108" s="15">
        <v>7.7183730359067304E-4</v>
      </c>
      <c r="X108" s="34">
        <v>1.2560674612046501</v>
      </c>
      <c r="Y108" s="34">
        <v>1.2550529069020999</v>
      </c>
      <c r="Z108" s="34">
        <v>1.2551271533621899</v>
      </c>
      <c r="AA108" s="34">
        <v>1.25485668636051</v>
      </c>
      <c r="AB108" s="33">
        <v>26.3277342987192</v>
      </c>
      <c r="AC108" s="33">
        <v>26.3265062143611</v>
      </c>
      <c r="AD108" s="33">
        <v>26.323045831737499</v>
      </c>
      <c r="AE108" s="15">
        <v>-8.0804916454100596E-4</v>
      </c>
      <c r="AF108" s="15">
        <v>-8.5469628531690601E-4</v>
      </c>
      <c r="AG108" s="15">
        <v>-9.8614593660954807E-4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2.5847847018025008E-3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1.4278398770544098E-3</v>
      </c>
      <c r="BE108" s="29">
        <f t="shared" si="42"/>
        <v>0</v>
      </c>
      <c r="BF108" s="29">
        <f t="shared" si="43"/>
        <v>4.0126245788569105E-3</v>
      </c>
      <c r="BH108" s="29"/>
    </row>
    <row r="109" spans="1:60" x14ac:dyDescent="0.25">
      <c r="A109" s="1">
        <v>46181</v>
      </c>
      <c r="B109" s="33">
        <v>20.57</v>
      </c>
      <c r="C109" s="33">
        <v>25.79</v>
      </c>
      <c r="D109" s="15">
        <v>0</v>
      </c>
      <c r="E109" s="15">
        <v>-1.54978721449562E-3</v>
      </c>
      <c r="F109" s="33">
        <v>0</v>
      </c>
      <c r="G109" s="33">
        <v>0.40738999999999997</v>
      </c>
      <c r="H109" s="33">
        <v>0</v>
      </c>
      <c r="I109" s="33">
        <v>0.51901699999999995</v>
      </c>
      <c r="J109" s="33">
        <v>0.40738999999999997</v>
      </c>
      <c r="K109" s="33">
        <v>0.51901699999999995</v>
      </c>
      <c r="L109" s="33">
        <v>20.97739</v>
      </c>
      <c r="M109" s="33">
        <v>26.309017000000001</v>
      </c>
      <c r="N109" s="34">
        <v>1.2537676227515799</v>
      </c>
      <c r="O109" s="34">
        <v>1.2567453983371399</v>
      </c>
      <c r="P109" s="34">
        <v>1.2567244133379001</v>
      </c>
      <c r="Q109" s="34">
        <v>1.25665662380156</v>
      </c>
      <c r="R109" s="33">
        <v>25.851252843794999</v>
      </c>
      <c r="S109" s="33">
        <v>25.862821182360602</v>
      </c>
      <c r="T109" s="33">
        <v>25.850738711252301</v>
      </c>
      <c r="U109" s="15">
        <v>2.3722457975847901E-3</v>
      </c>
      <c r="V109" s="15">
        <v>2.8196419455939299E-3</v>
      </c>
      <c r="W109" s="15">
        <v>2.3523574904895099E-3</v>
      </c>
      <c r="X109" s="34">
        <v>1.2541606462958399</v>
      </c>
      <c r="Y109" s="34">
        <v>1.2550529069020999</v>
      </c>
      <c r="Z109" s="34">
        <v>1.2550580217876699</v>
      </c>
      <c r="AA109" s="34">
        <v>1.2547836272333099</v>
      </c>
      <c r="AB109" s="33">
        <v>26.3277342987192</v>
      </c>
      <c r="AC109" s="33">
        <v>26.3292917956684</v>
      </c>
      <c r="AD109" s="33">
        <v>26.323618103892201</v>
      </c>
      <c r="AE109" s="15">
        <v>7.1118748958848104E-4</v>
      </c>
      <c r="AF109" s="15">
        <v>7.7034377186515496E-4</v>
      </c>
      <c r="AG109" s="15">
        <v>5.5483082836197003E-4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2.5847847018025008E-3</v>
      </c>
      <c r="AT109" s="12"/>
      <c r="AU109">
        <f t="shared" si="30"/>
        <v>0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1.4278398770544098E-3</v>
      </c>
      <c r="BE109" s="29">
        <f t="shared" si="42"/>
        <v>0</v>
      </c>
      <c r="BF109" s="29">
        <f t="shared" si="43"/>
        <v>4.0126245788569105E-3</v>
      </c>
      <c r="BH109" s="29"/>
    </row>
    <row r="110" spans="1:60" x14ac:dyDescent="0.25">
      <c r="A110" s="1">
        <v>46182</v>
      </c>
      <c r="B110" s="33">
        <v>20.62</v>
      </c>
      <c r="C110" s="33">
        <v>25.87</v>
      </c>
      <c r="D110" s="15">
        <v>2.42777492394813E-3</v>
      </c>
      <c r="E110" s="15">
        <v>3.0971763046844002E-3</v>
      </c>
      <c r="F110" s="33">
        <v>0</v>
      </c>
      <c r="G110" s="33">
        <v>0.40738999999999997</v>
      </c>
      <c r="H110" s="33">
        <v>0</v>
      </c>
      <c r="I110" s="33">
        <v>0.51901699999999995</v>
      </c>
      <c r="J110" s="33">
        <v>0.40738999999999997</v>
      </c>
      <c r="K110" s="33">
        <v>0.51901699999999995</v>
      </c>
      <c r="L110" s="33">
        <v>21.02739</v>
      </c>
      <c r="M110" s="33">
        <v>26.389016999999999</v>
      </c>
      <c r="N110" s="34">
        <v>1.25460717749757</v>
      </c>
      <c r="O110" s="34">
        <v>1.2567453983371399</v>
      </c>
      <c r="P110" s="34">
        <v>1.25611923961479</v>
      </c>
      <c r="Q110" s="34">
        <v>1.25670652069376</v>
      </c>
      <c r="R110" s="33">
        <v>25.9140901137119</v>
      </c>
      <c r="S110" s="33">
        <v>25.9136574030275</v>
      </c>
      <c r="T110" s="33">
        <v>25.912259582788199</v>
      </c>
      <c r="U110" s="15">
        <v>1.7028444168481901E-3</v>
      </c>
      <c r="V110" s="15">
        <v>1.6861463851921301E-3</v>
      </c>
      <c r="W110" s="15">
        <v>1.63220348090889E-3</v>
      </c>
      <c r="X110" s="34">
        <v>1.25498300074331</v>
      </c>
      <c r="Y110" s="34">
        <v>1.2550529069020999</v>
      </c>
      <c r="Z110" s="34">
        <v>1.2549658377212101</v>
      </c>
      <c r="AA110" s="34">
        <v>1.2548222438705401</v>
      </c>
      <c r="AB110" s="33">
        <v>26.3904869440643</v>
      </c>
      <c r="AC110" s="33">
        <v>26.390594496757799</v>
      </c>
      <c r="AD110" s="33">
        <v>26.384824695449399</v>
      </c>
      <c r="AE110" s="15">
        <v>5.5701321719129697E-5</v>
      </c>
      <c r="AF110" s="15">
        <v>5.9776747634568802E-5</v>
      </c>
      <c r="AG110" s="15">
        <v>-1.58878126914612E-4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2.5847847018025008E-3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1.4278398770544098E-3</v>
      </c>
      <c r="BE110" s="29">
        <f t="shared" si="42"/>
        <v>0</v>
      </c>
      <c r="BF110" s="29">
        <f t="shared" si="43"/>
        <v>4.0126245788569105E-3</v>
      </c>
      <c r="BH110" s="29"/>
    </row>
    <row r="111" spans="1:60" x14ac:dyDescent="0.25">
      <c r="A111" s="1">
        <v>46183</v>
      </c>
      <c r="B111" s="33">
        <v>20.59</v>
      </c>
      <c r="C111" s="33">
        <v>25.83</v>
      </c>
      <c r="D111" s="15">
        <v>-1.4559575491158499E-3</v>
      </c>
      <c r="E111" s="15">
        <v>-1.5473890901887E-3</v>
      </c>
      <c r="F111" s="33">
        <v>0</v>
      </c>
      <c r="G111" s="33">
        <v>0.40738999999999997</v>
      </c>
      <c r="H111" s="33">
        <v>0</v>
      </c>
      <c r="I111" s="33">
        <v>0.51901699999999995</v>
      </c>
      <c r="J111" s="33">
        <v>0.40738999999999997</v>
      </c>
      <c r="K111" s="33">
        <v>0.51901699999999995</v>
      </c>
      <c r="L111" s="33">
        <v>20.997389999999999</v>
      </c>
      <c r="M111" s="33">
        <v>26.349017</v>
      </c>
      <c r="N111" s="34">
        <v>1.25449247207382</v>
      </c>
      <c r="O111" s="34">
        <v>1.2567453983371399</v>
      </c>
      <c r="P111" s="34">
        <v>1.2554794258347599</v>
      </c>
      <c r="Q111" s="34">
        <v>1.2567200975053601</v>
      </c>
      <c r="R111" s="33">
        <v>25.876387751761801</v>
      </c>
      <c r="S111" s="33">
        <v>25.863495143668501</v>
      </c>
      <c r="T111" s="33">
        <v>25.8755872610846</v>
      </c>
      <c r="U111" s="15">
        <v>1.79427595792136E-3</v>
      </c>
      <c r="V111" s="15">
        <v>1.29591347085835E-3</v>
      </c>
      <c r="W111" s="15">
        <v>1.7633403007981899E-3</v>
      </c>
      <c r="X111" s="34">
        <v>1.25487105778384</v>
      </c>
      <c r="Y111" s="34">
        <v>1.2550529069020999</v>
      </c>
      <c r="Z111" s="34">
        <v>1.2548392865634499</v>
      </c>
      <c r="AA111" s="34">
        <v>1.25482507169614</v>
      </c>
      <c r="AB111" s="33">
        <v>26.352835356857199</v>
      </c>
      <c r="AC111" s="33">
        <v>26.351007131309</v>
      </c>
      <c r="AD111" s="33">
        <v>26.347992035224799</v>
      </c>
      <c r="AE111" s="15">
        <v>1.4490408565016199E-4</v>
      </c>
      <c r="AF111" s="15">
        <v>7.5526770350189693E-5</v>
      </c>
      <c r="AG111" s="15">
        <v>-3.8900301707204999E-5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2.5847847018025008E-3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1.4278398770544098E-3</v>
      </c>
      <c r="BE111" s="29">
        <f t="shared" si="42"/>
        <v>0</v>
      </c>
      <c r="BF111" s="29">
        <f t="shared" si="43"/>
        <v>4.0126245788569105E-3</v>
      </c>
      <c r="BH111" s="29"/>
    </row>
    <row r="112" spans="1:60" x14ac:dyDescent="0.25">
      <c r="A112" s="1">
        <v>46184</v>
      </c>
      <c r="B112" s="33">
        <v>20.73</v>
      </c>
      <c r="C112" s="33">
        <v>25.99</v>
      </c>
      <c r="D112" s="15">
        <v>6.77640540799016E-3</v>
      </c>
      <c r="E112" s="15">
        <v>6.1752415456498601E-3</v>
      </c>
      <c r="F112" s="33">
        <v>0</v>
      </c>
      <c r="G112" s="33">
        <v>0.40738999999999997</v>
      </c>
      <c r="H112" s="33">
        <v>0</v>
      </c>
      <c r="I112" s="33">
        <v>0.51901699999999995</v>
      </c>
      <c r="J112" s="33">
        <v>0.40738999999999997</v>
      </c>
      <c r="K112" s="33">
        <v>0.51901699999999995</v>
      </c>
      <c r="L112" s="33">
        <v>21.13739</v>
      </c>
      <c r="M112" s="33">
        <v>26.509017</v>
      </c>
      <c r="N112" s="34">
        <v>1.2537385431741399</v>
      </c>
      <c r="O112" s="34">
        <v>1.2567453983371399</v>
      </c>
      <c r="P112" s="34">
        <v>1.2549845542834399</v>
      </c>
      <c r="Q112" s="34">
        <v>1.2567262146351399</v>
      </c>
      <c r="R112" s="33">
        <v>26.052332107529001</v>
      </c>
      <c r="S112" s="33">
        <v>26.0260884975545</v>
      </c>
      <c r="T112" s="33">
        <v>26.051807621286301</v>
      </c>
      <c r="U112" s="15">
        <v>2.3954398202615302E-3</v>
      </c>
      <c r="V112" s="15">
        <v>1.38759004713288E-3</v>
      </c>
      <c r="W112" s="15">
        <v>2.3753075910202602E-3</v>
      </c>
      <c r="X112" s="34">
        <v>1.2541291521800899</v>
      </c>
      <c r="Y112" s="34">
        <v>1.2550529069020999</v>
      </c>
      <c r="Z112" s="34">
        <v>1.2548532812333</v>
      </c>
      <c r="AA112" s="34">
        <v>1.25482059602677</v>
      </c>
      <c r="AB112" s="33">
        <v>26.528542763823499</v>
      </c>
      <c r="AC112" s="33">
        <v>26.524027387413401</v>
      </c>
      <c r="AD112" s="33">
        <v>26.523726922219399</v>
      </c>
      <c r="AE112" s="15">
        <v>7.3629951274608901E-4</v>
      </c>
      <c r="AF112" s="15">
        <v>5.6607679184511497E-4</v>
      </c>
      <c r="AG112" s="15">
        <v>5.5474868953489303E-4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2.5847847018025008E-3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1.4278398770544098E-3</v>
      </c>
      <c r="BE112" s="29">
        <f t="shared" si="42"/>
        <v>0</v>
      </c>
      <c r="BF112" s="29">
        <f t="shared" si="43"/>
        <v>4.0126245788569105E-3</v>
      </c>
      <c r="BH112" s="29"/>
    </row>
    <row r="113" spans="1:60" x14ac:dyDescent="0.25">
      <c r="A113" s="1">
        <v>46185</v>
      </c>
      <c r="B113" s="33">
        <v>20.7</v>
      </c>
      <c r="C113" s="33">
        <v>25.97</v>
      </c>
      <c r="D113" s="15">
        <v>-1.4482261763648699E-3</v>
      </c>
      <c r="E113" s="15">
        <v>-7.6982297874180101E-4</v>
      </c>
      <c r="F113" s="33">
        <v>0</v>
      </c>
      <c r="G113" s="33">
        <v>0.40738999999999997</v>
      </c>
      <c r="H113" s="33">
        <v>0</v>
      </c>
      <c r="I113" s="33">
        <v>0.51901699999999995</v>
      </c>
      <c r="J113" s="33">
        <v>0.40738999999999997</v>
      </c>
      <c r="K113" s="33">
        <v>0.51901699999999995</v>
      </c>
      <c r="L113" s="33">
        <v>21.107389999999999</v>
      </c>
      <c r="M113" s="33">
        <v>26.489017</v>
      </c>
      <c r="N113" s="34">
        <v>1.25458937198067</v>
      </c>
      <c r="O113" s="34">
        <v>1.2567453983371399</v>
      </c>
      <c r="P113" s="34">
        <v>1.2545390052297001</v>
      </c>
      <c r="Q113" s="34">
        <v>1.2567323611675401</v>
      </c>
      <c r="R113" s="33">
        <v>26.014629745578802</v>
      </c>
      <c r="S113" s="33">
        <v>25.978180273667299</v>
      </c>
      <c r="T113" s="33">
        <v>26.014232642947501</v>
      </c>
      <c r="U113" s="15">
        <v>1.7170366226386001E-3</v>
      </c>
      <c r="V113" s="15">
        <v>3.1493976081189902E-4</v>
      </c>
      <c r="W113" s="15">
        <v>1.70177191712184E-3</v>
      </c>
      <c r="X113" s="34">
        <v>1.2549641144641701</v>
      </c>
      <c r="Y113" s="34">
        <v>1.2550529069020999</v>
      </c>
      <c r="Z113" s="34">
        <v>1.2549154787110099</v>
      </c>
      <c r="AA113" s="34">
        <v>1.2548159598223101</v>
      </c>
      <c r="AB113" s="33">
        <v>26.490891176616401</v>
      </c>
      <c r="AC113" s="33">
        <v>26.4866775997709</v>
      </c>
      <c r="AD113" s="33">
        <v>26.485987700369499</v>
      </c>
      <c r="AE113" s="15">
        <v>7.0750466799768895E-5</v>
      </c>
      <c r="AF113" s="15">
        <v>-8.83197567564625E-5</v>
      </c>
      <c r="AG113" s="15">
        <v>-1.14367130343987E-4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2.5847847018025008E-3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1.4278398770544098E-3</v>
      </c>
      <c r="BE113" s="29">
        <f t="shared" si="42"/>
        <v>0</v>
      </c>
      <c r="BF113" s="29">
        <f t="shared" si="43"/>
        <v>4.0126245788569105E-3</v>
      </c>
      <c r="BH113" s="29"/>
    </row>
    <row r="114" spans="1:60" x14ac:dyDescent="0.25">
      <c r="A114" s="1">
        <v>46188</v>
      </c>
      <c r="B114" s="33">
        <v>20.71</v>
      </c>
      <c r="C114" s="33">
        <v>25.99</v>
      </c>
      <c r="D114" s="15">
        <v>4.82975136169449E-4</v>
      </c>
      <c r="E114" s="15">
        <v>7.6982297874182801E-4</v>
      </c>
      <c r="F114" s="33">
        <v>0</v>
      </c>
      <c r="G114" s="33">
        <v>0.40738999999999997</v>
      </c>
      <c r="H114" s="33">
        <v>0</v>
      </c>
      <c r="I114" s="33">
        <v>0.51901699999999995</v>
      </c>
      <c r="J114" s="33">
        <v>0.40738999999999997</v>
      </c>
      <c r="K114" s="33">
        <v>0.51901699999999995</v>
      </c>
      <c r="L114" s="33">
        <v>21.11739</v>
      </c>
      <c r="M114" s="33">
        <v>26.509017</v>
      </c>
      <c r="N114" s="34">
        <v>1.2549492998551399</v>
      </c>
      <c r="O114" s="34">
        <v>1.2567453983371399</v>
      </c>
      <c r="P114" s="34">
        <v>1.25458729108195</v>
      </c>
      <c r="Q114" s="34">
        <v>1.2567794861894399</v>
      </c>
      <c r="R114" s="33">
        <v>26.027197199562199</v>
      </c>
      <c r="S114" s="33">
        <v>25.981502798307201</v>
      </c>
      <c r="T114" s="33">
        <v>26.026927199779799</v>
      </c>
      <c r="U114" s="15">
        <v>1.43018878006628E-3</v>
      </c>
      <c r="V114" s="15">
        <v>-3.2699465326023502E-4</v>
      </c>
      <c r="W114" s="15">
        <v>1.41981497067061E-3</v>
      </c>
      <c r="X114" s="34">
        <v>1.2553169212672499</v>
      </c>
      <c r="Y114" s="34">
        <v>1.2550529069020999</v>
      </c>
      <c r="Z114" s="34">
        <v>1.2549628330478799</v>
      </c>
      <c r="AA114" s="34">
        <v>1.2548514252114</v>
      </c>
      <c r="AB114" s="33">
        <v>26.5034417056854</v>
      </c>
      <c r="AC114" s="33">
        <v>26.500539580977101</v>
      </c>
      <c r="AD114" s="33">
        <v>26.498438001792</v>
      </c>
      <c r="AE114" s="15">
        <v>-2.1033902109738201E-4</v>
      </c>
      <c r="AF114" s="15">
        <v>-3.1984493521113202E-4</v>
      </c>
      <c r="AG114" s="15">
        <v>-3.9915134005311001E-4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2.5847847018025008E-3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1.4278398770544098E-3</v>
      </c>
      <c r="BE114" s="29">
        <f t="shared" si="42"/>
        <v>0</v>
      </c>
      <c r="BF114" s="29">
        <f t="shared" si="43"/>
        <v>4.0126245788569105E-3</v>
      </c>
      <c r="BH114" s="29"/>
    </row>
    <row r="115" spans="1:60" x14ac:dyDescent="0.25">
      <c r="A115" s="1">
        <v>46189</v>
      </c>
      <c r="B115" s="33">
        <v>20.75</v>
      </c>
      <c r="C115" s="33">
        <v>26.03</v>
      </c>
      <c r="D115" s="15">
        <v>1.9295712692143801E-3</v>
      </c>
      <c r="E115" s="15">
        <v>1.5378703530753101E-3</v>
      </c>
      <c r="F115" s="33">
        <v>0</v>
      </c>
      <c r="G115" s="33">
        <v>0.40738999999999997</v>
      </c>
      <c r="H115" s="33">
        <v>0</v>
      </c>
      <c r="I115" s="33">
        <v>0.51901699999999995</v>
      </c>
      <c r="J115" s="33">
        <v>0.40738999999999997</v>
      </c>
      <c r="K115" s="33">
        <v>0.51901699999999995</v>
      </c>
      <c r="L115" s="33">
        <v>21.157389999999999</v>
      </c>
      <c r="M115" s="33">
        <v>26.549016999999999</v>
      </c>
      <c r="N115" s="34">
        <v>1.2544578313253001</v>
      </c>
      <c r="O115" s="34">
        <v>1.2567453983371399</v>
      </c>
      <c r="P115" s="34">
        <v>1.25459871128012</v>
      </c>
      <c r="Q115" s="34">
        <v>1.2565385105682001</v>
      </c>
      <c r="R115" s="33">
        <v>26.077467015495699</v>
      </c>
      <c r="S115" s="33">
        <v>26.032686289950501</v>
      </c>
      <c r="T115" s="33">
        <v>26.078174338430902</v>
      </c>
      <c r="U115" s="15">
        <v>1.8218896962053401E-3</v>
      </c>
      <c r="V115" s="15">
        <v>1.03194442866084E-4</v>
      </c>
      <c r="W115" s="15">
        <v>1.8490132409220599E-3</v>
      </c>
      <c r="X115" s="34">
        <v>1.2548342210452199</v>
      </c>
      <c r="Y115" s="34">
        <v>1.2550529069020999</v>
      </c>
      <c r="Z115" s="34">
        <v>1.2549739795897401</v>
      </c>
      <c r="AA115" s="34">
        <v>1.2548674462660101</v>
      </c>
      <c r="AB115" s="33">
        <v>26.553643821961501</v>
      </c>
      <c r="AC115" s="33">
        <v>26.551738094299001</v>
      </c>
      <c r="AD115" s="33">
        <v>26.5493809952535</v>
      </c>
      <c r="AE115" s="15">
        <v>1.7425951549941601E-4</v>
      </c>
      <c r="AF115" s="15">
        <v>1.0248797014767701E-4</v>
      </c>
      <c r="AG115" s="15">
        <v>1.3710216023854799E-5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2.5847847018025008E-3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1.4278398770544098E-3</v>
      </c>
      <c r="BE115" s="29">
        <f t="shared" si="42"/>
        <v>0</v>
      </c>
      <c r="BF115" s="29">
        <f t="shared" si="43"/>
        <v>4.0126245788569105E-3</v>
      </c>
      <c r="BH115" s="29"/>
    </row>
    <row r="116" spans="1:60" x14ac:dyDescent="0.25">
      <c r="A116" s="1">
        <v>46190</v>
      </c>
      <c r="B116" s="33">
        <v>20.66</v>
      </c>
      <c r="C116" s="33">
        <v>25.91</v>
      </c>
      <c r="D116" s="15">
        <v>-4.3467829852147904E-3</v>
      </c>
      <c r="E116" s="15">
        <v>-4.6207244324554097E-3</v>
      </c>
      <c r="F116" s="33">
        <v>0</v>
      </c>
      <c r="G116" s="33">
        <v>0.40738999999999997</v>
      </c>
      <c r="H116" s="33">
        <v>0</v>
      </c>
      <c r="I116" s="33">
        <v>0.51901699999999995</v>
      </c>
      <c r="J116" s="33">
        <v>0.40738999999999997</v>
      </c>
      <c r="K116" s="33">
        <v>0.51901699999999995</v>
      </c>
      <c r="L116" s="33">
        <v>21.06739</v>
      </c>
      <c r="M116" s="33">
        <v>26.429017000000002</v>
      </c>
      <c r="N116" s="34">
        <v>1.2541142303969</v>
      </c>
      <c r="O116" s="34">
        <v>1.2567453983371399</v>
      </c>
      <c r="P116" s="34">
        <v>1.25445350314846</v>
      </c>
      <c r="Q116" s="34">
        <v>1.2562966987923201</v>
      </c>
      <c r="R116" s="33">
        <v>25.964359929645401</v>
      </c>
      <c r="S116" s="33">
        <v>25.920009375047201</v>
      </c>
      <c r="T116" s="33">
        <v>25.960085628339101</v>
      </c>
      <c r="U116" s="15">
        <v>2.09583114344622E-3</v>
      </c>
      <c r="V116" s="15">
        <v>3.86238601628693E-4</v>
      </c>
      <c r="W116" s="15">
        <v>1.9311957286646099E-3</v>
      </c>
      <c r="X116" s="34">
        <v>1.25449887242795</v>
      </c>
      <c r="Y116" s="34">
        <v>1.2550529069020999</v>
      </c>
      <c r="Z116" s="34">
        <v>1.25483157941582</v>
      </c>
      <c r="AA116" s="34">
        <v>1.2548837543326601</v>
      </c>
      <c r="AB116" s="33">
        <v>26.440689060340301</v>
      </c>
      <c r="AC116" s="33">
        <v>26.439026267869099</v>
      </c>
      <c r="AD116" s="33">
        <v>26.4367818887902</v>
      </c>
      <c r="AE116" s="15">
        <v>4.4154058722016499E-4</v>
      </c>
      <c r="AF116" s="15">
        <v>3.7865097211912702E-4</v>
      </c>
      <c r="AG116" s="15">
        <v>2.9375849828283798E-4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2.5847847018025008E-3</v>
      </c>
      <c r="AT116" s="12"/>
      <c r="AU116">
        <f t="shared" si="30"/>
        <v>0</v>
      </c>
      <c r="AV116">
        <f t="shared" si="31"/>
        <v>0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1.4278398770544098E-3</v>
      </c>
      <c r="BE116" s="29">
        <f t="shared" si="42"/>
        <v>0</v>
      </c>
      <c r="BF116" s="29">
        <f t="shared" si="43"/>
        <v>4.0126245788569105E-3</v>
      </c>
      <c r="BH116" s="29"/>
    </row>
    <row r="117" spans="1:60" x14ac:dyDescent="0.25">
      <c r="A117" s="1">
        <v>46191</v>
      </c>
      <c r="B117" s="33">
        <v>20.71</v>
      </c>
      <c r="C117" s="33">
        <v>25.98</v>
      </c>
      <c r="D117" s="15">
        <v>2.4172117160004402E-3</v>
      </c>
      <c r="E117" s="15">
        <v>2.6980166684348501E-3</v>
      </c>
      <c r="F117" s="33">
        <v>0</v>
      </c>
      <c r="G117" s="33">
        <v>0.40738999999999997</v>
      </c>
      <c r="H117" s="33">
        <v>0</v>
      </c>
      <c r="I117" s="33">
        <v>0.51901699999999995</v>
      </c>
      <c r="J117" s="33">
        <v>0.40738999999999997</v>
      </c>
      <c r="K117" s="33">
        <v>0.51901699999999995</v>
      </c>
      <c r="L117" s="33">
        <v>21.11739</v>
      </c>
      <c r="M117" s="33">
        <v>26.499016999999998</v>
      </c>
      <c r="N117" s="34">
        <v>1.25446644133268</v>
      </c>
      <c r="O117" s="34">
        <v>1.2567453983371399</v>
      </c>
      <c r="P117" s="34">
        <v>1.2544895192624099</v>
      </c>
      <c r="Q117" s="34">
        <v>1.2560877266553501</v>
      </c>
      <c r="R117" s="33">
        <v>26.027197199562199</v>
      </c>
      <c r="S117" s="33">
        <v>25.979732050204699</v>
      </c>
      <c r="T117" s="33">
        <v>26.017904631988898</v>
      </c>
      <c r="U117" s="15">
        <v>1.8150261910116301E-3</v>
      </c>
      <c r="V117" s="15">
        <v>-1.0313748155806E-5</v>
      </c>
      <c r="W117" s="15">
        <v>1.4579294673994E-3</v>
      </c>
      <c r="X117" s="34">
        <v>1.25484337789849</v>
      </c>
      <c r="Y117" s="34">
        <v>1.2550529069020999</v>
      </c>
      <c r="Z117" s="34">
        <v>1.25486688253108</v>
      </c>
      <c r="AA117" s="34">
        <v>1.2549306230970501</v>
      </c>
      <c r="AB117" s="33">
        <v>26.5034417056854</v>
      </c>
      <c r="AC117" s="33">
        <v>26.4987678468399</v>
      </c>
      <c r="AD117" s="33">
        <v>26.499869644907001</v>
      </c>
      <c r="AE117" s="15">
        <v>1.66962280762917E-4</v>
      </c>
      <c r="AF117" s="15">
        <v>-9.4023990175840403E-6</v>
      </c>
      <c r="AG117" s="15">
        <v>3.21759554250225E-5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2.5847847018025008E-3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1.4278398770544098E-3</v>
      </c>
      <c r="BE117" s="29">
        <f t="shared" si="42"/>
        <v>0</v>
      </c>
      <c r="BF117" s="29">
        <f t="shared" si="43"/>
        <v>4.0126245788569105E-3</v>
      </c>
      <c r="BH117" s="29"/>
    </row>
    <row r="118" spans="1:60" x14ac:dyDescent="0.25">
      <c r="A118" s="1">
        <v>46195</v>
      </c>
      <c r="B118" s="33">
        <v>20.57</v>
      </c>
      <c r="C118" s="33">
        <v>25.93</v>
      </c>
      <c r="D118" s="15">
        <v>-6.7829717426269804E-3</v>
      </c>
      <c r="E118" s="15">
        <v>-1.9264116918804499E-3</v>
      </c>
      <c r="F118" s="33">
        <v>8.8090000000000002E-2</v>
      </c>
      <c r="G118" s="33">
        <v>0.49547999999999998</v>
      </c>
      <c r="H118" s="33">
        <v>0</v>
      </c>
      <c r="I118" s="33">
        <v>0.51901699999999995</v>
      </c>
      <c r="J118" s="33">
        <v>0.49547999999999998</v>
      </c>
      <c r="K118" s="33">
        <v>0.51901699999999995</v>
      </c>
      <c r="L118" s="33">
        <v>21.065480000000001</v>
      </c>
      <c r="M118" s="33">
        <v>26.449017000000001</v>
      </c>
      <c r="N118" s="34">
        <v>1.2605736509479799</v>
      </c>
      <c r="O118" s="34">
        <v>1.2567453983371399</v>
      </c>
      <c r="P118" s="34">
        <v>1.2549756641335801</v>
      </c>
      <c r="Q118" s="34">
        <v>1.25614172565844</v>
      </c>
      <c r="R118" s="33">
        <v>25.851252843794999</v>
      </c>
      <c r="S118" s="33">
        <v>25.8048494112277</v>
      </c>
      <c r="T118" s="33">
        <v>25.837724537300499</v>
      </c>
      <c r="U118" s="15">
        <v>-3.04153385973488E-3</v>
      </c>
      <c r="V118" s="15">
        <v>-4.8381636100888201E-3</v>
      </c>
      <c r="W118" s="15">
        <v>-3.5649842156458E-3</v>
      </c>
      <c r="X118" s="34">
        <v>1.25556203798821</v>
      </c>
      <c r="Y118" s="34">
        <v>1.2550529069020999</v>
      </c>
      <c r="Z118" s="34">
        <v>1.2548163402094401</v>
      </c>
      <c r="AA118" s="34">
        <v>1.2549717467858099</v>
      </c>
      <c r="AB118" s="33">
        <v>26.4382919092882</v>
      </c>
      <c r="AC118" s="33">
        <v>26.434373216620902</v>
      </c>
      <c r="AD118" s="33">
        <v>26.435715942238598</v>
      </c>
      <c r="AE118" s="15">
        <v>-4.0558277893132301E-4</v>
      </c>
      <c r="AF118" s="15">
        <v>-5.5381410659659301E-4</v>
      </c>
      <c r="AG118" s="15">
        <v>-5.0302071323285902E-4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2.5847847018025008E-3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1.4278398770544098E-3</v>
      </c>
      <c r="BE118" s="29">
        <f t="shared" si="42"/>
        <v>0</v>
      </c>
      <c r="BF118" s="29">
        <f t="shared" si="43"/>
        <v>4.0126245788569105E-3</v>
      </c>
      <c r="BH118" s="29"/>
    </row>
    <row r="119" spans="1:60" x14ac:dyDescent="0.25">
      <c r="A119" s="1">
        <v>46196</v>
      </c>
      <c r="B119" s="33">
        <v>20.59</v>
      </c>
      <c r="C119" s="33">
        <v>25.96</v>
      </c>
      <c r="D119" s="15">
        <v>9.7181737483226303E-4</v>
      </c>
      <c r="E119" s="15">
        <v>1.15629228531632E-3</v>
      </c>
      <c r="F119" s="33">
        <v>0</v>
      </c>
      <c r="G119" s="33">
        <v>0.49547999999999998</v>
      </c>
      <c r="H119" s="33">
        <v>0</v>
      </c>
      <c r="I119" s="33">
        <v>0.51901699999999995</v>
      </c>
      <c r="J119" s="33">
        <v>0.49547999999999998</v>
      </c>
      <c r="K119" s="33">
        <v>0.51901699999999995</v>
      </c>
      <c r="L119" s="33">
        <v>21.08548</v>
      </c>
      <c r="M119" s="33">
        <v>26.479016999999999</v>
      </c>
      <c r="N119" s="34">
        <v>1.26080621661</v>
      </c>
      <c r="O119" s="34">
        <v>1.2567453983371399</v>
      </c>
      <c r="P119" s="34">
        <v>1.25567952351942</v>
      </c>
      <c r="Q119" s="34">
        <v>1.2562019684286601</v>
      </c>
      <c r="R119" s="33">
        <v>25.876387751761801</v>
      </c>
      <c r="S119" s="33">
        <v>25.839948924510399</v>
      </c>
      <c r="T119" s="33">
        <v>25.863958131307399</v>
      </c>
      <c r="U119" s="15">
        <v>-3.2260087702189002E-3</v>
      </c>
      <c r="V119" s="15">
        <v>-4.6351895290747801E-3</v>
      </c>
      <c r="W119" s="15">
        <v>-3.7064702159775899E-3</v>
      </c>
      <c r="X119" s="34">
        <v>1.2557938922898599</v>
      </c>
      <c r="Y119" s="34">
        <v>1.2550529069020999</v>
      </c>
      <c r="Z119" s="34">
        <v>1.25497966480884</v>
      </c>
      <c r="AA119" s="34">
        <v>1.2550188432982501</v>
      </c>
      <c r="AB119" s="33">
        <v>26.463392967426199</v>
      </c>
      <c r="AC119" s="33">
        <v>26.4584048451594</v>
      </c>
      <c r="AD119" s="33">
        <v>26.461681667417398</v>
      </c>
      <c r="AE119" s="15">
        <v>-5.9022749576165105E-4</v>
      </c>
      <c r="AF119" s="15">
        <v>-7.7873667299219705E-4</v>
      </c>
      <c r="AG119" s="15">
        <v>-6.54896275965983E-4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2.5847847018025008E-3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1.4278398770544098E-3</v>
      </c>
      <c r="BE119" s="29">
        <f t="shared" si="42"/>
        <v>0</v>
      </c>
      <c r="BF119" s="29">
        <f t="shared" si="43"/>
        <v>4.0126245788569105E-3</v>
      </c>
      <c r="BH119" s="29"/>
    </row>
    <row r="120" spans="1:60" x14ac:dyDescent="0.25">
      <c r="A120" s="1">
        <v>46197</v>
      </c>
      <c r="B120" s="33">
        <v>20.68</v>
      </c>
      <c r="C120" s="33">
        <v>26.05</v>
      </c>
      <c r="D120" s="15">
        <v>4.3615286005302704E-3</v>
      </c>
      <c r="E120" s="15">
        <v>3.46087636348665E-3</v>
      </c>
      <c r="F120" s="33">
        <v>0</v>
      </c>
      <c r="G120" s="33">
        <v>0.49547999999999998</v>
      </c>
      <c r="H120" s="33">
        <v>0</v>
      </c>
      <c r="I120" s="33">
        <v>0.51901699999999995</v>
      </c>
      <c r="J120" s="33">
        <v>0.49547999999999998</v>
      </c>
      <c r="K120" s="33">
        <v>0.51901699999999995</v>
      </c>
      <c r="L120" s="33">
        <v>21.17548</v>
      </c>
      <c r="M120" s="33">
        <v>26.569016999999999</v>
      </c>
      <c r="N120" s="34">
        <v>1.25967117988394</v>
      </c>
      <c r="O120" s="34">
        <v>1.2567453983371399</v>
      </c>
      <c r="P120" s="34">
        <v>1.2561859237580599</v>
      </c>
      <c r="Q120" s="34">
        <v>1.2561525816864201</v>
      </c>
      <c r="R120" s="33">
        <v>25.989494837612099</v>
      </c>
      <c r="S120" s="33">
        <v>25.967452546381601</v>
      </c>
      <c r="T120" s="33">
        <v>25.978256707104698</v>
      </c>
      <c r="U120" s="15">
        <v>-2.3253565331753799E-3</v>
      </c>
      <c r="V120" s="15">
        <v>-3.1738395046613799E-3</v>
      </c>
      <c r="W120" s="15">
        <v>-2.7578605514759001E-3</v>
      </c>
      <c r="X120" s="34">
        <v>1.2547067173919999</v>
      </c>
      <c r="Y120" s="34">
        <v>1.2550529069020999</v>
      </c>
      <c r="Z120" s="34">
        <v>1.2549520364737099</v>
      </c>
      <c r="AA120" s="34">
        <v>1.2549589370974601</v>
      </c>
      <c r="AB120" s="33">
        <v>26.576347729047399</v>
      </c>
      <c r="AC120" s="33">
        <v>26.574796792566399</v>
      </c>
      <c r="AD120" s="33">
        <v>26.575626415885399</v>
      </c>
      <c r="AE120" s="15">
        <v>2.7587463671776701E-4</v>
      </c>
      <c r="AF120" s="15">
        <v>2.1751516034372801E-4</v>
      </c>
      <c r="AG120" s="15">
        <v>2.4873309875327699E-4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2.5847847018025008E-3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1.4278398770544098E-3</v>
      </c>
      <c r="BE120" s="29">
        <f t="shared" si="42"/>
        <v>0</v>
      </c>
      <c r="BF120" s="29">
        <f t="shared" si="43"/>
        <v>4.0126245788569105E-3</v>
      </c>
      <c r="BH120" s="29"/>
    </row>
    <row r="121" spans="1:60" x14ac:dyDescent="0.25">
      <c r="A121" s="1">
        <v>46198</v>
      </c>
      <c r="B121" s="33">
        <v>20.71</v>
      </c>
      <c r="C121" s="33">
        <v>26.09</v>
      </c>
      <c r="D121" s="15">
        <v>1.44962576726447E-3</v>
      </c>
      <c r="E121" s="15">
        <v>1.5343309492610001E-3</v>
      </c>
      <c r="F121" s="33">
        <v>0</v>
      </c>
      <c r="G121" s="33">
        <v>0.49547999999999998</v>
      </c>
      <c r="H121" s="33">
        <v>0</v>
      </c>
      <c r="I121" s="33">
        <v>0.51901699999999995</v>
      </c>
      <c r="J121" s="33">
        <v>0.49547999999999998</v>
      </c>
      <c r="K121" s="33">
        <v>0.51901699999999995</v>
      </c>
      <c r="L121" s="33">
        <v>21.205480000000001</v>
      </c>
      <c r="M121" s="33">
        <v>26.609017000000001</v>
      </c>
      <c r="N121" s="34">
        <v>1.2597778850796699</v>
      </c>
      <c r="O121" s="34">
        <v>1.2567453983371399</v>
      </c>
      <c r="P121" s="34">
        <v>1.2567144650586399</v>
      </c>
      <c r="Q121" s="34">
        <v>1.2560969454466999</v>
      </c>
      <c r="R121" s="33">
        <v>26.027197199562199</v>
      </c>
      <c r="S121" s="33">
        <v>26.015610481029402</v>
      </c>
      <c r="T121" s="33">
        <v>26.014919966725898</v>
      </c>
      <c r="U121" s="15">
        <v>-2.4100617151718998E-3</v>
      </c>
      <c r="V121" s="15">
        <v>-2.8553381804763802E-3</v>
      </c>
      <c r="W121" s="15">
        <v>-2.88188083908968E-3</v>
      </c>
      <c r="X121" s="34">
        <v>1.25481795271788</v>
      </c>
      <c r="Y121" s="34">
        <v>1.2550529069020999</v>
      </c>
      <c r="Z121" s="34">
        <v>1.2549467259671101</v>
      </c>
      <c r="AA121" s="34">
        <v>1.2548930062652801</v>
      </c>
      <c r="AB121" s="33">
        <v>26.6139993162545</v>
      </c>
      <c r="AC121" s="33">
        <v>26.611860310402601</v>
      </c>
      <c r="AD121" s="33">
        <v>26.6120066414415</v>
      </c>
      <c r="AE121" s="15">
        <v>1.8722412271606701E-4</v>
      </c>
      <c r="AF121" s="15">
        <v>1.06849437626842E-4</v>
      </c>
      <c r="AG121" s="15">
        <v>1.1234813763906399E-4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2.5847847018025008E-3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1.4278398770544098E-3</v>
      </c>
      <c r="BE121" s="29">
        <f t="shared" si="42"/>
        <v>0</v>
      </c>
      <c r="BF121" s="29">
        <f t="shared" si="43"/>
        <v>4.0126245788569105E-3</v>
      </c>
      <c r="BH121" s="29"/>
    </row>
    <row r="122" spans="1:60" x14ac:dyDescent="0.25">
      <c r="A122" s="1">
        <v>46199</v>
      </c>
      <c r="B122" s="33">
        <v>20.73</v>
      </c>
      <c r="C122" s="33">
        <v>26.12</v>
      </c>
      <c r="D122" s="15">
        <v>9.6525104019536297E-4</v>
      </c>
      <c r="E122" s="15">
        <v>1.1492052595933101E-3</v>
      </c>
      <c r="F122" s="33">
        <v>0</v>
      </c>
      <c r="G122" s="33">
        <v>0.49547999999999998</v>
      </c>
      <c r="H122" s="33">
        <v>0</v>
      </c>
      <c r="I122" s="33">
        <v>0.51901699999999995</v>
      </c>
      <c r="J122" s="33">
        <v>0.49547999999999998</v>
      </c>
      <c r="K122" s="33">
        <v>0.51901699999999995</v>
      </c>
      <c r="L122" s="33">
        <v>21.225480000000001</v>
      </c>
      <c r="M122" s="33">
        <v>26.639016999999999</v>
      </c>
      <c r="N122" s="34">
        <v>1.26000964785335</v>
      </c>
      <c r="O122" s="34">
        <v>1.2567453983371399</v>
      </c>
      <c r="P122" s="34">
        <v>1.25734157552656</v>
      </c>
      <c r="Q122" s="34">
        <v>1.256163064905</v>
      </c>
      <c r="R122" s="33">
        <v>26.052332107529001</v>
      </c>
      <c r="S122" s="33">
        <v>26.051690860665701</v>
      </c>
      <c r="T122" s="33">
        <v>26.038889679110099</v>
      </c>
      <c r="U122" s="15">
        <v>-2.59401593456992E-3</v>
      </c>
      <c r="V122" s="15">
        <v>-2.6186300363908802E-3</v>
      </c>
      <c r="W122" s="15">
        <v>-3.1101270280011698E-3</v>
      </c>
      <c r="X122" s="34">
        <v>1.25504897886879</v>
      </c>
      <c r="Y122" s="34">
        <v>1.2550529069020999</v>
      </c>
      <c r="Z122" s="34">
        <v>1.25503870863598</v>
      </c>
      <c r="AA122" s="34">
        <v>1.25494599493464</v>
      </c>
      <c r="AB122" s="33">
        <v>26.639100374392498</v>
      </c>
      <c r="AC122" s="33">
        <v>26.636846633080498</v>
      </c>
      <c r="AD122" s="33">
        <v>26.635706406623601</v>
      </c>
      <c r="AE122" s="15">
        <v>3.12977997905433E-6</v>
      </c>
      <c r="AF122" s="15">
        <v>-8.1476555148074297E-5</v>
      </c>
      <c r="AG122" s="15">
        <v>-1.2428383176437899E-4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2.5847847018025008E-3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1.4278398770544098E-3</v>
      </c>
      <c r="BE122" s="29">
        <f t="shared" si="42"/>
        <v>0</v>
      </c>
      <c r="BF122" s="29">
        <f t="shared" si="43"/>
        <v>4.0126245788569105E-3</v>
      </c>
      <c r="BH122" s="29"/>
    </row>
    <row r="123" spans="1:60" x14ac:dyDescent="0.25">
      <c r="A123" s="1">
        <v>46202</v>
      </c>
      <c r="B123" s="33">
        <v>20.75</v>
      </c>
      <c r="C123" s="33">
        <v>26.16</v>
      </c>
      <c r="D123" s="15">
        <v>9.6432022901896597E-4</v>
      </c>
      <c r="E123" s="15">
        <v>1.53022218076753E-3</v>
      </c>
      <c r="F123" s="33">
        <v>0</v>
      </c>
      <c r="G123" s="33">
        <v>0.49547999999999998</v>
      </c>
      <c r="H123" s="33">
        <v>0</v>
      </c>
      <c r="I123" s="33">
        <v>0.51901699999999995</v>
      </c>
      <c r="J123" s="33">
        <v>0.49547999999999998</v>
      </c>
      <c r="K123" s="33">
        <v>0.51901699999999995</v>
      </c>
      <c r="L123" s="33">
        <v>21.245480000000001</v>
      </c>
      <c r="M123" s="33">
        <v>26.679017000000002</v>
      </c>
      <c r="N123" s="34">
        <v>1.2607228915662601</v>
      </c>
      <c r="O123" s="34">
        <v>1.2567453983371399</v>
      </c>
      <c r="P123" s="34">
        <v>1.2579549274851201</v>
      </c>
      <c r="Q123" s="34">
        <v>1.2562469663574101</v>
      </c>
      <c r="R123" s="33">
        <v>26.077467015495699</v>
      </c>
      <c r="S123" s="33">
        <v>26.0898376921762</v>
      </c>
      <c r="T123" s="33">
        <v>26.065383596778901</v>
      </c>
      <c r="U123" s="15">
        <v>-3.1599178863184101E-3</v>
      </c>
      <c r="V123" s="15">
        <v>-2.6856485338297999E-3</v>
      </c>
      <c r="W123" s="15">
        <v>-3.6233915472805201E-3</v>
      </c>
      <c r="X123" s="34">
        <v>1.2557502584079001</v>
      </c>
      <c r="Y123" s="34">
        <v>1.2550529069020999</v>
      </c>
      <c r="Z123" s="34">
        <v>1.2551173230303601</v>
      </c>
      <c r="AA123" s="34">
        <v>1.2550164008706799</v>
      </c>
      <c r="AB123" s="33">
        <v>26.664201432530501</v>
      </c>
      <c r="AC123" s="33">
        <v>26.663899783551599</v>
      </c>
      <c r="AD123" s="33">
        <v>26.661930036464</v>
      </c>
      <c r="AE123" s="15">
        <v>-5.5548083845413296E-4</v>
      </c>
      <c r="AF123" s="15">
        <v>-5.66793784988164E-4</v>
      </c>
      <c r="AG123" s="15">
        <v>-6.4066969447251797E-4</v>
      </c>
      <c r="AI123" s="12"/>
      <c r="AJ123">
        <f t="shared" si="26"/>
        <v>0</v>
      </c>
      <c r="AK123">
        <f t="shared" si="27"/>
        <v>0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2.5847847018025008E-3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1.4278398770544098E-3</v>
      </c>
      <c r="BE123" s="29">
        <f t="shared" si="42"/>
        <v>0</v>
      </c>
      <c r="BF123" s="29">
        <f t="shared" si="43"/>
        <v>4.0126245788569105E-3</v>
      </c>
      <c r="BH123" s="29"/>
    </row>
    <row r="124" spans="1:60" x14ac:dyDescent="0.25">
      <c r="A124" s="1">
        <v>46203</v>
      </c>
      <c r="B124" s="33">
        <v>20.66</v>
      </c>
      <c r="C124" s="33">
        <v>26.05</v>
      </c>
      <c r="D124" s="15">
        <v>-4.3467829852147904E-3</v>
      </c>
      <c r="E124" s="15">
        <v>-4.2137583896220097E-3</v>
      </c>
      <c r="F124" s="33">
        <v>0</v>
      </c>
      <c r="G124" s="33">
        <v>0.49547999999999998</v>
      </c>
      <c r="H124" s="33">
        <v>0</v>
      </c>
      <c r="I124" s="33">
        <v>0.51901699999999995</v>
      </c>
      <c r="J124" s="33">
        <v>0.49547999999999998</v>
      </c>
      <c r="K124" s="33">
        <v>0.51901699999999995</v>
      </c>
      <c r="L124" s="33">
        <v>21.155480000000001</v>
      </c>
      <c r="M124" s="33">
        <v>26.569016999999999</v>
      </c>
      <c r="N124" s="34">
        <v>1.2608906098741499</v>
      </c>
      <c r="O124" s="34">
        <v>1.2567453983371399</v>
      </c>
      <c r="P124" s="34">
        <v>1.25854905848702</v>
      </c>
      <c r="Q124" s="34">
        <v>1.2565681747844899</v>
      </c>
      <c r="R124" s="33">
        <v>25.964359929645401</v>
      </c>
      <c r="S124" s="33">
        <v>25.989348801842699</v>
      </c>
      <c r="T124" s="33">
        <v>25.9540623249442</v>
      </c>
      <c r="U124" s="15">
        <v>-3.2929424819112601E-3</v>
      </c>
      <c r="V124" s="15">
        <v>-2.3309755796652701E-3</v>
      </c>
      <c r="W124" s="15">
        <v>-3.6896265254176999E-3</v>
      </c>
      <c r="X124" s="34">
        <v>1.2558928939452001</v>
      </c>
      <c r="Y124" s="34">
        <v>1.2550529069020999</v>
      </c>
      <c r="Z124" s="34">
        <v>1.2551749202981499</v>
      </c>
      <c r="AA124" s="34">
        <v>1.25506887667302</v>
      </c>
      <c r="AB124" s="33">
        <v>26.5512466709093</v>
      </c>
      <c r="AC124" s="33">
        <v>26.5526094250223</v>
      </c>
      <c r="AD124" s="33">
        <v>26.550474368291699</v>
      </c>
      <c r="AE124" s="15">
        <v>-6.6906029923310495E-4</v>
      </c>
      <c r="AF124" s="15">
        <v>-6.1773618782533799E-4</v>
      </c>
      <c r="AG124" s="15">
        <v>-6.9814796729909595E-4</v>
      </c>
      <c r="AI124" s="12"/>
      <c r="AJ124">
        <f t="shared" si="26"/>
        <v>0</v>
      </c>
      <c r="AK124">
        <f t="shared" si="27"/>
        <v>0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2.5847847018025008E-3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1.4278398770544098E-3</v>
      </c>
      <c r="BE124" s="29">
        <f t="shared" si="42"/>
        <v>0</v>
      </c>
      <c r="BF124" s="29">
        <f t="shared" si="43"/>
        <v>4.0126245788569105E-3</v>
      </c>
      <c r="BH124" s="29"/>
    </row>
    <row r="125" spans="1:60" x14ac:dyDescent="0.25">
      <c r="A125" s="1">
        <v>46204</v>
      </c>
      <c r="B125" s="33">
        <v>20.63</v>
      </c>
      <c r="C125" s="33">
        <v>25.9</v>
      </c>
      <c r="D125" s="15">
        <v>-1.45313660833213E-3</v>
      </c>
      <c r="E125" s="15">
        <v>-5.7747994938838997E-3</v>
      </c>
      <c r="F125" s="33">
        <v>0</v>
      </c>
      <c r="G125" s="33">
        <v>0.49547999999999998</v>
      </c>
      <c r="H125" s="33">
        <v>0.106946</v>
      </c>
      <c r="I125" s="33">
        <v>0.62596299999999905</v>
      </c>
      <c r="J125" s="33">
        <v>0.49547999999999998</v>
      </c>
      <c r="K125" s="33">
        <v>0.62596299999999905</v>
      </c>
      <c r="L125" s="33">
        <v>21.12548</v>
      </c>
      <c r="M125" s="33">
        <v>26.525962999999901</v>
      </c>
      <c r="N125" s="34">
        <v>1.2554532234609701</v>
      </c>
      <c r="O125" s="34">
        <v>1.2567453983371399</v>
      </c>
      <c r="P125" s="34">
        <v>1.2586485977005899</v>
      </c>
      <c r="Q125" s="34">
        <v>1.25662365449035</v>
      </c>
      <c r="R125" s="33">
        <v>25.926657567695202</v>
      </c>
      <c r="S125" s="33">
        <v>25.963867076587299</v>
      </c>
      <c r="T125" s="33">
        <v>25.923001445804001</v>
      </c>
      <c r="U125" s="15">
        <v>1.0287204036405601E-3</v>
      </c>
      <c r="V125" s="15">
        <v>2.4628749251012299E-3</v>
      </c>
      <c r="W125" s="15">
        <v>8.8769259489952096E-4</v>
      </c>
      <c r="X125" s="34">
        <v>1.2556383570929499</v>
      </c>
      <c r="Y125" s="34">
        <v>1.2550529069020999</v>
      </c>
      <c r="Z125" s="34">
        <v>1.25525533390292</v>
      </c>
      <c r="AA125" s="34">
        <v>1.25511465674633</v>
      </c>
      <c r="AB125" s="33">
        <v>26.513595083702299</v>
      </c>
      <c r="AC125" s="33">
        <v>26.516172675260201</v>
      </c>
      <c r="AD125" s="33">
        <v>26.513932452778398</v>
      </c>
      <c r="AE125" s="15">
        <v>-4.6636574544265899E-4</v>
      </c>
      <c r="AF125" s="15">
        <v>-3.6915273965798003E-4</v>
      </c>
      <c r="AG125" s="15">
        <v>-4.5364144575370501E-4</v>
      </c>
      <c r="AI125" s="12"/>
      <c r="AJ125">
        <f t="shared" si="26"/>
        <v>0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2.5847847018025008E-3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1.4278398770544098E-3</v>
      </c>
      <c r="BE125" s="29">
        <f t="shared" si="42"/>
        <v>0</v>
      </c>
      <c r="BF125" s="29">
        <f t="shared" si="43"/>
        <v>4.0126245788569105E-3</v>
      </c>
      <c r="BH125" s="29"/>
    </row>
    <row r="126" spans="1:60" x14ac:dyDescent="0.25">
      <c r="A126" s="1">
        <v>46205</v>
      </c>
      <c r="B126" s="33">
        <v>20.69</v>
      </c>
      <c r="C126" s="33">
        <v>25.94</v>
      </c>
      <c r="D126" s="15">
        <v>2.9041646742912698E-3</v>
      </c>
      <c r="E126" s="15">
        <v>1.5432101828059301E-3</v>
      </c>
      <c r="F126" s="33">
        <v>0</v>
      </c>
      <c r="G126" s="33">
        <v>0.49547999999999998</v>
      </c>
      <c r="H126" s="33">
        <v>0</v>
      </c>
      <c r="I126" s="33">
        <v>0.62596299999999905</v>
      </c>
      <c r="J126" s="33">
        <v>0.49547999999999998</v>
      </c>
      <c r="K126" s="33">
        <v>0.62596299999999905</v>
      </c>
      <c r="L126" s="33">
        <v>21.185479999999998</v>
      </c>
      <c r="M126" s="33">
        <v>26.565963</v>
      </c>
      <c r="N126" s="34">
        <v>1.25374577090381</v>
      </c>
      <c r="O126" s="34">
        <v>1.2567453983371399</v>
      </c>
      <c r="P126" s="34">
        <v>1.25861175175128</v>
      </c>
      <c r="Q126" s="34">
        <v>1.25653262744987</v>
      </c>
      <c r="R126" s="33">
        <v>26.0020622915955</v>
      </c>
      <c r="S126" s="33">
        <v>26.0414394864253</v>
      </c>
      <c r="T126" s="33">
        <v>25.999543411405401</v>
      </c>
      <c r="U126" s="15">
        <v>2.3896748951260601E-3</v>
      </c>
      <c r="V126" s="15">
        <v>3.9029167408378101E-3</v>
      </c>
      <c r="W126" s="15">
        <v>2.2927978791975798E-3</v>
      </c>
      <c r="X126" s="34">
        <v>1.2539703136299001</v>
      </c>
      <c r="Y126" s="34">
        <v>1.2550529069020999</v>
      </c>
      <c r="Z126" s="34">
        <v>1.2552024780231199</v>
      </c>
      <c r="AA126" s="34">
        <v>1.25501702871947</v>
      </c>
      <c r="AB126" s="33">
        <v>26.588898258116402</v>
      </c>
      <c r="AC126" s="33">
        <v>26.593186771293801</v>
      </c>
      <c r="AD126" s="33">
        <v>26.5902064582063</v>
      </c>
      <c r="AE126" s="15">
        <v>8.6296000015556997E-4</v>
      </c>
      <c r="AF126" s="15">
        <v>1.0242366099109E-3</v>
      </c>
      <c r="AG126" s="15">
        <v>9.1215977879474295E-4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2.5847847018025008E-3</v>
      </c>
      <c r="AT126" s="12"/>
      <c r="AU126">
        <f t="shared" si="30"/>
        <v>0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1.4278398770544098E-3</v>
      </c>
      <c r="BE126" s="29">
        <f t="shared" si="42"/>
        <v>0</v>
      </c>
      <c r="BF126" s="29">
        <f t="shared" si="43"/>
        <v>4.0126245788569105E-3</v>
      </c>
      <c r="BH126" s="29"/>
    </row>
    <row r="127" spans="1:60" x14ac:dyDescent="0.25">
      <c r="A127" s="1">
        <v>46209</v>
      </c>
      <c r="B127" s="33">
        <v>20.68</v>
      </c>
      <c r="C127" s="33">
        <v>25.95</v>
      </c>
      <c r="D127" s="15">
        <v>-4.8344211722330701E-4</v>
      </c>
      <c r="E127" s="15">
        <v>3.8543072359976098E-4</v>
      </c>
      <c r="F127" s="33">
        <v>0</v>
      </c>
      <c r="G127" s="33">
        <v>0.49547999999999998</v>
      </c>
      <c r="H127" s="33">
        <v>0</v>
      </c>
      <c r="I127" s="33">
        <v>0.62596299999999905</v>
      </c>
      <c r="J127" s="33">
        <v>0.49547999999999998</v>
      </c>
      <c r="K127" s="33">
        <v>0.62596299999999905</v>
      </c>
      <c r="L127" s="33">
        <v>21.17548</v>
      </c>
      <c r="M127" s="33">
        <v>26.575962999999899</v>
      </c>
      <c r="N127" s="34">
        <v>1.2548355899419701</v>
      </c>
      <c r="O127" s="34">
        <v>1.2567453983371399</v>
      </c>
      <c r="P127" s="34">
        <v>1.2586486666122101</v>
      </c>
      <c r="Q127" s="34">
        <v>1.2565690929373099</v>
      </c>
      <c r="R127" s="33">
        <v>25.989494837612099</v>
      </c>
      <c r="S127" s="33">
        <v>26.0280910262166</v>
      </c>
      <c r="T127" s="33">
        <v>25.985094735663399</v>
      </c>
      <c r="U127" s="15">
        <v>1.52080205430298E-3</v>
      </c>
      <c r="V127" s="15">
        <v>3.00476925679492E-3</v>
      </c>
      <c r="W127" s="15">
        <v>1.35148462456028E-3</v>
      </c>
      <c r="X127" s="34">
        <v>1.25503473829164</v>
      </c>
      <c r="Y127" s="34">
        <v>1.2550529069020999</v>
      </c>
      <c r="Z127" s="34">
        <v>1.2552216140624299</v>
      </c>
      <c r="AA127" s="34">
        <v>1.2550442482967601</v>
      </c>
      <c r="AB127" s="33">
        <v>26.576347729047399</v>
      </c>
      <c r="AC127" s="33">
        <v>26.579514969329001</v>
      </c>
      <c r="AD127" s="33">
        <v>26.575587991308598</v>
      </c>
      <c r="AE127" s="15">
        <v>1.44764749516308E-5</v>
      </c>
      <c r="AF127" s="15">
        <v>1.33644526210655E-4</v>
      </c>
      <c r="AG127" s="15">
        <v>-1.41109218597727E-5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2.5847847018025008E-3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1.4278398770544098E-3</v>
      </c>
      <c r="BE127" s="29">
        <f t="shared" si="42"/>
        <v>0</v>
      </c>
      <c r="BF127" s="29">
        <f t="shared" si="43"/>
        <v>4.0126245788569105E-3</v>
      </c>
      <c r="BH127" s="29"/>
    </row>
    <row r="128" spans="1:60" x14ac:dyDescent="0.25">
      <c r="A128" s="1">
        <v>46210</v>
      </c>
      <c r="B128" s="33">
        <v>20.57</v>
      </c>
      <c r="C128" s="33">
        <v>25.82</v>
      </c>
      <c r="D128" s="15">
        <v>-5.3333459753624997E-3</v>
      </c>
      <c r="E128" s="15">
        <v>-5.0222241934011801E-3</v>
      </c>
      <c r="F128" s="33">
        <v>0</v>
      </c>
      <c r="G128" s="33">
        <v>0.49547999999999998</v>
      </c>
      <c r="H128" s="33">
        <v>0</v>
      </c>
      <c r="I128" s="33">
        <v>0.62596299999999905</v>
      </c>
      <c r="J128" s="33">
        <v>0.49547999999999998</v>
      </c>
      <c r="K128" s="33">
        <v>0.62596299999999905</v>
      </c>
      <c r="L128" s="33">
        <v>21.065480000000001</v>
      </c>
      <c r="M128" s="33">
        <v>26.445962999999999</v>
      </c>
      <c r="N128" s="34">
        <v>1.25522605736509</v>
      </c>
      <c r="O128" s="34">
        <v>1.2567453983371399</v>
      </c>
      <c r="P128" s="34">
        <v>1.25811390725392</v>
      </c>
      <c r="Q128" s="34">
        <v>1.2565447856937499</v>
      </c>
      <c r="R128" s="33">
        <v>25.851252843794999</v>
      </c>
      <c r="S128" s="33">
        <v>25.8904030722132</v>
      </c>
      <c r="T128" s="33">
        <v>25.847626241720501</v>
      </c>
      <c r="U128" s="15">
        <v>1.20968027234171E-3</v>
      </c>
      <c r="V128" s="15">
        <v>2.7229768685359998E-3</v>
      </c>
      <c r="W128" s="15">
        <v>1.0693831461892401E-3</v>
      </c>
      <c r="X128" s="34">
        <v>1.2554170614673801</v>
      </c>
      <c r="Y128" s="34">
        <v>1.2550529069020999</v>
      </c>
      <c r="Z128" s="34">
        <v>1.25520711641035</v>
      </c>
      <c r="AA128" s="34">
        <v>1.2550117283098901</v>
      </c>
      <c r="AB128" s="33">
        <v>26.4382919092882</v>
      </c>
      <c r="AC128" s="33">
        <v>26.4418458065999</v>
      </c>
      <c r="AD128" s="33">
        <v>26.438109511610399</v>
      </c>
      <c r="AE128" s="15">
        <v>-2.9010868277340598E-4</v>
      </c>
      <c r="AF128" s="15">
        <v>-1.5569536727781501E-4</v>
      </c>
      <c r="AG128" s="15">
        <v>-2.9700770285893399E-4</v>
      </c>
      <c r="AI128" s="12"/>
      <c r="AJ128">
        <f t="shared" si="26"/>
        <v>0</v>
      </c>
      <c r="AK128">
        <f t="shared" si="27"/>
        <v>0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2.5847847018025008E-3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1.4278398770544098E-3</v>
      </c>
      <c r="BE128" s="29">
        <f t="shared" si="42"/>
        <v>0</v>
      </c>
      <c r="BF128" s="29">
        <f t="shared" si="43"/>
        <v>4.0126245788569105E-3</v>
      </c>
      <c r="BH128" s="29"/>
    </row>
    <row r="129" spans="1:60" x14ac:dyDescent="0.25">
      <c r="A129" s="1">
        <v>46211</v>
      </c>
      <c r="B129" s="33">
        <v>20.53</v>
      </c>
      <c r="C129" s="33">
        <v>25.77</v>
      </c>
      <c r="D129" s="15">
        <v>-1.9464726340235601E-3</v>
      </c>
      <c r="E129" s="15">
        <v>-1.9383607542228199E-3</v>
      </c>
      <c r="F129" s="33">
        <v>0</v>
      </c>
      <c r="G129" s="33">
        <v>0.49547999999999998</v>
      </c>
      <c r="H129" s="33">
        <v>0</v>
      </c>
      <c r="I129" s="33">
        <v>0.62596299999999905</v>
      </c>
      <c r="J129" s="33">
        <v>0.49547999999999998</v>
      </c>
      <c r="K129" s="33">
        <v>0.62596299999999905</v>
      </c>
      <c r="L129" s="33">
        <v>21.025480000000002</v>
      </c>
      <c r="M129" s="33">
        <v>26.395962999999998</v>
      </c>
      <c r="N129" s="34">
        <v>1.25523623964929</v>
      </c>
      <c r="O129" s="34">
        <v>1.2567453983371399</v>
      </c>
      <c r="P129" s="34">
        <v>1.25755690955785</v>
      </c>
      <c r="Q129" s="34">
        <v>1.2566182165386299</v>
      </c>
      <c r="R129" s="33">
        <v>25.800983027861498</v>
      </c>
      <c r="S129" s="33">
        <v>25.829078515923001</v>
      </c>
      <c r="T129" s="33">
        <v>25.796864450292698</v>
      </c>
      <c r="U129" s="15">
        <v>1.20156839254092E-3</v>
      </c>
      <c r="V129" s="15">
        <v>2.2899068525251802E-3</v>
      </c>
      <c r="W129" s="15">
        <v>1.04192694318374E-3</v>
      </c>
      <c r="X129" s="34">
        <v>1.2554273671754399</v>
      </c>
      <c r="Y129" s="34">
        <v>1.2550529069020999</v>
      </c>
      <c r="Z129" s="34">
        <v>1.2551704638989101</v>
      </c>
      <c r="AA129" s="34">
        <v>1.25507506435387</v>
      </c>
      <c r="AB129" s="33">
        <v>26.388089793012099</v>
      </c>
      <c r="AC129" s="33">
        <v>26.391332121943499</v>
      </c>
      <c r="AD129" s="33">
        <v>26.387223993345199</v>
      </c>
      <c r="AE129" s="15">
        <v>-2.9831764063803598E-4</v>
      </c>
      <c r="AF129" s="15">
        <v>-1.7545426631956901E-4</v>
      </c>
      <c r="AG129" s="15">
        <v>-3.3112842298574E-4</v>
      </c>
      <c r="AI129" s="12"/>
      <c r="AJ129">
        <f t="shared" si="26"/>
        <v>0</v>
      </c>
      <c r="AK129">
        <f t="shared" si="27"/>
        <v>0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2.5847847018025008E-3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1.4278398770544098E-3</v>
      </c>
      <c r="BE129" s="29">
        <f t="shared" si="42"/>
        <v>0</v>
      </c>
      <c r="BF129" s="29">
        <f t="shared" si="43"/>
        <v>4.0126245788569105E-3</v>
      </c>
      <c r="BH129" s="29"/>
    </row>
    <row r="130" spans="1:60" x14ac:dyDescent="0.25">
      <c r="A130" s="1">
        <v>46212</v>
      </c>
      <c r="B130" s="33">
        <v>20.56</v>
      </c>
      <c r="C130" s="33">
        <v>25.81</v>
      </c>
      <c r="D130" s="15">
        <v>1.4602095561219699E-3</v>
      </c>
      <c r="E130" s="15">
        <v>1.55098906624873E-3</v>
      </c>
      <c r="F130" s="33">
        <v>0</v>
      </c>
      <c r="G130" s="33">
        <v>0.49547999999999998</v>
      </c>
      <c r="H130" s="33">
        <v>0</v>
      </c>
      <c r="I130" s="33">
        <v>0.62596299999999905</v>
      </c>
      <c r="J130" s="33">
        <v>0.49547999999999998</v>
      </c>
      <c r="K130" s="33">
        <v>0.62596299999999905</v>
      </c>
      <c r="L130" s="33">
        <v>21.055479999999999</v>
      </c>
      <c r="M130" s="33">
        <v>26.435962999999902</v>
      </c>
      <c r="N130" s="34">
        <v>1.2553501945525201</v>
      </c>
      <c r="O130" s="34">
        <v>1.2567453983371399</v>
      </c>
      <c r="P130" s="34">
        <v>1.25712481102471</v>
      </c>
      <c r="Q130" s="34">
        <v>1.2566553673913801</v>
      </c>
      <c r="R130" s="33">
        <v>25.838685389811602</v>
      </c>
      <c r="S130" s="33">
        <v>25.855370060509401</v>
      </c>
      <c r="T130" s="33">
        <v>25.836070532034402</v>
      </c>
      <c r="U130" s="15">
        <v>1.11078888241394E-3</v>
      </c>
      <c r="V130" s="15">
        <v>1.7563049337982601E-3</v>
      </c>
      <c r="W130" s="15">
        <v>1.00958442647238E-3</v>
      </c>
      <c r="X130" s="34">
        <v>1.2555383681587799</v>
      </c>
      <c r="Y130" s="34">
        <v>1.2550529069020999</v>
      </c>
      <c r="Z130" s="34">
        <v>1.25525362897559</v>
      </c>
      <c r="AA130" s="34">
        <v>1.2551028327246501</v>
      </c>
      <c r="AB130" s="33">
        <v>26.425741380219101</v>
      </c>
      <c r="AC130" s="33">
        <v>26.428216599214199</v>
      </c>
      <c r="AD130" s="33">
        <v>26.4262079160018</v>
      </c>
      <c r="AE130" s="15">
        <v>-3.8673062202786499E-4</v>
      </c>
      <c r="AF130" s="15">
        <v>-2.93068043423654E-4</v>
      </c>
      <c r="AG130" s="15">
        <v>-3.69076182074477E-4</v>
      </c>
      <c r="AI130" s="12"/>
      <c r="AJ130">
        <f t="shared" si="26"/>
        <v>0</v>
      </c>
      <c r="AK130">
        <f t="shared" si="27"/>
        <v>0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2.5847847018025008E-3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1.4278398770544098E-3</v>
      </c>
      <c r="BE130" s="29">
        <f t="shared" si="42"/>
        <v>0</v>
      </c>
      <c r="BF130" s="29">
        <f t="shared" si="43"/>
        <v>4.0126245788569105E-3</v>
      </c>
      <c r="BH130" s="29"/>
    </row>
    <row r="131" spans="1:60" x14ac:dyDescent="0.25">
      <c r="A131" s="1">
        <v>46213</v>
      </c>
      <c r="B131" s="33">
        <v>20.54</v>
      </c>
      <c r="C131" s="33">
        <v>25.77</v>
      </c>
      <c r="D131" s="15">
        <v>-9.73236086552183E-4</v>
      </c>
      <c r="E131" s="15">
        <v>-1.5509890662487699E-3</v>
      </c>
      <c r="F131" s="33">
        <v>0</v>
      </c>
      <c r="G131" s="33">
        <v>0.49547999999999998</v>
      </c>
      <c r="H131" s="33">
        <v>0</v>
      </c>
      <c r="I131" s="33">
        <v>0.62596299999999905</v>
      </c>
      <c r="J131" s="33">
        <v>0.49547999999999998</v>
      </c>
      <c r="K131" s="33">
        <v>0.62596299999999905</v>
      </c>
      <c r="L131" s="33">
        <v>21.03548</v>
      </c>
      <c r="M131" s="33">
        <v>26.395962999999998</v>
      </c>
      <c r="N131" s="34">
        <v>1.2546251217137201</v>
      </c>
      <c r="O131" s="34">
        <v>1.2567453983371399</v>
      </c>
      <c r="P131" s="34">
        <v>1.2566095346881101</v>
      </c>
      <c r="Q131" s="34">
        <v>1.2566619998733799</v>
      </c>
      <c r="R131" s="33">
        <v>25.813550481844899</v>
      </c>
      <c r="S131" s="33">
        <v>25.8213436184476</v>
      </c>
      <c r="T131" s="33">
        <v>25.811701246218998</v>
      </c>
      <c r="U131" s="15">
        <v>1.68854186211058E-3</v>
      </c>
      <c r="V131" s="15">
        <v>1.9903972952483098E-3</v>
      </c>
      <c r="W131" s="15">
        <v>1.6169011217851E-3</v>
      </c>
      <c r="X131" s="34">
        <v>1.25483055295148</v>
      </c>
      <c r="Y131" s="34">
        <v>1.2550529069020999</v>
      </c>
      <c r="Z131" s="34">
        <v>1.2552548889989501</v>
      </c>
      <c r="AA131" s="34">
        <v>1.2551008074830301</v>
      </c>
      <c r="AB131" s="33">
        <v>26.400640322081099</v>
      </c>
      <c r="AC131" s="33">
        <v>26.404862607243398</v>
      </c>
      <c r="AD131" s="33">
        <v>26.4016905357227</v>
      </c>
      <c r="AE131" s="15">
        <v>1.7718268975949199E-4</v>
      </c>
      <c r="AF131" s="15">
        <v>3.37101067090796E-4</v>
      </c>
      <c r="AG131" s="15">
        <v>2.16961753475E-4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2.5847847018025008E-3</v>
      </c>
      <c r="AT131" s="12"/>
      <c r="AU131">
        <f t="shared" si="30"/>
        <v>0</v>
      </c>
      <c r="AV131">
        <f t="shared" si="31"/>
        <v>0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1.4278398770544098E-3</v>
      </c>
      <c r="BE131" s="29">
        <f t="shared" si="42"/>
        <v>0</v>
      </c>
      <c r="BF131" s="29">
        <f t="shared" si="43"/>
        <v>4.0126245788569105E-3</v>
      </c>
      <c r="BH131" s="29"/>
    </row>
    <row r="132" spans="1:60" x14ac:dyDescent="0.25">
      <c r="A132" s="1">
        <v>46216</v>
      </c>
      <c r="B132" s="33">
        <v>20.45</v>
      </c>
      <c r="C132" s="33">
        <v>25.66</v>
      </c>
      <c r="D132" s="15">
        <v>-4.3913220116013601E-3</v>
      </c>
      <c r="E132" s="15">
        <v>-4.2776654767833003E-3</v>
      </c>
      <c r="F132" s="33">
        <v>0</v>
      </c>
      <c r="G132" s="33">
        <v>0.49547999999999998</v>
      </c>
      <c r="H132" s="33">
        <v>0</v>
      </c>
      <c r="I132" s="33">
        <v>0.62596299999999905</v>
      </c>
      <c r="J132" s="33">
        <v>0.49547999999999998</v>
      </c>
      <c r="K132" s="33">
        <v>0.62596299999999905</v>
      </c>
      <c r="L132" s="33">
        <v>20.94548</v>
      </c>
      <c r="M132" s="33">
        <v>26.285962999999999</v>
      </c>
      <c r="N132" s="34">
        <v>1.2547677261613599</v>
      </c>
      <c r="O132" s="34">
        <v>1.2567453983371399</v>
      </c>
      <c r="P132" s="34">
        <v>1.25608534251892</v>
      </c>
      <c r="Q132" s="34">
        <v>1.25671345902274</v>
      </c>
      <c r="R132" s="33">
        <v>25.700443395994601</v>
      </c>
      <c r="S132" s="33">
        <v>25.697664984372</v>
      </c>
      <c r="T132" s="33">
        <v>25.698737897410599</v>
      </c>
      <c r="U132" s="15">
        <v>1.5748853272925601E-3</v>
      </c>
      <c r="V132" s="15">
        <v>1.46677194674863E-3</v>
      </c>
      <c r="W132" s="15">
        <v>1.5085224576263899E-3</v>
      </c>
      <c r="X132" s="34">
        <v>1.2549706667023099</v>
      </c>
      <c r="Y132" s="34">
        <v>1.2550529069020999</v>
      </c>
      <c r="Z132" s="34">
        <v>1.2552470577823001</v>
      </c>
      <c r="AA132" s="34">
        <v>1.25514288320914</v>
      </c>
      <c r="AB132" s="33">
        <v>26.287685560459899</v>
      </c>
      <c r="AC132" s="33">
        <v>26.291916172429701</v>
      </c>
      <c r="AD132" s="33">
        <v>26.288688861119699</v>
      </c>
      <c r="AE132" s="15">
        <v>6.5529424254850505E-5</v>
      </c>
      <c r="AF132" s="15">
        <v>2.2645160089787699E-4</v>
      </c>
      <c r="AG132" s="15">
        <v>1.03694880543908E-4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2.5847847018025008E-3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1.4278398770544098E-3</v>
      </c>
      <c r="BE132" s="29">
        <f t="shared" si="42"/>
        <v>0</v>
      </c>
      <c r="BF132" s="29">
        <f t="shared" si="43"/>
        <v>4.0126245788569105E-3</v>
      </c>
      <c r="BH132" s="29"/>
    </row>
    <row r="133" spans="1:60" x14ac:dyDescent="0.25">
      <c r="A133" s="1">
        <v>46217</v>
      </c>
      <c r="B133" s="33">
        <v>20.5</v>
      </c>
      <c r="C133" s="33">
        <v>25.74</v>
      </c>
      <c r="D133" s="15">
        <v>2.4420036555517998E-3</v>
      </c>
      <c r="E133" s="15">
        <v>3.1128429804900999E-3</v>
      </c>
      <c r="F133" s="33">
        <v>0</v>
      </c>
      <c r="G133" s="33">
        <v>0.49547999999999998</v>
      </c>
      <c r="H133" s="33">
        <v>0</v>
      </c>
      <c r="I133" s="33">
        <v>0.62596299999999905</v>
      </c>
      <c r="J133" s="33">
        <v>0.49547999999999998</v>
      </c>
      <c r="K133" s="33">
        <v>0.62596299999999905</v>
      </c>
      <c r="L133" s="33">
        <v>20.995480000000001</v>
      </c>
      <c r="M133" s="33">
        <v>26.365962999999901</v>
      </c>
      <c r="N133" s="34">
        <v>1.2556097560975601</v>
      </c>
      <c r="O133" s="34">
        <v>1.2567453983371399</v>
      </c>
      <c r="P133" s="34">
        <v>1.2555740289720501</v>
      </c>
      <c r="Q133" s="34">
        <v>1.2567644782285801</v>
      </c>
      <c r="R133" s="33">
        <v>25.763280665911399</v>
      </c>
      <c r="S133" s="33">
        <v>25.749749521637799</v>
      </c>
      <c r="T133" s="33">
        <v>25.7626259099662</v>
      </c>
      <c r="U133" s="15">
        <v>9.0404600235410501E-4</v>
      </c>
      <c r="V133" s="15">
        <v>3.78697579419809E-4</v>
      </c>
      <c r="W133" s="15">
        <v>8.7863137158814897E-4</v>
      </c>
      <c r="X133" s="34">
        <v>1.25579234197074</v>
      </c>
      <c r="Y133" s="34">
        <v>1.2550529069020999</v>
      </c>
      <c r="Z133" s="34">
        <v>1.25525126613858</v>
      </c>
      <c r="AA133" s="34">
        <v>1.25518429458447</v>
      </c>
      <c r="AB133" s="33">
        <v>26.350438205804998</v>
      </c>
      <c r="AC133" s="33">
        <v>26.354514496727202</v>
      </c>
      <c r="AD133" s="33">
        <v>26.3523273015599</v>
      </c>
      <c r="AE133" s="15">
        <v>-5.8899296191106901E-4</v>
      </c>
      <c r="AF133" s="15">
        <v>-4.3430955091236398E-4</v>
      </c>
      <c r="AG133" s="15">
        <v>-5.17304285329802E-4</v>
      </c>
      <c r="AI133" s="12"/>
      <c r="AJ133">
        <f t="shared" si="26"/>
        <v>0</v>
      </c>
      <c r="AK133">
        <f t="shared" si="27"/>
        <v>0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2.5847847018025008E-3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1.4278398770544098E-3</v>
      </c>
      <c r="BE133" s="29">
        <f t="shared" si="42"/>
        <v>0</v>
      </c>
      <c r="BF133" s="29">
        <f t="shared" si="43"/>
        <v>4.0126245788569105E-3</v>
      </c>
      <c r="BH133" s="29"/>
    </row>
    <row r="134" spans="1:60" x14ac:dyDescent="0.25">
      <c r="A134" s="1">
        <v>46218</v>
      </c>
      <c r="B134" s="33">
        <v>20.57</v>
      </c>
      <c r="C134" s="33">
        <v>25.81</v>
      </c>
      <c r="D134" s="15">
        <v>3.4088175205032999E-3</v>
      </c>
      <c r="E134" s="15">
        <v>2.7158115625419998E-3</v>
      </c>
      <c r="F134" s="33">
        <v>0</v>
      </c>
      <c r="G134" s="33">
        <v>0.49547999999999998</v>
      </c>
      <c r="H134" s="33">
        <v>0</v>
      </c>
      <c r="I134" s="33">
        <v>0.62596299999999905</v>
      </c>
      <c r="J134" s="33">
        <v>0.49547999999999998</v>
      </c>
      <c r="K134" s="33">
        <v>0.62596299999999905</v>
      </c>
      <c r="L134" s="33">
        <v>21.065480000000001</v>
      </c>
      <c r="M134" s="33">
        <v>26.435962999999902</v>
      </c>
      <c r="N134" s="34">
        <v>1.25473991249392</v>
      </c>
      <c r="O134" s="34">
        <v>1.2567453983371399</v>
      </c>
      <c r="P134" s="34">
        <v>1.25495895923402</v>
      </c>
      <c r="Q134" s="34">
        <v>1.25675400886052</v>
      </c>
      <c r="R134" s="33">
        <v>25.851252843794999</v>
      </c>
      <c r="S134" s="33">
        <v>25.827157775955001</v>
      </c>
      <c r="T134" s="33">
        <v>25.851645317161999</v>
      </c>
      <c r="U134" s="15">
        <v>1.5970519603156501E-3</v>
      </c>
      <c r="V134" s="15">
        <v>6.6455154874953701E-4</v>
      </c>
      <c r="W134" s="15">
        <v>1.61223383138901E-3</v>
      </c>
      <c r="X134" s="34">
        <v>1.25494235118307</v>
      </c>
      <c r="Y134" s="34">
        <v>1.2550529069020999</v>
      </c>
      <c r="Z134" s="34">
        <v>1.25515621186237</v>
      </c>
      <c r="AA134" s="34">
        <v>1.2551655660802601</v>
      </c>
      <c r="AB134" s="33">
        <v>26.4382919092882</v>
      </c>
      <c r="AC134" s="33">
        <v>26.4424704418171</v>
      </c>
      <c r="AD134" s="33">
        <v>26.4410596538833</v>
      </c>
      <c r="AE134" s="15">
        <v>8.80923728838677E-5</v>
      </c>
      <c r="AF134" s="15">
        <v>2.46128390210959E-4</v>
      </c>
      <c r="AG134" s="15">
        <v>1.9277386068023301E-4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2.5847847018025008E-3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1.4278398770544098E-3</v>
      </c>
      <c r="BE134" s="29">
        <f t="shared" si="42"/>
        <v>0</v>
      </c>
      <c r="BF134" s="29">
        <f t="shared" si="43"/>
        <v>4.0126245788569105E-3</v>
      </c>
      <c r="BH134" s="29"/>
    </row>
    <row r="135" spans="1:60" x14ac:dyDescent="0.25">
      <c r="A135" s="1">
        <v>46219</v>
      </c>
      <c r="B135" s="33">
        <v>20.55</v>
      </c>
      <c r="C135" s="33">
        <v>25.79</v>
      </c>
      <c r="D135" s="15">
        <v>-9.7276272262216996E-4</v>
      </c>
      <c r="E135" s="15">
        <v>-7.7519383726907403E-4</v>
      </c>
      <c r="F135" s="33">
        <v>0</v>
      </c>
      <c r="G135" s="33">
        <v>0.49547999999999998</v>
      </c>
      <c r="H135" s="33">
        <v>0</v>
      </c>
      <c r="I135" s="33">
        <v>0.62596299999999905</v>
      </c>
      <c r="J135" s="33">
        <v>0.49547999999999998</v>
      </c>
      <c r="K135" s="33">
        <v>0.62596299999999905</v>
      </c>
      <c r="L135" s="33">
        <v>21.045480000000001</v>
      </c>
      <c r="M135" s="33">
        <v>26.415962999999898</v>
      </c>
      <c r="N135" s="34">
        <v>1.25498783454987</v>
      </c>
      <c r="O135" s="34">
        <v>1.2567453983371399</v>
      </c>
      <c r="P135" s="34">
        <v>1.2549124203429101</v>
      </c>
      <c r="Q135" s="34">
        <v>1.2567805090217501</v>
      </c>
      <c r="R135" s="33">
        <v>25.8261179358283</v>
      </c>
      <c r="S135" s="33">
        <v>25.789406612259199</v>
      </c>
      <c r="T135" s="33">
        <v>25.826294882083801</v>
      </c>
      <c r="U135" s="15">
        <v>1.3994830749625401E-3</v>
      </c>
      <c r="V135" s="15">
        <v>-2.3008707534262201E-5</v>
      </c>
      <c r="W135" s="15">
        <v>1.4063344976106599E-3</v>
      </c>
      <c r="X135" s="34">
        <v>1.2551846287183701</v>
      </c>
      <c r="Y135" s="34">
        <v>1.2550529069020999</v>
      </c>
      <c r="Z135" s="34">
        <v>1.2551108390249099</v>
      </c>
      <c r="AA135" s="34">
        <v>1.25518308646392</v>
      </c>
      <c r="AB135" s="33">
        <v>26.413190851150102</v>
      </c>
      <c r="AC135" s="33">
        <v>26.4153649536253</v>
      </c>
      <c r="AD135" s="33">
        <v>26.415561817630799</v>
      </c>
      <c r="AE135" s="15">
        <v>-1.0494769082195601E-4</v>
      </c>
      <c r="AF135" s="15">
        <v>-2.26398388161153E-5</v>
      </c>
      <c r="AG135" s="15">
        <v>-1.5187234156096401E-5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2.5847847018025008E-3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1.4278398770544098E-3</v>
      </c>
      <c r="BE135" s="29">
        <f t="shared" si="42"/>
        <v>0</v>
      </c>
      <c r="BF135" s="29">
        <f t="shared" si="43"/>
        <v>4.0126245788569105E-3</v>
      </c>
      <c r="BH135" s="29"/>
    </row>
    <row r="136" spans="1:60" x14ac:dyDescent="0.25">
      <c r="A136" s="1">
        <v>46220</v>
      </c>
      <c r="B136" s="33">
        <v>20.57</v>
      </c>
      <c r="C136" s="33">
        <v>25.82</v>
      </c>
      <c r="D136" s="15">
        <v>9.7276272262214101E-4</v>
      </c>
      <c r="E136" s="15">
        <v>1.1625655252429899E-3</v>
      </c>
      <c r="F136" s="33">
        <v>0</v>
      </c>
      <c r="G136" s="33">
        <v>0.49547999999999998</v>
      </c>
      <c r="H136" s="33">
        <v>0</v>
      </c>
      <c r="I136" s="33">
        <v>0.62596299999999905</v>
      </c>
      <c r="J136" s="33">
        <v>0.49547999999999998</v>
      </c>
      <c r="K136" s="33">
        <v>0.62596299999999905</v>
      </c>
      <c r="L136" s="33">
        <v>21.065480000000001</v>
      </c>
      <c r="M136" s="33">
        <v>26.445962999999999</v>
      </c>
      <c r="N136" s="34">
        <v>1.25522605736509</v>
      </c>
      <c r="O136" s="34">
        <v>1.2567453983371399</v>
      </c>
      <c r="P136" s="34">
        <v>1.25506044898904</v>
      </c>
      <c r="Q136" s="34">
        <v>1.25683610037016</v>
      </c>
      <c r="R136" s="33">
        <v>25.851252843794999</v>
      </c>
      <c r="S136" s="33">
        <v>25.813548486453801</v>
      </c>
      <c r="T136" s="33">
        <v>25.851975070577499</v>
      </c>
      <c r="U136" s="15">
        <v>1.20968027234171E-3</v>
      </c>
      <c r="V136" s="15">
        <v>-2.4989619225828199E-4</v>
      </c>
      <c r="W136" s="15">
        <v>1.2376176685790501E-3</v>
      </c>
      <c r="X136" s="34">
        <v>1.2554170614673801</v>
      </c>
      <c r="Y136" s="34">
        <v>1.2550529069020999</v>
      </c>
      <c r="Z136" s="34">
        <v>1.2552555138086601</v>
      </c>
      <c r="AA136" s="34">
        <v>1.25522899591589</v>
      </c>
      <c r="AB136" s="33">
        <v>26.4382919092882</v>
      </c>
      <c r="AC136" s="33">
        <v>26.439512277262601</v>
      </c>
      <c r="AD136" s="33">
        <v>26.441034204244001</v>
      </c>
      <c r="AE136" s="15">
        <v>-2.9010868277340598E-4</v>
      </c>
      <c r="AF136" s="15">
        <v>-2.4395063996551699E-4</v>
      </c>
      <c r="AG136" s="15">
        <v>-1.8638969995608099E-4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2.5847847018025008E-3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1.4278398770544098E-3</v>
      </c>
      <c r="BE136" s="29">
        <f t="shared" si="42"/>
        <v>0</v>
      </c>
      <c r="BF136" s="29">
        <f t="shared" si="43"/>
        <v>4.0126245788569105E-3</v>
      </c>
      <c r="BH136" s="29"/>
    </row>
    <row r="137" spans="1:60" x14ac:dyDescent="0.25">
      <c r="A137" s="1">
        <v>46223</v>
      </c>
      <c r="B137" s="33">
        <v>20.41</v>
      </c>
      <c r="C137" s="33">
        <v>25.75</v>
      </c>
      <c r="D137" s="15">
        <v>-7.8087268431123501E-3</v>
      </c>
      <c r="E137" s="15">
        <v>-2.7147583087513498E-3</v>
      </c>
      <c r="F137" s="33">
        <v>8.8529999999999998E-2</v>
      </c>
      <c r="G137" s="33">
        <v>0.58400999999999903</v>
      </c>
      <c r="H137" s="33">
        <v>0</v>
      </c>
      <c r="I137" s="33">
        <v>0.62596299999999905</v>
      </c>
      <c r="J137" s="33">
        <v>0.58400999999999903</v>
      </c>
      <c r="K137" s="33">
        <v>0.62596299999999905</v>
      </c>
      <c r="L137" s="33">
        <v>20.994009999999999</v>
      </c>
      <c r="M137" s="33">
        <v>26.375962999999999</v>
      </c>
      <c r="N137" s="34">
        <v>1.2616364527192501</v>
      </c>
      <c r="O137" s="34">
        <v>1.2567453983371399</v>
      </c>
      <c r="P137" s="34">
        <v>1.2557405352667701</v>
      </c>
      <c r="Q137" s="34">
        <v>1.2571946009394901</v>
      </c>
      <c r="R137" s="33">
        <v>25.6501735800611</v>
      </c>
      <c r="S137" s="33">
        <v>25.6157837638664</v>
      </c>
      <c r="T137" s="33">
        <v>25.652024808555002</v>
      </c>
      <c r="U137" s="15">
        <v>-3.8842882620194899E-3</v>
      </c>
      <c r="V137" s="15">
        <v>-5.2259123390790202E-3</v>
      </c>
      <c r="W137" s="15">
        <v>-3.81211870387556E-3</v>
      </c>
      <c r="X137" s="34">
        <v>1.25635659885843</v>
      </c>
      <c r="Y137" s="34">
        <v>1.2550529069020999</v>
      </c>
      <c r="Z137" s="34">
        <v>1.2553876998653399</v>
      </c>
      <c r="AA137" s="34">
        <v>1.2553046569638899</v>
      </c>
      <c r="AB137" s="33">
        <v>26.348593278031899</v>
      </c>
      <c r="AC137" s="33">
        <v>26.352846809454199</v>
      </c>
      <c r="AD137" s="33">
        <v>26.352290092548198</v>
      </c>
      <c r="AE137" s="15">
        <v>-1.0382154486885001E-3</v>
      </c>
      <c r="AF137" s="15">
        <v>-8.7679551691737597E-4</v>
      </c>
      <c r="AG137" s="15">
        <v>-8.9792123402075599E-4</v>
      </c>
      <c r="AI137" s="12"/>
      <c r="AJ137">
        <f t="shared" si="26"/>
        <v>0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2.5847847018025008E-3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1.4278398770544098E-3</v>
      </c>
      <c r="BE137" s="29">
        <f t="shared" si="42"/>
        <v>0</v>
      </c>
      <c r="BF137" s="29">
        <f t="shared" si="43"/>
        <v>4.0126245788569105E-3</v>
      </c>
      <c r="BH137" s="29"/>
    </row>
    <row r="138" spans="1:60" x14ac:dyDescent="0.25">
      <c r="A138" s="1">
        <v>46224</v>
      </c>
      <c r="B138" s="33">
        <v>20.37</v>
      </c>
      <c r="C138" s="33">
        <v>25.69</v>
      </c>
      <c r="D138" s="15">
        <v>-1.9617465830389399E-3</v>
      </c>
      <c r="E138" s="15">
        <v>-2.3328159879529302E-3</v>
      </c>
      <c r="F138" s="33">
        <v>0</v>
      </c>
      <c r="G138" s="33">
        <v>0.58400999999999903</v>
      </c>
      <c r="H138" s="33">
        <v>0</v>
      </c>
      <c r="I138" s="33">
        <v>0.62596299999999905</v>
      </c>
      <c r="J138" s="33">
        <v>0.58400999999999903</v>
      </c>
      <c r="K138" s="33">
        <v>0.62596299999999905</v>
      </c>
      <c r="L138" s="33">
        <v>20.95401</v>
      </c>
      <c r="M138" s="33">
        <v>26.315963</v>
      </c>
      <c r="N138" s="34">
        <v>1.2611683848797199</v>
      </c>
      <c r="O138" s="34">
        <v>1.2567453983371399</v>
      </c>
      <c r="P138" s="34">
        <v>1.25633476801823</v>
      </c>
      <c r="Q138" s="34">
        <v>1.2572243376360801</v>
      </c>
      <c r="R138" s="33">
        <v>25.5999037641276</v>
      </c>
      <c r="S138" s="33">
        <v>25.579434703384099</v>
      </c>
      <c r="T138" s="33">
        <v>25.6090540211374</v>
      </c>
      <c r="U138" s="15">
        <v>-3.5132188571056198E-3</v>
      </c>
      <c r="V138" s="15">
        <v>-4.3131143793136697E-3</v>
      </c>
      <c r="W138" s="15">
        <v>-3.1558494630396102E-3</v>
      </c>
      <c r="X138" s="34">
        <v>1.2558914976178699</v>
      </c>
      <c r="Y138" s="34">
        <v>1.2550529069020999</v>
      </c>
      <c r="Z138" s="34">
        <v>1.2554351434803901</v>
      </c>
      <c r="AA138" s="34">
        <v>1.2553211299453699</v>
      </c>
      <c r="AB138" s="33">
        <v>26.298391161755799</v>
      </c>
      <c r="AC138" s="33">
        <v>26.305406416855401</v>
      </c>
      <c r="AD138" s="33">
        <v>26.303666335067899</v>
      </c>
      <c r="AE138" s="15">
        <v>-6.6794847822176798E-4</v>
      </c>
      <c r="AF138" s="15">
        <v>-4.0122799551513499E-4</v>
      </c>
      <c r="AG138" s="15">
        <v>-4.6737939097247502E-4</v>
      </c>
      <c r="AI138" s="12"/>
      <c r="AJ138">
        <f t="shared" si="26"/>
        <v>0</v>
      </c>
      <c r="AK138">
        <f t="shared" si="27"/>
        <v>0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2.5847847018025008E-3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1.4278398770544098E-3</v>
      </c>
      <c r="BE138" s="29">
        <f t="shared" si="42"/>
        <v>0</v>
      </c>
      <c r="BF138" s="29">
        <f t="shared" si="43"/>
        <v>4.0126245788569105E-3</v>
      </c>
      <c r="BH138" s="29"/>
    </row>
    <row r="139" spans="1:60" x14ac:dyDescent="0.25">
      <c r="A139" s="1">
        <v>46225</v>
      </c>
      <c r="B139" s="33">
        <v>20.34</v>
      </c>
      <c r="C139" s="33">
        <v>25.64</v>
      </c>
      <c r="D139" s="15">
        <v>-1.47383961830066E-3</v>
      </c>
      <c r="E139" s="15">
        <v>-1.94817906932291E-3</v>
      </c>
      <c r="F139" s="33">
        <v>0</v>
      </c>
      <c r="G139" s="33">
        <v>0.58400999999999903</v>
      </c>
      <c r="H139" s="33">
        <v>0</v>
      </c>
      <c r="I139" s="33">
        <v>0.62596299999999905</v>
      </c>
      <c r="J139" s="33">
        <v>0.58400999999999903</v>
      </c>
      <c r="K139" s="33">
        <v>0.62596299999999905</v>
      </c>
      <c r="L139" s="33">
        <v>20.924009999999999</v>
      </c>
      <c r="M139" s="33">
        <v>26.265962999999999</v>
      </c>
      <c r="N139" s="34">
        <v>1.2605703048180901</v>
      </c>
      <c r="O139" s="34">
        <v>1.2567453983371399</v>
      </c>
      <c r="P139" s="34">
        <v>1.25686817453511</v>
      </c>
      <c r="Q139" s="34">
        <v>1.2572125420464799</v>
      </c>
      <c r="R139" s="33">
        <v>25.5622014021775</v>
      </c>
      <c r="S139" s="33">
        <v>25.5538491814909</v>
      </c>
      <c r="T139" s="33">
        <v>25.571943027517801</v>
      </c>
      <c r="U139" s="15">
        <v>-3.0388794060831801E-3</v>
      </c>
      <c r="V139" s="15">
        <v>-3.36567385383746E-3</v>
      </c>
      <c r="W139" s="15">
        <v>-2.6578570748456301E-3</v>
      </c>
      <c r="X139" s="34">
        <v>1.25530254477989</v>
      </c>
      <c r="Y139" s="34">
        <v>1.2550529069020999</v>
      </c>
      <c r="Z139" s="34">
        <v>1.2554226612408299</v>
      </c>
      <c r="AA139" s="34">
        <v>1.25529656256987</v>
      </c>
      <c r="AB139" s="33">
        <v>26.260739574548701</v>
      </c>
      <c r="AC139" s="33">
        <v>26.268737496535099</v>
      </c>
      <c r="AD139" s="33">
        <v>26.266351876188299</v>
      </c>
      <c r="AE139" s="15">
        <v>-1.98886479159431E-4</v>
      </c>
      <c r="AF139" s="15">
        <v>1.0562529191367E-4</v>
      </c>
      <c r="AG139" s="15">
        <v>1.4805218053852901E-5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2.5847847018025008E-3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1.4278398770544098E-3</v>
      </c>
      <c r="BE139" s="29">
        <f t="shared" si="42"/>
        <v>0</v>
      </c>
      <c r="BF139" s="29">
        <f t="shared" si="43"/>
        <v>4.0126245788569105E-3</v>
      </c>
      <c r="BH139" s="29"/>
    </row>
    <row r="140" spans="1:60" x14ac:dyDescent="0.25">
      <c r="A140" s="1">
        <v>46226</v>
      </c>
      <c r="B140" s="33">
        <v>20.27</v>
      </c>
      <c r="C140" s="33">
        <v>25.56</v>
      </c>
      <c r="D140" s="15">
        <v>-3.4474301565052502E-3</v>
      </c>
      <c r="E140" s="15">
        <v>-3.1250025431352698E-3</v>
      </c>
      <c r="F140" s="33">
        <v>0</v>
      </c>
      <c r="G140" s="33">
        <v>0.58400999999999903</v>
      </c>
      <c r="H140" s="33">
        <v>0</v>
      </c>
      <c r="I140" s="33">
        <v>0.62596299999999905</v>
      </c>
      <c r="J140" s="33">
        <v>0.58400999999999903</v>
      </c>
      <c r="K140" s="33">
        <v>0.62596299999999905</v>
      </c>
      <c r="L140" s="33">
        <v>20.854009999999999</v>
      </c>
      <c r="M140" s="33">
        <v>26.185962999999902</v>
      </c>
      <c r="N140" s="34">
        <v>1.2609768130241701</v>
      </c>
      <c r="O140" s="34">
        <v>1.2567453983371399</v>
      </c>
      <c r="P140" s="34">
        <v>1.2574308363822799</v>
      </c>
      <c r="Q140" s="34">
        <v>1.2572778237034901</v>
      </c>
      <c r="R140" s="33">
        <v>25.4742292242939</v>
      </c>
      <c r="S140" s="33">
        <v>25.476717897826699</v>
      </c>
      <c r="T140" s="33">
        <v>25.483698227282201</v>
      </c>
      <c r="U140" s="15">
        <v>-3.3613070194530802E-3</v>
      </c>
      <c r="V140" s="15">
        <v>-3.2636180195259401E-3</v>
      </c>
      <c r="W140" s="15">
        <v>-2.9896669794878599E-3</v>
      </c>
      <c r="X140" s="34">
        <v>1.2556799867267701</v>
      </c>
      <c r="Y140" s="34">
        <v>1.2550529069020999</v>
      </c>
      <c r="Z140" s="34">
        <v>1.2554368230976301</v>
      </c>
      <c r="AA140" s="34">
        <v>1.25534522603661</v>
      </c>
      <c r="AB140" s="33">
        <v>26.172885871065599</v>
      </c>
      <c r="AC140" s="33">
        <v>26.180596731743002</v>
      </c>
      <c r="AD140" s="33">
        <v>26.177967068797798</v>
      </c>
      <c r="AE140" s="15">
        <v>-4.9951935492312705E-4</v>
      </c>
      <c r="AF140" s="15">
        <v>-2.0495019352852201E-4</v>
      </c>
      <c r="AG140" s="15">
        <v>-3.0539843949181302E-4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2.5847847018025008E-3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1.4278398770544098E-3</v>
      </c>
      <c r="BE140" s="29">
        <f t="shared" si="42"/>
        <v>0</v>
      </c>
      <c r="BF140" s="29">
        <f t="shared" si="43"/>
        <v>4.0126245788569105E-3</v>
      </c>
      <c r="BH140" s="29"/>
    </row>
    <row r="141" spans="1:60" x14ac:dyDescent="0.25">
      <c r="A141" s="1">
        <v>46227</v>
      </c>
      <c r="B141" s="33">
        <v>20.28</v>
      </c>
      <c r="C141" s="33">
        <v>25.56</v>
      </c>
      <c r="D141" s="15">
        <v>4.9321825907374999E-4</v>
      </c>
      <c r="E141" s="15">
        <v>0</v>
      </c>
      <c r="F141" s="33">
        <v>0</v>
      </c>
      <c r="G141" s="33">
        <v>0.58400999999999903</v>
      </c>
      <c r="H141" s="33">
        <v>0</v>
      </c>
      <c r="I141" s="33">
        <v>0.62596299999999905</v>
      </c>
      <c r="J141" s="33">
        <v>0.58400999999999903</v>
      </c>
      <c r="K141" s="33">
        <v>0.62596299999999905</v>
      </c>
      <c r="L141" s="33">
        <v>20.86401</v>
      </c>
      <c r="M141" s="33">
        <v>26.185962999999902</v>
      </c>
      <c r="N141" s="34">
        <v>1.2603550295857899</v>
      </c>
      <c r="O141" s="34">
        <v>1.2567453983371399</v>
      </c>
      <c r="P141" s="34">
        <v>1.25800382716948</v>
      </c>
      <c r="Q141" s="34">
        <v>1.2573066809288</v>
      </c>
      <c r="R141" s="33">
        <v>25.486796678277202</v>
      </c>
      <c r="S141" s="33">
        <v>25.5006973618326</v>
      </c>
      <c r="T141" s="33">
        <v>25.497594264706901</v>
      </c>
      <c r="U141" s="15">
        <v>-2.86808876037925E-3</v>
      </c>
      <c r="V141" s="15">
        <v>-2.3228301960414701E-3</v>
      </c>
      <c r="W141" s="15">
        <v>-2.44452435600612E-3</v>
      </c>
      <c r="X141" s="34">
        <v>1.2550781465307901</v>
      </c>
      <c r="Y141" s="34">
        <v>1.2550529069020999</v>
      </c>
      <c r="Z141" s="34">
        <v>1.2554615824555599</v>
      </c>
      <c r="AA141" s="34">
        <v>1.2553582357272599</v>
      </c>
      <c r="AB141" s="33">
        <v>26.185436400134599</v>
      </c>
      <c r="AC141" s="33">
        <v>26.193446431477302</v>
      </c>
      <c r="AD141" s="33">
        <v>26.191535349480102</v>
      </c>
      <c r="AE141" s="15">
        <v>-2.01102079152176E-5</v>
      </c>
      <c r="AF141" s="15">
        <v>2.8573943881681602E-4</v>
      </c>
      <c r="AG141" s="15">
        <v>2.12776466108464E-4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2.5847847018025008E-3</v>
      </c>
      <c r="AT141" s="12"/>
      <c r="AU141">
        <f t="shared" si="30"/>
        <v>0</v>
      </c>
      <c r="AV141">
        <f t="shared" si="31"/>
        <v>0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1.4278398770544098E-3</v>
      </c>
      <c r="BE141" s="29">
        <f t="shared" si="42"/>
        <v>0</v>
      </c>
      <c r="BF141" s="29">
        <f t="shared" si="43"/>
        <v>4.0126245788569105E-3</v>
      </c>
      <c r="BH141" s="29"/>
    </row>
    <row r="142" spans="1:60" x14ac:dyDescent="0.25">
      <c r="A142" s="1">
        <v>46230</v>
      </c>
      <c r="B142" s="33">
        <v>20.32</v>
      </c>
      <c r="C142" s="33">
        <v>25.61</v>
      </c>
      <c r="D142" s="15">
        <v>1.9704439872987299E-3</v>
      </c>
      <c r="E142" s="15">
        <v>1.9542707020999001E-3</v>
      </c>
      <c r="F142" s="33">
        <v>0</v>
      </c>
      <c r="G142" s="33">
        <v>0.58400999999999903</v>
      </c>
      <c r="H142" s="33">
        <v>0</v>
      </c>
      <c r="I142" s="33">
        <v>0.62596299999999905</v>
      </c>
      <c r="J142" s="33">
        <v>0.58400999999999903</v>
      </c>
      <c r="K142" s="33">
        <v>0.62596299999999905</v>
      </c>
      <c r="L142" s="33">
        <v>20.90401</v>
      </c>
      <c r="M142" s="33">
        <v>26.235962999999899</v>
      </c>
      <c r="N142" s="34">
        <v>1.2603346456692901</v>
      </c>
      <c r="O142" s="34">
        <v>1.2567453983371399</v>
      </c>
      <c r="P142" s="34">
        <v>1.25856051912027</v>
      </c>
      <c r="Q142" s="34">
        <v>1.2573229308195999</v>
      </c>
      <c r="R142" s="33">
        <v>25.537066494210698</v>
      </c>
      <c r="S142" s="33">
        <v>25.562637768083899</v>
      </c>
      <c r="T142" s="33">
        <v>25.548471756473202</v>
      </c>
      <c r="U142" s="15">
        <v>-2.8519154751803998E-3</v>
      </c>
      <c r="V142" s="15">
        <v>-1.8510769624385699E-3</v>
      </c>
      <c r="W142" s="15">
        <v>-2.4053991873016199E-3</v>
      </c>
      <c r="X142" s="34">
        <v>1.2550684294544401</v>
      </c>
      <c r="Y142" s="34">
        <v>1.2550529069020999</v>
      </c>
      <c r="Z142" s="34">
        <v>1.25547135873078</v>
      </c>
      <c r="AA142" s="34">
        <v>1.2553592082565399</v>
      </c>
      <c r="AB142" s="33">
        <v>26.235638516410699</v>
      </c>
      <c r="AC142" s="33">
        <v>26.244181474266998</v>
      </c>
      <c r="AD142" s="33">
        <v>26.242021113224901</v>
      </c>
      <c r="AE142" s="15">
        <v>-1.2367969717022E-5</v>
      </c>
      <c r="AF142" s="15">
        <v>3.1320319014084498E-4</v>
      </c>
      <c r="AG142" s="15">
        <v>2.3088208719450101E-4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2.5847847018025008E-3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1.4278398770544098E-3</v>
      </c>
      <c r="BE142" s="29">
        <f t="shared" si="42"/>
        <v>0</v>
      </c>
      <c r="BF142" s="29">
        <f t="shared" si="43"/>
        <v>4.0126245788569105E-3</v>
      </c>
      <c r="BH142" s="29"/>
    </row>
    <row r="143" spans="1:60" x14ac:dyDescent="0.25">
      <c r="A143" s="1">
        <v>46231</v>
      </c>
      <c r="B143" s="33">
        <v>20.37</v>
      </c>
      <c r="C143" s="33">
        <v>25.67</v>
      </c>
      <c r="D143" s="15">
        <v>2.45760752843341E-3</v>
      </c>
      <c r="E143" s="15">
        <v>2.3400946716153198E-3</v>
      </c>
      <c r="F143" s="33">
        <v>0</v>
      </c>
      <c r="G143" s="33">
        <v>0.58400999999999903</v>
      </c>
      <c r="H143" s="33">
        <v>0</v>
      </c>
      <c r="I143" s="33">
        <v>0.62596299999999905</v>
      </c>
      <c r="J143" s="33">
        <v>0.58400999999999903</v>
      </c>
      <c r="K143" s="33">
        <v>0.62596299999999905</v>
      </c>
      <c r="L143" s="33">
        <v>20.95401</v>
      </c>
      <c r="M143" s="33">
        <v>26.295963</v>
      </c>
      <c r="N143" s="34">
        <v>1.26018654884634</v>
      </c>
      <c r="O143" s="34">
        <v>1.2567453983371399</v>
      </c>
      <c r="P143" s="34">
        <v>1.2590181983951501</v>
      </c>
      <c r="Q143" s="34">
        <v>1.2572961136836001</v>
      </c>
      <c r="R143" s="33">
        <v>25.5999037641276</v>
      </c>
      <c r="S143" s="33">
        <v>25.636877774479998</v>
      </c>
      <c r="T143" s="33">
        <v>25.6116681007952</v>
      </c>
      <c r="U143" s="15">
        <v>-2.7344026183623899E-3</v>
      </c>
      <c r="V143" s="15">
        <v>-1.2911419114942299E-3</v>
      </c>
      <c r="W143" s="15">
        <v>-2.2749620487354902E-3</v>
      </c>
      <c r="X143" s="34">
        <v>1.25493702637347</v>
      </c>
      <c r="Y143" s="34">
        <v>1.2550529069020999</v>
      </c>
      <c r="Z143" s="34">
        <v>1.2553858271710501</v>
      </c>
      <c r="AA143" s="34">
        <v>1.25531854665482</v>
      </c>
      <c r="AB143" s="33">
        <v>26.298391161755799</v>
      </c>
      <c r="AC143" s="33">
        <v>26.307159405558298</v>
      </c>
      <c r="AD143" s="33">
        <v>26.304809403399599</v>
      </c>
      <c r="AE143" s="15">
        <v>9.2335452968595198E-5</v>
      </c>
      <c r="AF143" s="15">
        <v>4.2569357921842202E-4</v>
      </c>
      <c r="AG143" s="15">
        <v>3.3636021217441499E-4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2.5847847018025008E-3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1.4278398770544098E-3</v>
      </c>
      <c r="BE143" s="29">
        <f t="shared" si="42"/>
        <v>0</v>
      </c>
      <c r="BF143" s="29">
        <f t="shared" si="43"/>
        <v>4.0126245788569105E-3</v>
      </c>
      <c r="BH143" s="29"/>
    </row>
    <row r="144" spans="1:60" x14ac:dyDescent="0.25">
      <c r="A144" s="1">
        <v>46232</v>
      </c>
      <c r="B144" s="33">
        <v>20.3</v>
      </c>
      <c r="C144" s="33">
        <v>25.59</v>
      </c>
      <c r="D144" s="15">
        <v>-3.4423441909727901E-3</v>
      </c>
      <c r="E144" s="15">
        <v>-3.1213447113516502E-3</v>
      </c>
      <c r="F144" s="33">
        <v>0</v>
      </c>
      <c r="G144" s="33">
        <v>0.58400999999999903</v>
      </c>
      <c r="H144" s="33">
        <v>0</v>
      </c>
      <c r="I144" s="33">
        <v>0.62596299999999905</v>
      </c>
      <c r="J144" s="33">
        <v>0.58400999999999903</v>
      </c>
      <c r="K144" s="33">
        <v>0.62596299999999905</v>
      </c>
      <c r="L144" s="33">
        <v>20.88401</v>
      </c>
      <c r="M144" s="33">
        <v>26.215962999999999</v>
      </c>
      <c r="N144" s="34">
        <v>1.26059113300492</v>
      </c>
      <c r="O144" s="34">
        <v>1.2567453983371399</v>
      </c>
      <c r="P144" s="34">
        <v>1.25960332044625</v>
      </c>
      <c r="Q144" s="34">
        <v>1.25728113984014</v>
      </c>
      <c r="R144" s="33">
        <v>25.511931586244</v>
      </c>
      <c r="S144" s="33">
        <v>25.5580694274217</v>
      </c>
      <c r="T144" s="33">
        <v>25.523111107777101</v>
      </c>
      <c r="U144" s="15">
        <v>-3.0554020979835202E-3</v>
      </c>
      <c r="V144" s="15">
        <v>-1.24855452351434E-3</v>
      </c>
      <c r="W144" s="15">
        <v>-2.6172905134016801E-3</v>
      </c>
      <c r="X144" s="34">
        <v>1.25531270096116</v>
      </c>
      <c r="Y144" s="34">
        <v>1.2550529069020999</v>
      </c>
      <c r="Z144" s="34">
        <v>1.2554228621488599</v>
      </c>
      <c r="AA144" s="34">
        <v>1.2552895370056101</v>
      </c>
      <c r="AB144" s="33">
        <v>26.210537458272601</v>
      </c>
      <c r="AC144" s="33">
        <v>26.2174901684985</v>
      </c>
      <c r="AD144" s="33">
        <v>26.2160850815247</v>
      </c>
      <c r="AE144" s="15">
        <v>-2.06977070727948E-4</v>
      </c>
      <c r="AF144" s="15">
        <v>5.8251685010076401E-5</v>
      </c>
      <c r="AG144" s="15">
        <v>4.6567520899109096E-6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2.5847847018025008E-3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1.4278398770544098E-3</v>
      </c>
      <c r="BE144" s="29">
        <f t="shared" si="42"/>
        <v>0</v>
      </c>
      <c r="BF144" s="29">
        <f t="shared" si="43"/>
        <v>4.0126245788569105E-3</v>
      </c>
      <c r="BH144" s="29"/>
    </row>
    <row r="145" spans="1:60" x14ac:dyDescent="0.25">
      <c r="A145" s="1">
        <v>46233</v>
      </c>
      <c r="B145" s="33">
        <v>20.32</v>
      </c>
      <c r="C145" s="33">
        <v>25.64</v>
      </c>
      <c r="D145" s="15">
        <v>9.8473666253955897E-4</v>
      </c>
      <c r="E145" s="15">
        <v>1.95198188077194E-3</v>
      </c>
      <c r="F145" s="33">
        <v>0</v>
      </c>
      <c r="G145" s="33">
        <v>0.58400999999999903</v>
      </c>
      <c r="H145" s="33">
        <v>0</v>
      </c>
      <c r="I145" s="33">
        <v>0.62596299999999905</v>
      </c>
      <c r="J145" s="33">
        <v>0.58400999999999903</v>
      </c>
      <c r="K145" s="33">
        <v>0.62596299999999905</v>
      </c>
      <c r="L145" s="33">
        <v>20.90401</v>
      </c>
      <c r="M145" s="33">
        <v>26.265962999999999</v>
      </c>
      <c r="N145" s="34">
        <v>1.2618110236220399</v>
      </c>
      <c r="O145" s="34">
        <v>1.2567453983371399</v>
      </c>
      <c r="P145" s="34">
        <v>1.26028563935347</v>
      </c>
      <c r="Q145" s="34">
        <v>1.2575990298481901</v>
      </c>
      <c r="R145" s="33">
        <v>25.537066494210698</v>
      </c>
      <c r="S145" s="33">
        <v>25.595139471467899</v>
      </c>
      <c r="T145" s="33">
        <v>25.547952761551599</v>
      </c>
      <c r="U145" s="15">
        <v>-4.0226473162158598E-3</v>
      </c>
      <c r="V145" s="15">
        <v>-1.7511629892614899E-3</v>
      </c>
      <c r="W145" s="15">
        <v>-3.59644536251979E-3</v>
      </c>
      <c r="X145" s="34">
        <v>1.2565035608000501</v>
      </c>
      <c r="Y145" s="34">
        <v>1.2550529069020999</v>
      </c>
      <c r="Z145" s="34">
        <v>1.2555547553570301</v>
      </c>
      <c r="AA145" s="34">
        <v>1.25533279719097</v>
      </c>
      <c r="AB145" s="33">
        <v>26.235638516410699</v>
      </c>
      <c r="AC145" s="33">
        <v>26.243372064588399</v>
      </c>
      <c r="AD145" s="33">
        <v>26.2405850344608</v>
      </c>
      <c r="AE145" s="15">
        <v>-1.1551833119606101E-3</v>
      </c>
      <c r="AF145" s="15">
        <v>-8.6045411839999703E-4</v>
      </c>
      <c r="AG145" s="15">
        <v>-9.6665914882415398E-4</v>
      </c>
      <c r="AI145" s="12"/>
      <c r="AJ145">
        <f t="shared" si="26"/>
        <v>0</v>
      </c>
      <c r="AK145">
        <f t="shared" si="27"/>
        <v>0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2.5847847018025008E-3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1.4278398770544098E-3</v>
      </c>
      <c r="BE145" s="29">
        <f t="shared" si="42"/>
        <v>0</v>
      </c>
      <c r="BF145" s="29">
        <f t="shared" si="43"/>
        <v>4.0126245788569105E-3</v>
      </c>
      <c r="BH145" s="29"/>
    </row>
    <row r="146" spans="1:60" x14ac:dyDescent="0.25">
      <c r="A146" s="1">
        <v>46234</v>
      </c>
      <c r="B146" s="33">
        <v>20.28</v>
      </c>
      <c r="C146" s="33">
        <v>25.58</v>
      </c>
      <c r="D146" s="15">
        <v>-1.9704439872987199E-3</v>
      </c>
      <c r="E146" s="15">
        <v>-2.34283590177271E-3</v>
      </c>
      <c r="F146" s="33">
        <v>0</v>
      </c>
      <c r="G146" s="33">
        <v>0.58400999999999903</v>
      </c>
      <c r="H146" s="33">
        <v>0</v>
      </c>
      <c r="I146" s="33">
        <v>0.62596299999999905</v>
      </c>
      <c r="J146" s="33">
        <v>0.58400999999999903</v>
      </c>
      <c r="K146" s="33">
        <v>0.62596299999999905</v>
      </c>
      <c r="L146" s="33">
        <v>20.86401</v>
      </c>
      <c r="M146" s="33">
        <v>26.205962999999901</v>
      </c>
      <c r="N146" s="34">
        <v>1.2613412228796801</v>
      </c>
      <c r="O146" s="34">
        <v>1.2567453983371399</v>
      </c>
      <c r="P146" s="34">
        <v>1.26089715590493</v>
      </c>
      <c r="Q146" s="34">
        <v>1.25797880244698</v>
      </c>
      <c r="R146" s="33">
        <v>25.486796678277202</v>
      </c>
      <c r="S146" s="33">
        <v>25.558592766088399</v>
      </c>
      <c r="T146" s="33">
        <v>25.5041083253214</v>
      </c>
      <c r="U146" s="15">
        <v>-3.6502554017418601E-3</v>
      </c>
      <c r="V146" s="15">
        <v>-8.3722425683036299E-4</v>
      </c>
      <c r="W146" s="15">
        <v>-2.9712461663486999E-3</v>
      </c>
      <c r="X146" s="34">
        <v>1.2560367350284001</v>
      </c>
      <c r="Y146" s="34">
        <v>1.2550529069020999</v>
      </c>
      <c r="Z146" s="34">
        <v>1.2556167227131301</v>
      </c>
      <c r="AA146" s="34">
        <v>1.25543611826089</v>
      </c>
      <c r="AB146" s="33">
        <v>26.185436400134599</v>
      </c>
      <c r="AC146" s="33">
        <v>26.1959069713166</v>
      </c>
      <c r="AD146" s="33">
        <v>26.191276033920399</v>
      </c>
      <c r="AE146" s="15">
        <v>-7.8358666310388199E-4</v>
      </c>
      <c r="AF146" s="15">
        <v>-3.8380419677014999E-4</v>
      </c>
      <c r="AG146" s="15">
        <v>-5.6060077725406403E-4</v>
      </c>
      <c r="AI146" s="12"/>
      <c r="AJ146">
        <f t="shared" si="26"/>
        <v>0</v>
      </c>
      <c r="AK146">
        <f t="shared" si="27"/>
        <v>0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2.5847847018025008E-3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1.4278398770544098E-3</v>
      </c>
      <c r="BE146" s="29">
        <f t="shared" si="42"/>
        <v>0</v>
      </c>
      <c r="BF146" s="29">
        <f t="shared" si="43"/>
        <v>4.0126245788569105E-3</v>
      </c>
      <c r="BH146" s="29"/>
    </row>
    <row r="147" spans="1:60" x14ac:dyDescent="0.25">
      <c r="A147" s="1">
        <v>46237</v>
      </c>
      <c r="B147" s="33">
        <v>20.34</v>
      </c>
      <c r="C147" s="33">
        <v>25.53</v>
      </c>
      <c r="D147" s="15">
        <v>2.9542118974313801E-3</v>
      </c>
      <c r="E147" s="15">
        <v>-1.9565648973041E-3</v>
      </c>
      <c r="F147" s="33">
        <v>0</v>
      </c>
      <c r="G147" s="33">
        <v>0.58400999999999903</v>
      </c>
      <c r="H147" s="33">
        <v>0.107902</v>
      </c>
      <c r="I147" s="33">
        <v>0.73386499999999999</v>
      </c>
      <c r="J147" s="33">
        <v>0.58400999999999903</v>
      </c>
      <c r="K147" s="33">
        <v>0.73386499999999999</v>
      </c>
      <c r="L147" s="33">
        <v>20.924009999999999</v>
      </c>
      <c r="M147" s="33">
        <v>26.263864999999999</v>
      </c>
      <c r="N147" s="34">
        <v>1.2551622418879</v>
      </c>
      <c r="O147" s="34">
        <v>1.2567453983371399</v>
      </c>
      <c r="P147" s="34">
        <v>1.26024973482179</v>
      </c>
      <c r="Q147" s="34">
        <v>1.25799513504428</v>
      </c>
      <c r="R147" s="33">
        <v>25.5622014021775</v>
      </c>
      <c r="S147" s="33">
        <v>25.646648151106302</v>
      </c>
      <c r="T147" s="33">
        <v>25.587288841771699</v>
      </c>
      <c r="U147" s="15">
        <v>1.2605213929936701E-3</v>
      </c>
      <c r="V147" s="15">
        <v>4.5586554543624201E-3</v>
      </c>
      <c r="W147" s="15">
        <v>2.24146730218233E-3</v>
      </c>
      <c r="X147" s="34">
        <v>1.2552022771925599</v>
      </c>
      <c r="Y147" s="34">
        <v>1.2550529069020999</v>
      </c>
      <c r="Z147" s="34">
        <v>1.2555012905465399</v>
      </c>
      <c r="AA147" s="34">
        <v>1.25544449520594</v>
      </c>
      <c r="AB147" s="33">
        <v>26.260739574548701</v>
      </c>
      <c r="AC147" s="33">
        <v>26.2725368622168</v>
      </c>
      <c r="AD147" s="33">
        <v>26.2687578928522</v>
      </c>
      <c r="AE147" s="15">
        <v>-1.19008052711341E-4</v>
      </c>
      <c r="AF147" s="15">
        <v>3.3012775858951298E-4</v>
      </c>
      <c r="AG147" s="15">
        <v>1.8628016637788701E-4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2.5847847018025008E-3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1.4278398770544098E-3</v>
      </c>
      <c r="BE147" s="29">
        <f t="shared" si="42"/>
        <v>0</v>
      </c>
      <c r="BF147" s="29">
        <f t="shared" si="43"/>
        <v>4.0126245788569105E-3</v>
      </c>
      <c r="BH147" s="29"/>
    </row>
    <row r="148" spans="1:60" x14ac:dyDescent="0.25">
      <c r="A148" s="1">
        <v>46238</v>
      </c>
      <c r="B148" s="33">
        <v>20.43</v>
      </c>
      <c r="C148" s="33">
        <v>25.66</v>
      </c>
      <c r="D148" s="15">
        <v>4.4150182091166898E-3</v>
      </c>
      <c r="E148" s="15">
        <v>5.0791279340978903E-3</v>
      </c>
      <c r="F148" s="33">
        <v>0</v>
      </c>
      <c r="G148" s="33">
        <v>0.58400999999999903</v>
      </c>
      <c r="H148" s="33">
        <v>0</v>
      </c>
      <c r="I148" s="33">
        <v>0.73386499999999999</v>
      </c>
      <c r="J148" s="33">
        <v>0.58400999999999903</v>
      </c>
      <c r="K148" s="33">
        <v>0.73386499999999999</v>
      </c>
      <c r="L148" s="33">
        <v>21.014009999999999</v>
      </c>
      <c r="M148" s="33">
        <v>26.393865000000002</v>
      </c>
      <c r="N148" s="34">
        <v>1.25599608418991</v>
      </c>
      <c r="O148" s="34">
        <v>1.2567453983371399</v>
      </c>
      <c r="P148" s="34">
        <v>1.2597325047528101</v>
      </c>
      <c r="Q148" s="34">
        <v>1.25803363638552</v>
      </c>
      <c r="R148" s="33">
        <v>25.675308488027799</v>
      </c>
      <c r="S148" s="33">
        <v>25.746902082409299</v>
      </c>
      <c r="T148" s="33">
        <v>25.700840608954699</v>
      </c>
      <c r="U148" s="15">
        <v>5.9641166801242102E-4</v>
      </c>
      <c r="V148" s="15">
        <v>3.3809532054807499E-3</v>
      </c>
      <c r="W148" s="15">
        <v>1.59034069841214E-3</v>
      </c>
      <c r="X148" s="34">
        <v>1.2560127743348299</v>
      </c>
      <c r="Y148" s="34">
        <v>1.2550529069020999</v>
      </c>
      <c r="Z148" s="34">
        <v>1.2555134182182399</v>
      </c>
      <c r="AA148" s="34">
        <v>1.25547428084931</v>
      </c>
      <c r="AB148" s="33">
        <v>26.373694336169901</v>
      </c>
      <c r="AC148" s="33">
        <v>26.383116674558</v>
      </c>
      <c r="AD148" s="33">
        <v>26.3819231767026</v>
      </c>
      <c r="AE148" s="15">
        <v>-7.6451005376172504E-4</v>
      </c>
      <c r="AF148" s="15">
        <v>-4.07311113654322E-4</v>
      </c>
      <c r="AG148" s="15">
        <v>-4.52549319060743E-4</v>
      </c>
      <c r="AI148" s="12"/>
      <c r="AJ148">
        <f t="shared" si="26"/>
        <v>0</v>
      </c>
      <c r="AK148">
        <f t="shared" si="27"/>
        <v>0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2.5847847018025008E-3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1.4278398770544098E-3</v>
      </c>
      <c r="BE148" s="29">
        <f t="shared" si="42"/>
        <v>0</v>
      </c>
      <c r="BF148" s="29">
        <f t="shared" si="43"/>
        <v>4.0126245788569105E-3</v>
      </c>
      <c r="BH148" s="29"/>
    </row>
    <row r="149" spans="1:60" x14ac:dyDescent="0.25">
      <c r="A149" s="1">
        <v>46239</v>
      </c>
      <c r="B149" s="33">
        <v>20.43</v>
      </c>
      <c r="C149" s="33">
        <v>25.67</v>
      </c>
      <c r="D149" s="15">
        <v>0</v>
      </c>
      <c r="E149" s="15">
        <v>3.8963569555876601E-4</v>
      </c>
      <c r="F149" s="33">
        <v>0</v>
      </c>
      <c r="G149" s="33">
        <v>0.58400999999999903</v>
      </c>
      <c r="H149" s="33">
        <v>0</v>
      </c>
      <c r="I149" s="33">
        <v>0.73386499999999999</v>
      </c>
      <c r="J149" s="33">
        <v>0.58400999999999903</v>
      </c>
      <c r="K149" s="33">
        <v>0.73386499999999999</v>
      </c>
      <c r="L149" s="33">
        <v>21.014009999999999</v>
      </c>
      <c r="M149" s="33">
        <v>26.403865</v>
      </c>
      <c r="N149" s="34">
        <v>1.25648556045031</v>
      </c>
      <c r="O149" s="34">
        <v>1.2567453983371399</v>
      </c>
      <c r="P149" s="34">
        <v>1.25932403031604</v>
      </c>
      <c r="Q149" s="34">
        <v>1.2580961024255699</v>
      </c>
      <c r="R149" s="33">
        <v>25.675308488027799</v>
      </c>
      <c r="S149" s="33">
        <v>25.736335072100001</v>
      </c>
      <c r="T149" s="33">
        <v>25.701627191356302</v>
      </c>
      <c r="U149" s="15">
        <v>2.0677597245377099E-4</v>
      </c>
      <c r="V149" s="15">
        <v>2.5808145562730401E-3</v>
      </c>
      <c r="W149" s="15">
        <v>1.23130985259239E-3</v>
      </c>
      <c r="X149" s="34">
        <v>1.2564886473357499</v>
      </c>
      <c r="Y149" s="34">
        <v>1.2550529069020999</v>
      </c>
      <c r="Z149" s="34">
        <v>1.25563202847382</v>
      </c>
      <c r="AA149" s="34">
        <v>1.2555273448573301</v>
      </c>
      <c r="AB149" s="33">
        <v>26.373694336169901</v>
      </c>
      <c r="AC149" s="33">
        <v>26.383371525572301</v>
      </c>
      <c r="AD149" s="33">
        <v>26.382549092510299</v>
      </c>
      <c r="AE149" s="15">
        <v>-1.14331422278868E-3</v>
      </c>
      <c r="AF149" s="15">
        <v>-7.7645570430156E-4</v>
      </c>
      <c r="AG149" s="15">
        <v>-8.0762859211900597E-4</v>
      </c>
      <c r="AI149" s="12"/>
      <c r="AJ149">
        <f t="shared" si="26"/>
        <v>0</v>
      </c>
      <c r="AK149">
        <f t="shared" si="27"/>
        <v>0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2.5847847018025008E-3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1.4278398770544098E-3</v>
      </c>
      <c r="BE149" s="29">
        <f t="shared" si="42"/>
        <v>0</v>
      </c>
      <c r="BF149" s="29">
        <f t="shared" si="43"/>
        <v>4.0126245788569105E-3</v>
      </c>
      <c r="BH149" s="29"/>
    </row>
    <row r="150" spans="1:60" x14ac:dyDescent="0.25">
      <c r="A150" s="1">
        <v>46240</v>
      </c>
      <c r="B150" s="33">
        <v>20.38</v>
      </c>
      <c r="C150" s="33">
        <v>25.6</v>
      </c>
      <c r="D150" s="15">
        <v>-2.45038103495191E-3</v>
      </c>
      <c r="E150" s="15">
        <v>-2.7306433975322702E-3</v>
      </c>
      <c r="F150" s="33">
        <v>0</v>
      </c>
      <c r="G150" s="33">
        <v>0.58400999999999903</v>
      </c>
      <c r="H150" s="33">
        <v>0</v>
      </c>
      <c r="I150" s="33">
        <v>0.73386499999999999</v>
      </c>
      <c r="J150" s="33">
        <v>0.58400999999999903</v>
      </c>
      <c r="K150" s="33">
        <v>0.73386499999999999</v>
      </c>
      <c r="L150" s="33">
        <v>20.964009999999998</v>
      </c>
      <c r="M150" s="33">
        <v>26.333864999999999</v>
      </c>
      <c r="N150" s="34">
        <v>1.2561334641805599</v>
      </c>
      <c r="O150" s="34">
        <v>1.2567453983371399</v>
      </c>
      <c r="P150" s="34">
        <v>1.2588396954316801</v>
      </c>
      <c r="Q150" s="34">
        <v>1.25813526590698</v>
      </c>
      <c r="R150" s="33">
        <v>25.612471218111001</v>
      </c>
      <c r="S150" s="33">
        <v>25.665023737840901</v>
      </c>
      <c r="T150" s="33">
        <v>25.639998567433199</v>
      </c>
      <c r="U150" s="15">
        <v>4.8703833503392798E-4</v>
      </c>
      <c r="V150" s="15">
        <v>2.5367694373254002E-3</v>
      </c>
      <c r="W150" s="15">
        <v>1.5612246946139999E-3</v>
      </c>
      <c r="X150" s="34">
        <v>1.25614636703569</v>
      </c>
      <c r="Y150" s="34">
        <v>1.2550529069020999</v>
      </c>
      <c r="Z150" s="34">
        <v>1.2556786665047099</v>
      </c>
      <c r="AA150" s="34">
        <v>1.2555577448011701</v>
      </c>
      <c r="AB150" s="33">
        <v>26.310941690824801</v>
      </c>
      <c r="AC150" s="33">
        <v>26.3230824012455</v>
      </c>
      <c r="AD150" s="33">
        <v>26.320887812862502</v>
      </c>
      <c r="AE150" s="15">
        <v>-8.7086693122653402E-4</v>
      </c>
      <c r="AF150" s="15">
        <v>-4.0954135920407699E-4</v>
      </c>
      <c r="AG150" s="15">
        <v>-4.9291608855540805E-4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2.5847847018025008E-3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1.4278398770544098E-3</v>
      </c>
      <c r="BE150" s="29">
        <f t="shared" si="42"/>
        <v>0</v>
      </c>
      <c r="BF150" s="29">
        <f t="shared" si="43"/>
        <v>4.0126245788569105E-3</v>
      </c>
      <c r="BH150" s="29"/>
    </row>
    <row r="151" spans="1:60" x14ac:dyDescent="0.25">
      <c r="A151" s="1">
        <v>46241</v>
      </c>
      <c r="B151" s="33">
        <v>20.41</v>
      </c>
      <c r="C151" s="33">
        <v>25.64</v>
      </c>
      <c r="D151" s="15">
        <v>1.4709490271748E-3</v>
      </c>
      <c r="E151" s="15">
        <v>1.5612805669524099E-3</v>
      </c>
      <c r="F151" s="33">
        <v>0</v>
      </c>
      <c r="G151" s="33">
        <v>0.58400999999999903</v>
      </c>
      <c r="H151" s="33">
        <v>0</v>
      </c>
      <c r="I151" s="33">
        <v>0.73386499999999999</v>
      </c>
      <c r="J151" s="33">
        <v>0.58400999999999903</v>
      </c>
      <c r="K151" s="33">
        <v>0.73386499999999999</v>
      </c>
      <c r="L151" s="33">
        <v>20.994009999999999</v>
      </c>
      <c r="M151" s="33">
        <v>26.373864999999999</v>
      </c>
      <c r="N151" s="34">
        <v>1.2562469377756</v>
      </c>
      <c r="O151" s="34">
        <v>1.2567453983371399</v>
      </c>
      <c r="P151" s="34">
        <v>1.2584288862506601</v>
      </c>
      <c r="Q151" s="34">
        <v>1.2582163567100699</v>
      </c>
      <c r="R151" s="33">
        <v>25.6501735800611</v>
      </c>
      <c r="S151" s="33">
        <v>25.692918183760501</v>
      </c>
      <c r="T151" s="33">
        <v>25.678540777161398</v>
      </c>
      <c r="U151" s="15">
        <v>3.9670679525629097E-4</v>
      </c>
      <c r="V151" s="15">
        <v>2.0617648237672599E-3</v>
      </c>
      <c r="W151" s="15">
        <v>1.50202183552748E-3</v>
      </c>
      <c r="X151" s="34">
        <v>1.25625666559175</v>
      </c>
      <c r="Y151" s="34">
        <v>1.2550529069020999</v>
      </c>
      <c r="Z151" s="34">
        <v>1.25579651841081</v>
      </c>
      <c r="AA151" s="34">
        <v>1.25562905043319</v>
      </c>
      <c r="AB151" s="33">
        <v>26.348593278031899</v>
      </c>
      <c r="AC151" s="33">
        <v>26.361730481386701</v>
      </c>
      <c r="AD151" s="33">
        <v>26.3591918499333</v>
      </c>
      <c r="AE151" s="15">
        <v>-9.5867016557970902E-4</v>
      </c>
      <c r="AF151" s="15">
        <v>-4.6020221130171901E-4</v>
      </c>
      <c r="AG151" s="15">
        <v>-5.5650672734808098E-4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2.5847847018025008E-3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1.4278398770544098E-3</v>
      </c>
      <c r="BE151" s="29">
        <f t="shared" ref="BE151:BE176" si="62">AQ151+BB151</f>
        <v>0</v>
      </c>
      <c r="BF151" s="29">
        <f t="shared" ref="BF151:BF176" si="63">BF150+BE151</f>
        <v>4.0126245788569105E-3</v>
      </c>
      <c r="BH151" s="29"/>
    </row>
    <row r="152" spans="1:60" x14ac:dyDescent="0.25">
      <c r="A152" s="1">
        <v>46244</v>
      </c>
      <c r="B152" s="33">
        <v>20.34</v>
      </c>
      <c r="C152" s="33">
        <v>25.51</v>
      </c>
      <c r="D152" s="15">
        <v>-3.4355862013395102E-3</v>
      </c>
      <c r="E152" s="15">
        <v>-5.0830998987492597E-3</v>
      </c>
      <c r="F152" s="33">
        <v>0</v>
      </c>
      <c r="G152" s="33">
        <v>0.58400999999999903</v>
      </c>
      <c r="H152" s="33">
        <v>0</v>
      </c>
      <c r="I152" s="33">
        <v>0.73386499999999999</v>
      </c>
      <c r="J152" s="33">
        <v>0.58400999999999903</v>
      </c>
      <c r="K152" s="33">
        <v>0.73386499999999999</v>
      </c>
      <c r="L152" s="33">
        <v>20.924009999999999</v>
      </c>
      <c r="M152" s="33">
        <v>26.243865</v>
      </c>
      <c r="N152" s="34">
        <v>1.2541789577187801</v>
      </c>
      <c r="O152" s="34">
        <v>1.2567453983371399</v>
      </c>
      <c r="P152" s="34">
        <v>1.2578133174556001</v>
      </c>
      <c r="Q152" s="34">
        <v>1.2581869182879399</v>
      </c>
      <c r="R152" s="33">
        <v>25.5622014021775</v>
      </c>
      <c r="S152" s="33">
        <v>25.596443546338399</v>
      </c>
      <c r="T152" s="33">
        <v>25.592120695482802</v>
      </c>
      <c r="U152" s="15">
        <v>2.0442204926661199E-3</v>
      </c>
      <c r="V152" s="15">
        <v>3.3828857098128998E-3</v>
      </c>
      <c r="W152" s="15">
        <v>3.2139866234704301E-3</v>
      </c>
      <c r="X152" s="34">
        <v>1.25424643746585</v>
      </c>
      <c r="Y152" s="34">
        <v>1.2550529069020999</v>
      </c>
      <c r="Z152" s="34">
        <v>1.25571431921195</v>
      </c>
      <c r="AA152" s="34">
        <v>1.25559283897136</v>
      </c>
      <c r="AB152" s="33">
        <v>26.260739574548701</v>
      </c>
      <c r="AC152" s="33">
        <v>26.276298909192999</v>
      </c>
      <c r="AD152" s="33">
        <v>26.2727948075546</v>
      </c>
      <c r="AE152" s="15">
        <v>6.4278458114310204E-4</v>
      </c>
      <c r="AF152" s="15">
        <v>1.2351032785145901E-3</v>
      </c>
      <c r="AG152" s="15">
        <v>1.10173840403901E-3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2.5847847018025008E-3</v>
      </c>
      <c r="AT152" s="12"/>
      <c r="AU152">
        <f t="shared" si="50"/>
        <v>1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1.4278398770544098E-3</v>
      </c>
      <c r="BE152" s="29">
        <f t="shared" si="62"/>
        <v>0</v>
      </c>
      <c r="BF152" s="29">
        <f t="shared" si="63"/>
        <v>4.0126245788569105E-3</v>
      </c>
      <c r="BH152" s="29"/>
    </row>
    <row r="153" spans="1:60" x14ac:dyDescent="0.25">
      <c r="A153" s="1">
        <v>46245</v>
      </c>
      <c r="B153" s="33">
        <v>20.329999999999998</v>
      </c>
      <c r="C153" s="33">
        <v>25.54</v>
      </c>
      <c r="D153" s="15">
        <v>-4.9176298015872596E-4</v>
      </c>
      <c r="E153" s="15">
        <v>1.17531845067321E-3</v>
      </c>
      <c r="F153" s="33">
        <v>0</v>
      </c>
      <c r="G153" s="33">
        <v>0.58400999999999903</v>
      </c>
      <c r="H153" s="33">
        <v>0</v>
      </c>
      <c r="I153" s="33">
        <v>0.73386499999999999</v>
      </c>
      <c r="J153" s="33">
        <v>0.58400999999999903</v>
      </c>
      <c r="K153" s="33">
        <v>0.73386499999999999</v>
      </c>
      <c r="L153" s="33">
        <v>20.914009999999902</v>
      </c>
      <c r="M153" s="33">
        <v>26.273865000000001</v>
      </c>
      <c r="N153" s="34">
        <v>1.2562715199212899</v>
      </c>
      <c r="O153" s="34">
        <v>1.2567453983371399</v>
      </c>
      <c r="P153" s="34">
        <v>1.2574218145631</v>
      </c>
      <c r="Q153" s="34">
        <v>1.25822000647913</v>
      </c>
      <c r="R153" s="33">
        <v>25.549633948194099</v>
      </c>
      <c r="S153" s="33">
        <v>25.571344743872501</v>
      </c>
      <c r="T153" s="33">
        <v>25.5789400487939</v>
      </c>
      <c r="U153" s="15">
        <v>3.7713906183438101E-4</v>
      </c>
      <c r="V153" s="15">
        <v>1.2265280030926799E-3</v>
      </c>
      <c r="W153" s="15">
        <v>1.5235079713561801E-3</v>
      </c>
      <c r="X153" s="34">
        <v>1.25628059850789</v>
      </c>
      <c r="Y153" s="34">
        <v>1.2550529069020999</v>
      </c>
      <c r="Z153" s="34">
        <v>1.25584867642539</v>
      </c>
      <c r="AA153" s="34">
        <v>1.25561725179822</v>
      </c>
      <c r="AB153" s="33">
        <v>26.248189045479698</v>
      </c>
      <c r="AC153" s="33">
        <v>26.262021829142</v>
      </c>
      <c r="AD153" s="33">
        <v>26.259481190175499</v>
      </c>
      <c r="AE153" s="15">
        <v>-9.7772096054780195E-4</v>
      </c>
      <c r="AF153" s="15">
        <v>-4.5086023186710899E-4</v>
      </c>
      <c r="AG153" s="15">
        <v>-5.4760685267514996E-4</v>
      </c>
      <c r="AI153" s="12"/>
      <c r="AJ153">
        <f t="shared" si="46"/>
        <v>0</v>
      </c>
      <c r="AK153">
        <f t="shared" si="47"/>
        <v>0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2.5847847018025008E-3</v>
      </c>
      <c r="AT153" s="12"/>
      <c r="AU153">
        <f t="shared" si="50"/>
        <v>0</v>
      </c>
      <c r="AV153">
        <f t="shared" si="51"/>
        <v>1</v>
      </c>
      <c r="AW153">
        <f t="shared" si="58"/>
        <v>1</v>
      </c>
      <c r="AX153">
        <f t="shared" si="45"/>
        <v>1</v>
      </c>
      <c r="AY153">
        <f t="shared" si="59"/>
        <v>1</v>
      </c>
      <c r="AZ153" s="28">
        <f t="shared" si="52"/>
        <v>4.9176298015872596E-4</v>
      </c>
      <c r="BA153" s="28">
        <f t="shared" si="53"/>
        <v>1.17531845067321E-3</v>
      </c>
      <c r="BB153" s="28">
        <f t="shared" si="60"/>
        <v>1.667081430831936E-3</v>
      </c>
      <c r="BC153" s="29">
        <f t="shared" si="61"/>
        <v>3.0949213078863458E-3</v>
      </c>
      <c r="BE153" s="29">
        <f t="shared" si="62"/>
        <v>1.667081430831936E-3</v>
      </c>
      <c r="BF153" s="29">
        <f t="shared" si="63"/>
        <v>5.6797060096888466E-3</v>
      </c>
      <c r="BH153" s="29"/>
    </row>
    <row r="154" spans="1:60" x14ac:dyDescent="0.25">
      <c r="A154" s="1">
        <v>46246</v>
      </c>
      <c r="B154" s="33">
        <v>20.36</v>
      </c>
      <c r="C154" s="33">
        <v>25.55</v>
      </c>
      <c r="D154" s="15">
        <v>1.47456404206685E-3</v>
      </c>
      <c r="E154" s="15">
        <v>3.9146604532029101E-4</v>
      </c>
      <c r="F154" s="33">
        <v>0</v>
      </c>
      <c r="G154" s="33">
        <v>0.58400999999999903</v>
      </c>
      <c r="H154" s="33">
        <v>0</v>
      </c>
      <c r="I154" s="33">
        <v>0.73386499999999999</v>
      </c>
      <c r="J154" s="33">
        <v>0.58400999999999903</v>
      </c>
      <c r="K154" s="33">
        <v>0.73386499999999999</v>
      </c>
      <c r="L154" s="33">
        <v>20.944009999999999</v>
      </c>
      <c r="M154" s="33">
        <v>26.283864999999999</v>
      </c>
      <c r="N154" s="34">
        <v>1.2549115913555899</v>
      </c>
      <c r="O154" s="34">
        <v>1.2567453983371399</v>
      </c>
      <c r="P154" s="34">
        <v>1.25685386039817</v>
      </c>
      <c r="Q154" s="34">
        <v>1.2582285904222099</v>
      </c>
      <c r="R154" s="33">
        <v>25.587336310144199</v>
      </c>
      <c r="S154" s="33">
        <v>25.601108144504799</v>
      </c>
      <c r="T154" s="33">
        <v>25.6173593319151</v>
      </c>
      <c r="U154" s="15">
        <v>1.46023705858062E-3</v>
      </c>
      <c r="V154" s="15">
        <v>1.9983207936717898E-3</v>
      </c>
      <c r="W154" s="15">
        <v>2.6329039335573098E-3</v>
      </c>
      <c r="X154" s="34">
        <v>1.25495857765537</v>
      </c>
      <c r="Y154" s="34">
        <v>1.2550529069020999</v>
      </c>
      <c r="Z154" s="34">
        <v>1.2558132640948101</v>
      </c>
      <c r="AA154" s="34">
        <v>1.2556180631218401</v>
      </c>
      <c r="AB154" s="33">
        <v>26.285840632686799</v>
      </c>
      <c r="AC154" s="33">
        <v>26.302507237540301</v>
      </c>
      <c r="AD154" s="33">
        <v>26.297660277834499</v>
      </c>
      <c r="AE154" s="15">
        <v>7.5162402526637005E-5</v>
      </c>
      <c r="AF154" s="15">
        <v>7.0901404786229605E-4</v>
      </c>
      <c r="AG154" s="15">
        <v>5.2471958841774095E-4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2.5847847018025008E-3</v>
      </c>
      <c r="AT154" s="12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3.0949213078863458E-3</v>
      </c>
      <c r="BE154" s="29">
        <f t="shared" si="62"/>
        <v>0</v>
      </c>
      <c r="BF154" s="29">
        <f t="shared" si="63"/>
        <v>5.6797060096888466E-3</v>
      </c>
      <c r="BH154" s="29"/>
    </row>
    <row r="155" spans="1:60" x14ac:dyDescent="0.25">
      <c r="A155" s="1">
        <v>46247</v>
      </c>
      <c r="B155" s="33">
        <v>20.41</v>
      </c>
      <c r="C155" s="33">
        <v>25.64</v>
      </c>
      <c r="D155" s="15">
        <v>2.4527851394315599E-3</v>
      </c>
      <c r="E155" s="15">
        <v>3.5163154027558802E-3</v>
      </c>
      <c r="F155" s="33">
        <v>0</v>
      </c>
      <c r="G155" s="33">
        <v>0.58400999999999903</v>
      </c>
      <c r="H155" s="33">
        <v>0</v>
      </c>
      <c r="I155" s="33">
        <v>0.73386499999999999</v>
      </c>
      <c r="J155" s="33">
        <v>0.58400999999999903</v>
      </c>
      <c r="K155" s="33">
        <v>0.73386499999999999</v>
      </c>
      <c r="L155" s="33">
        <v>20.994009999999999</v>
      </c>
      <c r="M155" s="33">
        <v>26.373864999999999</v>
      </c>
      <c r="N155" s="34">
        <v>1.2562469377756</v>
      </c>
      <c r="O155" s="34">
        <v>1.2567453983371399</v>
      </c>
      <c r="P155" s="34">
        <v>1.2562974518135199</v>
      </c>
      <c r="Q155" s="34">
        <v>1.2582915455835</v>
      </c>
      <c r="R155" s="33">
        <v>25.6501735800611</v>
      </c>
      <c r="S155" s="33">
        <v>25.652387290726601</v>
      </c>
      <c r="T155" s="33">
        <v>25.6804455305174</v>
      </c>
      <c r="U155" s="15">
        <v>3.9670679525629097E-4</v>
      </c>
      <c r="V155" s="15">
        <v>4.8300699662515601E-4</v>
      </c>
      <c r="W155" s="15">
        <v>1.57619593800703E-3</v>
      </c>
      <c r="X155" s="34">
        <v>1.25625666559175</v>
      </c>
      <c r="Y155" s="34">
        <v>1.2550529069020999</v>
      </c>
      <c r="Z155" s="34">
        <v>1.2557885745739801</v>
      </c>
      <c r="AA155" s="34">
        <v>1.25567166496551</v>
      </c>
      <c r="AB155" s="33">
        <v>26.348593278031899</v>
      </c>
      <c r="AC155" s="33">
        <v>26.3645562245392</v>
      </c>
      <c r="AD155" s="33">
        <v>26.360458173360499</v>
      </c>
      <c r="AE155" s="15">
        <v>-9.5867016557970902E-4</v>
      </c>
      <c r="AF155" s="15">
        <v>-3.5301684583059903E-4</v>
      </c>
      <c r="AG155" s="15">
        <v>-5.0846682469823403E-4</v>
      </c>
      <c r="AI155" s="12"/>
      <c r="AJ155">
        <f t="shared" si="46"/>
        <v>0</v>
      </c>
      <c r="AK155">
        <f t="shared" si="47"/>
        <v>0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2.5847847018025008E-3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3.0949213078863458E-3</v>
      </c>
      <c r="BE155" s="29">
        <f t="shared" si="62"/>
        <v>0</v>
      </c>
      <c r="BF155" s="29">
        <f t="shared" si="63"/>
        <v>5.6797060096888466E-3</v>
      </c>
      <c r="BH155" s="29"/>
    </row>
    <row r="156" spans="1:60" x14ac:dyDescent="0.25">
      <c r="A156" s="1">
        <v>46248</v>
      </c>
      <c r="B156" s="33">
        <v>20.37</v>
      </c>
      <c r="C156" s="33">
        <v>25.57</v>
      </c>
      <c r="D156" s="15">
        <v>-1.9617465830389399E-3</v>
      </c>
      <c r="E156" s="15">
        <v>-2.7338427493740899E-3</v>
      </c>
      <c r="F156" s="33">
        <v>0</v>
      </c>
      <c r="G156" s="33">
        <v>0.58400999999999903</v>
      </c>
      <c r="H156" s="33">
        <v>0</v>
      </c>
      <c r="I156" s="33">
        <v>0.73386499999999999</v>
      </c>
      <c r="J156" s="33">
        <v>0.58400999999999903</v>
      </c>
      <c r="K156" s="33">
        <v>0.73386499999999999</v>
      </c>
      <c r="L156" s="33">
        <v>20.95401</v>
      </c>
      <c r="M156" s="33">
        <v>26.303864999999998</v>
      </c>
      <c r="N156" s="34">
        <v>1.2552773686794301</v>
      </c>
      <c r="O156" s="34">
        <v>1.2567453983371399</v>
      </c>
      <c r="P156" s="34">
        <v>1.2556910663934999</v>
      </c>
      <c r="Q156" s="34">
        <v>1.2582941111492101</v>
      </c>
      <c r="R156" s="33">
        <v>25.5999037641276</v>
      </c>
      <c r="S156" s="33">
        <v>25.590779093441501</v>
      </c>
      <c r="T156" s="33">
        <v>25.6313987835359</v>
      </c>
      <c r="U156" s="15">
        <v>1.16880296159133E-3</v>
      </c>
      <c r="V156" s="15">
        <v>8.1230563538434695E-4</v>
      </c>
      <c r="W156" s="15">
        <v>2.39832560925893E-3</v>
      </c>
      <c r="X156" s="34">
        <v>1.25531413796213</v>
      </c>
      <c r="Y156" s="34">
        <v>1.2550529069020999</v>
      </c>
      <c r="Z156" s="34">
        <v>1.25571631486736</v>
      </c>
      <c r="AA156" s="34">
        <v>1.25566651879024</v>
      </c>
      <c r="AB156" s="33">
        <v>26.298391161755799</v>
      </c>
      <c r="AC156" s="33">
        <v>26.3138063495091</v>
      </c>
      <c r="AD156" s="33">
        <v>26.311356624403899</v>
      </c>
      <c r="AE156" s="15">
        <v>-2.08121805539891E-4</v>
      </c>
      <c r="AF156" s="15">
        <v>3.7787113615825102E-4</v>
      </c>
      <c r="AG156" s="15">
        <v>2.84770232768509E-4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2.5847847018025008E-3</v>
      </c>
      <c r="AT156" s="12"/>
      <c r="AU156">
        <f t="shared" si="50"/>
        <v>0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3.0949213078863458E-3</v>
      </c>
      <c r="BE156" s="29">
        <f t="shared" si="62"/>
        <v>0</v>
      </c>
      <c r="BF156" s="29">
        <f t="shared" si="63"/>
        <v>5.6797060096888466E-3</v>
      </c>
      <c r="BH156" s="29"/>
    </row>
    <row r="157" spans="1:60" x14ac:dyDescent="0.25">
      <c r="A157" s="1">
        <v>46251</v>
      </c>
      <c r="B157" s="33">
        <v>20.3</v>
      </c>
      <c r="C157" s="33">
        <v>25.49</v>
      </c>
      <c r="D157" s="15">
        <v>-3.4423441909727901E-3</v>
      </c>
      <c r="E157" s="15">
        <v>-3.1335709150712601E-3</v>
      </c>
      <c r="F157" s="33">
        <v>0</v>
      </c>
      <c r="G157" s="33">
        <v>0.58400999999999903</v>
      </c>
      <c r="H157" s="33">
        <v>0</v>
      </c>
      <c r="I157" s="33">
        <v>0.73386499999999999</v>
      </c>
      <c r="J157" s="33">
        <v>0.58400999999999903</v>
      </c>
      <c r="K157" s="33">
        <v>0.73386499999999999</v>
      </c>
      <c r="L157" s="33">
        <v>20.88401</v>
      </c>
      <c r="M157" s="33">
        <v>26.223865</v>
      </c>
      <c r="N157" s="34">
        <v>1.2556650246305401</v>
      </c>
      <c r="O157" s="34">
        <v>1.2567453983371399</v>
      </c>
      <c r="P157" s="34">
        <v>1.2557413446677601</v>
      </c>
      <c r="Q157" s="34">
        <v>1.25799553974478</v>
      </c>
      <c r="R157" s="33">
        <v>25.511931586244</v>
      </c>
      <c r="S157" s="33">
        <v>25.490528647788</v>
      </c>
      <c r="T157" s="33">
        <v>25.5433704563291</v>
      </c>
      <c r="U157" s="15">
        <v>8.6002968568989603E-4</v>
      </c>
      <c r="V157" s="15">
        <v>2.0739203854121201E-5</v>
      </c>
      <c r="W157" s="15">
        <v>2.0915912591616798E-3</v>
      </c>
      <c r="X157" s="34">
        <v>1.25569107657006</v>
      </c>
      <c r="Y157" s="34">
        <v>1.2550529069020999</v>
      </c>
      <c r="Z157" s="34">
        <v>1.2557651948051101</v>
      </c>
      <c r="AA157" s="34">
        <v>1.2556332426758201</v>
      </c>
      <c r="AB157" s="33">
        <v>26.210537458272601</v>
      </c>
      <c r="AC157" s="33">
        <v>26.2243920768531</v>
      </c>
      <c r="AD157" s="33">
        <v>26.223352135080699</v>
      </c>
      <c r="AE157" s="15">
        <v>-5.0835105920905301E-4</v>
      </c>
      <c r="AF157" s="15">
        <v>2.0098927306558299E-5</v>
      </c>
      <c r="AG157" s="15">
        <v>-1.9557373958371799E-5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2.5847847018025008E-3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3.0949213078863458E-3</v>
      </c>
      <c r="BE157" s="29">
        <f t="shared" si="62"/>
        <v>0</v>
      </c>
      <c r="BF157" s="29">
        <f t="shared" si="63"/>
        <v>5.6797060096888466E-3</v>
      </c>
      <c r="BH157" s="29"/>
    </row>
    <row r="158" spans="1:60" x14ac:dyDescent="0.25">
      <c r="A158" s="1">
        <v>46252</v>
      </c>
      <c r="B158" s="33">
        <v>20.32</v>
      </c>
      <c r="C158" s="33">
        <v>25.52</v>
      </c>
      <c r="D158" s="15">
        <v>9.8473666253955897E-4</v>
      </c>
      <c r="E158" s="15">
        <v>1.17624008856517E-3</v>
      </c>
      <c r="F158" s="33">
        <v>0</v>
      </c>
      <c r="G158" s="33">
        <v>0.58400999999999903</v>
      </c>
      <c r="H158" s="33">
        <v>0</v>
      </c>
      <c r="I158" s="33">
        <v>0.73386499999999999</v>
      </c>
      <c r="J158" s="33">
        <v>0.58400999999999903</v>
      </c>
      <c r="K158" s="33">
        <v>0.73386499999999999</v>
      </c>
      <c r="L158" s="33">
        <v>20.90401</v>
      </c>
      <c r="M158" s="33">
        <v>26.253865000000001</v>
      </c>
      <c r="N158" s="34">
        <v>1.2559055118110201</v>
      </c>
      <c r="O158" s="34">
        <v>1.2567453983371399</v>
      </c>
      <c r="P158" s="34">
        <v>1.25573228742987</v>
      </c>
      <c r="Q158" s="34">
        <v>1.25773239609134</v>
      </c>
      <c r="R158" s="33">
        <v>25.537066494210698</v>
      </c>
      <c r="S158" s="33">
        <v>25.516664123648901</v>
      </c>
      <c r="T158" s="33">
        <v>25.5624693676139</v>
      </c>
      <c r="U158" s="15">
        <v>6.6852625966431199E-4</v>
      </c>
      <c r="V158" s="15">
        <v>-1.30724702056231E-4</v>
      </c>
      <c r="W158" s="15">
        <v>1.66277699276378E-3</v>
      </c>
      <c r="X158" s="34">
        <v>1.25592482016608</v>
      </c>
      <c r="Y158" s="34">
        <v>1.2550529069020999</v>
      </c>
      <c r="Z158" s="34">
        <v>1.2557563993882299</v>
      </c>
      <c r="AA158" s="34">
        <v>1.2556349088032299</v>
      </c>
      <c r="AB158" s="33">
        <v>26.235638516410699</v>
      </c>
      <c r="AC158" s="33">
        <v>26.250528189857999</v>
      </c>
      <c r="AD158" s="33">
        <v>26.247769861227901</v>
      </c>
      <c r="AE158" s="15">
        <v>-6.9448110958554696E-4</v>
      </c>
      <c r="AF158" s="15">
        <v>-1.2710594080772599E-4</v>
      </c>
      <c r="AG158" s="15">
        <v>-2.32188533387095E-4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2.5847847018025008E-3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3.0949213078863458E-3</v>
      </c>
      <c r="BE158" s="29">
        <f t="shared" si="62"/>
        <v>0</v>
      </c>
      <c r="BF158" s="29">
        <f t="shared" si="63"/>
        <v>5.6797060096888466E-3</v>
      </c>
      <c r="BH158" s="29"/>
    </row>
    <row r="159" spans="1:60" x14ac:dyDescent="0.25">
      <c r="A159" s="1">
        <v>46253</v>
      </c>
      <c r="B159" s="33">
        <v>20.41</v>
      </c>
      <c r="C159" s="33">
        <v>25.64</v>
      </c>
      <c r="D159" s="15">
        <v>4.4193541114723803E-3</v>
      </c>
      <c r="E159" s="15">
        <v>4.6911735758802297E-3</v>
      </c>
      <c r="F159" s="33">
        <v>0</v>
      </c>
      <c r="G159" s="33">
        <v>0.58400999999999903</v>
      </c>
      <c r="H159" s="33">
        <v>0</v>
      </c>
      <c r="I159" s="33">
        <v>0.73386499999999999</v>
      </c>
      <c r="J159" s="33">
        <v>0.58400999999999903</v>
      </c>
      <c r="K159" s="33">
        <v>0.73386499999999999</v>
      </c>
      <c r="L159" s="33">
        <v>20.994009999999999</v>
      </c>
      <c r="M159" s="33">
        <v>26.373864999999999</v>
      </c>
      <c r="N159" s="34">
        <v>1.2562469377756</v>
      </c>
      <c r="O159" s="34">
        <v>1.2567453983371399</v>
      </c>
      <c r="P159" s="34">
        <v>1.2557084251624</v>
      </c>
      <c r="Q159" s="34">
        <v>1.25751622773922</v>
      </c>
      <c r="R159" s="33">
        <v>25.6501735800611</v>
      </c>
      <c r="S159" s="33">
        <v>25.6294959864437</v>
      </c>
      <c r="T159" s="33">
        <v>25.670318204224301</v>
      </c>
      <c r="U159" s="15">
        <v>3.9670679525629097E-4</v>
      </c>
      <c r="V159" s="15">
        <v>-4.0975685448411199E-4</v>
      </c>
      <c r="W159" s="15">
        <v>1.18175871106988E-3</v>
      </c>
      <c r="X159" s="34">
        <v>1.25625666559175</v>
      </c>
      <c r="Y159" s="34">
        <v>1.2550529069020999</v>
      </c>
      <c r="Z159" s="34">
        <v>1.25573320121383</v>
      </c>
      <c r="AA159" s="34">
        <v>1.25568261484383</v>
      </c>
      <c r="AB159" s="33">
        <v>26.348593278031899</v>
      </c>
      <c r="AC159" s="33">
        <v>26.363362406320601</v>
      </c>
      <c r="AD159" s="33">
        <v>26.360811831764298</v>
      </c>
      <c r="AE159" s="15">
        <v>-9.5867016557970902E-4</v>
      </c>
      <c r="AF159" s="15">
        <v>-3.98299051153333E-4</v>
      </c>
      <c r="AG159" s="15">
        <v>-4.9505066823227997E-4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2.5847847018025008E-3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3.0949213078863458E-3</v>
      </c>
      <c r="BE159" s="29">
        <f t="shared" si="62"/>
        <v>0</v>
      </c>
      <c r="BF159" s="29">
        <f t="shared" si="63"/>
        <v>5.6797060096888466E-3</v>
      </c>
      <c r="BH159" s="29"/>
    </row>
    <row r="160" spans="1:60" x14ac:dyDescent="0.25">
      <c r="A160" s="1">
        <v>46254</v>
      </c>
      <c r="B160" s="33">
        <v>20.34</v>
      </c>
      <c r="C160" s="33">
        <v>25.52</v>
      </c>
      <c r="D160" s="15">
        <v>-3.4355862013395102E-3</v>
      </c>
      <c r="E160" s="15">
        <v>-4.6911735758801603E-3</v>
      </c>
      <c r="F160" s="33">
        <v>0</v>
      </c>
      <c r="G160" s="33">
        <v>0.58400999999999903</v>
      </c>
      <c r="H160" s="33">
        <v>0</v>
      </c>
      <c r="I160" s="33">
        <v>0.73386499999999999</v>
      </c>
      <c r="J160" s="33">
        <v>0.58400999999999903</v>
      </c>
      <c r="K160" s="33">
        <v>0.73386499999999999</v>
      </c>
      <c r="L160" s="33">
        <v>20.924009999999999</v>
      </c>
      <c r="M160" s="33">
        <v>26.253865000000001</v>
      </c>
      <c r="N160" s="34">
        <v>1.2546705998033401</v>
      </c>
      <c r="O160" s="34">
        <v>1.2567453983371399</v>
      </c>
      <c r="P160" s="34">
        <v>1.25556213872468</v>
      </c>
      <c r="Q160" s="34">
        <v>1.2572009170781799</v>
      </c>
      <c r="R160" s="33">
        <v>25.5622014021775</v>
      </c>
      <c r="S160" s="33">
        <v>25.541109367803301</v>
      </c>
      <c r="T160" s="33">
        <v>25.577880072215699</v>
      </c>
      <c r="U160" s="15">
        <v>1.6522941697969401E-3</v>
      </c>
      <c r="V160" s="15">
        <v>8.2682766854352103E-4</v>
      </c>
      <c r="W160" s="15">
        <v>2.26545981511732E-3</v>
      </c>
      <c r="X160" s="34">
        <v>1.2547243573292099</v>
      </c>
      <c r="Y160" s="34">
        <v>1.2550529069020999</v>
      </c>
      <c r="Z160" s="34">
        <v>1.25559100024318</v>
      </c>
      <c r="AA160" s="34">
        <v>1.25563483337395</v>
      </c>
      <c r="AB160" s="33">
        <v>26.260739574548701</v>
      </c>
      <c r="AC160" s="33">
        <v>26.274974059530301</v>
      </c>
      <c r="AD160" s="33">
        <v>26.273915589818401</v>
      </c>
      <c r="AE160" s="15">
        <v>2.6181572321559401E-4</v>
      </c>
      <c r="AF160" s="15">
        <v>8.0371320000897505E-4</v>
      </c>
      <c r="AG160" s="15">
        <v>7.6342805910248595E-4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2.5847847018025008E-3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3.0949213078863458E-3</v>
      </c>
      <c r="BE160" s="29">
        <f t="shared" si="62"/>
        <v>0</v>
      </c>
      <c r="BF160" s="29">
        <f t="shared" si="63"/>
        <v>5.6797060096888466E-3</v>
      </c>
      <c r="BH160" s="29"/>
    </row>
    <row r="161" spans="1:60" x14ac:dyDescent="0.25">
      <c r="A161" s="1">
        <v>46255</v>
      </c>
      <c r="B161" s="33">
        <v>20.32</v>
      </c>
      <c r="C161" s="33">
        <v>25.52</v>
      </c>
      <c r="D161" s="15">
        <v>-9.8376791013272697E-4</v>
      </c>
      <c r="E161" s="15">
        <v>0</v>
      </c>
      <c r="F161" s="33">
        <v>0</v>
      </c>
      <c r="G161" s="33">
        <v>0.58400999999999903</v>
      </c>
      <c r="H161" s="33">
        <v>0</v>
      </c>
      <c r="I161" s="33">
        <v>0.73386499999999999</v>
      </c>
      <c r="J161" s="33">
        <v>0.58400999999999903</v>
      </c>
      <c r="K161" s="33">
        <v>0.73386499999999999</v>
      </c>
      <c r="L161" s="33">
        <v>20.90401</v>
      </c>
      <c r="M161" s="33">
        <v>26.253865000000001</v>
      </c>
      <c r="N161" s="34">
        <v>1.2559055118110201</v>
      </c>
      <c r="O161" s="34">
        <v>1.2567453983371399</v>
      </c>
      <c r="P161" s="34">
        <v>1.25552799612822</v>
      </c>
      <c r="Q161" s="34">
        <v>1.25697844118944</v>
      </c>
      <c r="R161" s="33">
        <v>25.537066494210698</v>
      </c>
      <c r="S161" s="33">
        <v>25.5130226588855</v>
      </c>
      <c r="T161" s="33">
        <v>25.546322635028599</v>
      </c>
      <c r="U161" s="15">
        <v>6.6852625966431199E-4</v>
      </c>
      <c r="V161" s="15">
        <v>-2.73444165930614E-4</v>
      </c>
      <c r="W161" s="15">
        <v>1.0309196355518099E-3</v>
      </c>
      <c r="X161" s="34">
        <v>1.25592482016608</v>
      </c>
      <c r="Y161" s="34">
        <v>1.2550529069020999</v>
      </c>
      <c r="Z161" s="34">
        <v>1.25555781570062</v>
      </c>
      <c r="AA161" s="34">
        <v>1.2556771670557101</v>
      </c>
      <c r="AB161" s="33">
        <v>26.235638516410699</v>
      </c>
      <c r="AC161" s="33">
        <v>26.246886824993599</v>
      </c>
      <c r="AD161" s="33">
        <v>26.247803113197399</v>
      </c>
      <c r="AE161" s="15">
        <v>-6.9448110958554696E-4</v>
      </c>
      <c r="AF161" s="15">
        <v>-2.65831433070739E-4</v>
      </c>
      <c r="AG161" s="15">
        <v>-2.3092168486498599E-4</v>
      </c>
      <c r="AI161" s="12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2.5847847018025008E-3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3.0949213078863458E-3</v>
      </c>
      <c r="BE161" s="29">
        <f t="shared" si="62"/>
        <v>0</v>
      </c>
      <c r="BF161" s="29">
        <f t="shared" si="63"/>
        <v>5.6797060096888466E-3</v>
      </c>
      <c r="BH161" s="29"/>
    </row>
    <row r="162" spans="1:60" x14ac:dyDescent="0.25">
      <c r="A162" s="1">
        <v>46258</v>
      </c>
      <c r="B162" s="33">
        <v>20.28</v>
      </c>
      <c r="C162" s="33">
        <v>25.57</v>
      </c>
      <c r="D162" s="15">
        <v>-1.9704439872987199E-3</v>
      </c>
      <c r="E162" s="15">
        <v>1.95733082650606E-3</v>
      </c>
      <c r="F162" s="33">
        <v>9.1999999999999998E-2</v>
      </c>
      <c r="G162" s="33">
        <v>0.676009999999999</v>
      </c>
      <c r="H162" s="33">
        <v>0</v>
      </c>
      <c r="I162" s="33">
        <v>0.73386499999999999</v>
      </c>
      <c r="J162" s="33">
        <v>0.676009999999999</v>
      </c>
      <c r="K162" s="33">
        <v>0.73386499999999999</v>
      </c>
      <c r="L162" s="33">
        <v>20.956009999999999</v>
      </c>
      <c r="M162" s="33">
        <v>26.303864999999998</v>
      </c>
      <c r="N162" s="34">
        <v>1.26084812623274</v>
      </c>
      <c r="O162" s="34">
        <v>1.2567453983371399</v>
      </c>
      <c r="P162" s="34">
        <v>1.2561949129796199</v>
      </c>
      <c r="Q162" s="34">
        <v>1.2570041152176099</v>
      </c>
      <c r="R162" s="33">
        <v>25.486796678277202</v>
      </c>
      <c r="S162" s="33">
        <v>25.462107761480301</v>
      </c>
      <c r="T162" s="33">
        <v>25.491522787321799</v>
      </c>
      <c r="U162" s="15">
        <v>-3.2592485541405101E-3</v>
      </c>
      <c r="V162" s="15">
        <v>-4.2284124253117797E-3</v>
      </c>
      <c r="W162" s="15">
        <v>-3.07383212191315E-3</v>
      </c>
      <c r="X162" s="34">
        <v>1.25519433327241</v>
      </c>
      <c r="Y162" s="34">
        <v>1.2550529069020999</v>
      </c>
      <c r="Z162" s="34">
        <v>1.25565260528127</v>
      </c>
      <c r="AA162" s="34">
        <v>1.25568346224661</v>
      </c>
      <c r="AB162" s="33">
        <v>26.3009012675696</v>
      </c>
      <c r="AC162" s="33">
        <v>26.311482141400301</v>
      </c>
      <c r="AD162" s="33">
        <v>26.313983269591301</v>
      </c>
      <c r="AE162" s="15">
        <v>-1.12679235886241E-4</v>
      </c>
      <c r="AF162" s="15">
        <v>2.8954067082870999E-4</v>
      </c>
      <c r="AG162" s="15">
        <v>3.8459458335084098E-4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2.5847847018025008E-3</v>
      </c>
      <c r="AT162" s="12"/>
      <c r="AU162">
        <f t="shared" si="50"/>
        <v>0</v>
      </c>
      <c r="AV162">
        <f t="shared" si="51"/>
        <v>0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3.0949213078863458E-3</v>
      </c>
      <c r="BE162" s="29">
        <f t="shared" si="62"/>
        <v>0</v>
      </c>
      <c r="BF162" s="29">
        <f t="shared" si="63"/>
        <v>5.6797060096888466E-3</v>
      </c>
      <c r="BH162" s="29"/>
    </row>
    <row r="163" spans="1:60" x14ac:dyDescent="0.25">
      <c r="A163" s="1">
        <v>46259</v>
      </c>
      <c r="B163" s="33">
        <v>20.38</v>
      </c>
      <c r="C163" s="33">
        <v>25.69</v>
      </c>
      <c r="D163" s="15">
        <v>4.9188490715962501E-3</v>
      </c>
      <c r="E163" s="15">
        <v>4.6820218186969199E-3</v>
      </c>
      <c r="F163" s="33">
        <v>0</v>
      </c>
      <c r="G163" s="33">
        <v>0.676009999999999</v>
      </c>
      <c r="H163" s="33">
        <v>0</v>
      </c>
      <c r="I163" s="33">
        <v>0.73386499999999999</v>
      </c>
      <c r="J163" s="33">
        <v>0.676009999999999</v>
      </c>
      <c r="K163" s="33">
        <v>0.73386499999999999</v>
      </c>
      <c r="L163" s="33">
        <v>21.056010000000001</v>
      </c>
      <c r="M163" s="33">
        <v>26.423864999999999</v>
      </c>
      <c r="N163" s="34">
        <v>1.2605495583905699</v>
      </c>
      <c r="O163" s="34">
        <v>1.2567453983371399</v>
      </c>
      <c r="P163" s="34">
        <v>1.25662271682654</v>
      </c>
      <c r="Q163" s="34">
        <v>1.25702226569482</v>
      </c>
      <c r="R163" s="33">
        <v>25.612471218111001</v>
      </c>
      <c r="S163" s="33">
        <v>25.601252326524602</v>
      </c>
      <c r="T163" s="33">
        <v>25.617743868134902</v>
      </c>
      <c r="U163" s="15">
        <v>-3.02242130124135E-3</v>
      </c>
      <c r="V163" s="15">
        <v>-3.4605418279015001E-3</v>
      </c>
      <c r="W163" s="15">
        <v>-2.8165798838778399E-3</v>
      </c>
      <c r="X163" s="34">
        <v>1.2549322022548399</v>
      </c>
      <c r="Y163" s="34">
        <v>1.2550529069020999</v>
      </c>
      <c r="Z163" s="34">
        <v>1.25551776565597</v>
      </c>
      <c r="AA163" s="34">
        <v>1.2556832210406801</v>
      </c>
      <c r="AB163" s="33">
        <v>26.426406558259799</v>
      </c>
      <c r="AC163" s="33">
        <v>26.439033813328599</v>
      </c>
      <c r="AD163" s="33">
        <v>26.439683537899299</v>
      </c>
      <c r="AE163" s="15">
        <v>9.6179572473900006E-5</v>
      </c>
      <c r="AF163" s="15">
        <v>5.7389261979445296E-4</v>
      </c>
      <c r="AG163" s="15">
        <v>5.9846676241115903E-4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2.5847847018025008E-3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3.0949213078863458E-3</v>
      </c>
      <c r="BE163" s="29">
        <f t="shared" si="62"/>
        <v>0</v>
      </c>
      <c r="BF163" s="29">
        <f t="shared" si="63"/>
        <v>5.6797060096888466E-3</v>
      </c>
      <c r="BH163" s="29"/>
    </row>
    <row r="164" spans="1:60" x14ac:dyDescent="0.25">
      <c r="A164" s="1">
        <v>46260</v>
      </c>
      <c r="B164" s="33">
        <v>20.36</v>
      </c>
      <c r="C164" s="33">
        <v>25.67</v>
      </c>
      <c r="D164" s="15">
        <v>-9.8183611225670093E-4</v>
      </c>
      <c r="E164" s="15">
        <v>-7.7881623874309896E-4</v>
      </c>
      <c r="F164" s="33">
        <v>0</v>
      </c>
      <c r="G164" s="33">
        <v>0.676009999999999</v>
      </c>
      <c r="H164" s="33">
        <v>0</v>
      </c>
      <c r="I164" s="33">
        <v>0.73386499999999999</v>
      </c>
      <c r="J164" s="33">
        <v>0.676009999999999</v>
      </c>
      <c r="K164" s="33">
        <v>0.73386499999999999</v>
      </c>
      <c r="L164" s="33">
        <v>21.036010000000001</v>
      </c>
      <c r="M164" s="33">
        <v>26.403865</v>
      </c>
      <c r="N164" s="34">
        <v>1.26080550098231</v>
      </c>
      <c r="O164" s="34">
        <v>1.2567453983371399</v>
      </c>
      <c r="P164" s="34">
        <v>1.25721210778922</v>
      </c>
      <c r="Q164" s="34">
        <v>1.25703298409369</v>
      </c>
      <c r="R164" s="33">
        <v>25.587336310144199</v>
      </c>
      <c r="S164" s="33">
        <v>25.584838514588501</v>
      </c>
      <c r="T164" s="33">
        <v>25.592973329546599</v>
      </c>
      <c r="U164" s="15">
        <v>-3.2254411747549101E-3</v>
      </c>
      <c r="V164" s="15">
        <v>-3.3230643680735002E-3</v>
      </c>
      <c r="W164" s="15">
        <v>-3.0051603884571798E-3</v>
      </c>
      <c r="X164" s="34">
        <v>1.25517457920965</v>
      </c>
      <c r="Y164" s="34">
        <v>1.2550529069020999</v>
      </c>
      <c r="Z164" s="34">
        <v>1.2555393658114</v>
      </c>
      <c r="AA164" s="34">
        <v>1.2556763149531001</v>
      </c>
      <c r="AB164" s="33">
        <v>26.401305500121801</v>
      </c>
      <c r="AC164" s="33">
        <v>26.4110842735166</v>
      </c>
      <c r="AD164" s="33">
        <v>26.414564794644001</v>
      </c>
      <c r="AE164" s="15">
        <v>-9.6941259954715894E-5</v>
      </c>
      <c r="AF164" s="15">
        <v>2.7337992977197602E-4</v>
      </c>
      <c r="AG164" s="15">
        <v>4.0515383861422998E-4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2.5847847018025008E-3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3.0949213078863458E-3</v>
      </c>
      <c r="BE164" s="29">
        <f t="shared" si="62"/>
        <v>0</v>
      </c>
      <c r="BF164" s="29">
        <f t="shared" si="63"/>
        <v>5.6797060096888466E-3</v>
      </c>
      <c r="BH164" s="29"/>
    </row>
    <row r="165" spans="1:60" x14ac:dyDescent="0.25">
      <c r="A165" s="1">
        <v>46261</v>
      </c>
      <c r="B165" s="33">
        <v>20.34</v>
      </c>
      <c r="C165" s="33">
        <v>25.69</v>
      </c>
      <c r="D165" s="15">
        <v>-9.8280106190808797E-4</v>
      </c>
      <c r="E165" s="15">
        <v>7.78816238743236E-4</v>
      </c>
      <c r="F165" s="33">
        <v>0</v>
      </c>
      <c r="G165" s="33">
        <v>0.676009999999999</v>
      </c>
      <c r="H165" s="33">
        <v>0</v>
      </c>
      <c r="I165" s="33">
        <v>0.73386499999999999</v>
      </c>
      <c r="J165" s="33">
        <v>0.676009999999999</v>
      </c>
      <c r="K165" s="33">
        <v>0.73386499999999999</v>
      </c>
      <c r="L165" s="33">
        <v>21.016010000000001</v>
      </c>
      <c r="M165" s="33">
        <v>26.423864999999999</v>
      </c>
      <c r="N165" s="34">
        <v>1.2630285152409</v>
      </c>
      <c r="O165" s="34">
        <v>1.2567453983371399</v>
      </c>
      <c r="P165" s="34">
        <v>1.25789026553575</v>
      </c>
      <c r="Q165" s="34">
        <v>1.2570938586746301</v>
      </c>
      <c r="R165" s="33">
        <v>25.5622014021775</v>
      </c>
      <c r="S165" s="33">
        <v>25.571694272432701</v>
      </c>
      <c r="T165" s="33">
        <v>25.568050896465699</v>
      </c>
      <c r="U165" s="15">
        <v>-4.9870584754061597E-3</v>
      </c>
      <c r="V165" s="15">
        <v>-4.6157638482693802E-3</v>
      </c>
      <c r="W165" s="15">
        <v>-4.7582509084256501E-3</v>
      </c>
      <c r="X165" s="34">
        <v>1.2573207283399599</v>
      </c>
      <c r="Y165" s="34">
        <v>1.2550529069020999</v>
      </c>
      <c r="Z165" s="34">
        <v>1.25564577208622</v>
      </c>
      <c r="AA165" s="34">
        <v>1.2557171733301</v>
      </c>
      <c r="AB165" s="33">
        <v>26.376204441983699</v>
      </c>
      <c r="AC165" s="33">
        <v>26.386427867285999</v>
      </c>
      <c r="AD165" s="33">
        <v>26.3893059918177</v>
      </c>
      <c r="AE165" s="15">
        <v>-1.8053222832658999E-3</v>
      </c>
      <c r="AF165" s="15">
        <v>-1.41779706010051E-3</v>
      </c>
      <c r="AG165" s="15">
        <v>-1.3087270643255601E-3</v>
      </c>
      <c r="AI165" s="12"/>
      <c r="AJ165">
        <f t="shared" si="46"/>
        <v>1</v>
      </c>
      <c r="AK165">
        <f t="shared" si="47"/>
        <v>0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2.5847847018025008E-3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3.0949213078863458E-3</v>
      </c>
      <c r="BE165" s="29">
        <f t="shared" si="62"/>
        <v>0</v>
      </c>
      <c r="BF165" s="29">
        <f t="shared" si="63"/>
        <v>5.6797060096888466E-3</v>
      </c>
      <c r="BH165" s="29"/>
    </row>
    <row r="166" spans="1:60" x14ac:dyDescent="0.25">
      <c r="A166" s="1">
        <v>46262</v>
      </c>
      <c r="B166" s="33">
        <v>20.28</v>
      </c>
      <c r="C166" s="33">
        <v>25.58</v>
      </c>
      <c r="D166" s="15">
        <v>-2.9542118974314E-3</v>
      </c>
      <c r="E166" s="15">
        <v>-4.2910149710956996E-3</v>
      </c>
      <c r="F166" s="33">
        <v>0</v>
      </c>
      <c r="G166" s="33">
        <v>0.676009999999999</v>
      </c>
      <c r="H166" s="33">
        <v>0</v>
      </c>
      <c r="I166" s="33">
        <v>0.73386499999999999</v>
      </c>
      <c r="J166" s="33">
        <v>0.676009999999999</v>
      </c>
      <c r="K166" s="33">
        <v>0.73386499999999999</v>
      </c>
      <c r="L166" s="33">
        <v>20.956009999999999</v>
      </c>
      <c r="M166" s="33">
        <v>26.313865</v>
      </c>
      <c r="N166" s="34">
        <v>1.2613412228796801</v>
      </c>
      <c r="O166" s="34">
        <v>1.2567453983371399</v>
      </c>
      <c r="P166" s="34">
        <v>1.25849665095577</v>
      </c>
      <c r="Q166" s="34">
        <v>1.2570938586746301</v>
      </c>
      <c r="R166" s="33">
        <v>25.486796678277202</v>
      </c>
      <c r="S166" s="33">
        <v>25.510014585065001</v>
      </c>
      <c r="T166" s="33">
        <v>25.493863453921598</v>
      </c>
      <c r="U166" s="15">
        <v>-3.6502554017418601E-3</v>
      </c>
      <c r="V166" s="15">
        <v>-2.7396922580170701E-3</v>
      </c>
      <c r="W166" s="15">
        <v>-3.37302181271717E-3</v>
      </c>
      <c r="X166" s="34">
        <v>1.2556715233481901</v>
      </c>
      <c r="Y166" s="34">
        <v>1.2550529069020999</v>
      </c>
      <c r="Z166" s="34">
        <v>1.25568151062482</v>
      </c>
      <c r="AA166" s="34">
        <v>1.25569891274609</v>
      </c>
      <c r="AB166" s="33">
        <v>26.3009012675696</v>
      </c>
      <c r="AC166" s="33">
        <v>26.313325356296499</v>
      </c>
      <c r="AD166" s="33">
        <v>26.314821641477401</v>
      </c>
      <c r="AE166" s="15">
        <v>-4.9277925617958898E-4</v>
      </c>
      <c r="AF166" s="15">
        <v>-2.0508170768574799E-5</v>
      </c>
      <c r="AG166" s="15">
        <v>3.6354373957678901E-5</v>
      </c>
      <c r="AI166" s="12"/>
      <c r="AJ166">
        <f t="shared" si="46"/>
        <v>0</v>
      </c>
      <c r="AK166">
        <f t="shared" si="47"/>
        <v>1</v>
      </c>
      <c r="AL166">
        <f t="shared" si="54"/>
        <v>1</v>
      </c>
      <c r="AM166">
        <f t="shared" si="44"/>
        <v>1</v>
      </c>
      <c r="AN166">
        <f t="shared" si="55"/>
        <v>1</v>
      </c>
      <c r="AO166" s="28">
        <f t="shared" si="48"/>
        <v>-2.9542118974314E-3</v>
      </c>
      <c r="AP166" s="28">
        <f t="shared" si="49"/>
        <v>4.2910149710956996E-3</v>
      </c>
      <c r="AQ166" s="28">
        <f t="shared" si="56"/>
        <v>1.3368030736642996E-3</v>
      </c>
      <c r="AR166" s="29">
        <f t="shared" si="57"/>
        <v>3.9215877754668008E-3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3.0949213078863458E-3</v>
      </c>
      <c r="BE166" s="29">
        <f t="shared" si="62"/>
        <v>1.3368030736642996E-3</v>
      </c>
      <c r="BF166" s="29">
        <f t="shared" si="63"/>
        <v>7.0165090833531462E-3</v>
      </c>
      <c r="BH166" s="29"/>
    </row>
    <row r="167" spans="1:60" x14ac:dyDescent="0.25">
      <c r="A167" s="1">
        <v>46265</v>
      </c>
      <c r="B167" s="33">
        <v>20.25</v>
      </c>
      <c r="C167" s="33">
        <v>25.55</v>
      </c>
      <c r="D167" s="15">
        <v>-1.4803851704343299E-3</v>
      </c>
      <c r="E167" s="15">
        <v>-1.1734795009830799E-3</v>
      </c>
      <c r="F167" s="33">
        <v>0</v>
      </c>
      <c r="G167" s="33">
        <v>0.676009999999999</v>
      </c>
      <c r="H167" s="33">
        <v>0</v>
      </c>
      <c r="I167" s="33">
        <v>0.73386499999999999</v>
      </c>
      <c r="J167" s="33">
        <v>0.676009999999999</v>
      </c>
      <c r="K167" s="33">
        <v>0.73386499999999999</v>
      </c>
      <c r="L167" s="33">
        <v>20.926010000000002</v>
      </c>
      <c r="M167" s="33">
        <v>26.283864999999999</v>
      </c>
      <c r="N167" s="34">
        <v>1.26172839506172</v>
      </c>
      <c r="O167" s="34">
        <v>1.2567453983371399</v>
      </c>
      <c r="P167" s="34">
        <v>1.25910298799889</v>
      </c>
      <c r="Q167" s="34">
        <v>1.25742216633333</v>
      </c>
      <c r="R167" s="33">
        <v>25.449094316327098</v>
      </c>
      <c r="S167" s="33">
        <v>25.484557181854399</v>
      </c>
      <c r="T167" s="33">
        <v>25.4561506381614</v>
      </c>
      <c r="U167" s="15">
        <v>-3.9571610711931398E-3</v>
      </c>
      <c r="V167" s="15">
        <v>-2.5646486471023701E-3</v>
      </c>
      <c r="W167" s="15">
        <v>-3.6799274821683798E-3</v>
      </c>
      <c r="X167" s="34">
        <v>1.25603805981168</v>
      </c>
      <c r="Y167" s="34">
        <v>1.2550529069020999</v>
      </c>
      <c r="Z167" s="34">
        <v>1.25571620894898</v>
      </c>
      <c r="AA167" s="34">
        <v>1.2557407018770499</v>
      </c>
      <c r="AB167" s="33">
        <v>26.263249680362499</v>
      </c>
      <c r="AC167" s="33">
        <v>26.276403848150199</v>
      </c>
      <c r="AD167" s="33">
        <v>26.276768005113901</v>
      </c>
      <c r="AE167" s="15">
        <v>-7.8464139546013402E-4</v>
      </c>
      <c r="AF167" s="15">
        <v>-2.83908437433746E-4</v>
      </c>
      <c r="AG167" s="15">
        <v>-2.7004982715976599E-4</v>
      </c>
      <c r="AI167" s="12"/>
      <c r="AJ167">
        <f t="shared" si="46"/>
        <v>0</v>
      </c>
      <c r="AK167">
        <f t="shared" si="47"/>
        <v>0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3.9215877754668008E-3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3.0949213078863458E-3</v>
      </c>
      <c r="BE167" s="29">
        <f t="shared" si="62"/>
        <v>0</v>
      </c>
      <c r="BF167" s="29">
        <f t="shared" si="63"/>
        <v>7.0165090833531462E-3</v>
      </c>
      <c r="BH167" s="29"/>
    </row>
    <row r="168" spans="1:60" x14ac:dyDescent="0.25">
      <c r="A168" s="1">
        <v>46266</v>
      </c>
      <c r="B168" s="33">
        <v>20.16</v>
      </c>
      <c r="C168" s="33">
        <v>25.32</v>
      </c>
      <c r="D168" s="15">
        <v>-4.4543503493803E-3</v>
      </c>
      <c r="E168" s="15">
        <v>-9.0427193737380104E-3</v>
      </c>
      <c r="F168" s="33">
        <v>0</v>
      </c>
      <c r="G168" s="33">
        <v>0.676009999999999</v>
      </c>
      <c r="H168" s="33">
        <v>0.10922999999999999</v>
      </c>
      <c r="I168" s="33">
        <v>0.84309499999999904</v>
      </c>
      <c r="J168" s="33">
        <v>0.676009999999999</v>
      </c>
      <c r="K168" s="33">
        <v>0.84309499999999904</v>
      </c>
      <c r="L168" s="33">
        <v>20.836010000000002</v>
      </c>
      <c r="M168" s="33">
        <v>26.163094999999998</v>
      </c>
      <c r="N168" s="34">
        <v>1.25595238095238</v>
      </c>
      <c r="O168" s="34">
        <v>1.2567453983371399</v>
      </c>
      <c r="P168" s="34">
        <v>1.2591076749130301</v>
      </c>
      <c r="Q168" s="34">
        <v>1.2574199811714499</v>
      </c>
      <c r="R168" s="33">
        <v>25.3359872304768</v>
      </c>
      <c r="S168" s="33">
        <v>25.383516238057702</v>
      </c>
      <c r="T168" s="33">
        <v>25.349630873279899</v>
      </c>
      <c r="U168" s="15">
        <v>6.3120795316472201E-4</v>
      </c>
      <c r="V168" s="15">
        <v>2.5053990726763399E-3</v>
      </c>
      <c r="W168" s="15">
        <v>1.16957144336433E-3</v>
      </c>
      <c r="X168" s="34">
        <v>1.2556672318740401</v>
      </c>
      <c r="Y168" s="34">
        <v>1.2550529069020999</v>
      </c>
      <c r="Z168" s="34">
        <v>1.2556904501197801</v>
      </c>
      <c r="AA168" s="34">
        <v>1.2557234247540101</v>
      </c>
      <c r="AB168" s="33">
        <v>26.150294918741299</v>
      </c>
      <c r="AC168" s="33">
        <v>26.164115486823199</v>
      </c>
      <c r="AD168" s="33">
        <v>26.164625821717198</v>
      </c>
      <c r="AE168" s="15">
        <v>-4.8936157775049903E-4</v>
      </c>
      <c r="AF168" s="15">
        <v>3.9004059794587997E-5</v>
      </c>
      <c r="AG168" s="15">
        <v>5.8509015629159803E-5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3.9215877754668008E-3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3.0949213078863458E-3</v>
      </c>
      <c r="BE168" s="29">
        <f t="shared" si="62"/>
        <v>0</v>
      </c>
      <c r="BF168" s="29">
        <f t="shared" si="63"/>
        <v>7.0165090833531462E-3</v>
      </c>
      <c r="BH168" s="29"/>
    </row>
    <row r="169" spans="1:60" x14ac:dyDescent="0.25">
      <c r="A169" s="1">
        <v>46267</v>
      </c>
      <c r="B169" s="33">
        <v>20.18</v>
      </c>
      <c r="C169" s="33">
        <v>25.34</v>
      </c>
      <c r="D169" s="15">
        <v>9.9157172229502708E-4</v>
      </c>
      <c r="E169" s="15">
        <v>7.8957761701758196E-4</v>
      </c>
      <c r="F169" s="33">
        <v>0</v>
      </c>
      <c r="G169" s="33">
        <v>0.676009999999999</v>
      </c>
      <c r="H169" s="33">
        <v>0</v>
      </c>
      <c r="I169" s="33">
        <v>0.84309499999999904</v>
      </c>
      <c r="J169" s="33">
        <v>0.676009999999999</v>
      </c>
      <c r="K169" s="33">
        <v>0.84309499999999904</v>
      </c>
      <c r="L169" s="33">
        <v>20.856010000000001</v>
      </c>
      <c r="M169" s="33">
        <v>26.183095000000002</v>
      </c>
      <c r="N169" s="34">
        <v>1.25569871159563</v>
      </c>
      <c r="O169" s="34">
        <v>1.2567453983371399</v>
      </c>
      <c r="P169" s="34">
        <v>1.2590528522950299</v>
      </c>
      <c r="Q169" s="34">
        <v>1.2573806387287101</v>
      </c>
      <c r="R169" s="33">
        <v>25.361122138443498</v>
      </c>
      <c r="S169" s="33">
        <v>25.408792879744901</v>
      </c>
      <c r="T169" s="33">
        <v>25.374735220039899</v>
      </c>
      <c r="U169" s="15">
        <v>8.3320205844206999E-4</v>
      </c>
      <c r="V169" s="15">
        <v>2.7111155941955799E-3</v>
      </c>
      <c r="W169" s="15">
        <v>1.36982773628743E-3</v>
      </c>
      <c r="X169" s="34">
        <v>1.2554220581980899</v>
      </c>
      <c r="Y169" s="34">
        <v>1.2550529069020999</v>
      </c>
      <c r="Z169" s="34">
        <v>1.25560698938041</v>
      </c>
      <c r="AA169" s="34">
        <v>1.25567009529712</v>
      </c>
      <c r="AB169" s="33">
        <v>26.1753959768794</v>
      </c>
      <c r="AC169" s="33">
        <v>26.188692584602698</v>
      </c>
      <c r="AD169" s="33">
        <v>26.189380303903899</v>
      </c>
      <c r="AE169" s="15">
        <v>-2.9408881090420199E-4</v>
      </c>
      <c r="AF169" s="15">
        <v>2.1376335932859699E-4</v>
      </c>
      <c r="AG169" s="15">
        <v>2.4002317620547801E-4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3.9215877754668008E-3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3.0949213078863458E-3</v>
      </c>
      <c r="BE169" s="29">
        <f t="shared" si="62"/>
        <v>0</v>
      </c>
      <c r="BF169" s="29">
        <f t="shared" si="63"/>
        <v>7.0165090833531462E-3</v>
      </c>
      <c r="BH169" s="29"/>
    </row>
    <row r="170" spans="1:60" x14ac:dyDescent="0.25">
      <c r="A170" s="1">
        <v>46268</v>
      </c>
      <c r="B170" s="33">
        <v>20.2</v>
      </c>
      <c r="C170" s="33">
        <v>25.37</v>
      </c>
      <c r="D170" s="15">
        <v>9.9058948169608802E-4</v>
      </c>
      <c r="E170" s="15">
        <v>1.18319871819761E-3</v>
      </c>
      <c r="F170" s="33">
        <v>0</v>
      </c>
      <c r="G170" s="33">
        <v>0.676009999999999</v>
      </c>
      <c r="H170" s="33">
        <v>0</v>
      </c>
      <c r="I170" s="33">
        <v>0.84309499999999904</v>
      </c>
      <c r="J170" s="33">
        <v>0.676009999999999</v>
      </c>
      <c r="K170" s="33">
        <v>0.84309499999999904</v>
      </c>
      <c r="L170" s="33">
        <v>20.876010000000001</v>
      </c>
      <c r="M170" s="33">
        <v>26.213094999999999</v>
      </c>
      <c r="N170" s="34">
        <v>1.2559405940594</v>
      </c>
      <c r="O170" s="34">
        <v>1.2567453983371399</v>
      </c>
      <c r="P170" s="34">
        <v>1.2591798517206401</v>
      </c>
      <c r="Q170" s="34">
        <v>1.2573709952226599</v>
      </c>
      <c r="R170" s="33">
        <v>25.3862570464103</v>
      </c>
      <c r="S170" s="33">
        <v>25.432867616359601</v>
      </c>
      <c r="T170" s="33">
        <v>25.399088902320099</v>
      </c>
      <c r="U170" s="15">
        <v>6.4059282194081602E-4</v>
      </c>
      <c r="V170" s="15">
        <v>2.4749645600902598E-3</v>
      </c>
      <c r="W170" s="15">
        <v>1.14592978256061E-3</v>
      </c>
      <c r="X170" s="34">
        <v>1.25565637303296</v>
      </c>
      <c r="Y170" s="34">
        <v>1.2550529069020999</v>
      </c>
      <c r="Z170" s="34">
        <v>1.2557001909507901</v>
      </c>
      <c r="AA170" s="34">
        <v>1.2556455955969901</v>
      </c>
      <c r="AB170" s="33">
        <v>26.200497035017399</v>
      </c>
      <c r="AC170" s="33">
        <v>26.2120640663755</v>
      </c>
      <c r="AD170" s="33">
        <v>26.213381466123799</v>
      </c>
      <c r="AE170" s="15">
        <v>-4.80713675060434E-4</v>
      </c>
      <c r="AF170" s="15">
        <v>-3.93297280530352E-5</v>
      </c>
      <c r="AG170" s="15">
        <v>1.09282997110926E-5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3.9215877754668008E-3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3.0949213078863458E-3</v>
      </c>
      <c r="BE170" s="29">
        <f t="shared" si="62"/>
        <v>0</v>
      </c>
      <c r="BF170" s="29">
        <f t="shared" si="63"/>
        <v>7.0165090833531462E-3</v>
      </c>
      <c r="BH170" s="29"/>
    </row>
    <row r="171" spans="1:60" x14ac:dyDescent="0.25">
      <c r="A171" s="1">
        <v>46269</v>
      </c>
      <c r="B171" s="33">
        <v>20.2</v>
      </c>
      <c r="C171" s="33">
        <v>25.37</v>
      </c>
      <c r="D171" s="15">
        <v>0</v>
      </c>
      <c r="E171" s="15">
        <v>0</v>
      </c>
      <c r="F171" s="33">
        <v>0</v>
      </c>
      <c r="G171" s="33">
        <v>0.676009999999999</v>
      </c>
      <c r="H171" s="33">
        <v>0</v>
      </c>
      <c r="I171" s="33">
        <v>0.84309499999999904</v>
      </c>
      <c r="J171" s="33">
        <v>0.676009999999999</v>
      </c>
      <c r="K171" s="33">
        <v>0.84309499999999904</v>
      </c>
      <c r="L171" s="33">
        <v>20.876010000000001</v>
      </c>
      <c r="M171" s="33">
        <v>26.213094999999999</v>
      </c>
      <c r="N171" s="34">
        <v>1.2559405940594</v>
      </c>
      <c r="O171" s="34">
        <v>1.2567453983371399</v>
      </c>
      <c r="P171" s="34">
        <v>1.25918335994547</v>
      </c>
      <c r="Q171" s="34">
        <v>1.25735567803685</v>
      </c>
      <c r="R171" s="33">
        <v>25.3862570464103</v>
      </c>
      <c r="S171" s="33">
        <v>25.435433004756899</v>
      </c>
      <c r="T171" s="33">
        <v>25.3988941034977</v>
      </c>
      <c r="U171" s="15">
        <v>6.4059282194081602E-4</v>
      </c>
      <c r="V171" s="15">
        <v>2.5758284917765401E-3</v>
      </c>
      <c r="W171" s="15">
        <v>1.13826023306866E-3</v>
      </c>
      <c r="X171" s="34">
        <v>1.25565637303296</v>
      </c>
      <c r="Y171" s="34">
        <v>1.2550529069020999</v>
      </c>
      <c r="Z171" s="34">
        <v>1.2556733462374801</v>
      </c>
      <c r="AA171" s="34">
        <v>1.2556155809690499</v>
      </c>
      <c r="AB171" s="33">
        <v>26.200497035017399</v>
      </c>
      <c r="AC171" s="33">
        <v>26.214009743290699</v>
      </c>
      <c r="AD171" s="33">
        <v>26.212870010138701</v>
      </c>
      <c r="AE171" s="15">
        <v>-4.80713675060434E-4</v>
      </c>
      <c r="AF171" s="15">
        <v>3.4895815638658797E-5</v>
      </c>
      <c r="AG171" s="15">
        <v>-8.5831462023379108E-6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3.9215877754668008E-3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3.0949213078863458E-3</v>
      </c>
      <c r="BE171" s="29">
        <f t="shared" si="62"/>
        <v>0</v>
      </c>
      <c r="BF171" s="29">
        <f t="shared" si="63"/>
        <v>7.0165090833531462E-3</v>
      </c>
      <c r="BH171" s="29"/>
    </row>
    <row r="172" spans="1:60" x14ac:dyDescent="0.25">
      <c r="A172" s="1">
        <v>46273</v>
      </c>
      <c r="B172" s="33">
        <v>20.18</v>
      </c>
      <c r="C172" s="33">
        <v>25.33</v>
      </c>
      <c r="D172" s="15">
        <v>-9.9058948169617909E-4</v>
      </c>
      <c r="E172" s="15">
        <v>-1.57790959760678E-3</v>
      </c>
      <c r="F172" s="33">
        <v>0</v>
      </c>
      <c r="G172" s="33">
        <v>0.676009999999999</v>
      </c>
      <c r="H172" s="33">
        <v>0</v>
      </c>
      <c r="I172" s="33">
        <v>0.84309499999999904</v>
      </c>
      <c r="J172" s="33">
        <v>0.676009999999999</v>
      </c>
      <c r="K172" s="33">
        <v>0.84309499999999904</v>
      </c>
      <c r="L172" s="33">
        <v>20.856010000000001</v>
      </c>
      <c r="M172" s="33">
        <v>26.173094999999901</v>
      </c>
      <c r="N172" s="34">
        <v>1.2552031714568801</v>
      </c>
      <c r="O172" s="34">
        <v>1.2567453983371399</v>
      </c>
      <c r="P172" s="34">
        <v>1.25861886446789</v>
      </c>
      <c r="Q172" s="34">
        <v>1.2574068887237499</v>
      </c>
      <c r="R172" s="33">
        <v>25.361122138443498</v>
      </c>
      <c r="S172" s="33">
        <v>25.410320203699701</v>
      </c>
      <c r="T172" s="33">
        <v>25.373437582783598</v>
      </c>
      <c r="U172" s="15">
        <v>1.2279129378513201E-3</v>
      </c>
      <c r="V172" s="15">
        <v>3.1659347227492802E-3</v>
      </c>
      <c r="W172" s="15">
        <v>1.71339836039737E-3</v>
      </c>
      <c r="X172" s="34">
        <v>1.2549425801004099</v>
      </c>
      <c r="Y172" s="34">
        <v>1.2550529069020999</v>
      </c>
      <c r="Z172" s="34">
        <v>1.25564817092028</v>
      </c>
      <c r="AA172" s="34">
        <v>1.2556503881007799</v>
      </c>
      <c r="AB172" s="33">
        <v>26.1753959768794</v>
      </c>
      <c r="AC172" s="33">
        <v>26.188335865862399</v>
      </c>
      <c r="AD172" s="33">
        <v>26.187131112846298</v>
      </c>
      <c r="AE172" s="15">
        <v>8.7909960267149002E-5</v>
      </c>
      <c r="AF172" s="15">
        <v>5.8214094003208102E-4</v>
      </c>
      <c r="AG172" s="15">
        <v>5.3613646176188198E-4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3.9215877754668008E-3</v>
      </c>
      <c r="AT172" s="12"/>
      <c r="AU172">
        <f t="shared" si="50"/>
        <v>0</v>
      </c>
      <c r="AV172">
        <f t="shared" si="51"/>
        <v>0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3.0949213078863458E-3</v>
      </c>
      <c r="BE172" s="29">
        <f t="shared" si="62"/>
        <v>0</v>
      </c>
      <c r="BF172" s="29">
        <f t="shared" si="63"/>
        <v>7.0165090833531462E-3</v>
      </c>
      <c r="BH172" s="29"/>
    </row>
    <row r="173" spans="1:60" x14ac:dyDescent="0.25">
      <c r="A173" s="1">
        <v>46274</v>
      </c>
      <c r="B173" s="33">
        <v>20.14</v>
      </c>
      <c r="C173" s="33">
        <v>25.3</v>
      </c>
      <c r="D173" s="15">
        <v>-1.98412763504659E-3</v>
      </c>
      <c r="E173" s="15">
        <v>-1.1850682801092501E-3</v>
      </c>
      <c r="F173" s="33">
        <v>0</v>
      </c>
      <c r="G173" s="33">
        <v>0.676009999999999</v>
      </c>
      <c r="H173" s="33">
        <v>0</v>
      </c>
      <c r="I173" s="33">
        <v>0.84309499999999904</v>
      </c>
      <c r="J173" s="33">
        <v>0.676009999999999</v>
      </c>
      <c r="K173" s="33">
        <v>0.84309499999999904</v>
      </c>
      <c r="L173" s="33">
        <v>20.816009999999999</v>
      </c>
      <c r="M173" s="33">
        <v>26.143094999999999</v>
      </c>
      <c r="N173" s="34">
        <v>1.25620655412115</v>
      </c>
      <c r="O173" s="34">
        <v>1.2567453983371399</v>
      </c>
      <c r="P173" s="34">
        <v>1.2581845640409499</v>
      </c>
      <c r="Q173" s="34">
        <v>1.2574036404337401</v>
      </c>
      <c r="R173" s="33">
        <v>25.310852322510001</v>
      </c>
      <c r="S173" s="33">
        <v>25.348583930383299</v>
      </c>
      <c r="T173" s="33">
        <v>25.324174738896399</v>
      </c>
      <c r="U173" s="15">
        <v>4.2885358291405799E-4</v>
      </c>
      <c r="V173" s="15">
        <v>1.91847200906504E-3</v>
      </c>
      <c r="W173" s="15">
        <v>9.5506705477112696E-4</v>
      </c>
      <c r="X173" s="34">
        <v>1.2559128766752099</v>
      </c>
      <c r="Y173" s="34">
        <v>1.2550529069020999</v>
      </c>
      <c r="Z173" s="34">
        <v>1.2557462383623199</v>
      </c>
      <c r="AA173" s="34">
        <v>1.25563200200914</v>
      </c>
      <c r="AB173" s="33">
        <v>26.1251938606033</v>
      </c>
      <c r="AC173" s="33">
        <v>26.137584882358301</v>
      </c>
      <c r="AD173" s="33">
        <v>26.137631035209701</v>
      </c>
      <c r="AE173" s="15">
        <v>-6.8497134636710203E-4</v>
      </c>
      <c r="AF173" s="15">
        <v>-2.1078982425122399E-4</v>
      </c>
      <c r="AG173" s="15">
        <v>-2.09024060089845E-4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3.9215877754668008E-3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3.0949213078863458E-3</v>
      </c>
      <c r="BE173" s="29">
        <f t="shared" si="62"/>
        <v>0</v>
      </c>
      <c r="BF173" s="29">
        <f t="shared" si="63"/>
        <v>7.0165090833531462E-3</v>
      </c>
      <c r="BH173" s="29"/>
    </row>
    <row r="174" spans="1:60" x14ac:dyDescent="0.25">
      <c r="A174" s="1">
        <v>46275</v>
      </c>
      <c r="B174" s="33">
        <v>19.98</v>
      </c>
      <c r="C174" s="33">
        <v>25.12</v>
      </c>
      <c r="D174" s="15">
        <v>-7.97611407000875E-3</v>
      </c>
      <c r="E174" s="15">
        <v>-7.1400541334765803E-3</v>
      </c>
      <c r="F174" s="33">
        <v>0</v>
      </c>
      <c r="G174" s="33">
        <v>0.676009999999999</v>
      </c>
      <c r="H174" s="33">
        <v>0</v>
      </c>
      <c r="I174" s="33">
        <v>0.84309499999999904</v>
      </c>
      <c r="J174" s="33">
        <v>0.676009999999999</v>
      </c>
      <c r="K174" s="33">
        <v>0.84309499999999904</v>
      </c>
      <c r="L174" s="33">
        <v>20.656009999999998</v>
      </c>
      <c r="M174" s="33">
        <v>25.963094999999999</v>
      </c>
      <c r="N174" s="34">
        <v>1.25725725725725</v>
      </c>
      <c r="O174" s="34">
        <v>1.2567453983371399</v>
      </c>
      <c r="P174" s="34">
        <v>1.2578297396684399</v>
      </c>
      <c r="Q174" s="34">
        <v>1.2575209237288301</v>
      </c>
      <c r="R174" s="33">
        <v>25.109773058776099</v>
      </c>
      <c r="S174" s="33">
        <v>25.1385275895381</v>
      </c>
      <c r="T174" s="33">
        <v>25.122924735866299</v>
      </c>
      <c r="U174" s="15">
        <v>-4.0720635361824701E-4</v>
      </c>
      <c r="V174" s="15">
        <v>7.3729141167078595E-4</v>
      </c>
      <c r="W174" s="15">
        <v>1.16423790413922E-4</v>
      </c>
      <c r="X174" s="34">
        <v>1.2569269186062499</v>
      </c>
      <c r="Y174" s="34">
        <v>1.2550529069020999</v>
      </c>
      <c r="Z174" s="34">
        <v>1.25592147230198</v>
      </c>
      <c r="AA174" s="34">
        <v>1.25573041905669</v>
      </c>
      <c r="AB174" s="33">
        <v>25.924385395499002</v>
      </c>
      <c r="AC174" s="33">
        <v>25.938706857074401</v>
      </c>
      <c r="AD174" s="33">
        <v>25.9363471898209</v>
      </c>
      <c r="AE174" s="15">
        <v>-1.4920597950548299E-3</v>
      </c>
      <c r="AF174" s="15">
        <v>-9.3978027150669905E-4</v>
      </c>
      <c r="AG174" s="15">
        <v>-1.0307552998128199E-3</v>
      </c>
      <c r="AI174" s="12"/>
      <c r="AJ174">
        <f t="shared" si="46"/>
        <v>1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3.9215877754668008E-3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3.0949213078863458E-3</v>
      </c>
      <c r="BE174" s="29">
        <f t="shared" si="62"/>
        <v>0</v>
      </c>
      <c r="BF174" s="29">
        <f t="shared" si="63"/>
        <v>7.0165090833531462E-3</v>
      </c>
      <c r="BH174" s="29"/>
    </row>
    <row r="175" spans="1:60" x14ac:dyDescent="0.25">
      <c r="A175" s="1">
        <v>46276</v>
      </c>
      <c r="B175" s="33">
        <v>19.96</v>
      </c>
      <c r="C175" s="33">
        <v>25.07</v>
      </c>
      <c r="D175" s="15">
        <v>-1.00150233708952E-3</v>
      </c>
      <c r="E175" s="15">
        <v>-1.9924294297959098E-3</v>
      </c>
      <c r="F175" s="33">
        <v>0</v>
      </c>
      <c r="G175" s="33">
        <v>0.676009999999999</v>
      </c>
      <c r="H175" s="33">
        <v>0</v>
      </c>
      <c r="I175" s="33">
        <v>0.84309499999999904</v>
      </c>
      <c r="J175" s="33">
        <v>0.676009999999999</v>
      </c>
      <c r="K175" s="33">
        <v>0.84309499999999904</v>
      </c>
      <c r="L175" s="33">
        <v>20.636009999999999</v>
      </c>
      <c r="M175" s="33">
        <v>25.913094999999998</v>
      </c>
      <c r="N175" s="34">
        <v>1.2560120240480901</v>
      </c>
      <c r="O175" s="34">
        <v>1.2567453983371399</v>
      </c>
      <c r="P175" s="34">
        <v>1.25712809054916</v>
      </c>
      <c r="Q175" s="34">
        <v>1.2575091780424501</v>
      </c>
      <c r="R175" s="33">
        <v>25.084638150809401</v>
      </c>
      <c r="S175" s="33">
        <v>25.106281603782101</v>
      </c>
      <c r="T175" s="33">
        <v>25.100117637627498</v>
      </c>
      <c r="U175" s="15">
        <v>5.8372073908828301E-4</v>
      </c>
      <c r="V175" s="15">
        <v>1.4461657558413399E-3</v>
      </c>
      <c r="W175" s="15">
        <v>1.2006207146209201E-3</v>
      </c>
      <c r="X175" s="34">
        <v>1.2557221575294799</v>
      </c>
      <c r="Y175" s="34">
        <v>1.2550529069020999</v>
      </c>
      <c r="Z175" s="34">
        <v>1.2557616152209301</v>
      </c>
      <c r="AA175" s="34">
        <v>1.2557036936535699</v>
      </c>
      <c r="AB175" s="33">
        <v>25.8992843373609</v>
      </c>
      <c r="AC175" s="33">
        <v>25.917208061638402</v>
      </c>
      <c r="AD175" s="33">
        <v>25.913265484958</v>
      </c>
      <c r="AE175" s="15">
        <v>-5.3310282765415998E-4</v>
      </c>
      <c r="AF175" s="15">
        <v>1.5871262192501001E-4</v>
      </c>
      <c r="AG175" s="15">
        <v>6.5790827857047E-6</v>
      </c>
      <c r="AI175" s="12"/>
      <c r="AJ175">
        <f t="shared" si="46"/>
        <v>0</v>
      </c>
      <c r="AK175">
        <f t="shared" si="47"/>
        <v>1</v>
      </c>
      <c r="AL175">
        <f t="shared" si="54"/>
        <v>1</v>
      </c>
      <c r="AM175">
        <f t="shared" si="44"/>
        <v>1</v>
      </c>
      <c r="AN175">
        <f t="shared" si="55"/>
        <v>1</v>
      </c>
      <c r="AO175" s="28">
        <f t="shared" si="48"/>
        <v>-1.00150233708952E-3</v>
      </c>
      <c r="AP175" s="28">
        <f t="shared" si="49"/>
        <v>1.9924294297959098E-3</v>
      </c>
      <c r="AQ175" s="28">
        <f t="shared" si="56"/>
        <v>9.9092709270638983E-4</v>
      </c>
      <c r="AR175" s="29">
        <f t="shared" si="57"/>
        <v>4.9125148681731911E-3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3.0949213078863458E-3</v>
      </c>
      <c r="BE175" s="29">
        <f t="shared" si="62"/>
        <v>9.9092709270638983E-4</v>
      </c>
      <c r="BF175" s="29">
        <f t="shared" si="63"/>
        <v>8.0074361760595365E-3</v>
      </c>
      <c r="BH175" s="29"/>
    </row>
    <row r="176" spans="1:60" x14ac:dyDescent="0.25">
      <c r="A176" s="1">
        <v>46279</v>
      </c>
      <c r="B176" s="33">
        <v>19.95</v>
      </c>
      <c r="C176" s="33">
        <v>25.05</v>
      </c>
      <c r="D176" s="15">
        <v>-5.0112754744548096E-4</v>
      </c>
      <c r="E176" s="15">
        <v>-7.9808463932824595E-4</v>
      </c>
      <c r="F176" s="33">
        <v>0</v>
      </c>
      <c r="G176" s="33">
        <v>0.676009999999999</v>
      </c>
      <c r="H176" s="33">
        <v>0</v>
      </c>
      <c r="I176" s="33">
        <v>0.84309499999999904</v>
      </c>
      <c r="J176" s="33">
        <v>0.676009999999999</v>
      </c>
      <c r="K176" s="33">
        <v>0.84309499999999904</v>
      </c>
      <c r="L176" s="33">
        <v>20.626010000000001</v>
      </c>
      <c r="M176" s="33">
        <v>25.893094999999999</v>
      </c>
      <c r="N176" s="34">
        <v>1.2556390977443601</v>
      </c>
      <c r="O176" s="34">
        <v>1.2567453983371399</v>
      </c>
      <c r="P176" s="34">
        <v>1.2565578780356299</v>
      </c>
      <c r="Q176" s="34">
        <v>1.2575272644957001</v>
      </c>
      <c r="R176" s="33">
        <v>25.072070696826</v>
      </c>
      <c r="S176" s="33">
        <v>25.079705406455801</v>
      </c>
      <c r="T176" s="33">
        <v>25.087308101946999</v>
      </c>
      <c r="U176" s="15">
        <v>8.8067783097095303E-4</v>
      </c>
      <c r="V176" s="15">
        <v>1.18514201078518E-3</v>
      </c>
      <c r="W176" s="15">
        <v>1.48823741223413E-3</v>
      </c>
      <c r="X176" s="34">
        <v>1.25536131321569</v>
      </c>
      <c r="Y176" s="34">
        <v>1.2550529069020999</v>
      </c>
      <c r="Z176" s="34">
        <v>1.25573059420768</v>
      </c>
      <c r="AA176" s="34">
        <v>1.25570605241625</v>
      </c>
      <c r="AB176" s="33">
        <v>25.886733808291901</v>
      </c>
      <c r="AC176" s="33">
        <v>25.901351633163099</v>
      </c>
      <c r="AD176" s="33">
        <v>25.900156942335599</v>
      </c>
      <c r="AE176" s="15">
        <v>-2.4570153615666602E-4</v>
      </c>
      <c r="AF176" s="15">
        <v>3.1882310825819102E-4</v>
      </c>
      <c r="AG176" s="15">
        <v>2.7269739259610501E-4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4.9125148681731911E-3</v>
      </c>
      <c r="AT176" s="12"/>
      <c r="AU176">
        <f t="shared" si="50"/>
        <v>0</v>
      </c>
      <c r="AV176">
        <f t="shared" si="51"/>
        <v>0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3.0949213078863458E-3</v>
      </c>
      <c r="BE176" s="29">
        <f t="shared" si="62"/>
        <v>0</v>
      </c>
      <c r="BF176" s="29">
        <f t="shared" si="63"/>
        <v>8.0074361760595365E-3</v>
      </c>
      <c r="BH176" s="29"/>
    </row>
    <row r="177" spans="1:100" x14ac:dyDescent="0.25">
      <c r="A177">
        <v>46280</v>
      </c>
      <c r="B177" s="33">
        <v>19.93</v>
      </c>
      <c r="C177" s="33">
        <v>25.05</v>
      </c>
      <c r="D177" s="15">
        <v>-1.0030091111690601E-3</v>
      </c>
      <c r="E177" s="15">
        <v>0</v>
      </c>
      <c r="F177" s="33">
        <v>0</v>
      </c>
      <c r="G177" s="33">
        <v>0.676009999999999</v>
      </c>
      <c r="H177" s="33">
        <v>0</v>
      </c>
      <c r="I177" s="33">
        <v>0.84309499999999904</v>
      </c>
      <c r="J177" s="33">
        <v>0.676009999999999</v>
      </c>
      <c r="K177" s="33">
        <v>0.84309499999999904</v>
      </c>
      <c r="L177" s="33">
        <v>20.606010000000001</v>
      </c>
      <c r="M177" s="33">
        <v>25.893094999999999</v>
      </c>
      <c r="N177" s="34">
        <v>1.2568991470145501</v>
      </c>
      <c r="O177" s="34">
        <v>1.2567453983371399</v>
      </c>
      <c r="P177" s="34">
        <v>1.2560749532309099</v>
      </c>
      <c r="Q177" s="34">
        <v>1.2575889706148999</v>
      </c>
      <c r="R177" s="33">
        <v>25.046935788859201</v>
      </c>
      <c r="S177" s="33">
        <v>25.0431985092501</v>
      </c>
      <c r="T177" s="33">
        <v>25.0625183813993</v>
      </c>
      <c r="U177" s="15">
        <v>-1.22331280198295E-4</v>
      </c>
      <c r="V177" s="15">
        <v>-2.7155346410573399E-4</v>
      </c>
      <c r="W177" s="15">
        <v>4.9961095806405002E-4</v>
      </c>
      <c r="X177" s="34">
        <v>1.25657975512969</v>
      </c>
      <c r="Y177" s="34">
        <v>1.2550529069020999</v>
      </c>
      <c r="Z177" s="34">
        <v>1.2557847637394799</v>
      </c>
      <c r="AA177" s="34">
        <v>1.2557504863442299</v>
      </c>
      <c r="AB177" s="33">
        <v>25.861632750153898</v>
      </c>
      <c r="AC177" s="33">
        <v>25.875597181549399</v>
      </c>
      <c r="AD177" s="33">
        <v>25.875091473149801</v>
      </c>
      <c r="AE177" s="15">
        <v>-1.21582143659103E-3</v>
      </c>
      <c r="AF177" s="15">
        <v>-6.7600004479662296E-4</v>
      </c>
      <c r="AG177" s="15">
        <v>-6.9554407069245003E-4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19.96</v>
      </c>
      <c r="C178" s="33">
        <v>25.06</v>
      </c>
      <c r="D178" s="15">
        <v>1.5041366586146399E-3</v>
      </c>
      <c r="E178" s="15">
        <v>3.9912193704844801E-4</v>
      </c>
      <c r="F178" s="33">
        <v>0</v>
      </c>
      <c r="G178" s="33">
        <v>0.676009999999999</v>
      </c>
      <c r="H178" s="33">
        <v>0</v>
      </c>
      <c r="I178" s="33">
        <v>0.84309499999999904</v>
      </c>
      <c r="J178" s="33">
        <v>0.676009999999999</v>
      </c>
      <c r="K178" s="33">
        <v>0.84309499999999904</v>
      </c>
      <c r="L178" s="33">
        <v>20.636009999999999</v>
      </c>
      <c r="M178" s="33">
        <v>25.903095</v>
      </c>
      <c r="N178" s="34">
        <v>1.2555110220440799</v>
      </c>
      <c r="O178" s="34">
        <v>1.2567453983371399</v>
      </c>
      <c r="P178" s="34">
        <v>1.25603081734008</v>
      </c>
      <c r="Q178" s="34">
        <v>1.25756924612655</v>
      </c>
      <c r="R178" s="33">
        <v>25.084638150809401</v>
      </c>
      <c r="S178" s="33">
        <v>25.071256066488999</v>
      </c>
      <c r="T178" s="33">
        <v>25.101475853473399</v>
      </c>
      <c r="U178" s="15">
        <v>9.8268344136810204E-4</v>
      </c>
      <c r="V178" s="15">
        <v>4.4906382011530198E-4</v>
      </c>
      <c r="W178" s="15">
        <v>1.6536938843927701E-3</v>
      </c>
      <c r="X178" s="34">
        <v>1.2552375677274801</v>
      </c>
      <c r="Y178" s="34">
        <v>1.2550529069020999</v>
      </c>
      <c r="Z178" s="34">
        <v>1.2557417973248199</v>
      </c>
      <c r="AA178" s="34">
        <v>1.2557161237223</v>
      </c>
      <c r="AB178" s="33">
        <v>25.8992843373609</v>
      </c>
      <c r="AC178" s="33">
        <v>25.9143869423756</v>
      </c>
      <c r="AD178" s="33">
        <v>25.913679593704501</v>
      </c>
      <c r="AE178" s="15">
        <v>-1.4712307406177099E-4</v>
      </c>
      <c r="AF178" s="15">
        <v>4.3583524830148699E-4</v>
      </c>
      <c r="AG178" s="15">
        <v>4.08539278437725E-4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20.05</v>
      </c>
      <c r="C179" s="33">
        <v>25.18</v>
      </c>
      <c r="D179" s="15">
        <v>4.4988828692601899E-3</v>
      </c>
      <c r="E179" s="15">
        <v>4.7770791482788996E-3</v>
      </c>
      <c r="F179" s="33">
        <v>0</v>
      </c>
      <c r="G179" s="33">
        <v>0.676009999999999</v>
      </c>
      <c r="H179" s="33">
        <v>0</v>
      </c>
      <c r="I179" s="33">
        <v>0.84309499999999904</v>
      </c>
      <c r="J179" s="33">
        <v>0.676009999999999</v>
      </c>
      <c r="K179" s="33">
        <v>0.84309499999999904</v>
      </c>
      <c r="L179" s="33">
        <v>20.726009999999999</v>
      </c>
      <c r="M179" s="33">
        <v>26.023094999999898</v>
      </c>
      <c r="N179" s="34">
        <v>1.25586034912718</v>
      </c>
      <c r="O179" s="34">
        <v>1.2567453983371399</v>
      </c>
      <c r="P179" s="34">
        <v>1.25604698109323</v>
      </c>
      <c r="Q179" s="34">
        <v>1.25754991669413</v>
      </c>
      <c r="R179" s="33">
        <v>25.197745236659699</v>
      </c>
      <c r="S179" s="33">
        <v>25.1834178876686</v>
      </c>
      <c r="T179" s="33">
        <v>25.214263384837398</v>
      </c>
      <c r="U179" s="15">
        <v>7.0448716234925498E-4</v>
      </c>
      <c r="V179" s="15">
        <v>1.35728980172258E-4</v>
      </c>
      <c r="W179" s="15">
        <v>1.3598131142629E-3</v>
      </c>
      <c r="X179" s="34">
        <v>1.2555766884219299</v>
      </c>
      <c r="Y179" s="34">
        <v>1.2550529069020999</v>
      </c>
      <c r="Z179" s="34">
        <v>1.25575726034721</v>
      </c>
      <c r="AA179" s="34">
        <v>1.2556821248638099</v>
      </c>
      <c r="AB179" s="33">
        <v>26.0122390989821</v>
      </c>
      <c r="AC179" s="33">
        <v>26.026517048772298</v>
      </c>
      <c r="AD179" s="33">
        <v>26.025984937429701</v>
      </c>
      <c r="AE179" s="15">
        <v>-4.1725113764803202E-4</v>
      </c>
      <c r="AF179" s="15">
        <v>1.3149180724146E-4</v>
      </c>
      <c r="AG179" s="15">
        <v>1.11046628920243E-4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19.98</v>
      </c>
      <c r="C180" s="33">
        <v>25.09</v>
      </c>
      <c r="D180" s="15">
        <v>-3.4973805321706899E-3</v>
      </c>
      <c r="E180" s="15">
        <v>-3.58066823787022E-3</v>
      </c>
      <c r="F180" s="33">
        <v>0</v>
      </c>
      <c r="G180" s="33">
        <v>0.676009999999999</v>
      </c>
      <c r="H180" s="33">
        <v>0</v>
      </c>
      <c r="I180" s="33">
        <v>0.84309499999999904</v>
      </c>
      <c r="J180" s="33">
        <v>0.676009999999999</v>
      </c>
      <c r="K180" s="33">
        <v>0.84309499999999904</v>
      </c>
      <c r="L180" s="33">
        <v>20.656009999999998</v>
      </c>
      <c r="M180" s="33">
        <v>25.933095000000002</v>
      </c>
      <c r="N180" s="34">
        <v>1.2557557557557499</v>
      </c>
      <c r="O180" s="34">
        <v>1.2567453983371399</v>
      </c>
      <c r="P180" s="34">
        <v>1.2560284972628699</v>
      </c>
      <c r="Q180" s="34">
        <v>1.2576041744917501</v>
      </c>
      <c r="R180" s="33">
        <v>25.109773058776099</v>
      </c>
      <c r="S180" s="33">
        <v>25.0958186822429</v>
      </c>
      <c r="T180" s="33">
        <v>25.125847335548801</v>
      </c>
      <c r="U180" s="15">
        <v>7.8777486804888601E-4</v>
      </c>
      <c r="V180" s="15">
        <v>2.3188551753318599E-4</v>
      </c>
      <c r="W180" s="15">
        <v>1.42773023020498E-3</v>
      </c>
      <c r="X180" s="34">
        <v>1.2554745567996899</v>
      </c>
      <c r="Y180" s="34">
        <v>1.2550529069020999</v>
      </c>
      <c r="Z180" s="34">
        <v>1.25573907872388</v>
      </c>
      <c r="AA180" s="34">
        <v>1.2557196348373301</v>
      </c>
      <c r="AB180" s="33">
        <v>25.924385395499002</v>
      </c>
      <c r="AC180" s="33">
        <v>25.9389345273045</v>
      </c>
      <c r="AD180" s="33">
        <v>25.9373825280082</v>
      </c>
      <c r="AE180" s="15">
        <v>-3.3590542835727999E-4</v>
      </c>
      <c r="AF180" s="15">
        <v>2.25151295697426E-4</v>
      </c>
      <c r="AG180" s="15">
        <v>1.6531669737028699E-4</v>
      </c>
    </row>
    <row r="181" spans="1:100" x14ac:dyDescent="0.25">
      <c r="A181">
        <v>46286</v>
      </c>
      <c r="B181" s="33">
        <v>19.96</v>
      </c>
      <c r="C181" s="33">
        <v>25.18</v>
      </c>
      <c r="D181" s="15">
        <v>-1.00150233708952E-3</v>
      </c>
      <c r="E181" s="15">
        <v>3.58066823787021E-3</v>
      </c>
      <c r="F181" s="33">
        <v>8.09E-2</v>
      </c>
      <c r="G181" s="33">
        <v>0.75690999999999897</v>
      </c>
      <c r="H181" s="33">
        <v>0</v>
      </c>
      <c r="I181" s="33">
        <v>0.84309499999999904</v>
      </c>
      <c r="J181" s="33">
        <v>0.75690999999999897</v>
      </c>
      <c r="K181" s="33">
        <v>0.84309499999999904</v>
      </c>
      <c r="L181" s="33">
        <v>20.716909999999999</v>
      </c>
      <c r="M181" s="33">
        <v>26.023094999999898</v>
      </c>
      <c r="N181" s="34">
        <v>1.26152304609218</v>
      </c>
      <c r="O181" s="34">
        <v>1.2567453983371399</v>
      </c>
      <c r="P181" s="34">
        <v>1.2565867424661501</v>
      </c>
      <c r="Q181" s="34">
        <v>1.25788505120581</v>
      </c>
      <c r="R181" s="33">
        <v>25.084638150809401</v>
      </c>
      <c r="S181" s="33">
        <v>25.070328805366898</v>
      </c>
      <c r="T181" s="33">
        <v>25.1017793228554</v>
      </c>
      <c r="U181" s="15">
        <v>-3.7943957069109199E-3</v>
      </c>
      <c r="V181" s="15">
        <v>-4.3650010407037202E-3</v>
      </c>
      <c r="W181" s="15">
        <v>-3.1112956342028101E-3</v>
      </c>
      <c r="X181" s="34">
        <v>1.2561282063782599</v>
      </c>
      <c r="Y181" s="34">
        <v>1.2550529069020999</v>
      </c>
      <c r="Z181" s="34">
        <v>1.2557862620584099</v>
      </c>
      <c r="AA181" s="34">
        <v>1.2557298041479401</v>
      </c>
      <c r="AB181" s="33">
        <v>26.000818117529299</v>
      </c>
      <c r="AC181" s="33">
        <v>26.015033477405598</v>
      </c>
      <c r="AD181" s="33">
        <v>26.014630660158002</v>
      </c>
      <c r="AE181" s="15">
        <v>-8.5640938934710201E-4</v>
      </c>
      <c r="AF181" s="15">
        <v>-3.0983138305526898E-4</v>
      </c>
      <c r="AG181" s="15">
        <v>-3.2531552097055501E-4</v>
      </c>
    </row>
    <row r="182" spans="1:100" x14ac:dyDescent="0.25">
      <c r="A182">
        <v>46287</v>
      </c>
      <c r="B182" s="33">
        <v>19.96</v>
      </c>
      <c r="C182" s="33">
        <v>25.19</v>
      </c>
      <c r="D182" s="15">
        <v>0</v>
      </c>
      <c r="E182" s="15">
        <v>3.9706174831772098E-4</v>
      </c>
      <c r="F182" s="33">
        <v>0</v>
      </c>
      <c r="G182" s="33">
        <v>0.75690999999999897</v>
      </c>
      <c r="H182" s="33">
        <v>0</v>
      </c>
      <c r="I182" s="33">
        <v>0.84309499999999904</v>
      </c>
      <c r="J182" s="33">
        <v>0.75690999999999897</v>
      </c>
      <c r="K182" s="33">
        <v>0.84309499999999904</v>
      </c>
      <c r="L182" s="33">
        <v>20.716909999999999</v>
      </c>
      <c r="M182" s="33">
        <v>26.033094999999999</v>
      </c>
      <c r="N182" s="34">
        <v>1.26202404809619</v>
      </c>
      <c r="O182" s="34">
        <v>1.2567453983371399</v>
      </c>
      <c r="P182" s="34">
        <v>1.2572688301300801</v>
      </c>
      <c r="Q182" s="34">
        <v>1.2579438472989799</v>
      </c>
      <c r="R182" s="33">
        <v>25.084638150809401</v>
      </c>
      <c r="S182" s="33">
        <v>25.081471379624301</v>
      </c>
      <c r="T182" s="33">
        <v>25.107385622068001</v>
      </c>
      <c r="U182" s="15">
        <v>-4.1914574552287098E-3</v>
      </c>
      <c r="V182" s="15">
        <v>-4.3177088715280502E-3</v>
      </c>
      <c r="W182" s="15">
        <v>-3.2850396180428699E-3</v>
      </c>
      <c r="X182" s="34">
        <v>1.2566109038461799</v>
      </c>
      <c r="Y182" s="34">
        <v>1.2550529069020999</v>
      </c>
      <c r="Z182" s="34">
        <v>1.25595309443299</v>
      </c>
      <c r="AA182" s="34">
        <v>1.25580063267663</v>
      </c>
      <c r="AB182" s="33">
        <v>26.000818117529299</v>
      </c>
      <c r="AC182" s="33">
        <v>26.016010970300499</v>
      </c>
      <c r="AD182" s="33">
        <v>26.014841336850601</v>
      </c>
      <c r="AE182" s="15">
        <v>-1.2406096207897999E-3</v>
      </c>
      <c r="AF182" s="15">
        <v>-6.5645816559088005E-4</v>
      </c>
      <c r="AG182" s="15">
        <v>-7.01417392596271E-4</v>
      </c>
    </row>
    <row r="183" spans="1:100" x14ac:dyDescent="0.25">
      <c r="A183">
        <v>46288</v>
      </c>
      <c r="B183" s="33">
        <v>19.75</v>
      </c>
      <c r="C183" s="33">
        <v>24.92</v>
      </c>
      <c r="D183" s="15">
        <v>-1.0576779536187001E-2</v>
      </c>
      <c r="E183" s="15">
        <v>-1.0776396445266401E-2</v>
      </c>
      <c r="F183" s="33">
        <v>0</v>
      </c>
      <c r="G183" s="33">
        <v>0.75690999999999897</v>
      </c>
      <c r="H183" s="33">
        <v>0</v>
      </c>
      <c r="I183" s="33">
        <v>0.84309499999999904</v>
      </c>
      <c r="J183" s="33">
        <v>0.75690999999999897</v>
      </c>
      <c r="K183" s="33">
        <v>0.84309499999999904</v>
      </c>
      <c r="L183" s="33">
        <v>20.506910000000001</v>
      </c>
      <c r="M183" s="33">
        <v>25.763095</v>
      </c>
      <c r="N183" s="34">
        <v>1.2617721518987299</v>
      </c>
      <c r="O183" s="34">
        <v>1.2567453983371399</v>
      </c>
      <c r="P183" s="34">
        <v>1.25782538990784</v>
      </c>
      <c r="Q183" s="34">
        <v>1.25800497697439</v>
      </c>
      <c r="R183" s="33">
        <v>24.8207216171586</v>
      </c>
      <c r="S183" s="33">
        <v>24.831059395069101</v>
      </c>
      <c r="T183" s="33">
        <v>24.844390984155002</v>
      </c>
      <c r="U183" s="15">
        <v>-3.9918405461492404E-3</v>
      </c>
      <c r="V183" s="15">
        <v>-3.5754293782457799E-3</v>
      </c>
      <c r="W183" s="15">
        <v>-3.0386817774016701E-3</v>
      </c>
      <c r="X183" s="34">
        <v>1.2563128721001799</v>
      </c>
      <c r="Y183" s="34">
        <v>1.2550529069020999</v>
      </c>
      <c r="Z183" s="34">
        <v>1.25599309397548</v>
      </c>
      <c r="AA183" s="34">
        <v>1.2558696661688999</v>
      </c>
      <c r="AB183" s="33">
        <v>25.737257007079801</v>
      </c>
      <c r="AC183" s="33">
        <v>25.755717071758799</v>
      </c>
      <c r="AD183" s="33">
        <v>25.7525905522428</v>
      </c>
      <c r="AE183" s="15">
        <v>-1.0034104265706199E-3</v>
      </c>
      <c r="AF183" s="15">
        <v>-2.8641686385675301E-4</v>
      </c>
      <c r="AG183" s="15">
        <v>-4.0781551444490498E-4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2026-09-28T01:44:29Z</dcterms:created>
  <dcterms:modified xsi:type="dcterms:W3CDTF">2026-09-28T01:46:06Z</dcterms:modified>
</cp:coreProperties>
</file>