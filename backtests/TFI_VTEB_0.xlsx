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C3869DEC-9388-4D8F-8745-70BC123B260F}" xr6:coauthVersionLast="47" xr6:coauthVersionMax="47" xr10:uidLastSave="{00000000-0000-0000-0000-000000000000}"/>
  <bookViews>
    <workbookView xWindow="28680" yWindow="-120" windowWidth="29040" windowHeight="15720" xr2:uid="{A24477D5-E343-4C78-97DA-75A63B69BF31}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N146" i="1" s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N143" i="1" s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X130" i="1"/>
  <c r="AV130" i="1"/>
  <c r="AU130" i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N99" i="1" s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M95" i="1"/>
  <c r="AK95" i="1"/>
  <c r="AJ95" i="1"/>
  <c r="AN96" i="1" s="1"/>
  <c r="AX94" i="1"/>
  <c r="AV94" i="1"/>
  <c r="AU94" i="1"/>
  <c r="AM94" i="1"/>
  <c r="AK94" i="1"/>
  <c r="AJ94" i="1"/>
  <c r="AN95" i="1" s="1"/>
  <c r="AX93" i="1"/>
  <c r="AV93" i="1"/>
  <c r="AU93" i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Y85" i="1" s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Y73" i="1" s="1"/>
  <c r="AM72" i="1"/>
  <c r="AK72" i="1"/>
  <c r="AJ72" i="1"/>
  <c r="AN73" i="1" s="1"/>
  <c r="AX71" i="1"/>
  <c r="AV71" i="1"/>
  <c r="AU71" i="1"/>
  <c r="AM71" i="1"/>
  <c r="AK71" i="1"/>
  <c r="AJ71" i="1"/>
  <c r="AN72" i="1" s="1"/>
  <c r="AX70" i="1"/>
  <c r="AV70" i="1"/>
  <c r="AU70" i="1"/>
  <c r="AY71" i="1" s="1"/>
  <c r="AM70" i="1"/>
  <c r="AK70" i="1"/>
  <c r="AJ70" i="1"/>
  <c r="AN71" i="1" s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Y56" i="1" s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Y50" i="1" s="1"/>
  <c r="AM49" i="1"/>
  <c r="AK49" i="1"/>
  <c r="AJ49" i="1"/>
  <c r="AX48" i="1"/>
  <c r="AV48" i="1"/>
  <c r="AU48" i="1"/>
  <c r="AM48" i="1"/>
  <c r="AK48" i="1"/>
  <c r="AJ48" i="1"/>
  <c r="AN49" i="1" s="1"/>
  <c r="AX47" i="1"/>
  <c r="AV47" i="1"/>
  <c r="AU47" i="1"/>
  <c r="AM47" i="1"/>
  <c r="AK47" i="1"/>
  <c r="AJ47" i="1"/>
  <c r="AN48" i="1" s="1"/>
  <c r="AX46" i="1"/>
  <c r="AV46" i="1"/>
  <c r="AU46" i="1"/>
  <c r="AM46" i="1"/>
  <c r="AK46" i="1"/>
  <c r="AJ46" i="1"/>
  <c r="AX45" i="1"/>
  <c r="AV45" i="1"/>
  <c r="AU45" i="1"/>
  <c r="AY46" i="1" s="1"/>
  <c r="AM45" i="1"/>
  <c r="AK45" i="1"/>
  <c r="AJ45" i="1"/>
  <c r="AN46" i="1" s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N40" i="1" s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Y32" i="1" s="1"/>
  <c r="AM31" i="1"/>
  <c r="AK31" i="1"/>
  <c r="AJ31" i="1"/>
  <c r="AN32" i="1" s="1"/>
  <c r="AX30" i="1"/>
  <c r="AV30" i="1"/>
  <c r="AU30" i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M28" i="1"/>
  <c r="AK28" i="1"/>
  <c r="AJ28" i="1"/>
  <c r="AX27" i="1"/>
  <c r="AV27" i="1"/>
  <c r="AU27" i="1"/>
  <c r="AY28" i="1" s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N25" i="1" s="1"/>
  <c r="AX23" i="1"/>
  <c r="AV23" i="1"/>
  <c r="AU23" i="1"/>
  <c r="AM23" i="1"/>
  <c r="AK23" i="1"/>
  <c r="AJ23" i="1"/>
  <c r="AN24" i="1" s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69" i="1" l="1"/>
  <c r="AY142" i="1"/>
  <c r="AY118" i="1"/>
  <c r="AY116" i="1"/>
  <c r="AY114" i="1"/>
  <c r="AY104" i="1"/>
  <c r="AY66" i="1"/>
  <c r="AY45" i="1"/>
  <c r="AY23" i="1"/>
  <c r="AY105" i="1"/>
  <c r="AY70" i="1"/>
  <c r="AY62" i="1"/>
  <c r="AY55" i="1"/>
  <c r="AY35" i="1"/>
  <c r="AY108" i="1"/>
  <c r="AY103" i="1"/>
  <c r="AY74" i="1"/>
  <c r="AY54" i="1"/>
  <c r="AY38" i="1"/>
  <c r="AY64" i="1"/>
  <c r="AY72" i="1"/>
  <c r="AY47" i="1"/>
  <c r="AY37" i="1"/>
  <c r="AY111" i="1"/>
  <c r="AY163" i="1"/>
  <c r="AY109" i="1"/>
  <c r="AY75" i="1"/>
  <c r="AY39" i="1"/>
  <c r="AY84" i="1"/>
  <c r="AY34" i="1"/>
  <c r="AY82" i="1"/>
  <c r="AN26" i="1"/>
  <c r="AN29" i="1"/>
  <c r="AN94" i="1"/>
  <c r="AN58" i="1"/>
  <c r="AN59" i="1"/>
  <c r="AN28" i="1"/>
  <c r="AN44" i="1"/>
  <c r="AN23" i="1"/>
  <c r="AN98" i="1"/>
  <c r="AN27" i="1"/>
  <c r="AN33" i="1"/>
  <c r="AN85" i="1"/>
  <c r="AN66" i="1"/>
  <c r="AN65" i="1"/>
  <c r="AN69" i="1"/>
  <c r="AN144" i="1"/>
  <c r="AN126" i="1"/>
  <c r="AY89" i="1"/>
  <c r="AY69" i="1"/>
  <c r="AY65" i="1"/>
  <c r="AY110" i="1"/>
  <c r="AY97" i="1"/>
  <c r="AY51" i="1"/>
  <c r="AN159" i="1"/>
  <c r="AN153" i="1"/>
  <c r="AY122" i="1"/>
  <c r="AN92" i="1"/>
  <c r="AY83" i="1"/>
  <c r="AY60" i="1"/>
  <c r="AN52" i="1"/>
  <c r="AY36" i="1"/>
  <c r="AY157" i="1"/>
  <c r="AY146" i="1"/>
  <c r="AZ176" i="1"/>
  <c r="BA176" i="1"/>
  <c r="AW176" i="1"/>
  <c r="AO176" i="1"/>
  <c r="AP176" i="1"/>
  <c r="AL176" i="1"/>
  <c r="AZ175" i="1"/>
  <c r="BA175" i="1"/>
  <c r="AW175" i="1"/>
  <c r="AZ174" i="1"/>
  <c r="BA174" i="1"/>
  <c r="AW174" i="1"/>
  <c r="AO174" i="1"/>
  <c r="AP174" i="1"/>
  <c r="AL174" i="1"/>
  <c r="AN175" i="1" s="1"/>
  <c r="AO173" i="1"/>
  <c r="AP173" i="1"/>
  <c r="AL173" i="1"/>
  <c r="AZ172" i="1"/>
  <c r="BA172" i="1"/>
  <c r="AW172" i="1"/>
  <c r="AY173" i="1" s="1"/>
  <c r="AZ171" i="1"/>
  <c r="BA171" i="1"/>
  <c r="AW171" i="1"/>
  <c r="BA170" i="1"/>
  <c r="AZ170" i="1"/>
  <c r="BB170" i="1" s="1"/>
  <c r="AW170" i="1"/>
  <c r="BA169" i="1"/>
  <c r="AZ169" i="1"/>
  <c r="BB169" i="1" s="1"/>
  <c r="AW169" i="1"/>
  <c r="AP168" i="1"/>
  <c r="AO168" i="1"/>
  <c r="AQ168" i="1" s="1"/>
  <c r="AL168" i="1"/>
  <c r="AN169" i="1" s="1"/>
  <c r="AZ167" i="1"/>
  <c r="BA167" i="1"/>
  <c r="AW167" i="1"/>
  <c r="AY168" i="1" s="1"/>
  <c r="BA166" i="1"/>
  <c r="AZ166" i="1"/>
  <c r="BB166" i="1" s="1"/>
  <c r="AW166" i="1"/>
  <c r="BA165" i="1"/>
  <c r="AW165" i="1"/>
  <c r="AZ165" i="1"/>
  <c r="BB165" i="1" s="1"/>
  <c r="BA164" i="1"/>
  <c r="AW164" i="1"/>
  <c r="AZ164" i="1"/>
  <c r="BB164" i="1" s="1"/>
  <c r="AP162" i="1"/>
  <c r="AL162" i="1"/>
  <c r="AN163" i="1" s="1"/>
  <c r="AO162" i="1"/>
  <c r="AQ162" i="1" s="1"/>
  <c r="AO161" i="1"/>
  <c r="AL161" i="1"/>
  <c r="AP161" i="1"/>
  <c r="BA160" i="1"/>
  <c r="AW160" i="1"/>
  <c r="AY161" i="1" s="1"/>
  <c r="AZ160" i="1"/>
  <c r="BB160" i="1" s="1"/>
  <c r="AW158" i="1"/>
  <c r="AY159" i="1" s="1"/>
  <c r="BA158" i="1"/>
  <c r="AZ158" i="1"/>
  <c r="BB158" i="1" s="1"/>
  <c r="AL157" i="1"/>
  <c r="AN158" i="1" s="1"/>
  <c r="AO157" i="1"/>
  <c r="AP157" i="1"/>
  <c r="AW156" i="1"/>
  <c r="AZ156" i="1"/>
  <c r="BA156" i="1"/>
  <c r="AW155" i="1"/>
  <c r="AZ155" i="1"/>
  <c r="BA155" i="1"/>
  <c r="BA154" i="1"/>
  <c r="AW154" i="1"/>
  <c r="AZ154" i="1"/>
  <c r="BB154" i="1" s="1"/>
  <c r="AP154" i="1"/>
  <c r="AL154" i="1"/>
  <c r="AN155" i="1" s="1"/>
  <c r="AO154" i="1"/>
  <c r="AQ154" i="1" s="1"/>
  <c r="BA153" i="1"/>
  <c r="AW153" i="1"/>
  <c r="AZ153" i="1"/>
  <c r="BB153" i="1" s="1"/>
  <c r="BA152" i="1"/>
  <c r="AW152" i="1"/>
  <c r="AZ152" i="1"/>
  <c r="BB152" i="1" s="1"/>
  <c r="AZ151" i="1"/>
  <c r="AW151" i="1"/>
  <c r="BA151" i="1"/>
  <c r="BA150" i="1"/>
  <c r="AW150" i="1"/>
  <c r="AZ150" i="1"/>
  <c r="BB150" i="1" s="1"/>
  <c r="AW149" i="1"/>
  <c r="BA149" i="1"/>
  <c r="AZ149" i="1"/>
  <c r="BB149" i="1" s="1"/>
  <c r="AW148" i="1"/>
  <c r="AZ148" i="1"/>
  <c r="BA148" i="1"/>
  <c r="AW147" i="1"/>
  <c r="BA147" i="1"/>
  <c r="AZ147" i="1"/>
  <c r="BB147" i="1" s="1"/>
  <c r="AP146" i="1"/>
  <c r="AL146" i="1"/>
  <c r="AN147" i="1" s="1"/>
  <c r="AO146" i="1"/>
  <c r="AQ146" i="1" s="1"/>
  <c r="AO145" i="1"/>
  <c r="AL145" i="1"/>
  <c r="AP145" i="1"/>
  <c r="AL143" i="1"/>
  <c r="AP143" i="1"/>
  <c r="AO143" i="1"/>
  <c r="AQ143" i="1" s="1"/>
  <c r="AZ142" i="1"/>
  <c r="AW142" i="1"/>
  <c r="AY143" i="1" s="1"/>
  <c r="BA142" i="1"/>
  <c r="AP141" i="1"/>
  <c r="AL141" i="1"/>
  <c r="AN142" i="1" s="1"/>
  <c r="AO141" i="1"/>
  <c r="AL140" i="1"/>
  <c r="AP140" i="1"/>
  <c r="AO140" i="1"/>
  <c r="AL139" i="1"/>
  <c r="AP139" i="1"/>
  <c r="AO139" i="1"/>
  <c r="AQ139" i="1" s="1"/>
  <c r="AP138" i="1"/>
  <c r="AL138" i="1"/>
  <c r="AO138" i="1"/>
  <c r="AO137" i="1"/>
  <c r="AL137" i="1"/>
  <c r="AP137" i="1"/>
  <c r="AP136" i="1"/>
  <c r="AL136" i="1"/>
  <c r="AO136" i="1"/>
  <c r="AQ136" i="1" s="1"/>
  <c r="AL134" i="1"/>
  <c r="AO134" i="1"/>
  <c r="AP134" i="1"/>
  <c r="AP135" i="1"/>
  <c r="AO135" i="1"/>
  <c r="AQ135" i="1" s="1"/>
  <c r="AL135" i="1"/>
  <c r="BA134" i="1"/>
  <c r="AW134" i="1"/>
  <c r="AY135" i="1" s="1"/>
  <c r="AZ134" i="1"/>
  <c r="BB134" i="1" s="1"/>
  <c r="AO133" i="1"/>
  <c r="AP133" i="1"/>
  <c r="AL133" i="1"/>
  <c r="AZ132" i="1"/>
  <c r="BA132" i="1"/>
  <c r="AW132" i="1"/>
  <c r="AY133" i="1" s="1"/>
  <c r="AO131" i="1"/>
  <c r="AP131" i="1"/>
  <c r="AL131" i="1"/>
  <c r="AN132" i="1" s="1"/>
  <c r="AZ130" i="1"/>
  <c r="BA130" i="1"/>
  <c r="AW130" i="1"/>
  <c r="AY131" i="1" s="1"/>
  <c r="AO130" i="1"/>
  <c r="AP130" i="1"/>
  <c r="AL130" i="1"/>
  <c r="AZ129" i="1"/>
  <c r="BA129" i="1"/>
  <c r="AW129" i="1"/>
  <c r="AZ128" i="1"/>
  <c r="BA128" i="1"/>
  <c r="AW128" i="1"/>
  <c r="AZ127" i="1"/>
  <c r="BA127" i="1"/>
  <c r="AW127" i="1"/>
  <c r="AZ126" i="1"/>
  <c r="BA126" i="1"/>
  <c r="AW126" i="1"/>
  <c r="AO125" i="1"/>
  <c r="AP125" i="1"/>
  <c r="AL125" i="1"/>
  <c r="AZ124" i="1"/>
  <c r="BA124" i="1"/>
  <c r="AW124" i="1"/>
  <c r="AY125" i="1" s="1"/>
  <c r="AZ123" i="1"/>
  <c r="BA123" i="1"/>
  <c r="AW123" i="1"/>
  <c r="AZ122" i="1"/>
  <c r="BA122" i="1"/>
  <c r="AW122" i="1"/>
  <c r="AZ121" i="1"/>
  <c r="BA121" i="1"/>
  <c r="AW121" i="1"/>
  <c r="AZ120" i="1"/>
  <c r="BA120" i="1"/>
  <c r="AW120" i="1"/>
  <c r="AO120" i="1"/>
  <c r="AP120" i="1"/>
  <c r="AL120" i="1"/>
  <c r="AN121" i="1" s="1"/>
  <c r="AZ119" i="1"/>
  <c r="BA119" i="1"/>
  <c r="AW119" i="1"/>
  <c r="AZ118" i="1"/>
  <c r="BA118" i="1"/>
  <c r="AW118" i="1"/>
  <c r="AW117" i="1"/>
  <c r="AZ117" i="1"/>
  <c r="BA117" i="1"/>
  <c r="AZ116" i="1"/>
  <c r="AW116" i="1"/>
  <c r="BA116" i="1"/>
  <c r="AW115" i="1"/>
  <c r="AZ115" i="1"/>
  <c r="BA115" i="1"/>
  <c r="BA114" i="1"/>
  <c r="AW114" i="1"/>
  <c r="AZ114" i="1"/>
  <c r="BB114" i="1" s="1"/>
  <c r="AL113" i="1"/>
  <c r="AN114" i="1" s="1"/>
  <c r="AP113" i="1"/>
  <c r="AO113" i="1"/>
  <c r="AW112" i="1"/>
  <c r="AY113" i="1" s="1"/>
  <c r="AZ112" i="1"/>
  <c r="BA112" i="1"/>
  <c r="AW111" i="1"/>
  <c r="BA111" i="1"/>
  <c r="AZ111" i="1"/>
  <c r="BB111" i="1" s="1"/>
  <c r="AP111" i="1"/>
  <c r="AL111" i="1"/>
  <c r="AN112" i="1" s="1"/>
  <c r="AO111" i="1"/>
  <c r="AQ111" i="1" s="1"/>
  <c r="AW110" i="1"/>
  <c r="AZ110" i="1"/>
  <c r="BA110" i="1"/>
  <c r="BA109" i="1"/>
  <c r="AW109" i="1"/>
  <c r="AZ109" i="1"/>
  <c r="BB109" i="1" s="1"/>
  <c r="BA108" i="1"/>
  <c r="AZ108" i="1"/>
  <c r="BB108" i="1" s="1"/>
  <c r="AW108" i="1"/>
  <c r="BA107" i="1"/>
  <c r="AW107" i="1"/>
  <c r="AZ107" i="1"/>
  <c r="BB107" i="1" s="1"/>
  <c r="BA106" i="1"/>
  <c r="AW106" i="1"/>
  <c r="AZ106" i="1"/>
  <c r="BB106" i="1" s="1"/>
  <c r="AZ105" i="1"/>
  <c r="AW105" i="1"/>
  <c r="BA105" i="1"/>
  <c r="AL105" i="1"/>
  <c r="AN106" i="1" s="1"/>
  <c r="AO105" i="1"/>
  <c r="AP105" i="1"/>
  <c r="BA104" i="1"/>
  <c r="AW104" i="1"/>
  <c r="AZ104" i="1"/>
  <c r="BB104" i="1" s="1"/>
  <c r="AW103" i="1"/>
  <c r="AZ103" i="1"/>
  <c r="BA103" i="1"/>
  <c r="BA102" i="1"/>
  <c r="AZ102" i="1"/>
  <c r="BB102" i="1" s="1"/>
  <c r="AW102" i="1"/>
  <c r="AP101" i="1"/>
  <c r="AO101" i="1"/>
  <c r="AQ101" i="1" s="1"/>
  <c r="AL101" i="1"/>
  <c r="AN102" i="1" s="1"/>
  <c r="AW100" i="1"/>
  <c r="AY101" i="1" s="1"/>
  <c r="BA100" i="1"/>
  <c r="AZ100" i="1"/>
  <c r="BB100" i="1" s="1"/>
  <c r="AP99" i="1"/>
  <c r="AL99" i="1"/>
  <c r="AN100" i="1" s="1"/>
  <c r="AO99" i="1"/>
  <c r="AQ99" i="1" s="1"/>
  <c r="AW97" i="1"/>
  <c r="AY98" i="1" s="1"/>
  <c r="AZ97" i="1"/>
  <c r="BA97" i="1"/>
  <c r="AL97" i="1"/>
  <c r="AP97" i="1"/>
  <c r="AO97" i="1"/>
  <c r="AL96" i="1"/>
  <c r="AP96" i="1"/>
  <c r="AO96" i="1"/>
  <c r="AP95" i="1"/>
  <c r="AL95" i="1"/>
  <c r="AO95" i="1"/>
  <c r="AQ95" i="1" s="1"/>
  <c r="AO94" i="1"/>
  <c r="AL94" i="1"/>
  <c r="AP94" i="1"/>
  <c r="AW93" i="1"/>
  <c r="AY94" i="1" s="1"/>
  <c r="AZ93" i="1"/>
  <c r="BA93" i="1"/>
  <c r="AZ90" i="1"/>
  <c r="BA90" i="1"/>
  <c r="AW90" i="1"/>
  <c r="BA91" i="1"/>
  <c r="AW91" i="1"/>
  <c r="AY92" i="1" s="1"/>
  <c r="AZ91" i="1"/>
  <c r="BB91" i="1" s="1"/>
  <c r="AZ88" i="1"/>
  <c r="BA88" i="1"/>
  <c r="AW88" i="1"/>
  <c r="AZ87" i="1"/>
  <c r="BA87" i="1"/>
  <c r="AW87" i="1"/>
  <c r="AO86" i="1"/>
  <c r="AP86" i="1"/>
  <c r="AL86" i="1"/>
  <c r="AN87" i="1" s="1"/>
  <c r="AZ85" i="1"/>
  <c r="BA85" i="1"/>
  <c r="AW85" i="1"/>
  <c r="AY86" i="1" s="1"/>
  <c r="AZ84" i="1"/>
  <c r="BA84" i="1"/>
  <c r="AW84" i="1"/>
  <c r="AO83" i="1"/>
  <c r="AP83" i="1"/>
  <c r="AL83" i="1"/>
  <c r="AN84" i="1" s="1"/>
  <c r="AZ82" i="1"/>
  <c r="BA82" i="1"/>
  <c r="AW82" i="1"/>
  <c r="AZ81" i="1"/>
  <c r="BA81" i="1"/>
  <c r="AW81" i="1"/>
  <c r="AZ80" i="1"/>
  <c r="BA80" i="1"/>
  <c r="AW80" i="1"/>
  <c r="AZ79" i="1"/>
  <c r="BA79" i="1"/>
  <c r="AW79" i="1"/>
  <c r="AO79" i="1"/>
  <c r="AP79" i="1"/>
  <c r="AL79" i="1"/>
  <c r="AN80" i="1" s="1"/>
  <c r="AZ78" i="1"/>
  <c r="BA78" i="1"/>
  <c r="AW78" i="1"/>
  <c r="AO78" i="1"/>
  <c r="AP78" i="1"/>
  <c r="AL78" i="1"/>
  <c r="AZ77" i="1"/>
  <c r="BA77" i="1"/>
  <c r="AW77" i="1"/>
  <c r="AO77" i="1"/>
  <c r="AP77" i="1"/>
  <c r="AL77" i="1"/>
  <c r="AZ76" i="1"/>
  <c r="BA76" i="1"/>
  <c r="AW76" i="1"/>
  <c r="AO76" i="1"/>
  <c r="AP76" i="1"/>
  <c r="AL76" i="1"/>
  <c r="AZ75" i="1"/>
  <c r="BA75" i="1"/>
  <c r="AW75" i="1"/>
  <c r="AZ74" i="1"/>
  <c r="BA74" i="1"/>
  <c r="AW74" i="1"/>
  <c r="AZ73" i="1"/>
  <c r="BA73" i="1"/>
  <c r="AW73" i="1"/>
  <c r="AO73" i="1"/>
  <c r="AP73" i="1"/>
  <c r="AL73" i="1"/>
  <c r="AN74" i="1" s="1"/>
  <c r="AZ72" i="1"/>
  <c r="BA72" i="1"/>
  <c r="AW72" i="1"/>
  <c r="AO72" i="1"/>
  <c r="AP72" i="1"/>
  <c r="AL72" i="1"/>
  <c r="AZ71" i="1"/>
  <c r="BA71" i="1"/>
  <c r="AW71" i="1"/>
  <c r="AO71" i="1"/>
  <c r="AP71" i="1"/>
  <c r="AL71" i="1"/>
  <c r="AZ68" i="1"/>
  <c r="BA68" i="1"/>
  <c r="AW68" i="1"/>
  <c r="AO68" i="1"/>
  <c r="AP68" i="1"/>
  <c r="AL68" i="1"/>
  <c r="AZ67" i="1"/>
  <c r="BA67" i="1"/>
  <c r="AW67" i="1"/>
  <c r="AO67" i="1"/>
  <c r="AP67" i="1"/>
  <c r="AL67" i="1"/>
  <c r="AZ66" i="1"/>
  <c r="BA66" i="1"/>
  <c r="AW66" i="1"/>
  <c r="AO63" i="1"/>
  <c r="AP63" i="1"/>
  <c r="AL63" i="1"/>
  <c r="AN64" i="1" s="1"/>
  <c r="AZ62" i="1"/>
  <c r="BA62" i="1"/>
  <c r="AW62" i="1"/>
  <c r="AY63" i="1" s="1"/>
  <c r="AO61" i="1"/>
  <c r="AP61" i="1"/>
  <c r="AL61" i="1"/>
  <c r="AN62" i="1" s="1"/>
  <c r="AO59" i="1"/>
  <c r="AP59" i="1"/>
  <c r="AL59" i="1"/>
  <c r="AN60" i="1" s="1"/>
  <c r="AO58" i="1"/>
  <c r="AP58" i="1"/>
  <c r="AL58" i="1"/>
  <c r="AZ57" i="1"/>
  <c r="BA57" i="1"/>
  <c r="AW57" i="1"/>
  <c r="AY58" i="1" s="1"/>
  <c r="AZ56" i="1"/>
  <c r="BA56" i="1"/>
  <c r="AW56" i="1"/>
  <c r="AO56" i="1"/>
  <c r="AP56" i="1"/>
  <c r="AL56" i="1"/>
  <c r="AN57" i="1" s="1"/>
  <c r="AZ55" i="1"/>
  <c r="BA55" i="1"/>
  <c r="AW55" i="1"/>
  <c r="AZ54" i="1"/>
  <c r="BA54" i="1"/>
  <c r="AW54" i="1"/>
  <c r="AZ53" i="1"/>
  <c r="BA53" i="1"/>
  <c r="AW53" i="1"/>
  <c r="BA52" i="1"/>
  <c r="AW52" i="1"/>
  <c r="AZ52" i="1"/>
  <c r="BB52" i="1" s="1"/>
  <c r="AO51" i="1"/>
  <c r="AL51" i="1"/>
  <c r="AP51" i="1"/>
  <c r="AZ50" i="1"/>
  <c r="AW50" i="1"/>
  <c r="BA50" i="1"/>
  <c r="AO49" i="1"/>
  <c r="AP49" i="1"/>
  <c r="AL49" i="1"/>
  <c r="AN50" i="1" s="1"/>
  <c r="AO48" i="1"/>
  <c r="AP48" i="1"/>
  <c r="AL48" i="1"/>
  <c r="BA46" i="1"/>
  <c r="AZ46" i="1"/>
  <c r="BB46" i="1" s="1"/>
  <c r="AW46" i="1"/>
  <c r="BA47" i="1"/>
  <c r="AW47" i="1"/>
  <c r="AY48" i="1" s="1"/>
  <c r="AZ47" i="1"/>
  <c r="BB47" i="1" s="1"/>
  <c r="AP46" i="1"/>
  <c r="AL46" i="1"/>
  <c r="AN47" i="1" s="1"/>
  <c r="AO46" i="1"/>
  <c r="AQ46" i="1" s="1"/>
  <c r="AZ45" i="1"/>
  <c r="BA45" i="1"/>
  <c r="AW45" i="1"/>
  <c r="AZ43" i="1"/>
  <c r="BA43" i="1"/>
  <c r="AW43" i="1"/>
  <c r="AY44" i="1" s="1"/>
  <c r="AZ42" i="1"/>
  <c r="BA42" i="1"/>
  <c r="AW42" i="1"/>
  <c r="AO42" i="1"/>
  <c r="AP42" i="1"/>
  <c r="AL42" i="1"/>
  <c r="AN43" i="1" s="1"/>
  <c r="AZ41" i="1"/>
  <c r="BA41" i="1"/>
  <c r="AW41" i="1"/>
  <c r="AZ40" i="1"/>
  <c r="BA40" i="1"/>
  <c r="AW40" i="1"/>
  <c r="AO40" i="1"/>
  <c r="AP40" i="1"/>
  <c r="AL40" i="1"/>
  <c r="AN41" i="1" s="1"/>
  <c r="AZ39" i="1"/>
  <c r="BA39" i="1"/>
  <c r="AW39" i="1"/>
  <c r="AZ38" i="1"/>
  <c r="BA38" i="1"/>
  <c r="AW38" i="1"/>
  <c r="AZ37" i="1"/>
  <c r="BA37" i="1"/>
  <c r="AW37" i="1"/>
  <c r="AZ35" i="1"/>
  <c r="BA35" i="1"/>
  <c r="AW35" i="1"/>
  <c r="AZ34" i="1"/>
  <c r="BA34" i="1"/>
  <c r="AW34" i="1"/>
  <c r="AO33" i="1"/>
  <c r="AP33" i="1"/>
  <c r="AL33" i="1"/>
  <c r="AN34" i="1" s="1"/>
  <c r="AZ32" i="1"/>
  <c r="BA32" i="1"/>
  <c r="AW32" i="1"/>
  <c r="AY33" i="1" s="1"/>
  <c r="AO32" i="1"/>
  <c r="AP32" i="1"/>
  <c r="AL32" i="1"/>
  <c r="AO31" i="1"/>
  <c r="AP31" i="1"/>
  <c r="AL31" i="1"/>
  <c r="AZ30" i="1"/>
  <c r="BA30" i="1"/>
  <c r="AW30" i="1"/>
  <c r="AY31" i="1" s="1"/>
  <c r="AO30" i="1"/>
  <c r="AP30" i="1"/>
  <c r="AL30" i="1"/>
  <c r="AO29" i="1"/>
  <c r="AP29" i="1"/>
  <c r="AL29" i="1"/>
  <c r="AZ28" i="1"/>
  <c r="BA28" i="1"/>
  <c r="AW28" i="1"/>
  <c r="AY29" i="1" s="1"/>
  <c r="AO28" i="1"/>
  <c r="AP28" i="1"/>
  <c r="AL28" i="1"/>
  <c r="AO27" i="1"/>
  <c r="AP27" i="1"/>
  <c r="AL27" i="1"/>
  <c r="AZ26" i="1"/>
  <c r="BA26" i="1"/>
  <c r="AW26" i="1"/>
  <c r="AY27" i="1" s="1"/>
  <c r="AO26" i="1"/>
  <c r="AP26" i="1"/>
  <c r="AL26" i="1"/>
  <c r="AZ25" i="1"/>
  <c r="BA25" i="1"/>
  <c r="AW25" i="1"/>
  <c r="AO25" i="1"/>
  <c r="AP25" i="1"/>
  <c r="AL25" i="1"/>
  <c r="AO24" i="1"/>
  <c r="AP24" i="1"/>
  <c r="AL24" i="1"/>
  <c r="AZ23" i="1"/>
  <c r="BA23" i="1"/>
  <c r="AW23" i="1"/>
  <c r="AY24" i="1" s="1"/>
  <c r="AO23" i="1"/>
  <c r="AP23" i="1"/>
  <c r="AL23" i="1"/>
  <c r="AZ22" i="1"/>
  <c r="BA22" i="1"/>
  <c r="AO22" i="1"/>
  <c r="AP22" i="1"/>
  <c r="BE154" i="1" l="1"/>
  <c r="AZ70" i="1"/>
  <c r="BB70" i="1" s="1"/>
  <c r="BA70" i="1"/>
  <c r="AW70" i="1"/>
  <c r="AZ64" i="1"/>
  <c r="BB64" i="1" s="1"/>
  <c r="BA64" i="1"/>
  <c r="AW64" i="1"/>
  <c r="AW163" i="1"/>
  <c r="BA163" i="1"/>
  <c r="AZ163" i="1"/>
  <c r="BB163" i="1" s="1"/>
  <c r="AW173" i="1"/>
  <c r="AZ173" i="1"/>
  <c r="BA173" i="1"/>
  <c r="AW168" i="1"/>
  <c r="AZ168" i="1"/>
  <c r="BA168" i="1"/>
  <c r="BA161" i="1"/>
  <c r="AZ161" i="1"/>
  <c r="BB161" i="1" s="1"/>
  <c r="BE161" i="1" s="1"/>
  <c r="AW161" i="1"/>
  <c r="AY162" i="1" s="1"/>
  <c r="AZ159" i="1"/>
  <c r="BA159" i="1"/>
  <c r="AW159" i="1"/>
  <c r="AZ143" i="1"/>
  <c r="AW143" i="1"/>
  <c r="AY144" i="1" s="1"/>
  <c r="BA143" i="1"/>
  <c r="BA135" i="1"/>
  <c r="AZ135" i="1"/>
  <c r="BB135" i="1" s="1"/>
  <c r="BE135" i="1" s="1"/>
  <c r="AW135" i="1"/>
  <c r="AY136" i="1" s="1"/>
  <c r="BA133" i="1"/>
  <c r="AW133" i="1"/>
  <c r="AZ133" i="1"/>
  <c r="BB133" i="1" s="1"/>
  <c r="AW131" i="1"/>
  <c r="AZ131" i="1"/>
  <c r="BB131" i="1" s="1"/>
  <c r="BA131" i="1"/>
  <c r="AZ125" i="1"/>
  <c r="BB125" i="1" s="1"/>
  <c r="BA125" i="1"/>
  <c r="AW125" i="1"/>
  <c r="BA113" i="1"/>
  <c r="AW113" i="1"/>
  <c r="AZ113" i="1"/>
  <c r="BB113" i="1" s="1"/>
  <c r="BE113" i="1" s="1"/>
  <c r="AW101" i="1"/>
  <c r="AZ101" i="1"/>
  <c r="BA101" i="1"/>
  <c r="BA98" i="1"/>
  <c r="AW98" i="1"/>
  <c r="AY99" i="1" s="1"/>
  <c r="AZ98" i="1"/>
  <c r="BA94" i="1"/>
  <c r="AW94" i="1"/>
  <c r="AY95" i="1" s="1"/>
  <c r="AZ94" i="1"/>
  <c r="BB94" i="1" s="1"/>
  <c r="AZ92" i="1"/>
  <c r="BB92" i="1" s="1"/>
  <c r="BA92" i="1"/>
  <c r="AW92" i="1"/>
  <c r="AW86" i="1"/>
  <c r="AZ86" i="1"/>
  <c r="BB86" i="1" s="1"/>
  <c r="BA86" i="1"/>
  <c r="AW58" i="1"/>
  <c r="AY59" i="1" s="1"/>
  <c r="BA58" i="1"/>
  <c r="AZ58" i="1"/>
  <c r="BB58" i="1" s="1"/>
  <c r="BE58" i="1" s="1"/>
  <c r="AW48" i="1"/>
  <c r="AY49" i="1" s="1"/>
  <c r="BA48" i="1"/>
  <c r="AZ48" i="1"/>
  <c r="BB48" i="1" s="1"/>
  <c r="AW44" i="1"/>
  <c r="BA44" i="1"/>
  <c r="AZ44" i="1"/>
  <c r="AW33" i="1"/>
  <c r="BA33" i="1"/>
  <c r="AZ33" i="1"/>
  <c r="BB33" i="1" s="1"/>
  <c r="AW31" i="1"/>
  <c r="BA31" i="1"/>
  <c r="AZ31" i="1"/>
  <c r="BB31" i="1" s="1"/>
  <c r="BE31" i="1" s="1"/>
  <c r="AW29" i="1"/>
  <c r="BA29" i="1"/>
  <c r="AZ29" i="1"/>
  <c r="BB29" i="1" s="1"/>
  <c r="AZ27" i="1"/>
  <c r="AW27" i="1"/>
  <c r="BA27" i="1"/>
  <c r="AW24" i="1"/>
  <c r="BA24" i="1"/>
  <c r="AZ24" i="1"/>
  <c r="BB24" i="1" s="1"/>
  <c r="BE46" i="1"/>
  <c r="BB122" i="1"/>
  <c r="BB120" i="1"/>
  <c r="BB119" i="1"/>
  <c r="AQ113" i="1"/>
  <c r="AL175" i="1"/>
  <c r="AP175" i="1"/>
  <c r="AO175" i="1"/>
  <c r="AQ175" i="1" s="1"/>
  <c r="AL169" i="1"/>
  <c r="AN170" i="1" s="1"/>
  <c r="AP169" i="1"/>
  <c r="AO169" i="1"/>
  <c r="AQ169" i="1" s="1"/>
  <c r="BE169" i="1" s="1"/>
  <c r="AP163" i="1"/>
  <c r="AO163" i="1"/>
  <c r="AQ163" i="1" s="1"/>
  <c r="BE163" i="1" s="1"/>
  <c r="AL163" i="1"/>
  <c r="AN164" i="1" s="1"/>
  <c r="AP158" i="1"/>
  <c r="AL158" i="1"/>
  <c r="AO158" i="1"/>
  <c r="AQ158" i="1" s="1"/>
  <c r="BE158" i="1" s="1"/>
  <c r="AO155" i="1"/>
  <c r="AP155" i="1"/>
  <c r="AL155" i="1"/>
  <c r="AN156" i="1" s="1"/>
  <c r="AP147" i="1"/>
  <c r="AL147" i="1"/>
  <c r="AN148" i="1" s="1"/>
  <c r="AO147" i="1"/>
  <c r="AQ147" i="1" s="1"/>
  <c r="BE147" i="1" s="1"/>
  <c r="AO142" i="1"/>
  <c r="AL142" i="1"/>
  <c r="AP142" i="1"/>
  <c r="AL132" i="1"/>
  <c r="AP132" i="1"/>
  <c r="AO132" i="1"/>
  <c r="AQ132" i="1" s="1"/>
  <c r="AL121" i="1"/>
  <c r="AN122" i="1" s="1"/>
  <c r="AP121" i="1"/>
  <c r="AO121" i="1"/>
  <c r="AQ121" i="1" s="1"/>
  <c r="AO114" i="1"/>
  <c r="AQ114" i="1" s="1"/>
  <c r="BE114" i="1" s="1"/>
  <c r="AP114" i="1"/>
  <c r="AL114" i="1"/>
  <c r="AN115" i="1" s="1"/>
  <c r="AO112" i="1"/>
  <c r="AP112" i="1"/>
  <c r="AL112" i="1"/>
  <c r="AO106" i="1"/>
  <c r="AL106" i="1"/>
  <c r="AN107" i="1" s="1"/>
  <c r="AP106" i="1"/>
  <c r="AL87" i="1"/>
  <c r="AN88" i="1" s="1"/>
  <c r="AP87" i="1"/>
  <c r="AO87" i="1"/>
  <c r="AQ87" i="1" s="1"/>
  <c r="AL84" i="1"/>
  <c r="AP84" i="1"/>
  <c r="AO84" i="1"/>
  <c r="AQ84" i="1" s="1"/>
  <c r="AL80" i="1"/>
  <c r="AN81" i="1" s="1"/>
  <c r="AP80" i="1"/>
  <c r="AO80" i="1"/>
  <c r="AQ80" i="1" s="1"/>
  <c r="AL74" i="1"/>
  <c r="AN75" i="1" s="1"/>
  <c r="AP74" i="1"/>
  <c r="AO74" i="1"/>
  <c r="AQ74" i="1" s="1"/>
  <c r="AL64" i="1"/>
  <c r="AP64" i="1"/>
  <c r="AO64" i="1"/>
  <c r="AQ64" i="1" s="1"/>
  <c r="AL62" i="1"/>
  <c r="AP62" i="1"/>
  <c r="AO62" i="1"/>
  <c r="AQ62" i="1" s="1"/>
  <c r="AL57" i="1"/>
  <c r="AP57" i="1"/>
  <c r="AO57" i="1"/>
  <c r="AQ57" i="1" s="1"/>
  <c r="AP50" i="1"/>
  <c r="AO50" i="1"/>
  <c r="AQ50" i="1" s="1"/>
  <c r="AL50" i="1"/>
  <c r="AP47" i="1"/>
  <c r="AL47" i="1"/>
  <c r="AO47" i="1"/>
  <c r="AQ47" i="1" s="1"/>
  <c r="BE47" i="1" s="1"/>
  <c r="AL43" i="1"/>
  <c r="AP43" i="1"/>
  <c r="AO43" i="1"/>
  <c r="AQ43" i="1" s="1"/>
  <c r="AO41" i="1"/>
  <c r="AP41" i="1"/>
  <c r="AL41" i="1"/>
  <c r="AO34" i="1"/>
  <c r="AL34" i="1"/>
  <c r="AN35" i="1" s="1"/>
  <c r="AP34" i="1"/>
  <c r="AO102" i="1"/>
  <c r="AQ102" i="1" s="1"/>
  <c r="BE102" i="1" s="1"/>
  <c r="AL102" i="1"/>
  <c r="AN103" i="1" s="1"/>
  <c r="AP102" i="1"/>
  <c r="AL44" i="1"/>
  <c r="AN45" i="1" s="1"/>
  <c r="AP44" i="1"/>
  <c r="AO44" i="1"/>
  <c r="AQ44" i="1" s="1"/>
  <c r="AP98" i="1"/>
  <c r="AL98" i="1"/>
  <c r="AO98" i="1"/>
  <c r="AQ98" i="1" s="1"/>
  <c r="AO85" i="1"/>
  <c r="AP85" i="1"/>
  <c r="AL85" i="1"/>
  <c r="AP66" i="1"/>
  <c r="AL66" i="1"/>
  <c r="AO66" i="1"/>
  <c r="AQ66" i="1" s="1"/>
  <c r="AO65" i="1"/>
  <c r="AP65" i="1"/>
  <c r="AL65" i="1"/>
  <c r="AO69" i="1"/>
  <c r="AP69" i="1"/>
  <c r="AL69" i="1"/>
  <c r="AN70" i="1" s="1"/>
  <c r="AP144" i="1"/>
  <c r="AO144" i="1"/>
  <c r="AL144" i="1"/>
  <c r="AO126" i="1"/>
  <c r="AQ126" i="1" s="1"/>
  <c r="AP126" i="1"/>
  <c r="AL126" i="1"/>
  <c r="AN127" i="1" s="1"/>
  <c r="AP100" i="1"/>
  <c r="AO100" i="1"/>
  <c r="AQ100" i="1" s="1"/>
  <c r="BE100" i="1" s="1"/>
  <c r="AL100" i="1"/>
  <c r="AO60" i="1"/>
  <c r="AQ60" i="1" s="1"/>
  <c r="AP60" i="1"/>
  <c r="AL60" i="1"/>
  <c r="AL92" i="1"/>
  <c r="AN93" i="1" s="1"/>
  <c r="AP92" i="1"/>
  <c r="AO92" i="1"/>
  <c r="AQ92" i="1" s="1"/>
  <c r="AO52" i="1"/>
  <c r="AL52" i="1"/>
  <c r="AN53" i="1" s="1"/>
  <c r="AP52" i="1"/>
  <c r="AQ144" i="1"/>
  <c r="AQ112" i="1"/>
  <c r="AQ120" i="1"/>
  <c r="AQ97" i="1"/>
  <c r="AQ96" i="1"/>
  <c r="AO159" i="1"/>
  <c r="AL159" i="1"/>
  <c r="AN160" i="1" s="1"/>
  <c r="AP159" i="1"/>
  <c r="AO153" i="1"/>
  <c r="AL153" i="1"/>
  <c r="AP153" i="1"/>
  <c r="AQ140" i="1"/>
  <c r="AQ105" i="1"/>
  <c r="AQ79" i="1"/>
  <c r="AQ72" i="1"/>
  <c r="AQ71" i="1"/>
  <c r="AQ63" i="1"/>
  <c r="AQ141" i="1"/>
  <c r="BB132" i="1"/>
  <c r="BB130" i="1"/>
  <c r="BB128" i="1"/>
  <c r="BB123" i="1"/>
  <c r="BB84" i="1"/>
  <c r="BB81" i="1"/>
  <c r="BB77" i="1"/>
  <c r="BB74" i="1"/>
  <c r="BB68" i="1"/>
  <c r="BB67" i="1"/>
  <c r="BB118" i="1"/>
  <c r="BA89" i="1"/>
  <c r="AW89" i="1"/>
  <c r="AZ89" i="1"/>
  <c r="BB89" i="1" s="1"/>
  <c r="AZ69" i="1"/>
  <c r="BA69" i="1"/>
  <c r="AW69" i="1"/>
  <c r="AZ63" i="1"/>
  <c r="BA63" i="1"/>
  <c r="AW63" i="1"/>
  <c r="AZ65" i="1"/>
  <c r="BA65" i="1"/>
  <c r="AW65" i="1"/>
  <c r="AZ51" i="1"/>
  <c r="AW51" i="1"/>
  <c r="BA51" i="1"/>
  <c r="AZ83" i="1"/>
  <c r="BA83" i="1"/>
  <c r="AW83" i="1"/>
  <c r="AZ60" i="1"/>
  <c r="BA60" i="1"/>
  <c r="AW60" i="1"/>
  <c r="AY61" i="1" s="1"/>
  <c r="AZ36" i="1"/>
  <c r="BA36" i="1"/>
  <c r="AW36" i="1"/>
  <c r="AW157" i="1"/>
  <c r="AZ157" i="1"/>
  <c r="BA157" i="1"/>
  <c r="BA146" i="1"/>
  <c r="AW146" i="1"/>
  <c r="AZ146" i="1"/>
  <c r="BB146" i="1" s="1"/>
  <c r="BE146" i="1" s="1"/>
  <c r="BB129" i="1"/>
  <c r="BB124" i="1"/>
  <c r="BB121" i="1"/>
  <c r="BB115" i="1"/>
  <c r="BE111" i="1"/>
  <c r="AQ76" i="1"/>
  <c r="BB103" i="1"/>
  <c r="BB82" i="1"/>
  <c r="BB76" i="1"/>
  <c r="AQ125" i="1"/>
  <c r="BB112" i="1"/>
  <c r="BB88" i="1"/>
  <c r="AQ61" i="1"/>
  <c r="BB57" i="1"/>
  <c r="BB56" i="1"/>
  <c r="BB55" i="1"/>
  <c r="BB54" i="1"/>
  <c r="BB93" i="1"/>
  <c r="BB87" i="1"/>
  <c r="BB79" i="1"/>
  <c r="BB71" i="1"/>
  <c r="BB80" i="1"/>
  <c r="BB75" i="1"/>
  <c r="AQ94" i="1"/>
  <c r="BB90" i="1"/>
  <c r="BB73" i="1"/>
  <c r="AQ68" i="1"/>
  <c r="AQ77" i="1"/>
  <c r="AQ73" i="1"/>
  <c r="BE73" i="1" s="1"/>
  <c r="AQ134" i="1"/>
  <c r="BE134" i="1" s="1"/>
  <c r="AQ131" i="1"/>
  <c r="BB126" i="1"/>
  <c r="BB117" i="1"/>
  <c r="BB66" i="1"/>
  <c r="AQ51" i="1"/>
  <c r="BB50" i="1"/>
  <c r="AQ49" i="1"/>
  <c r="AQ48" i="1"/>
  <c r="BB45" i="1"/>
  <c r="BB43" i="1"/>
  <c r="BB42" i="1"/>
  <c r="AQ42" i="1"/>
  <c r="BE42" i="1" s="1"/>
  <c r="BB41" i="1"/>
  <c r="BB40" i="1"/>
  <c r="AQ40" i="1"/>
  <c r="BE40" i="1" s="1"/>
  <c r="BB39" i="1"/>
  <c r="BB38" i="1"/>
  <c r="BB37" i="1"/>
  <c r="BB35" i="1"/>
  <c r="BB34" i="1"/>
  <c r="AQ33" i="1"/>
  <c r="BB32" i="1"/>
  <c r="AQ32" i="1"/>
  <c r="BE32" i="1" s="1"/>
  <c r="AQ31" i="1"/>
  <c r="BB30" i="1"/>
  <c r="AQ30" i="1"/>
  <c r="BE30" i="1" s="1"/>
  <c r="AQ29" i="1"/>
  <c r="BB28" i="1"/>
  <c r="AQ28" i="1"/>
  <c r="BE28" i="1" s="1"/>
  <c r="AQ27" i="1"/>
  <c r="BB26" i="1"/>
  <c r="AQ26" i="1"/>
  <c r="BB25" i="1"/>
  <c r="AQ25" i="1"/>
  <c r="BE25" i="1" s="1"/>
  <c r="AQ24" i="1"/>
  <c r="BB23" i="1"/>
  <c r="AQ23" i="1"/>
  <c r="BE23" i="1" s="1"/>
  <c r="BB22" i="1"/>
  <c r="AQ22" i="1"/>
  <c r="AQ59" i="1"/>
  <c r="BB53" i="1"/>
  <c r="AQ161" i="1"/>
  <c r="AQ157" i="1"/>
  <c r="BB156" i="1"/>
  <c r="BB155" i="1"/>
  <c r="BB151" i="1"/>
  <c r="BB148" i="1"/>
  <c r="AQ145" i="1"/>
  <c r="BB142" i="1"/>
  <c r="AQ138" i="1"/>
  <c r="AQ133" i="1"/>
  <c r="AQ130" i="1"/>
  <c r="BB127" i="1"/>
  <c r="BB110" i="1"/>
  <c r="AQ83" i="1"/>
  <c r="BB62" i="1"/>
  <c r="BB97" i="1"/>
  <c r="AQ67" i="1"/>
  <c r="AQ58" i="1"/>
  <c r="BB176" i="1"/>
  <c r="AQ176" i="1"/>
  <c r="BE176" i="1" s="1"/>
  <c r="BB175" i="1"/>
  <c r="BB174" i="1"/>
  <c r="AQ174" i="1"/>
  <c r="BE174" i="1" s="1"/>
  <c r="AQ173" i="1"/>
  <c r="BB172" i="1"/>
  <c r="BB171" i="1"/>
  <c r="BB167" i="1"/>
  <c r="BB116" i="1"/>
  <c r="BB105" i="1"/>
  <c r="BB78" i="1"/>
  <c r="AQ137" i="1"/>
  <c r="AQ86" i="1"/>
  <c r="BB85" i="1"/>
  <c r="AQ78" i="1"/>
  <c r="BB72" i="1"/>
  <c r="AQ56" i="1"/>
  <c r="BE120" i="1" l="1"/>
  <c r="BB69" i="1"/>
  <c r="BB63" i="1"/>
  <c r="BB65" i="1"/>
  <c r="BB60" i="1"/>
  <c r="BB36" i="1"/>
  <c r="BB157" i="1"/>
  <c r="BB27" i="1"/>
  <c r="BB98" i="1"/>
  <c r="BE98" i="1" s="1"/>
  <c r="BB44" i="1"/>
  <c r="BA162" i="1"/>
  <c r="AW162" i="1"/>
  <c r="AZ162" i="1"/>
  <c r="BB162" i="1" s="1"/>
  <c r="BE162" i="1" s="1"/>
  <c r="AZ144" i="1"/>
  <c r="AW144" i="1"/>
  <c r="AY145" i="1" s="1"/>
  <c r="BA144" i="1"/>
  <c r="BA136" i="1"/>
  <c r="AZ136" i="1"/>
  <c r="BB136" i="1" s="1"/>
  <c r="BE136" i="1" s="1"/>
  <c r="AW136" i="1"/>
  <c r="AY137" i="1" s="1"/>
  <c r="AW99" i="1"/>
  <c r="AZ99" i="1"/>
  <c r="BA99" i="1"/>
  <c r="AZ95" i="1"/>
  <c r="BA95" i="1"/>
  <c r="AW95" i="1"/>
  <c r="AY96" i="1" s="1"/>
  <c r="AW59" i="1"/>
  <c r="BA59" i="1"/>
  <c r="AZ59" i="1"/>
  <c r="BB59" i="1" s="1"/>
  <c r="BE59" i="1" s="1"/>
  <c r="AZ49" i="1"/>
  <c r="AW49" i="1"/>
  <c r="BA49" i="1"/>
  <c r="BE125" i="1"/>
  <c r="BE94" i="1"/>
  <c r="BE68" i="1"/>
  <c r="BE77" i="1"/>
  <c r="BE33" i="1"/>
  <c r="BE27" i="1"/>
  <c r="BE157" i="1"/>
  <c r="BE133" i="1"/>
  <c r="BE130" i="1"/>
  <c r="BE67" i="1"/>
  <c r="BB173" i="1"/>
  <c r="BE173" i="1" s="1"/>
  <c r="BB168" i="1"/>
  <c r="BE168" i="1" s="1"/>
  <c r="BB159" i="1"/>
  <c r="BB143" i="1"/>
  <c r="BE143" i="1" s="1"/>
  <c r="BB101" i="1"/>
  <c r="BE101" i="1" s="1"/>
  <c r="AW61" i="1"/>
  <c r="BA61" i="1"/>
  <c r="AZ61" i="1"/>
  <c r="BB61" i="1" s="1"/>
  <c r="BE175" i="1"/>
  <c r="BE132" i="1"/>
  <c r="BE84" i="1"/>
  <c r="BE80" i="1"/>
  <c r="BE74" i="1"/>
  <c r="BE57" i="1"/>
  <c r="BE50" i="1"/>
  <c r="BE43" i="1"/>
  <c r="BE44" i="1"/>
  <c r="BE60" i="1"/>
  <c r="BE92" i="1"/>
  <c r="BB51" i="1"/>
  <c r="BE51" i="1" s="1"/>
  <c r="AQ41" i="1"/>
  <c r="BE41" i="1" s="1"/>
  <c r="AQ34" i="1"/>
  <c r="BE34" i="1" s="1"/>
  <c r="AL170" i="1"/>
  <c r="AN171" i="1" s="1"/>
  <c r="AO170" i="1"/>
  <c r="AP170" i="1"/>
  <c r="AO164" i="1"/>
  <c r="AP164" i="1"/>
  <c r="AL164" i="1"/>
  <c r="AN165" i="1" s="1"/>
  <c r="AO156" i="1"/>
  <c r="AL156" i="1"/>
  <c r="AP156" i="1"/>
  <c r="AP148" i="1"/>
  <c r="AO148" i="1"/>
  <c r="AQ148" i="1" s="1"/>
  <c r="BE148" i="1" s="1"/>
  <c r="AL148" i="1"/>
  <c r="AN149" i="1" s="1"/>
  <c r="AL122" i="1"/>
  <c r="AN123" i="1" s="1"/>
  <c r="AP122" i="1"/>
  <c r="AO122" i="1"/>
  <c r="AQ122" i="1" s="1"/>
  <c r="BE122" i="1" s="1"/>
  <c r="AP115" i="1"/>
  <c r="AL115" i="1"/>
  <c r="AN116" i="1" s="1"/>
  <c r="AO115" i="1"/>
  <c r="AQ115" i="1" s="1"/>
  <c r="BE115" i="1" s="1"/>
  <c r="AL107" i="1"/>
  <c r="AN108" i="1" s="1"/>
  <c r="AP107" i="1"/>
  <c r="AO107" i="1"/>
  <c r="AQ107" i="1" s="1"/>
  <c r="BE107" i="1" s="1"/>
  <c r="AL88" i="1"/>
  <c r="AN89" i="1" s="1"/>
  <c r="AO88" i="1"/>
  <c r="AP88" i="1"/>
  <c r="AL81" i="1"/>
  <c r="AN82" i="1" s="1"/>
  <c r="AP81" i="1"/>
  <c r="AO81" i="1"/>
  <c r="AQ81" i="1" s="1"/>
  <c r="BE81" i="1" s="1"/>
  <c r="AL75" i="1"/>
  <c r="AP75" i="1"/>
  <c r="AO75" i="1"/>
  <c r="AQ75" i="1" s="1"/>
  <c r="BE75" i="1" s="1"/>
  <c r="AL35" i="1"/>
  <c r="AN36" i="1" s="1"/>
  <c r="AO35" i="1"/>
  <c r="AP35" i="1"/>
  <c r="AQ155" i="1"/>
  <c r="BE155" i="1" s="1"/>
  <c r="AQ142" i="1"/>
  <c r="BE142" i="1" s="1"/>
  <c r="AQ106" i="1"/>
  <c r="BE106" i="1" s="1"/>
  <c r="AQ85" i="1"/>
  <c r="BE85" i="1" s="1"/>
  <c r="AQ65" i="1"/>
  <c r="BE65" i="1" s="1"/>
  <c r="AQ69" i="1"/>
  <c r="BE69" i="1" s="1"/>
  <c r="AQ52" i="1"/>
  <c r="BE52" i="1" s="1"/>
  <c r="AQ153" i="1"/>
  <c r="BE153" i="1" s="1"/>
  <c r="AP103" i="1"/>
  <c r="AO103" i="1"/>
  <c r="AQ103" i="1" s="1"/>
  <c r="BE103" i="1" s="1"/>
  <c r="AL103" i="1"/>
  <c r="AN104" i="1" s="1"/>
  <c r="AL45" i="1"/>
  <c r="AP45" i="1"/>
  <c r="AO45" i="1"/>
  <c r="AQ45" i="1" s="1"/>
  <c r="BE45" i="1" s="1"/>
  <c r="AP70" i="1"/>
  <c r="AL70" i="1"/>
  <c r="AO70" i="1"/>
  <c r="AQ70" i="1" s="1"/>
  <c r="BE70" i="1" s="1"/>
  <c r="AL127" i="1"/>
  <c r="AN128" i="1" s="1"/>
  <c r="AP127" i="1"/>
  <c r="AO127" i="1"/>
  <c r="AQ127" i="1" s="1"/>
  <c r="BE127" i="1" s="1"/>
  <c r="AP93" i="1"/>
  <c r="AO93" i="1"/>
  <c r="AQ93" i="1" s="1"/>
  <c r="BE93" i="1" s="1"/>
  <c r="AL93" i="1"/>
  <c r="AO53" i="1"/>
  <c r="AP53" i="1"/>
  <c r="AL53" i="1"/>
  <c r="AN54" i="1" s="1"/>
  <c r="AP160" i="1"/>
  <c r="AL160" i="1"/>
  <c r="AO160" i="1"/>
  <c r="AQ160" i="1" s="1"/>
  <c r="BE160" i="1" s="1"/>
  <c r="BE61" i="1"/>
  <c r="AQ159" i="1"/>
  <c r="BE112" i="1"/>
  <c r="BE97" i="1"/>
  <c r="BE63" i="1"/>
  <c r="BE64" i="1"/>
  <c r="BE79" i="1"/>
  <c r="BE71" i="1"/>
  <c r="BE126" i="1"/>
  <c r="BE105" i="1"/>
  <c r="BE72" i="1"/>
  <c r="BE131" i="1"/>
  <c r="BE87" i="1"/>
  <c r="BE121" i="1"/>
  <c r="BE86" i="1"/>
  <c r="BE78" i="1"/>
  <c r="BE66" i="1"/>
  <c r="BE56" i="1"/>
  <c r="BB83" i="1"/>
  <c r="BE83" i="1" s="1"/>
  <c r="BE76" i="1"/>
  <c r="BE62" i="1"/>
  <c r="BC22" i="1"/>
  <c r="BC23" i="1" s="1"/>
  <c r="BC24" i="1" s="1"/>
  <c r="BC25" i="1" s="1"/>
  <c r="BC26" i="1" s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BE29" i="1"/>
  <c r="BE24" i="1"/>
  <c r="BE48" i="1"/>
  <c r="BE26" i="1"/>
  <c r="BC27" i="1" l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B144" i="1"/>
  <c r="BE144" i="1" s="1"/>
  <c r="BB99" i="1"/>
  <c r="BE99" i="1" s="1"/>
  <c r="BB95" i="1"/>
  <c r="BE95" i="1" s="1"/>
  <c r="BB49" i="1"/>
  <c r="BE49" i="1" s="1"/>
  <c r="AZ145" i="1"/>
  <c r="AW145" i="1"/>
  <c r="BA145" i="1"/>
  <c r="AZ137" i="1"/>
  <c r="BA137" i="1"/>
  <c r="AW137" i="1"/>
  <c r="AY138" i="1" s="1"/>
  <c r="BA96" i="1"/>
  <c r="AW96" i="1"/>
  <c r="AZ96" i="1"/>
  <c r="BB96" i="1" s="1"/>
  <c r="BE96" i="1" s="1"/>
  <c r="BC49" i="1"/>
  <c r="BC50" i="1" s="1"/>
  <c r="BC51" i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AR34" i="1"/>
  <c r="AQ35" i="1"/>
  <c r="BE35" i="1" s="1"/>
  <c r="AQ53" i="1"/>
  <c r="BE53" i="1" s="1"/>
  <c r="AL171" i="1"/>
  <c r="AN172" i="1" s="1"/>
  <c r="AO171" i="1"/>
  <c r="AP171" i="1"/>
  <c r="AO165" i="1"/>
  <c r="AL165" i="1"/>
  <c r="AN166" i="1" s="1"/>
  <c r="AP165" i="1"/>
  <c r="AO149" i="1"/>
  <c r="AL149" i="1"/>
  <c r="AN150" i="1" s="1"/>
  <c r="AP149" i="1"/>
  <c r="AL123" i="1"/>
  <c r="AN124" i="1" s="1"/>
  <c r="AP123" i="1"/>
  <c r="AO123" i="1"/>
  <c r="AQ123" i="1" s="1"/>
  <c r="BE123" i="1" s="1"/>
  <c r="AL116" i="1"/>
  <c r="AN117" i="1" s="1"/>
  <c r="AO116" i="1"/>
  <c r="AP116" i="1"/>
  <c r="AO108" i="1"/>
  <c r="AP108" i="1"/>
  <c r="AL108" i="1"/>
  <c r="AN109" i="1" s="1"/>
  <c r="AP89" i="1"/>
  <c r="AL89" i="1"/>
  <c r="AN90" i="1" s="1"/>
  <c r="AO89" i="1"/>
  <c r="AQ89" i="1" s="1"/>
  <c r="BE89" i="1" s="1"/>
  <c r="AL82" i="1"/>
  <c r="AP82" i="1"/>
  <c r="AO82" i="1"/>
  <c r="AQ82" i="1" s="1"/>
  <c r="BE82" i="1" s="1"/>
  <c r="AO36" i="1"/>
  <c r="AL36" i="1"/>
  <c r="AN37" i="1" s="1"/>
  <c r="AP36" i="1"/>
  <c r="AO104" i="1"/>
  <c r="AL104" i="1"/>
  <c r="AP104" i="1"/>
  <c r="AL128" i="1"/>
  <c r="AN129" i="1" s="1"/>
  <c r="AP128" i="1"/>
  <c r="AO128" i="1"/>
  <c r="AQ128" i="1" s="1"/>
  <c r="BE128" i="1" s="1"/>
  <c r="AL54" i="1"/>
  <c r="AN55" i="1" s="1"/>
  <c r="AP54" i="1"/>
  <c r="AO54" i="1"/>
  <c r="AQ54" i="1" s="1"/>
  <c r="BE54" i="1" s="1"/>
  <c r="AQ164" i="1"/>
  <c r="BE164" i="1" s="1"/>
  <c r="AQ156" i="1"/>
  <c r="BE156" i="1" s="1"/>
  <c r="AR35" i="1"/>
  <c r="AQ170" i="1"/>
  <c r="BE170" i="1" s="1"/>
  <c r="AQ88" i="1"/>
  <c r="BE88" i="1" s="1"/>
  <c r="BE159" i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A138" i="1" l="1"/>
  <c r="AW138" i="1"/>
  <c r="AY139" i="1" s="1"/>
  <c r="AZ138" i="1"/>
  <c r="BB138" i="1" s="1"/>
  <c r="BE138" i="1" s="1"/>
  <c r="BB145" i="1"/>
  <c r="BE145" i="1" s="1"/>
  <c r="BB137" i="1"/>
  <c r="BF35" i="1"/>
  <c r="AL172" i="1"/>
  <c r="AO172" i="1"/>
  <c r="AP172" i="1"/>
  <c r="AO166" i="1"/>
  <c r="AP166" i="1"/>
  <c r="AL166" i="1"/>
  <c r="AN167" i="1" s="1"/>
  <c r="AP150" i="1"/>
  <c r="AL150" i="1"/>
  <c r="AN151" i="1" s="1"/>
  <c r="AO150" i="1"/>
  <c r="AQ150" i="1" s="1"/>
  <c r="BE150" i="1" s="1"/>
  <c r="AL124" i="1"/>
  <c r="AP124" i="1"/>
  <c r="AO124" i="1"/>
  <c r="AL117" i="1"/>
  <c r="AN118" i="1" s="1"/>
  <c r="AO117" i="1"/>
  <c r="AP117" i="1"/>
  <c r="AO109" i="1"/>
  <c r="AL109" i="1"/>
  <c r="AN110" i="1" s="1"/>
  <c r="AP109" i="1"/>
  <c r="AP90" i="1"/>
  <c r="AL90" i="1"/>
  <c r="AN91" i="1" s="1"/>
  <c r="AO90" i="1"/>
  <c r="AQ90" i="1" s="1"/>
  <c r="BE90" i="1" s="1"/>
  <c r="AP37" i="1"/>
  <c r="AO37" i="1"/>
  <c r="AQ37" i="1" s="1"/>
  <c r="BE37" i="1" s="1"/>
  <c r="AL37" i="1"/>
  <c r="AN38" i="1" s="1"/>
  <c r="AL129" i="1"/>
  <c r="AP129" i="1"/>
  <c r="AO129" i="1"/>
  <c r="AQ129" i="1" s="1"/>
  <c r="BE129" i="1" s="1"/>
  <c r="AL55" i="1"/>
  <c r="AP55" i="1"/>
  <c r="AO55" i="1"/>
  <c r="AQ171" i="1"/>
  <c r="BE171" i="1" s="1"/>
  <c r="AQ165" i="1"/>
  <c r="BE165" i="1" s="1"/>
  <c r="AQ149" i="1"/>
  <c r="BE149" i="1" s="1"/>
  <c r="AQ116" i="1"/>
  <c r="BE116" i="1" s="1"/>
  <c r="AQ108" i="1"/>
  <c r="BE108" i="1" s="1"/>
  <c r="AQ36" i="1"/>
  <c r="AQ104" i="1"/>
  <c r="BE104" i="1" s="1"/>
  <c r="AZ139" i="1" l="1"/>
  <c r="BA139" i="1"/>
  <c r="AW139" i="1"/>
  <c r="AY140" i="1" s="1"/>
  <c r="BC137" i="1"/>
  <c r="BC138" i="1" s="1"/>
  <c r="BE137" i="1"/>
  <c r="AQ55" i="1"/>
  <c r="BE55" i="1" s="1"/>
  <c r="AQ124" i="1"/>
  <c r="BE124" i="1" s="1"/>
  <c r="AL167" i="1"/>
  <c r="AO167" i="1"/>
  <c r="AP167" i="1"/>
  <c r="AO151" i="1"/>
  <c r="AL151" i="1"/>
  <c r="AN152" i="1" s="1"/>
  <c r="AP151" i="1"/>
  <c r="AL118" i="1"/>
  <c r="AN119" i="1" s="1"/>
  <c r="AP118" i="1"/>
  <c r="AO118" i="1"/>
  <c r="AQ118" i="1" s="1"/>
  <c r="BE118" i="1" s="1"/>
  <c r="AO110" i="1"/>
  <c r="AL110" i="1"/>
  <c r="AP110" i="1"/>
  <c r="AO91" i="1"/>
  <c r="AP91" i="1"/>
  <c r="AL91" i="1"/>
  <c r="AO38" i="1"/>
  <c r="AL38" i="1"/>
  <c r="AN39" i="1" s="1"/>
  <c r="AP38" i="1"/>
  <c r="AR36" i="1"/>
  <c r="AR37" i="1" s="1"/>
  <c r="BE36" i="1"/>
  <c r="AQ172" i="1"/>
  <c r="BE172" i="1" s="1"/>
  <c r="AQ166" i="1"/>
  <c r="BE166" i="1" s="1"/>
  <c r="AQ117" i="1"/>
  <c r="BE117" i="1" s="1"/>
  <c r="AQ109" i="1"/>
  <c r="BE109" i="1" s="1"/>
  <c r="AW140" i="1" l="1"/>
  <c r="AY141" i="1" s="1"/>
  <c r="BA140" i="1"/>
  <c r="AZ140" i="1"/>
  <c r="BB139" i="1"/>
  <c r="AO152" i="1"/>
  <c r="AP152" i="1"/>
  <c r="AL152" i="1"/>
  <c r="AL119" i="1"/>
  <c r="AP119" i="1"/>
  <c r="AO119" i="1"/>
  <c r="AQ119" i="1" s="1"/>
  <c r="BE119" i="1" s="1"/>
  <c r="AO39" i="1"/>
  <c r="AP39" i="1"/>
  <c r="AL39" i="1"/>
  <c r="BF36" i="1"/>
  <c r="BF37" i="1" s="1"/>
  <c r="AQ167" i="1"/>
  <c r="BE167" i="1" s="1"/>
  <c r="AQ151" i="1"/>
  <c r="BE151" i="1" s="1"/>
  <c r="AQ110" i="1"/>
  <c r="BE110" i="1" s="1"/>
  <c r="AQ91" i="1"/>
  <c r="BE91" i="1" s="1"/>
  <c r="AQ38" i="1"/>
  <c r="AZ141" i="1" l="1"/>
  <c r="AW141" i="1"/>
  <c r="BA141" i="1"/>
  <c r="BC139" i="1"/>
  <c r="BE139" i="1"/>
  <c r="BB140" i="1"/>
  <c r="AR38" i="1"/>
  <c r="AQ14" i="1"/>
  <c r="AQ16" i="1" s="1"/>
  <c r="AI1" i="1" s="1"/>
  <c r="AQ15" i="1"/>
  <c r="BE38" i="1"/>
  <c r="AQ152" i="1"/>
  <c r="BE152" i="1" s="1"/>
  <c r="AQ39" i="1"/>
  <c r="BB141" i="1" l="1"/>
  <c r="BC140" i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40" i="1"/>
  <c r="BB14" i="1"/>
  <c r="BF38" i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AR39" i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39" i="1"/>
  <c r="AQ19" i="1"/>
  <c r="BB15" i="1" l="1"/>
  <c r="BB16" i="1" s="1"/>
  <c r="AT1" i="1" s="1"/>
  <c r="BB19" i="1"/>
  <c r="BE141" i="1"/>
  <c r="BE14" i="1" l="1"/>
  <c r="BE15" i="1"/>
  <c r="BE18" i="1"/>
  <c r="BF141" i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<sst xmlns="http://schemas.openxmlformats.org/spreadsheetml/2006/main" count="74" uniqueCount="53">
  <si>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</si>
  <si>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TFI</t>
  </si>
  <si>
    <t>VTEB</t>
  </si>
  <si>
    <t>TFI log rtn</t>
  </si>
  <si>
    <t>VTEB log rtn</t>
  </si>
  <si>
    <t>TFI div</t>
  </si>
  <si>
    <t>TFI div cumsum</t>
  </si>
  <si>
    <t>VTEB div</t>
  </si>
  <si>
    <t>VTEB div cumsum</t>
  </si>
  <si>
    <t>TFI div adjustment</t>
  </si>
  <si>
    <t>VTEB div adjustment</t>
  </si>
  <si>
    <t>TFI*</t>
  </si>
  <si>
    <t>VTEB*</t>
  </si>
  <si>
    <t>VTEB/TFI</t>
  </si>
  <si>
    <t>VTEB/TFI avg</t>
  </si>
  <si>
    <t>VTEB/TFI 10 dma</t>
  </si>
  <si>
    <t>VTEB/TFI 20 dma</t>
  </si>
  <si>
    <t>TFI x avg</t>
  </si>
  <si>
    <t>TFI x 10 dma</t>
  </si>
  <si>
    <t>TFI x 20 dma</t>
  </si>
  <si>
    <t>log diff TFI x avg / VTEB</t>
  </si>
  <si>
    <t>log diff TFI x 10 dma / VTEB</t>
  </si>
  <si>
    <t>log diff TFI x 20 dma / VTEB</t>
  </si>
  <si>
    <t>VTEB*/TFI*</t>
  </si>
  <si>
    <t>VTEB*/TFI* avg</t>
  </si>
  <si>
    <t>VTEB*/TFI* 10 dma</t>
  </si>
  <si>
    <t>VTEB*/TFI* 20 dma</t>
  </si>
  <si>
    <t>TFI* x avg</t>
  </si>
  <si>
    <t>TFI* x 10 dma</t>
  </si>
  <si>
    <t>TFI* x 20 dma</t>
  </si>
  <si>
    <t>log diff TFI* x avg / VTEB*</t>
  </si>
  <si>
    <t>log diff TFI* x 10 dma / VTEB*</t>
  </si>
  <si>
    <t>log diff TFI* x 20 dma / VTEB*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</si>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</sst>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VTEB/TFI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1.1028747626327899</c:v>
                </c:pt>
                <c:pt idx="1">
                  <c:v>1.1028747626327899</c:v>
                </c:pt>
                <c:pt idx="2">
                  <c:v>1.1028747626327899</c:v>
                </c:pt>
                <c:pt idx="3">
                  <c:v>1.1028747626327899</c:v>
                </c:pt>
                <c:pt idx="4">
                  <c:v>1.1028747626327899</c:v>
                </c:pt>
                <c:pt idx="5">
                  <c:v>1.1028747626327899</c:v>
                </c:pt>
                <c:pt idx="6">
                  <c:v>1.1028747626327899</c:v>
                </c:pt>
                <c:pt idx="7">
                  <c:v>1.1028747626327899</c:v>
                </c:pt>
                <c:pt idx="8">
                  <c:v>1.1028747626327899</c:v>
                </c:pt>
                <c:pt idx="9">
                  <c:v>1.1028747626327899</c:v>
                </c:pt>
                <c:pt idx="10">
                  <c:v>1.1028747626327899</c:v>
                </c:pt>
                <c:pt idx="11">
                  <c:v>1.1028747626327899</c:v>
                </c:pt>
                <c:pt idx="12">
                  <c:v>1.1028747626327899</c:v>
                </c:pt>
                <c:pt idx="13">
                  <c:v>1.1028747626327899</c:v>
                </c:pt>
                <c:pt idx="14">
                  <c:v>1.1028747626327899</c:v>
                </c:pt>
                <c:pt idx="15">
                  <c:v>1.1028747626327899</c:v>
                </c:pt>
                <c:pt idx="16">
                  <c:v>1.1028747626327899</c:v>
                </c:pt>
                <c:pt idx="17">
                  <c:v>1.1028747626327899</c:v>
                </c:pt>
                <c:pt idx="18">
                  <c:v>1.1028747626327899</c:v>
                </c:pt>
                <c:pt idx="19">
                  <c:v>1.1028747626327899</c:v>
                </c:pt>
                <c:pt idx="20">
                  <c:v>1.1028747626327899</c:v>
                </c:pt>
                <c:pt idx="21">
                  <c:v>1.1028747626327899</c:v>
                </c:pt>
                <c:pt idx="22">
                  <c:v>1.1028747626327899</c:v>
                </c:pt>
                <c:pt idx="23">
                  <c:v>1.1028747626327899</c:v>
                </c:pt>
                <c:pt idx="24">
                  <c:v>1.1028747626327899</c:v>
                </c:pt>
                <c:pt idx="25">
                  <c:v>1.1028747626327899</c:v>
                </c:pt>
                <c:pt idx="26">
                  <c:v>1.1028747626327899</c:v>
                </c:pt>
                <c:pt idx="27">
                  <c:v>1.1028747626327899</c:v>
                </c:pt>
                <c:pt idx="28">
                  <c:v>1.1028747626327899</c:v>
                </c:pt>
                <c:pt idx="29">
                  <c:v>1.1028747626327899</c:v>
                </c:pt>
                <c:pt idx="30">
                  <c:v>1.1028747626327899</c:v>
                </c:pt>
                <c:pt idx="31">
                  <c:v>1.1028747626327899</c:v>
                </c:pt>
                <c:pt idx="32">
                  <c:v>1.1028747626327899</c:v>
                </c:pt>
                <c:pt idx="33">
                  <c:v>1.1028747626327899</c:v>
                </c:pt>
                <c:pt idx="34">
                  <c:v>1.1028747626327899</c:v>
                </c:pt>
                <c:pt idx="35">
                  <c:v>1.1028747626327899</c:v>
                </c:pt>
                <c:pt idx="36">
                  <c:v>1.1028747626327899</c:v>
                </c:pt>
                <c:pt idx="37">
                  <c:v>1.1028747626327899</c:v>
                </c:pt>
                <c:pt idx="38">
                  <c:v>1.1028747626327899</c:v>
                </c:pt>
                <c:pt idx="39">
                  <c:v>1.1028747626327899</c:v>
                </c:pt>
                <c:pt idx="40">
                  <c:v>1.1028747626327899</c:v>
                </c:pt>
                <c:pt idx="41">
                  <c:v>1.1028747626327899</c:v>
                </c:pt>
                <c:pt idx="42">
                  <c:v>1.1028747626327899</c:v>
                </c:pt>
                <c:pt idx="43">
                  <c:v>1.1028747626327899</c:v>
                </c:pt>
                <c:pt idx="44">
                  <c:v>1.1028747626327899</c:v>
                </c:pt>
                <c:pt idx="45">
                  <c:v>1.1028747626327899</c:v>
                </c:pt>
                <c:pt idx="46">
                  <c:v>1.1028747626327899</c:v>
                </c:pt>
                <c:pt idx="47">
                  <c:v>1.1028747626327899</c:v>
                </c:pt>
                <c:pt idx="48">
                  <c:v>1.1028747626327899</c:v>
                </c:pt>
                <c:pt idx="49">
                  <c:v>1.1028747626327899</c:v>
                </c:pt>
                <c:pt idx="50">
                  <c:v>1.1028747626327899</c:v>
                </c:pt>
                <c:pt idx="51">
                  <c:v>1.1028747626327899</c:v>
                </c:pt>
                <c:pt idx="52">
                  <c:v>1.1028747626327899</c:v>
                </c:pt>
                <c:pt idx="53">
                  <c:v>1.1028747626327899</c:v>
                </c:pt>
                <c:pt idx="54">
                  <c:v>1.1028747626327899</c:v>
                </c:pt>
                <c:pt idx="55">
                  <c:v>1.1028747626327899</c:v>
                </c:pt>
                <c:pt idx="56">
                  <c:v>1.1028747626327899</c:v>
                </c:pt>
                <c:pt idx="57">
                  <c:v>1.1028747626327899</c:v>
                </c:pt>
                <c:pt idx="58">
                  <c:v>1.1028747626327899</c:v>
                </c:pt>
                <c:pt idx="59">
                  <c:v>1.1028747626327899</c:v>
                </c:pt>
                <c:pt idx="60">
                  <c:v>1.1028747626327899</c:v>
                </c:pt>
                <c:pt idx="61">
                  <c:v>1.1028747626327899</c:v>
                </c:pt>
                <c:pt idx="62">
                  <c:v>1.1028747626327899</c:v>
                </c:pt>
                <c:pt idx="63">
                  <c:v>1.1028747626327899</c:v>
                </c:pt>
                <c:pt idx="64">
                  <c:v>1.1028747626327899</c:v>
                </c:pt>
                <c:pt idx="65">
                  <c:v>1.1028747626327899</c:v>
                </c:pt>
                <c:pt idx="66">
                  <c:v>1.1028747626327899</c:v>
                </c:pt>
                <c:pt idx="67">
                  <c:v>1.1028747626327899</c:v>
                </c:pt>
                <c:pt idx="68">
                  <c:v>1.1028747626327899</c:v>
                </c:pt>
                <c:pt idx="69">
                  <c:v>1.1028747626327899</c:v>
                </c:pt>
                <c:pt idx="70">
                  <c:v>1.1028747626327899</c:v>
                </c:pt>
                <c:pt idx="71">
                  <c:v>1.1028747626327899</c:v>
                </c:pt>
                <c:pt idx="72">
                  <c:v>1.1028747626327899</c:v>
                </c:pt>
                <c:pt idx="73">
                  <c:v>1.1028747626327899</c:v>
                </c:pt>
                <c:pt idx="74">
                  <c:v>1.1028747626327899</c:v>
                </c:pt>
                <c:pt idx="75">
                  <c:v>1.1028747626327899</c:v>
                </c:pt>
                <c:pt idx="76">
                  <c:v>1.1028747626327899</c:v>
                </c:pt>
                <c:pt idx="77">
                  <c:v>1.1028747626327899</c:v>
                </c:pt>
                <c:pt idx="78">
                  <c:v>1.1028747626327899</c:v>
                </c:pt>
                <c:pt idx="79">
                  <c:v>1.1028747626327899</c:v>
                </c:pt>
                <c:pt idx="80">
                  <c:v>1.1028747626327899</c:v>
                </c:pt>
                <c:pt idx="81">
                  <c:v>1.1028747626327899</c:v>
                </c:pt>
                <c:pt idx="82">
                  <c:v>1.1028747626327899</c:v>
                </c:pt>
                <c:pt idx="83">
                  <c:v>1.1028747626327899</c:v>
                </c:pt>
                <c:pt idx="84">
                  <c:v>1.1028747626327899</c:v>
                </c:pt>
                <c:pt idx="85">
                  <c:v>1.1028747626327899</c:v>
                </c:pt>
                <c:pt idx="86">
                  <c:v>1.1028747626327899</c:v>
                </c:pt>
                <c:pt idx="87">
                  <c:v>1.1028747626327899</c:v>
                </c:pt>
                <c:pt idx="88">
                  <c:v>1.1028747626327899</c:v>
                </c:pt>
                <c:pt idx="89">
                  <c:v>1.1028747626327899</c:v>
                </c:pt>
                <c:pt idx="90">
                  <c:v>1.1028747626327899</c:v>
                </c:pt>
                <c:pt idx="91">
                  <c:v>1.1028747626327899</c:v>
                </c:pt>
                <c:pt idx="92">
                  <c:v>1.1028747626327899</c:v>
                </c:pt>
                <c:pt idx="93">
                  <c:v>1.1028747626327899</c:v>
                </c:pt>
                <c:pt idx="94">
                  <c:v>1.1028747626327899</c:v>
                </c:pt>
                <c:pt idx="95">
                  <c:v>1.1028747626327899</c:v>
                </c:pt>
                <c:pt idx="96">
                  <c:v>1.1028747626327899</c:v>
                </c:pt>
                <c:pt idx="97">
                  <c:v>1.1028747626327899</c:v>
                </c:pt>
                <c:pt idx="98">
                  <c:v>1.1028747626327899</c:v>
                </c:pt>
                <c:pt idx="99">
                  <c:v>1.1028747626327899</c:v>
                </c:pt>
                <c:pt idx="100">
                  <c:v>1.1028747626327899</c:v>
                </c:pt>
                <c:pt idx="101">
                  <c:v>1.1028747626327899</c:v>
                </c:pt>
                <c:pt idx="102">
                  <c:v>1.1028747626327899</c:v>
                </c:pt>
                <c:pt idx="103">
                  <c:v>1.1028747626327899</c:v>
                </c:pt>
                <c:pt idx="104">
                  <c:v>1.1028747626327899</c:v>
                </c:pt>
                <c:pt idx="105">
                  <c:v>1.1028747626327899</c:v>
                </c:pt>
                <c:pt idx="106">
                  <c:v>1.1028747626327899</c:v>
                </c:pt>
                <c:pt idx="107">
                  <c:v>1.1028747626327899</c:v>
                </c:pt>
                <c:pt idx="108">
                  <c:v>1.1028747626327899</c:v>
                </c:pt>
                <c:pt idx="109">
                  <c:v>1.1028747626327899</c:v>
                </c:pt>
                <c:pt idx="110">
                  <c:v>1.1028747626327899</c:v>
                </c:pt>
                <c:pt idx="111">
                  <c:v>1.1028747626327899</c:v>
                </c:pt>
                <c:pt idx="112">
                  <c:v>1.1028747626327899</c:v>
                </c:pt>
                <c:pt idx="113">
                  <c:v>1.1028747626327899</c:v>
                </c:pt>
                <c:pt idx="114">
                  <c:v>1.1028747626327899</c:v>
                </c:pt>
                <c:pt idx="115">
                  <c:v>1.1028747626327899</c:v>
                </c:pt>
                <c:pt idx="116">
                  <c:v>1.1028747626327899</c:v>
                </c:pt>
                <c:pt idx="117">
                  <c:v>1.1028747626327899</c:v>
                </c:pt>
                <c:pt idx="118">
                  <c:v>1.1028747626327899</c:v>
                </c:pt>
                <c:pt idx="119">
                  <c:v>1.1028747626327899</c:v>
                </c:pt>
                <c:pt idx="120">
                  <c:v>1.1028747626327899</c:v>
                </c:pt>
                <c:pt idx="121">
                  <c:v>1.1028747626327899</c:v>
                </c:pt>
                <c:pt idx="122">
                  <c:v>1.1028747626327899</c:v>
                </c:pt>
                <c:pt idx="123">
                  <c:v>1.1028747626327899</c:v>
                </c:pt>
                <c:pt idx="124">
                  <c:v>1.1028747626327899</c:v>
                </c:pt>
                <c:pt idx="125">
                  <c:v>1.1028747626327899</c:v>
                </c:pt>
                <c:pt idx="126">
                  <c:v>1.1028747626327899</c:v>
                </c:pt>
                <c:pt idx="127">
                  <c:v>1.1028747626327899</c:v>
                </c:pt>
                <c:pt idx="128">
                  <c:v>1.1028747626327899</c:v>
                </c:pt>
                <c:pt idx="129">
                  <c:v>1.1028747626327899</c:v>
                </c:pt>
                <c:pt idx="130">
                  <c:v>1.1028747626327899</c:v>
                </c:pt>
                <c:pt idx="131">
                  <c:v>1.1028747626327899</c:v>
                </c:pt>
                <c:pt idx="132">
                  <c:v>1.1028747626327899</c:v>
                </c:pt>
                <c:pt idx="133">
                  <c:v>1.1028747626327899</c:v>
                </c:pt>
                <c:pt idx="134">
                  <c:v>1.1028747626327899</c:v>
                </c:pt>
                <c:pt idx="135">
                  <c:v>1.1028747626327899</c:v>
                </c:pt>
                <c:pt idx="136">
                  <c:v>1.1028747626327899</c:v>
                </c:pt>
                <c:pt idx="137">
                  <c:v>1.1028747626327899</c:v>
                </c:pt>
                <c:pt idx="138">
                  <c:v>1.1028747626327899</c:v>
                </c:pt>
                <c:pt idx="139">
                  <c:v>1.1028747626327899</c:v>
                </c:pt>
                <c:pt idx="140">
                  <c:v>1.1028747626327899</c:v>
                </c:pt>
                <c:pt idx="141">
                  <c:v>1.1028747626327899</c:v>
                </c:pt>
                <c:pt idx="142">
                  <c:v>1.1028747626327899</c:v>
                </c:pt>
                <c:pt idx="143">
                  <c:v>1.1028747626327899</c:v>
                </c:pt>
                <c:pt idx="144">
                  <c:v>1.1028747626327899</c:v>
                </c:pt>
                <c:pt idx="145">
                  <c:v>1.1028747626327899</c:v>
                </c:pt>
                <c:pt idx="146">
                  <c:v>1.1028747626327899</c:v>
                </c:pt>
                <c:pt idx="147">
                  <c:v>1.1028747626327899</c:v>
                </c:pt>
                <c:pt idx="148">
                  <c:v>1.1028747626327899</c:v>
                </c:pt>
                <c:pt idx="149">
                  <c:v>1.1028747626327899</c:v>
                </c:pt>
                <c:pt idx="150">
                  <c:v>1.1028747626327899</c:v>
                </c:pt>
                <c:pt idx="151">
                  <c:v>1.1028747626327899</c:v>
                </c:pt>
                <c:pt idx="152">
                  <c:v>1.1028747626327899</c:v>
                </c:pt>
                <c:pt idx="153">
                  <c:v>1.1028747626327899</c:v>
                </c:pt>
                <c:pt idx="154">
                  <c:v>1.1028747626327899</c:v>
                </c:pt>
                <c:pt idx="155">
                  <c:v>1.1028747626327899</c:v>
                </c:pt>
                <c:pt idx="156">
                  <c:v>1.1028747626327899</c:v>
                </c:pt>
                <c:pt idx="157">
                  <c:v>1.1028747626327899</c:v>
                </c:pt>
                <c:pt idx="158">
                  <c:v>1.1028747626327899</c:v>
                </c:pt>
                <c:pt idx="159">
                  <c:v>1.1028747626327899</c:v>
                </c:pt>
                <c:pt idx="160">
                  <c:v>1.1028747626327899</c:v>
                </c:pt>
                <c:pt idx="161">
                  <c:v>1.1028747626327899</c:v>
                </c:pt>
                <c:pt idx="162">
                  <c:v>1.1028747626327899</c:v>
                </c:pt>
                <c:pt idx="163">
                  <c:v>1.1028747626327899</c:v>
                </c:pt>
                <c:pt idx="164">
                  <c:v>1.1028747626327899</c:v>
                </c:pt>
                <c:pt idx="165">
                  <c:v>1.1028747626327899</c:v>
                </c:pt>
                <c:pt idx="166">
                  <c:v>1.1028747626327899</c:v>
                </c:pt>
                <c:pt idx="167">
                  <c:v>1.1028747626327899</c:v>
                </c:pt>
                <c:pt idx="168">
                  <c:v>1.1028747626327899</c:v>
                </c:pt>
                <c:pt idx="169">
                  <c:v>1.1028747626327899</c:v>
                </c:pt>
                <c:pt idx="170">
                  <c:v>1.1028747626327899</c:v>
                </c:pt>
                <c:pt idx="171">
                  <c:v>1.1028747626327899</c:v>
                </c:pt>
                <c:pt idx="172">
                  <c:v>1.1028747626327899</c:v>
                </c:pt>
                <c:pt idx="173">
                  <c:v>1.1028747626327899</c:v>
                </c:pt>
                <c:pt idx="174">
                  <c:v>1.1028747626327899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8-409E-AF6E-708DF7201E1F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VTEB/TFI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1.1009328985937199</c:v>
                </c:pt>
                <c:pt idx="10">
                  <c:v>1.1010021843564499</c:v>
                </c:pt>
                <c:pt idx="11">
                  <c:v>1.10106770084476</c:v>
                </c:pt>
                <c:pt idx="12">
                  <c:v>1.10093660134043</c:v>
                </c:pt>
                <c:pt idx="13">
                  <c:v>1.1009519549155999</c:v>
                </c:pt>
                <c:pt idx="14">
                  <c:v>1.1009737414079801</c:v>
                </c:pt>
                <c:pt idx="15">
                  <c:v>1.10100650412012</c:v>
                </c:pt>
                <c:pt idx="16">
                  <c:v>1.1009585909286701</c:v>
                </c:pt>
                <c:pt idx="17">
                  <c:v>1.10079297376797</c:v>
                </c:pt>
                <c:pt idx="18">
                  <c:v>1.10067116084606</c:v>
                </c:pt>
                <c:pt idx="19">
                  <c:v>1.10046684133673</c:v>
                </c:pt>
                <c:pt idx="20">
                  <c:v>1.1003493366230901</c:v>
                </c:pt>
                <c:pt idx="21">
                  <c:v>1.1001899873593299</c:v>
                </c:pt>
                <c:pt idx="22">
                  <c:v>1.0999921000950801</c:v>
                </c:pt>
                <c:pt idx="23">
                  <c:v>1.0998419570690201</c:v>
                </c:pt>
                <c:pt idx="24">
                  <c:v>1.09971799112348</c:v>
                </c:pt>
                <c:pt idx="25">
                  <c:v>1.09952229076573</c:v>
                </c:pt>
                <c:pt idx="26">
                  <c:v>1.09943547540634</c:v>
                </c:pt>
                <c:pt idx="27">
                  <c:v>1.0992987004016701</c:v>
                </c:pt>
                <c:pt idx="28">
                  <c:v>1.0992686735056201</c:v>
                </c:pt>
                <c:pt idx="29">
                  <c:v>1.09923273432846</c:v>
                </c:pt>
                <c:pt idx="30">
                  <c:v>1.0991480055073399</c:v>
                </c:pt>
                <c:pt idx="31">
                  <c:v>1.0991654873924901</c:v>
                </c:pt>
                <c:pt idx="32">
                  <c:v>1.0993111511529601</c:v>
                </c:pt>
                <c:pt idx="33">
                  <c:v>1.0994346922289999</c:v>
                </c:pt>
                <c:pt idx="34">
                  <c:v>1.0994630872170501</c:v>
                </c:pt>
                <c:pt idx="35">
                  <c:v>1.0995283033887899</c:v>
                </c:pt>
                <c:pt idx="36">
                  <c:v>1.09960186694206</c:v>
                </c:pt>
                <c:pt idx="37">
                  <c:v>1.09978353051459</c:v>
                </c:pt>
                <c:pt idx="38">
                  <c:v>1.09986796437474</c:v>
                </c:pt>
                <c:pt idx="39">
                  <c:v>1.1001945392350001</c:v>
                </c:pt>
                <c:pt idx="40">
                  <c:v>1.10030091229865</c:v>
                </c:pt>
                <c:pt idx="41">
                  <c:v>1.1002682494886999</c:v>
                </c:pt>
                <c:pt idx="42">
                  <c:v>1.1003530697574599</c:v>
                </c:pt>
                <c:pt idx="43">
                  <c:v>1.10043404533122</c:v>
                </c:pt>
                <c:pt idx="44">
                  <c:v>1.1004838603837901</c:v>
                </c:pt>
                <c:pt idx="45">
                  <c:v>1.1004966861044301</c:v>
                </c:pt>
                <c:pt idx="46">
                  <c:v>1.1004401514991999</c:v>
                </c:pt>
                <c:pt idx="47">
                  <c:v>1.10042838420835</c:v>
                </c:pt>
                <c:pt idx="48">
                  <c:v>1.10055302886175</c:v>
                </c:pt>
                <c:pt idx="49">
                  <c:v>1.1005414110464</c:v>
                </c:pt>
                <c:pt idx="50">
                  <c:v>1.1005264681248399</c:v>
                </c:pt>
                <c:pt idx="51">
                  <c:v>1.1007123914450601</c:v>
                </c:pt>
                <c:pt idx="52">
                  <c:v>1.1007173086994999</c:v>
                </c:pt>
                <c:pt idx="53">
                  <c:v>1.1008145600050301</c:v>
                </c:pt>
                <c:pt idx="54">
                  <c:v>1.10091623537439</c:v>
                </c:pt>
                <c:pt idx="55">
                  <c:v>1.10094713432688</c:v>
                </c:pt>
                <c:pt idx="56">
                  <c:v>1.10100640045359</c:v>
                </c:pt>
                <c:pt idx="57">
                  <c:v>1.1010604127583501</c:v>
                </c:pt>
                <c:pt idx="58">
                  <c:v>1.10100228695196</c:v>
                </c:pt>
                <c:pt idx="59">
                  <c:v>1.10099297873353</c:v>
                </c:pt>
                <c:pt idx="60">
                  <c:v>1.10097142463583</c:v>
                </c:pt>
                <c:pt idx="61">
                  <c:v>1.1010034150860899</c:v>
                </c:pt>
                <c:pt idx="62">
                  <c:v>1.10115160497787</c:v>
                </c:pt>
                <c:pt idx="63">
                  <c:v>1.1011398276881801</c:v>
                </c:pt>
                <c:pt idx="64">
                  <c:v>1.10124557100802</c:v>
                </c:pt>
                <c:pt idx="65">
                  <c:v>1.1014476724653499</c:v>
                </c:pt>
                <c:pt idx="66">
                  <c:v>1.1017658339722001</c:v>
                </c:pt>
                <c:pt idx="67">
                  <c:v>1.10189620927556</c:v>
                </c:pt>
                <c:pt idx="68">
                  <c:v>1.10213670797241</c:v>
                </c:pt>
                <c:pt idx="69">
                  <c:v>1.10237225513402</c:v>
                </c:pt>
                <c:pt idx="70">
                  <c:v>1.1026288248848799</c:v>
                </c:pt>
                <c:pt idx="71">
                  <c:v>1.10273731216268</c:v>
                </c:pt>
                <c:pt idx="72">
                  <c:v>1.10275716114086</c:v>
                </c:pt>
                <c:pt idx="73">
                  <c:v>1.1028842329731201</c:v>
                </c:pt>
                <c:pt idx="74">
                  <c:v>1.1029944862263901</c:v>
                </c:pt>
                <c:pt idx="75">
                  <c:v>1.10312032122925</c:v>
                </c:pt>
                <c:pt idx="76">
                  <c:v>1.1031739089139301</c:v>
                </c:pt>
                <c:pt idx="77">
                  <c:v>1.10324287864884</c:v>
                </c:pt>
                <c:pt idx="78">
                  <c:v>1.10327691925976</c:v>
                </c:pt>
                <c:pt idx="79">
                  <c:v>1.10326556300398</c:v>
                </c:pt>
                <c:pt idx="80">
                  <c:v>1.1034526146940999</c:v>
                </c:pt>
                <c:pt idx="81">
                  <c:v>1.10354488546537</c:v>
                </c:pt>
                <c:pt idx="82">
                  <c:v>1.1037293937536901</c:v>
                </c:pt>
                <c:pt idx="83">
                  <c:v>1.1037119103292501</c:v>
                </c:pt>
                <c:pt idx="84">
                  <c:v>1.1037908426983101</c:v>
                </c:pt>
                <c:pt idx="85">
                  <c:v>1.1037878334648601</c:v>
                </c:pt>
                <c:pt idx="86">
                  <c:v>1.1037721485941201</c:v>
                </c:pt>
                <c:pt idx="87">
                  <c:v>1.1038705020455399</c:v>
                </c:pt>
                <c:pt idx="88">
                  <c:v>1.10390307026437</c:v>
                </c:pt>
                <c:pt idx="89">
                  <c:v>1.10386746847261</c:v>
                </c:pt>
                <c:pt idx="90">
                  <c:v>1.1037896158382201</c:v>
                </c:pt>
                <c:pt idx="91">
                  <c:v>1.103703134386</c:v>
                </c:pt>
                <c:pt idx="92">
                  <c:v>1.10361050996669</c:v>
                </c:pt>
                <c:pt idx="93">
                  <c:v>1.10360123359844</c:v>
                </c:pt>
                <c:pt idx="94">
                  <c:v>1.1034135591072201</c:v>
                </c:pt>
                <c:pt idx="95">
                  <c:v>1.1033654622537299</c:v>
                </c:pt>
                <c:pt idx="96">
                  <c:v>1.1032992899718601</c:v>
                </c:pt>
                <c:pt idx="97">
                  <c:v>1.1032623989311301</c:v>
                </c:pt>
                <c:pt idx="98">
                  <c:v>1.10321916903327</c:v>
                </c:pt>
                <c:pt idx="99">
                  <c:v>1.10334434045338</c:v>
                </c:pt>
                <c:pt idx="100">
                  <c:v>1.10337596446699</c:v>
                </c:pt>
                <c:pt idx="101">
                  <c:v>1.10354790822268</c:v>
                </c:pt>
                <c:pt idx="102">
                  <c:v>1.1037586680992499</c:v>
                </c:pt>
                <c:pt idx="103">
                  <c:v>1.1038633212616</c:v>
                </c:pt>
                <c:pt idx="104">
                  <c:v>1.1040121463596599</c:v>
                </c:pt>
                <c:pt idx="105">
                  <c:v>1.10412296113953</c:v>
                </c:pt>
                <c:pt idx="106">
                  <c:v>1.10421480824455</c:v>
                </c:pt>
                <c:pt idx="107">
                  <c:v>1.10421831990277</c:v>
                </c:pt>
                <c:pt idx="108">
                  <c:v>1.1043726788558199</c:v>
                </c:pt>
                <c:pt idx="109">
                  <c:v>1.1043854711668999</c:v>
                </c:pt>
                <c:pt idx="110">
                  <c:v>1.1043233221965001</c:v>
                </c:pt>
                <c:pt idx="111">
                  <c:v>1.10428860239039</c:v>
                </c:pt>
                <c:pt idx="112">
                  <c:v>1.10417771892994</c:v>
                </c:pt>
                <c:pt idx="113">
                  <c:v>1.10419965356473</c:v>
                </c:pt>
                <c:pt idx="114">
                  <c:v>1.10425268593934</c:v>
                </c:pt>
                <c:pt idx="115">
                  <c:v>1.10430925715186</c:v>
                </c:pt>
                <c:pt idx="116">
                  <c:v>1.1043498872168001</c:v>
                </c:pt>
                <c:pt idx="117">
                  <c:v>1.10453583118308</c:v>
                </c:pt>
                <c:pt idx="118">
                  <c:v>1.1045083061195999</c:v>
                </c:pt>
                <c:pt idx="119">
                  <c:v>1.1045431595233599</c:v>
                </c:pt>
                <c:pt idx="120">
                  <c:v>1.1046621372349701</c:v>
                </c:pt>
                <c:pt idx="121">
                  <c:v>1.1047775856904001</c:v>
                </c:pt>
                <c:pt idx="122">
                  <c:v>1.10477338075386</c:v>
                </c:pt>
                <c:pt idx="123">
                  <c:v>1.1049153166805099</c:v>
                </c:pt>
                <c:pt idx="124">
                  <c:v>1.10498131768063</c:v>
                </c:pt>
                <c:pt idx="125">
                  <c:v>1.10505736056196</c:v>
                </c:pt>
                <c:pt idx="126">
                  <c:v>1.10518304289786</c:v>
                </c:pt>
                <c:pt idx="127">
                  <c:v>1.1049554703726301</c:v>
                </c:pt>
                <c:pt idx="128">
                  <c:v>1.1049043870983899</c:v>
                </c:pt>
                <c:pt idx="129">
                  <c:v>1.1049481796863201</c:v>
                </c:pt>
                <c:pt idx="130">
                  <c:v>1.10484514262676</c:v>
                </c:pt>
                <c:pt idx="131">
                  <c:v>1.10465928464709</c:v>
                </c:pt>
                <c:pt idx="132">
                  <c:v>1.1045985102170801</c:v>
                </c:pt>
                <c:pt idx="133">
                  <c:v>1.10445161943899</c:v>
                </c:pt>
                <c:pt idx="134">
                  <c:v>1.10439805639061</c:v>
                </c:pt>
                <c:pt idx="135">
                  <c:v>1.1042925173985201</c:v>
                </c:pt>
                <c:pt idx="136">
                  <c:v>1.1041578935849501</c:v>
                </c:pt>
                <c:pt idx="137">
                  <c:v>1.10426106716434</c:v>
                </c:pt>
                <c:pt idx="138">
                  <c:v>1.1042697282801901</c:v>
                </c:pt>
                <c:pt idx="139">
                  <c:v>1.1042441350499499</c:v>
                </c:pt>
                <c:pt idx="140">
                  <c:v>1.10423082910112</c:v>
                </c:pt>
                <c:pt idx="141">
                  <c:v>1.1042523791544001</c:v>
                </c:pt>
                <c:pt idx="142">
                  <c:v>1.1043209168061401</c:v>
                </c:pt>
                <c:pt idx="143">
                  <c:v>1.1042183188316801</c:v>
                </c:pt>
                <c:pt idx="144">
                  <c:v>1.10424319602812</c:v>
                </c:pt>
                <c:pt idx="145">
                  <c:v>1.10426804719185</c:v>
                </c:pt>
                <c:pt idx="146">
                  <c:v>1.1043353883127101</c:v>
                </c:pt>
                <c:pt idx="147">
                  <c:v>1.1043632499195899</c:v>
                </c:pt>
                <c:pt idx="148">
                  <c:v>1.10447358634993</c:v>
                </c:pt>
                <c:pt idx="149">
                  <c:v>1.10450049534886</c:v>
                </c:pt>
                <c:pt idx="150">
                  <c:v>1.1046758510745001</c:v>
                </c:pt>
                <c:pt idx="151">
                  <c:v>1.1048579585701801</c:v>
                </c:pt>
                <c:pt idx="152">
                  <c:v>1.10495267543037</c:v>
                </c:pt>
                <c:pt idx="153">
                  <c:v>1.10516197775595</c:v>
                </c:pt>
                <c:pt idx="154">
                  <c:v>1.10505133539306</c:v>
                </c:pt>
                <c:pt idx="155">
                  <c:v>1.1050971600370301</c:v>
                </c:pt>
                <c:pt idx="156">
                  <c:v>1.10505367853111</c:v>
                </c:pt>
                <c:pt idx="157">
                  <c:v>1.1051098451465</c:v>
                </c:pt>
                <c:pt idx="158">
                  <c:v>1.1049610086810999</c:v>
                </c:pt>
                <c:pt idx="159">
                  <c:v>1.1048273533444</c:v>
                </c:pt>
                <c:pt idx="160">
                  <c:v>1.1047605428941201</c:v>
                </c:pt>
                <c:pt idx="161">
                  <c:v>1.1046961851896899</c:v>
                </c:pt>
                <c:pt idx="162">
                  <c:v>1.1046704167421999</c:v>
                </c:pt>
                <c:pt idx="163">
                  <c:v>1.1046482188764499</c:v>
                </c:pt>
                <c:pt idx="164">
                  <c:v>1.104805696613</c:v>
                </c:pt>
                <c:pt idx="165">
                  <c:v>1.1047773035978401</c:v>
                </c:pt>
                <c:pt idx="166">
                  <c:v>1.1048572739872999</c:v>
                </c:pt>
                <c:pt idx="167">
                  <c:v>1.1048513492144301</c:v>
                </c:pt>
                <c:pt idx="168">
                  <c:v>1.10499302339946</c:v>
                </c:pt>
                <c:pt idx="169">
                  <c:v>1.1051233965151499</c:v>
                </c:pt>
                <c:pt idx="170">
                  <c:v>1.10508236172478</c:v>
                </c:pt>
                <c:pt idx="171">
                  <c:v>1.1049623004801301</c:v>
                </c:pt>
                <c:pt idx="172">
                  <c:v>1.1049342556083399</c:v>
                </c:pt>
                <c:pt idx="173">
                  <c:v>1.1050098443052401</c:v>
                </c:pt>
                <c:pt idx="174">
                  <c:v>1.10512144551419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8-409E-AF6E-708DF7201E1F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VTEB/TFI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1.1006998699652299</c:v>
                </c:pt>
                <c:pt idx="20">
                  <c:v>1.1006757604897699</c:v>
                </c:pt>
                <c:pt idx="21">
                  <c:v>1.10062884410205</c:v>
                </c:pt>
                <c:pt idx="22">
                  <c:v>1.1004643507177501</c:v>
                </c:pt>
                <c:pt idx="23">
                  <c:v>1.1003969559923099</c:v>
                </c:pt>
                <c:pt idx="24">
                  <c:v>1.1003458662657299</c:v>
                </c:pt>
                <c:pt idx="25">
                  <c:v>1.10026439744293</c:v>
                </c:pt>
                <c:pt idx="26">
                  <c:v>1.1001970331675099</c:v>
                </c:pt>
                <c:pt idx="27">
                  <c:v>1.1000458370848201</c:v>
                </c:pt>
                <c:pt idx="28">
                  <c:v>1.0999699171758399</c:v>
                </c:pt>
                <c:pt idx="29">
                  <c:v>1.0998497878325999</c:v>
                </c:pt>
                <c:pt idx="30">
                  <c:v>1.09974867106521</c:v>
                </c:pt>
                <c:pt idx="31">
                  <c:v>1.0996777373759099</c:v>
                </c:pt>
                <c:pt idx="32">
                  <c:v>1.0996516256240201</c:v>
                </c:pt>
                <c:pt idx="33">
                  <c:v>1.09963832464901</c:v>
                </c:pt>
                <c:pt idx="34">
                  <c:v>1.0995905391702701</c:v>
                </c:pt>
                <c:pt idx="35">
                  <c:v>1.09952529707726</c:v>
                </c:pt>
                <c:pt idx="36">
                  <c:v>1.0995186711742</c:v>
                </c:pt>
                <c:pt idx="37">
                  <c:v>1.09954111545813</c:v>
                </c:pt>
                <c:pt idx="38">
                  <c:v>1.0995683189401799</c:v>
                </c:pt>
                <c:pt idx="39">
                  <c:v>1.09971363678173</c:v>
                </c:pt>
                <c:pt idx="40">
                  <c:v>1.099724458903</c:v>
                </c:pt>
                <c:pt idx="41">
                  <c:v>1.09971686844059</c:v>
                </c:pt>
                <c:pt idx="42">
                  <c:v>1.09983211045521</c:v>
                </c:pt>
                <c:pt idx="43">
                  <c:v>1.09993436878011</c:v>
                </c:pt>
                <c:pt idx="44">
                  <c:v>1.0999734738004201</c:v>
                </c:pt>
                <c:pt idx="45">
                  <c:v>1.1000124947466099</c:v>
                </c:pt>
                <c:pt idx="46">
                  <c:v>1.10002100922063</c:v>
                </c:pt>
                <c:pt idx="47">
                  <c:v>1.10010595736147</c:v>
                </c:pt>
                <c:pt idx="48">
                  <c:v>1.10021049661824</c:v>
                </c:pt>
                <c:pt idx="49">
                  <c:v>1.1003679751407001</c:v>
                </c:pt>
                <c:pt idx="50">
                  <c:v>1.1004136902117501</c:v>
                </c:pt>
                <c:pt idx="51">
                  <c:v>1.1004903204668799</c:v>
                </c:pt>
                <c:pt idx="52">
                  <c:v>1.10053518922848</c:v>
                </c:pt>
                <c:pt idx="53">
                  <c:v>1.1006243026681199</c:v>
                </c:pt>
                <c:pt idx="54">
                  <c:v>1.10070004787909</c:v>
                </c:pt>
                <c:pt idx="55">
                  <c:v>1.10072191021566</c:v>
                </c:pt>
                <c:pt idx="56">
                  <c:v>1.1007232759763901</c:v>
                </c:pt>
                <c:pt idx="57">
                  <c:v>1.10074439848335</c:v>
                </c:pt>
                <c:pt idx="58">
                  <c:v>1.10077765790685</c:v>
                </c:pt>
                <c:pt idx="59">
                  <c:v>1.10076719488996</c:v>
                </c:pt>
                <c:pt idx="60">
                  <c:v>1.1007489463803399</c:v>
                </c:pt>
                <c:pt idx="61">
                  <c:v>1.1008579032655801</c:v>
                </c:pt>
                <c:pt idx="62">
                  <c:v>1.1009344568386901</c:v>
                </c:pt>
                <c:pt idx="63">
                  <c:v>1.1009771938466</c:v>
                </c:pt>
                <c:pt idx="64">
                  <c:v>1.1010809031912001</c:v>
                </c:pt>
                <c:pt idx="65">
                  <c:v>1.10119740339612</c:v>
                </c:pt>
                <c:pt idx="66">
                  <c:v>1.1013861172129</c:v>
                </c:pt>
                <c:pt idx="67">
                  <c:v>1.1014783110169599</c:v>
                </c:pt>
                <c:pt idx="68">
                  <c:v>1.1015694974621899</c:v>
                </c:pt>
                <c:pt idx="69">
                  <c:v>1.1016826169337799</c:v>
                </c:pt>
                <c:pt idx="70">
                  <c:v>1.1018001247603499</c:v>
                </c:pt>
                <c:pt idx="71">
                  <c:v>1.1018703636243901</c:v>
                </c:pt>
                <c:pt idx="72">
                  <c:v>1.1019543830593701</c:v>
                </c:pt>
                <c:pt idx="73">
                  <c:v>1.10201203033065</c:v>
                </c:pt>
                <c:pt idx="74">
                  <c:v>1.1021200286172099</c:v>
                </c:pt>
                <c:pt idx="75">
                  <c:v>1.1022839968472999</c:v>
                </c:pt>
                <c:pt idx="76">
                  <c:v>1.1024698714430701</c:v>
                </c:pt>
                <c:pt idx="77">
                  <c:v>1.1025695439622001</c:v>
                </c:pt>
                <c:pt idx="78">
                  <c:v>1.10270681361609</c:v>
                </c:pt>
                <c:pt idx="79">
                  <c:v>1.1028189090689999</c:v>
                </c:pt>
                <c:pt idx="80">
                  <c:v>1.10304071978949</c:v>
                </c:pt>
                <c:pt idx="81">
                  <c:v>1.10314109881402</c:v>
                </c:pt>
                <c:pt idx="82">
                  <c:v>1.10324327744727</c:v>
                </c:pt>
                <c:pt idx="83">
                  <c:v>1.10329807165119</c:v>
                </c:pt>
                <c:pt idx="84">
                  <c:v>1.10339266446235</c:v>
                </c:pt>
                <c:pt idx="85">
                  <c:v>1.10345407734706</c:v>
                </c:pt>
                <c:pt idx="86">
                  <c:v>1.10347302875403</c:v>
                </c:pt>
                <c:pt idx="87">
                  <c:v>1.1035566903471901</c:v>
                </c:pt>
                <c:pt idx="88">
                  <c:v>1.10358999476207</c:v>
                </c:pt>
                <c:pt idx="89">
                  <c:v>1.1035665157382999</c:v>
                </c:pt>
                <c:pt idx="90">
                  <c:v>1.1036211152661599</c:v>
                </c:pt>
                <c:pt idx="91">
                  <c:v>1.10362400992568</c:v>
                </c:pt>
                <c:pt idx="92">
                  <c:v>1.10366995186019</c:v>
                </c:pt>
                <c:pt idx="93">
                  <c:v>1.10365657196385</c:v>
                </c:pt>
                <c:pt idx="94">
                  <c:v>1.10360220090276</c:v>
                </c:pt>
                <c:pt idx="95">
                  <c:v>1.1035766478593001</c:v>
                </c:pt>
                <c:pt idx="96">
                  <c:v>1.10353571928299</c:v>
                </c:pt>
                <c:pt idx="97">
                  <c:v>1.10356645048833</c:v>
                </c:pt>
                <c:pt idx="98">
                  <c:v>1.10356111964882</c:v>
                </c:pt>
                <c:pt idx="99">
                  <c:v>1.10360590446299</c:v>
                </c:pt>
                <c:pt idx="100">
                  <c:v>1.1035827901526101</c:v>
                </c:pt>
                <c:pt idx="101">
                  <c:v>1.10362552130434</c:v>
                </c:pt>
                <c:pt idx="102">
                  <c:v>1.1036845890329701</c:v>
                </c:pt>
                <c:pt idx="103">
                  <c:v>1.10373227743002</c:v>
                </c:pt>
                <c:pt idx="104">
                  <c:v>1.1037128527334401</c:v>
                </c:pt>
                <c:pt idx="105">
                  <c:v>1.1037442116966301</c:v>
                </c:pt>
                <c:pt idx="106">
                  <c:v>1.1037570491082001</c:v>
                </c:pt>
                <c:pt idx="107">
                  <c:v>1.1037403594169499</c:v>
                </c:pt>
                <c:pt idx="108">
                  <c:v>1.1037959239445501</c:v>
                </c:pt>
                <c:pt idx="109">
                  <c:v>1.10386490581014</c:v>
                </c:pt>
                <c:pt idx="110">
                  <c:v>1.10384964333175</c:v>
                </c:pt>
                <c:pt idx="111">
                  <c:v>1.1039182553065401</c:v>
                </c:pt>
                <c:pt idx="112">
                  <c:v>1.10396819351459</c:v>
                </c:pt>
                <c:pt idx="113">
                  <c:v>1.10403148741316</c:v>
                </c:pt>
                <c:pt idx="114">
                  <c:v>1.1041324161495001</c:v>
                </c:pt>
                <c:pt idx="115">
                  <c:v>1.1042161091456899</c:v>
                </c:pt>
                <c:pt idx="116">
                  <c:v>1.10428234773068</c:v>
                </c:pt>
                <c:pt idx="117">
                  <c:v>1.1043770755429301</c:v>
                </c:pt>
                <c:pt idx="118">
                  <c:v>1.10444049248771</c:v>
                </c:pt>
                <c:pt idx="119">
                  <c:v>1.1044643153451299</c:v>
                </c:pt>
                <c:pt idx="120">
                  <c:v>1.1044927297157401</c:v>
                </c:pt>
                <c:pt idx="121">
                  <c:v>1.1045330940403999</c:v>
                </c:pt>
                <c:pt idx="122">
                  <c:v>1.1044755498419001</c:v>
                </c:pt>
                <c:pt idx="123">
                  <c:v>1.1045574851226201</c:v>
                </c:pt>
                <c:pt idx="124">
                  <c:v>1.1046170018099799</c:v>
                </c:pt>
                <c:pt idx="125">
                  <c:v>1.1046833088569099</c:v>
                </c:pt>
                <c:pt idx="126">
                  <c:v>1.1047664650573299</c:v>
                </c:pt>
                <c:pt idx="127">
                  <c:v>1.1047456507778499</c:v>
                </c:pt>
                <c:pt idx="128">
                  <c:v>1.1047063466089999</c:v>
                </c:pt>
                <c:pt idx="129">
                  <c:v>1.1047456696048401</c:v>
                </c:pt>
                <c:pt idx="130">
                  <c:v>1.1047536399308699</c:v>
                </c:pt>
                <c:pt idx="131">
                  <c:v>1.10471843516875</c:v>
                </c:pt>
                <c:pt idx="132">
                  <c:v>1.1046859454854701</c:v>
                </c:pt>
                <c:pt idx="133">
                  <c:v>1.1046834680597499</c:v>
                </c:pt>
                <c:pt idx="134">
                  <c:v>1.10468968703562</c:v>
                </c:pt>
                <c:pt idx="135">
                  <c:v>1.1046749389802399</c:v>
                </c:pt>
                <c:pt idx="136">
                  <c:v>1.1046704682414099</c:v>
                </c:pt>
                <c:pt idx="137">
                  <c:v>1.10460826876848</c:v>
                </c:pt>
                <c:pt idx="138">
                  <c:v>1.10458705768929</c:v>
                </c:pt>
                <c:pt idx="139">
                  <c:v>1.10459615736813</c:v>
                </c:pt>
                <c:pt idx="140">
                  <c:v>1.1045379858639399</c:v>
                </c:pt>
                <c:pt idx="141">
                  <c:v>1.10445583190074</c:v>
                </c:pt>
                <c:pt idx="142">
                  <c:v>1.1044597135116101</c:v>
                </c:pt>
                <c:pt idx="143">
                  <c:v>1.1043349691353399</c:v>
                </c:pt>
                <c:pt idx="144">
                  <c:v>1.1043206262093701</c:v>
                </c:pt>
                <c:pt idx="145">
                  <c:v>1.10428028229519</c:v>
                </c:pt>
                <c:pt idx="146">
                  <c:v>1.1042466409488301</c:v>
                </c:pt>
                <c:pt idx="147">
                  <c:v>1.10431215854196</c:v>
                </c:pt>
                <c:pt idx="148">
                  <c:v>1.1043716573150599</c:v>
                </c:pt>
                <c:pt idx="149">
                  <c:v>1.10437231519941</c:v>
                </c:pt>
                <c:pt idx="150">
                  <c:v>1.10445334008781</c:v>
                </c:pt>
                <c:pt idx="151">
                  <c:v>1.1045551688622901</c:v>
                </c:pt>
                <c:pt idx="152">
                  <c:v>1.1046367961182599</c:v>
                </c:pt>
                <c:pt idx="153">
                  <c:v>1.1046901482938201</c:v>
                </c:pt>
                <c:pt idx="154">
                  <c:v>1.1046472657105899</c:v>
                </c:pt>
                <c:pt idx="155">
                  <c:v>1.1046826036144399</c:v>
                </c:pt>
                <c:pt idx="156">
                  <c:v>1.10469453342191</c:v>
                </c:pt>
                <c:pt idx="157">
                  <c:v>1.10473654753304</c:v>
                </c:pt>
                <c:pt idx="158">
                  <c:v>1.1047172975155199</c:v>
                </c:pt>
                <c:pt idx="159">
                  <c:v>1.1046639243466301</c:v>
                </c:pt>
                <c:pt idx="160">
                  <c:v>1.1047181969843101</c:v>
                </c:pt>
                <c:pt idx="161">
                  <c:v>1.1047770718799399</c:v>
                </c:pt>
                <c:pt idx="162">
                  <c:v>1.10481154608628</c:v>
                </c:pt>
                <c:pt idx="163">
                  <c:v>1.1049050983162001</c:v>
                </c:pt>
                <c:pt idx="164">
                  <c:v>1.10492851600303</c:v>
                </c:pt>
                <c:pt idx="165">
                  <c:v>1.10493723181743</c:v>
                </c:pt>
                <c:pt idx="166">
                  <c:v>1.10495547625921</c:v>
                </c:pt>
                <c:pt idx="167">
                  <c:v>1.10498059718046</c:v>
                </c:pt>
                <c:pt idx="168">
                  <c:v>1.1049770160402801</c:v>
                </c:pt>
                <c:pt idx="169">
                  <c:v>1.1049753749297699</c:v>
                </c:pt>
                <c:pt idx="170">
                  <c:v>1.1049214523094499</c:v>
                </c:pt>
                <c:pt idx="171">
                  <c:v>1.10482924283491</c:v>
                </c:pt>
                <c:pt idx="172">
                  <c:v>1.1048023361752699</c:v>
                </c:pt>
                <c:pt idx="173">
                  <c:v>1.10482903159084</c:v>
                </c:pt>
                <c:pt idx="174">
                  <c:v>1.1049635710636001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8-409E-AF6E-708DF7201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TFI* x 10 dma / VTEB*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-6.7516794554261996E-4</c:v>
                </c:pt>
                <c:pt idx="11">
                  <c:v>-2.9966770607765998E-4</c:v>
                </c:pt>
                <c:pt idx="12">
                  <c:v>5.7412675885083503E-4</c:v>
                </c:pt>
                <c:pt idx="13">
                  <c:v>1.7733248232704499E-4</c:v>
                </c:pt>
                <c:pt idx="14">
                  <c:v>2.7103869377109198E-4</c:v>
                </c:pt>
                <c:pt idx="15">
                  <c:v>-1.04977203098797E-4</c:v>
                </c:pt>
                <c:pt idx="16">
                  <c:v>6.1786415224524796E-4</c:v>
                </c:pt>
                <c:pt idx="17">
                  <c:v>5.9418450290922304E-4</c:v>
                </c:pt>
                <c:pt idx="18">
                  <c:v>1.2153566543809701E-3</c:v>
                </c:pt>
                <c:pt idx="19">
                  <c:v>1.8354747331086299E-3</c:v>
                </c:pt>
                <c:pt idx="20">
                  <c:v>-3.1418637058149299E-5</c:v>
                </c:pt>
                <c:pt idx="21">
                  <c:v>5.5512386513256501E-4</c:v>
                </c:pt>
                <c:pt idx="22">
                  <c:v>1.5765428792155001E-3</c:v>
                </c:pt>
                <c:pt idx="23">
                  <c:v>6.8400563113095295E-4</c:v>
                </c:pt>
                <c:pt idx="24">
                  <c:v>3.89242343368807E-4</c:v>
                </c:pt>
                <c:pt idx="25">
                  <c:v>5.3270574434518604E-4</c:v>
                </c:pt>
                <c:pt idx="26">
                  <c:v>5.8211132634220998E-5</c:v>
                </c:pt>
                <c:pt idx="27">
                  <c:v>4.5361993166686399E-4</c:v>
                </c:pt>
                <c:pt idx="28">
                  <c:v>1.30126879862324E-4</c:v>
                </c:pt>
                <c:pt idx="29">
                  <c:v>8.8762515301398697E-4</c:v>
                </c:pt>
                <c:pt idx="30">
                  <c:v>-3.8327985015045198E-4</c:v>
                </c:pt>
                <c:pt idx="31">
                  <c:v>-6.9619638482410905E-4</c:v>
                </c:pt>
                <c:pt idx="32">
                  <c:v>-6.8029156942189199E-4</c:v>
                </c:pt>
                <c:pt idx="33">
                  <c:v>-1.05848115282854E-3</c:v>
                </c:pt>
                <c:pt idx="34">
                  <c:v>-2.39360710973555E-4</c:v>
                </c:pt>
                <c:pt idx="35">
                  <c:v>-2.9227773010987498E-4</c:v>
                </c:pt>
                <c:pt idx="36">
                  <c:v>-6.0518582450890999E-4</c:v>
                </c:pt>
                <c:pt idx="37">
                  <c:v>-1.0467686870951501E-3</c:v>
                </c:pt>
                <c:pt idx="38">
                  <c:v>-1.96809807053894E-4</c:v>
                </c:pt>
                <c:pt idx="39">
                  <c:v>-1.53641469506184E-3</c:v>
                </c:pt>
                <c:pt idx="40">
                  <c:v>-4.7554845775442698E-4</c:v>
                </c:pt>
                <c:pt idx="41">
                  <c:v>6.4916548961614499E-4</c:v>
                </c:pt>
                <c:pt idx="42">
                  <c:v>-4.4837919403758298E-4</c:v>
                </c:pt>
                <c:pt idx="43">
                  <c:v>-8.4669076701586801E-4</c:v>
                </c:pt>
                <c:pt idx="44">
                  <c:v>2.1631042139603999E-4</c:v>
                </c:pt>
                <c:pt idx="45">
                  <c:v>5.1910681140744099E-4</c:v>
                </c:pt>
                <c:pt idx="46">
                  <c:v>7.8914459355484501E-4</c:v>
                </c:pt>
                <c:pt idx="47">
                  <c:v>-1.77798476954541E-4</c:v>
                </c:pt>
                <c:pt idx="48">
                  <c:v>-7.4312732459551497E-4</c:v>
                </c:pt>
                <c:pt idx="49">
                  <c:v>-8.0827535302381895E-4</c:v>
                </c:pt>
                <c:pt idx="50">
                  <c:v>-2.4550534524962999E-5</c:v>
                </c:pt>
                <c:pt idx="51">
                  <c:v>-8.3528001604453895E-4</c:v>
                </c:pt>
                <c:pt idx="52">
                  <c:v>-8.9464052786778105E-5</c:v>
                </c:pt>
                <c:pt idx="53">
                  <c:v>-1.3984068927436399E-3</c:v>
                </c:pt>
                <c:pt idx="54">
                  <c:v>-3.6169343225362299E-4</c:v>
                </c:pt>
                <c:pt idx="55">
                  <c:v>6.3104259569650499E-4</c:v>
                </c:pt>
                <c:pt idx="56">
                  <c:v>6.5955464739827802E-4</c:v>
                </c:pt>
                <c:pt idx="57">
                  <c:v>-1.5398186379719499E-4</c:v>
                </c:pt>
                <c:pt idx="58">
                  <c:v>3.5901321428680497E-4</c:v>
                </c:pt>
                <c:pt idx="59">
                  <c:v>-3.1563454997439499E-4</c:v>
                </c:pt>
                <c:pt idx="60">
                  <c:v>5.8154375455993603E-4</c:v>
                </c:pt>
                <c:pt idx="61">
                  <c:v>-7.2144759803066205E-4</c:v>
                </c:pt>
                <c:pt idx="62">
                  <c:v>-1.1703864690119001E-3</c:v>
                </c:pt>
                <c:pt idx="63">
                  <c:v>-8.97074515917845E-4</c:v>
                </c:pt>
                <c:pt idx="64">
                  <c:v>-1.0260414532386401E-3</c:v>
                </c:pt>
                <c:pt idx="65">
                  <c:v>-9.0508591904031295E-4</c:v>
                </c:pt>
                <c:pt idx="66">
                  <c:v>-1.7735279831821199E-3</c:v>
                </c:pt>
                <c:pt idx="67">
                  <c:v>-6.4772059127186996E-4</c:v>
                </c:pt>
                <c:pt idx="68">
                  <c:v>-1.0648382506879799E-3</c:v>
                </c:pt>
                <c:pt idx="69">
                  <c:v>-1.42224152552215E-3</c:v>
                </c:pt>
                <c:pt idx="70">
                  <c:v>-4.9547357320599901E-4</c:v>
                </c:pt>
                <c:pt idx="71">
                  <c:v>-2.0136418271176701E-4</c:v>
                </c:pt>
                <c:pt idx="72">
                  <c:v>2.2315457516772401E-4</c:v>
                </c:pt>
                <c:pt idx="73">
                  <c:v>-5.9235788238412796E-4</c:v>
                </c:pt>
                <c:pt idx="74">
                  <c:v>-4.4285156645222298E-4</c:v>
                </c:pt>
                <c:pt idx="75">
                  <c:v>-4.5919681773109203E-4</c:v>
                </c:pt>
                <c:pt idx="76">
                  <c:v>-7.4162914750945403E-4</c:v>
                </c:pt>
                <c:pt idx="77">
                  <c:v>4.0882185597774197E-6</c:v>
                </c:pt>
                <c:pt idx="78">
                  <c:v>-1.5199749519978999E-4</c:v>
                </c:pt>
                <c:pt idx="79">
                  <c:v>-2.8533275747824502E-4</c:v>
                </c:pt>
                <c:pt idx="80">
                  <c:v>-1.3799847906459199E-3</c:v>
                </c:pt>
                <c:pt idx="81">
                  <c:v>-2.9083581363696198E-4</c:v>
                </c:pt>
                <c:pt idx="82">
                  <c:v>-7.1693729109796502E-4</c:v>
                </c:pt>
                <c:pt idx="83">
                  <c:v>4.4735319937497898E-4</c:v>
                </c:pt>
                <c:pt idx="84">
                  <c:v>-4.0778460768080001E-4</c:v>
                </c:pt>
                <c:pt idx="85">
                  <c:v>2.8980788471804101E-4</c:v>
                </c:pt>
                <c:pt idx="86">
                  <c:v>5.3917380971426404E-6</c:v>
                </c:pt>
                <c:pt idx="87">
                  <c:v>-3.4492549948839601E-4</c:v>
                </c:pt>
                <c:pt idx="88">
                  <c:v>1.2161433052546901E-4</c:v>
                </c:pt>
                <c:pt idx="89">
                  <c:v>6.0469507024863897E-4</c:v>
                </c:pt>
                <c:pt idx="90">
                  <c:v>-1.29634763756373E-4</c:v>
                </c:pt>
                <c:pt idx="91">
                  <c:v>7.98337921560862E-4</c:v>
                </c:pt>
                <c:pt idx="92">
                  <c:v>2.6553867028519497E-4</c:v>
                </c:pt>
                <c:pt idx="93">
                  <c:v>4.2372322416247399E-4</c:v>
                </c:pt>
                <c:pt idx="94">
                  <c:v>1.1930802325983501E-3</c:v>
                </c:pt>
                <c:pt idx="95">
                  <c:v>3.83906091618003E-4</c:v>
                </c:pt>
                <c:pt idx="96">
                  <c:v>2.22347179659465E-4</c:v>
                </c:pt>
                <c:pt idx="97">
                  <c:v>-4.3925215420826199E-4</c:v>
                </c:pt>
                <c:pt idx="98">
                  <c:v>-3.7674667088860197E-5</c:v>
                </c:pt>
                <c:pt idx="99">
                  <c:v>-1.1489684302469401E-3</c:v>
                </c:pt>
                <c:pt idx="100">
                  <c:v>-8.9005746251733203E-4</c:v>
                </c:pt>
                <c:pt idx="101">
                  <c:v>-1.1342764866550099E-3</c:v>
                </c:pt>
                <c:pt idx="102">
                  <c:v>-1.7833680379575E-3</c:v>
                </c:pt>
                <c:pt idx="103">
                  <c:v>-3.9026925907011199E-4</c:v>
                </c:pt>
                <c:pt idx="104">
                  <c:v>8.1296299893224093E-5</c:v>
                </c:pt>
                <c:pt idx="105">
                  <c:v>-7.7926053393779495E-5</c:v>
                </c:pt>
                <c:pt idx="106">
                  <c:v>7.6380969919584397E-5</c:v>
                </c:pt>
                <c:pt idx="107">
                  <c:v>3.5839000848881999E-4</c:v>
                </c:pt>
                <c:pt idx="108">
                  <c:v>-5.6968369283485001E-4</c:v>
                </c:pt>
                <c:pt idx="109">
                  <c:v>-2.1974384067282199E-4</c:v>
                </c:pt>
                <c:pt idx="110">
                  <c:v>6.1604659531482801E-4</c:v>
                </c:pt>
                <c:pt idx="111">
                  <c:v>3.8315887225965E-5</c:v>
                </c:pt>
                <c:pt idx="112">
                  <c:v>-1.08896038626701E-4</c:v>
                </c:pt>
                <c:pt idx="113">
                  <c:v>-2.0931274815370399E-4</c:v>
                </c:pt>
                <c:pt idx="114">
                  <c:v>-9.4412423743817003E-5</c:v>
                </c:pt>
                <c:pt idx="115">
                  <c:v>-3.7231574590667498E-4</c:v>
                </c:pt>
                <c:pt idx="116">
                  <c:v>-1.2285104061342901E-4</c:v>
                </c:pt>
                <c:pt idx="117">
                  <c:v>-1.2024208940030899E-3</c:v>
                </c:pt>
                <c:pt idx="118">
                  <c:v>-3.3020086079649402E-5</c:v>
                </c:pt>
                <c:pt idx="119">
                  <c:v>-4.12417530940576E-4</c:v>
                </c:pt>
                <c:pt idx="120">
                  <c:v>-3.1858357880553301E-4</c:v>
                </c:pt>
                <c:pt idx="121">
                  <c:v>-6.9983987950034403E-4</c:v>
                </c:pt>
                <c:pt idx="122">
                  <c:v>3.71884670330502E-4</c:v>
                </c:pt>
                <c:pt idx="123">
                  <c:v>-9.5434671206114801E-4</c:v>
                </c:pt>
                <c:pt idx="124">
                  <c:v>-4.3986089087163098E-5</c:v>
                </c:pt>
                <c:pt idx="125">
                  <c:v>-4.0083528299666201E-4</c:v>
                </c:pt>
                <c:pt idx="126">
                  <c:v>-5.8296160616979904E-4</c:v>
                </c:pt>
                <c:pt idx="127">
                  <c:v>1.61206252316991E-3</c:v>
                </c:pt>
                <c:pt idx="128">
                  <c:v>8.0940937449982099E-4</c:v>
                </c:pt>
                <c:pt idx="129">
                  <c:v>-4.5012535834853602E-4</c:v>
                </c:pt>
                <c:pt idx="130">
                  <c:v>9.8102058969266903E-4</c:v>
                </c:pt>
                <c:pt idx="131">
                  <c:v>1.1485378215505401E-3</c:v>
                </c:pt>
                <c:pt idx="132">
                  <c:v>8.1525927267247405E-4</c:v>
                </c:pt>
                <c:pt idx="133">
                  <c:v>2.1657012873860099E-4</c:v>
                </c:pt>
                <c:pt idx="134">
                  <c:v>2.1124978060873502E-5</c:v>
                </c:pt>
                <c:pt idx="135">
                  <c:v>2.6371592781181399E-5</c:v>
                </c:pt>
                <c:pt idx="136">
                  <c:v>-5.7047434275577601E-5</c:v>
                </c:pt>
                <c:pt idx="137">
                  <c:v>-2.5056339638633698E-4</c:v>
                </c:pt>
                <c:pt idx="138">
                  <c:v>1.02322610734496E-4</c:v>
                </c:pt>
                <c:pt idx="139">
                  <c:v>-7.9313641088674103E-4</c:v>
                </c:pt>
                <c:pt idx="140">
                  <c:v>4.6419009272713002E-4</c:v>
                </c:pt>
                <c:pt idx="141">
                  <c:v>3.9710989307631899E-4</c:v>
                </c:pt>
                <c:pt idx="142">
                  <c:v>-1.7391729681699299E-4</c:v>
                </c:pt>
                <c:pt idx="143">
                  <c:v>8.9469040600819404E-4</c:v>
                </c:pt>
                <c:pt idx="144">
                  <c:v>-4.1535811329727299E-4</c:v>
                </c:pt>
                <c:pt idx="145">
                  <c:v>-3.3886035618020498E-4</c:v>
                </c:pt>
                <c:pt idx="146">
                  <c:v>-6.8879856876664404E-4</c:v>
                </c:pt>
                <c:pt idx="147">
                  <c:v>-3.4206360262207798E-4</c:v>
                </c:pt>
                <c:pt idx="148">
                  <c:v>-8.0393790163880996E-4</c:v>
                </c:pt>
                <c:pt idx="149">
                  <c:v>-8.5200306580997904E-4</c:v>
                </c:pt>
                <c:pt idx="150">
                  <c:v>-8.91170265578867E-4</c:v>
                </c:pt>
                <c:pt idx="151">
                  <c:v>-8.4843109970876302E-4</c:v>
                </c:pt>
                <c:pt idx="152">
                  <c:v>-4.8289070466439799E-4</c:v>
                </c:pt>
                <c:pt idx="153">
                  <c:v>-4.2859723075768598E-4</c:v>
                </c:pt>
                <c:pt idx="154">
                  <c:v>1.44095443356166E-3</c:v>
                </c:pt>
                <c:pt idx="155">
                  <c:v>-2.2039206264659199E-5</c:v>
                </c:pt>
                <c:pt idx="156">
                  <c:v>4.5531034344649401E-4</c:v>
                </c:pt>
                <c:pt idx="157">
                  <c:v>-2.0014535188858399E-4</c:v>
                </c:pt>
                <c:pt idx="158">
                  <c:v>1.21941246869524E-3</c:v>
                </c:pt>
                <c:pt idx="159">
                  <c:v>7.9904401237886698E-4</c:v>
                </c:pt>
                <c:pt idx="160">
                  <c:v>9.2555882355941595E-6</c:v>
                </c:pt>
                <c:pt idx="161">
                  <c:v>-1.89498396219532E-4</c:v>
                </c:pt>
                <c:pt idx="162">
                  <c:v>-3.9617831681258801E-4</c:v>
                </c:pt>
                <c:pt idx="163">
                  <c:v>-4.8325018333590999E-4</c:v>
                </c:pt>
                <c:pt idx="164">
                  <c:v>-4.4999224797610701E-4</c:v>
                </c:pt>
                <c:pt idx="165">
                  <c:v>1.26146495933399E-5</c:v>
                </c:pt>
                <c:pt idx="166">
                  <c:v>-5.5788685942708099E-4</c:v>
                </c:pt>
                <c:pt idx="167">
                  <c:v>-3.2428822645101598E-4</c:v>
                </c:pt>
                <c:pt idx="168">
                  <c:v>-2.97257668902028E-4</c:v>
                </c:pt>
                <c:pt idx="169">
                  <c:v>-3.5211814989361402E-4</c:v>
                </c:pt>
                <c:pt idx="170">
                  <c:v>6.4865996127745596E-4</c:v>
                </c:pt>
                <c:pt idx="171">
                  <c:v>1.18890848674141E-3</c:v>
                </c:pt>
                <c:pt idx="172">
                  <c:v>9.8488414930664897E-5</c:v>
                </c:pt>
                <c:pt idx="173">
                  <c:v>-9.2813958916165297E-4</c:v>
                </c:pt>
                <c:pt idx="174">
                  <c:v>-1.13200203431974E-3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F-4AC8-9E86-FB2A3F2770A4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TFI* x 20 dma / VTEB*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1.8031328507851099E-4</c:v>
                </c:pt>
                <c:pt idx="21">
                  <c:v>8.5173463027033596E-4</c:v>
                </c:pt>
                <c:pt idx="22">
                  <c:v>1.9753551233296801E-3</c:v>
                </c:pt>
                <c:pt idx="23">
                  <c:v>1.11323533004295E-3</c:v>
                </c:pt>
                <c:pt idx="24">
                  <c:v>8.9373204379705404E-4</c:v>
                </c:pt>
                <c:pt idx="25">
                  <c:v>1.1034847762221101E-3</c:v>
                </c:pt>
                <c:pt idx="26">
                  <c:v>7.3291901165446402E-4</c:v>
                </c:pt>
                <c:pt idx="27">
                  <c:v>1.14606086316111E-3</c:v>
                </c:pt>
                <c:pt idx="28">
                  <c:v>8.0954449647594004E-4</c:v>
                </c:pt>
                <c:pt idx="29">
                  <c:v>1.52534013032773E-3</c:v>
                </c:pt>
                <c:pt idx="30">
                  <c:v>1.7791193243625399E-4</c:v>
                </c:pt>
                <c:pt idx="31">
                  <c:v>-1.49862781053465E-4</c:v>
                </c:pt>
                <c:pt idx="32">
                  <c:v>-2.1436477035037199E-4</c:v>
                </c:pt>
                <c:pt idx="33">
                  <c:v>-7.48812906167748E-4</c:v>
                </c:pt>
                <c:pt idx="34">
                  <c:v>-5.4162294156297899E-5</c:v>
                </c:pt>
                <c:pt idx="35">
                  <c:v>-1.76362454712943E-4</c:v>
                </c:pt>
                <c:pt idx="36">
                  <c:v>-6.0792001118878099E-4</c:v>
                </c:pt>
                <c:pt idx="37">
                  <c:v>-1.12243144996297E-3</c:v>
                </c:pt>
                <c:pt idx="38">
                  <c:v>-4.1725480400761801E-4</c:v>
                </c:pt>
                <c:pt idx="39">
                  <c:v>-1.80888945478422E-3</c:v>
                </c:pt>
                <c:pt idx="40">
                  <c:v>-9.1275076117245497E-4</c:v>
                </c:pt>
                <c:pt idx="41">
                  <c:v>1.25122979565377E-4</c:v>
                </c:pt>
                <c:pt idx="42">
                  <c:v>-9.4963809361593699E-4</c:v>
                </c:pt>
                <c:pt idx="43">
                  <c:v>-1.3202502807057E-3</c:v>
                </c:pt>
                <c:pt idx="44">
                  <c:v>-2.3786493987018901E-4</c:v>
                </c:pt>
                <c:pt idx="45">
                  <c:v>5.5215433383334102E-5</c:v>
                </c:pt>
                <c:pt idx="46">
                  <c:v>3.4907247765764501E-4</c:v>
                </c:pt>
                <c:pt idx="47">
                  <c:v>-5.5875706065509499E-4</c:v>
                </c:pt>
                <c:pt idx="48">
                  <c:v>-1.0361714667323099E-3</c:v>
                </c:pt>
                <c:pt idx="49">
                  <c:v>-1.11956027055859E-3</c:v>
                </c:pt>
                <c:pt idx="50">
                  <c:v>-1.8215439331972601E-4</c:v>
                </c:pt>
                <c:pt idx="51">
                  <c:v>-9.3776159671375996E-4</c:v>
                </c:pt>
                <c:pt idx="52">
                  <c:v>-2.9123645451236698E-4</c:v>
                </c:pt>
                <c:pt idx="53">
                  <c:v>-1.56387584426639E-3</c:v>
                </c:pt>
                <c:pt idx="54">
                  <c:v>-5.3454160042719595E-4</c:v>
                </c:pt>
                <c:pt idx="55">
                  <c:v>4.3465279095139899E-4</c:v>
                </c:pt>
                <c:pt idx="56">
                  <c:v>4.5496067123510398E-4</c:v>
                </c:pt>
                <c:pt idx="57">
                  <c:v>-4.1116555150262E-4</c:v>
                </c:pt>
                <c:pt idx="58">
                  <c:v>7.1962994793889706E-5</c:v>
                </c:pt>
                <c:pt idx="59">
                  <c:v>-5.1967768917212905E-4</c:v>
                </c:pt>
                <c:pt idx="60">
                  <c:v>3.7644980558183399E-4</c:v>
                </c:pt>
                <c:pt idx="61">
                  <c:v>-9.2354252269061601E-4</c:v>
                </c:pt>
                <c:pt idx="62">
                  <c:v>-1.3025581180758001E-3</c:v>
                </c:pt>
                <c:pt idx="63">
                  <c:v>-1.09429490948708E-3</c:v>
                </c:pt>
                <c:pt idx="64">
                  <c:v>-1.1737482647124499E-3</c:v>
                </c:pt>
                <c:pt idx="65">
                  <c:v>-1.0546257979394001E-3</c:v>
                </c:pt>
                <c:pt idx="66">
                  <c:v>-2.00077210258689E-3</c:v>
                </c:pt>
                <c:pt idx="67">
                  <c:v>-9.924237905800529E-4</c:v>
                </c:pt>
                <c:pt idx="68">
                  <c:v>-1.44416392570505E-3</c:v>
                </c:pt>
                <c:pt idx="69">
                  <c:v>-1.9370202390837699E-3</c:v>
                </c:pt>
                <c:pt idx="70">
                  <c:v>-1.12126400292087E-3</c:v>
                </c:pt>
                <c:pt idx="71">
                  <c:v>-9.5321437384217496E-4</c:v>
                </c:pt>
                <c:pt idx="72">
                  <c:v>-5.6333328160702498E-4</c:v>
                </c:pt>
                <c:pt idx="73">
                  <c:v>-1.3205965665622999E-3</c:v>
                </c:pt>
                <c:pt idx="74">
                  <c:v>-1.2340023362019401E-3</c:v>
                </c:pt>
                <c:pt idx="75">
                  <c:v>-1.25231449859258E-3</c:v>
                </c:pt>
                <c:pt idx="76">
                  <c:v>-1.5000609825999199E-3</c:v>
                </c:pt>
                <c:pt idx="77">
                  <c:v>-6.3430815445631198E-4</c:v>
                </c:pt>
                <c:pt idx="78">
                  <c:v>-7.6250698426651598E-4</c:v>
                </c:pt>
                <c:pt idx="79">
                  <c:v>-8.0220479771404602E-4</c:v>
                </c:pt>
                <c:pt idx="80">
                  <c:v>-1.78491392798234E-3</c:v>
                </c:pt>
                <c:pt idx="81">
                  <c:v>-6.6418378886629796E-4</c:v>
                </c:pt>
                <c:pt idx="82">
                  <c:v>-1.0829038660681699E-3</c:v>
                </c:pt>
                <c:pt idx="83">
                  <c:v>6.8254840854017798E-6</c:v>
                </c:pt>
                <c:pt idx="84">
                  <c:v>-7.8280663865855197E-4</c:v>
                </c:pt>
                <c:pt idx="85">
                  <c:v>-7.0994231630791999E-5</c:v>
                </c:pt>
                <c:pt idx="86">
                  <c:v>-2.9702742014337701E-4</c:v>
                </c:pt>
                <c:pt idx="87">
                  <c:v>-6.1596004064179302E-4</c:v>
                </c:pt>
                <c:pt idx="88">
                  <c:v>-1.62709158417233E-4</c:v>
                </c:pt>
                <c:pt idx="89">
                  <c:v>3.2104706304627098E-4</c:v>
                </c:pt>
                <c:pt idx="90">
                  <c:v>-4.02306778710612E-4</c:v>
                </c:pt>
                <c:pt idx="91">
                  <c:v>6.4566984758949596E-4</c:v>
                </c:pt>
                <c:pt idx="92">
                  <c:v>1.9384611618794901E-4</c:v>
                </c:pt>
                <c:pt idx="93">
                  <c:v>4.7758307073990098E-4</c:v>
                </c:pt>
                <c:pt idx="94">
                  <c:v>1.2432224183258E-3</c:v>
                </c:pt>
                <c:pt idx="95">
                  <c:v>5.5485348530860202E-4</c:v>
                </c:pt>
                <c:pt idx="96">
                  <c:v>4.1373018444606098E-4</c:v>
                </c:pt>
                <c:pt idx="97">
                  <c:v>-2.2498211494757E-4</c:v>
                </c:pt>
                <c:pt idx="98">
                  <c:v>2.3788051174335599E-4</c:v>
                </c:pt>
                <c:pt idx="99">
                  <c:v>-8.3905935589008104E-4</c:v>
                </c:pt>
                <c:pt idx="100">
                  <c:v>-6.53020844731337E-4</c:v>
                </c:pt>
                <c:pt idx="101">
                  <c:v>-9.4684599137438198E-4</c:v>
                </c:pt>
                <c:pt idx="102">
                  <c:v>-1.7130400060482601E-3</c:v>
                </c:pt>
                <c:pt idx="103">
                  <c:v>-4.5738678616082503E-4</c:v>
                </c:pt>
                <c:pt idx="104">
                  <c:v>-3.7424567106974898E-5</c:v>
                </c:pt>
                <c:pt idx="105">
                  <c:v>-3.49059123118503E-4</c:v>
                </c:pt>
                <c:pt idx="106">
                  <c:v>-2.6670982039140299E-4</c:v>
                </c:pt>
                <c:pt idx="107">
                  <c:v>-5.6252181249011198E-5</c:v>
                </c:pt>
                <c:pt idx="108">
                  <c:v>-1.00262702439626E-3</c:v>
                </c:pt>
                <c:pt idx="109">
                  <c:v>-7.4212689028120495E-4</c:v>
                </c:pt>
                <c:pt idx="110">
                  <c:v>1.4457345818378299E-4</c:v>
                </c:pt>
                <c:pt idx="111">
                  <c:v>-3.9070745416429201E-4</c:v>
                </c:pt>
                <c:pt idx="112">
                  <c:v>-4.44323932109589E-4</c:v>
                </c:pt>
                <c:pt idx="113">
                  <c:v>-3.9908772162431999E-4</c:v>
                </c:pt>
                <c:pt idx="114">
                  <c:v>-2.4672089251901802E-4</c:v>
                </c:pt>
                <c:pt idx="115">
                  <c:v>-4.8123677588745098E-4</c:v>
                </c:pt>
                <c:pt idx="116">
                  <c:v>-2.0720416387151001E-4</c:v>
                </c:pt>
                <c:pt idx="117">
                  <c:v>-1.2635804524637601E-3</c:v>
                </c:pt>
                <c:pt idx="118">
                  <c:v>-1.7676105472009499E-4</c:v>
                </c:pt>
                <c:pt idx="119">
                  <c:v>-4.7381653842786198E-4</c:v>
                </c:pt>
                <c:pt idx="120">
                  <c:v>-3.8996783545687899E-4</c:v>
                </c:pt>
                <c:pt idx="121">
                  <c:v>-8.5320850213792601E-4</c:v>
                </c:pt>
                <c:pt idx="122">
                  <c:v>1.5055622318580099E-4</c:v>
                </c:pt>
                <c:pt idx="123">
                  <c:v>-1.22396858186517E-3</c:v>
                </c:pt>
                <c:pt idx="124">
                  <c:v>-3.6789282441846701E-4</c:v>
                </c:pt>
                <c:pt idx="125">
                  <c:v>-7.3059284185656901E-4</c:v>
                </c:pt>
                <c:pt idx="126">
                  <c:v>-9.2150966639966596E-4</c:v>
                </c:pt>
                <c:pt idx="127">
                  <c:v>1.2350603844652999E-3</c:v>
                </c:pt>
                <c:pt idx="128">
                  <c:v>6.1950170472940499E-4</c:v>
                </c:pt>
                <c:pt idx="129">
                  <c:v>-6.2937909467454599E-4</c:v>
                </c:pt>
                <c:pt idx="130">
                  <c:v>7.9772815566581698E-4</c:v>
                </c:pt>
                <c:pt idx="131">
                  <c:v>1.0657149157200401E-3</c:v>
                </c:pt>
                <c:pt idx="132">
                  <c:v>8.6880423344550504E-4</c:v>
                </c:pt>
                <c:pt idx="133">
                  <c:v>2.9572269617715499E-4</c:v>
                </c:pt>
                <c:pt idx="134">
                  <c:v>2.31024882256844E-4</c:v>
                </c:pt>
                <c:pt idx="135">
                  <c:v>2.90399717124248E-4</c:v>
                </c:pt>
                <c:pt idx="136">
                  <c:v>2.8919721902145E-4</c:v>
                </c:pt>
                <c:pt idx="137">
                  <c:v>2.1355113103844201E-4</c:v>
                </c:pt>
                <c:pt idx="138">
                  <c:v>4.1669304573979302E-4</c:v>
                </c:pt>
                <c:pt idx="139">
                  <c:v>-5.0581184254059404E-4</c:v>
                </c:pt>
                <c:pt idx="140">
                  <c:v>7.8292958908140499E-4</c:v>
                </c:pt>
                <c:pt idx="141">
                  <c:v>6.7523475858623097E-4</c:v>
                </c:pt>
                <c:pt idx="142">
                  <c:v>1.0310520965550501E-5</c:v>
                </c:pt>
                <c:pt idx="143">
                  <c:v>1.0203676269582901E-3</c:v>
                </c:pt>
                <c:pt idx="144">
                  <c:v>-3.09723076644709E-4</c:v>
                </c:pt>
                <c:pt idx="145">
                  <c:v>-2.6874222738027301E-4</c:v>
                </c:pt>
                <c:pt idx="146">
                  <c:v>-6.7771879915441203E-4</c:v>
                </c:pt>
                <c:pt idx="147">
                  <c:v>-4.22429523154138E-4</c:v>
                </c:pt>
                <c:pt idx="148">
                  <c:v>-8.50202171563193E-4</c:v>
                </c:pt>
                <c:pt idx="149">
                  <c:v>-9.4429476006536897E-4</c:v>
                </c:pt>
                <c:pt idx="150">
                  <c:v>-1.00722959592141E-3</c:v>
                </c:pt>
                <c:pt idx="151">
                  <c:v>-1.0498778854674501E-3</c:v>
                </c:pt>
                <c:pt idx="152">
                  <c:v>-7.5698132721432703E-4</c:v>
                </c:pt>
                <c:pt idx="153">
                  <c:v>-7.1451397532289402E-4</c:v>
                </c:pt>
                <c:pt idx="154">
                  <c:v>1.0139308660186001E-3</c:v>
                </c:pt>
                <c:pt idx="155">
                  <c:v>-3.87763008390265E-4</c:v>
                </c:pt>
                <c:pt idx="156">
                  <c:v>8.0108765197567798E-5</c:v>
                </c:pt>
                <c:pt idx="157">
                  <c:v>-5.2520058706980604E-4</c:v>
                </c:pt>
                <c:pt idx="158">
                  <c:v>8.8156308853856605E-4</c:v>
                </c:pt>
                <c:pt idx="159">
                  <c:v>5.7845881145393596E-4</c:v>
                </c:pt>
                <c:pt idx="160">
                  <c:v>-1.38678010522109E-4</c:v>
                </c:pt>
                <c:pt idx="161">
                  <c:v>-2.27829527496298E-4</c:v>
                </c:pt>
                <c:pt idx="162">
                  <c:v>-3.2296024094863898E-4</c:v>
                </c:pt>
                <c:pt idx="163">
                  <c:v>-3.55501374654518E-4</c:v>
                </c:pt>
                <c:pt idx="164">
                  <c:v>-2.17475169606395E-4</c:v>
                </c:pt>
                <c:pt idx="165">
                  <c:v>1.2377678797079099E-4</c:v>
                </c:pt>
                <c:pt idx="166">
                  <c:v>-4.1313674142654899E-4</c:v>
                </c:pt>
                <c:pt idx="167">
                  <c:v>-2.3540986156925201E-4</c:v>
                </c:pt>
                <c:pt idx="168">
                  <c:v>-1.8028228858704801E-4</c:v>
                </c:pt>
                <c:pt idx="169">
                  <c:v>-3.6660464418559102E-4</c:v>
                </c:pt>
                <c:pt idx="170">
                  <c:v>5.1470976185089598E-4</c:v>
                </c:pt>
                <c:pt idx="171">
                  <c:v>1.0432893574042999E-3</c:v>
                </c:pt>
                <c:pt idx="172">
                  <c:v>-2.1937102836776201E-5</c:v>
                </c:pt>
                <c:pt idx="173">
                  <c:v>-1.04753792262547E-3</c:v>
                </c:pt>
                <c:pt idx="174">
                  <c:v>-1.2956453811457599E-3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F-4AC8-9E86-FB2A3F277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VTEB*/TFI*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1.1028747626327899</c:v>
                </c:pt>
                <c:pt idx="1">
                  <c:v>1.1028747626327899</c:v>
                </c:pt>
                <c:pt idx="2">
                  <c:v>1.1028747626327899</c:v>
                </c:pt>
                <c:pt idx="3">
                  <c:v>1.1028747626327899</c:v>
                </c:pt>
                <c:pt idx="4">
                  <c:v>1.1028747626327899</c:v>
                </c:pt>
                <c:pt idx="5">
                  <c:v>1.1028747626327899</c:v>
                </c:pt>
                <c:pt idx="6">
                  <c:v>1.1028747626327899</c:v>
                </c:pt>
                <c:pt idx="7">
                  <c:v>1.1028747626327899</c:v>
                </c:pt>
                <c:pt idx="8">
                  <c:v>1.1028747626327899</c:v>
                </c:pt>
                <c:pt idx="9">
                  <c:v>1.1028747626327899</c:v>
                </c:pt>
                <c:pt idx="10">
                  <c:v>1.1028747626327899</c:v>
                </c:pt>
                <c:pt idx="11">
                  <c:v>1.1028747626327899</c:v>
                </c:pt>
                <c:pt idx="12">
                  <c:v>1.1028747626327899</c:v>
                </c:pt>
                <c:pt idx="13">
                  <c:v>1.1028747626327899</c:v>
                </c:pt>
                <c:pt idx="14">
                  <c:v>1.1028747626327899</c:v>
                </c:pt>
                <c:pt idx="15">
                  <c:v>1.1028747626327899</c:v>
                </c:pt>
                <c:pt idx="16">
                  <c:v>1.1028747626327899</c:v>
                </c:pt>
                <c:pt idx="17">
                  <c:v>1.1028747626327899</c:v>
                </c:pt>
                <c:pt idx="18">
                  <c:v>1.1028747626327899</c:v>
                </c:pt>
                <c:pt idx="19">
                  <c:v>1.1028747626327899</c:v>
                </c:pt>
                <c:pt idx="20">
                  <c:v>1.1028747626327899</c:v>
                </c:pt>
                <c:pt idx="21">
                  <c:v>1.1028747626327899</c:v>
                </c:pt>
                <c:pt idx="22">
                  <c:v>1.1028747626327899</c:v>
                </c:pt>
                <c:pt idx="23">
                  <c:v>1.1028747626327899</c:v>
                </c:pt>
                <c:pt idx="24">
                  <c:v>1.1028747626327899</c:v>
                </c:pt>
                <c:pt idx="25">
                  <c:v>1.1028747626327899</c:v>
                </c:pt>
                <c:pt idx="26">
                  <c:v>1.1028747626327899</c:v>
                </c:pt>
                <c:pt idx="27">
                  <c:v>1.1028747626327899</c:v>
                </c:pt>
                <c:pt idx="28">
                  <c:v>1.1028747626327899</c:v>
                </c:pt>
                <c:pt idx="29">
                  <c:v>1.1028747626327899</c:v>
                </c:pt>
                <c:pt idx="30">
                  <c:v>1.1028747626327899</c:v>
                </c:pt>
                <c:pt idx="31">
                  <c:v>1.1028747626327899</c:v>
                </c:pt>
                <c:pt idx="32">
                  <c:v>1.1028747626327899</c:v>
                </c:pt>
                <c:pt idx="33">
                  <c:v>1.1028747626327899</c:v>
                </c:pt>
                <c:pt idx="34">
                  <c:v>1.1028747626327899</c:v>
                </c:pt>
                <c:pt idx="35">
                  <c:v>1.1028747626327899</c:v>
                </c:pt>
                <c:pt idx="36">
                  <c:v>1.1028747626327899</c:v>
                </c:pt>
                <c:pt idx="37">
                  <c:v>1.1028747626327899</c:v>
                </c:pt>
                <c:pt idx="38">
                  <c:v>1.1028747626327899</c:v>
                </c:pt>
                <c:pt idx="39">
                  <c:v>1.1028747626327899</c:v>
                </c:pt>
                <c:pt idx="40">
                  <c:v>1.1028747626327899</c:v>
                </c:pt>
                <c:pt idx="41">
                  <c:v>1.1028747626327899</c:v>
                </c:pt>
                <c:pt idx="42">
                  <c:v>1.1028747626327899</c:v>
                </c:pt>
                <c:pt idx="43">
                  <c:v>1.1028747626327899</c:v>
                </c:pt>
                <c:pt idx="44">
                  <c:v>1.1028747626327899</c:v>
                </c:pt>
                <c:pt idx="45">
                  <c:v>1.1028747626327899</c:v>
                </c:pt>
                <c:pt idx="46">
                  <c:v>1.1028747626327899</c:v>
                </c:pt>
                <c:pt idx="47">
                  <c:v>1.1028747626327899</c:v>
                </c:pt>
                <c:pt idx="48">
                  <c:v>1.1028747626327899</c:v>
                </c:pt>
                <c:pt idx="49">
                  <c:v>1.1028747626327899</c:v>
                </c:pt>
                <c:pt idx="50">
                  <c:v>1.1028747626327899</c:v>
                </c:pt>
                <c:pt idx="51">
                  <c:v>1.1028747626327899</c:v>
                </c:pt>
                <c:pt idx="52">
                  <c:v>1.1028747626327899</c:v>
                </c:pt>
                <c:pt idx="53">
                  <c:v>1.1028747626327899</c:v>
                </c:pt>
                <c:pt idx="54">
                  <c:v>1.1028747626327899</c:v>
                </c:pt>
                <c:pt idx="55">
                  <c:v>1.1028747626327899</c:v>
                </c:pt>
                <c:pt idx="56">
                  <c:v>1.1028747626327899</c:v>
                </c:pt>
                <c:pt idx="57">
                  <c:v>1.1028747626327899</c:v>
                </c:pt>
                <c:pt idx="58">
                  <c:v>1.1028747626327899</c:v>
                </c:pt>
                <c:pt idx="59">
                  <c:v>1.1028747626327899</c:v>
                </c:pt>
                <c:pt idx="60">
                  <c:v>1.1028747626327899</c:v>
                </c:pt>
                <c:pt idx="61">
                  <c:v>1.1028747626327899</c:v>
                </c:pt>
                <c:pt idx="62">
                  <c:v>1.1028747626327899</c:v>
                </c:pt>
                <c:pt idx="63">
                  <c:v>1.1028747626327899</c:v>
                </c:pt>
                <c:pt idx="64">
                  <c:v>1.1028747626327899</c:v>
                </c:pt>
                <c:pt idx="65">
                  <c:v>1.1028747626327899</c:v>
                </c:pt>
                <c:pt idx="66">
                  <c:v>1.1028747626327899</c:v>
                </c:pt>
                <c:pt idx="67">
                  <c:v>1.1028747626327899</c:v>
                </c:pt>
                <c:pt idx="68">
                  <c:v>1.1028747626327899</c:v>
                </c:pt>
                <c:pt idx="69">
                  <c:v>1.1028747626327899</c:v>
                </c:pt>
                <c:pt idx="70">
                  <c:v>1.1028747626327899</c:v>
                </c:pt>
                <c:pt idx="71">
                  <c:v>1.1028747626327899</c:v>
                </c:pt>
                <c:pt idx="72">
                  <c:v>1.1028747626327899</c:v>
                </c:pt>
                <c:pt idx="73">
                  <c:v>1.1028747626327899</c:v>
                </c:pt>
                <c:pt idx="74">
                  <c:v>1.1028747626327899</c:v>
                </c:pt>
                <c:pt idx="75">
                  <c:v>1.1028747626327899</c:v>
                </c:pt>
                <c:pt idx="76">
                  <c:v>1.1028747626327899</c:v>
                </c:pt>
                <c:pt idx="77">
                  <c:v>1.1028747626327899</c:v>
                </c:pt>
                <c:pt idx="78">
                  <c:v>1.1028747626327899</c:v>
                </c:pt>
                <c:pt idx="79">
                  <c:v>1.1028747626327899</c:v>
                </c:pt>
                <c:pt idx="80">
                  <c:v>1.1028747626327899</c:v>
                </c:pt>
                <c:pt idx="81">
                  <c:v>1.1028747626327899</c:v>
                </c:pt>
                <c:pt idx="82">
                  <c:v>1.1028747626327899</c:v>
                </c:pt>
                <c:pt idx="83">
                  <c:v>1.1028747626327899</c:v>
                </c:pt>
                <c:pt idx="84">
                  <c:v>1.1028747626327899</c:v>
                </c:pt>
                <c:pt idx="85">
                  <c:v>1.1028747626327899</c:v>
                </c:pt>
                <c:pt idx="86">
                  <c:v>1.1028747626327899</c:v>
                </c:pt>
                <c:pt idx="87">
                  <c:v>1.1028747626327899</c:v>
                </c:pt>
                <c:pt idx="88">
                  <c:v>1.1028747626327899</c:v>
                </c:pt>
                <c:pt idx="89">
                  <c:v>1.1028747626327899</c:v>
                </c:pt>
                <c:pt idx="90">
                  <c:v>1.1028747626327899</c:v>
                </c:pt>
                <c:pt idx="91">
                  <c:v>1.1028747626327899</c:v>
                </c:pt>
                <c:pt idx="92">
                  <c:v>1.1028747626327899</c:v>
                </c:pt>
                <c:pt idx="93">
                  <c:v>1.1028747626327899</c:v>
                </c:pt>
                <c:pt idx="94">
                  <c:v>1.1028747626327899</c:v>
                </c:pt>
                <c:pt idx="95">
                  <c:v>1.1028747626327899</c:v>
                </c:pt>
                <c:pt idx="96">
                  <c:v>1.1028747626327899</c:v>
                </c:pt>
                <c:pt idx="97">
                  <c:v>1.1028747626327899</c:v>
                </c:pt>
                <c:pt idx="98">
                  <c:v>1.1028747626327899</c:v>
                </c:pt>
                <c:pt idx="99">
                  <c:v>1.1028747626327899</c:v>
                </c:pt>
                <c:pt idx="100">
                  <c:v>1.1028747626327899</c:v>
                </c:pt>
                <c:pt idx="101">
                  <c:v>1.1028747626327899</c:v>
                </c:pt>
                <c:pt idx="102">
                  <c:v>1.1028747626327899</c:v>
                </c:pt>
                <c:pt idx="103">
                  <c:v>1.1028747626327899</c:v>
                </c:pt>
                <c:pt idx="104">
                  <c:v>1.1028747626327899</c:v>
                </c:pt>
                <c:pt idx="105">
                  <c:v>1.1028747626327899</c:v>
                </c:pt>
                <c:pt idx="106">
                  <c:v>1.1028747626327899</c:v>
                </c:pt>
                <c:pt idx="107">
                  <c:v>1.1028747626327899</c:v>
                </c:pt>
                <c:pt idx="108">
                  <c:v>1.1028747626327899</c:v>
                </c:pt>
                <c:pt idx="109">
                  <c:v>1.1028747626327899</c:v>
                </c:pt>
                <c:pt idx="110">
                  <c:v>1.1028747626327899</c:v>
                </c:pt>
                <c:pt idx="111">
                  <c:v>1.1028747626327899</c:v>
                </c:pt>
                <c:pt idx="112">
                  <c:v>1.1028747626327899</c:v>
                </c:pt>
                <c:pt idx="113">
                  <c:v>1.1028747626327899</c:v>
                </c:pt>
                <c:pt idx="114">
                  <c:v>1.1028747626327899</c:v>
                </c:pt>
                <c:pt idx="115">
                  <c:v>1.1028747626327899</c:v>
                </c:pt>
                <c:pt idx="116">
                  <c:v>1.1028747626327899</c:v>
                </c:pt>
                <c:pt idx="117">
                  <c:v>1.1028747626327899</c:v>
                </c:pt>
                <c:pt idx="118">
                  <c:v>1.1028747626327899</c:v>
                </c:pt>
                <c:pt idx="119">
                  <c:v>1.1028747626327899</c:v>
                </c:pt>
                <c:pt idx="120">
                  <c:v>1.1028747626327899</c:v>
                </c:pt>
                <c:pt idx="121">
                  <c:v>1.1028747626327899</c:v>
                </c:pt>
                <c:pt idx="122">
                  <c:v>1.1028747626327899</c:v>
                </c:pt>
                <c:pt idx="123">
                  <c:v>1.1028747626327899</c:v>
                </c:pt>
                <c:pt idx="124">
                  <c:v>1.1028747626327899</c:v>
                </c:pt>
                <c:pt idx="125">
                  <c:v>1.1028747626327899</c:v>
                </c:pt>
                <c:pt idx="126">
                  <c:v>1.1028747626327899</c:v>
                </c:pt>
                <c:pt idx="127">
                  <c:v>1.1028747626327899</c:v>
                </c:pt>
                <c:pt idx="128">
                  <c:v>1.1028747626327899</c:v>
                </c:pt>
                <c:pt idx="129">
                  <c:v>1.1028747626327899</c:v>
                </c:pt>
                <c:pt idx="130">
                  <c:v>1.1028747626327899</c:v>
                </c:pt>
                <c:pt idx="131">
                  <c:v>1.1028747626327899</c:v>
                </c:pt>
                <c:pt idx="132">
                  <c:v>1.1028747626327899</c:v>
                </c:pt>
                <c:pt idx="133">
                  <c:v>1.1028747626327899</c:v>
                </c:pt>
                <c:pt idx="134">
                  <c:v>1.1028747626327899</c:v>
                </c:pt>
                <c:pt idx="135">
                  <c:v>1.1028747626327899</c:v>
                </c:pt>
                <c:pt idx="136">
                  <c:v>1.1028747626327899</c:v>
                </c:pt>
                <c:pt idx="137">
                  <c:v>1.1028747626327899</c:v>
                </c:pt>
                <c:pt idx="138">
                  <c:v>1.1028747626327899</c:v>
                </c:pt>
                <c:pt idx="139">
                  <c:v>1.1028747626327899</c:v>
                </c:pt>
                <c:pt idx="140">
                  <c:v>1.1028747626327899</c:v>
                </c:pt>
                <c:pt idx="141">
                  <c:v>1.1028747626327899</c:v>
                </c:pt>
                <c:pt idx="142">
                  <c:v>1.1028747626327899</c:v>
                </c:pt>
                <c:pt idx="143">
                  <c:v>1.1028747626327899</c:v>
                </c:pt>
                <c:pt idx="144">
                  <c:v>1.1028747626327899</c:v>
                </c:pt>
                <c:pt idx="145">
                  <c:v>1.1028747626327899</c:v>
                </c:pt>
                <c:pt idx="146">
                  <c:v>1.1028747626327899</c:v>
                </c:pt>
                <c:pt idx="147">
                  <c:v>1.1028747626327899</c:v>
                </c:pt>
                <c:pt idx="148">
                  <c:v>1.1028747626327899</c:v>
                </c:pt>
                <c:pt idx="149">
                  <c:v>1.1028747626327899</c:v>
                </c:pt>
                <c:pt idx="150">
                  <c:v>1.1028747626327899</c:v>
                </c:pt>
                <c:pt idx="151">
                  <c:v>1.1028747626327899</c:v>
                </c:pt>
                <c:pt idx="152">
                  <c:v>1.1028747626327899</c:v>
                </c:pt>
                <c:pt idx="153">
                  <c:v>1.1028747626327899</c:v>
                </c:pt>
                <c:pt idx="154">
                  <c:v>1.1028747626327899</c:v>
                </c:pt>
                <c:pt idx="155">
                  <c:v>1.1028747626327899</c:v>
                </c:pt>
                <c:pt idx="156">
                  <c:v>1.1028747626327899</c:v>
                </c:pt>
                <c:pt idx="157">
                  <c:v>1.1028747626327899</c:v>
                </c:pt>
                <c:pt idx="158">
                  <c:v>1.1028747626327899</c:v>
                </c:pt>
                <c:pt idx="159">
                  <c:v>1.1028747626327899</c:v>
                </c:pt>
                <c:pt idx="160">
                  <c:v>1.1028747626327899</c:v>
                </c:pt>
                <c:pt idx="161">
                  <c:v>1.1028747626327899</c:v>
                </c:pt>
                <c:pt idx="162">
                  <c:v>1.1028747626327899</c:v>
                </c:pt>
                <c:pt idx="163">
                  <c:v>1.1028747626327899</c:v>
                </c:pt>
                <c:pt idx="164">
                  <c:v>1.1028747626327899</c:v>
                </c:pt>
                <c:pt idx="165">
                  <c:v>1.1028747626327899</c:v>
                </c:pt>
                <c:pt idx="166">
                  <c:v>1.1028747626327899</c:v>
                </c:pt>
                <c:pt idx="167">
                  <c:v>1.1028747626327899</c:v>
                </c:pt>
                <c:pt idx="168">
                  <c:v>1.1028747626327899</c:v>
                </c:pt>
                <c:pt idx="169">
                  <c:v>1.1028747626327899</c:v>
                </c:pt>
                <c:pt idx="170">
                  <c:v>1.1028747626327899</c:v>
                </c:pt>
                <c:pt idx="171">
                  <c:v>1.1028747626327899</c:v>
                </c:pt>
                <c:pt idx="172">
                  <c:v>1.1028747626327899</c:v>
                </c:pt>
                <c:pt idx="173">
                  <c:v>1.1028747626327899</c:v>
                </c:pt>
                <c:pt idx="174">
                  <c:v>1.1028747626327899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F-461A-8A28-02978577E18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VTEB*/TFI*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1.1009328985937199</c:v>
                </c:pt>
                <c:pt idx="10">
                  <c:v>1.1010021843564499</c:v>
                </c:pt>
                <c:pt idx="11">
                  <c:v>1.10106770084476</c:v>
                </c:pt>
                <c:pt idx="12">
                  <c:v>1.10093660134043</c:v>
                </c:pt>
                <c:pt idx="13">
                  <c:v>1.1009519549155999</c:v>
                </c:pt>
                <c:pt idx="14">
                  <c:v>1.1009737414079801</c:v>
                </c:pt>
                <c:pt idx="15">
                  <c:v>1.10100650412012</c:v>
                </c:pt>
                <c:pt idx="16">
                  <c:v>1.1009585909286701</c:v>
                </c:pt>
                <c:pt idx="17">
                  <c:v>1.10079297376797</c:v>
                </c:pt>
                <c:pt idx="18">
                  <c:v>1.10067116084606</c:v>
                </c:pt>
                <c:pt idx="19">
                  <c:v>1.10046684133673</c:v>
                </c:pt>
                <c:pt idx="20">
                  <c:v>1.1003493366230901</c:v>
                </c:pt>
                <c:pt idx="21">
                  <c:v>1.1001899873593299</c:v>
                </c:pt>
                <c:pt idx="22">
                  <c:v>1.0999921000950801</c:v>
                </c:pt>
                <c:pt idx="23">
                  <c:v>1.0998419570690201</c:v>
                </c:pt>
                <c:pt idx="24">
                  <c:v>1.09971799112348</c:v>
                </c:pt>
                <c:pt idx="25">
                  <c:v>1.09952229076573</c:v>
                </c:pt>
                <c:pt idx="26">
                  <c:v>1.09943547540634</c:v>
                </c:pt>
                <c:pt idx="27">
                  <c:v>1.0992987004016701</c:v>
                </c:pt>
                <c:pt idx="28">
                  <c:v>1.0992686735056201</c:v>
                </c:pt>
                <c:pt idx="29">
                  <c:v>1.09923273432846</c:v>
                </c:pt>
                <c:pt idx="30">
                  <c:v>1.0991480055073399</c:v>
                </c:pt>
                <c:pt idx="31">
                  <c:v>1.0991654873924901</c:v>
                </c:pt>
                <c:pt idx="32">
                  <c:v>1.0993111511529601</c:v>
                </c:pt>
                <c:pt idx="33">
                  <c:v>1.0994346922289999</c:v>
                </c:pt>
                <c:pt idx="34">
                  <c:v>1.0994630872170501</c:v>
                </c:pt>
                <c:pt idx="35">
                  <c:v>1.0995283033887899</c:v>
                </c:pt>
                <c:pt idx="36">
                  <c:v>1.09960186694206</c:v>
                </c:pt>
                <c:pt idx="37">
                  <c:v>1.09978353051459</c:v>
                </c:pt>
                <c:pt idx="38">
                  <c:v>1.09986796437474</c:v>
                </c:pt>
                <c:pt idx="39">
                  <c:v>1.1001945392350001</c:v>
                </c:pt>
                <c:pt idx="40">
                  <c:v>1.10030091229865</c:v>
                </c:pt>
                <c:pt idx="41">
                  <c:v>1.1002682494886999</c:v>
                </c:pt>
                <c:pt idx="42">
                  <c:v>1.1003530697574599</c:v>
                </c:pt>
                <c:pt idx="43">
                  <c:v>1.10043404533122</c:v>
                </c:pt>
                <c:pt idx="44">
                  <c:v>1.1004838603837901</c:v>
                </c:pt>
                <c:pt idx="45">
                  <c:v>1.1004966861044301</c:v>
                </c:pt>
                <c:pt idx="46">
                  <c:v>1.1004401514991999</c:v>
                </c:pt>
                <c:pt idx="47">
                  <c:v>1.10042838420835</c:v>
                </c:pt>
                <c:pt idx="48">
                  <c:v>1.10055302886175</c:v>
                </c:pt>
                <c:pt idx="49">
                  <c:v>1.1005414110464</c:v>
                </c:pt>
                <c:pt idx="50">
                  <c:v>1.1005264681248399</c:v>
                </c:pt>
                <c:pt idx="51">
                  <c:v>1.1007123914450601</c:v>
                </c:pt>
                <c:pt idx="52">
                  <c:v>1.1007173086994999</c:v>
                </c:pt>
                <c:pt idx="53">
                  <c:v>1.1008145600050301</c:v>
                </c:pt>
                <c:pt idx="54">
                  <c:v>1.10091623537439</c:v>
                </c:pt>
                <c:pt idx="55">
                  <c:v>1.10094713432688</c:v>
                </c:pt>
                <c:pt idx="56">
                  <c:v>1.10100640045359</c:v>
                </c:pt>
                <c:pt idx="57">
                  <c:v>1.1010604127583501</c:v>
                </c:pt>
                <c:pt idx="58">
                  <c:v>1.10100228695196</c:v>
                </c:pt>
                <c:pt idx="59">
                  <c:v>1.10099297873353</c:v>
                </c:pt>
                <c:pt idx="60">
                  <c:v>1.10097142463583</c:v>
                </c:pt>
                <c:pt idx="61">
                  <c:v>1.1010034150860899</c:v>
                </c:pt>
                <c:pt idx="62">
                  <c:v>1.10115160497787</c:v>
                </c:pt>
                <c:pt idx="63">
                  <c:v>1.1011398276881801</c:v>
                </c:pt>
                <c:pt idx="64">
                  <c:v>1.10124557100802</c:v>
                </c:pt>
                <c:pt idx="65">
                  <c:v>1.1014476724653499</c:v>
                </c:pt>
                <c:pt idx="66">
                  <c:v>1.1017658339722001</c:v>
                </c:pt>
                <c:pt idx="67">
                  <c:v>1.10189620927556</c:v>
                </c:pt>
                <c:pt idx="68">
                  <c:v>1.10213670797241</c:v>
                </c:pt>
                <c:pt idx="69">
                  <c:v>1.10237225513402</c:v>
                </c:pt>
                <c:pt idx="70">
                  <c:v>1.1026288248848799</c:v>
                </c:pt>
                <c:pt idx="71">
                  <c:v>1.10273731216268</c:v>
                </c:pt>
                <c:pt idx="72">
                  <c:v>1.10275716114086</c:v>
                </c:pt>
                <c:pt idx="73">
                  <c:v>1.1028842329731201</c:v>
                </c:pt>
                <c:pt idx="74">
                  <c:v>1.1029944862263901</c:v>
                </c:pt>
                <c:pt idx="75">
                  <c:v>1.10312032122925</c:v>
                </c:pt>
                <c:pt idx="76">
                  <c:v>1.1031739089139301</c:v>
                </c:pt>
                <c:pt idx="77">
                  <c:v>1.10324287864884</c:v>
                </c:pt>
                <c:pt idx="78">
                  <c:v>1.10327691925976</c:v>
                </c:pt>
                <c:pt idx="79">
                  <c:v>1.10326556300398</c:v>
                </c:pt>
                <c:pt idx="80">
                  <c:v>1.1034526146940999</c:v>
                </c:pt>
                <c:pt idx="81">
                  <c:v>1.10354488546537</c:v>
                </c:pt>
                <c:pt idx="82">
                  <c:v>1.1037293937536901</c:v>
                </c:pt>
                <c:pt idx="83">
                  <c:v>1.1037119103292501</c:v>
                </c:pt>
                <c:pt idx="84">
                  <c:v>1.1037908426983101</c:v>
                </c:pt>
                <c:pt idx="85">
                  <c:v>1.1037878334648601</c:v>
                </c:pt>
                <c:pt idx="86">
                  <c:v>1.1037721485941201</c:v>
                </c:pt>
                <c:pt idx="87">
                  <c:v>1.1038705020455399</c:v>
                </c:pt>
                <c:pt idx="88">
                  <c:v>1.10390307026437</c:v>
                </c:pt>
                <c:pt idx="89">
                  <c:v>1.10386746847261</c:v>
                </c:pt>
                <c:pt idx="90">
                  <c:v>1.1037896158382201</c:v>
                </c:pt>
                <c:pt idx="91">
                  <c:v>1.103703134386</c:v>
                </c:pt>
                <c:pt idx="92">
                  <c:v>1.10361050996669</c:v>
                </c:pt>
                <c:pt idx="93">
                  <c:v>1.10360123359844</c:v>
                </c:pt>
                <c:pt idx="94">
                  <c:v>1.1034135591072201</c:v>
                </c:pt>
                <c:pt idx="95">
                  <c:v>1.1033654622537299</c:v>
                </c:pt>
                <c:pt idx="96">
                  <c:v>1.1032992899718601</c:v>
                </c:pt>
                <c:pt idx="97">
                  <c:v>1.1032623989311301</c:v>
                </c:pt>
                <c:pt idx="98">
                  <c:v>1.10321916903327</c:v>
                </c:pt>
                <c:pt idx="99">
                  <c:v>1.10334434045338</c:v>
                </c:pt>
                <c:pt idx="100">
                  <c:v>1.10337596446699</c:v>
                </c:pt>
                <c:pt idx="101">
                  <c:v>1.10354790822268</c:v>
                </c:pt>
                <c:pt idx="102">
                  <c:v>1.1037586680992499</c:v>
                </c:pt>
                <c:pt idx="103">
                  <c:v>1.1038633212616</c:v>
                </c:pt>
                <c:pt idx="104">
                  <c:v>1.1040121463596599</c:v>
                </c:pt>
                <c:pt idx="105">
                  <c:v>1.10412296113953</c:v>
                </c:pt>
                <c:pt idx="106">
                  <c:v>1.10421480824455</c:v>
                </c:pt>
                <c:pt idx="107">
                  <c:v>1.10421831990277</c:v>
                </c:pt>
                <c:pt idx="108">
                  <c:v>1.1043726788558199</c:v>
                </c:pt>
                <c:pt idx="109">
                  <c:v>1.1043854711668999</c:v>
                </c:pt>
                <c:pt idx="110">
                  <c:v>1.1043233221965001</c:v>
                </c:pt>
                <c:pt idx="111">
                  <c:v>1.10428860239039</c:v>
                </c:pt>
                <c:pt idx="112">
                  <c:v>1.10417771892994</c:v>
                </c:pt>
                <c:pt idx="113">
                  <c:v>1.10419965356473</c:v>
                </c:pt>
                <c:pt idx="114">
                  <c:v>1.10425268593934</c:v>
                </c:pt>
                <c:pt idx="115">
                  <c:v>1.10430925715186</c:v>
                </c:pt>
                <c:pt idx="116">
                  <c:v>1.1043498872168001</c:v>
                </c:pt>
                <c:pt idx="117">
                  <c:v>1.10453583118308</c:v>
                </c:pt>
                <c:pt idx="118">
                  <c:v>1.1045083061195999</c:v>
                </c:pt>
                <c:pt idx="119">
                  <c:v>1.1045431595233599</c:v>
                </c:pt>
                <c:pt idx="120">
                  <c:v>1.1046621372349701</c:v>
                </c:pt>
                <c:pt idx="121">
                  <c:v>1.1047775856904001</c:v>
                </c:pt>
                <c:pt idx="122">
                  <c:v>1.10477338075386</c:v>
                </c:pt>
                <c:pt idx="123">
                  <c:v>1.1049153166805099</c:v>
                </c:pt>
                <c:pt idx="124">
                  <c:v>1.10498131768063</c:v>
                </c:pt>
                <c:pt idx="125">
                  <c:v>1.10505736056196</c:v>
                </c:pt>
                <c:pt idx="126">
                  <c:v>1.10518304289786</c:v>
                </c:pt>
                <c:pt idx="127">
                  <c:v>1.1049554703726301</c:v>
                </c:pt>
                <c:pt idx="128">
                  <c:v>1.1049043870983899</c:v>
                </c:pt>
                <c:pt idx="129">
                  <c:v>1.1049481796863201</c:v>
                </c:pt>
                <c:pt idx="130">
                  <c:v>1.10484514262676</c:v>
                </c:pt>
                <c:pt idx="131">
                  <c:v>1.10465928464709</c:v>
                </c:pt>
                <c:pt idx="132">
                  <c:v>1.1045985102170801</c:v>
                </c:pt>
                <c:pt idx="133">
                  <c:v>1.10445161943899</c:v>
                </c:pt>
                <c:pt idx="134">
                  <c:v>1.10439805639061</c:v>
                </c:pt>
                <c:pt idx="135">
                  <c:v>1.1042925173985201</c:v>
                </c:pt>
                <c:pt idx="136">
                  <c:v>1.1041578935849501</c:v>
                </c:pt>
                <c:pt idx="137">
                  <c:v>1.10426106716434</c:v>
                </c:pt>
                <c:pt idx="138">
                  <c:v>1.1042697282801901</c:v>
                </c:pt>
                <c:pt idx="139">
                  <c:v>1.1042441350499499</c:v>
                </c:pt>
                <c:pt idx="140">
                  <c:v>1.10423082910112</c:v>
                </c:pt>
                <c:pt idx="141">
                  <c:v>1.1042523791544001</c:v>
                </c:pt>
                <c:pt idx="142">
                  <c:v>1.1043209168061401</c:v>
                </c:pt>
                <c:pt idx="143">
                  <c:v>1.1042183188316801</c:v>
                </c:pt>
                <c:pt idx="144">
                  <c:v>1.10424319602812</c:v>
                </c:pt>
                <c:pt idx="145">
                  <c:v>1.10426804719185</c:v>
                </c:pt>
                <c:pt idx="146">
                  <c:v>1.1043353883127101</c:v>
                </c:pt>
                <c:pt idx="147">
                  <c:v>1.1043632499195899</c:v>
                </c:pt>
                <c:pt idx="148">
                  <c:v>1.10447358634993</c:v>
                </c:pt>
                <c:pt idx="149">
                  <c:v>1.10450049534886</c:v>
                </c:pt>
                <c:pt idx="150">
                  <c:v>1.1046758510745001</c:v>
                </c:pt>
                <c:pt idx="151">
                  <c:v>1.1048579585701801</c:v>
                </c:pt>
                <c:pt idx="152">
                  <c:v>1.10495267543037</c:v>
                </c:pt>
                <c:pt idx="153">
                  <c:v>1.10516197775595</c:v>
                </c:pt>
                <c:pt idx="154">
                  <c:v>1.10505133539306</c:v>
                </c:pt>
                <c:pt idx="155">
                  <c:v>1.1050971600370301</c:v>
                </c:pt>
                <c:pt idx="156">
                  <c:v>1.10505367853111</c:v>
                </c:pt>
                <c:pt idx="157">
                  <c:v>1.1051098451465</c:v>
                </c:pt>
                <c:pt idx="158">
                  <c:v>1.1049610086810999</c:v>
                </c:pt>
                <c:pt idx="159">
                  <c:v>1.1048273533444</c:v>
                </c:pt>
                <c:pt idx="160">
                  <c:v>1.1047605428941201</c:v>
                </c:pt>
                <c:pt idx="161">
                  <c:v>1.1046961851896899</c:v>
                </c:pt>
                <c:pt idx="162">
                  <c:v>1.1046704167421999</c:v>
                </c:pt>
                <c:pt idx="163">
                  <c:v>1.1046482188764499</c:v>
                </c:pt>
                <c:pt idx="164">
                  <c:v>1.104805696613</c:v>
                </c:pt>
                <c:pt idx="165">
                  <c:v>1.1047773035978401</c:v>
                </c:pt>
                <c:pt idx="166">
                  <c:v>1.1048572739872999</c:v>
                </c:pt>
                <c:pt idx="167">
                  <c:v>1.1048513492144301</c:v>
                </c:pt>
                <c:pt idx="168">
                  <c:v>1.10499302339946</c:v>
                </c:pt>
                <c:pt idx="169">
                  <c:v>1.1051233965151499</c:v>
                </c:pt>
                <c:pt idx="170">
                  <c:v>1.10508236172478</c:v>
                </c:pt>
                <c:pt idx="171">
                  <c:v>1.1049623004801301</c:v>
                </c:pt>
                <c:pt idx="172">
                  <c:v>1.1049342556083399</c:v>
                </c:pt>
                <c:pt idx="173">
                  <c:v>1.1050098443052401</c:v>
                </c:pt>
                <c:pt idx="174">
                  <c:v>1.10512144551419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F-461A-8A28-02978577E18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VTEB*/TFI*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1.1006998699652299</c:v>
                </c:pt>
                <c:pt idx="20">
                  <c:v>1.1006757604897699</c:v>
                </c:pt>
                <c:pt idx="21">
                  <c:v>1.10062884410205</c:v>
                </c:pt>
                <c:pt idx="22">
                  <c:v>1.1004643507177501</c:v>
                </c:pt>
                <c:pt idx="23">
                  <c:v>1.1003969559923099</c:v>
                </c:pt>
                <c:pt idx="24">
                  <c:v>1.1003458662657299</c:v>
                </c:pt>
                <c:pt idx="25">
                  <c:v>1.10026439744293</c:v>
                </c:pt>
                <c:pt idx="26">
                  <c:v>1.1001970331675099</c:v>
                </c:pt>
                <c:pt idx="27">
                  <c:v>1.1000458370848201</c:v>
                </c:pt>
                <c:pt idx="28">
                  <c:v>1.0999699171758399</c:v>
                </c:pt>
                <c:pt idx="29">
                  <c:v>1.0998497878325999</c:v>
                </c:pt>
                <c:pt idx="30">
                  <c:v>1.09974867106521</c:v>
                </c:pt>
                <c:pt idx="31">
                  <c:v>1.0996777373759099</c:v>
                </c:pt>
                <c:pt idx="32">
                  <c:v>1.0996516256240201</c:v>
                </c:pt>
                <c:pt idx="33">
                  <c:v>1.09963832464901</c:v>
                </c:pt>
                <c:pt idx="34">
                  <c:v>1.0995905391702701</c:v>
                </c:pt>
                <c:pt idx="35">
                  <c:v>1.09952529707726</c:v>
                </c:pt>
                <c:pt idx="36">
                  <c:v>1.0995186711742</c:v>
                </c:pt>
                <c:pt idx="37">
                  <c:v>1.09954111545813</c:v>
                </c:pt>
                <c:pt idx="38">
                  <c:v>1.0995683189401799</c:v>
                </c:pt>
                <c:pt idx="39">
                  <c:v>1.09971363678173</c:v>
                </c:pt>
                <c:pt idx="40">
                  <c:v>1.099724458903</c:v>
                </c:pt>
                <c:pt idx="41">
                  <c:v>1.09971686844059</c:v>
                </c:pt>
                <c:pt idx="42">
                  <c:v>1.09983211045521</c:v>
                </c:pt>
                <c:pt idx="43">
                  <c:v>1.09993436878011</c:v>
                </c:pt>
                <c:pt idx="44">
                  <c:v>1.0999734738004201</c:v>
                </c:pt>
                <c:pt idx="45">
                  <c:v>1.1000124947466099</c:v>
                </c:pt>
                <c:pt idx="46">
                  <c:v>1.10002100922063</c:v>
                </c:pt>
                <c:pt idx="47">
                  <c:v>1.10010595736147</c:v>
                </c:pt>
                <c:pt idx="48">
                  <c:v>1.10021049661824</c:v>
                </c:pt>
                <c:pt idx="49">
                  <c:v>1.1003679751407001</c:v>
                </c:pt>
                <c:pt idx="50">
                  <c:v>1.1004136902117501</c:v>
                </c:pt>
                <c:pt idx="51">
                  <c:v>1.1004903204668799</c:v>
                </c:pt>
                <c:pt idx="52">
                  <c:v>1.10053518922848</c:v>
                </c:pt>
                <c:pt idx="53">
                  <c:v>1.1006243026681199</c:v>
                </c:pt>
                <c:pt idx="54">
                  <c:v>1.10070004787909</c:v>
                </c:pt>
                <c:pt idx="55">
                  <c:v>1.10072191021566</c:v>
                </c:pt>
                <c:pt idx="56">
                  <c:v>1.1007232759763901</c:v>
                </c:pt>
                <c:pt idx="57">
                  <c:v>1.10074439848335</c:v>
                </c:pt>
                <c:pt idx="58">
                  <c:v>1.10077765790685</c:v>
                </c:pt>
                <c:pt idx="59">
                  <c:v>1.10076719488996</c:v>
                </c:pt>
                <c:pt idx="60">
                  <c:v>1.1007489463803399</c:v>
                </c:pt>
                <c:pt idx="61">
                  <c:v>1.1008579032655801</c:v>
                </c:pt>
                <c:pt idx="62">
                  <c:v>1.1009344568386901</c:v>
                </c:pt>
                <c:pt idx="63">
                  <c:v>1.1009771938466</c:v>
                </c:pt>
                <c:pt idx="64">
                  <c:v>1.1010809031912001</c:v>
                </c:pt>
                <c:pt idx="65">
                  <c:v>1.10119740339612</c:v>
                </c:pt>
                <c:pt idx="66">
                  <c:v>1.1013861172129</c:v>
                </c:pt>
                <c:pt idx="67">
                  <c:v>1.1014783110169599</c:v>
                </c:pt>
                <c:pt idx="68">
                  <c:v>1.1015694974621899</c:v>
                </c:pt>
                <c:pt idx="69">
                  <c:v>1.1016826169337799</c:v>
                </c:pt>
                <c:pt idx="70">
                  <c:v>1.1018001247603499</c:v>
                </c:pt>
                <c:pt idx="71">
                  <c:v>1.1018703636243901</c:v>
                </c:pt>
                <c:pt idx="72">
                  <c:v>1.1019543830593701</c:v>
                </c:pt>
                <c:pt idx="73">
                  <c:v>1.10201203033065</c:v>
                </c:pt>
                <c:pt idx="74">
                  <c:v>1.1021200286172099</c:v>
                </c:pt>
                <c:pt idx="75">
                  <c:v>1.1022839968472999</c:v>
                </c:pt>
                <c:pt idx="76">
                  <c:v>1.1024698714430701</c:v>
                </c:pt>
                <c:pt idx="77">
                  <c:v>1.1025695439622001</c:v>
                </c:pt>
                <c:pt idx="78">
                  <c:v>1.10270681361609</c:v>
                </c:pt>
                <c:pt idx="79">
                  <c:v>1.1028189090689999</c:v>
                </c:pt>
                <c:pt idx="80">
                  <c:v>1.10304071978949</c:v>
                </c:pt>
                <c:pt idx="81">
                  <c:v>1.10314109881402</c:v>
                </c:pt>
                <c:pt idx="82">
                  <c:v>1.10324327744727</c:v>
                </c:pt>
                <c:pt idx="83">
                  <c:v>1.10329807165119</c:v>
                </c:pt>
                <c:pt idx="84">
                  <c:v>1.10339266446235</c:v>
                </c:pt>
                <c:pt idx="85">
                  <c:v>1.10345407734706</c:v>
                </c:pt>
                <c:pt idx="86">
                  <c:v>1.10347302875403</c:v>
                </c:pt>
                <c:pt idx="87">
                  <c:v>1.1035566903471901</c:v>
                </c:pt>
                <c:pt idx="88">
                  <c:v>1.10358999476207</c:v>
                </c:pt>
                <c:pt idx="89">
                  <c:v>1.1035665157382999</c:v>
                </c:pt>
                <c:pt idx="90">
                  <c:v>1.1036211152661599</c:v>
                </c:pt>
                <c:pt idx="91">
                  <c:v>1.10362400992568</c:v>
                </c:pt>
                <c:pt idx="92">
                  <c:v>1.10366995186019</c:v>
                </c:pt>
                <c:pt idx="93">
                  <c:v>1.10365657196385</c:v>
                </c:pt>
                <c:pt idx="94">
                  <c:v>1.10360220090276</c:v>
                </c:pt>
                <c:pt idx="95">
                  <c:v>1.1035766478593001</c:v>
                </c:pt>
                <c:pt idx="96">
                  <c:v>1.10353571928299</c:v>
                </c:pt>
                <c:pt idx="97">
                  <c:v>1.10356645048833</c:v>
                </c:pt>
                <c:pt idx="98">
                  <c:v>1.10356111964882</c:v>
                </c:pt>
                <c:pt idx="99">
                  <c:v>1.10360590446299</c:v>
                </c:pt>
                <c:pt idx="100">
                  <c:v>1.1035827901526101</c:v>
                </c:pt>
                <c:pt idx="101">
                  <c:v>1.10362552130434</c:v>
                </c:pt>
                <c:pt idx="102">
                  <c:v>1.1036845890329701</c:v>
                </c:pt>
                <c:pt idx="103">
                  <c:v>1.10373227743002</c:v>
                </c:pt>
                <c:pt idx="104">
                  <c:v>1.1037128527334401</c:v>
                </c:pt>
                <c:pt idx="105">
                  <c:v>1.1037442116966301</c:v>
                </c:pt>
                <c:pt idx="106">
                  <c:v>1.1037570491082001</c:v>
                </c:pt>
                <c:pt idx="107">
                  <c:v>1.1037403594169499</c:v>
                </c:pt>
                <c:pt idx="108">
                  <c:v>1.1037959239445501</c:v>
                </c:pt>
                <c:pt idx="109">
                  <c:v>1.10386490581014</c:v>
                </c:pt>
                <c:pt idx="110">
                  <c:v>1.10384964333175</c:v>
                </c:pt>
                <c:pt idx="111">
                  <c:v>1.1039182553065401</c:v>
                </c:pt>
                <c:pt idx="112">
                  <c:v>1.10396819351459</c:v>
                </c:pt>
                <c:pt idx="113">
                  <c:v>1.10403148741316</c:v>
                </c:pt>
                <c:pt idx="114">
                  <c:v>1.1041324161495001</c:v>
                </c:pt>
                <c:pt idx="115">
                  <c:v>1.1042161091456899</c:v>
                </c:pt>
                <c:pt idx="116">
                  <c:v>1.10428234773068</c:v>
                </c:pt>
                <c:pt idx="117">
                  <c:v>1.1043770755429301</c:v>
                </c:pt>
                <c:pt idx="118">
                  <c:v>1.10444049248771</c:v>
                </c:pt>
                <c:pt idx="119">
                  <c:v>1.1044643153451299</c:v>
                </c:pt>
                <c:pt idx="120">
                  <c:v>1.1044927297157401</c:v>
                </c:pt>
                <c:pt idx="121">
                  <c:v>1.1045330940403999</c:v>
                </c:pt>
                <c:pt idx="122">
                  <c:v>1.1044755498419001</c:v>
                </c:pt>
                <c:pt idx="123">
                  <c:v>1.1045574851226201</c:v>
                </c:pt>
                <c:pt idx="124">
                  <c:v>1.1046170018099799</c:v>
                </c:pt>
                <c:pt idx="125">
                  <c:v>1.1046833088569099</c:v>
                </c:pt>
                <c:pt idx="126">
                  <c:v>1.1047664650573299</c:v>
                </c:pt>
                <c:pt idx="127">
                  <c:v>1.1047456507778499</c:v>
                </c:pt>
                <c:pt idx="128">
                  <c:v>1.1047063466089999</c:v>
                </c:pt>
                <c:pt idx="129">
                  <c:v>1.1047456696048401</c:v>
                </c:pt>
                <c:pt idx="130">
                  <c:v>1.1047536399308699</c:v>
                </c:pt>
                <c:pt idx="131">
                  <c:v>1.10471843516875</c:v>
                </c:pt>
                <c:pt idx="132">
                  <c:v>1.1046859454854701</c:v>
                </c:pt>
                <c:pt idx="133">
                  <c:v>1.1046834680597499</c:v>
                </c:pt>
                <c:pt idx="134">
                  <c:v>1.10468968703562</c:v>
                </c:pt>
                <c:pt idx="135">
                  <c:v>1.1046749389802399</c:v>
                </c:pt>
                <c:pt idx="136">
                  <c:v>1.1046704682414099</c:v>
                </c:pt>
                <c:pt idx="137">
                  <c:v>1.10460826876848</c:v>
                </c:pt>
                <c:pt idx="138">
                  <c:v>1.10458705768929</c:v>
                </c:pt>
                <c:pt idx="139">
                  <c:v>1.10459615736813</c:v>
                </c:pt>
                <c:pt idx="140">
                  <c:v>1.1045379858639399</c:v>
                </c:pt>
                <c:pt idx="141">
                  <c:v>1.10445583190074</c:v>
                </c:pt>
                <c:pt idx="142">
                  <c:v>1.1044597135116101</c:v>
                </c:pt>
                <c:pt idx="143">
                  <c:v>1.1043349691353399</c:v>
                </c:pt>
                <c:pt idx="144">
                  <c:v>1.1043206262093701</c:v>
                </c:pt>
                <c:pt idx="145">
                  <c:v>1.10428028229519</c:v>
                </c:pt>
                <c:pt idx="146">
                  <c:v>1.1042466409488301</c:v>
                </c:pt>
                <c:pt idx="147">
                  <c:v>1.10431215854196</c:v>
                </c:pt>
                <c:pt idx="148">
                  <c:v>1.1043716573150599</c:v>
                </c:pt>
                <c:pt idx="149">
                  <c:v>1.10437231519941</c:v>
                </c:pt>
                <c:pt idx="150">
                  <c:v>1.10445334008781</c:v>
                </c:pt>
                <c:pt idx="151">
                  <c:v>1.1045551688622901</c:v>
                </c:pt>
                <c:pt idx="152">
                  <c:v>1.1046367961182599</c:v>
                </c:pt>
                <c:pt idx="153">
                  <c:v>1.1046901482938201</c:v>
                </c:pt>
                <c:pt idx="154">
                  <c:v>1.1046472657105899</c:v>
                </c:pt>
                <c:pt idx="155">
                  <c:v>1.1046826036144399</c:v>
                </c:pt>
                <c:pt idx="156">
                  <c:v>1.10469453342191</c:v>
                </c:pt>
                <c:pt idx="157">
                  <c:v>1.10473654753304</c:v>
                </c:pt>
                <c:pt idx="158">
                  <c:v>1.1047172975155199</c:v>
                </c:pt>
                <c:pt idx="159">
                  <c:v>1.1046639243466301</c:v>
                </c:pt>
                <c:pt idx="160">
                  <c:v>1.1047181969843101</c:v>
                </c:pt>
                <c:pt idx="161">
                  <c:v>1.1047770718799399</c:v>
                </c:pt>
                <c:pt idx="162">
                  <c:v>1.10481154608628</c:v>
                </c:pt>
                <c:pt idx="163">
                  <c:v>1.1049050983162001</c:v>
                </c:pt>
                <c:pt idx="164">
                  <c:v>1.10492851600303</c:v>
                </c:pt>
                <c:pt idx="165">
                  <c:v>1.10493723181743</c:v>
                </c:pt>
                <c:pt idx="166">
                  <c:v>1.10495547625921</c:v>
                </c:pt>
                <c:pt idx="167">
                  <c:v>1.10498059718046</c:v>
                </c:pt>
                <c:pt idx="168">
                  <c:v>1.1049770160402801</c:v>
                </c:pt>
                <c:pt idx="169">
                  <c:v>1.1049753749297699</c:v>
                </c:pt>
                <c:pt idx="170">
                  <c:v>1.1049214523094499</c:v>
                </c:pt>
                <c:pt idx="171">
                  <c:v>1.10482924283491</c:v>
                </c:pt>
                <c:pt idx="172">
                  <c:v>1.1048023361752699</c:v>
                </c:pt>
                <c:pt idx="173">
                  <c:v>1.10482903159084</c:v>
                </c:pt>
                <c:pt idx="174">
                  <c:v>1.1049635710636001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F-461A-8A28-02978577E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TFI x avg / VTEB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1.9947429259445201E-3</c:v>
                </c:pt>
                <c:pt idx="2">
                  <c:v>1.0233392414908901E-3</c:v>
                </c:pt>
                <c:pt idx="3">
                  <c:v>2.0757442054850001E-3</c:v>
                </c:pt>
                <c:pt idx="4">
                  <c:v>2.2139719208015898E-3</c:v>
                </c:pt>
                <c:pt idx="5">
                  <c:v>1.9177988941403599E-3</c:v>
                </c:pt>
                <c:pt idx="6">
                  <c:v>1.87793983336326E-3</c:v>
                </c:pt>
                <c:pt idx="7">
                  <c:v>8.2906715894364997E-4</c:v>
                </c:pt>
                <c:pt idx="8">
                  <c:v>1.9974177691178901E-3</c:v>
                </c:pt>
                <c:pt idx="9">
                  <c:v>1.9775254433122601E-3</c:v>
                </c:pt>
                <c:pt idx="10">
                  <c:v>1.08711337854543E-3</c:v>
                </c:pt>
                <c:pt idx="11">
                  <c:v>1.3996819146335801E-3</c:v>
                </c:pt>
                <c:pt idx="12">
                  <c:v>2.2139719208015898E-3</c:v>
                </c:pt>
                <c:pt idx="13">
                  <c:v>1.93625053106397E-3</c:v>
                </c:pt>
                <c:pt idx="14">
                  <c:v>2.0160109184723602E-3</c:v>
                </c:pt>
                <c:pt idx="15">
                  <c:v>1.62020644071448E-3</c:v>
                </c:pt>
                <c:pt idx="16">
                  <c:v>2.3132902973573401E-3</c:v>
                </c:pt>
                <c:pt idx="17">
                  <c:v>2.3331292229265299E-3</c:v>
                </c:pt>
                <c:pt idx="18">
                  <c:v>3.1047426536690301E-3</c:v>
                </c:pt>
                <c:pt idx="19">
                  <c:v>3.8355261028812301E-3</c:v>
                </c:pt>
                <c:pt idx="20">
                  <c:v>2.1542817103863202E-3</c:v>
                </c:pt>
                <c:pt idx="21">
                  <c:v>2.8476070642602801E-3</c:v>
                </c:pt>
                <c:pt idx="22">
                  <c:v>4.0138535415922497E-3</c:v>
                </c:pt>
                <c:pt idx="23">
                  <c:v>3.3011989186010901E-3</c:v>
                </c:pt>
                <c:pt idx="24">
                  <c:v>3.1429395873966599E-3</c:v>
                </c:pt>
                <c:pt idx="25">
                  <c:v>3.3991218490478799E-3</c:v>
                </c:pt>
                <c:pt idx="26">
                  <c:v>3.1025981119885198E-3</c:v>
                </c:pt>
                <c:pt idx="27">
                  <c:v>3.5769673719880301E-3</c:v>
                </c:pt>
                <c:pt idx="28">
                  <c:v>3.37788681747437E-3</c:v>
                </c:pt>
                <c:pt idx="29">
                  <c:v>4.1627000561891801E-3</c:v>
                </c:pt>
                <c:pt idx="30">
                  <c:v>2.9244893028827299E-3</c:v>
                </c:pt>
                <c:pt idx="31">
                  <c:v>2.6886557044117501E-3</c:v>
                </c:pt>
                <c:pt idx="32">
                  <c:v>2.6886557044117501E-3</c:v>
                </c:pt>
                <c:pt idx="33">
                  <c:v>2.1779527632259199E-3</c:v>
                </c:pt>
                <c:pt idx="34">
                  <c:v>2.88469907458559E-3</c:v>
                </c:pt>
                <c:pt idx="35">
                  <c:v>2.80595549059282E-3</c:v>
                </c:pt>
                <c:pt idx="36">
                  <c:v>2.4337327740097999E-3</c:v>
                </c:pt>
                <c:pt idx="37">
                  <c:v>1.925247502203E-3</c:v>
                </c:pt>
                <c:pt idx="38">
                  <c:v>2.61001152993848E-3</c:v>
                </c:pt>
                <c:pt idx="39">
                  <c:v>1.1936364259390001E-3</c:v>
                </c:pt>
                <c:pt idx="40">
                  <c:v>1.9576248589800501E-3</c:v>
                </c:pt>
                <c:pt idx="41">
                  <c:v>2.9856577942041201E-3</c:v>
                </c:pt>
                <c:pt idx="42">
                  <c:v>1.9177988941403599E-3</c:v>
                </c:pt>
                <c:pt idx="43">
                  <c:v>1.4423997567917599E-3</c:v>
                </c:pt>
                <c:pt idx="44">
                  <c:v>2.4318131154326401E-3</c:v>
                </c:pt>
                <c:pt idx="45">
                  <c:v>2.68934198097382E-3</c:v>
                </c:pt>
                <c:pt idx="46">
                  <c:v>2.9477252115456399E-3</c:v>
                </c:pt>
                <c:pt idx="47">
                  <c:v>2.03215536018886E-3</c:v>
                </c:pt>
                <c:pt idx="48">
                  <c:v>1.47751982808071E-3</c:v>
                </c:pt>
                <c:pt idx="49">
                  <c:v>1.2991090044341799E-3</c:v>
                </c:pt>
                <c:pt idx="50">
                  <c:v>2.0933902217286399E-3</c:v>
                </c:pt>
                <c:pt idx="51">
                  <c:v>1.29623862365419E-3</c:v>
                </c:pt>
                <c:pt idx="52">
                  <c:v>1.8731285116211701E-3</c:v>
                </c:pt>
                <c:pt idx="53">
                  <c:v>5.5971834351329697E-4</c:v>
                </c:pt>
                <c:pt idx="54">
                  <c:v>1.50808304378194E-3</c:v>
                </c:pt>
                <c:pt idx="55">
                  <c:v>2.4084595792409802E-3</c:v>
                </c:pt>
                <c:pt idx="56">
                  <c:v>2.4089054458017898E-3</c:v>
                </c:pt>
                <c:pt idx="57">
                  <c:v>1.54153843747091E-3</c:v>
                </c:pt>
                <c:pt idx="58">
                  <c:v>2.0054775064896201E-3</c:v>
                </c:pt>
                <c:pt idx="59">
                  <c:v>1.38362188698858E-3</c:v>
                </c:pt>
                <c:pt idx="60">
                  <c:v>2.2892545407003201E-3</c:v>
                </c:pt>
                <c:pt idx="61">
                  <c:v>1.0058403417337199E-3</c:v>
                </c:pt>
                <c:pt idx="62">
                  <c:v>5.2784532561387602E-4</c:v>
                </c:pt>
                <c:pt idx="63">
                  <c:v>6.6657102964416898E-4</c:v>
                </c:pt>
                <c:pt idx="64">
                  <c:v>5.4829957932351096E-4</c:v>
                </c:pt>
                <c:pt idx="65">
                  <c:v>5.7322894118661699E-4</c:v>
                </c:pt>
                <c:pt idx="66">
                  <c:v>-4.7871707521550199E-4</c:v>
                </c:pt>
                <c:pt idx="67">
                  <c:v>3.58274450111238E-4</c:v>
                </c:pt>
                <c:pt idx="68">
                  <c:v>-1.7716925108972101E-4</c:v>
                </c:pt>
                <c:pt idx="69">
                  <c:v>-7.5280764929751601E-4</c:v>
                </c:pt>
                <c:pt idx="70">
                  <c:v>-3.9735505391497801E-5</c:v>
                </c:pt>
                <c:pt idx="71">
                  <c:v>2.16576707303873E-5</c:v>
                </c:pt>
                <c:pt idx="72">
                  <c:v>3.4779160618779703E-4</c:v>
                </c:pt>
                <c:pt idx="73">
                  <c:v>-4.8572042327258298E-4</c:v>
                </c:pt>
                <c:pt idx="74">
                  <c:v>-4.5143848855146298E-4</c:v>
                </c:pt>
                <c:pt idx="75">
                  <c:v>-5.6774685421162195E-4</c:v>
                </c:pt>
                <c:pt idx="76">
                  <c:v>-9.6425756519563297E-4</c:v>
                </c:pt>
                <c:pt idx="77">
                  <c:v>-2.6711729637736198E-4</c:v>
                </c:pt>
                <c:pt idx="78">
                  <c:v>-4.8572042327258298E-4</c:v>
                </c:pt>
                <c:pt idx="79">
                  <c:v>-6.4991025659395698E-4</c:v>
                </c:pt>
                <c:pt idx="80">
                  <c:v>-1.73426903153449E-3</c:v>
                </c:pt>
                <c:pt idx="81">
                  <c:v>-8.1464935142568703E-4</c:v>
                </c:pt>
                <c:pt idx="82">
                  <c:v>-1.3243673905864099E-3</c:v>
                </c:pt>
                <c:pt idx="83">
                  <c:v>-3.2725892229226299E-4</c:v>
                </c:pt>
                <c:pt idx="84">
                  <c:v>-1.16655628602429E-3</c:v>
                </c:pt>
                <c:pt idx="85">
                  <c:v>-5.4047660961437896E-4</c:v>
                </c:pt>
                <c:pt idx="86">
                  <c:v>-8.2216648108497995E-4</c:v>
                </c:pt>
                <c:pt idx="87">
                  <c:v>-1.15827357637127E-3</c:v>
                </c:pt>
                <c:pt idx="88">
                  <c:v>-7.8083643827093195E-4</c:v>
                </c:pt>
                <c:pt idx="89">
                  <c:v>-3.2725892229226299E-4</c:v>
                </c:pt>
                <c:pt idx="90">
                  <c:v>-1.0293374048599899E-3</c:v>
                </c:pt>
                <c:pt idx="91">
                  <c:v>-3.0835075270454602E-5</c:v>
                </c:pt>
                <c:pt idx="92">
                  <c:v>-4.8528167758854799E-4</c:v>
                </c:pt>
                <c:pt idx="93">
                  <c:v>-2.4317210507725101E-4</c:v>
                </c:pt>
                <c:pt idx="94">
                  <c:v>5.34590411597032E-4</c:v>
                </c:pt>
                <c:pt idx="95">
                  <c:v>-1.04512833349366E-4</c:v>
                </c:pt>
                <c:pt idx="96">
                  <c:v>-2.22481650395864E-4</c:v>
                </c:pt>
                <c:pt idx="97">
                  <c:v>-8.2410605438418695E-4</c:v>
                </c:pt>
                <c:pt idx="98">
                  <c:v>-3.8909098795994999E-4</c:v>
                </c:pt>
                <c:pt idx="99">
                  <c:v>-1.46120028795359E-3</c:v>
                </c:pt>
                <c:pt idx="100">
                  <c:v>-1.31574304109257E-3</c:v>
                </c:pt>
                <c:pt idx="101">
                  <c:v>-1.5886236165329299E-3</c:v>
                </c:pt>
                <c:pt idx="102">
                  <c:v>-2.3935372676971798E-3</c:v>
                </c:pt>
                <c:pt idx="103">
                  <c:v>-1.1914041475562999E-3</c:v>
                </c:pt>
                <c:pt idx="104">
                  <c:v>-8.1464935142568703E-4</c:v>
                </c:pt>
                <c:pt idx="105">
                  <c:v>-1.1086846508895801E-3</c:v>
                </c:pt>
                <c:pt idx="106">
                  <c:v>-1.0547471924486399E-3</c:v>
                </c:pt>
                <c:pt idx="107">
                  <c:v>-8.5592027062859899E-4</c:v>
                </c:pt>
                <c:pt idx="108">
                  <c:v>-1.7871741979455799E-3</c:v>
                </c:pt>
                <c:pt idx="109">
                  <c:v>-1.5770148242780901E-3</c:v>
                </c:pt>
                <c:pt idx="110">
                  <c:v>-7.5280764929751601E-4</c:v>
                </c:pt>
                <c:pt idx="111">
                  <c:v>-1.2742620654627901E-3</c:v>
                </c:pt>
                <c:pt idx="112">
                  <c:v>-1.3900336049577999E-3</c:v>
                </c:pt>
                <c:pt idx="113">
                  <c:v>-1.3900336049577999E-3</c:v>
                </c:pt>
                <c:pt idx="114">
                  <c:v>-1.2949982140165301E-3</c:v>
                </c:pt>
                <c:pt idx="115">
                  <c:v>-1.62092826844704E-3</c:v>
                </c:pt>
                <c:pt idx="116">
                  <c:v>-1.4226925655477999E-3</c:v>
                </c:pt>
                <c:pt idx="117">
                  <c:v>-2.5390540307615901E-3</c:v>
                </c:pt>
                <c:pt idx="118">
                  <c:v>-1.5380131929080599E-3</c:v>
                </c:pt>
                <c:pt idx="119">
                  <c:v>-1.8924902995901499E-3</c:v>
                </c:pt>
                <c:pt idx="120">
                  <c:v>-1.8302114327961999E-3</c:v>
                </c:pt>
                <c:pt idx="121">
                  <c:v>-2.31917860300671E-3</c:v>
                </c:pt>
                <c:pt idx="122">
                  <c:v>-1.35195878741658E-3</c:v>
                </c:pt>
                <c:pt idx="123">
                  <c:v>-2.6743840240327898E-3</c:v>
                </c:pt>
                <c:pt idx="124">
                  <c:v>-1.8924902995901499E-3</c:v>
                </c:pt>
                <c:pt idx="125">
                  <c:v>-2.3090716991749E-3</c:v>
                </c:pt>
                <c:pt idx="126">
                  <c:v>-2.5600139051700499E-3</c:v>
                </c:pt>
                <c:pt idx="127">
                  <c:v>-4.7871707521550199E-4</c:v>
                </c:pt>
                <c:pt idx="128">
                  <c:v>-1.0754351436427099E-3</c:v>
                </c:pt>
                <c:pt idx="129">
                  <c:v>-2.2887377373129801E-3</c:v>
                </c:pt>
                <c:pt idx="130">
                  <c:v>-8.9722573462702997E-4</c:v>
                </c:pt>
                <c:pt idx="131">
                  <c:v>-6.3645357381875904E-4</c:v>
                </c:pt>
                <c:pt idx="132">
                  <c:v>-8.0149713043796303E-4</c:v>
                </c:pt>
                <c:pt idx="133">
                  <c:v>-1.34516831298943E-3</c:v>
                </c:pt>
                <c:pt idx="134">
                  <c:v>-1.4076234727745699E-3</c:v>
                </c:pt>
                <c:pt idx="135">
                  <c:v>-1.3538782671606599E-3</c:v>
                </c:pt>
                <c:pt idx="136">
                  <c:v>-1.34173027054756E-3</c:v>
                </c:pt>
                <c:pt idx="137">
                  <c:v>-1.41332924229608E-3</c:v>
                </c:pt>
                <c:pt idx="138">
                  <c:v>-1.1538798351090501E-3</c:v>
                </c:pt>
                <c:pt idx="139">
                  <c:v>-2.0571821848533998E-3</c:v>
                </c:pt>
                <c:pt idx="140">
                  <c:v>-7.7667880137953504E-4</c:v>
                </c:pt>
                <c:pt idx="141">
                  <c:v>-8.3170910320667501E-4</c:v>
                </c:pt>
                <c:pt idx="142">
                  <c:v>-1.4222519980000199E-3</c:v>
                </c:pt>
                <c:pt idx="143">
                  <c:v>-4.1570938659848998E-4</c:v>
                </c:pt>
                <c:pt idx="144">
                  <c:v>-1.6328476484099299E-3</c:v>
                </c:pt>
                <c:pt idx="145">
                  <c:v>-1.57887887472928E-3</c:v>
                </c:pt>
                <c:pt idx="146">
                  <c:v>-1.9513219885741E-3</c:v>
                </c:pt>
                <c:pt idx="147">
                  <c:v>-1.66556774879634E-3</c:v>
                </c:pt>
                <c:pt idx="148">
                  <c:v>-2.1526710278127401E-3</c:v>
                </c:pt>
                <c:pt idx="149">
                  <c:v>-2.3006407468302002E-3</c:v>
                </c:pt>
                <c:pt idx="150">
                  <c:v>-2.3641712917023701E-3</c:v>
                </c:pt>
                <c:pt idx="151">
                  <c:v>-2.4801842564928498E-3</c:v>
                </c:pt>
                <c:pt idx="152">
                  <c:v>-2.2794817972140399E-3</c:v>
                </c:pt>
                <c:pt idx="153">
                  <c:v>-2.3109122842599802E-3</c:v>
                </c:pt>
                <c:pt idx="154">
                  <c:v>-6.3076466366784303E-4</c:v>
                </c:pt>
                <c:pt idx="155">
                  <c:v>-1.9936391319006199E-3</c:v>
                </c:pt>
                <c:pt idx="156">
                  <c:v>-1.5577570619237601E-3</c:v>
                </c:pt>
                <c:pt idx="157">
                  <c:v>-2.1738656636886098E-3</c:v>
                </c:pt>
                <c:pt idx="158">
                  <c:v>-8.0513359857264097E-4</c:v>
                </c:pt>
                <c:pt idx="159">
                  <c:v>-1.0908127390582901E-3</c:v>
                </c:pt>
                <c:pt idx="160">
                  <c:v>-1.75963452299093E-3</c:v>
                </c:pt>
                <c:pt idx="161">
                  <c:v>-1.89791528488926E-3</c:v>
                </c:pt>
                <c:pt idx="162">
                  <c:v>-2.0463386181289399E-3</c:v>
                </c:pt>
                <c:pt idx="163">
                  <c:v>-2.1100839371494002E-3</c:v>
                </c:pt>
                <c:pt idx="164">
                  <c:v>-2.0567312400902398E-3</c:v>
                </c:pt>
                <c:pt idx="165">
                  <c:v>-1.73667335493552E-3</c:v>
                </c:pt>
                <c:pt idx="166">
                  <c:v>-2.2814749783601502E-3</c:v>
                </c:pt>
                <c:pt idx="167">
                  <c:v>-2.1202597071493098E-3</c:v>
                </c:pt>
                <c:pt idx="168">
                  <c:v>-2.0878666571791898E-3</c:v>
                </c:pt>
                <c:pt idx="169">
                  <c:v>-2.27094809977635E-3</c:v>
                </c:pt>
                <c:pt idx="170">
                  <c:v>-1.3881484938614199E-3</c:v>
                </c:pt>
                <c:pt idx="171">
                  <c:v>-8.10767868621537E-4</c:v>
                </c:pt>
                <c:pt idx="172">
                  <c:v>-1.79253742597266E-3</c:v>
                </c:pt>
                <c:pt idx="173">
                  <c:v>-2.7937842675674002E-3</c:v>
                </c:pt>
                <c:pt idx="174">
                  <c:v>-3.0660545036138602E-3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D-47BE-B667-0FA8C207FCC4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TFI x 10 dma / VTEB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-6.7516794554261996E-4</c:v>
                </c:pt>
                <c:pt idx="11">
                  <c:v>-2.9966770607765998E-4</c:v>
                </c:pt>
                <c:pt idx="12">
                  <c:v>5.7412675885083503E-4</c:v>
                </c:pt>
                <c:pt idx="13">
                  <c:v>1.7733248232704499E-4</c:v>
                </c:pt>
                <c:pt idx="14">
                  <c:v>2.7103869377109198E-4</c:v>
                </c:pt>
                <c:pt idx="15">
                  <c:v>-1.04977203098797E-4</c:v>
                </c:pt>
                <c:pt idx="16">
                  <c:v>6.1786415224524796E-4</c:v>
                </c:pt>
                <c:pt idx="17">
                  <c:v>5.9418450290922304E-4</c:v>
                </c:pt>
                <c:pt idx="18">
                  <c:v>1.2153566543809701E-3</c:v>
                </c:pt>
                <c:pt idx="19">
                  <c:v>1.8354747331086299E-3</c:v>
                </c:pt>
                <c:pt idx="20">
                  <c:v>-3.1418637058149299E-5</c:v>
                </c:pt>
                <c:pt idx="21">
                  <c:v>5.5512386513256501E-4</c:v>
                </c:pt>
                <c:pt idx="22">
                  <c:v>1.5765428792155001E-3</c:v>
                </c:pt>
                <c:pt idx="23">
                  <c:v>6.8400563113095295E-4</c:v>
                </c:pt>
                <c:pt idx="24">
                  <c:v>3.89242343368807E-4</c:v>
                </c:pt>
                <c:pt idx="25">
                  <c:v>5.3270574434518604E-4</c:v>
                </c:pt>
                <c:pt idx="26">
                  <c:v>5.8211132634220998E-5</c:v>
                </c:pt>
                <c:pt idx="27">
                  <c:v>4.5361993166686399E-4</c:v>
                </c:pt>
                <c:pt idx="28">
                  <c:v>1.30126879862324E-4</c:v>
                </c:pt>
                <c:pt idx="29">
                  <c:v>8.8762515301398697E-4</c:v>
                </c:pt>
                <c:pt idx="30">
                  <c:v>-3.8327985015045198E-4</c:v>
                </c:pt>
                <c:pt idx="31">
                  <c:v>-6.9619638482410905E-4</c:v>
                </c:pt>
                <c:pt idx="32">
                  <c:v>-6.8029156942189199E-4</c:v>
                </c:pt>
                <c:pt idx="33">
                  <c:v>-1.05848115282854E-3</c:v>
                </c:pt>
                <c:pt idx="34">
                  <c:v>-2.39360710973555E-4</c:v>
                </c:pt>
                <c:pt idx="35">
                  <c:v>-2.9227773010987498E-4</c:v>
                </c:pt>
                <c:pt idx="36">
                  <c:v>-6.0518582450890999E-4</c:v>
                </c:pt>
                <c:pt idx="37">
                  <c:v>-1.0467686870951501E-3</c:v>
                </c:pt>
                <c:pt idx="38">
                  <c:v>-1.96809807053894E-4</c:v>
                </c:pt>
                <c:pt idx="39">
                  <c:v>-1.53641469506184E-3</c:v>
                </c:pt>
                <c:pt idx="40">
                  <c:v>-4.7554845775442698E-4</c:v>
                </c:pt>
                <c:pt idx="41">
                  <c:v>6.4916548961614499E-4</c:v>
                </c:pt>
                <c:pt idx="42">
                  <c:v>-4.4837919403758298E-4</c:v>
                </c:pt>
                <c:pt idx="43">
                  <c:v>-8.4669076701586801E-4</c:v>
                </c:pt>
                <c:pt idx="44">
                  <c:v>2.1631042139603999E-4</c:v>
                </c:pt>
                <c:pt idx="45">
                  <c:v>5.1910681140744099E-4</c:v>
                </c:pt>
                <c:pt idx="46">
                  <c:v>7.8914459355484501E-4</c:v>
                </c:pt>
                <c:pt idx="47">
                  <c:v>-1.77798476954541E-4</c:v>
                </c:pt>
                <c:pt idx="48">
                  <c:v>-7.4312732459551497E-4</c:v>
                </c:pt>
                <c:pt idx="49">
                  <c:v>-8.0827535302381895E-4</c:v>
                </c:pt>
                <c:pt idx="50">
                  <c:v>-2.4550534524962999E-5</c:v>
                </c:pt>
                <c:pt idx="51">
                  <c:v>-8.3528001604453895E-4</c:v>
                </c:pt>
                <c:pt idx="52">
                  <c:v>-8.9464052786778105E-5</c:v>
                </c:pt>
                <c:pt idx="53">
                  <c:v>-1.3984068927436399E-3</c:v>
                </c:pt>
                <c:pt idx="54">
                  <c:v>-3.6169343225362299E-4</c:v>
                </c:pt>
                <c:pt idx="55">
                  <c:v>6.3104259569650499E-4</c:v>
                </c:pt>
                <c:pt idx="56">
                  <c:v>6.5955464739827802E-4</c:v>
                </c:pt>
                <c:pt idx="57">
                  <c:v>-1.5398186379719499E-4</c:v>
                </c:pt>
                <c:pt idx="58">
                  <c:v>3.5901321428680497E-4</c:v>
                </c:pt>
                <c:pt idx="59">
                  <c:v>-3.1563454997439499E-4</c:v>
                </c:pt>
                <c:pt idx="60">
                  <c:v>5.8154375455993603E-4</c:v>
                </c:pt>
                <c:pt idx="61">
                  <c:v>-7.2144759803066205E-4</c:v>
                </c:pt>
                <c:pt idx="62">
                  <c:v>-1.1703864690119001E-3</c:v>
                </c:pt>
                <c:pt idx="63">
                  <c:v>-8.97074515917845E-4</c:v>
                </c:pt>
                <c:pt idx="64">
                  <c:v>-1.0260414532386401E-3</c:v>
                </c:pt>
                <c:pt idx="65">
                  <c:v>-9.0508591904031295E-4</c:v>
                </c:pt>
                <c:pt idx="66">
                  <c:v>-1.7735279831821199E-3</c:v>
                </c:pt>
                <c:pt idx="67">
                  <c:v>-6.4772059127186996E-4</c:v>
                </c:pt>
                <c:pt idx="68">
                  <c:v>-1.0648382506879799E-3</c:v>
                </c:pt>
                <c:pt idx="69">
                  <c:v>-1.42224152552215E-3</c:v>
                </c:pt>
                <c:pt idx="70">
                  <c:v>-4.9547357320599901E-4</c:v>
                </c:pt>
                <c:pt idx="71">
                  <c:v>-2.0136418271176701E-4</c:v>
                </c:pt>
                <c:pt idx="72">
                  <c:v>2.2315457516772401E-4</c:v>
                </c:pt>
                <c:pt idx="73">
                  <c:v>-5.9235788238412796E-4</c:v>
                </c:pt>
                <c:pt idx="74">
                  <c:v>-4.4285156645222298E-4</c:v>
                </c:pt>
                <c:pt idx="75">
                  <c:v>-4.5919681773109203E-4</c:v>
                </c:pt>
                <c:pt idx="76">
                  <c:v>-7.4162914750945403E-4</c:v>
                </c:pt>
                <c:pt idx="77">
                  <c:v>4.0882185597774197E-6</c:v>
                </c:pt>
                <c:pt idx="78">
                  <c:v>-1.5199749519978999E-4</c:v>
                </c:pt>
                <c:pt idx="79">
                  <c:v>-2.8533275747824502E-4</c:v>
                </c:pt>
                <c:pt idx="80">
                  <c:v>-1.3799847906459199E-3</c:v>
                </c:pt>
                <c:pt idx="81">
                  <c:v>-2.9083581363696198E-4</c:v>
                </c:pt>
                <c:pt idx="82">
                  <c:v>-7.1693729109796502E-4</c:v>
                </c:pt>
                <c:pt idx="83">
                  <c:v>4.4735319937497898E-4</c:v>
                </c:pt>
                <c:pt idx="84">
                  <c:v>-4.0778460768080001E-4</c:v>
                </c:pt>
                <c:pt idx="85">
                  <c:v>2.8980788471804101E-4</c:v>
                </c:pt>
                <c:pt idx="86">
                  <c:v>5.3917380971426404E-6</c:v>
                </c:pt>
                <c:pt idx="87">
                  <c:v>-3.4492549948839601E-4</c:v>
                </c:pt>
                <c:pt idx="88">
                  <c:v>1.2161433052546901E-4</c:v>
                </c:pt>
                <c:pt idx="89">
                  <c:v>6.0469507024863897E-4</c:v>
                </c:pt>
                <c:pt idx="90">
                  <c:v>-1.29634763756373E-4</c:v>
                </c:pt>
                <c:pt idx="91">
                  <c:v>7.98337921560862E-4</c:v>
                </c:pt>
                <c:pt idx="92">
                  <c:v>2.6553867028519497E-4</c:v>
                </c:pt>
                <c:pt idx="93">
                  <c:v>4.2372322416247399E-4</c:v>
                </c:pt>
                <c:pt idx="94">
                  <c:v>1.1930802325983501E-3</c:v>
                </c:pt>
                <c:pt idx="95">
                  <c:v>3.83906091618003E-4</c:v>
                </c:pt>
                <c:pt idx="96">
                  <c:v>2.22347179659465E-4</c:v>
                </c:pt>
                <c:pt idx="97">
                  <c:v>-4.3925215420826199E-4</c:v>
                </c:pt>
                <c:pt idx="98">
                  <c:v>-3.7674667088860197E-5</c:v>
                </c:pt>
                <c:pt idx="99">
                  <c:v>-1.1489684302469401E-3</c:v>
                </c:pt>
                <c:pt idx="100">
                  <c:v>-8.9005746251733203E-4</c:v>
                </c:pt>
                <c:pt idx="101">
                  <c:v>-1.1342764866550099E-3</c:v>
                </c:pt>
                <c:pt idx="102">
                  <c:v>-1.7833680379575E-3</c:v>
                </c:pt>
                <c:pt idx="103">
                  <c:v>-3.9026925907011199E-4</c:v>
                </c:pt>
                <c:pt idx="104">
                  <c:v>8.1296299893224093E-5</c:v>
                </c:pt>
                <c:pt idx="105">
                  <c:v>-7.7926053393779495E-5</c:v>
                </c:pt>
                <c:pt idx="106">
                  <c:v>7.6380969919584397E-5</c:v>
                </c:pt>
                <c:pt idx="107">
                  <c:v>3.5839000848881999E-4</c:v>
                </c:pt>
                <c:pt idx="108">
                  <c:v>-5.6968369283485001E-4</c:v>
                </c:pt>
                <c:pt idx="109">
                  <c:v>-2.1974384067282199E-4</c:v>
                </c:pt>
                <c:pt idx="110">
                  <c:v>6.1604659531482801E-4</c:v>
                </c:pt>
                <c:pt idx="111">
                  <c:v>3.8315887225965E-5</c:v>
                </c:pt>
                <c:pt idx="112">
                  <c:v>-1.08896038626701E-4</c:v>
                </c:pt>
                <c:pt idx="113">
                  <c:v>-2.0931274815370399E-4</c:v>
                </c:pt>
                <c:pt idx="114">
                  <c:v>-9.4412423743817003E-5</c:v>
                </c:pt>
                <c:pt idx="115">
                  <c:v>-3.7231574590667498E-4</c:v>
                </c:pt>
                <c:pt idx="116">
                  <c:v>-1.2285104061342901E-4</c:v>
                </c:pt>
                <c:pt idx="117">
                  <c:v>-1.2024208940030899E-3</c:v>
                </c:pt>
                <c:pt idx="118">
                  <c:v>-3.3020086079649402E-5</c:v>
                </c:pt>
                <c:pt idx="119">
                  <c:v>-4.12417530940576E-4</c:v>
                </c:pt>
                <c:pt idx="120">
                  <c:v>-3.1858357880553301E-4</c:v>
                </c:pt>
                <c:pt idx="121">
                  <c:v>-6.9983987950034403E-4</c:v>
                </c:pt>
                <c:pt idx="122">
                  <c:v>3.71884670330502E-4</c:v>
                </c:pt>
                <c:pt idx="123">
                  <c:v>-9.5434671206114801E-4</c:v>
                </c:pt>
                <c:pt idx="124">
                  <c:v>-4.3986089087163098E-5</c:v>
                </c:pt>
                <c:pt idx="125">
                  <c:v>-4.0083528299666201E-4</c:v>
                </c:pt>
                <c:pt idx="126">
                  <c:v>-5.8296160616979904E-4</c:v>
                </c:pt>
                <c:pt idx="127">
                  <c:v>1.61206252316991E-3</c:v>
                </c:pt>
                <c:pt idx="128">
                  <c:v>8.0940937449982099E-4</c:v>
                </c:pt>
                <c:pt idx="129">
                  <c:v>-4.5012535834853602E-4</c:v>
                </c:pt>
                <c:pt idx="130">
                  <c:v>9.8102058969266903E-4</c:v>
                </c:pt>
                <c:pt idx="131">
                  <c:v>1.1485378215505401E-3</c:v>
                </c:pt>
                <c:pt idx="132">
                  <c:v>8.1525927267247405E-4</c:v>
                </c:pt>
                <c:pt idx="133">
                  <c:v>2.1657012873860099E-4</c:v>
                </c:pt>
                <c:pt idx="134">
                  <c:v>2.1124978060873502E-5</c:v>
                </c:pt>
                <c:pt idx="135">
                  <c:v>2.6371592781181399E-5</c:v>
                </c:pt>
                <c:pt idx="136">
                  <c:v>-5.7047434275577601E-5</c:v>
                </c:pt>
                <c:pt idx="137">
                  <c:v>-2.5056339638633698E-4</c:v>
                </c:pt>
                <c:pt idx="138">
                  <c:v>1.02322610734496E-4</c:v>
                </c:pt>
                <c:pt idx="139">
                  <c:v>-7.9313641088674103E-4</c:v>
                </c:pt>
                <c:pt idx="140">
                  <c:v>4.6419009272713002E-4</c:v>
                </c:pt>
                <c:pt idx="141">
                  <c:v>3.9710989307631899E-4</c:v>
                </c:pt>
                <c:pt idx="142">
                  <c:v>-1.7391729681699299E-4</c:v>
                </c:pt>
                <c:pt idx="143">
                  <c:v>8.9469040600819404E-4</c:v>
                </c:pt>
                <c:pt idx="144">
                  <c:v>-4.1535811329727299E-4</c:v>
                </c:pt>
                <c:pt idx="145">
                  <c:v>-3.3886035618020498E-4</c:v>
                </c:pt>
                <c:pt idx="146">
                  <c:v>-6.8879856876664404E-4</c:v>
                </c:pt>
                <c:pt idx="147">
                  <c:v>-3.4206360262207798E-4</c:v>
                </c:pt>
                <c:pt idx="148">
                  <c:v>-8.0393790163880996E-4</c:v>
                </c:pt>
                <c:pt idx="149">
                  <c:v>-8.5200306580997904E-4</c:v>
                </c:pt>
                <c:pt idx="150">
                  <c:v>-8.91170265578867E-4</c:v>
                </c:pt>
                <c:pt idx="151">
                  <c:v>-8.4843109970876302E-4</c:v>
                </c:pt>
                <c:pt idx="152">
                  <c:v>-4.8289070466439799E-4</c:v>
                </c:pt>
                <c:pt idx="153">
                  <c:v>-4.2859723075768598E-4</c:v>
                </c:pt>
                <c:pt idx="154">
                  <c:v>1.44095443356166E-3</c:v>
                </c:pt>
                <c:pt idx="155">
                  <c:v>-2.2039206264659199E-5</c:v>
                </c:pt>
                <c:pt idx="156">
                  <c:v>4.5531034344649401E-4</c:v>
                </c:pt>
                <c:pt idx="157">
                  <c:v>-2.0014535188858399E-4</c:v>
                </c:pt>
                <c:pt idx="158">
                  <c:v>1.21941246869524E-3</c:v>
                </c:pt>
                <c:pt idx="159">
                  <c:v>7.9904401237886698E-4</c:v>
                </c:pt>
                <c:pt idx="160">
                  <c:v>9.2555882355941595E-6</c:v>
                </c:pt>
                <c:pt idx="161">
                  <c:v>-1.89498396219532E-4</c:v>
                </c:pt>
                <c:pt idx="162">
                  <c:v>-3.9617831681258801E-4</c:v>
                </c:pt>
                <c:pt idx="163">
                  <c:v>-4.8325018333590999E-4</c:v>
                </c:pt>
                <c:pt idx="164">
                  <c:v>-4.4999224797610701E-4</c:v>
                </c:pt>
                <c:pt idx="165">
                  <c:v>1.26146495933399E-5</c:v>
                </c:pt>
                <c:pt idx="166">
                  <c:v>-5.5788685942708099E-4</c:v>
                </c:pt>
                <c:pt idx="167">
                  <c:v>-3.2428822645101598E-4</c:v>
                </c:pt>
                <c:pt idx="168">
                  <c:v>-2.97257668902028E-4</c:v>
                </c:pt>
                <c:pt idx="169">
                  <c:v>-3.5211814989361402E-4</c:v>
                </c:pt>
                <c:pt idx="170">
                  <c:v>6.4865996127745596E-4</c:v>
                </c:pt>
                <c:pt idx="171">
                  <c:v>1.18890848674141E-3</c:v>
                </c:pt>
                <c:pt idx="172">
                  <c:v>9.8488414930664897E-5</c:v>
                </c:pt>
                <c:pt idx="173">
                  <c:v>-9.2813958916165297E-4</c:v>
                </c:pt>
                <c:pt idx="174">
                  <c:v>-1.13200203431974E-3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FD-47BE-B667-0FA8C207FCC4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TFI x 20 dma / VTEB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1.8031328507851099E-4</c:v>
                </c:pt>
                <c:pt idx="21">
                  <c:v>8.5173463027033596E-4</c:v>
                </c:pt>
                <c:pt idx="22">
                  <c:v>1.9753551233296801E-3</c:v>
                </c:pt>
                <c:pt idx="23">
                  <c:v>1.11323533004295E-3</c:v>
                </c:pt>
                <c:pt idx="24">
                  <c:v>8.9373204379705404E-4</c:v>
                </c:pt>
                <c:pt idx="25">
                  <c:v>1.1034847762221101E-3</c:v>
                </c:pt>
                <c:pt idx="26">
                  <c:v>7.3291901165446402E-4</c:v>
                </c:pt>
                <c:pt idx="27">
                  <c:v>1.14606086316111E-3</c:v>
                </c:pt>
                <c:pt idx="28">
                  <c:v>8.0954449647594004E-4</c:v>
                </c:pt>
                <c:pt idx="29">
                  <c:v>1.52534013032773E-3</c:v>
                </c:pt>
                <c:pt idx="30">
                  <c:v>1.7791193243625399E-4</c:v>
                </c:pt>
                <c:pt idx="31">
                  <c:v>-1.49862781053465E-4</c:v>
                </c:pt>
                <c:pt idx="32">
                  <c:v>-2.1436477035037199E-4</c:v>
                </c:pt>
                <c:pt idx="33">
                  <c:v>-7.48812906167748E-4</c:v>
                </c:pt>
                <c:pt idx="34">
                  <c:v>-5.4162294156297899E-5</c:v>
                </c:pt>
                <c:pt idx="35">
                  <c:v>-1.76362454712943E-4</c:v>
                </c:pt>
                <c:pt idx="36">
                  <c:v>-6.0792001118878099E-4</c:v>
                </c:pt>
                <c:pt idx="37">
                  <c:v>-1.12243144996297E-3</c:v>
                </c:pt>
                <c:pt idx="38">
                  <c:v>-4.1725480400761801E-4</c:v>
                </c:pt>
                <c:pt idx="39">
                  <c:v>-1.80888945478422E-3</c:v>
                </c:pt>
                <c:pt idx="40">
                  <c:v>-9.1275076117245497E-4</c:v>
                </c:pt>
                <c:pt idx="41">
                  <c:v>1.25122979565377E-4</c:v>
                </c:pt>
                <c:pt idx="42">
                  <c:v>-9.4963809361593699E-4</c:v>
                </c:pt>
                <c:pt idx="43">
                  <c:v>-1.3202502807057E-3</c:v>
                </c:pt>
                <c:pt idx="44">
                  <c:v>-2.3786493987018901E-4</c:v>
                </c:pt>
                <c:pt idx="45">
                  <c:v>5.5215433383334102E-5</c:v>
                </c:pt>
                <c:pt idx="46">
                  <c:v>3.4907247765764501E-4</c:v>
                </c:pt>
                <c:pt idx="47">
                  <c:v>-5.5875706065509499E-4</c:v>
                </c:pt>
                <c:pt idx="48">
                  <c:v>-1.0361714667323099E-3</c:v>
                </c:pt>
                <c:pt idx="49">
                  <c:v>-1.11956027055859E-3</c:v>
                </c:pt>
                <c:pt idx="50">
                  <c:v>-1.8215439331972601E-4</c:v>
                </c:pt>
                <c:pt idx="51">
                  <c:v>-9.3776159671375996E-4</c:v>
                </c:pt>
                <c:pt idx="52">
                  <c:v>-2.9123645451236698E-4</c:v>
                </c:pt>
                <c:pt idx="53">
                  <c:v>-1.56387584426639E-3</c:v>
                </c:pt>
                <c:pt idx="54">
                  <c:v>-5.3454160042719595E-4</c:v>
                </c:pt>
                <c:pt idx="55">
                  <c:v>4.3465279095139899E-4</c:v>
                </c:pt>
                <c:pt idx="56">
                  <c:v>4.5496067123510398E-4</c:v>
                </c:pt>
                <c:pt idx="57">
                  <c:v>-4.1116555150262E-4</c:v>
                </c:pt>
                <c:pt idx="58">
                  <c:v>7.1962994793889706E-5</c:v>
                </c:pt>
                <c:pt idx="59">
                  <c:v>-5.1967768917212905E-4</c:v>
                </c:pt>
                <c:pt idx="60">
                  <c:v>3.7644980558183399E-4</c:v>
                </c:pt>
                <c:pt idx="61">
                  <c:v>-9.2354252269061601E-4</c:v>
                </c:pt>
                <c:pt idx="62">
                  <c:v>-1.3025581180758001E-3</c:v>
                </c:pt>
                <c:pt idx="63">
                  <c:v>-1.09429490948708E-3</c:v>
                </c:pt>
                <c:pt idx="64">
                  <c:v>-1.1737482647124499E-3</c:v>
                </c:pt>
                <c:pt idx="65">
                  <c:v>-1.0546257979394001E-3</c:v>
                </c:pt>
                <c:pt idx="66">
                  <c:v>-2.00077210258689E-3</c:v>
                </c:pt>
                <c:pt idx="67">
                  <c:v>-9.924237905800529E-4</c:v>
                </c:pt>
                <c:pt idx="68">
                  <c:v>-1.44416392570505E-3</c:v>
                </c:pt>
                <c:pt idx="69">
                  <c:v>-1.9370202390837699E-3</c:v>
                </c:pt>
                <c:pt idx="70">
                  <c:v>-1.12126400292087E-3</c:v>
                </c:pt>
                <c:pt idx="71">
                  <c:v>-9.5321437384217496E-4</c:v>
                </c:pt>
                <c:pt idx="72">
                  <c:v>-5.6333328160702498E-4</c:v>
                </c:pt>
                <c:pt idx="73">
                  <c:v>-1.3205965665622999E-3</c:v>
                </c:pt>
                <c:pt idx="74">
                  <c:v>-1.2340023362019401E-3</c:v>
                </c:pt>
                <c:pt idx="75">
                  <c:v>-1.25231449859258E-3</c:v>
                </c:pt>
                <c:pt idx="76">
                  <c:v>-1.5000609825999199E-3</c:v>
                </c:pt>
                <c:pt idx="77">
                  <c:v>-6.3430815445631198E-4</c:v>
                </c:pt>
                <c:pt idx="78">
                  <c:v>-7.6250698426651598E-4</c:v>
                </c:pt>
                <c:pt idx="79">
                  <c:v>-8.0220479771404602E-4</c:v>
                </c:pt>
                <c:pt idx="80">
                  <c:v>-1.78491392798234E-3</c:v>
                </c:pt>
                <c:pt idx="81">
                  <c:v>-6.6418378886629796E-4</c:v>
                </c:pt>
                <c:pt idx="82">
                  <c:v>-1.0829038660681699E-3</c:v>
                </c:pt>
                <c:pt idx="83">
                  <c:v>6.8254840854017798E-6</c:v>
                </c:pt>
                <c:pt idx="84">
                  <c:v>-7.8280663865855197E-4</c:v>
                </c:pt>
                <c:pt idx="85">
                  <c:v>-7.0994231630791999E-5</c:v>
                </c:pt>
                <c:pt idx="86">
                  <c:v>-2.9702742014337701E-4</c:v>
                </c:pt>
                <c:pt idx="87">
                  <c:v>-6.1596004064179302E-4</c:v>
                </c:pt>
                <c:pt idx="88">
                  <c:v>-1.62709158417233E-4</c:v>
                </c:pt>
                <c:pt idx="89">
                  <c:v>3.2104706304627098E-4</c:v>
                </c:pt>
                <c:pt idx="90">
                  <c:v>-4.02306778710612E-4</c:v>
                </c:pt>
                <c:pt idx="91">
                  <c:v>6.4566984758949596E-4</c:v>
                </c:pt>
                <c:pt idx="92">
                  <c:v>1.9384611618794901E-4</c:v>
                </c:pt>
                <c:pt idx="93">
                  <c:v>4.7758307073990098E-4</c:v>
                </c:pt>
                <c:pt idx="94">
                  <c:v>1.2432224183258E-3</c:v>
                </c:pt>
                <c:pt idx="95">
                  <c:v>5.5485348530860202E-4</c:v>
                </c:pt>
                <c:pt idx="96">
                  <c:v>4.1373018444606098E-4</c:v>
                </c:pt>
                <c:pt idx="97">
                  <c:v>-2.2498211494757E-4</c:v>
                </c:pt>
                <c:pt idx="98">
                  <c:v>2.3788051174335599E-4</c:v>
                </c:pt>
                <c:pt idx="99">
                  <c:v>-8.3905935589008104E-4</c:v>
                </c:pt>
                <c:pt idx="100">
                  <c:v>-6.53020844731337E-4</c:v>
                </c:pt>
                <c:pt idx="101">
                  <c:v>-9.4684599137438198E-4</c:v>
                </c:pt>
                <c:pt idx="102">
                  <c:v>-1.7130400060482601E-3</c:v>
                </c:pt>
                <c:pt idx="103">
                  <c:v>-4.5738678616082503E-4</c:v>
                </c:pt>
                <c:pt idx="104">
                  <c:v>-3.7424567106974898E-5</c:v>
                </c:pt>
                <c:pt idx="105">
                  <c:v>-3.49059123118503E-4</c:v>
                </c:pt>
                <c:pt idx="106">
                  <c:v>-2.6670982039140299E-4</c:v>
                </c:pt>
                <c:pt idx="107">
                  <c:v>-5.6252181249011198E-5</c:v>
                </c:pt>
                <c:pt idx="108">
                  <c:v>-1.00262702439626E-3</c:v>
                </c:pt>
                <c:pt idx="109">
                  <c:v>-7.4212689028120495E-4</c:v>
                </c:pt>
                <c:pt idx="110">
                  <c:v>1.4457345818378299E-4</c:v>
                </c:pt>
                <c:pt idx="111">
                  <c:v>-3.9070745416429201E-4</c:v>
                </c:pt>
                <c:pt idx="112">
                  <c:v>-4.44323932109589E-4</c:v>
                </c:pt>
                <c:pt idx="113">
                  <c:v>-3.9908772162431999E-4</c:v>
                </c:pt>
                <c:pt idx="114">
                  <c:v>-2.4672089251901802E-4</c:v>
                </c:pt>
                <c:pt idx="115">
                  <c:v>-4.8123677588745098E-4</c:v>
                </c:pt>
                <c:pt idx="116">
                  <c:v>-2.0720416387151001E-4</c:v>
                </c:pt>
                <c:pt idx="117">
                  <c:v>-1.2635804524637601E-3</c:v>
                </c:pt>
                <c:pt idx="118">
                  <c:v>-1.7676105472009499E-4</c:v>
                </c:pt>
                <c:pt idx="119">
                  <c:v>-4.7381653842786198E-4</c:v>
                </c:pt>
                <c:pt idx="120">
                  <c:v>-3.8996783545687899E-4</c:v>
                </c:pt>
                <c:pt idx="121">
                  <c:v>-8.5320850213792601E-4</c:v>
                </c:pt>
                <c:pt idx="122">
                  <c:v>1.5055622318580099E-4</c:v>
                </c:pt>
                <c:pt idx="123">
                  <c:v>-1.22396858186517E-3</c:v>
                </c:pt>
                <c:pt idx="124">
                  <c:v>-3.6789282441846701E-4</c:v>
                </c:pt>
                <c:pt idx="125">
                  <c:v>-7.3059284185656901E-4</c:v>
                </c:pt>
                <c:pt idx="126">
                  <c:v>-9.2150966639966596E-4</c:v>
                </c:pt>
                <c:pt idx="127">
                  <c:v>1.2350603844652999E-3</c:v>
                </c:pt>
                <c:pt idx="128">
                  <c:v>6.1950170472940499E-4</c:v>
                </c:pt>
                <c:pt idx="129">
                  <c:v>-6.2937909467454599E-4</c:v>
                </c:pt>
                <c:pt idx="130">
                  <c:v>7.9772815566581698E-4</c:v>
                </c:pt>
                <c:pt idx="131">
                  <c:v>1.0657149157200401E-3</c:v>
                </c:pt>
                <c:pt idx="132">
                  <c:v>8.6880423344550504E-4</c:v>
                </c:pt>
                <c:pt idx="133">
                  <c:v>2.9572269617715499E-4</c:v>
                </c:pt>
                <c:pt idx="134">
                  <c:v>2.31024882256844E-4</c:v>
                </c:pt>
                <c:pt idx="135">
                  <c:v>2.90399717124248E-4</c:v>
                </c:pt>
                <c:pt idx="136">
                  <c:v>2.8919721902145E-4</c:v>
                </c:pt>
                <c:pt idx="137">
                  <c:v>2.1355113103844201E-4</c:v>
                </c:pt>
                <c:pt idx="138">
                  <c:v>4.1669304573979302E-4</c:v>
                </c:pt>
                <c:pt idx="139">
                  <c:v>-5.0581184254059404E-4</c:v>
                </c:pt>
                <c:pt idx="140">
                  <c:v>7.8292958908140499E-4</c:v>
                </c:pt>
                <c:pt idx="141">
                  <c:v>6.7523475858623097E-4</c:v>
                </c:pt>
                <c:pt idx="142">
                  <c:v>1.0310520965550501E-5</c:v>
                </c:pt>
                <c:pt idx="143">
                  <c:v>1.0203676269582901E-3</c:v>
                </c:pt>
                <c:pt idx="144">
                  <c:v>-3.09723076644709E-4</c:v>
                </c:pt>
                <c:pt idx="145">
                  <c:v>-2.6874222738027301E-4</c:v>
                </c:pt>
                <c:pt idx="146">
                  <c:v>-6.7771879915441203E-4</c:v>
                </c:pt>
                <c:pt idx="147">
                  <c:v>-4.22429523154138E-4</c:v>
                </c:pt>
                <c:pt idx="148">
                  <c:v>-8.50202171563193E-4</c:v>
                </c:pt>
                <c:pt idx="149">
                  <c:v>-9.4429476006536897E-4</c:v>
                </c:pt>
                <c:pt idx="150">
                  <c:v>-1.00722959592141E-3</c:v>
                </c:pt>
                <c:pt idx="151">
                  <c:v>-1.0498778854674501E-3</c:v>
                </c:pt>
                <c:pt idx="152">
                  <c:v>-7.5698132721432703E-4</c:v>
                </c:pt>
                <c:pt idx="153">
                  <c:v>-7.1451397532289402E-4</c:v>
                </c:pt>
                <c:pt idx="154">
                  <c:v>1.0139308660186001E-3</c:v>
                </c:pt>
                <c:pt idx="155">
                  <c:v>-3.87763008390265E-4</c:v>
                </c:pt>
                <c:pt idx="156">
                  <c:v>8.0108765197567798E-5</c:v>
                </c:pt>
                <c:pt idx="157">
                  <c:v>-5.2520058706980604E-4</c:v>
                </c:pt>
                <c:pt idx="158">
                  <c:v>8.8156308853856605E-4</c:v>
                </c:pt>
                <c:pt idx="159">
                  <c:v>5.7845881145393596E-4</c:v>
                </c:pt>
                <c:pt idx="160">
                  <c:v>-1.38678010522109E-4</c:v>
                </c:pt>
                <c:pt idx="161">
                  <c:v>-2.27829527496298E-4</c:v>
                </c:pt>
                <c:pt idx="162">
                  <c:v>-3.2296024094863898E-4</c:v>
                </c:pt>
                <c:pt idx="163">
                  <c:v>-3.55501374654518E-4</c:v>
                </c:pt>
                <c:pt idx="164">
                  <c:v>-2.17475169606395E-4</c:v>
                </c:pt>
                <c:pt idx="165">
                  <c:v>1.2377678797079099E-4</c:v>
                </c:pt>
                <c:pt idx="166">
                  <c:v>-4.1313674142654899E-4</c:v>
                </c:pt>
                <c:pt idx="167">
                  <c:v>-2.3540986156925201E-4</c:v>
                </c:pt>
                <c:pt idx="168">
                  <c:v>-1.8028228858704801E-4</c:v>
                </c:pt>
                <c:pt idx="169">
                  <c:v>-3.6660464418559102E-4</c:v>
                </c:pt>
                <c:pt idx="170">
                  <c:v>5.1470976185089598E-4</c:v>
                </c:pt>
                <c:pt idx="171">
                  <c:v>1.0432893574042999E-3</c:v>
                </c:pt>
                <c:pt idx="172">
                  <c:v>-2.1937102836776201E-5</c:v>
                </c:pt>
                <c:pt idx="173">
                  <c:v>-1.04753792262547E-3</c:v>
                </c:pt>
                <c:pt idx="174">
                  <c:v>-1.2956453811457599E-3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FD-47BE-B667-0FA8C207F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6.8476402773563305E-4</c:v>
                </c:pt>
                <c:pt idx="19">
                  <c:v>6.8476402773563305E-4</c:v>
                </c:pt>
                <c:pt idx="20">
                  <c:v>1.4487524607765827E-3</c:v>
                </c:pt>
                <c:pt idx="21">
                  <c:v>2.4767853960006208E-3</c:v>
                </c:pt>
                <c:pt idx="22">
                  <c:v>2.4767853960006208E-3</c:v>
                </c:pt>
                <c:pt idx="23">
                  <c:v>2.4767853960006208E-3</c:v>
                </c:pt>
                <c:pt idx="24">
                  <c:v>3.4661987546414849E-3</c:v>
                </c:pt>
                <c:pt idx="25">
                  <c:v>3.7237276201824649E-3</c:v>
                </c:pt>
                <c:pt idx="26">
                  <c:v>3.7237276201824649E-3</c:v>
                </c:pt>
                <c:pt idx="27">
                  <c:v>3.7237276201824649E-3</c:v>
                </c:pt>
                <c:pt idx="28">
                  <c:v>3.7237276201824649E-3</c:v>
                </c:pt>
                <c:pt idx="29">
                  <c:v>3.5453167965360647E-3</c:v>
                </c:pt>
                <c:pt idx="30">
                  <c:v>4.3395980138303501E-3</c:v>
                </c:pt>
                <c:pt idx="31">
                  <c:v>3.5424464157561199E-3</c:v>
                </c:pt>
                <c:pt idx="32">
                  <c:v>4.1193363037230653E-3</c:v>
                </c:pt>
                <c:pt idx="33">
                  <c:v>2.8059261356151357E-3</c:v>
                </c:pt>
                <c:pt idx="34">
                  <c:v>3.7542908358837758E-3</c:v>
                </c:pt>
                <c:pt idx="35">
                  <c:v>4.6546673713430261E-3</c:v>
                </c:pt>
                <c:pt idx="36">
                  <c:v>4.6546673713430261E-3</c:v>
                </c:pt>
                <c:pt idx="37">
                  <c:v>4.6546673713430261E-3</c:v>
                </c:pt>
                <c:pt idx="38">
                  <c:v>4.6546673713430261E-3</c:v>
                </c:pt>
                <c:pt idx="39">
                  <c:v>4.6546673713430261E-3</c:v>
                </c:pt>
                <c:pt idx="40">
                  <c:v>4.6546673713430261E-3</c:v>
                </c:pt>
                <c:pt idx="41">
                  <c:v>4.6546673713430261E-3</c:v>
                </c:pt>
                <c:pt idx="42">
                  <c:v>4.6546673713430261E-3</c:v>
                </c:pt>
                <c:pt idx="43">
                  <c:v>4.793393075373408E-3</c:v>
                </c:pt>
                <c:pt idx="44">
                  <c:v>4.6751216250526641E-3</c:v>
                </c:pt>
                <c:pt idx="45">
                  <c:v>4.7000509869156246E-3</c:v>
                </c:pt>
                <c:pt idx="46">
                  <c:v>3.6481049705136448E-3</c:v>
                </c:pt>
                <c:pt idx="47">
                  <c:v>4.4850964958402968E-3</c:v>
                </c:pt>
                <c:pt idx="48">
                  <c:v>3.9496527946393505E-3</c:v>
                </c:pt>
                <c:pt idx="49">
                  <c:v>3.3740143964315944E-3</c:v>
                </c:pt>
                <c:pt idx="50">
                  <c:v>4.0870865403376064E-3</c:v>
                </c:pt>
                <c:pt idx="51">
                  <c:v>4.1484797164595402E-3</c:v>
                </c:pt>
                <c:pt idx="52">
                  <c:v>4.4746136519169906E-3</c:v>
                </c:pt>
                <c:pt idx="53">
                  <c:v>3.6411016224568655E-3</c:v>
                </c:pt>
                <c:pt idx="54">
                  <c:v>3.6753835571780155E-3</c:v>
                </c:pt>
                <c:pt idx="55">
                  <c:v>3.5590751915179865E-3</c:v>
                </c:pt>
                <c:pt idx="56">
                  <c:v>3.1625644805339096E-3</c:v>
                </c:pt>
                <c:pt idx="57">
                  <c:v>3.8597047493523096E-3</c:v>
                </c:pt>
                <c:pt idx="58">
                  <c:v>3.6411016224571534E-3</c:v>
                </c:pt>
                <c:pt idx="59">
                  <c:v>3.4769117891357334E-3</c:v>
                </c:pt>
                <c:pt idx="60">
                  <c:v>2.3925530141952435E-3</c:v>
                </c:pt>
                <c:pt idx="61">
                  <c:v>3.3121726943039316E-3</c:v>
                </c:pt>
                <c:pt idx="62">
                  <c:v>3.3121726943039316E-3</c:v>
                </c:pt>
                <c:pt idx="63">
                  <c:v>4.3092811625981093E-3</c:v>
                </c:pt>
                <c:pt idx="64">
                  <c:v>4.3092811625981093E-3</c:v>
                </c:pt>
                <c:pt idx="65">
                  <c:v>4.3092811625981093E-3</c:v>
                </c:pt>
                <c:pt idx="66">
                  <c:v>4.3092811625981093E-3</c:v>
                </c:pt>
                <c:pt idx="67">
                  <c:v>4.3092811625981093E-3</c:v>
                </c:pt>
                <c:pt idx="68">
                  <c:v>4.3092811625981093E-3</c:v>
                </c:pt>
                <c:pt idx="69">
                  <c:v>4.3092811625981093E-3</c:v>
                </c:pt>
                <c:pt idx="70">
                  <c:v>4.3092811625981093E-3</c:v>
                </c:pt>
                <c:pt idx="71">
                  <c:v>4.3092811625981093E-3</c:v>
                </c:pt>
                <c:pt idx="72">
                  <c:v>4.3092811625981093E-3</c:v>
                </c:pt>
                <c:pt idx="73">
                  <c:v>4.3092811625981093E-3</c:v>
                </c:pt>
                <c:pt idx="74">
                  <c:v>4.3092811625981093E-3</c:v>
                </c:pt>
                <c:pt idx="75">
                  <c:v>4.3092811625981093E-3</c:v>
                </c:pt>
                <c:pt idx="76">
                  <c:v>4.3092811625981093E-3</c:v>
                </c:pt>
                <c:pt idx="77">
                  <c:v>4.3092811625981093E-3</c:v>
                </c:pt>
                <c:pt idx="78">
                  <c:v>4.3092811625981093E-3</c:v>
                </c:pt>
                <c:pt idx="79">
                  <c:v>4.3092811625981093E-3</c:v>
                </c:pt>
                <c:pt idx="80">
                  <c:v>4.3092811625981093E-3</c:v>
                </c:pt>
                <c:pt idx="81">
                  <c:v>4.3092811625981093E-3</c:v>
                </c:pt>
                <c:pt idx="82">
                  <c:v>4.3092811625981093E-3</c:v>
                </c:pt>
                <c:pt idx="83">
                  <c:v>5.5114142827391395E-3</c:v>
                </c:pt>
                <c:pt idx="84">
                  <c:v>5.8881690788698425E-3</c:v>
                </c:pt>
                <c:pt idx="85">
                  <c:v>5.594133779406112E-3</c:v>
                </c:pt>
                <c:pt idx="86">
                  <c:v>5.648071237847092E-3</c:v>
                </c:pt>
                <c:pt idx="87">
                  <c:v>5.8468981596672348E-3</c:v>
                </c:pt>
                <c:pt idx="88">
                  <c:v>4.9156442323502886E-3</c:v>
                </c:pt>
                <c:pt idx="89">
                  <c:v>5.1258036060179485E-3</c:v>
                </c:pt>
                <c:pt idx="90">
                  <c:v>5.9500107809985084E-3</c:v>
                </c:pt>
                <c:pt idx="91">
                  <c:v>5.9500107809985084E-3</c:v>
                </c:pt>
                <c:pt idx="92">
                  <c:v>5.9500107809985084E-3</c:v>
                </c:pt>
                <c:pt idx="93">
                  <c:v>5.9500107809985084E-3</c:v>
                </c:pt>
                <c:pt idx="94">
                  <c:v>5.9500107809985084E-3</c:v>
                </c:pt>
                <c:pt idx="95">
                  <c:v>5.9500107809985084E-3</c:v>
                </c:pt>
                <c:pt idx="96">
                  <c:v>5.9500107809985084E-3</c:v>
                </c:pt>
                <c:pt idx="97">
                  <c:v>5.9500107809985084E-3</c:v>
                </c:pt>
                <c:pt idx="98">
                  <c:v>6.9510516188519087E-3</c:v>
                </c:pt>
                <c:pt idx="99">
                  <c:v>6.5965745121698794E-3</c:v>
                </c:pt>
                <c:pt idx="100">
                  <c:v>6.6588533789635959E-3</c:v>
                </c:pt>
                <c:pt idx="101">
                  <c:v>6.1698862087532858E-3</c:v>
                </c:pt>
                <c:pt idx="102">
                  <c:v>7.1371060243433466E-3</c:v>
                </c:pt>
                <c:pt idx="103">
                  <c:v>7.1371060243433466E-3</c:v>
                </c:pt>
                <c:pt idx="104">
                  <c:v>7.9189997487857967E-3</c:v>
                </c:pt>
                <c:pt idx="105">
                  <c:v>7.5024183492010199E-3</c:v>
                </c:pt>
                <c:pt idx="106">
                  <c:v>7.2514761432058801E-3</c:v>
                </c:pt>
                <c:pt idx="107">
                  <c:v>9.3327729731603696E-3</c:v>
                </c:pt>
                <c:pt idx="108">
                  <c:v>9.3327729731603696E-3</c:v>
                </c:pt>
                <c:pt idx="109">
                  <c:v>9.3327729731603696E-3</c:v>
                </c:pt>
                <c:pt idx="110">
                  <c:v>9.3327729731603696E-3</c:v>
                </c:pt>
                <c:pt idx="111">
                  <c:v>9.3327729731603696E-3</c:v>
                </c:pt>
                <c:pt idx="112">
                  <c:v>9.3327729731603696E-3</c:v>
                </c:pt>
                <c:pt idx="113">
                  <c:v>9.3327729731603696E-3</c:v>
                </c:pt>
                <c:pt idx="114">
                  <c:v>9.3327729731603696E-3</c:v>
                </c:pt>
                <c:pt idx="115">
                  <c:v>9.3327729731603696E-3</c:v>
                </c:pt>
                <c:pt idx="116">
                  <c:v>9.3327729731603696E-3</c:v>
                </c:pt>
                <c:pt idx="117">
                  <c:v>9.3327729731603696E-3</c:v>
                </c:pt>
                <c:pt idx="118">
                  <c:v>9.3327729731603696E-3</c:v>
                </c:pt>
                <c:pt idx="119">
                  <c:v>9.3327729731603696E-3</c:v>
                </c:pt>
                <c:pt idx="120">
                  <c:v>9.3327729731603696E-3</c:v>
                </c:pt>
                <c:pt idx="121">
                  <c:v>9.3327729731603696E-3</c:v>
                </c:pt>
                <c:pt idx="122">
                  <c:v>9.3327729731603696E-3</c:v>
                </c:pt>
                <c:pt idx="123">
                  <c:v>9.3327729731603696E-3</c:v>
                </c:pt>
                <c:pt idx="124">
                  <c:v>9.3327729731603696E-3</c:v>
                </c:pt>
                <c:pt idx="125">
                  <c:v>9.3327729731603696E-3</c:v>
                </c:pt>
                <c:pt idx="126">
                  <c:v>9.3327729731603696E-3</c:v>
                </c:pt>
                <c:pt idx="127">
                  <c:v>9.3327729731603696E-3</c:v>
                </c:pt>
                <c:pt idx="128">
                  <c:v>9.3327729731603696E-3</c:v>
                </c:pt>
                <c:pt idx="129">
                  <c:v>9.3327729731603696E-3</c:v>
                </c:pt>
                <c:pt idx="130">
                  <c:v>9.3327729731603696E-3</c:v>
                </c:pt>
                <c:pt idx="131">
                  <c:v>9.2167600083696861E-3</c:v>
                </c:pt>
                <c:pt idx="132">
                  <c:v>9.41746246764847E-3</c:v>
                </c:pt>
                <c:pt idx="133">
                  <c:v>9.3860319806026993E-3</c:v>
                </c:pt>
                <c:pt idx="134">
                  <c:v>1.1066179601195049E-2</c:v>
                </c:pt>
                <c:pt idx="135">
                  <c:v>1.1066179601195049E-2</c:v>
                </c:pt>
                <c:pt idx="136">
                  <c:v>1.1066179601195049E-2</c:v>
                </c:pt>
                <c:pt idx="137">
                  <c:v>1.1066179601195049E-2</c:v>
                </c:pt>
                <c:pt idx="138">
                  <c:v>1.1066179601195049E-2</c:v>
                </c:pt>
                <c:pt idx="139">
                  <c:v>1.1066179601195049E-2</c:v>
                </c:pt>
                <c:pt idx="140">
                  <c:v>1.1066179601195049E-2</c:v>
                </c:pt>
                <c:pt idx="141">
                  <c:v>1.1066179601195049E-2</c:v>
                </c:pt>
                <c:pt idx="142">
                  <c:v>1.1066179601195049E-2</c:v>
                </c:pt>
                <c:pt idx="143">
                  <c:v>1.1066179601195049E-2</c:v>
                </c:pt>
                <c:pt idx="144">
                  <c:v>1.1066179601195049E-2</c:v>
                </c:pt>
                <c:pt idx="145">
                  <c:v>1.1066179601195049E-2</c:v>
                </c:pt>
                <c:pt idx="146">
                  <c:v>1.1066179601195049E-2</c:v>
                </c:pt>
                <c:pt idx="147">
                  <c:v>1.1066179601195049E-2</c:v>
                </c:pt>
                <c:pt idx="148">
                  <c:v>1.1066179601195049E-2</c:v>
                </c:pt>
                <c:pt idx="149">
                  <c:v>1.1066179601195049E-2</c:v>
                </c:pt>
                <c:pt idx="150">
                  <c:v>1.1066179601195049E-2</c:v>
                </c:pt>
                <c:pt idx="151">
                  <c:v>1.1066179601195049E-2</c:v>
                </c:pt>
                <c:pt idx="152">
                  <c:v>1.1066179601195049E-2</c:v>
                </c:pt>
                <c:pt idx="153">
                  <c:v>1.1066179601195049E-2</c:v>
                </c:pt>
                <c:pt idx="154">
                  <c:v>1.0793909365148588E-2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2-41F2-B7A9-BE4F6287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7.1265462299124503E-4</c:v>
                </c:pt>
                <c:pt idx="4">
                  <c:v>8.7091395419579493E-4</c:v>
                </c:pt>
                <c:pt idx="5">
                  <c:v>6.1473169254458383E-4</c:v>
                </c:pt>
                <c:pt idx="6">
                  <c:v>9.1125542960368371E-4</c:v>
                </c:pt>
                <c:pt idx="7">
                  <c:v>4.3688616960430374E-4</c:v>
                </c:pt>
                <c:pt idx="8">
                  <c:v>6.3596672411789365E-4</c:v>
                </c:pt>
                <c:pt idx="9">
                  <c:v>-1.4884651459696639E-4</c:v>
                </c:pt>
                <c:pt idx="10">
                  <c:v>1.0893642387093615E-3</c:v>
                </c:pt>
                <c:pt idx="11">
                  <c:v>1.3251978371802715E-3</c:v>
                </c:pt>
                <c:pt idx="12">
                  <c:v>1.3251978371802715E-3</c:v>
                </c:pt>
                <c:pt idx="13">
                  <c:v>1.3251978371802715E-3</c:v>
                </c:pt>
                <c:pt idx="14">
                  <c:v>1.3251978371802715E-3</c:v>
                </c:pt>
                <c:pt idx="15">
                  <c:v>1.3251978371802715E-3</c:v>
                </c:pt>
                <c:pt idx="16">
                  <c:v>1.3251978371802715E-3</c:v>
                </c:pt>
                <c:pt idx="17">
                  <c:v>1.3251978371802715E-3</c:v>
                </c:pt>
                <c:pt idx="18">
                  <c:v>1.3251978371802715E-3</c:v>
                </c:pt>
                <c:pt idx="19">
                  <c:v>1.3251978371802715E-3</c:v>
                </c:pt>
                <c:pt idx="20">
                  <c:v>1.3251978371802715E-3</c:v>
                </c:pt>
                <c:pt idx="21">
                  <c:v>1.3251978371802715E-3</c:v>
                </c:pt>
                <c:pt idx="22">
                  <c:v>1.3251978371802715E-3</c:v>
                </c:pt>
                <c:pt idx="23">
                  <c:v>1.3251978371802715E-3</c:v>
                </c:pt>
                <c:pt idx="24">
                  <c:v>1.3251978371802715E-3</c:v>
                </c:pt>
                <c:pt idx="25">
                  <c:v>1.3251978371802715E-3</c:v>
                </c:pt>
                <c:pt idx="26">
                  <c:v>1.3251978371802715E-3</c:v>
                </c:pt>
                <c:pt idx="27">
                  <c:v>1.3251978371802715E-3</c:v>
                </c:pt>
                <c:pt idx="28">
                  <c:v>1.3251978371802715E-3</c:v>
                </c:pt>
                <c:pt idx="29">
                  <c:v>1.3251978371802715E-3</c:v>
                </c:pt>
                <c:pt idx="30">
                  <c:v>1.3251978371802715E-3</c:v>
                </c:pt>
                <c:pt idx="31">
                  <c:v>1.3251978371802715E-3</c:v>
                </c:pt>
                <c:pt idx="32">
                  <c:v>1.3251978371802715E-3</c:v>
                </c:pt>
                <c:pt idx="33">
                  <c:v>1.3251978371802715E-3</c:v>
                </c:pt>
                <c:pt idx="34">
                  <c:v>1.3251978371802715E-3</c:v>
                </c:pt>
                <c:pt idx="35">
                  <c:v>1.3251978371802715E-3</c:v>
                </c:pt>
                <c:pt idx="36">
                  <c:v>1.3251978371802715E-3</c:v>
                </c:pt>
                <c:pt idx="37">
                  <c:v>1.3251978371802715E-3</c:v>
                </c:pt>
                <c:pt idx="38">
                  <c:v>1.3251978371802715E-3</c:v>
                </c:pt>
                <c:pt idx="39">
                  <c:v>1.3251978371802715E-3</c:v>
                </c:pt>
                <c:pt idx="40">
                  <c:v>1.3251978371802715E-3</c:v>
                </c:pt>
                <c:pt idx="41">
                  <c:v>1.3251978371802715E-3</c:v>
                </c:pt>
                <c:pt idx="42">
                  <c:v>1.3251978371802715E-3</c:v>
                </c:pt>
                <c:pt idx="43">
                  <c:v>1.3251978371802715E-3</c:v>
                </c:pt>
                <c:pt idx="44">
                  <c:v>1.3251978371802715E-3</c:v>
                </c:pt>
                <c:pt idx="45">
                  <c:v>1.3251978371802715E-3</c:v>
                </c:pt>
                <c:pt idx="46">
                  <c:v>1.3251978371802715E-3</c:v>
                </c:pt>
                <c:pt idx="47">
                  <c:v>1.3251978371802715E-3</c:v>
                </c:pt>
                <c:pt idx="48">
                  <c:v>1.3251978371802715E-3</c:v>
                </c:pt>
                <c:pt idx="49">
                  <c:v>1.3251978371802715E-3</c:v>
                </c:pt>
                <c:pt idx="50">
                  <c:v>1.3251978371802715E-3</c:v>
                </c:pt>
                <c:pt idx="51">
                  <c:v>1.3251978371802715E-3</c:v>
                </c:pt>
                <c:pt idx="52">
                  <c:v>1.3251978371802715E-3</c:v>
                </c:pt>
                <c:pt idx="53">
                  <c:v>1.3251978371802715E-3</c:v>
                </c:pt>
                <c:pt idx="54">
                  <c:v>1.3251978371802715E-3</c:v>
                </c:pt>
                <c:pt idx="55">
                  <c:v>1.3251978371802715E-3</c:v>
                </c:pt>
                <c:pt idx="56">
                  <c:v>1.3251978371802715E-3</c:v>
                </c:pt>
                <c:pt idx="57">
                  <c:v>1.3251978371802715E-3</c:v>
                </c:pt>
                <c:pt idx="58">
                  <c:v>1.3251978371802715E-3</c:v>
                </c:pt>
                <c:pt idx="59">
                  <c:v>1.3251978371802715E-3</c:v>
                </c:pt>
                <c:pt idx="60">
                  <c:v>1.3251978371802715E-3</c:v>
                </c:pt>
                <c:pt idx="61">
                  <c:v>1.3251978371802715E-3</c:v>
                </c:pt>
                <c:pt idx="62">
                  <c:v>1.3251978371802715E-3</c:v>
                </c:pt>
                <c:pt idx="63">
                  <c:v>1.3251978371802715E-3</c:v>
                </c:pt>
                <c:pt idx="64">
                  <c:v>1.3251978371802715E-3</c:v>
                </c:pt>
                <c:pt idx="65">
                  <c:v>1.3251978371802715E-3</c:v>
                </c:pt>
                <c:pt idx="66">
                  <c:v>1.3251978371802715E-3</c:v>
                </c:pt>
                <c:pt idx="67">
                  <c:v>1.3251978371802715E-3</c:v>
                </c:pt>
                <c:pt idx="68">
                  <c:v>1.3251978371802715E-3</c:v>
                </c:pt>
                <c:pt idx="69">
                  <c:v>1.3251978371802715E-3</c:v>
                </c:pt>
                <c:pt idx="70">
                  <c:v>1.3251978371802715E-3</c:v>
                </c:pt>
                <c:pt idx="71">
                  <c:v>1.3251978371802715E-3</c:v>
                </c:pt>
                <c:pt idx="72">
                  <c:v>1.3251978371802715E-3</c:v>
                </c:pt>
                <c:pt idx="73">
                  <c:v>1.3251978371802715E-3</c:v>
                </c:pt>
                <c:pt idx="74">
                  <c:v>1.3251978371802715E-3</c:v>
                </c:pt>
                <c:pt idx="75">
                  <c:v>1.9643010821266214E-3</c:v>
                </c:pt>
                <c:pt idx="76">
                  <c:v>2.0822698991728563E-3</c:v>
                </c:pt>
                <c:pt idx="77">
                  <c:v>2.6838943031613533E-3</c:v>
                </c:pt>
                <c:pt idx="78">
                  <c:v>2.6838943031613533E-3</c:v>
                </c:pt>
                <c:pt idx="79">
                  <c:v>2.6838943031613533E-3</c:v>
                </c:pt>
                <c:pt idx="80">
                  <c:v>2.6838943031613533E-3</c:v>
                </c:pt>
                <c:pt idx="81">
                  <c:v>2.6838943031613533E-3</c:v>
                </c:pt>
                <c:pt idx="82">
                  <c:v>2.6838943031613533E-3</c:v>
                </c:pt>
                <c:pt idx="83">
                  <c:v>2.6838943031613533E-3</c:v>
                </c:pt>
                <c:pt idx="84">
                  <c:v>2.6838943031613533E-3</c:v>
                </c:pt>
                <c:pt idx="85">
                  <c:v>2.6838943031613533E-3</c:v>
                </c:pt>
                <c:pt idx="86">
                  <c:v>2.6838943031613533E-3</c:v>
                </c:pt>
                <c:pt idx="87">
                  <c:v>2.6838943031613533E-3</c:v>
                </c:pt>
                <c:pt idx="88">
                  <c:v>2.6838943031613533E-3</c:v>
                </c:pt>
                <c:pt idx="89">
                  <c:v>2.6838943031613533E-3</c:v>
                </c:pt>
                <c:pt idx="90">
                  <c:v>2.6838943031613533E-3</c:v>
                </c:pt>
                <c:pt idx="91">
                  <c:v>2.6838943031613533E-3</c:v>
                </c:pt>
                <c:pt idx="92">
                  <c:v>2.6838943031613533E-3</c:v>
                </c:pt>
                <c:pt idx="93">
                  <c:v>2.6838943031613533E-3</c:v>
                </c:pt>
                <c:pt idx="94">
                  <c:v>2.6838943031613533E-3</c:v>
                </c:pt>
                <c:pt idx="95">
                  <c:v>2.6838943031613533E-3</c:v>
                </c:pt>
                <c:pt idx="96">
                  <c:v>2.6838943031613533E-3</c:v>
                </c:pt>
                <c:pt idx="97">
                  <c:v>2.6838943031613533E-3</c:v>
                </c:pt>
                <c:pt idx="98">
                  <c:v>2.6838943031613533E-3</c:v>
                </c:pt>
                <c:pt idx="99">
                  <c:v>2.6838943031613533E-3</c:v>
                </c:pt>
                <c:pt idx="100">
                  <c:v>2.6838943031613533E-3</c:v>
                </c:pt>
                <c:pt idx="101">
                  <c:v>2.6838943031613533E-3</c:v>
                </c:pt>
                <c:pt idx="102">
                  <c:v>2.6838943031613533E-3</c:v>
                </c:pt>
                <c:pt idx="103">
                  <c:v>2.6838943031613533E-3</c:v>
                </c:pt>
                <c:pt idx="104">
                  <c:v>2.6838943031613533E-3</c:v>
                </c:pt>
                <c:pt idx="105">
                  <c:v>2.6838943031613533E-3</c:v>
                </c:pt>
                <c:pt idx="106">
                  <c:v>2.6838943031613533E-3</c:v>
                </c:pt>
                <c:pt idx="107">
                  <c:v>2.6838943031613533E-3</c:v>
                </c:pt>
                <c:pt idx="108">
                  <c:v>3.2806123715887433E-3</c:v>
                </c:pt>
                <c:pt idx="109">
                  <c:v>4.4939149652589256E-3</c:v>
                </c:pt>
                <c:pt idx="110">
                  <c:v>4.4939149652589256E-3</c:v>
                </c:pt>
                <c:pt idx="111">
                  <c:v>4.4939149652589256E-3</c:v>
                </c:pt>
                <c:pt idx="112">
                  <c:v>4.6589585218781652E-3</c:v>
                </c:pt>
                <c:pt idx="113">
                  <c:v>5.2026297044295376E-3</c:v>
                </c:pt>
                <c:pt idx="114">
                  <c:v>5.2650848642146579E-3</c:v>
                </c:pt>
                <c:pt idx="115">
                  <c:v>5.2113396586007475E-3</c:v>
                </c:pt>
                <c:pt idx="116">
                  <c:v>5.1991916619875877E-3</c:v>
                </c:pt>
                <c:pt idx="117">
                  <c:v>5.2707906337361374E-3</c:v>
                </c:pt>
                <c:pt idx="118">
                  <c:v>5.0113412265492176E-3</c:v>
                </c:pt>
                <c:pt idx="119">
                  <c:v>5.9146435762935474E-3</c:v>
                </c:pt>
                <c:pt idx="120">
                  <c:v>5.9146435762935474E-3</c:v>
                </c:pt>
                <c:pt idx="121">
                  <c:v>5.9146435762935474E-3</c:v>
                </c:pt>
                <c:pt idx="122">
                  <c:v>5.9146435762935474E-3</c:v>
                </c:pt>
                <c:pt idx="123">
                  <c:v>5.9146435762935474E-3</c:v>
                </c:pt>
                <c:pt idx="124">
                  <c:v>7.1317818381049971E-3</c:v>
                </c:pt>
                <c:pt idx="125">
                  <c:v>7.1317818381049971E-3</c:v>
                </c:pt>
                <c:pt idx="126">
                  <c:v>7.1317818381049971E-3</c:v>
                </c:pt>
                <c:pt idx="127">
                  <c:v>7.1317818381049971E-3</c:v>
                </c:pt>
                <c:pt idx="128">
                  <c:v>7.1317818381049971E-3</c:v>
                </c:pt>
                <c:pt idx="129">
                  <c:v>7.1317818381049971E-3</c:v>
                </c:pt>
                <c:pt idx="130">
                  <c:v>7.1317818381049971E-3</c:v>
                </c:pt>
                <c:pt idx="131">
                  <c:v>7.1317818381049971E-3</c:v>
                </c:pt>
                <c:pt idx="132">
                  <c:v>7.1317818381049971E-3</c:v>
                </c:pt>
                <c:pt idx="133">
                  <c:v>7.1317818381049971E-3</c:v>
                </c:pt>
                <c:pt idx="134">
                  <c:v>7.1317818381049971E-3</c:v>
                </c:pt>
                <c:pt idx="135">
                  <c:v>8.4946563063379773E-3</c:v>
                </c:pt>
                <c:pt idx="136">
                  <c:v>8.4946563063379773E-3</c:v>
                </c:pt>
                <c:pt idx="137">
                  <c:v>8.4946563063379773E-3</c:v>
                </c:pt>
                <c:pt idx="138">
                  <c:v>8.4946563063379773E-3</c:v>
                </c:pt>
                <c:pt idx="139">
                  <c:v>8.4946563063379773E-3</c:v>
                </c:pt>
                <c:pt idx="140">
                  <c:v>8.4946563063379773E-3</c:v>
                </c:pt>
                <c:pt idx="141">
                  <c:v>8.4946563063379773E-3</c:v>
                </c:pt>
                <c:pt idx="142">
                  <c:v>8.4946563063379773E-3</c:v>
                </c:pt>
                <c:pt idx="143">
                  <c:v>8.4946563063379773E-3</c:v>
                </c:pt>
                <c:pt idx="144">
                  <c:v>8.4946563063379773E-3</c:v>
                </c:pt>
                <c:pt idx="145">
                  <c:v>8.4946563063379773E-3</c:v>
                </c:pt>
                <c:pt idx="146">
                  <c:v>8.4946563063379773E-3</c:v>
                </c:pt>
                <c:pt idx="147">
                  <c:v>8.4946563063379773E-3</c:v>
                </c:pt>
                <c:pt idx="148">
                  <c:v>8.4946563063379773E-3</c:v>
                </c:pt>
                <c:pt idx="149">
                  <c:v>8.4946563063379773E-3</c:v>
                </c:pt>
                <c:pt idx="150">
                  <c:v>8.4946563063379773E-3</c:v>
                </c:pt>
                <c:pt idx="151">
                  <c:v>8.4946563063379773E-3</c:v>
                </c:pt>
                <c:pt idx="152">
                  <c:v>9.4764258636890961E-3</c:v>
                </c:pt>
                <c:pt idx="153">
                  <c:v>9.4764258636890961E-3</c:v>
                </c:pt>
                <c:pt idx="154">
                  <c:v>9.4764258636890961E-3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B-4BCF-8D0E-0AE874A5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7.1265462299124503E-4</c:v>
                </c:pt>
                <c:pt idx="4">
                  <c:v>8.7091395419579493E-4</c:v>
                </c:pt>
                <c:pt idx="5">
                  <c:v>6.1473169254458383E-4</c:v>
                </c:pt>
                <c:pt idx="6">
                  <c:v>9.1125542960368371E-4</c:v>
                </c:pt>
                <c:pt idx="7">
                  <c:v>4.3688616960430374E-4</c:v>
                </c:pt>
                <c:pt idx="8">
                  <c:v>6.3596672411789365E-4</c:v>
                </c:pt>
                <c:pt idx="9">
                  <c:v>-1.4884651459696639E-4</c:v>
                </c:pt>
                <c:pt idx="10">
                  <c:v>1.0893642387093615E-3</c:v>
                </c:pt>
                <c:pt idx="11">
                  <c:v>1.3251978371802715E-3</c:v>
                </c:pt>
                <c:pt idx="12">
                  <c:v>1.3251978371802715E-3</c:v>
                </c:pt>
                <c:pt idx="13">
                  <c:v>1.3251978371802715E-3</c:v>
                </c:pt>
                <c:pt idx="14">
                  <c:v>1.3251978371802715E-3</c:v>
                </c:pt>
                <c:pt idx="15">
                  <c:v>1.3251978371802715E-3</c:v>
                </c:pt>
                <c:pt idx="16">
                  <c:v>1.3251978371802715E-3</c:v>
                </c:pt>
                <c:pt idx="17">
                  <c:v>1.3251978371802715E-3</c:v>
                </c:pt>
                <c:pt idx="18">
                  <c:v>2.0099618649159047E-3</c:v>
                </c:pt>
                <c:pt idx="19">
                  <c:v>2.0099618649159047E-3</c:v>
                </c:pt>
                <c:pt idx="20">
                  <c:v>2.7739502979568544E-3</c:v>
                </c:pt>
                <c:pt idx="21">
                  <c:v>3.8019832331808922E-3</c:v>
                </c:pt>
                <c:pt idx="22">
                  <c:v>3.8019832331808922E-3</c:v>
                </c:pt>
                <c:pt idx="23">
                  <c:v>3.8019832331808922E-3</c:v>
                </c:pt>
                <c:pt idx="24">
                  <c:v>4.7913965918217564E-3</c:v>
                </c:pt>
                <c:pt idx="25">
                  <c:v>5.0489254573627363E-3</c:v>
                </c:pt>
                <c:pt idx="26">
                  <c:v>5.0489254573627363E-3</c:v>
                </c:pt>
                <c:pt idx="27">
                  <c:v>5.0489254573627363E-3</c:v>
                </c:pt>
                <c:pt idx="28">
                  <c:v>5.0489254573627363E-3</c:v>
                </c:pt>
                <c:pt idx="29">
                  <c:v>4.8705146337163366E-3</c:v>
                </c:pt>
                <c:pt idx="30">
                  <c:v>5.6647958510106216E-3</c:v>
                </c:pt>
                <c:pt idx="31">
                  <c:v>4.8676442529363914E-3</c:v>
                </c:pt>
                <c:pt idx="32">
                  <c:v>5.4445341409033367E-3</c:v>
                </c:pt>
                <c:pt idx="33">
                  <c:v>4.1311239727954072E-3</c:v>
                </c:pt>
                <c:pt idx="34">
                  <c:v>5.0794886730640473E-3</c:v>
                </c:pt>
                <c:pt idx="35">
                  <c:v>5.9798652085232976E-3</c:v>
                </c:pt>
                <c:pt idx="36">
                  <c:v>5.9798652085232976E-3</c:v>
                </c:pt>
                <c:pt idx="37">
                  <c:v>5.9798652085232976E-3</c:v>
                </c:pt>
                <c:pt idx="38">
                  <c:v>5.9798652085232976E-3</c:v>
                </c:pt>
                <c:pt idx="39">
                  <c:v>5.9798652085232976E-3</c:v>
                </c:pt>
                <c:pt idx="40">
                  <c:v>5.9798652085232976E-3</c:v>
                </c:pt>
                <c:pt idx="41">
                  <c:v>5.9798652085232976E-3</c:v>
                </c:pt>
                <c:pt idx="42">
                  <c:v>5.9798652085232976E-3</c:v>
                </c:pt>
                <c:pt idx="43">
                  <c:v>6.1185909125536795E-3</c:v>
                </c:pt>
                <c:pt idx="44">
                  <c:v>6.0003194622329356E-3</c:v>
                </c:pt>
                <c:pt idx="45">
                  <c:v>6.0252488240958961E-3</c:v>
                </c:pt>
                <c:pt idx="46">
                  <c:v>4.9733028076939158E-3</c:v>
                </c:pt>
                <c:pt idx="47">
                  <c:v>5.8102943330205683E-3</c:v>
                </c:pt>
                <c:pt idx="48">
                  <c:v>5.274850631819622E-3</c:v>
                </c:pt>
                <c:pt idx="49">
                  <c:v>4.6992122336118663E-3</c:v>
                </c:pt>
                <c:pt idx="50">
                  <c:v>5.4122843775178779E-3</c:v>
                </c:pt>
                <c:pt idx="51">
                  <c:v>5.4736775536398117E-3</c:v>
                </c:pt>
                <c:pt idx="52">
                  <c:v>5.799811489097262E-3</c:v>
                </c:pt>
                <c:pt idx="53">
                  <c:v>4.9662994596371369E-3</c:v>
                </c:pt>
                <c:pt idx="54">
                  <c:v>5.0005813943582869E-3</c:v>
                </c:pt>
                <c:pt idx="55">
                  <c:v>4.8842730286982579E-3</c:v>
                </c:pt>
                <c:pt idx="56">
                  <c:v>4.4877623177141807E-3</c:v>
                </c:pt>
                <c:pt idx="57">
                  <c:v>5.1849025865325811E-3</c:v>
                </c:pt>
                <c:pt idx="58">
                  <c:v>4.9662994596374249E-3</c:v>
                </c:pt>
                <c:pt idx="59">
                  <c:v>4.8021096263160049E-3</c:v>
                </c:pt>
                <c:pt idx="60">
                  <c:v>3.7177508513755149E-3</c:v>
                </c:pt>
                <c:pt idx="61">
                  <c:v>4.637370531484203E-3</c:v>
                </c:pt>
                <c:pt idx="62">
                  <c:v>4.637370531484203E-3</c:v>
                </c:pt>
                <c:pt idx="63">
                  <c:v>5.6344789997783808E-3</c:v>
                </c:pt>
                <c:pt idx="64">
                  <c:v>5.6344789997783808E-3</c:v>
                </c:pt>
                <c:pt idx="65">
                  <c:v>5.6344789997783808E-3</c:v>
                </c:pt>
                <c:pt idx="66">
                  <c:v>5.6344789997783808E-3</c:v>
                </c:pt>
                <c:pt idx="67">
                  <c:v>5.6344789997783808E-3</c:v>
                </c:pt>
                <c:pt idx="68">
                  <c:v>5.6344789997783808E-3</c:v>
                </c:pt>
                <c:pt idx="69">
                  <c:v>5.6344789997783808E-3</c:v>
                </c:pt>
                <c:pt idx="70">
                  <c:v>5.6344789997783808E-3</c:v>
                </c:pt>
                <c:pt idx="71">
                  <c:v>5.6344789997783808E-3</c:v>
                </c:pt>
                <c:pt idx="72">
                  <c:v>5.6344789997783808E-3</c:v>
                </c:pt>
                <c:pt idx="73">
                  <c:v>5.6344789997783808E-3</c:v>
                </c:pt>
                <c:pt idx="74">
                  <c:v>5.6344789997783808E-3</c:v>
                </c:pt>
                <c:pt idx="75">
                  <c:v>6.2735822447247307E-3</c:v>
                </c:pt>
                <c:pt idx="76">
                  <c:v>6.3915510617709656E-3</c:v>
                </c:pt>
                <c:pt idx="77">
                  <c:v>6.993175465759463E-3</c:v>
                </c:pt>
                <c:pt idx="78">
                  <c:v>6.993175465759463E-3</c:v>
                </c:pt>
                <c:pt idx="79">
                  <c:v>6.993175465759463E-3</c:v>
                </c:pt>
                <c:pt idx="80">
                  <c:v>6.993175465759463E-3</c:v>
                </c:pt>
                <c:pt idx="81">
                  <c:v>6.993175465759463E-3</c:v>
                </c:pt>
                <c:pt idx="82">
                  <c:v>6.993175465759463E-3</c:v>
                </c:pt>
                <c:pt idx="83">
                  <c:v>8.1953085859004932E-3</c:v>
                </c:pt>
                <c:pt idx="84">
                  <c:v>8.5720633820311962E-3</c:v>
                </c:pt>
                <c:pt idx="85">
                  <c:v>8.2780280825674665E-3</c:v>
                </c:pt>
                <c:pt idx="86">
                  <c:v>8.3319655410084466E-3</c:v>
                </c:pt>
                <c:pt idx="87">
                  <c:v>8.5307924628285903E-3</c:v>
                </c:pt>
                <c:pt idx="88">
                  <c:v>7.599538535511644E-3</c:v>
                </c:pt>
                <c:pt idx="89">
                  <c:v>7.8096979091793039E-3</c:v>
                </c:pt>
                <c:pt idx="90">
                  <c:v>8.6339050841598639E-3</c:v>
                </c:pt>
                <c:pt idx="91">
                  <c:v>8.6339050841598639E-3</c:v>
                </c:pt>
                <c:pt idx="92">
                  <c:v>8.6339050841598639E-3</c:v>
                </c:pt>
                <c:pt idx="93">
                  <c:v>8.6339050841598639E-3</c:v>
                </c:pt>
                <c:pt idx="94">
                  <c:v>8.6339050841598639E-3</c:v>
                </c:pt>
                <c:pt idx="95">
                  <c:v>8.6339050841598639E-3</c:v>
                </c:pt>
                <c:pt idx="96">
                  <c:v>8.6339050841598639E-3</c:v>
                </c:pt>
                <c:pt idx="97">
                  <c:v>8.6339050841598639E-3</c:v>
                </c:pt>
                <c:pt idx="98">
                  <c:v>9.6349459220132633E-3</c:v>
                </c:pt>
                <c:pt idx="99">
                  <c:v>9.2804688153312349E-3</c:v>
                </c:pt>
                <c:pt idx="100">
                  <c:v>9.3427476821249505E-3</c:v>
                </c:pt>
                <c:pt idx="101">
                  <c:v>8.8537805119146412E-3</c:v>
                </c:pt>
                <c:pt idx="102">
                  <c:v>9.821000327504702E-3</c:v>
                </c:pt>
                <c:pt idx="103">
                  <c:v>9.821000327504702E-3</c:v>
                </c:pt>
                <c:pt idx="104">
                  <c:v>1.0602894051947153E-2</c:v>
                </c:pt>
                <c:pt idx="105">
                  <c:v>1.0186312652362375E-2</c:v>
                </c:pt>
                <c:pt idx="106">
                  <c:v>9.9353704463672355E-3</c:v>
                </c:pt>
                <c:pt idx="107">
                  <c:v>1.2016667276321726E-2</c:v>
                </c:pt>
                <c:pt idx="108">
                  <c:v>1.2613385344749116E-2</c:v>
                </c:pt>
                <c:pt idx="109">
                  <c:v>1.3826687938419298E-2</c:v>
                </c:pt>
                <c:pt idx="110">
                  <c:v>1.3826687938419298E-2</c:v>
                </c:pt>
                <c:pt idx="111">
                  <c:v>1.3826687938419298E-2</c:v>
                </c:pt>
                <c:pt idx="112">
                  <c:v>1.3991731495038538E-2</c:v>
                </c:pt>
                <c:pt idx="113">
                  <c:v>1.4535402677589911E-2</c:v>
                </c:pt>
                <c:pt idx="114">
                  <c:v>1.4597857837375031E-2</c:v>
                </c:pt>
                <c:pt idx="115">
                  <c:v>1.4544112631761121E-2</c:v>
                </c:pt>
                <c:pt idx="116">
                  <c:v>1.453196463514796E-2</c:v>
                </c:pt>
                <c:pt idx="117">
                  <c:v>1.4603563606896509E-2</c:v>
                </c:pt>
                <c:pt idx="118">
                  <c:v>1.4344114199709589E-2</c:v>
                </c:pt>
                <c:pt idx="119">
                  <c:v>1.524741654945392E-2</c:v>
                </c:pt>
                <c:pt idx="120">
                  <c:v>1.524741654945392E-2</c:v>
                </c:pt>
                <c:pt idx="121">
                  <c:v>1.524741654945392E-2</c:v>
                </c:pt>
                <c:pt idx="122">
                  <c:v>1.524741654945392E-2</c:v>
                </c:pt>
                <c:pt idx="123">
                  <c:v>1.524741654945392E-2</c:v>
                </c:pt>
                <c:pt idx="124">
                  <c:v>1.646455481126537E-2</c:v>
                </c:pt>
                <c:pt idx="125">
                  <c:v>1.646455481126537E-2</c:v>
                </c:pt>
                <c:pt idx="126">
                  <c:v>1.646455481126537E-2</c:v>
                </c:pt>
                <c:pt idx="127">
                  <c:v>1.646455481126537E-2</c:v>
                </c:pt>
                <c:pt idx="128">
                  <c:v>1.646455481126537E-2</c:v>
                </c:pt>
                <c:pt idx="129">
                  <c:v>1.646455481126537E-2</c:v>
                </c:pt>
                <c:pt idx="130">
                  <c:v>1.646455481126537E-2</c:v>
                </c:pt>
                <c:pt idx="131">
                  <c:v>1.6348541846474687E-2</c:v>
                </c:pt>
                <c:pt idx="132">
                  <c:v>1.6549244305753472E-2</c:v>
                </c:pt>
                <c:pt idx="133">
                  <c:v>1.6517813818707702E-2</c:v>
                </c:pt>
                <c:pt idx="134">
                  <c:v>1.8197961439300053E-2</c:v>
                </c:pt>
                <c:pt idx="135">
                  <c:v>1.9560835907533033E-2</c:v>
                </c:pt>
                <c:pt idx="136">
                  <c:v>1.9560835907533033E-2</c:v>
                </c:pt>
                <c:pt idx="137">
                  <c:v>1.9560835907533033E-2</c:v>
                </c:pt>
                <c:pt idx="138">
                  <c:v>1.9560835907533033E-2</c:v>
                </c:pt>
                <c:pt idx="139">
                  <c:v>1.9560835907533033E-2</c:v>
                </c:pt>
                <c:pt idx="140">
                  <c:v>1.9560835907533033E-2</c:v>
                </c:pt>
                <c:pt idx="141">
                  <c:v>1.9560835907533033E-2</c:v>
                </c:pt>
                <c:pt idx="142">
                  <c:v>1.9560835907533033E-2</c:v>
                </c:pt>
                <c:pt idx="143">
                  <c:v>1.9560835907533033E-2</c:v>
                </c:pt>
                <c:pt idx="144">
                  <c:v>1.9560835907533033E-2</c:v>
                </c:pt>
                <c:pt idx="145">
                  <c:v>1.9560835907533033E-2</c:v>
                </c:pt>
                <c:pt idx="146">
                  <c:v>1.9560835907533033E-2</c:v>
                </c:pt>
                <c:pt idx="147">
                  <c:v>1.9560835907533033E-2</c:v>
                </c:pt>
                <c:pt idx="148">
                  <c:v>1.9560835907533033E-2</c:v>
                </c:pt>
                <c:pt idx="149">
                  <c:v>1.9560835907533033E-2</c:v>
                </c:pt>
                <c:pt idx="150">
                  <c:v>1.9560835907533033E-2</c:v>
                </c:pt>
                <c:pt idx="151">
                  <c:v>1.9560835907533033E-2</c:v>
                </c:pt>
                <c:pt idx="152">
                  <c:v>2.0542605464884154E-2</c:v>
                </c:pt>
                <c:pt idx="153">
                  <c:v>2.0542605464884154E-2</c:v>
                </c:pt>
                <c:pt idx="154">
                  <c:v>2.0270335228837692E-2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9-4214-8801-E8F7E191A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9E446-9A7A-42A6-B8F0-E4B68A166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5C04FD-2C82-4AB1-9F5D-1E33B7030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3F6F91-04BF-4336-8734-90BC174CA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9C083A-4AF8-45CB-8370-42B8B7482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C6E418-BF79-43C9-B79B-EC613AEB5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074447-078B-4D3D-8D62-BD9B3AD56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267B04-FBD5-41BF-9FA0-EA6046DDB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C6F8-1D00-4017-B21E-833898AFC89F}">
  <dimension ref="A1:DZ179"/>
  <sheetViews>
    <sheetView tabSelected="1" topLeftCell="BI1" workbookViewId="0">
      <selection activeCell="CO19" sqref="CO19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2.5592197969480286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3.6802877006263701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45.75</v>
      </c>
      <c r="C2" s="33">
        <v>50.37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45.75</v>
      </c>
      <c r="M2" s="33">
        <v>50.37</v>
      </c>
      <c r="N2" s="34">
        <v>1.1009836065573699</v>
      </c>
      <c r="O2" s="34">
        <v>1.1028747626327899</v>
      </c>
      <c r="X2" s="34">
        <v>1.1009836065573699</v>
      </c>
      <c r="Y2" s="34">
        <v>1.1028747626327899</v>
      </c>
      <c r="AI2" s="4">
        <v>0</v>
      </c>
      <c r="AJ2" s="10">
        <f t="dataTable" ref="AJ2:AQ9" dt2D="1" dtr="1" r1="AI21" r2="AI22"/>
        <v>2.791542675006117</v>
      </c>
      <c r="AK2" s="10">
        <v>3.0573760389027069</v>
      </c>
      <c r="AL2" s="10">
        <v>3.0850049690810111</v>
      </c>
      <c r="AM2" s="10">
        <v>2.4828171617291752</v>
      </c>
      <c r="AN2" s="10">
        <v>2.2241550276773503</v>
      </c>
      <c r="AO2" s="10">
        <v>2.5592197969480286</v>
      </c>
      <c r="AP2" s="10">
        <v>2.3629410544709706</v>
      </c>
      <c r="AQ2" s="10">
        <v>1.8231934371820611</v>
      </c>
      <c r="AR2"/>
      <c r="AT2" s="4">
        <v>0</v>
      </c>
      <c r="AU2" s="10">
        <f t="dataTable" ref="AU2:BB9" dt2D="1" dtr="1" r1="AT21" r2="AT22"/>
        <v>3.7965745659776564</v>
      </c>
      <c r="AV2" s="11">
        <v>3.2886876442701283</v>
      </c>
      <c r="AW2" s="11">
        <v>2.6490041327392273</v>
      </c>
      <c r="AX2" s="11">
        <v>2.6453906433930197</v>
      </c>
      <c r="AY2" s="11">
        <v>3.3139956339998968</v>
      </c>
      <c r="AZ2" s="11">
        <v>3.6802877006263701</v>
      </c>
      <c r="BA2" s="11">
        <v>2.4054094898696983</v>
      </c>
      <c r="BB2" s="11">
        <v>0.94980025244978494</v>
      </c>
      <c r="BC2"/>
    </row>
    <row r="3" spans="1:130" x14ac:dyDescent="0.25">
      <c r="A3" s="1">
        <v>46027</v>
      </c>
      <c r="B3" s="33">
        <v>45.79</v>
      </c>
      <c r="C3" s="33">
        <v>50.4</v>
      </c>
      <c r="D3" s="15">
        <v>8.7393494747365101E-4</v>
      </c>
      <c r="E3" s="15">
        <v>5.9541531976390705E-4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45.79</v>
      </c>
      <c r="M3" s="33">
        <v>50.4</v>
      </c>
      <c r="N3" s="34">
        <v>1.1006770037125999</v>
      </c>
      <c r="O3" s="34">
        <v>1.1028747626327899</v>
      </c>
      <c r="R3" s="33">
        <v>50.5006353809557</v>
      </c>
      <c r="U3" s="15">
        <v>1.9947429259445201E-3</v>
      </c>
      <c r="X3" s="34">
        <v>1.1006770037125999</v>
      </c>
      <c r="Y3" s="34">
        <v>1.1028747626327899</v>
      </c>
      <c r="AB3" s="33">
        <v>50.5006353809557</v>
      </c>
      <c r="AE3" s="15">
        <v>1.9947429259445201E-3</v>
      </c>
      <c r="AI3" s="4">
        <f t="shared" ref="AI3:AI9" si="2">AI2-AK$12</f>
        <v>-2.0000000000000001E-4</v>
      </c>
      <c r="AJ3" s="10">
        <v>2.791542675006117</v>
      </c>
      <c r="AK3" s="10">
        <v>3.7448239838276227</v>
      </c>
      <c r="AL3" s="10">
        <v>3.6542176883656636</v>
      </c>
      <c r="AM3" s="10">
        <v>3.3370955929294315</v>
      </c>
      <c r="AN3" s="10">
        <v>2.9411824501814703</v>
      </c>
      <c r="AO3" s="11">
        <v>3.4468090308404946</v>
      </c>
      <c r="AP3" s="10">
        <v>2.475865250797761</v>
      </c>
      <c r="AQ3" s="10">
        <v>1.9463448751574863</v>
      </c>
      <c r="AR3"/>
      <c r="AT3" s="4">
        <f>AT2+AV$12</f>
        <v>2.0000000000000001E-4</v>
      </c>
      <c r="AU3" s="10">
        <v>3.7965745659776564</v>
      </c>
      <c r="AV3" s="11">
        <v>3.722629623331013</v>
      </c>
      <c r="AW3" s="11">
        <v>3.091305519083055</v>
      </c>
      <c r="AX3" s="11">
        <v>3.4624501229564757</v>
      </c>
      <c r="AY3" s="11">
        <v>3.2331971926402576</v>
      </c>
      <c r="AZ3" s="11">
        <v>3.5932544427525022</v>
      </c>
      <c r="BA3" s="11">
        <v>2.2877759077812017</v>
      </c>
      <c r="BB3" s="11">
        <v>0.78730252312813576</v>
      </c>
      <c r="BC3"/>
    </row>
    <row r="4" spans="1:130" x14ac:dyDescent="0.25">
      <c r="A4" s="1">
        <v>46028</v>
      </c>
      <c r="B4" s="33">
        <v>45.8</v>
      </c>
      <c r="C4" s="33">
        <v>50.46</v>
      </c>
      <c r="D4" s="15">
        <v>2.18364451135127E-4</v>
      </c>
      <c r="E4" s="15">
        <v>1.18976813558875E-3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45.8</v>
      </c>
      <c r="M4" s="33">
        <v>50.46</v>
      </c>
      <c r="N4" s="34">
        <v>1.1017467248908199</v>
      </c>
      <c r="O4" s="34">
        <v>1.1028747626327899</v>
      </c>
      <c r="R4" s="33">
        <v>50.511664128581998</v>
      </c>
      <c r="U4" s="15">
        <v>1.0233392414908901E-3</v>
      </c>
      <c r="X4" s="34">
        <v>1.1017467248908199</v>
      </c>
      <c r="Y4" s="34">
        <v>1.1028747626327899</v>
      </c>
      <c r="AB4" s="33">
        <v>50.511664128581998</v>
      </c>
      <c r="AE4" s="15">
        <v>1.0233392414908901E-3</v>
      </c>
      <c r="AG4"/>
      <c r="AI4" s="4">
        <f t="shared" si="2"/>
        <v>-4.0000000000000002E-4</v>
      </c>
      <c r="AJ4" s="10">
        <v>2.791542675006117</v>
      </c>
      <c r="AK4" s="11">
        <v>3.7448239838276227</v>
      </c>
      <c r="AL4" s="11">
        <v>4.6179004747576498</v>
      </c>
      <c r="AM4" s="11">
        <v>3.8223323350143668</v>
      </c>
      <c r="AN4" s="10">
        <v>3.5150989107953592</v>
      </c>
      <c r="AO4" s="11">
        <v>3.3352936624742475</v>
      </c>
      <c r="AP4" s="11">
        <v>2.277346445068837</v>
      </c>
      <c r="AQ4" s="11">
        <v>1.9463448751574863</v>
      </c>
      <c r="AR4"/>
      <c r="AT4" s="4">
        <f t="shared" ref="AT4:AT9" si="3">AT3+AV$12</f>
        <v>4.0000000000000002E-4</v>
      </c>
      <c r="AU4" s="10">
        <v>3.7965745659776564</v>
      </c>
      <c r="AV4" s="11">
        <v>3.722629623331013</v>
      </c>
      <c r="AW4" s="11">
        <v>3.1653031388375683</v>
      </c>
      <c r="AX4" s="11">
        <v>3.3163522595548027</v>
      </c>
      <c r="AY4" s="11">
        <v>3.0795998017136732</v>
      </c>
      <c r="AZ4" s="11">
        <v>3.4503955735387373</v>
      </c>
      <c r="BA4" s="11">
        <v>2.2877759077812017</v>
      </c>
      <c r="BB4" s="11">
        <v>0.78730252312813576</v>
      </c>
      <c r="BC4"/>
      <c r="BE4" s="8"/>
      <c r="BF4" s="8"/>
    </row>
    <row r="5" spans="1:130" x14ac:dyDescent="0.25">
      <c r="A5" s="1">
        <v>46029</v>
      </c>
      <c r="B5" s="33">
        <v>45.93</v>
      </c>
      <c r="C5" s="33">
        <v>50.55</v>
      </c>
      <c r="D5" s="15">
        <v>2.8344072175629101E-3</v>
      </c>
      <c r="E5" s="15">
        <v>1.78200225356857E-3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45.93</v>
      </c>
      <c r="M5" s="33">
        <v>50.55</v>
      </c>
      <c r="N5" s="34">
        <v>1.1005878510777201</v>
      </c>
      <c r="O5" s="34">
        <v>1.1028747626327899</v>
      </c>
      <c r="R5" s="33">
        <v>50.655037847724302</v>
      </c>
      <c r="U5" s="15">
        <v>2.0757442054850001E-3</v>
      </c>
      <c r="X5" s="34">
        <v>1.1005878510777201</v>
      </c>
      <c r="Y5" s="34">
        <v>1.1028747626327899</v>
      </c>
      <c r="AB5" s="33">
        <v>50.655037847724302</v>
      </c>
      <c r="AE5" s="15">
        <v>2.0757442054850001E-3</v>
      </c>
      <c r="AG5" s="29"/>
      <c r="AI5" s="4">
        <f t="shared" si="2"/>
        <v>-6.0000000000000006E-4</v>
      </c>
      <c r="AJ5" s="10">
        <v>2.791542675006117</v>
      </c>
      <c r="AK5" s="11">
        <v>3.7448239838276227</v>
      </c>
      <c r="AL5" s="11">
        <v>4.6179004747576498</v>
      </c>
      <c r="AM5" s="11">
        <v>3.9692911148739167</v>
      </c>
      <c r="AN5" s="11">
        <v>3.5149202851611991</v>
      </c>
      <c r="AO5" s="11">
        <v>3.3484231984544577</v>
      </c>
      <c r="AP5" s="10">
        <v>2.2617834136460919</v>
      </c>
      <c r="AQ5" s="11">
        <v>2.1635662680282262</v>
      </c>
      <c r="AR5"/>
      <c r="AT5" s="4">
        <f t="shared" si="3"/>
        <v>6.0000000000000006E-4</v>
      </c>
      <c r="AU5" s="10">
        <v>3.7965745659776564</v>
      </c>
      <c r="AV5" s="11">
        <v>3.722629623331013</v>
      </c>
      <c r="AW5" s="11">
        <v>3.1653031388375683</v>
      </c>
      <c r="AX5" s="11">
        <v>2.8934838871632462</v>
      </c>
      <c r="AY5" s="11">
        <v>2.6436872195876635</v>
      </c>
      <c r="AZ5" s="11">
        <v>3.2084155054332069</v>
      </c>
      <c r="BA5" s="11">
        <v>1.9616229537362897</v>
      </c>
      <c r="BB5" s="11">
        <v>0.78730252312813576</v>
      </c>
      <c r="BC5"/>
    </row>
    <row r="6" spans="1:130" x14ac:dyDescent="0.25">
      <c r="A6" s="1">
        <v>46030</v>
      </c>
      <c r="B6" s="33">
        <v>45.9</v>
      </c>
      <c r="C6" s="33">
        <v>50.51</v>
      </c>
      <c r="D6" s="15">
        <v>-6.5338127120267997E-4</v>
      </c>
      <c r="E6" s="15">
        <v>-7.9160898651923497E-4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45.9</v>
      </c>
      <c r="M6" s="33">
        <v>50.51</v>
      </c>
      <c r="N6" s="34">
        <v>1.1004357298474901</v>
      </c>
      <c r="O6" s="34">
        <v>1.1028747626327899</v>
      </c>
      <c r="R6" s="33">
        <v>50.6219516048453</v>
      </c>
      <c r="U6" s="15">
        <v>2.2139719208015898E-3</v>
      </c>
      <c r="X6" s="34">
        <v>1.1004357298474901</v>
      </c>
      <c r="Y6" s="34">
        <v>1.1028747626327899</v>
      </c>
      <c r="AB6" s="33">
        <v>50.6219516048453</v>
      </c>
      <c r="AE6" s="15">
        <v>2.2139719208015898E-3</v>
      </c>
      <c r="AG6" s="29"/>
      <c r="AI6" s="4">
        <f t="shared" si="2"/>
        <v>-8.0000000000000004E-4</v>
      </c>
      <c r="AJ6" s="10">
        <v>2.791542675006117</v>
      </c>
      <c r="AK6" s="11">
        <v>3.7448239838276227</v>
      </c>
      <c r="AL6" s="11">
        <v>4.6179004747576498</v>
      </c>
      <c r="AM6" s="11">
        <v>3.9692911148739167</v>
      </c>
      <c r="AN6" s="11">
        <v>3.2824491849087223</v>
      </c>
      <c r="AO6" s="11">
        <v>3.5483536414248356</v>
      </c>
      <c r="AP6" s="11">
        <v>2.9703619684156304</v>
      </c>
      <c r="AQ6" s="11">
        <v>3.0695679956008353</v>
      </c>
      <c r="AR6"/>
      <c r="AT6" s="4">
        <f t="shared" si="3"/>
        <v>8.0000000000000004E-4</v>
      </c>
      <c r="AU6" s="10">
        <v>3.7965745659776564</v>
      </c>
      <c r="AV6" s="11">
        <v>3.722629623331013</v>
      </c>
      <c r="AW6" s="11">
        <v>3.1653031388375683</v>
      </c>
      <c r="AX6" s="11">
        <v>2.8934838871632462</v>
      </c>
      <c r="AY6" s="11">
        <v>2.5576496760771592</v>
      </c>
      <c r="AZ6" s="11">
        <v>3.1883430498621803</v>
      </c>
      <c r="BA6" s="11">
        <v>2.5220901707341623</v>
      </c>
      <c r="BB6" s="11">
        <v>1.8460935889573371</v>
      </c>
      <c r="BC6"/>
    </row>
    <row r="7" spans="1:130" x14ac:dyDescent="0.25">
      <c r="A7" s="1">
        <v>46031</v>
      </c>
      <c r="B7" s="33">
        <v>45.95</v>
      </c>
      <c r="C7" s="33">
        <v>50.58</v>
      </c>
      <c r="D7" s="15">
        <v>1.08873173519665E-3</v>
      </c>
      <c r="E7" s="15">
        <v>1.3849047618579901E-3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45.95</v>
      </c>
      <c r="M7" s="33">
        <v>50.58</v>
      </c>
      <c r="N7" s="34">
        <v>1.10076169749727</v>
      </c>
      <c r="O7" s="34">
        <v>1.1028747626327899</v>
      </c>
      <c r="R7" s="33">
        <v>50.677095342976898</v>
      </c>
      <c r="U7" s="15">
        <v>1.9177988941403599E-3</v>
      </c>
      <c r="X7" s="34">
        <v>1.10076169749727</v>
      </c>
      <c r="Y7" s="34">
        <v>1.1028747626327899</v>
      </c>
      <c r="AB7" s="33">
        <v>50.677095342976898</v>
      </c>
      <c r="AE7" s="15">
        <v>1.9177988941403599E-3</v>
      </c>
      <c r="AG7"/>
      <c r="AI7" s="4">
        <f t="shared" si="2"/>
        <v>-1E-3</v>
      </c>
      <c r="AJ7" s="10">
        <v>2.791542675006117</v>
      </c>
      <c r="AK7" s="11">
        <v>3.7448239838276227</v>
      </c>
      <c r="AL7" s="11">
        <v>4.6179004747576498</v>
      </c>
      <c r="AM7" s="11">
        <v>3.9692911148739167</v>
      </c>
      <c r="AN7" s="11">
        <v>3.2824491849087223</v>
      </c>
      <c r="AO7" s="11">
        <v>3.4439487431454427</v>
      </c>
      <c r="AP7" s="11">
        <v>2.8405165876913392</v>
      </c>
      <c r="AQ7" s="11">
        <v>2.9888349208244156</v>
      </c>
      <c r="AR7"/>
      <c r="AT7" s="4">
        <f t="shared" si="3"/>
        <v>1E-3</v>
      </c>
      <c r="AU7" s="10">
        <v>3.7965745659776564</v>
      </c>
      <c r="AV7" s="11">
        <v>3.722629623331013</v>
      </c>
      <c r="AW7" s="11">
        <v>3.1653031388375683</v>
      </c>
      <c r="AX7" s="11">
        <v>2.8934838871632462</v>
      </c>
      <c r="AY7" s="11">
        <v>2.5576496760771592</v>
      </c>
      <c r="AZ7" s="11">
        <v>3.6564742222230211</v>
      </c>
      <c r="BA7" s="11">
        <v>2.5596886513050654</v>
      </c>
      <c r="BB7" s="11">
        <v>1.8779940115373783</v>
      </c>
      <c r="BC7"/>
    </row>
    <row r="8" spans="1:130" x14ac:dyDescent="0.25">
      <c r="A8" s="1">
        <v>46034</v>
      </c>
      <c r="B8" s="33">
        <v>45.93</v>
      </c>
      <c r="C8" s="33">
        <v>50.56</v>
      </c>
      <c r="D8" s="15">
        <v>-4.3535046399403502E-4</v>
      </c>
      <c r="E8" s="15">
        <v>-3.9549140321703098E-4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45.93</v>
      </c>
      <c r="M8" s="33">
        <v>50.56</v>
      </c>
      <c r="N8" s="34">
        <v>1.1008055736991</v>
      </c>
      <c r="O8" s="34">
        <v>1.1028747626327899</v>
      </c>
      <c r="R8" s="33">
        <v>50.655037847724302</v>
      </c>
      <c r="U8" s="15">
        <v>1.87793983336326E-3</v>
      </c>
      <c r="X8" s="34">
        <v>1.1008055736991</v>
      </c>
      <c r="Y8" s="34">
        <v>1.1028747626327899</v>
      </c>
      <c r="AB8" s="33">
        <v>50.655037847724302</v>
      </c>
      <c r="AE8" s="15">
        <v>1.87793983336326E-3</v>
      </c>
      <c r="AG8"/>
      <c r="AI8" s="4">
        <f t="shared" si="2"/>
        <v>-1.2000000000000001E-3</v>
      </c>
      <c r="AJ8" s="10">
        <v>2.791542675006117</v>
      </c>
      <c r="AK8" s="11">
        <v>3.7448239838276227</v>
      </c>
      <c r="AL8" s="11">
        <v>4.6179004747576498</v>
      </c>
      <c r="AM8" s="11">
        <v>3.9692911148739167</v>
      </c>
      <c r="AN8" s="11">
        <v>3.2824491849087223</v>
      </c>
      <c r="AO8" s="11">
        <v>3.4439487431454427</v>
      </c>
      <c r="AP8" s="11">
        <v>3.5281477815637476</v>
      </c>
      <c r="AQ8" s="11">
        <v>2.955711666259996</v>
      </c>
      <c r="AR8"/>
      <c r="AT8" s="4">
        <f t="shared" si="3"/>
        <v>1.2000000000000001E-3</v>
      </c>
      <c r="AU8" s="10">
        <v>3.7965745659776564</v>
      </c>
      <c r="AV8" s="11">
        <v>3.722629623331013</v>
      </c>
      <c r="AW8" s="11">
        <v>3.1653031388375683</v>
      </c>
      <c r="AX8" s="11">
        <v>2.8934838871632462</v>
      </c>
      <c r="AY8" s="11">
        <v>2.5576496760771592</v>
      </c>
      <c r="AZ8" s="11">
        <v>3.6564742222230211</v>
      </c>
      <c r="BA8" s="11">
        <v>2.4467460794084781</v>
      </c>
      <c r="BB8" s="11">
        <v>1.7460567897157582</v>
      </c>
      <c r="BC8"/>
    </row>
    <row r="9" spans="1:130" x14ac:dyDescent="0.25">
      <c r="A9" s="1">
        <v>46035</v>
      </c>
      <c r="B9" s="33">
        <v>45.9</v>
      </c>
      <c r="C9" s="33">
        <v>50.58</v>
      </c>
      <c r="D9" s="15">
        <v>-6.5338127120267997E-4</v>
      </c>
      <c r="E9" s="15">
        <v>3.9549140321705299E-4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45.9</v>
      </c>
      <c r="M9" s="33">
        <v>50.58</v>
      </c>
      <c r="N9" s="34">
        <v>1.10196078431372</v>
      </c>
      <c r="O9" s="34">
        <v>1.1028747626327899</v>
      </c>
      <c r="R9" s="33">
        <v>50.6219516048453</v>
      </c>
      <c r="U9" s="15">
        <v>8.2906715894364997E-4</v>
      </c>
      <c r="X9" s="34">
        <v>1.10196078431372</v>
      </c>
      <c r="Y9" s="34">
        <v>1.1028747626327899</v>
      </c>
      <c r="AB9" s="33">
        <v>50.6219516048453</v>
      </c>
      <c r="AE9" s="15">
        <v>8.2906715894364997E-4</v>
      </c>
      <c r="AF9"/>
      <c r="AI9" s="4">
        <f t="shared" si="2"/>
        <v>-1.4000000000000002E-3</v>
      </c>
      <c r="AJ9" s="10">
        <v>2.791542675006117</v>
      </c>
      <c r="AK9" s="11">
        <v>3.7448239838276227</v>
      </c>
      <c r="AL9" s="11">
        <v>4.6179004747576498</v>
      </c>
      <c r="AM9" s="11">
        <v>3.9692911148739167</v>
      </c>
      <c r="AN9" s="11">
        <v>3.2824491849087223</v>
      </c>
      <c r="AO9" s="11">
        <v>3.4439487431454427</v>
      </c>
      <c r="AP9" s="11">
        <v>3.5281477815637476</v>
      </c>
      <c r="AQ9" s="11">
        <v>2.955711666259996</v>
      </c>
      <c r="AR9"/>
      <c r="AT9" s="4">
        <f t="shared" si="3"/>
        <v>1.4000000000000002E-3</v>
      </c>
      <c r="AU9" s="10">
        <v>3.7965745659776564</v>
      </c>
      <c r="AV9" s="10">
        <v>3.722629623331013</v>
      </c>
      <c r="AW9" s="10">
        <v>3.1653031388375683</v>
      </c>
      <c r="AX9" s="10">
        <v>2.8934838871632462</v>
      </c>
      <c r="AY9" s="10">
        <v>2.5576496760771592</v>
      </c>
      <c r="AZ9" s="10">
        <v>3.6564742222230211</v>
      </c>
      <c r="BA9" s="10">
        <v>2.4467460794084781</v>
      </c>
      <c r="BB9" s="10">
        <v>1.7460567897157582</v>
      </c>
      <c r="BC9"/>
    </row>
    <row r="10" spans="1:130" x14ac:dyDescent="0.25">
      <c r="A10" s="1">
        <v>46036</v>
      </c>
      <c r="B10" s="33">
        <v>45.99</v>
      </c>
      <c r="C10" s="33">
        <v>50.62</v>
      </c>
      <c r="D10" s="15">
        <v>1.9588644853329698E-3</v>
      </c>
      <c r="E10" s="15">
        <v>7.9051387515897595E-4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45.99</v>
      </c>
      <c r="M10" s="33">
        <v>50.62</v>
      </c>
      <c r="N10" s="34">
        <v>1.1006740595781599</v>
      </c>
      <c r="O10" s="34">
        <v>1.1028747626327899</v>
      </c>
      <c r="R10" s="33">
        <v>50.721210333482198</v>
      </c>
      <c r="U10" s="15">
        <v>1.9974177691178901E-3</v>
      </c>
      <c r="X10" s="34">
        <v>1.1006740595781599</v>
      </c>
      <c r="Y10" s="34">
        <v>1.1028747626327899</v>
      </c>
      <c r="AB10" s="33">
        <v>50.721210333482198</v>
      </c>
      <c r="AE10" s="15">
        <v>1.9974177691178901E-3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45.98</v>
      </c>
      <c r="C11" s="33">
        <v>50.61</v>
      </c>
      <c r="D11" s="15">
        <v>-2.1746221679712501E-4</v>
      </c>
      <c r="E11" s="15">
        <v>-1.9756989099129101E-4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45.98</v>
      </c>
      <c r="M11" s="33">
        <v>50.61</v>
      </c>
      <c r="N11" s="34">
        <v>1.10069595476294</v>
      </c>
      <c r="O11" s="34">
        <v>1.1028747626327899</v>
      </c>
      <c r="P11" s="34">
        <v>1.1009328985937199</v>
      </c>
      <c r="R11" s="33">
        <v>50.710181585855899</v>
      </c>
      <c r="U11" s="15">
        <v>1.9775254433122601E-3</v>
      </c>
      <c r="X11" s="34">
        <v>1.10069595476294</v>
      </c>
      <c r="Y11" s="34">
        <v>1.1028747626327899</v>
      </c>
      <c r="Z11" s="34">
        <v>1.1009328985937199</v>
      </c>
      <c r="AB11" s="33">
        <v>50.710181585855899</v>
      </c>
      <c r="AE11" s="15">
        <v>1.9775254433122601E-3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45.93</v>
      </c>
      <c r="C12" s="33">
        <v>50.6</v>
      </c>
      <c r="D12" s="15">
        <v>-1.0880209973334E-3</v>
      </c>
      <c r="E12" s="15">
        <v>-1.9760893256676201E-4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45.93</v>
      </c>
      <c r="M12" s="33">
        <v>50.6</v>
      </c>
      <c r="N12" s="34">
        <v>1.10167646418462</v>
      </c>
      <c r="O12" s="34">
        <v>1.1028747626327899</v>
      </c>
      <c r="P12" s="34">
        <v>1.1010021843564499</v>
      </c>
      <c r="R12" s="33">
        <v>50.655037847724302</v>
      </c>
      <c r="S12" s="33">
        <v>50.565848032409797</v>
      </c>
      <c r="U12" s="15">
        <v>1.08711337854543E-3</v>
      </c>
      <c r="V12" s="15">
        <v>-6.7516794554261996E-4</v>
      </c>
      <c r="X12" s="34">
        <v>1.10167646418462</v>
      </c>
      <c r="Y12" s="34">
        <v>1.1028747626327899</v>
      </c>
      <c r="Z12" s="34">
        <v>1.1010021843564499</v>
      </c>
      <c r="AB12" s="33">
        <v>50.655037847724302</v>
      </c>
      <c r="AC12" s="33">
        <v>50.565848032409797</v>
      </c>
      <c r="AE12" s="15">
        <v>1.08711337854543E-3</v>
      </c>
      <c r="AF12" s="15">
        <v>-6.7516794554261996E-4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45.79</v>
      </c>
      <c r="C13" s="33">
        <v>50.43</v>
      </c>
      <c r="D13" s="15">
        <v>-3.05277166869796E-3</v>
      </c>
      <c r="E13" s="15">
        <v>-3.3653402047859001E-3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45.79</v>
      </c>
      <c r="M13" s="33">
        <v>50.43</v>
      </c>
      <c r="N13" s="34">
        <v>1.10133216859576</v>
      </c>
      <c r="O13" s="34">
        <v>1.1028747626327899</v>
      </c>
      <c r="P13" s="34">
        <v>1.10106770084476</v>
      </c>
      <c r="R13" s="33">
        <v>50.5006353809557</v>
      </c>
      <c r="S13" s="33">
        <v>50.414890021681799</v>
      </c>
      <c r="U13" s="15">
        <v>1.3996819146335801E-3</v>
      </c>
      <c r="V13" s="15">
        <v>-2.9966770607765998E-4</v>
      </c>
      <c r="X13" s="34">
        <v>1.10133216859576</v>
      </c>
      <c r="Y13" s="34">
        <v>1.1028747626327899</v>
      </c>
      <c r="Z13" s="34">
        <v>1.10106770084476</v>
      </c>
      <c r="AB13" s="33">
        <v>50.5006353809557</v>
      </c>
      <c r="AC13" s="33">
        <v>50.414890021681799</v>
      </c>
      <c r="AE13" s="15">
        <v>1.3996819146335801E-3</v>
      </c>
      <c r="AF13" s="15">
        <v>-2.9966770607765998E-4</v>
      </c>
    </row>
    <row r="14" spans="1:130" x14ac:dyDescent="0.25">
      <c r="A14" s="1">
        <v>46043</v>
      </c>
      <c r="B14" s="33">
        <v>45.9</v>
      </c>
      <c r="C14" s="33">
        <v>50.51</v>
      </c>
      <c r="D14" s="15">
        <v>2.3993903974953898E-3</v>
      </c>
      <c r="E14" s="15">
        <v>1.58510039132723E-3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45.9</v>
      </c>
      <c r="M14" s="33">
        <v>50.51</v>
      </c>
      <c r="N14" s="34">
        <v>1.1004357298474901</v>
      </c>
      <c r="O14" s="34">
        <v>1.1028747626327899</v>
      </c>
      <c r="P14" s="34">
        <v>1.10093660134043</v>
      </c>
      <c r="R14" s="33">
        <v>50.6219516048453</v>
      </c>
      <c r="S14" s="33">
        <v>50.539007468774699</v>
      </c>
      <c r="U14" s="15">
        <v>2.2139719208015898E-3</v>
      </c>
      <c r="V14" s="15">
        <v>5.7412675885083503E-4</v>
      </c>
      <c r="X14" s="34">
        <v>1.1004357298474901</v>
      </c>
      <c r="Y14" s="34">
        <v>1.1028747626327899</v>
      </c>
      <c r="Z14" s="34">
        <v>1.10093660134043</v>
      </c>
      <c r="AB14" s="33">
        <v>50.6219516048453</v>
      </c>
      <c r="AC14" s="33">
        <v>50.539007468774699</v>
      </c>
      <c r="AE14" s="15">
        <v>2.2139719208015898E-3</v>
      </c>
      <c r="AF14" s="15">
        <v>5.7412675885083503E-4</v>
      </c>
      <c r="AQ14" s="20">
        <f>AVERAGE(AQ22:AQ176)</f>
        <v>6.9638124936442498E-5</v>
      </c>
      <c r="AR14" s="21" t="s">
        <v>41</v>
      </c>
      <c r="BB14" s="20">
        <f>AVERAGE(BB22:BB176)</f>
        <v>6.1138231378639335E-5</v>
      </c>
      <c r="BC14" s="21" t="s">
        <v>41</v>
      </c>
      <c r="BD14" s="22"/>
      <c r="BE14" s="20">
        <f>AVERAGE(BE22:BE176)</f>
        <v>1.3077635631508189E-4</v>
      </c>
      <c r="BF14" s="21" t="s">
        <v>41</v>
      </c>
    </row>
    <row r="15" spans="1:130" x14ac:dyDescent="0.25">
      <c r="A15" s="1">
        <v>46044</v>
      </c>
      <c r="B15" s="33">
        <v>45.86</v>
      </c>
      <c r="C15" s="33">
        <v>50.48</v>
      </c>
      <c r="D15" s="15">
        <v>-8.7183963674112197E-4</v>
      </c>
      <c r="E15" s="15">
        <v>-5.9411824700347305E-4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45.86</v>
      </c>
      <c r="M15" s="33">
        <v>50.48</v>
      </c>
      <c r="N15" s="34">
        <v>1.10074138682948</v>
      </c>
      <c r="O15" s="34">
        <v>1.1028747626327899</v>
      </c>
      <c r="P15" s="34">
        <v>1.1009519549155999</v>
      </c>
      <c r="R15" s="33">
        <v>50.577836614340001</v>
      </c>
      <c r="S15" s="33">
        <v>50.488952537472201</v>
      </c>
      <c r="U15" s="15">
        <v>1.93625053106397E-3</v>
      </c>
      <c r="V15" s="15">
        <v>1.7733248232704499E-4</v>
      </c>
      <c r="X15" s="34">
        <v>1.10074138682948</v>
      </c>
      <c r="Y15" s="34">
        <v>1.1028747626327899</v>
      </c>
      <c r="Z15" s="34">
        <v>1.1009519549155999</v>
      </c>
      <c r="AB15" s="33">
        <v>50.577836614340001</v>
      </c>
      <c r="AC15" s="33">
        <v>50.488952537472201</v>
      </c>
      <c r="AE15" s="15">
        <v>1.93625053106397E-3</v>
      </c>
      <c r="AF15" s="15">
        <v>1.7733248232704499E-4</v>
      </c>
      <c r="AQ15" s="20">
        <f>STDEV(AQ22:AQ176)</f>
        <v>4.3195624050046546E-4</v>
      </c>
      <c r="AR15" s="21" t="s">
        <v>42</v>
      </c>
      <c r="BB15" s="20">
        <f>STDEV(BB22:BB176)</f>
        <v>2.6371289798676609E-4</v>
      </c>
      <c r="BC15" s="21" t="s">
        <v>42</v>
      </c>
      <c r="BD15" s="22"/>
      <c r="BE15" s="20">
        <f>STDEV(BE22:BE176)</f>
        <v>4.9755430839370737E-4</v>
      </c>
      <c r="BF15" s="21" t="s">
        <v>42</v>
      </c>
    </row>
    <row r="16" spans="1:130" x14ac:dyDescent="0.25">
      <c r="A16" s="1">
        <v>46045</v>
      </c>
      <c r="B16" s="33">
        <v>45.9</v>
      </c>
      <c r="C16" s="33">
        <v>50.52</v>
      </c>
      <c r="D16" s="15">
        <v>8.71839636740982E-4</v>
      </c>
      <c r="E16" s="15">
        <v>7.9207924933284105E-4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45.9</v>
      </c>
      <c r="M16" s="33">
        <v>50.52</v>
      </c>
      <c r="N16" s="34">
        <v>1.1006535947712399</v>
      </c>
      <c r="O16" s="34">
        <v>1.1028747626327899</v>
      </c>
      <c r="P16" s="34">
        <v>1.1009737414079801</v>
      </c>
      <c r="R16" s="33">
        <v>50.6219516048453</v>
      </c>
      <c r="S16" s="33">
        <v>50.533694730626401</v>
      </c>
      <c r="U16" s="15">
        <v>2.0160109184723602E-3</v>
      </c>
      <c r="V16" s="15">
        <v>2.7103869377109198E-4</v>
      </c>
      <c r="X16" s="34">
        <v>1.1006535947712399</v>
      </c>
      <c r="Y16" s="34">
        <v>1.1028747626327899</v>
      </c>
      <c r="Z16" s="34">
        <v>1.1009737414079801</v>
      </c>
      <c r="AB16" s="33">
        <v>50.6219516048453</v>
      </c>
      <c r="AC16" s="33">
        <v>50.533694730626401</v>
      </c>
      <c r="AE16" s="15">
        <v>2.0160109184723602E-3</v>
      </c>
      <c r="AF16" s="15">
        <v>2.7103869377109198E-4</v>
      </c>
      <c r="AQ16" s="23">
        <f>SQRT(252)*AQ14/AQ15</f>
        <v>2.5592197969480286</v>
      </c>
      <c r="AR16" s="21" t="s">
        <v>43</v>
      </c>
      <c r="BB16" s="23">
        <f>SQRT(252)*BB14/BB15</f>
        <v>3.6802877006263701</v>
      </c>
      <c r="BC16" s="21" t="s">
        <v>43</v>
      </c>
      <c r="BD16" s="22"/>
      <c r="BE16" s="23">
        <f>SQRT(252)*BE14/BE15</f>
        <v>4.1724295459593366</v>
      </c>
      <c r="BF16" s="21" t="s">
        <v>43</v>
      </c>
    </row>
    <row r="17" spans="1:124" x14ac:dyDescent="0.25">
      <c r="A17" s="1">
        <v>46048</v>
      </c>
      <c r="B17" s="33">
        <v>45.9</v>
      </c>
      <c r="C17" s="33">
        <v>50.54</v>
      </c>
      <c r="D17" s="15">
        <v>0</v>
      </c>
      <c r="E17" s="15">
        <v>3.9580447775777099E-4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45.9</v>
      </c>
      <c r="M17" s="33">
        <v>50.54</v>
      </c>
      <c r="N17" s="34">
        <v>1.1010893246187301</v>
      </c>
      <c r="O17" s="34">
        <v>1.1028747626327899</v>
      </c>
      <c r="P17" s="34">
        <v>1.10100650412012</v>
      </c>
      <c r="R17" s="33">
        <v>50.6219516048453</v>
      </c>
      <c r="S17" s="33">
        <v>50.534694730626398</v>
      </c>
      <c r="U17" s="15">
        <v>1.62020644071448E-3</v>
      </c>
      <c r="V17" s="15">
        <v>-1.04977203098797E-4</v>
      </c>
      <c r="X17" s="34">
        <v>1.1010893246187301</v>
      </c>
      <c r="Y17" s="34">
        <v>1.1028747626327899</v>
      </c>
      <c r="Z17" s="34">
        <v>1.10100650412012</v>
      </c>
      <c r="AB17" s="33">
        <v>50.6219516048453</v>
      </c>
      <c r="AC17" s="33">
        <v>50.534694730626398</v>
      </c>
      <c r="AE17" s="15">
        <v>1.62020644071448E-3</v>
      </c>
      <c r="AF17" s="15">
        <v>-1.04977203098797E-4</v>
      </c>
    </row>
    <row r="18" spans="1:124" x14ac:dyDescent="0.25">
      <c r="A18" s="1">
        <v>46049</v>
      </c>
      <c r="B18" s="33">
        <v>45.95</v>
      </c>
      <c r="C18" s="33">
        <v>50.56</v>
      </c>
      <c r="D18" s="15">
        <v>1.08873173519665E-3</v>
      </c>
      <c r="E18" s="15">
        <v>3.9564787855396997E-4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45.95</v>
      </c>
      <c r="M18" s="33">
        <v>50.56</v>
      </c>
      <c r="N18" s="34">
        <v>1.10032644178454</v>
      </c>
      <c r="O18" s="34">
        <v>1.1028747626327899</v>
      </c>
      <c r="P18" s="34">
        <v>1.1009585909286701</v>
      </c>
      <c r="R18" s="33">
        <v>50.677095342976898</v>
      </c>
      <c r="S18" s="33">
        <v>50.591248864319901</v>
      </c>
      <c r="U18" s="15">
        <v>2.3132902973573401E-3</v>
      </c>
      <c r="V18" s="15">
        <v>6.1786415224524796E-4</v>
      </c>
      <c r="X18" s="34">
        <v>1.10032644178454</v>
      </c>
      <c r="Y18" s="34">
        <v>1.1028747626327899</v>
      </c>
      <c r="Z18" s="34">
        <v>1.1009585909286701</v>
      </c>
      <c r="AB18" s="33">
        <v>50.677095342976898</v>
      </c>
      <c r="AC18" s="33">
        <v>50.591248864319901</v>
      </c>
      <c r="AE18" s="15">
        <v>2.3132902973573401E-3</v>
      </c>
      <c r="AF18" s="15">
        <v>6.1786415224524796E-4</v>
      </c>
      <c r="BE18" s="24">
        <f>SUM(BE22:BE176)</f>
        <v>2.0270335228837692E-2</v>
      </c>
      <c r="BF18" s="20">
        <f>BF176</f>
        <v>2.0270335228837692E-2</v>
      </c>
    </row>
    <row r="19" spans="1:124" x14ac:dyDescent="0.25">
      <c r="A19" s="1">
        <v>46050</v>
      </c>
      <c r="B19" s="33">
        <v>45.96</v>
      </c>
      <c r="C19" s="33">
        <v>50.57</v>
      </c>
      <c r="D19" s="15">
        <v>2.17604178858737E-4</v>
      </c>
      <c r="E19" s="15">
        <v>1.9776525328954001E-4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45.96</v>
      </c>
      <c r="M19" s="33">
        <v>50.57</v>
      </c>
      <c r="N19" s="34">
        <v>1.1003046127067</v>
      </c>
      <c r="O19" s="34">
        <v>1.1028747626327899</v>
      </c>
      <c r="P19" s="34">
        <v>1.10079297376797</v>
      </c>
      <c r="R19" s="33">
        <v>50.688124090603303</v>
      </c>
      <c r="S19" s="33">
        <v>50.600056839081802</v>
      </c>
      <c r="U19" s="15">
        <v>2.3331292229265299E-3</v>
      </c>
      <c r="V19" s="15">
        <v>5.9418450290922304E-4</v>
      </c>
      <c r="X19" s="34">
        <v>1.1003046127067</v>
      </c>
      <c r="Y19" s="34">
        <v>1.1028747626327899</v>
      </c>
      <c r="Z19" s="34">
        <v>1.10079297376797</v>
      </c>
      <c r="AB19" s="33">
        <v>50.688124090603303</v>
      </c>
      <c r="AC19" s="33">
        <v>50.600056839081802</v>
      </c>
      <c r="AE19" s="15">
        <v>2.3331292229265299E-3</v>
      </c>
      <c r="AF19" s="15">
        <v>5.9418450290922304E-4</v>
      </c>
      <c r="AI19" s="12"/>
      <c r="AJ19"/>
      <c r="AK19"/>
      <c r="AL19"/>
      <c r="AM19"/>
      <c r="AN19"/>
      <c r="AO19"/>
      <c r="AP19"/>
      <c r="AQ19" s="24">
        <f>SUM(AQ22:AQ176)</f>
        <v>1.0793909365148588E-2</v>
      </c>
      <c r="AR19" s="24">
        <f>AR176</f>
        <v>1.0793909365148588E-2</v>
      </c>
      <c r="AU19"/>
      <c r="AV19"/>
      <c r="AW19"/>
      <c r="AX19"/>
      <c r="AY19"/>
      <c r="AZ19"/>
      <c r="BA19"/>
      <c r="BB19" s="24">
        <f>SUM(BB22:BB176)</f>
        <v>9.4764258636890961E-3</v>
      </c>
      <c r="BC19" s="24">
        <f>BC176</f>
        <v>9.4764258636890961E-3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45.95</v>
      </c>
      <c r="C20" s="33">
        <v>50.52</v>
      </c>
      <c r="D20" s="15">
        <v>-2.17604178858812E-4</v>
      </c>
      <c r="E20" s="15">
        <v>-9.8921760960125893E-4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45.95</v>
      </c>
      <c r="M20" s="33">
        <v>50.52</v>
      </c>
      <c r="N20" s="34">
        <v>1.0994559303590801</v>
      </c>
      <c r="O20" s="34">
        <v>1.1028747626327899</v>
      </c>
      <c r="P20" s="34">
        <v>1.10067116084606</v>
      </c>
      <c r="R20" s="33">
        <v>50.677095342976898</v>
      </c>
      <c r="S20" s="33">
        <v>50.581437144638201</v>
      </c>
      <c r="U20" s="15">
        <v>3.1047426536690301E-3</v>
      </c>
      <c r="V20" s="15">
        <v>1.2153566543809701E-3</v>
      </c>
      <c r="X20" s="34">
        <v>1.0994559303590801</v>
      </c>
      <c r="Y20" s="34">
        <v>1.1028747626327899</v>
      </c>
      <c r="Z20" s="34">
        <v>1.10067116084606</v>
      </c>
      <c r="AB20" s="33">
        <v>50.677095342976898</v>
      </c>
      <c r="AC20" s="33">
        <v>50.581437144638201</v>
      </c>
      <c r="AE20" s="15">
        <v>3.1047426536690301E-3</v>
      </c>
      <c r="AF20" s="15">
        <v>1.2153566543809701E-3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TFI log rtn</v>
      </c>
      <c r="AP20" s="7" t="str">
        <f>E1</f>
        <v>VTEB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TFI log rtn</v>
      </c>
      <c r="BA20" s="24" t="str">
        <f>E1</f>
        <v>VTEB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46.02</v>
      </c>
      <c r="C21" s="33">
        <v>50.56</v>
      </c>
      <c r="D21" s="15">
        <v>1.5222358055236799E-3</v>
      </c>
      <c r="E21" s="15">
        <v>7.9145235631155101E-4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46.02</v>
      </c>
      <c r="M21" s="33">
        <v>50.56</v>
      </c>
      <c r="N21" s="34">
        <v>1.0986527596697</v>
      </c>
      <c r="O21" s="34">
        <v>1.1028747626327899</v>
      </c>
      <c r="P21" s="34">
        <v>1.10046684133673</v>
      </c>
      <c r="Q21" s="34">
        <v>1.1006998699652299</v>
      </c>
      <c r="R21" s="33">
        <v>50.754296576361199</v>
      </c>
      <c r="S21" s="33">
        <v>50.652886822135699</v>
      </c>
      <c r="U21" s="15">
        <v>3.8355261028812301E-3</v>
      </c>
      <c r="V21" s="15">
        <v>1.8354747331086299E-3</v>
      </c>
      <c r="X21" s="34">
        <v>1.0986527596697</v>
      </c>
      <c r="Y21" s="34">
        <v>1.1028747626327899</v>
      </c>
      <c r="Z21" s="34">
        <v>1.10046684133673</v>
      </c>
      <c r="AA21" s="34">
        <v>1.1006998699652299</v>
      </c>
      <c r="AB21" s="33">
        <v>50.754296576361199</v>
      </c>
      <c r="AC21" s="33">
        <v>50.652886822135699</v>
      </c>
      <c r="AE21" s="15">
        <v>3.8355261028812301E-3</v>
      </c>
      <c r="AF21" s="15">
        <v>1.8354747331086299E-3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45.87</v>
      </c>
      <c r="C22" s="33">
        <v>50.48</v>
      </c>
      <c r="D22" s="15">
        <v>-3.2647759981392801E-3</v>
      </c>
      <c r="E22" s="15">
        <v>-1.5835316056443799E-3</v>
      </c>
      <c r="F22" s="33">
        <v>0.13150000000000001</v>
      </c>
      <c r="G22" s="33">
        <v>0.13150000000000001</v>
      </c>
      <c r="H22" s="33">
        <v>0.13980000000000001</v>
      </c>
      <c r="I22" s="33">
        <v>0.13980000000000001</v>
      </c>
      <c r="J22" s="33">
        <v>0</v>
      </c>
      <c r="K22" s="33">
        <v>0</v>
      </c>
      <c r="L22" s="33">
        <v>45.87</v>
      </c>
      <c r="M22" s="33">
        <v>50.48</v>
      </c>
      <c r="N22" s="34">
        <v>1.1005014170481699</v>
      </c>
      <c r="O22" s="34">
        <v>1.1028747626327899</v>
      </c>
      <c r="P22" s="34">
        <v>1.1003493366230901</v>
      </c>
      <c r="Q22" s="34">
        <v>1.1006757604897699</v>
      </c>
      <c r="R22" s="33">
        <v>50.588865361966299</v>
      </c>
      <c r="S22" s="33">
        <v>50.478414012116197</v>
      </c>
      <c r="T22" s="33">
        <v>50.489103035305199</v>
      </c>
      <c r="U22" s="15">
        <v>2.1542817103863202E-3</v>
      </c>
      <c r="V22" s="15">
        <v>-3.1418637058149299E-5</v>
      </c>
      <c r="W22" s="15">
        <v>1.8031328507851099E-4</v>
      </c>
      <c r="X22" s="34">
        <v>1.1005014170481699</v>
      </c>
      <c r="Y22" s="34">
        <v>1.1028747626327899</v>
      </c>
      <c r="Z22" s="34">
        <v>1.1003493366230901</v>
      </c>
      <c r="AA22" s="34">
        <v>1.1006757604897699</v>
      </c>
      <c r="AB22" s="33">
        <v>50.588865361966299</v>
      </c>
      <c r="AC22" s="33">
        <v>50.478414012116197</v>
      </c>
      <c r="AD22" s="33">
        <v>50.489103035305199</v>
      </c>
      <c r="AE22" s="15">
        <v>2.1542817103863202E-3</v>
      </c>
      <c r="AF22" s="15">
        <v>-3.1418637058149299E-5</v>
      </c>
      <c r="AG22" s="15">
        <v>1.8031328507851099E-4</v>
      </c>
      <c r="AI22" s="26">
        <v>0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45.92</v>
      </c>
      <c r="C23" s="33">
        <v>50.5</v>
      </c>
      <c r="D23" s="15">
        <v>1.08944340223036E-3</v>
      </c>
      <c r="E23" s="15">
        <v>3.9611804835641202E-4</v>
      </c>
      <c r="F23" s="33">
        <v>0</v>
      </c>
      <c r="G23" s="33">
        <v>0.13150000000000001</v>
      </c>
      <c r="H23" s="33">
        <v>0</v>
      </c>
      <c r="I23" s="33">
        <v>0.13980000000000001</v>
      </c>
      <c r="J23" s="33">
        <v>0</v>
      </c>
      <c r="K23" s="33">
        <v>0</v>
      </c>
      <c r="L23" s="33">
        <v>45.92</v>
      </c>
      <c r="M23" s="33">
        <v>50.5</v>
      </c>
      <c r="N23" s="34">
        <v>1.09973867595818</v>
      </c>
      <c r="O23" s="34">
        <v>1.1028747626327899</v>
      </c>
      <c r="P23" s="34">
        <v>1.1001899873593299</v>
      </c>
      <c r="Q23" s="34">
        <v>1.10062884410205</v>
      </c>
      <c r="R23" s="33">
        <v>50.644009100097897</v>
      </c>
      <c r="S23" s="33">
        <v>50.528041537732399</v>
      </c>
      <c r="T23" s="33">
        <v>50.543030921690303</v>
      </c>
      <c r="U23" s="15">
        <v>2.8476070642602801E-3</v>
      </c>
      <c r="V23" s="15">
        <v>5.5512386513256501E-4</v>
      </c>
      <c r="W23" s="15">
        <v>8.5173463027033596E-4</v>
      </c>
      <c r="X23" s="34">
        <v>1.09973867595818</v>
      </c>
      <c r="Y23" s="34">
        <v>1.1028747626327899</v>
      </c>
      <c r="Z23" s="34">
        <v>1.1001899873593299</v>
      </c>
      <c r="AA23" s="34">
        <v>1.10062884410205</v>
      </c>
      <c r="AB23" s="33">
        <v>50.644009100097897</v>
      </c>
      <c r="AC23" s="33">
        <v>50.528041537732399</v>
      </c>
      <c r="AD23" s="33">
        <v>50.543030921690303</v>
      </c>
      <c r="AE23" s="15">
        <v>2.8476070642602801E-3</v>
      </c>
      <c r="AF23" s="15">
        <v>5.5512386513256501E-4</v>
      </c>
      <c r="AG23" s="15">
        <v>8.5173463027033596E-4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46.01</v>
      </c>
      <c r="C24" s="33">
        <v>50.54</v>
      </c>
      <c r="D24" s="15">
        <v>1.95801215606627E-3</v>
      </c>
      <c r="E24" s="15">
        <v>7.9176567873402498E-4</v>
      </c>
      <c r="F24" s="33">
        <v>0</v>
      </c>
      <c r="G24" s="33">
        <v>0.13150000000000001</v>
      </c>
      <c r="H24" s="33">
        <v>0</v>
      </c>
      <c r="I24" s="33">
        <v>0.13980000000000001</v>
      </c>
      <c r="J24" s="33">
        <v>0</v>
      </c>
      <c r="K24" s="33">
        <v>0</v>
      </c>
      <c r="L24" s="33">
        <v>46.01</v>
      </c>
      <c r="M24" s="33">
        <v>50.54</v>
      </c>
      <c r="N24" s="34">
        <v>1.09845685720495</v>
      </c>
      <c r="O24" s="34">
        <v>1.1028747626327899</v>
      </c>
      <c r="P24" s="34">
        <v>1.0999921000950801</v>
      </c>
      <c r="Q24" s="34">
        <v>1.1004643507177501</v>
      </c>
      <c r="R24" s="33">
        <v>50.743267828734901</v>
      </c>
      <c r="S24" s="33">
        <v>50.619741318403001</v>
      </c>
      <c r="T24" s="33">
        <v>50.6399331171353</v>
      </c>
      <c r="U24" s="15">
        <v>4.0138535415922497E-3</v>
      </c>
      <c r="V24" s="15">
        <v>1.5765428792155001E-3</v>
      </c>
      <c r="W24" s="15">
        <v>1.9753551233296801E-3</v>
      </c>
      <c r="X24" s="34">
        <v>1.09845685720495</v>
      </c>
      <c r="Y24" s="34">
        <v>1.1028747626327899</v>
      </c>
      <c r="Z24" s="34">
        <v>1.0999921000950801</v>
      </c>
      <c r="AA24" s="34">
        <v>1.1004643507177501</v>
      </c>
      <c r="AB24" s="33">
        <v>50.743267828734901</v>
      </c>
      <c r="AC24" s="33">
        <v>50.619741318403001</v>
      </c>
      <c r="AD24" s="33">
        <v>50.6399331171353</v>
      </c>
      <c r="AE24" s="15">
        <v>4.0138535415922497E-3</v>
      </c>
      <c r="AF24" s="15">
        <v>1.5765428792155001E-3</v>
      </c>
      <c r="AG24" s="15">
        <v>1.9753551233296801E-3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1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46.05</v>
      </c>
      <c r="C25" s="33">
        <v>50.62</v>
      </c>
      <c r="D25" s="15">
        <v>8.6899853393853504E-4</v>
      </c>
      <c r="E25" s="15">
        <v>1.5816531569297801E-3</v>
      </c>
      <c r="F25" s="33">
        <v>0</v>
      </c>
      <c r="G25" s="33">
        <v>0.13150000000000001</v>
      </c>
      <c r="H25" s="33">
        <v>0</v>
      </c>
      <c r="I25" s="33">
        <v>0.13980000000000001</v>
      </c>
      <c r="J25" s="33">
        <v>0</v>
      </c>
      <c r="K25" s="33">
        <v>0</v>
      </c>
      <c r="L25" s="33">
        <v>46.05</v>
      </c>
      <c r="M25" s="33">
        <v>50.62</v>
      </c>
      <c r="N25" s="34">
        <v>1.0992399565689399</v>
      </c>
      <c r="O25" s="34">
        <v>1.1028747626327899</v>
      </c>
      <c r="P25" s="34">
        <v>1.0998419570690201</v>
      </c>
      <c r="Q25" s="34">
        <v>1.1003969559923099</v>
      </c>
      <c r="R25" s="33">
        <v>50.7873828192402</v>
      </c>
      <c r="S25" s="33">
        <v>50.654636209378502</v>
      </c>
      <c r="T25" s="33">
        <v>50.676383350552697</v>
      </c>
      <c r="U25" s="15">
        <v>3.3011989186010901E-3</v>
      </c>
      <c r="V25" s="15">
        <v>6.8400563113095295E-4</v>
      </c>
      <c r="W25" s="15">
        <v>1.11323533004295E-3</v>
      </c>
      <c r="X25" s="34">
        <v>1.0992399565689399</v>
      </c>
      <c r="Y25" s="34">
        <v>1.1028747626327899</v>
      </c>
      <c r="Z25" s="34">
        <v>1.0998419570690201</v>
      </c>
      <c r="AA25" s="34">
        <v>1.1003969559923099</v>
      </c>
      <c r="AB25" s="33">
        <v>50.7873828192402</v>
      </c>
      <c r="AC25" s="33">
        <v>50.654636209378502</v>
      </c>
      <c r="AD25" s="33">
        <v>50.676383350552697</v>
      </c>
      <c r="AE25" s="15">
        <v>3.3011989186010901E-3</v>
      </c>
      <c r="AF25" s="15">
        <v>6.8400563113095295E-4</v>
      </c>
      <c r="AG25" s="15">
        <v>1.11323533004295E-3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1</v>
      </c>
      <c r="AV25">
        <f t="shared" si="11"/>
        <v>0</v>
      </c>
      <c r="AW25">
        <f t="shared" si="18"/>
        <v>1</v>
      </c>
      <c r="AX25">
        <f t="shared" si="5"/>
        <v>1</v>
      </c>
      <c r="AY25">
        <f t="shared" si="19"/>
        <v>1</v>
      </c>
      <c r="AZ25" s="28">
        <f t="shared" si="12"/>
        <v>-8.6899853393853504E-4</v>
      </c>
      <c r="BA25" s="28">
        <f t="shared" si="13"/>
        <v>1.5816531569297801E-3</v>
      </c>
      <c r="BB25" s="28">
        <f t="shared" si="20"/>
        <v>7.1265462299124503E-4</v>
      </c>
      <c r="BC25" s="29">
        <f t="shared" si="21"/>
        <v>7.1265462299124503E-4</v>
      </c>
      <c r="BE25" s="29">
        <f t="shared" si="22"/>
        <v>7.1265462299124503E-4</v>
      </c>
      <c r="BF25" s="29">
        <f t="shared" si="23"/>
        <v>7.1265462299124503E-4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46.07</v>
      </c>
      <c r="C26" s="33">
        <v>50.65</v>
      </c>
      <c r="D26" s="15">
        <v>4.3421624650993802E-4</v>
      </c>
      <c r="E26" s="15">
        <v>5.9247557771448798E-4</v>
      </c>
      <c r="F26" s="33">
        <v>0</v>
      </c>
      <c r="G26" s="33">
        <v>0.13150000000000001</v>
      </c>
      <c r="H26" s="33">
        <v>0</v>
      </c>
      <c r="I26" s="33">
        <v>0.13980000000000001</v>
      </c>
      <c r="J26" s="33">
        <v>0</v>
      </c>
      <c r="K26" s="33">
        <v>0</v>
      </c>
      <c r="L26" s="33">
        <v>46.07</v>
      </c>
      <c r="M26" s="33">
        <v>50.65</v>
      </c>
      <c r="N26" s="34">
        <v>1.0994139353158201</v>
      </c>
      <c r="O26" s="34">
        <v>1.1028747626327899</v>
      </c>
      <c r="P26" s="34">
        <v>1.09971799112348</v>
      </c>
      <c r="Q26" s="34">
        <v>1.1003458662657299</v>
      </c>
      <c r="R26" s="33">
        <v>50.809440314492903</v>
      </c>
      <c r="S26" s="33">
        <v>50.669718962170101</v>
      </c>
      <c r="T26" s="33">
        <v>50.695287762566103</v>
      </c>
      <c r="U26" s="15">
        <v>3.1429395873966599E-3</v>
      </c>
      <c r="V26" s="15">
        <v>3.89242343368807E-4</v>
      </c>
      <c r="W26" s="15">
        <v>8.9373204379705404E-4</v>
      </c>
      <c r="X26" s="34">
        <v>1.0994139353158201</v>
      </c>
      <c r="Y26" s="34">
        <v>1.1028747626327899</v>
      </c>
      <c r="Z26" s="34">
        <v>1.09971799112348</v>
      </c>
      <c r="AA26" s="34">
        <v>1.1003458662657299</v>
      </c>
      <c r="AB26" s="33">
        <v>50.809440314492903</v>
      </c>
      <c r="AC26" s="33">
        <v>50.669718962170101</v>
      </c>
      <c r="AD26" s="33">
        <v>50.695287762566103</v>
      </c>
      <c r="AE26" s="15">
        <v>3.1429395873966599E-3</v>
      </c>
      <c r="AF26" s="15">
        <v>3.89242343368807E-4</v>
      </c>
      <c r="AG26" s="15">
        <v>8.9373204379705404E-4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-4.3421624650993802E-4</v>
      </c>
      <c r="BA26" s="28">
        <f t="shared" si="13"/>
        <v>5.9247557771448798E-4</v>
      </c>
      <c r="BB26" s="28">
        <f t="shared" si="20"/>
        <v>1.5825933120454996E-4</v>
      </c>
      <c r="BC26" s="29">
        <f t="shared" si="21"/>
        <v>8.7091395419579493E-4</v>
      </c>
      <c r="BE26" s="29">
        <f t="shared" si="22"/>
        <v>1.5825933120454996E-4</v>
      </c>
      <c r="BF26" s="29">
        <f t="shared" si="23"/>
        <v>8.7091395419579493E-4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46.1</v>
      </c>
      <c r="C27" s="33">
        <v>50.67</v>
      </c>
      <c r="D27" s="15">
        <v>6.5097105477722602E-4</v>
      </c>
      <c r="E27" s="15">
        <v>3.9478879312601498E-4</v>
      </c>
      <c r="F27" s="33">
        <v>0</v>
      </c>
      <c r="G27" s="33">
        <v>0.13150000000000001</v>
      </c>
      <c r="H27" s="33">
        <v>0</v>
      </c>
      <c r="I27" s="33">
        <v>0.13980000000000001</v>
      </c>
      <c r="J27" s="33">
        <v>0</v>
      </c>
      <c r="K27" s="33">
        <v>0</v>
      </c>
      <c r="L27" s="33">
        <v>46.1</v>
      </c>
      <c r="M27" s="33">
        <v>50.67</v>
      </c>
      <c r="N27" s="34">
        <v>1.0991323210412101</v>
      </c>
      <c r="O27" s="34">
        <v>1.1028747626327899</v>
      </c>
      <c r="P27" s="34">
        <v>1.09952229076573</v>
      </c>
      <c r="Q27" s="34">
        <v>1.10026439744293</v>
      </c>
      <c r="R27" s="33">
        <v>50.842526557371897</v>
      </c>
      <c r="S27" s="33">
        <v>50.696999390792698</v>
      </c>
      <c r="T27" s="33">
        <v>50.725944434850398</v>
      </c>
      <c r="U27" s="15">
        <v>3.3991218490478799E-3</v>
      </c>
      <c r="V27" s="15">
        <v>5.3270574434518604E-4</v>
      </c>
      <c r="W27" s="15">
        <v>1.1034847762221101E-3</v>
      </c>
      <c r="X27" s="34">
        <v>1.0991323210412101</v>
      </c>
      <c r="Y27" s="34">
        <v>1.1028747626327899</v>
      </c>
      <c r="Z27" s="34">
        <v>1.09952229076573</v>
      </c>
      <c r="AA27" s="34">
        <v>1.10026439744293</v>
      </c>
      <c r="AB27" s="33">
        <v>50.842526557371897</v>
      </c>
      <c r="AC27" s="33">
        <v>50.696999390792698</v>
      </c>
      <c r="AD27" s="33">
        <v>50.725944434850398</v>
      </c>
      <c r="AE27" s="15">
        <v>3.3991218490478799E-3</v>
      </c>
      <c r="AF27" s="15">
        <v>5.3270574434518604E-4</v>
      </c>
      <c r="AG27" s="15">
        <v>1.1034847762221101E-3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1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-6.5097105477722602E-4</v>
      </c>
      <c r="BA27" s="28">
        <f t="shared" si="13"/>
        <v>3.9478879312601498E-4</v>
      </c>
      <c r="BB27" s="28">
        <f t="shared" si="20"/>
        <v>-2.5618226165121104E-4</v>
      </c>
      <c r="BC27" s="29">
        <f t="shared" si="21"/>
        <v>6.1473169254458383E-4</v>
      </c>
      <c r="BE27" s="29">
        <f t="shared" si="22"/>
        <v>-2.5618226165121104E-4</v>
      </c>
      <c r="BF27" s="29">
        <f t="shared" si="23"/>
        <v>6.1473169254458383E-4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46.15</v>
      </c>
      <c r="C28" s="33">
        <v>50.74</v>
      </c>
      <c r="D28" s="15">
        <v>1.08401094625831E-3</v>
      </c>
      <c r="E28" s="15">
        <v>1.3805346833174099E-3</v>
      </c>
      <c r="F28" s="33">
        <v>0</v>
      </c>
      <c r="G28" s="33">
        <v>0.13150000000000001</v>
      </c>
      <c r="H28" s="33">
        <v>0</v>
      </c>
      <c r="I28" s="33">
        <v>0.13980000000000001</v>
      </c>
      <c r="J28" s="33">
        <v>0</v>
      </c>
      <c r="K28" s="33">
        <v>0</v>
      </c>
      <c r="L28" s="33">
        <v>46.15</v>
      </c>
      <c r="M28" s="33">
        <v>50.74</v>
      </c>
      <c r="N28" s="34">
        <v>1.09945828819068</v>
      </c>
      <c r="O28" s="34">
        <v>1.1028747626327899</v>
      </c>
      <c r="P28" s="34">
        <v>1.09943547540634</v>
      </c>
      <c r="Q28" s="34">
        <v>1.1001970331675099</v>
      </c>
      <c r="R28" s="33">
        <v>50.897670295503502</v>
      </c>
      <c r="S28" s="33">
        <v>50.742953718838599</v>
      </c>
      <c r="T28" s="33">
        <v>50.777201941991301</v>
      </c>
      <c r="U28" s="15">
        <v>3.1025981119885198E-3</v>
      </c>
      <c r="V28" s="15">
        <v>5.8211132634220998E-5</v>
      </c>
      <c r="W28" s="15">
        <v>7.3291901165446402E-4</v>
      </c>
      <c r="X28" s="34">
        <v>1.09945828819068</v>
      </c>
      <c r="Y28" s="34">
        <v>1.1028747626327899</v>
      </c>
      <c r="Z28" s="34">
        <v>1.09943547540634</v>
      </c>
      <c r="AA28" s="34">
        <v>1.1001970331675099</v>
      </c>
      <c r="AB28" s="33">
        <v>50.897670295503502</v>
      </c>
      <c r="AC28" s="33">
        <v>50.742953718838599</v>
      </c>
      <c r="AD28" s="33">
        <v>50.777201941991301</v>
      </c>
      <c r="AE28" s="15">
        <v>3.1025981119885198E-3</v>
      </c>
      <c r="AF28" s="15">
        <v>5.8211132634220998E-5</v>
      </c>
      <c r="AG28" s="15">
        <v>7.3291901165446402E-4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-1.08401094625831E-3</v>
      </c>
      <c r="BA28" s="28">
        <f t="shared" si="13"/>
        <v>1.3805346833174099E-3</v>
      </c>
      <c r="BB28" s="28">
        <f t="shared" si="20"/>
        <v>2.9652373705909988E-4</v>
      </c>
      <c r="BC28" s="29">
        <f t="shared" si="21"/>
        <v>9.1125542960368371E-4</v>
      </c>
      <c r="BE28" s="29">
        <f t="shared" si="22"/>
        <v>2.9652373705909988E-4</v>
      </c>
      <c r="BF28" s="29">
        <f t="shared" si="23"/>
        <v>9.1125542960368371E-4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46.09</v>
      </c>
      <c r="C29" s="33">
        <v>50.65</v>
      </c>
      <c r="D29" s="15">
        <v>-1.3009542164441001E-3</v>
      </c>
      <c r="E29" s="15">
        <v>-1.77532347644348E-3</v>
      </c>
      <c r="F29" s="33">
        <v>0</v>
      </c>
      <c r="G29" s="33">
        <v>0.13150000000000001</v>
      </c>
      <c r="H29" s="33">
        <v>0</v>
      </c>
      <c r="I29" s="33">
        <v>0.13980000000000001</v>
      </c>
      <c r="J29" s="33">
        <v>0</v>
      </c>
      <c r="K29" s="33">
        <v>0</v>
      </c>
      <c r="L29" s="33">
        <v>46.09</v>
      </c>
      <c r="M29" s="33">
        <v>50.65</v>
      </c>
      <c r="N29" s="34">
        <v>1.09893686266001</v>
      </c>
      <c r="O29" s="34">
        <v>1.1028747626327899</v>
      </c>
      <c r="P29" s="34">
        <v>1.0992987004016701</v>
      </c>
      <c r="Q29" s="34">
        <v>1.1000458370848201</v>
      </c>
      <c r="R29" s="33">
        <v>50.8314978097455</v>
      </c>
      <c r="S29" s="33">
        <v>50.672981061478602</v>
      </c>
      <c r="T29" s="33">
        <v>50.708081258690498</v>
      </c>
      <c r="U29" s="15">
        <v>3.5769673719880301E-3</v>
      </c>
      <c r="V29" s="15">
        <v>4.5361993166686399E-4</v>
      </c>
      <c r="W29" s="15">
        <v>1.14606086316111E-3</v>
      </c>
      <c r="X29" s="34">
        <v>1.09893686266001</v>
      </c>
      <c r="Y29" s="34">
        <v>1.1028747626327899</v>
      </c>
      <c r="Z29" s="34">
        <v>1.0992987004016701</v>
      </c>
      <c r="AA29" s="34">
        <v>1.1000458370848201</v>
      </c>
      <c r="AB29" s="33">
        <v>50.8314978097455</v>
      </c>
      <c r="AC29" s="33">
        <v>50.672981061478602</v>
      </c>
      <c r="AD29" s="33">
        <v>50.708081258690498</v>
      </c>
      <c r="AE29" s="15">
        <v>3.5769673719880301E-3</v>
      </c>
      <c r="AF29" s="15">
        <v>4.5361993166686399E-4</v>
      </c>
      <c r="AG29" s="15">
        <v>1.14606086316111E-3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1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1.3009542164441001E-3</v>
      </c>
      <c r="BA29" s="28">
        <f t="shared" si="13"/>
        <v>-1.77532347644348E-3</v>
      </c>
      <c r="BB29" s="28">
        <f t="shared" si="20"/>
        <v>-4.7436925999937997E-4</v>
      </c>
      <c r="BC29" s="29">
        <f t="shared" si="21"/>
        <v>4.3688616960430374E-4</v>
      </c>
      <c r="BE29" s="29">
        <f t="shared" si="22"/>
        <v>-4.7436925999937997E-4</v>
      </c>
      <c r="BF29" s="29">
        <f t="shared" si="23"/>
        <v>4.3688616960430374E-4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46.19</v>
      </c>
      <c r="C30" s="33">
        <v>50.77</v>
      </c>
      <c r="D30" s="15">
        <v>2.16731771009701E-3</v>
      </c>
      <c r="E30" s="15">
        <v>2.3663982646106E-3</v>
      </c>
      <c r="F30" s="33">
        <v>0</v>
      </c>
      <c r="G30" s="33">
        <v>0.13150000000000001</v>
      </c>
      <c r="H30" s="33">
        <v>0</v>
      </c>
      <c r="I30" s="33">
        <v>0.13980000000000001</v>
      </c>
      <c r="J30" s="33">
        <v>0</v>
      </c>
      <c r="K30" s="33">
        <v>0</v>
      </c>
      <c r="L30" s="33">
        <v>46.19</v>
      </c>
      <c r="M30" s="33">
        <v>50.77</v>
      </c>
      <c r="N30" s="34">
        <v>1.09915566139857</v>
      </c>
      <c r="O30" s="34">
        <v>1.1028747626327899</v>
      </c>
      <c r="P30" s="34">
        <v>1.0992686735056201</v>
      </c>
      <c r="Q30" s="34">
        <v>1.0999699171758399</v>
      </c>
      <c r="R30" s="33">
        <v>50.941785286008802</v>
      </c>
      <c r="S30" s="33">
        <v>50.776606971553498</v>
      </c>
      <c r="T30" s="33">
        <v>50.811117214947998</v>
      </c>
      <c r="U30" s="15">
        <v>3.37788681747437E-3</v>
      </c>
      <c r="V30" s="15">
        <v>1.30126879862324E-4</v>
      </c>
      <c r="W30" s="15">
        <v>8.0954449647594004E-4</v>
      </c>
      <c r="X30" s="34">
        <v>1.09915566139857</v>
      </c>
      <c r="Y30" s="34">
        <v>1.1028747626327899</v>
      </c>
      <c r="Z30" s="34">
        <v>1.0992686735056201</v>
      </c>
      <c r="AA30" s="34">
        <v>1.0999699171758399</v>
      </c>
      <c r="AB30" s="33">
        <v>50.941785286008802</v>
      </c>
      <c r="AC30" s="33">
        <v>50.776606971553498</v>
      </c>
      <c r="AD30" s="33">
        <v>50.811117214947998</v>
      </c>
      <c r="AE30" s="15">
        <v>3.37788681747437E-3</v>
      </c>
      <c r="AF30" s="15">
        <v>1.30126879862324E-4</v>
      </c>
      <c r="AG30" s="15">
        <v>8.0954449647594004E-4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-2.16731771009701E-3</v>
      </c>
      <c r="BA30" s="28">
        <f t="shared" si="13"/>
        <v>2.3663982646106E-3</v>
      </c>
      <c r="BB30" s="28">
        <f t="shared" si="20"/>
        <v>1.9908055451358991E-4</v>
      </c>
      <c r="BC30" s="29">
        <f t="shared" si="21"/>
        <v>6.3596672411789365E-4</v>
      </c>
      <c r="BE30" s="29">
        <f t="shared" si="22"/>
        <v>1.9908055451358991E-4</v>
      </c>
      <c r="BF30" s="29">
        <f t="shared" si="23"/>
        <v>6.3596672411789365E-4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46.29</v>
      </c>
      <c r="C31" s="33">
        <v>50.84</v>
      </c>
      <c r="D31" s="15">
        <v>2.16263060066514E-3</v>
      </c>
      <c r="E31" s="15">
        <v>1.37781736195028E-3</v>
      </c>
      <c r="F31" s="33">
        <v>0</v>
      </c>
      <c r="G31" s="33">
        <v>0.13150000000000001</v>
      </c>
      <c r="H31" s="33">
        <v>0</v>
      </c>
      <c r="I31" s="33">
        <v>0.13980000000000001</v>
      </c>
      <c r="J31" s="33">
        <v>0</v>
      </c>
      <c r="K31" s="33">
        <v>0</v>
      </c>
      <c r="L31" s="33">
        <v>46.29</v>
      </c>
      <c r="M31" s="33">
        <v>50.84</v>
      </c>
      <c r="N31" s="34">
        <v>1.09829336789803</v>
      </c>
      <c r="O31" s="34">
        <v>1.1028747626327899</v>
      </c>
      <c r="P31" s="34">
        <v>1.09923273432846</v>
      </c>
      <c r="Q31" s="34">
        <v>1.0998497878325999</v>
      </c>
      <c r="R31" s="33">
        <v>51.052072762272097</v>
      </c>
      <c r="S31" s="33">
        <v>50.885146896575499</v>
      </c>
      <c r="T31" s="33">
        <v>50.917607466069803</v>
      </c>
      <c r="U31" s="15">
        <v>4.1627000561891801E-3</v>
      </c>
      <c r="V31" s="15">
        <v>8.8762515301398697E-4</v>
      </c>
      <c r="W31" s="15">
        <v>1.52534013032773E-3</v>
      </c>
      <c r="X31" s="34">
        <v>1.09829336789803</v>
      </c>
      <c r="Y31" s="34">
        <v>1.1028747626327899</v>
      </c>
      <c r="Z31" s="34">
        <v>1.09923273432846</v>
      </c>
      <c r="AA31" s="34">
        <v>1.0998497878325999</v>
      </c>
      <c r="AB31" s="33">
        <v>51.052072762272097</v>
      </c>
      <c r="AC31" s="33">
        <v>50.885146896575499</v>
      </c>
      <c r="AD31" s="33">
        <v>50.917607466069803</v>
      </c>
      <c r="AE31" s="15">
        <v>4.1627000561891801E-3</v>
      </c>
      <c r="AF31" s="15">
        <v>8.8762515301398697E-4</v>
      </c>
      <c r="AG31" s="15">
        <v>1.52534013032773E-3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1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8">
        <f t="shared" si="12"/>
        <v>-2.16263060066514E-3</v>
      </c>
      <c r="BA31" s="28">
        <f t="shared" si="13"/>
        <v>1.37781736195028E-3</v>
      </c>
      <c r="BB31" s="28">
        <f t="shared" si="20"/>
        <v>-7.8481323871486004E-4</v>
      </c>
      <c r="BC31" s="29">
        <f t="shared" si="21"/>
        <v>-1.4884651459696639E-4</v>
      </c>
      <c r="BE31" s="29">
        <f t="shared" si="22"/>
        <v>-7.8481323871486004E-4</v>
      </c>
      <c r="BF31" s="29">
        <f t="shared" si="23"/>
        <v>-1.4884651459696639E-4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46.26</v>
      </c>
      <c r="C32" s="33">
        <v>50.87</v>
      </c>
      <c r="D32" s="15">
        <v>-6.4829823988607005E-4</v>
      </c>
      <c r="E32" s="15">
        <v>5.8991251342025797E-4</v>
      </c>
      <c r="F32" s="33">
        <v>0</v>
      </c>
      <c r="G32" s="33">
        <v>0.13150000000000001</v>
      </c>
      <c r="H32" s="33">
        <v>0</v>
      </c>
      <c r="I32" s="33">
        <v>0.13980000000000001</v>
      </c>
      <c r="J32" s="33">
        <v>0</v>
      </c>
      <c r="K32" s="33">
        <v>0</v>
      </c>
      <c r="L32" s="33">
        <v>46.26</v>
      </c>
      <c r="M32" s="33">
        <v>50.87</v>
      </c>
      <c r="N32" s="34">
        <v>1.0996541288370001</v>
      </c>
      <c r="O32" s="34">
        <v>1.1028747626327899</v>
      </c>
      <c r="P32" s="34">
        <v>1.0991480055073399</v>
      </c>
      <c r="Q32" s="34">
        <v>1.09974867106521</v>
      </c>
      <c r="R32" s="33">
        <v>51.018986519393103</v>
      </c>
      <c r="S32" s="33">
        <v>50.850506290034602</v>
      </c>
      <c r="T32" s="33">
        <v>50.879051185135999</v>
      </c>
      <c r="U32" s="15">
        <v>2.9244893028827299E-3</v>
      </c>
      <c r="V32" s="15">
        <v>-3.8327985015045198E-4</v>
      </c>
      <c r="W32" s="15">
        <v>1.7791193243625399E-4</v>
      </c>
      <c r="X32" s="34">
        <v>1.0996541288370001</v>
      </c>
      <c r="Y32" s="34">
        <v>1.1028747626327899</v>
      </c>
      <c r="Z32" s="34">
        <v>1.0991480055073399</v>
      </c>
      <c r="AA32" s="34">
        <v>1.09974867106521</v>
      </c>
      <c r="AB32" s="33">
        <v>51.018986519393103</v>
      </c>
      <c r="AC32" s="33">
        <v>50.850506290034602</v>
      </c>
      <c r="AD32" s="33">
        <v>50.879051185135999</v>
      </c>
      <c r="AE32" s="15">
        <v>2.9244893028827299E-3</v>
      </c>
      <c r="AF32" s="15">
        <v>-3.8327985015045198E-4</v>
      </c>
      <c r="AG32" s="15">
        <v>1.7791193243625399E-4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6.4829823988607005E-4</v>
      </c>
      <c r="BA32" s="28">
        <f t="shared" si="13"/>
        <v>5.8991251342025797E-4</v>
      </c>
      <c r="BB32" s="28">
        <f t="shared" si="20"/>
        <v>1.2382107533063279E-3</v>
      </c>
      <c r="BC32" s="29">
        <f t="shared" si="21"/>
        <v>1.0893642387093615E-3</v>
      </c>
      <c r="BE32" s="29">
        <f t="shared" si="22"/>
        <v>1.2382107533063279E-3</v>
      </c>
      <c r="BF32" s="29">
        <f t="shared" si="23"/>
        <v>1.0893642387093615E-3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46.24</v>
      </c>
      <c r="C33" s="33">
        <v>50.86</v>
      </c>
      <c r="D33" s="15">
        <v>-4.32432439170979E-4</v>
      </c>
      <c r="E33" s="15">
        <v>-1.96598840700069E-4</v>
      </c>
      <c r="F33" s="33">
        <v>0</v>
      </c>
      <c r="G33" s="33">
        <v>0.13150000000000001</v>
      </c>
      <c r="H33" s="33">
        <v>0</v>
      </c>
      <c r="I33" s="33">
        <v>0.13980000000000001</v>
      </c>
      <c r="J33" s="33">
        <v>0</v>
      </c>
      <c r="K33" s="33">
        <v>0</v>
      </c>
      <c r="L33" s="33">
        <v>46.24</v>
      </c>
      <c r="M33" s="33">
        <v>50.86</v>
      </c>
      <c r="N33" s="34">
        <v>1.09991349480968</v>
      </c>
      <c r="O33" s="34">
        <v>1.1028747626327899</v>
      </c>
      <c r="P33" s="34">
        <v>1.0991654873924901</v>
      </c>
      <c r="Q33" s="34">
        <v>1.0996777373759099</v>
      </c>
      <c r="R33" s="33">
        <v>50.9969290241404</v>
      </c>
      <c r="S33" s="33">
        <v>50.824603774659501</v>
      </c>
      <c r="T33" s="33">
        <v>50.852378550055697</v>
      </c>
      <c r="U33" s="15">
        <v>2.6886557044117501E-3</v>
      </c>
      <c r="V33" s="15">
        <v>-6.9619638482410905E-4</v>
      </c>
      <c r="W33" s="15">
        <v>-1.49862781053465E-4</v>
      </c>
      <c r="X33" s="34">
        <v>1.09991349480968</v>
      </c>
      <c r="Y33" s="34">
        <v>1.1028747626327899</v>
      </c>
      <c r="Z33" s="34">
        <v>1.0991654873924901</v>
      </c>
      <c r="AA33" s="34">
        <v>1.0996777373759099</v>
      </c>
      <c r="AB33" s="33">
        <v>50.9969290241404</v>
      </c>
      <c r="AC33" s="33">
        <v>50.824603774659501</v>
      </c>
      <c r="AD33" s="33">
        <v>50.852378550055697</v>
      </c>
      <c r="AE33" s="15">
        <v>2.6886557044117501E-3</v>
      </c>
      <c r="AF33" s="15">
        <v>-6.9619638482410905E-4</v>
      </c>
      <c r="AG33" s="15">
        <v>-1.49862781053465E-4</v>
      </c>
      <c r="AI33" s="12"/>
      <c r="AJ33">
        <f t="shared" si="6"/>
        <v>0</v>
      </c>
      <c r="AK33">
        <f t="shared" si="7"/>
        <v>0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1</v>
      </c>
      <c r="AX33">
        <f t="shared" si="5"/>
        <v>1</v>
      </c>
      <c r="AY33">
        <f t="shared" si="19"/>
        <v>1</v>
      </c>
      <c r="AZ33" s="28">
        <f t="shared" si="12"/>
        <v>4.32432439170979E-4</v>
      </c>
      <c r="BA33" s="28">
        <f t="shared" si="13"/>
        <v>-1.96598840700069E-4</v>
      </c>
      <c r="BB33" s="28">
        <f t="shared" si="20"/>
        <v>2.3583359847091E-4</v>
      </c>
      <c r="BC33" s="29">
        <f t="shared" si="21"/>
        <v>1.3251978371802715E-3</v>
      </c>
      <c r="BE33" s="29">
        <f t="shared" si="22"/>
        <v>2.3583359847091E-4</v>
      </c>
      <c r="BF33" s="29">
        <f t="shared" si="23"/>
        <v>1.3251978371802715E-3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46.24</v>
      </c>
      <c r="C34" s="33">
        <v>50.86</v>
      </c>
      <c r="D34" s="15">
        <v>0</v>
      </c>
      <c r="E34" s="15">
        <v>0</v>
      </c>
      <c r="F34" s="33">
        <v>0</v>
      </c>
      <c r="G34" s="33">
        <v>0.13150000000000001</v>
      </c>
      <c r="H34" s="33">
        <v>0</v>
      </c>
      <c r="I34" s="33">
        <v>0.13980000000000001</v>
      </c>
      <c r="J34" s="33">
        <v>0</v>
      </c>
      <c r="K34" s="33">
        <v>0</v>
      </c>
      <c r="L34" s="33">
        <v>46.24</v>
      </c>
      <c r="M34" s="33">
        <v>50.86</v>
      </c>
      <c r="N34" s="34">
        <v>1.09991349480968</v>
      </c>
      <c r="O34" s="34">
        <v>1.1028747626327899</v>
      </c>
      <c r="P34" s="34">
        <v>1.0993111511529601</v>
      </c>
      <c r="Q34" s="34">
        <v>1.0996516256240201</v>
      </c>
      <c r="R34" s="33">
        <v>50.9969290241404</v>
      </c>
      <c r="S34" s="33">
        <v>50.825412137028898</v>
      </c>
      <c r="T34" s="33">
        <v>50.8490985762623</v>
      </c>
      <c r="U34" s="15">
        <v>2.6886557044117501E-3</v>
      </c>
      <c r="V34" s="15">
        <v>-6.8029156942189199E-4</v>
      </c>
      <c r="W34" s="15">
        <v>-2.1436477035037199E-4</v>
      </c>
      <c r="X34" s="34">
        <v>1.09991349480968</v>
      </c>
      <c r="Y34" s="34">
        <v>1.1028747626327899</v>
      </c>
      <c r="Z34" s="34">
        <v>1.0993111511529601</v>
      </c>
      <c r="AA34" s="34">
        <v>1.0996516256240201</v>
      </c>
      <c r="AB34" s="33">
        <v>50.9969290241404</v>
      </c>
      <c r="AC34" s="33">
        <v>50.825412137028898</v>
      </c>
      <c r="AD34" s="33">
        <v>50.8490985762623</v>
      </c>
      <c r="AE34" s="15">
        <v>2.6886557044117501E-3</v>
      </c>
      <c r="AF34" s="15">
        <v>-6.8029156942189199E-4</v>
      </c>
      <c r="AG34" s="15">
        <v>-2.1436477035037199E-4</v>
      </c>
      <c r="AI34" s="12"/>
      <c r="AJ34">
        <f t="shared" si="6"/>
        <v>0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1.3251978371802715E-3</v>
      </c>
      <c r="BE34" s="29">
        <f t="shared" si="22"/>
        <v>0</v>
      </c>
      <c r="BF34" s="29">
        <f t="shared" si="23"/>
        <v>1.3251978371802715E-3</v>
      </c>
      <c r="BH34" s="29"/>
    </row>
    <row r="35" spans="1:124" x14ac:dyDescent="0.25">
      <c r="A35" s="1">
        <v>46073</v>
      </c>
      <c r="B35" s="33">
        <v>46.28</v>
      </c>
      <c r="C35" s="33">
        <v>50.93</v>
      </c>
      <c r="D35" s="15">
        <v>8.6467796135375203E-4</v>
      </c>
      <c r="E35" s="15">
        <v>1.3753809025397301E-3</v>
      </c>
      <c r="F35" s="33">
        <v>0</v>
      </c>
      <c r="G35" s="33">
        <v>0.13150000000000001</v>
      </c>
      <c r="H35" s="33">
        <v>0</v>
      </c>
      <c r="I35" s="33">
        <v>0.13980000000000001</v>
      </c>
      <c r="J35" s="33">
        <v>0</v>
      </c>
      <c r="K35" s="33">
        <v>0</v>
      </c>
      <c r="L35" s="33">
        <v>46.28</v>
      </c>
      <c r="M35" s="33">
        <v>50.93</v>
      </c>
      <c r="N35" s="34">
        <v>1.1004753673293</v>
      </c>
      <c r="O35" s="34">
        <v>1.1028747626327899</v>
      </c>
      <c r="P35" s="34">
        <v>1.0994346922289999</v>
      </c>
      <c r="Q35" s="34">
        <v>1.09963832464901</v>
      </c>
      <c r="R35" s="33">
        <v>51.041044014645799</v>
      </c>
      <c r="S35" s="33">
        <v>50.876120075359303</v>
      </c>
      <c r="T35" s="33">
        <v>50.891877233879796</v>
      </c>
      <c r="U35" s="15">
        <v>2.1779527632259199E-3</v>
      </c>
      <c r="V35" s="15">
        <v>-1.05848115282854E-3</v>
      </c>
      <c r="W35" s="15">
        <v>-7.48812906167748E-4</v>
      </c>
      <c r="X35" s="34">
        <v>1.1004753673293</v>
      </c>
      <c r="Y35" s="34">
        <v>1.1028747626327899</v>
      </c>
      <c r="Z35" s="34">
        <v>1.0994346922289999</v>
      </c>
      <c r="AA35" s="34">
        <v>1.09963832464901</v>
      </c>
      <c r="AB35" s="33">
        <v>51.041044014645799</v>
      </c>
      <c r="AC35" s="33">
        <v>50.876120075359303</v>
      </c>
      <c r="AD35" s="33">
        <v>50.891877233879796</v>
      </c>
      <c r="AE35" s="15">
        <v>2.1779527632259199E-3</v>
      </c>
      <c r="AF35" s="15">
        <v>-1.05848115282854E-3</v>
      </c>
      <c r="AG35" s="15">
        <v>-7.48812906167748E-4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1.3251978371802715E-3</v>
      </c>
      <c r="BE35" s="29">
        <f t="shared" si="22"/>
        <v>0</v>
      </c>
      <c r="BF35" s="29">
        <f t="shared" si="23"/>
        <v>1.3251978371802715E-3</v>
      </c>
      <c r="BH35" s="29"/>
    </row>
    <row r="36" spans="1:124" x14ac:dyDescent="0.25">
      <c r="A36" s="1">
        <v>46076</v>
      </c>
      <c r="B36" s="33">
        <v>46.34</v>
      </c>
      <c r="C36" s="33">
        <v>50.96</v>
      </c>
      <c r="D36" s="15">
        <v>1.2956166787542801E-3</v>
      </c>
      <c r="E36" s="15">
        <v>5.8887036739458905E-4</v>
      </c>
      <c r="F36" s="33">
        <v>0</v>
      </c>
      <c r="G36" s="33">
        <v>0.13150000000000001</v>
      </c>
      <c r="H36" s="33">
        <v>0</v>
      </c>
      <c r="I36" s="33">
        <v>0.13980000000000001</v>
      </c>
      <c r="J36" s="33">
        <v>0</v>
      </c>
      <c r="K36" s="33">
        <v>0</v>
      </c>
      <c r="L36" s="33">
        <v>46.34</v>
      </c>
      <c r="M36" s="33">
        <v>50.96</v>
      </c>
      <c r="N36" s="34">
        <v>1.0996978851963699</v>
      </c>
      <c r="O36" s="34">
        <v>1.1028747626327899</v>
      </c>
      <c r="P36" s="34">
        <v>1.0994630872170501</v>
      </c>
      <c r="Q36" s="34">
        <v>1.0995905391702701</v>
      </c>
      <c r="R36" s="33">
        <v>51.107216500403702</v>
      </c>
      <c r="S36" s="33">
        <v>50.947803637891901</v>
      </c>
      <c r="T36" s="33">
        <v>50.957239964235399</v>
      </c>
      <c r="U36" s="15">
        <v>2.88469907458559E-3</v>
      </c>
      <c r="V36" s="15">
        <v>-2.39360710973555E-4</v>
      </c>
      <c r="W36" s="15">
        <v>-5.4162294156297899E-5</v>
      </c>
      <c r="X36" s="34">
        <v>1.0996978851963699</v>
      </c>
      <c r="Y36" s="34">
        <v>1.1028747626327899</v>
      </c>
      <c r="Z36" s="34">
        <v>1.0994630872170501</v>
      </c>
      <c r="AA36" s="34">
        <v>1.0995905391702701</v>
      </c>
      <c r="AB36" s="33">
        <v>51.107216500403702</v>
      </c>
      <c r="AC36" s="33">
        <v>50.947803637891901</v>
      </c>
      <c r="AD36" s="33">
        <v>50.957239964235399</v>
      </c>
      <c r="AE36" s="15">
        <v>2.88469907458559E-3</v>
      </c>
      <c r="AF36" s="15">
        <v>-2.39360710973555E-4</v>
      </c>
      <c r="AG36" s="15">
        <v>-5.4162294156297899E-5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1.3251978371802715E-3</v>
      </c>
      <c r="BE36" s="29">
        <f t="shared" si="22"/>
        <v>0</v>
      </c>
      <c r="BF36" s="29">
        <f t="shared" si="23"/>
        <v>1.3251978371802715E-3</v>
      </c>
      <c r="BH36" s="29"/>
    </row>
    <row r="37" spans="1:124" x14ac:dyDescent="0.25">
      <c r="A37" s="1">
        <v>46077</v>
      </c>
      <c r="B37" s="33">
        <v>46.4</v>
      </c>
      <c r="C37" s="33">
        <v>51.03</v>
      </c>
      <c r="D37" s="15">
        <v>1.2939402279792799E-3</v>
      </c>
      <c r="E37" s="15">
        <v>1.37268381197217E-3</v>
      </c>
      <c r="F37" s="33">
        <v>0</v>
      </c>
      <c r="G37" s="33">
        <v>0.13150000000000001</v>
      </c>
      <c r="H37" s="33">
        <v>0</v>
      </c>
      <c r="I37" s="33">
        <v>0.13980000000000001</v>
      </c>
      <c r="J37" s="33">
        <v>0</v>
      </c>
      <c r="K37" s="33">
        <v>0</v>
      </c>
      <c r="L37" s="33">
        <v>46.4</v>
      </c>
      <c r="M37" s="33">
        <v>51.03</v>
      </c>
      <c r="N37" s="34">
        <v>1.0997844827586201</v>
      </c>
      <c r="O37" s="34">
        <v>1.1028747626327899</v>
      </c>
      <c r="P37" s="34">
        <v>1.0995283033887899</v>
      </c>
      <c r="Q37" s="34">
        <v>1.09952529707726</v>
      </c>
      <c r="R37" s="33">
        <v>51.173388986161697</v>
      </c>
      <c r="S37" s="33">
        <v>51.015087246871403</v>
      </c>
      <c r="T37" s="33">
        <v>51.021001017500602</v>
      </c>
      <c r="U37" s="15">
        <v>2.80595549059282E-3</v>
      </c>
      <c r="V37" s="15">
        <v>-2.9227773010987498E-4</v>
      </c>
      <c r="W37" s="15">
        <v>-1.76362454712943E-4</v>
      </c>
      <c r="X37" s="34">
        <v>1.0997844827586201</v>
      </c>
      <c r="Y37" s="34">
        <v>1.1028747626327899</v>
      </c>
      <c r="Z37" s="34">
        <v>1.0995283033887899</v>
      </c>
      <c r="AA37" s="34">
        <v>1.09952529707726</v>
      </c>
      <c r="AB37" s="33">
        <v>51.173388986161697</v>
      </c>
      <c r="AC37" s="33">
        <v>51.015087246871403</v>
      </c>
      <c r="AD37" s="33">
        <v>51.021001017500602</v>
      </c>
      <c r="AE37" s="15">
        <v>2.80595549059282E-3</v>
      </c>
      <c r="AF37" s="15">
        <v>-2.9227773010987498E-4</v>
      </c>
      <c r="AG37" s="15">
        <v>-1.76362454712943E-4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1.3251978371802715E-3</v>
      </c>
      <c r="BE37" s="29">
        <f t="shared" si="22"/>
        <v>0</v>
      </c>
      <c r="BF37" s="29">
        <f t="shared" si="23"/>
        <v>1.3251978371802715E-3</v>
      </c>
      <c r="BH37" s="29"/>
    </row>
    <row r="38" spans="1:124" x14ac:dyDescent="0.25">
      <c r="A38" s="1">
        <v>46078</v>
      </c>
      <c r="B38" s="33">
        <v>46.41</v>
      </c>
      <c r="C38" s="33">
        <v>51.06</v>
      </c>
      <c r="D38" s="15">
        <v>2.1549402087491201E-4</v>
      </c>
      <c r="E38" s="15">
        <v>5.8771673745766401E-4</v>
      </c>
      <c r="F38" s="33">
        <v>0</v>
      </c>
      <c r="G38" s="33">
        <v>0.13150000000000001</v>
      </c>
      <c r="H38" s="33">
        <v>0</v>
      </c>
      <c r="I38" s="33">
        <v>0.13980000000000001</v>
      </c>
      <c r="J38" s="33">
        <v>0</v>
      </c>
      <c r="K38" s="33">
        <v>0</v>
      </c>
      <c r="L38" s="33">
        <v>46.41</v>
      </c>
      <c r="M38" s="33">
        <v>51.06</v>
      </c>
      <c r="N38" s="34">
        <v>1.10019392372333</v>
      </c>
      <c r="O38" s="34">
        <v>1.1028747626327899</v>
      </c>
      <c r="P38" s="34">
        <v>1.09960186694206</v>
      </c>
      <c r="Q38" s="34">
        <v>1.0995186711742</v>
      </c>
      <c r="R38" s="33">
        <v>51.184417733788003</v>
      </c>
      <c r="S38" s="33">
        <v>51.029108560274103</v>
      </c>
      <c r="T38" s="33">
        <v>51.0289690373559</v>
      </c>
      <c r="U38" s="15">
        <v>2.4337327740097999E-3</v>
      </c>
      <c r="V38" s="15">
        <v>-6.0518582450890999E-4</v>
      </c>
      <c r="W38" s="15">
        <v>-6.0792001118878099E-4</v>
      </c>
      <c r="X38" s="34">
        <v>1.10019392372333</v>
      </c>
      <c r="Y38" s="34">
        <v>1.1028747626327899</v>
      </c>
      <c r="Z38" s="34">
        <v>1.09960186694206</v>
      </c>
      <c r="AA38" s="34">
        <v>1.0995186711742</v>
      </c>
      <c r="AB38" s="33">
        <v>51.184417733788003</v>
      </c>
      <c r="AC38" s="33">
        <v>51.029108560274103</v>
      </c>
      <c r="AD38" s="33">
        <v>51.0289690373559</v>
      </c>
      <c r="AE38" s="15">
        <v>2.4337327740097999E-3</v>
      </c>
      <c r="AF38" s="15">
        <v>-6.0518582450890999E-4</v>
      </c>
      <c r="AG38" s="15">
        <v>-6.0792001118878099E-4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1.3251978371802715E-3</v>
      </c>
      <c r="BE38" s="29">
        <f t="shared" si="22"/>
        <v>0</v>
      </c>
      <c r="BF38" s="29">
        <f t="shared" si="23"/>
        <v>1.3251978371802715E-3</v>
      </c>
      <c r="BH38" s="29"/>
    </row>
    <row r="39" spans="1:124" x14ac:dyDescent="0.25">
      <c r="A39" s="1">
        <v>46079</v>
      </c>
      <c r="B39" s="33">
        <v>46.45</v>
      </c>
      <c r="C39" s="33">
        <v>51.13</v>
      </c>
      <c r="D39" s="15">
        <v>8.61512006763297E-4</v>
      </c>
      <c r="E39" s="15">
        <v>1.3699972785700301E-3</v>
      </c>
      <c r="F39" s="33">
        <v>0</v>
      </c>
      <c r="G39" s="33">
        <v>0.13150000000000001</v>
      </c>
      <c r="H39" s="33">
        <v>0</v>
      </c>
      <c r="I39" s="33">
        <v>0.13980000000000001</v>
      </c>
      <c r="J39" s="33">
        <v>0</v>
      </c>
      <c r="K39" s="33">
        <v>0</v>
      </c>
      <c r="L39" s="33">
        <v>46.45</v>
      </c>
      <c r="M39" s="33">
        <v>51.13</v>
      </c>
      <c r="N39" s="34">
        <v>1.10075349838536</v>
      </c>
      <c r="O39" s="34">
        <v>1.1028747626327899</v>
      </c>
      <c r="P39" s="34">
        <v>1.09978353051459</v>
      </c>
      <c r="Q39" s="34">
        <v>1.09954111545813</v>
      </c>
      <c r="R39" s="33">
        <v>51.228532724293302</v>
      </c>
      <c r="S39" s="33">
        <v>51.076506719458798</v>
      </c>
      <c r="T39" s="33">
        <v>51.072642276041798</v>
      </c>
      <c r="U39" s="15">
        <v>1.925247502203E-3</v>
      </c>
      <c r="V39" s="15">
        <v>-1.0467686870951501E-3</v>
      </c>
      <c r="W39" s="15">
        <v>-1.12243144996297E-3</v>
      </c>
      <c r="X39" s="34">
        <v>1.10075349838536</v>
      </c>
      <c r="Y39" s="34">
        <v>1.1028747626327899</v>
      </c>
      <c r="Z39" s="34">
        <v>1.09978353051459</v>
      </c>
      <c r="AA39" s="34">
        <v>1.09954111545813</v>
      </c>
      <c r="AB39" s="33">
        <v>51.228532724293302</v>
      </c>
      <c r="AC39" s="33">
        <v>51.076506719458798</v>
      </c>
      <c r="AD39" s="33">
        <v>51.072642276041798</v>
      </c>
      <c r="AE39" s="15">
        <v>1.925247502203E-3</v>
      </c>
      <c r="AF39" s="15">
        <v>-1.0467686870951501E-3</v>
      </c>
      <c r="AG39" s="15">
        <v>-1.12243144996297E-3</v>
      </c>
      <c r="AI39" s="12"/>
      <c r="AJ39">
        <f t="shared" si="6"/>
        <v>1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1.3251978371802715E-3</v>
      </c>
      <c r="BE39" s="29">
        <f t="shared" si="22"/>
        <v>0</v>
      </c>
      <c r="BF39" s="29">
        <f t="shared" si="23"/>
        <v>1.3251978371802715E-3</v>
      </c>
      <c r="BH39" s="29"/>
    </row>
    <row r="40" spans="1:124" x14ac:dyDescent="0.25">
      <c r="A40" s="1">
        <v>46080</v>
      </c>
      <c r="B40" s="33">
        <v>46.5</v>
      </c>
      <c r="C40" s="33">
        <v>51.15</v>
      </c>
      <c r="D40" s="15">
        <v>1.07584733346311E-3</v>
      </c>
      <c r="E40" s="15">
        <v>3.9108330572747699E-4</v>
      </c>
      <c r="F40" s="33">
        <v>0</v>
      </c>
      <c r="G40" s="33">
        <v>0.13150000000000001</v>
      </c>
      <c r="H40" s="33">
        <v>0</v>
      </c>
      <c r="I40" s="33">
        <v>0.13980000000000001</v>
      </c>
      <c r="J40" s="33">
        <v>0</v>
      </c>
      <c r="K40" s="33">
        <v>0</v>
      </c>
      <c r="L40" s="33">
        <v>46.5</v>
      </c>
      <c r="M40" s="33">
        <v>51.15</v>
      </c>
      <c r="N40" s="34">
        <v>1.0999999999999901</v>
      </c>
      <c r="O40" s="34">
        <v>1.1028747626327899</v>
      </c>
      <c r="P40" s="34">
        <v>1.09986796437474</v>
      </c>
      <c r="Q40" s="34">
        <v>1.0995683189401799</v>
      </c>
      <c r="R40" s="33">
        <v>51.283676462424999</v>
      </c>
      <c r="S40" s="33">
        <v>51.139934168928797</v>
      </c>
      <c r="T40" s="33">
        <v>51.128661868803398</v>
      </c>
      <c r="U40" s="15">
        <v>2.61001152993848E-3</v>
      </c>
      <c r="V40" s="15">
        <v>-1.96809807053894E-4</v>
      </c>
      <c r="W40" s="15">
        <v>-4.1725480400761801E-4</v>
      </c>
      <c r="X40" s="34">
        <v>1.0999999999999901</v>
      </c>
      <c r="Y40" s="34">
        <v>1.1028747626327899</v>
      </c>
      <c r="Z40" s="34">
        <v>1.09986796437474</v>
      </c>
      <c r="AA40" s="34">
        <v>1.0995683189401799</v>
      </c>
      <c r="AB40" s="33">
        <v>51.283676462424999</v>
      </c>
      <c r="AC40" s="33">
        <v>51.139934168928797</v>
      </c>
      <c r="AD40" s="33">
        <v>51.128661868803398</v>
      </c>
      <c r="AE40" s="15">
        <v>2.61001152993848E-3</v>
      </c>
      <c r="AF40" s="15">
        <v>-1.96809807053894E-4</v>
      </c>
      <c r="AG40" s="15">
        <v>-4.1725480400761801E-4</v>
      </c>
      <c r="AI40" s="12"/>
      <c r="AJ40">
        <f t="shared" si="6"/>
        <v>0</v>
      </c>
      <c r="AK40">
        <f t="shared" si="7"/>
        <v>0</v>
      </c>
      <c r="AL40">
        <f t="shared" si="14"/>
        <v>1</v>
      </c>
      <c r="AM40">
        <f t="shared" si="4"/>
        <v>0</v>
      </c>
      <c r="AN40">
        <f t="shared" si="15"/>
        <v>1</v>
      </c>
      <c r="AO40" s="28">
        <f t="shared" si="8"/>
        <v>1.07584733346311E-3</v>
      </c>
      <c r="AP40" s="28">
        <f t="shared" si="9"/>
        <v>-3.9108330572747699E-4</v>
      </c>
      <c r="AQ40" s="28">
        <f t="shared" si="16"/>
        <v>6.8476402773563305E-4</v>
      </c>
      <c r="AR40" s="29">
        <f t="shared" si="17"/>
        <v>6.8476402773563305E-4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1.3251978371802715E-3</v>
      </c>
      <c r="BE40" s="29">
        <f t="shared" si="22"/>
        <v>6.8476402773563305E-4</v>
      </c>
      <c r="BF40" s="29">
        <f t="shared" si="23"/>
        <v>2.0099618649159047E-3</v>
      </c>
      <c r="BH40" s="29"/>
    </row>
    <row r="41" spans="1:124" x14ac:dyDescent="0.25">
      <c r="A41" s="1">
        <v>46083</v>
      </c>
      <c r="B41" s="33">
        <v>46.18</v>
      </c>
      <c r="C41" s="33">
        <v>50.87</v>
      </c>
      <c r="D41" s="15">
        <v>-6.9055086669612799E-3</v>
      </c>
      <c r="E41" s="15">
        <v>-5.4891335629618501E-3</v>
      </c>
      <c r="F41" s="33">
        <v>0.13635</v>
      </c>
      <c r="G41" s="33">
        <v>0.26784999999999998</v>
      </c>
      <c r="H41" s="33">
        <v>0.1487</v>
      </c>
      <c r="I41" s="33">
        <v>0.28849999999999998</v>
      </c>
      <c r="J41" s="33">
        <v>0</v>
      </c>
      <c r="K41" s="33">
        <v>0</v>
      </c>
      <c r="L41" s="33">
        <v>46.18</v>
      </c>
      <c r="M41" s="33">
        <v>50.87</v>
      </c>
      <c r="N41" s="34">
        <v>1.10155911650064</v>
      </c>
      <c r="O41" s="34">
        <v>1.1028747626327899</v>
      </c>
      <c r="P41" s="34">
        <v>1.1001945392350001</v>
      </c>
      <c r="Q41" s="34">
        <v>1.09971363678173</v>
      </c>
      <c r="R41" s="33">
        <v>50.930756538382497</v>
      </c>
      <c r="S41" s="33">
        <v>50.791902594825501</v>
      </c>
      <c r="T41" s="33">
        <v>50.778064968657702</v>
      </c>
      <c r="U41" s="15">
        <v>1.1936364259390001E-3</v>
      </c>
      <c r="V41" s="15">
        <v>-1.53641469506184E-3</v>
      </c>
      <c r="W41" s="15">
        <v>-1.80888945478422E-3</v>
      </c>
      <c r="X41" s="34">
        <v>1.10155911650064</v>
      </c>
      <c r="Y41" s="34">
        <v>1.1028747626327899</v>
      </c>
      <c r="Z41" s="34">
        <v>1.1001945392350001</v>
      </c>
      <c r="AA41" s="34">
        <v>1.09971363678173</v>
      </c>
      <c r="AB41" s="33">
        <v>50.930756538382497</v>
      </c>
      <c r="AC41" s="33">
        <v>50.791902594825501</v>
      </c>
      <c r="AD41" s="33">
        <v>50.778064968657702</v>
      </c>
      <c r="AE41" s="15">
        <v>1.1936364259390001E-3</v>
      </c>
      <c r="AF41" s="15">
        <v>-1.53641469506184E-3</v>
      </c>
      <c r="AG41" s="15">
        <v>-1.80888945478422E-3</v>
      </c>
      <c r="AI41" s="12"/>
      <c r="AJ41">
        <f t="shared" si="6"/>
        <v>1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6.8476402773563305E-4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1.3251978371802715E-3</v>
      </c>
      <c r="BE41" s="29">
        <f t="shared" si="22"/>
        <v>0</v>
      </c>
      <c r="BF41" s="29">
        <f t="shared" si="23"/>
        <v>2.0099618649159047E-3</v>
      </c>
      <c r="BH41" s="29"/>
    </row>
    <row r="42" spans="1:124" x14ac:dyDescent="0.25">
      <c r="A42" s="1">
        <v>46084</v>
      </c>
      <c r="B42" s="33">
        <v>45.97</v>
      </c>
      <c r="C42" s="33">
        <v>50.6</v>
      </c>
      <c r="D42" s="15">
        <v>-4.55779410821273E-3</v>
      </c>
      <c r="E42" s="15">
        <v>-5.3217825412536796E-3</v>
      </c>
      <c r="F42" s="33">
        <v>0</v>
      </c>
      <c r="G42" s="33">
        <v>0.26784999999999998</v>
      </c>
      <c r="H42" s="33">
        <v>0</v>
      </c>
      <c r="I42" s="33">
        <v>0.28849999999999998</v>
      </c>
      <c r="J42" s="33">
        <v>0</v>
      </c>
      <c r="K42" s="33">
        <v>0</v>
      </c>
      <c r="L42" s="33">
        <v>45.97</v>
      </c>
      <c r="M42" s="33">
        <v>50.6</v>
      </c>
      <c r="N42" s="34">
        <v>1.10071785947356</v>
      </c>
      <c r="O42" s="34">
        <v>1.1028747626327899</v>
      </c>
      <c r="P42" s="34">
        <v>1.10030091229865</v>
      </c>
      <c r="Q42" s="34">
        <v>1.099724458903</v>
      </c>
      <c r="R42" s="33">
        <v>50.699152838229601</v>
      </c>
      <c r="S42" s="33">
        <v>50.575942968633001</v>
      </c>
      <c r="T42" s="33">
        <v>50.553835882856198</v>
      </c>
      <c r="U42" s="15">
        <v>1.9576248589800501E-3</v>
      </c>
      <c r="V42" s="15">
        <v>-4.7554845775442698E-4</v>
      </c>
      <c r="W42" s="15">
        <v>-9.1275076117245497E-4</v>
      </c>
      <c r="X42" s="34">
        <v>1.10071785947356</v>
      </c>
      <c r="Y42" s="34">
        <v>1.1028747626327899</v>
      </c>
      <c r="Z42" s="34">
        <v>1.10030091229865</v>
      </c>
      <c r="AA42" s="34">
        <v>1.099724458903</v>
      </c>
      <c r="AB42" s="33">
        <v>50.699152838229601</v>
      </c>
      <c r="AC42" s="33">
        <v>50.575942968633001</v>
      </c>
      <c r="AD42" s="33">
        <v>50.553835882856198</v>
      </c>
      <c r="AE42" s="15">
        <v>1.9576248589800501E-3</v>
      </c>
      <c r="AF42" s="15">
        <v>-4.7554845775442698E-4</v>
      </c>
      <c r="AG42" s="15">
        <v>-9.1275076117245497E-4</v>
      </c>
      <c r="AI42" s="12"/>
      <c r="AJ42">
        <f t="shared" si="6"/>
        <v>0</v>
      </c>
      <c r="AK42">
        <f t="shared" si="7"/>
        <v>0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-4.55779410821273E-3</v>
      </c>
      <c r="AP42" s="28">
        <f t="shared" si="9"/>
        <v>5.3217825412536796E-3</v>
      </c>
      <c r="AQ42" s="28">
        <f t="shared" si="16"/>
        <v>7.6398843304094962E-4</v>
      </c>
      <c r="AR42" s="29">
        <f t="shared" si="17"/>
        <v>1.4487524607765827E-3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1.3251978371802715E-3</v>
      </c>
      <c r="BE42" s="29">
        <f t="shared" si="22"/>
        <v>7.6398843304094962E-4</v>
      </c>
      <c r="BF42" s="29">
        <f t="shared" si="23"/>
        <v>2.7739502979568544E-3</v>
      </c>
      <c r="BH42" s="29"/>
    </row>
    <row r="43" spans="1:124" x14ac:dyDescent="0.25">
      <c r="A43" s="1">
        <v>46085</v>
      </c>
      <c r="B43" s="33">
        <v>45.99</v>
      </c>
      <c r="C43" s="33">
        <v>50.57</v>
      </c>
      <c r="D43" s="15">
        <v>4.3497173369584202E-4</v>
      </c>
      <c r="E43" s="15">
        <v>-5.9306120152819602E-4</v>
      </c>
      <c r="F43" s="33">
        <v>0</v>
      </c>
      <c r="G43" s="33">
        <v>0.26784999999999998</v>
      </c>
      <c r="H43" s="33">
        <v>0</v>
      </c>
      <c r="I43" s="33">
        <v>0.28849999999999998</v>
      </c>
      <c r="J43" s="33">
        <v>0</v>
      </c>
      <c r="K43" s="33">
        <v>0</v>
      </c>
      <c r="L43" s="33">
        <v>45.99</v>
      </c>
      <c r="M43" s="33">
        <v>50.57</v>
      </c>
      <c r="N43" s="34">
        <v>1.09958686671015</v>
      </c>
      <c r="O43" s="34">
        <v>1.1028747626327899</v>
      </c>
      <c r="P43" s="34">
        <v>1.1002682494886999</v>
      </c>
      <c r="Q43" s="34">
        <v>1.09971686844059</v>
      </c>
      <c r="R43" s="33">
        <v>50.721210333482198</v>
      </c>
      <c r="S43" s="33">
        <v>50.602838956615301</v>
      </c>
      <c r="T43" s="33">
        <v>50.576327864949</v>
      </c>
      <c r="U43" s="15">
        <v>2.9856577942041201E-3</v>
      </c>
      <c r="V43" s="15">
        <v>6.4916548961614499E-4</v>
      </c>
      <c r="W43" s="15">
        <v>1.25122979565377E-4</v>
      </c>
      <c r="X43" s="34">
        <v>1.09958686671015</v>
      </c>
      <c r="Y43" s="34">
        <v>1.1028747626327899</v>
      </c>
      <c r="Z43" s="34">
        <v>1.1002682494886999</v>
      </c>
      <c r="AA43" s="34">
        <v>1.09971686844059</v>
      </c>
      <c r="AB43" s="33">
        <v>50.721210333482198</v>
      </c>
      <c r="AC43" s="33">
        <v>50.602838956615301</v>
      </c>
      <c r="AD43" s="33">
        <v>50.576327864949</v>
      </c>
      <c r="AE43" s="15">
        <v>2.9856577942041201E-3</v>
      </c>
      <c r="AF43" s="15">
        <v>6.4916548961614499E-4</v>
      </c>
      <c r="AG43" s="15">
        <v>1.25122979565377E-4</v>
      </c>
      <c r="AI43" s="12"/>
      <c r="AJ43">
        <f t="shared" si="6"/>
        <v>0</v>
      </c>
      <c r="AK43">
        <f t="shared" si="7"/>
        <v>1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4.3497173369584202E-4</v>
      </c>
      <c r="AP43" s="28">
        <f t="shared" si="9"/>
        <v>5.9306120152819602E-4</v>
      </c>
      <c r="AQ43" s="28">
        <f t="shared" si="16"/>
        <v>1.0280329352240381E-3</v>
      </c>
      <c r="AR43" s="29">
        <f t="shared" si="17"/>
        <v>2.4767853960006208E-3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1.3251978371802715E-3</v>
      </c>
      <c r="BE43" s="29">
        <f t="shared" si="22"/>
        <v>1.0280329352240381E-3</v>
      </c>
      <c r="BF43" s="29">
        <f t="shared" si="23"/>
        <v>3.8019832331808922E-3</v>
      </c>
      <c r="BH43" s="29"/>
    </row>
    <row r="44" spans="1:124" x14ac:dyDescent="0.25">
      <c r="A44" s="1">
        <v>46086</v>
      </c>
      <c r="B44" s="33">
        <v>45.95</v>
      </c>
      <c r="C44" s="33">
        <v>50.58</v>
      </c>
      <c r="D44" s="15">
        <v>-8.7013275013639205E-4</v>
      </c>
      <c r="E44" s="15">
        <v>1.9772614992735299E-4</v>
      </c>
      <c r="F44" s="33">
        <v>0</v>
      </c>
      <c r="G44" s="33">
        <v>0.26784999999999998</v>
      </c>
      <c r="H44" s="33">
        <v>0</v>
      </c>
      <c r="I44" s="33">
        <v>0.28849999999999998</v>
      </c>
      <c r="J44" s="33">
        <v>0</v>
      </c>
      <c r="K44" s="33">
        <v>0</v>
      </c>
      <c r="L44" s="33">
        <v>45.95</v>
      </c>
      <c r="M44" s="33">
        <v>50.58</v>
      </c>
      <c r="N44" s="34">
        <v>1.10076169749727</v>
      </c>
      <c r="O44" s="34">
        <v>1.1028747626327899</v>
      </c>
      <c r="P44" s="34">
        <v>1.1003530697574599</v>
      </c>
      <c r="Q44" s="34">
        <v>1.09983211045521</v>
      </c>
      <c r="R44" s="33">
        <v>50.677095342976898</v>
      </c>
      <c r="S44" s="33">
        <v>50.557326064005998</v>
      </c>
      <c r="T44" s="33">
        <v>50.531990104845498</v>
      </c>
      <c r="U44" s="15">
        <v>1.9177988941403599E-3</v>
      </c>
      <c r="V44" s="15">
        <v>-4.4837919403758298E-4</v>
      </c>
      <c r="W44" s="15">
        <v>-9.4963809361593699E-4</v>
      </c>
      <c r="X44" s="34">
        <v>1.10076169749727</v>
      </c>
      <c r="Y44" s="34">
        <v>1.1028747626327899</v>
      </c>
      <c r="Z44" s="34">
        <v>1.1003530697574599</v>
      </c>
      <c r="AA44" s="34">
        <v>1.09983211045521</v>
      </c>
      <c r="AB44" s="33">
        <v>50.677095342976898</v>
      </c>
      <c r="AC44" s="33">
        <v>50.557326064005998</v>
      </c>
      <c r="AD44" s="33">
        <v>50.531990104845498</v>
      </c>
      <c r="AE44" s="15">
        <v>1.9177988941403599E-3</v>
      </c>
      <c r="AF44" s="15">
        <v>-4.4837919403758298E-4</v>
      </c>
      <c r="AG44" s="15">
        <v>-9.4963809361593699E-4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2.4767853960006208E-3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1.3251978371802715E-3</v>
      </c>
      <c r="BE44" s="29">
        <f t="shared" si="22"/>
        <v>0</v>
      </c>
      <c r="BF44" s="29">
        <f t="shared" si="23"/>
        <v>3.8019832331808922E-3</v>
      </c>
      <c r="BH44" s="29"/>
    </row>
    <row r="45" spans="1:124" x14ac:dyDescent="0.25">
      <c r="A45" s="1">
        <v>46087</v>
      </c>
      <c r="B45" s="33">
        <v>45.91</v>
      </c>
      <c r="C45" s="33">
        <v>50.56</v>
      </c>
      <c r="D45" s="15">
        <v>-8.70890540565489E-4</v>
      </c>
      <c r="E45" s="15">
        <v>-3.9549140321703098E-4</v>
      </c>
      <c r="F45" s="33">
        <v>0</v>
      </c>
      <c r="G45" s="33">
        <v>0.26784999999999998</v>
      </c>
      <c r="H45" s="33">
        <v>0</v>
      </c>
      <c r="I45" s="33">
        <v>0.28849999999999998</v>
      </c>
      <c r="J45" s="33">
        <v>0</v>
      </c>
      <c r="K45" s="33">
        <v>0</v>
      </c>
      <c r="L45" s="33">
        <v>45.91</v>
      </c>
      <c r="M45" s="33">
        <v>50.56</v>
      </c>
      <c r="N45" s="34">
        <v>1.1012851230668701</v>
      </c>
      <c r="O45" s="34">
        <v>1.1028747626327899</v>
      </c>
      <c r="P45" s="34">
        <v>1.10043404533122</v>
      </c>
      <c r="Q45" s="34">
        <v>1.09993436878011</v>
      </c>
      <c r="R45" s="33">
        <v>50.632980352471598</v>
      </c>
      <c r="S45" s="33">
        <v>50.517209432565103</v>
      </c>
      <c r="T45" s="33">
        <v>50.493292190998901</v>
      </c>
      <c r="U45" s="15">
        <v>1.4423997567917599E-3</v>
      </c>
      <c r="V45" s="15">
        <v>-8.4669076701586801E-4</v>
      </c>
      <c r="W45" s="15">
        <v>-1.3202502807057E-3</v>
      </c>
      <c r="X45" s="34">
        <v>1.1012851230668701</v>
      </c>
      <c r="Y45" s="34">
        <v>1.1028747626327899</v>
      </c>
      <c r="Z45" s="34">
        <v>1.10043404533122</v>
      </c>
      <c r="AA45" s="34">
        <v>1.09993436878011</v>
      </c>
      <c r="AB45" s="33">
        <v>50.632980352471598</v>
      </c>
      <c r="AC45" s="33">
        <v>50.517209432565103</v>
      </c>
      <c r="AD45" s="33">
        <v>50.493292190998901</v>
      </c>
      <c r="AE45" s="15">
        <v>1.4423997567917599E-3</v>
      </c>
      <c r="AF45" s="15">
        <v>-8.4669076701586801E-4</v>
      </c>
      <c r="AG45" s="15">
        <v>-1.3202502807057E-3</v>
      </c>
      <c r="AI45" s="12"/>
      <c r="AJ45">
        <f t="shared" si="6"/>
        <v>1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2.4767853960006208E-3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1.3251978371802715E-3</v>
      </c>
      <c r="BE45" s="29">
        <f t="shared" si="22"/>
        <v>0</v>
      </c>
      <c r="BF45" s="29">
        <f t="shared" si="23"/>
        <v>3.8019832331808922E-3</v>
      </c>
      <c r="BH45" s="29"/>
    </row>
    <row r="46" spans="1:124" x14ac:dyDescent="0.25">
      <c r="A46" s="1">
        <v>46090</v>
      </c>
      <c r="B46" s="33">
        <v>45.91</v>
      </c>
      <c r="C46" s="33">
        <v>50.51</v>
      </c>
      <c r="D46" s="15">
        <v>0</v>
      </c>
      <c r="E46" s="15">
        <v>-9.8941335864086394E-4</v>
      </c>
      <c r="F46" s="33">
        <v>0</v>
      </c>
      <c r="G46" s="33">
        <v>0.26784999999999998</v>
      </c>
      <c r="H46" s="33">
        <v>0</v>
      </c>
      <c r="I46" s="33">
        <v>0.28849999999999998</v>
      </c>
      <c r="J46" s="33">
        <v>0</v>
      </c>
      <c r="K46" s="33">
        <v>0</v>
      </c>
      <c r="L46" s="33">
        <v>45.91</v>
      </c>
      <c r="M46" s="33">
        <v>50.51</v>
      </c>
      <c r="N46" s="34">
        <v>1.1001960357220599</v>
      </c>
      <c r="O46" s="34">
        <v>1.1028747626327899</v>
      </c>
      <c r="P46" s="34">
        <v>1.1004838603837901</v>
      </c>
      <c r="Q46" s="34">
        <v>1.0999734738004201</v>
      </c>
      <c r="R46" s="33">
        <v>50.632980352471598</v>
      </c>
      <c r="S46" s="33">
        <v>50.520927021156297</v>
      </c>
      <c r="T46" s="33">
        <v>50.497986870694902</v>
      </c>
      <c r="U46" s="15">
        <v>2.4318131154326401E-3</v>
      </c>
      <c r="V46" s="15">
        <v>2.1631042139603999E-4</v>
      </c>
      <c r="W46" s="15">
        <v>-2.3786493987018901E-4</v>
      </c>
      <c r="X46" s="34">
        <v>1.1001960357220599</v>
      </c>
      <c r="Y46" s="34">
        <v>1.1028747626327899</v>
      </c>
      <c r="Z46" s="34">
        <v>1.1004838603837901</v>
      </c>
      <c r="AA46" s="34">
        <v>1.0999734738004201</v>
      </c>
      <c r="AB46" s="33">
        <v>50.632980352471598</v>
      </c>
      <c r="AC46" s="33">
        <v>50.520927021156297</v>
      </c>
      <c r="AD46" s="33">
        <v>50.497986870694902</v>
      </c>
      <c r="AE46" s="15">
        <v>2.4318131154326401E-3</v>
      </c>
      <c r="AF46" s="15">
        <v>2.1631042139603999E-4</v>
      </c>
      <c r="AG46" s="15">
        <v>-2.3786493987018901E-4</v>
      </c>
      <c r="AI46" s="12"/>
      <c r="AJ46">
        <f t="shared" si="6"/>
        <v>0</v>
      </c>
      <c r="AK46">
        <f t="shared" si="7"/>
        <v>0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0</v>
      </c>
      <c r="AP46" s="28">
        <f t="shared" si="9"/>
        <v>9.8941335864086394E-4</v>
      </c>
      <c r="AQ46" s="28">
        <f t="shared" si="16"/>
        <v>9.8941335864086394E-4</v>
      </c>
      <c r="AR46" s="29">
        <f t="shared" si="17"/>
        <v>3.4661987546414849E-3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1.3251978371802715E-3</v>
      </c>
      <c r="BE46" s="29">
        <f t="shared" si="22"/>
        <v>9.8941335864086394E-4</v>
      </c>
      <c r="BF46" s="29">
        <f t="shared" si="23"/>
        <v>4.7913965918217564E-3</v>
      </c>
      <c r="BH46" s="29"/>
    </row>
    <row r="47" spans="1:124" x14ac:dyDescent="0.25">
      <c r="A47" s="1">
        <v>46091</v>
      </c>
      <c r="B47" s="33">
        <v>45.84</v>
      </c>
      <c r="C47" s="33">
        <v>50.42</v>
      </c>
      <c r="D47" s="15">
        <v>-1.5258858546464099E-3</v>
      </c>
      <c r="E47" s="15">
        <v>-1.7834147201873901E-3</v>
      </c>
      <c r="F47" s="33">
        <v>0</v>
      </c>
      <c r="G47" s="33">
        <v>0.26784999999999998</v>
      </c>
      <c r="H47" s="33">
        <v>0</v>
      </c>
      <c r="I47" s="33">
        <v>0.28849999999999998</v>
      </c>
      <c r="J47" s="33">
        <v>0</v>
      </c>
      <c r="K47" s="33">
        <v>0</v>
      </c>
      <c r="L47" s="33">
        <v>45.84</v>
      </c>
      <c r="M47" s="33">
        <v>50.42</v>
      </c>
      <c r="N47" s="34">
        <v>1.0999127399650901</v>
      </c>
      <c r="O47" s="34">
        <v>1.1028747626327899</v>
      </c>
      <c r="P47" s="34">
        <v>1.1004966861044301</v>
      </c>
      <c r="Q47" s="34">
        <v>1.1000124947466099</v>
      </c>
      <c r="R47" s="33">
        <v>50.555779119087298</v>
      </c>
      <c r="S47" s="33">
        <v>50.446180159992899</v>
      </c>
      <c r="T47" s="33">
        <v>50.422784039011397</v>
      </c>
      <c r="U47" s="15">
        <v>2.68934198097382E-3</v>
      </c>
      <c r="V47" s="15">
        <v>5.1910681140744099E-4</v>
      </c>
      <c r="W47" s="15">
        <v>5.5215433383334102E-5</v>
      </c>
      <c r="X47" s="34">
        <v>1.0999127399650901</v>
      </c>
      <c r="Y47" s="34">
        <v>1.1028747626327899</v>
      </c>
      <c r="Z47" s="34">
        <v>1.1004966861044301</v>
      </c>
      <c r="AA47" s="34">
        <v>1.1000124947466099</v>
      </c>
      <c r="AB47" s="33">
        <v>50.555779119087298</v>
      </c>
      <c r="AC47" s="33">
        <v>50.446180159992899</v>
      </c>
      <c r="AD47" s="33">
        <v>50.422784039011397</v>
      </c>
      <c r="AE47" s="15">
        <v>2.68934198097382E-3</v>
      </c>
      <c r="AF47" s="15">
        <v>5.1910681140744099E-4</v>
      </c>
      <c r="AG47" s="15">
        <v>5.5215433383334102E-5</v>
      </c>
      <c r="AI47" s="12"/>
      <c r="AJ47">
        <f t="shared" si="6"/>
        <v>0</v>
      </c>
      <c r="AK47">
        <f t="shared" si="7"/>
        <v>1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-1.5258858546464099E-3</v>
      </c>
      <c r="AP47" s="28">
        <f t="shared" si="9"/>
        <v>1.7834147201873901E-3</v>
      </c>
      <c r="AQ47" s="28">
        <f t="shared" si="16"/>
        <v>2.5752886554098017E-4</v>
      </c>
      <c r="AR47" s="29">
        <f t="shared" si="17"/>
        <v>3.7237276201824649E-3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1.3251978371802715E-3</v>
      </c>
      <c r="BE47" s="29">
        <f t="shared" si="22"/>
        <v>2.5752886554098017E-4</v>
      </c>
      <c r="BF47" s="29">
        <f t="shared" si="23"/>
        <v>5.0489254573627363E-3</v>
      </c>
      <c r="BH47" s="29"/>
    </row>
    <row r="48" spans="1:124" x14ac:dyDescent="0.25">
      <c r="A48" s="1">
        <v>46092</v>
      </c>
      <c r="B48" s="33">
        <v>45.77</v>
      </c>
      <c r="C48" s="33">
        <v>50.33</v>
      </c>
      <c r="D48" s="15">
        <v>-1.52821774093341E-3</v>
      </c>
      <c r="E48" s="15">
        <v>-1.7866009715051499E-3</v>
      </c>
      <c r="F48" s="33">
        <v>0</v>
      </c>
      <c r="G48" s="33">
        <v>0.26784999999999998</v>
      </c>
      <c r="H48" s="33">
        <v>0</v>
      </c>
      <c r="I48" s="33">
        <v>0.28849999999999998</v>
      </c>
      <c r="J48" s="33">
        <v>0</v>
      </c>
      <c r="K48" s="33">
        <v>0</v>
      </c>
      <c r="L48" s="33">
        <v>45.77</v>
      </c>
      <c r="M48" s="33">
        <v>50.33</v>
      </c>
      <c r="N48" s="34">
        <v>1.09962857767096</v>
      </c>
      <c r="O48" s="34">
        <v>1.1028747626327899</v>
      </c>
      <c r="P48" s="34">
        <v>1.1004401514991999</v>
      </c>
      <c r="Q48" s="34">
        <v>1.10002100922063</v>
      </c>
      <c r="R48" s="33">
        <v>50.478577885702997</v>
      </c>
      <c r="S48" s="33">
        <v>50.369733323000098</v>
      </c>
      <c r="T48" s="33">
        <v>50.3475718845527</v>
      </c>
      <c r="U48" s="15">
        <v>2.9477252115456399E-3</v>
      </c>
      <c r="V48" s="15">
        <v>7.8914459355484501E-4</v>
      </c>
      <c r="W48" s="15">
        <v>3.4907247765764501E-4</v>
      </c>
      <c r="X48" s="34">
        <v>1.09962857767096</v>
      </c>
      <c r="Y48" s="34">
        <v>1.1028747626327899</v>
      </c>
      <c r="Z48" s="34">
        <v>1.1004401514991999</v>
      </c>
      <c r="AA48" s="34">
        <v>1.10002100922063</v>
      </c>
      <c r="AB48" s="33">
        <v>50.478577885702997</v>
      </c>
      <c r="AC48" s="33">
        <v>50.369733323000098</v>
      </c>
      <c r="AD48" s="33">
        <v>50.3475718845527</v>
      </c>
      <c r="AE48" s="15">
        <v>2.9477252115456399E-3</v>
      </c>
      <c r="AF48" s="15">
        <v>7.8914459355484501E-4</v>
      </c>
      <c r="AG48" s="15">
        <v>3.4907247765764501E-4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3.7237276201824649E-3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1.3251978371802715E-3</v>
      </c>
      <c r="BE48" s="29">
        <f t="shared" si="22"/>
        <v>0</v>
      </c>
      <c r="BF48" s="29">
        <f t="shared" si="23"/>
        <v>5.0489254573627363E-3</v>
      </c>
      <c r="BH48" s="29"/>
    </row>
    <row r="49" spans="1:60" x14ac:dyDescent="0.25">
      <c r="A49" s="1">
        <v>46093</v>
      </c>
      <c r="B49" s="33">
        <v>45.61</v>
      </c>
      <c r="C49" s="33">
        <v>50.2</v>
      </c>
      <c r="D49" s="15">
        <v>-3.5018639419417698E-3</v>
      </c>
      <c r="E49" s="15">
        <v>-2.5862940905849699E-3</v>
      </c>
      <c r="F49" s="33">
        <v>0</v>
      </c>
      <c r="G49" s="33">
        <v>0.26784999999999998</v>
      </c>
      <c r="H49" s="33">
        <v>0</v>
      </c>
      <c r="I49" s="33">
        <v>0.28849999999999998</v>
      </c>
      <c r="J49" s="33">
        <v>0</v>
      </c>
      <c r="K49" s="33">
        <v>0</v>
      </c>
      <c r="L49" s="33">
        <v>45.61</v>
      </c>
      <c r="M49" s="33">
        <v>50.2</v>
      </c>
      <c r="N49" s="34">
        <v>1.10063582547686</v>
      </c>
      <c r="O49" s="34">
        <v>1.1028747626327899</v>
      </c>
      <c r="P49" s="34">
        <v>1.10042838420835</v>
      </c>
      <c r="Q49" s="34">
        <v>1.10010595736147</v>
      </c>
      <c r="R49" s="33">
        <v>50.302117923681799</v>
      </c>
      <c r="S49" s="33">
        <v>50.191075309878499</v>
      </c>
      <c r="T49" s="33">
        <v>50.171958230553003</v>
      </c>
      <c r="U49" s="15">
        <v>2.03215536018886E-3</v>
      </c>
      <c r="V49" s="15">
        <v>-1.77798476954541E-4</v>
      </c>
      <c r="W49" s="15">
        <v>-5.5875706065509499E-4</v>
      </c>
      <c r="X49" s="34">
        <v>1.10063582547686</v>
      </c>
      <c r="Y49" s="34">
        <v>1.1028747626327899</v>
      </c>
      <c r="Z49" s="34">
        <v>1.10042838420835</v>
      </c>
      <c r="AA49" s="34">
        <v>1.10010595736147</v>
      </c>
      <c r="AB49" s="33">
        <v>50.302117923681799</v>
      </c>
      <c r="AC49" s="33">
        <v>50.191075309878499</v>
      </c>
      <c r="AD49" s="33">
        <v>50.171958230553003</v>
      </c>
      <c r="AE49" s="15">
        <v>2.03215536018886E-3</v>
      </c>
      <c r="AF49" s="15">
        <v>-1.77798476954541E-4</v>
      </c>
      <c r="AG49" s="15">
        <v>-5.5875706065509499E-4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3.7237276201824649E-3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1.3251978371802715E-3</v>
      </c>
      <c r="BE49" s="29">
        <f t="shared" si="22"/>
        <v>0</v>
      </c>
      <c r="BF49" s="29">
        <f t="shared" si="23"/>
        <v>5.0489254573627363E-3</v>
      </c>
      <c r="BH49" s="29"/>
    </row>
    <row r="50" spans="1:60" x14ac:dyDescent="0.25">
      <c r="A50" s="1">
        <v>46094</v>
      </c>
      <c r="B50" s="33">
        <v>45.73</v>
      </c>
      <c r="C50" s="33">
        <v>50.36</v>
      </c>
      <c r="D50" s="15">
        <v>2.6275469463546601E-3</v>
      </c>
      <c r="E50" s="15">
        <v>3.1821824784627698E-3</v>
      </c>
      <c r="F50" s="33">
        <v>0</v>
      </c>
      <c r="G50" s="33">
        <v>0.26784999999999998</v>
      </c>
      <c r="H50" s="33">
        <v>0</v>
      </c>
      <c r="I50" s="33">
        <v>0.28849999999999998</v>
      </c>
      <c r="J50" s="33">
        <v>0</v>
      </c>
      <c r="K50" s="33">
        <v>0</v>
      </c>
      <c r="L50" s="33">
        <v>45.73</v>
      </c>
      <c r="M50" s="33">
        <v>50.36</v>
      </c>
      <c r="N50" s="34">
        <v>1.1012464465339999</v>
      </c>
      <c r="O50" s="34">
        <v>1.1028747626327899</v>
      </c>
      <c r="P50" s="34">
        <v>1.10055302886175</v>
      </c>
      <c r="Q50" s="34">
        <v>1.10021049661824</v>
      </c>
      <c r="R50" s="33">
        <v>50.434462895197697</v>
      </c>
      <c r="S50" s="33">
        <v>50.3225900098479</v>
      </c>
      <c r="T50" s="33">
        <v>50.307845430140198</v>
      </c>
      <c r="U50" s="15">
        <v>1.47751982808071E-3</v>
      </c>
      <c r="V50" s="15">
        <v>-7.4312732459551497E-4</v>
      </c>
      <c r="W50" s="15">
        <v>-1.0361714667323099E-3</v>
      </c>
      <c r="X50" s="34">
        <v>1.1012464465339999</v>
      </c>
      <c r="Y50" s="34">
        <v>1.1028747626327899</v>
      </c>
      <c r="Z50" s="34">
        <v>1.10055302886175</v>
      </c>
      <c r="AA50" s="34">
        <v>1.10021049661824</v>
      </c>
      <c r="AB50" s="33">
        <v>50.434462895197697</v>
      </c>
      <c r="AC50" s="33">
        <v>50.3225900098479</v>
      </c>
      <c r="AD50" s="33">
        <v>50.307845430140198</v>
      </c>
      <c r="AE50" s="15">
        <v>1.47751982808071E-3</v>
      </c>
      <c r="AF50" s="15">
        <v>-7.4312732459551497E-4</v>
      </c>
      <c r="AG50" s="15">
        <v>-1.0361714667323099E-3</v>
      </c>
      <c r="AI50" s="12"/>
      <c r="AJ50">
        <f t="shared" si="6"/>
        <v>1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3.7237276201824649E-3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1.3251978371802715E-3</v>
      </c>
      <c r="BE50" s="29">
        <f t="shared" si="22"/>
        <v>0</v>
      </c>
      <c r="BF50" s="29">
        <f t="shared" si="23"/>
        <v>5.0489254573627363E-3</v>
      </c>
      <c r="BH50" s="29"/>
    </row>
    <row r="51" spans="1:60" x14ac:dyDescent="0.25">
      <c r="A51" s="1">
        <v>46097</v>
      </c>
      <c r="B51" s="33">
        <v>45.74</v>
      </c>
      <c r="C51" s="33">
        <v>50.38</v>
      </c>
      <c r="D51" s="15">
        <v>2.1865092467132099E-4</v>
      </c>
      <c r="E51" s="15">
        <v>3.9706174831772098E-4</v>
      </c>
      <c r="F51" s="33">
        <v>0</v>
      </c>
      <c r="G51" s="33">
        <v>0.26784999999999998</v>
      </c>
      <c r="H51" s="33">
        <v>0</v>
      </c>
      <c r="I51" s="33">
        <v>0.28849999999999998</v>
      </c>
      <c r="J51" s="33">
        <v>0</v>
      </c>
      <c r="K51" s="33">
        <v>0</v>
      </c>
      <c r="L51" s="33">
        <v>45.74</v>
      </c>
      <c r="M51" s="33">
        <v>50.38</v>
      </c>
      <c r="N51" s="34">
        <v>1.10144293834717</v>
      </c>
      <c r="O51" s="34">
        <v>1.1028747626327899</v>
      </c>
      <c r="P51" s="34">
        <v>1.1005414110464</v>
      </c>
      <c r="Q51" s="34">
        <v>1.1003679751407001</v>
      </c>
      <c r="R51" s="33">
        <v>50.445491642824003</v>
      </c>
      <c r="S51" s="33">
        <v>50.339295540136497</v>
      </c>
      <c r="T51" s="33">
        <v>50.323628115318598</v>
      </c>
      <c r="U51" s="15">
        <v>1.2991090044341799E-3</v>
      </c>
      <c r="V51" s="15">
        <v>-8.0827535302381895E-4</v>
      </c>
      <c r="W51" s="15">
        <v>-1.11956027055859E-3</v>
      </c>
      <c r="X51" s="34">
        <v>1.10144293834717</v>
      </c>
      <c r="Y51" s="34">
        <v>1.1028747626327899</v>
      </c>
      <c r="Z51" s="34">
        <v>1.1005414110464</v>
      </c>
      <c r="AA51" s="34">
        <v>1.1003679751407001</v>
      </c>
      <c r="AB51" s="33">
        <v>50.445491642824003</v>
      </c>
      <c r="AC51" s="33">
        <v>50.339295540136497</v>
      </c>
      <c r="AD51" s="33">
        <v>50.323628115318598</v>
      </c>
      <c r="AE51" s="15">
        <v>1.2991090044341799E-3</v>
      </c>
      <c r="AF51" s="15">
        <v>-8.0827535302381895E-4</v>
      </c>
      <c r="AG51" s="15">
        <v>-1.11956027055859E-3</v>
      </c>
      <c r="AI51" s="12"/>
      <c r="AJ51">
        <f t="shared" si="6"/>
        <v>1</v>
      </c>
      <c r="AK51">
        <f t="shared" si="7"/>
        <v>0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2.1865092467132099E-4</v>
      </c>
      <c r="AP51" s="28">
        <f t="shared" si="9"/>
        <v>-3.9706174831772098E-4</v>
      </c>
      <c r="AQ51" s="28">
        <f t="shared" si="16"/>
        <v>-1.7841082364639999E-4</v>
      </c>
      <c r="AR51" s="29">
        <f t="shared" si="17"/>
        <v>3.5453167965360647E-3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1.3251978371802715E-3</v>
      </c>
      <c r="BE51" s="29">
        <f t="shared" si="22"/>
        <v>-1.7841082364639999E-4</v>
      </c>
      <c r="BF51" s="29">
        <f t="shared" si="23"/>
        <v>4.8705146337163366E-3</v>
      </c>
      <c r="BH51" s="29"/>
    </row>
    <row r="52" spans="1:60" x14ac:dyDescent="0.25">
      <c r="A52" s="1">
        <v>46098</v>
      </c>
      <c r="B52" s="33">
        <v>45.74</v>
      </c>
      <c r="C52" s="33">
        <v>50.34</v>
      </c>
      <c r="D52" s="15">
        <v>0</v>
      </c>
      <c r="E52" s="15">
        <v>-7.9428121729428498E-4</v>
      </c>
      <c r="F52" s="33">
        <v>0</v>
      </c>
      <c r="G52" s="33">
        <v>0.26784999999999998</v>
      </c>
      <c r="H52" s="33">
        <v>0</v>
      </c>
      <c r="I52" s="33">
        <v>0.28849999999999998</v>
      </c>
      <c r="J52" s="33">
        <v>0</v>
      </c>
      <c r="K52" s="33">
        <v>0</v>
      </c>
      <c r="L52" s="33">
        <v>45.74</v>
      </c>
      <c r="M52" s="33">
        <v>50.34</v>
      </c>
      <c r="N52" s="34">
        <v>1.1005684302579799</v>
      </c>
      <c r="O52" s="34">
        <v>1.1028747626327899</v>
      </c>
      <c r="P52" s="34">
        <v>1.1005264681248399</v>
      </c>
      <c r="Q52" s="34">
        <v>1.1004136902117501</v>
      </c>
      <c r="R52" s="33">
        <v>50.445491642824003</v>
      </c>
      <c r="S52" s="33">
        <v>50.338764141262502</v>
      </c>
      <c r="T52" s="33">
        <v>50.330831182935697</v>
      </c>
      <c r="U52" s="15">
        <v>2.0933902217286399E-3</v>
      </c>
      <c r="V52" s="15">
        <v>-2.4550534524962999E-5</v>
      </c>
      <c r="W52" s="15">
        <v>-1.8215439331972601E-4</v>
      </c>
      <c r="X52" s="34">
        <v>1.1005684302579799</v>
      </c>
      <c r="Y52" s="34">
        <v>1.1028747626327899</v>
      </c>
      <c r="Z52" s="34">
        <v>1.1005264681248399</v>
      </c>
      <c r="AA52" s="34">
        <v>1.1004136902117501</v>
      </c>
      <c r="AB52" s="33">
        <v>50.445491642824003</v>
      </c>
      <c r="AC52" s="33">
        <v>50.338764141262502</v>
      </c>
      <c r="AD52" s="33">
        <v>50.330831182935697</v>
      </c>
      <c r="AE52" s="15">
        <v>2.0933902217286399E-3</v>
      </c>
      <c r="AF52" s="15">
        <v>-2.4550534524962999E-5</v>
      </c>
      <c r="AG52" s="15">
        <v>-1.8215439331972601E-4</v>
      </c>
      <c r="AI52" s="12"/>
      <c r="AJ52">
        <f t="shared" si="6"/>
        <v>0</v>
      </c>
      <c r="AK52">
        <f t="shared" si="7"/>
        <v>0</v>
      </c>
      <c r="AL52">
        <f t="shared" si="14"/>
        <v>1</v>
      </c>
      <c r="AM52">
        <f t="shared" si="4"/>
        <v>1</v>
      </c>
      <c r="AN52">
        <f t="shared" si="15"/>
        <v>1</v>
      </c>
      <c r="AO52" s="28">
        <f t="shared" si="8"/>
        <v>0</v>
      </c>
      <c r="AP52" s="28">
        <f t="shared" si="9"/>
        <v>7.9428121729428498E-4</v>
      </c>
      <c r="AQ52" s="28">
        <f t="shared" si="16"/>
        <v>7.9428121729428498E-4</v>
      </c>
      <c r="AR52" s="29">
        <f t="shared" si="17"/>
        <v>4.3395980138303501E-3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1.3251978371802715E-3</v>
      </c>
      <c r="BE52" s="29">
        <f t="shared" si="22"/>
        <v>7.9428121729428498E-4</v>
      </c>
      <c r="BF52" s="29">
        <f t="shared" si="23"/>
        <v>5.6647958510106216E-3</v>
      </c>
      <c r="BH52" s="29"/>
    </row>
    <row r="53" spans="1:60" x14ac:dyDescent="0.25">
      <c r="A53" s="1">
        <v>46099</v>
      </c>
      <c r="B53" s="33">
        <v>45.64</v>
      </c>
      <c r="C53" s="33">
        <v>50.27</v>
      </c>
      <c r="D53" s="15">
        <v>-2.1886636007601799E-3</v>
      </c>
      <c r="E53" s="15">
        <v>-1.3915120026859499E-3</v>
      </c>
      <c r="F53" s="33">
        <v>0</v>
      </c>
      <c r="G53" s="33">
        <v>0.26784999999999998</v>
      </c>
      <c r="H53" s="33">
        <v>0</v>
      </c>
      <c r="I53" s="33">
        <v>0.28849999999999998</v>
      </c>
      <c r="J53" s="33">
        <v>0</v>
      </c>
      <c r="K53" s="33">
        <v>0</v>
      </c>
      <c r="L53" s="33">
        <v>45.64</v>
      </c>
      <c r="M53" s="33">
        <v>50.27</v>
      </c>
      <c r="N53" s="34">
        <v>1.1014460999123501</v>
      </c>
      <c r="O53" s="34">
        <v>1.1028747626327899</v>
      </c>
      <c r="P53" s="34">
        <v>1.1007123914450601</v>
      </c>
      <c r="Q53" s="34">
        <v>1.1004903204668799</v>
      </c>
      <c r="R53" s="33">
        <v>50.3352041665608</v>
      </c>
      <c r="S53" s="33">
        <v>50.228028005217901</v>
      </c>
      <c r="T53" s="33">
        <v>50.222880821264297</v>
      </c>
      <c r="U53" s="15">
        <v>1.29623862365419E-3</v>
      </c>
      <c r="V53" s="15">
        <v>-8.3528001604453895E-4</v>
      </c>
      <c r="W53" s="15">
        <v>-9.3776159671375996E-4</v>
      </c>
      <c r="X53" s="34">
        <v>1.1014460999123501</v>
      </c>
      <c r="Y53" s="34">
        <v>1.1028747626327899</v>
      </c>
      <c r="Z53" s="34">
        <v>1.1007123914450601</v>
      </c>
      <c r="AA53" s="34">
        <v>1.1004903204668799</v>
      </c>
      <c r="AB53" s="33">
        <v>50.3352041665608</v>
      </c>
      <c r="AC53" s="33">
        <v>50.228028005217901</v>
      </c>
      <c r="AD53" s="33">
        <v>50.222880821264297</v>
      </c>
      <c r="AE53" s="15">
        <v>1.29623862365419E-3</v>
      </c>
      <c r="AF53" s="15">
        <v>-8.3528001604453895E-4</v>
      </c>
      <c r="AG53" s="15">
        <v>-9.3776159671375996E-4</v>
      </c>
      <c r="AI53" s="12"/>
      <c r="AJ53">
        <f t="shared" si="6"/>
        <v>0</v>
      </c>
      <c r="AK53">
        <f t="shared" si="7"/>
        <v>0</v>
      </c>
      <c r="AL53">
        <f t="shared" si="14"/>
        <v>1</v>
      </c>
      <c r="AM53">
        <f t="shared" si="4"/>
        <v>1</v>
      </c>
      <c r="AN53">
        <f t="shared" si="15"/>
        <v>1</v>
      </c>
      <c r="AO53" s="28">
        <f t="shared" si="8"/>
        <v>-2.1886636007601799E-3</v>
      </c>
      <c r="AP53" s="28">
        <f t="shared" si="9"/>
        <v>1.3915120026859499E-3</v>
      </c>
      <c r="AQ53" s="28">
        <f t="shared" si="16"/>
        <v>-7.9715159807422996E-4</v>
      </c>
      <c r="AR53" s="29">
        <f t="shared" si="17"/>
        <v>3.5424464157561199E-3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1.3251978371802715E-3</v>
      </c>
      <c r="BE53" s="29">
        <f t="shared" si="22"/>
        <v>-7.9715159807422996E-4</v>
      </c>
      <c r="BF53" s="29">
        <f t="shared" si="23"/>
        <v>4.8676442529363914E-3</v>
      </c>
      <c r="BH53" s="29"/>
    </row>
    <row r="54" spans="1:60" x14ac:dyDescent="0.25">
      <c r="A54" s="1">
        <v>46100</v>
      </c>
      <c r="B54" s="33">
        <v>45.63</v>
      </c>
      <c r="C54" s="33">
        <v>50.23</v>
      </c>
      <c r="D54" s="15">
        <v>-2.19130054563694E-4</v>
      </c>
      <c r="E54" s="15">
        <v>-7.9601994253063895E-4</v>
      </c>
      <c r="F54" s="33">
        <v>0</v>
      </c>
      <c r="G54" s="33">
        <v>0.26784999999999998</v>
      </c>
      <c r="H54" s="33">
        <v>0</v>
      </c>
      <c r="I54" s="33">
        <v>0.28849999999999998</v>
      </c>
      <c r="J54" s="33">
        <v>0</v>
      </c>
      <c r="K54" s="33">
        <v>0</v>
      </c>
      <c r="L54" s="33">
        <v>45.63</v>
      </c>
      <c r="M54" s="33">
        <v>50.23</v>
      </c>
      <c r="N54" s="34">
        <v>1.1008108700416299</v>
      </c>
      <c r="O54" s="34">
        <v>1.1028747626327899</v>
      </c>
      <c r="P54" s="34">
        <v>1.1007173086994999</v>
      </c>
      <c r="Q54" s="34">
        <v>1.10053518922848</v>
      </c>
      <c r="R54" s="33">
        <v>50.324175418934402</v>
      </c>
      <c r="S54" s="33">
        <v>50.2255064216383</v>
      </c>
      <c r="T54" s="33">
        <v>50.215373322904</v>
      </c>
      <c r="U54" s="15">
        <v>1.8731285116211701E-3</v>
      </c>
      <c r="V54" s="15">
        <v>-8.9464052786778105E-5</v>
      </c>
      <c r="W54" s="15">
        <v>-2.9123645451236698E-4</v>
      </c>
      <c r="X54" s="34">
        <v>1.1008108700416299</v>
      </c>
      <c r="Y54" s="34">
        <v>1.1028747626327899</v>
      </c>
      <c r="Z54" s="34">
        <v>1.1007173086994999</v>
      </c>
      <c r="AA54" s="34">
        <v>1.10053518922848</v>
      </c>
      <c r="AB54" s="33">
        <v>50.324175418934402</v>
      </c>
      <c r="AC54" s="33">
        <v>50.2255064216383</v>
      </c>
      <c r="AD54" s="33">
        <v>50.215373322904</v>
      </c>
      <c r="AE54" s="15">
        <v>1.8731285116211701E-3</v>
      </c>
      <c r="AF54" s="15">
        <v>-8.9464052786778105E-5</v>
      </c>
      <c r="AG54" s="15">
        <v>-2.9123645451236698E-4</v>
      </c>
      <c r="AI54" s="12"/>
      <c r="AJ54">
        <f t="shared" si="6"/>
        <v>0</v>
      </c>
      <c r="AK54">
        <f t="shared" si="7"/>
        <v>0</v>
      </c>
      <c r="AL54">
        <f t="shared" si="14"/>
        <v>1</v>
      </c>
      <c r="AM54">
        <f t="shared" si="4"/>
        <v>1</v>
      </c>
      <c r="AN54">
        <f t="shared" si="15"/>
        <v>1</v>
      </c>
      <c r="AO54" s="28">
        <f t="shared" si="8"/>
        <v>-2.19130054563694E-4</v>
      </c>
      <c r="AP54" s="28">
        <f t="shared" si="9"/>
        <v>7.9601994253063895E-4</v>
      </c>
      <c r="AQ54" s="28">
        <f t="shared" si="16"/>
        <v>5.768898879669449E-4</v>
      </c>
      <c r="AR54" s="29">
        <f t="shared" si="17"/>
        <v>4.1193363037230653E-3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1.3251978371802715E-3</v>
      </c>
      <c r="BE54" s="29">
        <f t="shared" si="22"/>
        <v>5.768898879669449E-4</v>
      </c>
      <c r="BF54" s="29">
        <f t="shared" si="23"/>
        <v>5.4445341409033367E-3</v>
      </c>
      <c r="BH54" s="29"/>
    </row>
    <row r="55" spans="1:60" x14ac:dyDescent="0.25">
      <c r="A55" s="1">
        <v>46101</v>
      </c>
      <c r="B55" s="33">
        <v>45.18</v>
      </c>
      <c r="C55" s="33">
        <v>49.8</v>
      </c>
      <c r="D55" s="15">
        <v>-9.9108838994540101E-3</v>
      </c>
      <c r="E55" s="15">
        <v>-8.5974737313460805E-3</v>
      </c>
      <c r="F55" s="33">
        <v>0</v>
      </c>
      <c r="G55" s="33">
        <v>0.26784999999999998</v>
      </c>
      <c r="H55" s="33">
        <v>0</v>
      </c>
      <c r="I55" s="33">
        <v>0.28849999999999998</v>
      </c>
      <c r="J55" s="33">
        <v>0</v>
      </c>
      <c r="K55" s="33">
        <v>0</v>
      </c>
      <c r="L55" s="33">
        <v>45.18</v>
      </c>
      <c r="M55" s="33">
        <v>49.8</v>
      </c>
      <c r="N55" s="34">
        <v>1.1022576361221701</v>
      </c>
      <c r="O55" s="34">
        <v>1.1028747626327899</v>
      </c>
      <c r="P55" s="34">
        <v>1.1008145600050301</v>
      </c>
      <c r="Q55" s="34">
        <v>1.1006243026681199</v>
      </c>
      <c r="R55" s="33">
        <v>49.827881775749702</v>
      </c>
      <c r="S55" s="33">
        <v>49.730408007043501</v>
      </c>
      <c r="T55" s="33">
        <v>49.722179849342801</v>
      </c>
      <c r="U55" s="15">
        <v>5.5971834351329697E-4</v>
      </c>
      <c r="V55" s="15">
        <v>-1.3984068927436399E-3</v>
      </c>
      <c r="W55" s="15">
        <v>-1.56387584426639E-3</v>
      </c>
      <c r="X55" s="34">
        <v>1.1022576361221701</v>
      </c>
      <c r="Y55" s="34">
        <v>1.1028747626327899</v>
      </c>
      <c r="Z55" s="34">
        <v>1.1008145600050301</v>
      </c>
      <c r="AA55" s="34">
        <v>1.1006243026681199</v>
      </c>
      <c r="AB55" s="33">
        <v>49.827881775749702</v>
      </c>
      <c r="AC55" s="33">
        <v>49.730408007043501</v>
      </c>
      <c r="AD55" s="33">
        <v>49.722179849342801</v>
      </c>
      <c r="AE55" s="15">
        <v>5.5971834351329697E-4</v>
      </c>
      <c r="AF55" s="15">
        <v>-1.3984068927436399E-3</v>
      </c>
      <c r="AG55" s="15">
        <v>-1.56387584426639E-3</v>
      </c>
      <c r="AI55" s="12"/>
      <c r="AJ55">
        <f t="shared" si="6"/>
        <v>1</v>
      </c>
      <c r="AK55">
        <f t="shared" si="7"/>
        <v>0</v>
      </c>
      <c r="AL55">
        <f t="shared" si="14"/>
        <v>1</v>
      </c>
      <c r="AM55">
        <f t="shared" si="4"/>
        <v>1</v>
      </c>
      <c r="AN55">
        <f t="shared" si="15"/>
        <v>1</v>
      </c>
      <c r="AO55" s="28">
        <f t="shared" si="8"/>
        <v>-9.9108838994540101E-3</v>
      </c>
      <c r="AP55" s="28">
        <f t="shared" si="9"/>
        <v>8.5974737313460805E-3</v>
      </c>
      <c r="AQ55" s="28">
        <f t="shared" si="16"/>
        <v>-1.3134101681079296E-3</v>
      </c>
      <c r="AR55" s="29">
        <f t="shared" si="17"/>
        <v>2.8059261356151357E-3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1.3251978371802715E-3</v>
      </c>
      <c r="BE55" s="29">
        <f t="shared" si="22"/>
        <v>-1.3134101681079296E-3</v>
      </c>
      <c r="BF55" s="29">
        <f t="shared" si="23"/>
        <v>4.1311239727954072E-3</v>
      </c>
      <c r="BH55" s="29"/>
    </row>
    <row r="56" spans="1:60" x14ac:dyDescent="0.25">
      <c r="A56" s="1">
        <v>46104</v>
      </c>
      <c r="B56" s="33">
        <v>45.35</v>
      </c>
      <c r="C56" s="33">
        <v>49.94</v>
      </c>
      <c r="D56" s="15">
        <v>3.7556655212884599E-3</v>
      </c>
      <c r="E56" s="15">
        <v>2.8073008210198198E-3</v>
      </c>
      <c r="F56" s="33">
        <v>0</v>
      </c>
      <c r="G56" s="33">
        <v>0.26784999999999998</v>
      </c>
      <c r="H56" s="33">
        <v>0</v>
      </c>
      <c r="I56" s="33">
        <v>0.28849999999999998</v>
      </c>
      <c r="J56" s="33">
        <v>0</v>
      </c>
      <c r="K56" s="33">
        <v>0</v>
      </c>
      <c r="L56" s="33">
        <v>45.35</v>
      </c>
      <c r="M56" s="33">
        <v>49.94</v>
      </c>
      <c r="N56" s="34">
        <v>1.10121278941565</v>
      </c>
      <c r="O56" s="34">
        <v>1.1028747626327899</v>
      </c>
      <c r="P56" s="34">
        <v>1.10091623537439</v>
      </c>
      <c r="Q56" s="34">
        <v>1.10070004787909</v>
      </c>
      <c r="R56" s="33">
        <v>50.015370485397298</v>
      </c>
      <c r="S56" s="33">
        <v>49.9219402962282</v>
      </c>
      <c r="T56" s="33">
        <v>49.913312125999497</v>
      </c>
      <c r="U56" s="15">
        <v>1.50808304378194E-3</v>
      </c>
      <c r="V56" s="15">
        <v>-3.6169343225362299E-4</v>
      </c>
      <c r="W56" s="15">
        <v>-5.3454160042719595E-4</v>
      </c>
      <c r="X56" s="34">
        <v>1.10121278941565</v>
      </c>
      <c r="Y56" s="34">
        <v>1.1028747626327899</v>
      </c>
      <c r="Z56" s="34">
        <v>1.10091623537439</v>
      </c>
      <c r="AA56" s="34">
        <v>1.10070004787909</v>
      </c>
      <c r="AB56" s="33">
        <v>50.015370485397298</v>
      </c>
      <c r="AC56" s="33">
        <v>49.9219402962282</v>
      </c>
      <c r="AD56" s="33">
        <v>49.913312125999497</v>
      </c>
      <c r="AE56" s="15">
        <v>1.50808304378194E-3</v>
      </c>
      <c r="AF56" s="15">
        <v>-3.6169343225362299E-4</v>
      </c>
      <c r="AG56" s="15">
        <v>-5.3454160042719595E-4</v>
      </c>
      <c r="AI56" s="12"/>
      <c r="AJ56">
        <f t="shared" si="6"/>
        <v>0</v>
      </c>
      <c r="AK56">
        <f t="shared" si="7"/>
        <v>0</v>
      </c>
      <c r="AL56">
        <f t="shared" si="14"/>
        <v>1</v>
      </c>
      <c r="AM56">
        <f t="shared" si="4"/>
        <v>1</v>
      </c>
      <c r="AN56">
        <f t="shared" si="15"/>
        <v>1</v>
      </c>
      <c r="AO56" s="28">
        <f t="shared" si="8"/>
        <v>3.7556655212884599E-3</v>
      </c>
      <c r="AP56" s="28">
        <f t="shared" si="9"/>
        <v>-2.8073008210198198E-3</v>
      </c>
      <c r="AQ56" s="28">
        <f t="shared" si="16"/>
        <v>9.483647002686401E-4</v>
      </c>
      <c r="AR56" s="29">
        <f t="shared" si="17"/>
        <v>3.7542908358837758E-3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1.3251978371802715E-3</v>
      </c>
      <c r="BE56" s="29">
        <f t="shared" si="22"/>
        <v>9.483647002686401E-4</v>
      </c>
      <c r="BF56" s="29">
        <f t="shared" si="23"/>
        <v>5.0794886730640473E-3</v>
      </c>
      <c r="BH56" s="29"/>
    </row>
    <row r="57" spans="1:60" x14ac:dyDescent="0.25">
      <c r="A57" s="1">
        <v>46105</v>
      </c>
      <c r="B57" s="33">
        <v>45.1</v>
      </c>
      <c r="C57" s="33">
        <v>49.62</v>
      </c>
      <c r="D57" s="15">
        <v>-5.5279300525129397E-3</v>
      </c>
      <c r="E57" s="15">
        <v>-6.42830658797219E-3</v>
      </c>
      <c r="F57" s="33">
        <v>0</v>
      </c>
      <c r="G57" s="33">
        <v>0.26784999999999998</v>
      </c>
      <c r="H57" s="33">
        <v>0</v>
      </c>
      <c r="I57" s="33">
        <v>0.28849999999999998</v>
      </c>
      <c r="J57" s="33">
        <v>0</v>
      </c>
      <c r="K57" s="33">
        <v>0</v>
      </c>
      <c r="L57" s="33">
        <v>45.1</v>
      </c>
      <c r="M57" s="33">
        <v>49.62</v>
      </c>
      <c r="N57" s="34">
        <v>1.1002217294900201</v>
      </c>
      <c r="O57" s="34">
        <v>1.1028747626327899</v>
      </c>
      <c r="P57" s="34">
        <v>1.10094713432688</v>
      </c>
      <c r="Q57" s="34">
        <v>1.10072191021566</v>
      </c>
      <c r="R57" s="33">
        <v>49.739651794738997</v>
      </c>
      <c r="S57" s="33">
        <v>49.651322215385001</v>
      </c>
      <c r="T57" s="33">
        <v>49.641572159347</v>
      </c>
      <c r="U57" s="15">
        <v>2.4084595792409802E-3</v>
      </c>
      <c r="V57" s="15">
        <v>6.3104259569650499E-4</v>
      </c>
      <c r="W57" s="15">
        <v>4.3465279095139899E-4</v>
      </c>
      <c r="X57" s="34">
        <v>1.1002217294900201</v>
      </c>
      <c r="Y57" s="34">
        <v>1.1028747626327899</v>
      </c>
      <c r="Z57" s="34">
        <v>1.10094713432688</v>
      </c>
      <c r="AA57" s="34">
        <v>1.10072191021566</v>
      </c>
      <c r="AB57" s="33">
        <v>49.739651794738997</v>
      </c>
      <c r="AC57" s="33">
        <v>49.651322215385001</v>
      </c>
      <c r="AD57" s="33">
        <v>49.641572159347</v>
      </c>
      <c r="AE57" s="15">
        <v>2.4084595792409802E-3</v>
      </c>
      <c r="AF57" s="15">
        <v>6.3104259569650499E-4</v>
      </c>
      <c r="AG57" s="15">
        <v>4.3465279095139899E-4</v>
      </c>
      <c r="AI57" s="12"/>
      <c r="AJ57">
        <f t="shared" si="6"/>
        <v>0</v>
      </c>
      <c r="AK57">
        <f t="shared" si="7"/>
        <v>1</v>
      </c>
      <c r="AL57">
        <f t="shared" si="14"/>
        <v>1</v>
      </c>
      <c r="AM57">
        <f t="shared" si="4"/>
        <v>1</v>
      </c>
      <c r="AN57">
        <f t="shared" si="15"/>
        <v>1</v>
      </c>
      <c r="AO57" s="28">
        <f t="shared" si="8"/>
        <v>-5.5279300525129397E-3</v>
      </c>
      <c r="AP57" s="28">
        <f t="shared" si="9"/>
        <v>6.42830658797219E-3</v>
      </c>
      <c r="AQ57" s="28">
        <f t="shared" si="16"/>
        <v>9.0037653545925033E-4</v>
      </c>
      <c r="AR57" s="29">
        <f t="shared" si="17"/>
        <v>4.6546673713430261E-3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1.3251978371802715E-3</v>
      </c>
      <c r="BE57" s="29">
        <f t="shared" si="22"/>
        <v>9.0037653545925033E-4</v>
      </c>
      <c r="BF57" s="29">
        <f t="shared" si="23"/>
        <v>5.9798652085232976E-3</v>
      </c>
      <c r="BH57" s="29"/>
    </row>
    <row r="58" spans="1:60" x14ac:dyDescent="0.25">
      <c r="A58" s="1">
        <v>46106</v>
      </c>
      <c r="B58" s="33">
        <v>45.2</v>
      </c>
      <c r="C58" s="33">
        <v>49.73</v>
      </c>
      <c r="D58" s="15">
        <v>2.21484032955282E-3</v>
      </c>
      <c r="E58" s="15">
        <v>2.21439446299213E-3</v>
      </c>
      <c r="F58" s="33">
        <v>0</v>
      </c>
      <c r="G58" s="33">
        <v>0.26784999999999998</v>
      </c>
      <c r="H58" s="33">
        <v>0</v>
      </c>
      <c r="I58" s="33">
        <v>0.28849999999999998</v>
      </c>
      <c r="J58" s="33">
        <v>0</v>
      </c>
      <c r="K58" s="33">
        <v>0</v>
      </c>
      <c r="L58" s="33">
        <v>45.2</v>
      </c>
      <c r="M58" s="33">
        <v>49.73</v>
      </c>
      <c r="N58" s="34">
        <v>1.1002212389380499</v>
      </c>
      <c r="O58" s="34">
        <v>1.1028747626327899</v>
      </c>
      <c r="P58" s="34">
        <v>1.10100640045359</v>
      </c>
      <c r="Q58" s="34">
        <v>1.1007232759763901</v>
      </c>
      <c r="R58" s="33">
        <v>49.849939271002299</v>
      </c>
      <c r="S58" s="33">
        <v>49.7628104715752</v>
      </c>
      <c r="T58" s="33">
        <v>49.752630341747903</v>
      </c>
      <c r="U58" s="15">
        <v>2.4089054458017898E-3</v>
      </c>
      <c r="V58" s="15">
        <v>6.5955464739827802E-4</v>
      </c>
      <c r="W58" s="15">
        <v>4.5496067123510398E-4</v>
      </c>
      <c r="X58" s="34">
        <v>1.1002212389380499</v>
      </c>
      <c r="Y58" s="34">
        <v>1.1028747626327899</v>
      </c>
      <c r="Z58" s="34">
        <v>1.10100640045359</v>
      </c>
      <c r="AA58" s="34">
        <v>1.1007232759763901</v>
      </c>
      <c r="AB58" s="33">
        <v>49.849939271002299</v>
      </c>
      <c r="AC58" s="33">
        <v>49.7628104715752</v>
      </c>
      <c r="AD58" s="33">
        <v>49.752630341747903</v>
      </c>
      <c r="AE58" s="15">
        <v>2.4089054458017898E-3</v>
      </c>
      <c r="AF58" s="15">
        <v>6.5955464739827802E-4</v>
      </c>
      <c r="AG58" s="15">
        <v>4.5496067123510398E-4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4.6546673713430261E-3</v>
      </c>
      <c r="AT58" s="12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1.3251978371802715E-3</v>
      </c>
      <c r="BE58" s="29">
        <f t="shared" si="22"/>
        <v>0</v>
      </c>
      <c r="BF58" s="29">
        <f t="shared" si="23"/>
        <v>5.9798652085232976E-3</v>
      </c>
      <c r="BH58" s="29"/>
    </row>
    <row r="59" spans="1:60" x14ac:dyDescent="0.25">
      <c r="A59" s="1">
        <v>46107</v>
      </c>
      <c r="B59" s="33">
        <v>45.07</v>
      </c>
      <c r="C59" s="33">
        <v>49.63</v>
      </c>
      <c r="D59" s="15">
        <v>-2.8802501356286901E-3</v>
      </c>
      <c r="E59" s="15">
        <v>-2.0128831272976399E-3</v>
      </c>
      <c r="F59" s="33">
        <v>0</v>
      </c>
      <c r="G59" s="33">
        <v>0.26784999999999998</v>
      </c>
      <c r="H59" s="33">
        <v>0</v>
      </c>
      <c r="I59" s="33">
        <v>0.28849999999999998</v>
      </c>
      <c r="J59" s="33">
        <v>0</v>
      </c>
      <c r="K59" s="33">
        <v>0</v>
      </c>
      <c r="L59" s="33">
        <v>45.07</v>
      </c>
      <c r="M59" s="33">
        <v>49.63</v>
      </c>
      <c r="N59" s="34">
        <v>1.1011759485245101</v>
      </c>
      <c r="O59" s="34">
        <v>1.1028747626327899</v>
      </c>
      <c r="P59" s="34">
        <v>1.1010604127583501</v>
      </c>
      <c r="Q59" s="34">
        <v>1.10074439848335</v>
      </c>
      <c r="R59" s="33">
        <v>49.706565551860102</v>
      </c>
      <c r="S59" s="33">
        <v>49.622358468443402</v>
      </c>
      <c r="T59" s="33">
        <v>49.609598048256203</v>
      </c>
      <c r="U59" s="15">
        <v>1.54153843747091E-3</v>
      </c>
      <c r="V59" s="15">
        <v>-1.5398186379719499E-4</v>
      </c>
      <c r="W59" s="15">
        <v>-4.1116555150262E-4</v>
      </c>
      <c r="X59" s="34">
        <v>1.1011759485245101</v>
      </c>
      <c r="Y59" s="34">
        <v>1.1028747626327899</v>
      </c>
      <c r="Z59" s="34">
        <v>1.1010604127583501</v>
      </c>
      <c r="AA59" s="34">
        <v>1.10074439848335</v>
      </c>
      <c r="AB59" s="33">
        <v>49.706565551860102</v>
      </c>
      <c r="AC59" s="33">
        <v>49.622358468443402</v>
      </c>
      <c r="AD59" s="33">
        <v>49.609598048256203</v>
      </c>
      <c r="AE59" s="15">
        <v>1.54153843747091E-3</v>
      </c>
      <c r="AF59" s="15">
        <v>-1.5398186379719499E-4</v>
      </c>
      <c r="AG59" s="15">
        <v>-4.1116555150262E-4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4.6546673713430261E-3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1.3251978371802715E-3</v>
      </c>
      <c r="BE59" s="29">
        <f t="shared" si="22"/>
        <v>0</v>
      </c>
      <c r="BF59" s="29">
        <f t="shared" si="23"/>
        <v>5.9798652085232976E-3</v>
      </c>
      <c r="BH59" s="29"/>
    </row>
    <row r="60" spans="1:60" x14ac:dyDescent="0.25">
      <c r="A60" s="1">
        <v>46108</v>
      </c>
      <c r="B60" s="33">
        <v>45.1</v>
      </c>
      <c r="C60" s="33">
        <v>49.64</v>
      </c>
      <c r="D60" s="15">
        <v>6.6540980607572001E-4</v>
      </c>
      <c r="E60" s="15">
        <v>2.01470737056991E-4</v>
      </c>
      <c r="F60" s="33">
        <v>0</v>
      </c>
      <c r="G60" s="33">
        <v>0.26784999999999998</v>
      </c>
      <c r="H60" s="33">
        <v>0</v>
      </c>
      <c r="I60" s="33">
        <v>0.28849999999999998</v>
      </c>
      <c r="J60" s="33">
        <v>0</v>
      </c>
      <c r="K60" s="33">
        <v>0</v>
      </c>
      <c r="L60" s="33">
        <v>45.1</v>
      </c>
      <c r="M60" s="33">
        <v>49.64</v>
      </c>
      <c r="N60" s="34">
        <v>1.10066518847006</v>
      </c>
      <c r="O60" s="34">
        <v>1.1028747626327899</v>
      </c>
      <c r="P60" s="34">
        <v>1.10100228695196</v>
      </c>
      <c r="Q60" s="34">
        <v>1.10077765790685</v>
      </c>
      <c r="R60" s="33">
        <v>49.739651794738997</v>
      </c>
      <c r="S60" s="33">
        <v>49.6578246154019</v>
      </c>
      <c r="T60" s="33">
        <v>49.643572371599298</v>
      </c>
      <c r="U60" s="15">
        <v>2.0054775064896201E-3</v>
      </c>
      <c r="V60" s="15">
        <v>3.5901321428680497E-4</v>
      </c>
      <c r="W60" s="15">
        <v>7.1962994793889706E-5</v>
      </c>
      <c r="X60" s="34">
        <v>1.10066518847006</v>
      </c>
      <c r="Y60" s="34">
        <v>1.1028747626327899</v>
      </c>
      <c r="Z60" s="34">
        <v>1.10100228695196</v>
      </c>
      <c r="AA60" s="34">
        <v>1.10077765790685</v>
      </c>
      <c r="AB60" s="33">
        <v>49.739651794738997</v>
      </c>
      <c r="AC60" s="33">
        <v>49.6578246154019</v>
      </c>
      <c r="AD60" s="33">
        <v>49.643572371599298</v>
      </c>
      <c r="AE60" s="15">
        <v>2.0054775064896201E-3</v>
      </c>
      <c r="AF60" s="15">
        <v>3.5901321428680497E-4</v>
      </c>
      <c r="AG60" s="15">
        <v>7.1962994793889706E-5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4.6546673713430261E-3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1.3251978371802715E-3</v>
      </c>
      <c r="BE60" s="29">
        <f t="shared" si="22"/>
        <v>0</v>
      </c>
      <c r="BF60" s="29">
        <f t="shared" si="23"/>
        <v>5.9798652085232976E-3</v>
      </c>
      <c r="BH60" s="29"/>
    </row>
    <row r="61" spans="1:60" x14ac:dyDescent="0.25">
      <c r="A61" s="1">
        <v>46111</v>
      </c>
      <c r="B61" s="33">
        <v>45.19</v>
      </c>
      <c r="C61" s="33">
        <v>49.77</v>
      </c>
      <c r="D61" s="15">
        <v>1.99357691455561E-3</v>
      </c>
      <c r="E61" s="15">
        <v>2.6154325340564701E-3</v>
      </c>
      <c r="F61" s="33">
        <v>0</v>
      </c>
      <c r="G61" s="33">
        <v>0.26784999999999998</v>
      </c>
      <c r="H61" s="33">
        <v>0</v>
      </c>
      <c r="I61" s="33">
        <v>0.28849999999999998</v>
      </c>
      <c r="J61" s="33">
        <v>0</v>
      </c>
      <c r="K61" s="33">
        <v>0</v>
      </c>
      <c r="L61" s="33">
        <v>45.19</v>
      </c>
      <c r="M61" s="33">
        <v>49.77</v>
      </c>
      <c r="N61" s="34">
        <v>1.1013498561628601</v>
      </c>
      <c r="O61" s="34">
        <v>1.1028747626327899</v>
      </c>
      <c r="P61" s="34">
        <v>1.10099297873353</v>
      </c>
      <c r="Q61" s="34">
        <v>1.10076719488996</v>
      </c>
      <c r="R61" s="33">
        <v>49.838910523376001</v>
      </c>
      <c r="S61" s="33">
        <v>49.754293347359202</v>
      </c>
      <c r="T61" s="33">
        <v>49.744142360810898</v>
      </c>
      <c r="U61" s="15">
        <v>1.38362188698858E-3</v>
      </c>
      <c r="V61" s="15">
        <v>-3.1563454997439499E-4</v>
      </c>
      <c r="W61" s="15">
        <v>-5.1967768917212905E-4</v>
      </c>
      <c r="X61" s="34">
        <v>1.1013498561628601</v>
      </c>
      <c r="Y61" s="34">
        <v>1.1028747626327899</v>
      </c>
      <c r="Z61" s="34">
        <v>1.10099297873353</v>
      </c>
      <c r="AA61" s="34">
        <v>1.10076719488996</v>
      </c>
      <c r="AB61" s="33">
        <v>49.838910523376001</v>
      </c>
      <c r="AC61" s="33">
        <v>49.754293347359202</v>
      </c>
      <c r="AD61" s="33">
        <v>49.744142360810898</v>
      </c>
      <c r="AE61" s="15">
        <v>1.38362188698858E-3</v>
      </c>
      <c r="AF61" s="15">
        <v>-3.1563454997439499E-4</v>
      </c>
      <c r="AG61" s="15">
        <v>-5.1967768917212905E-4</v>
      </c>
      <c r="AI61" s="12"/>
      <c r="AJ61">
        <f t="shared" si="6"/>
        <v>0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4.6546673713430261E-3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1.3251978371802715E-3</v>
      </c>
      <c r="BE61" s="29">
        <f t="shared" si="22"/>
        <v>0</v>
      </c>
      <c r="BF61" s="29">
        <f t="shared" si="23"/>
        <v>5.9798652085232976E-3</v>
      </c>
      <c r="BH61" s="29"/>
    </row>
    <row r="62" spans="1:60" x14ac:dyDescent="0.25">
      <c r="A62" s="1">
        <v>46112</v>
      </c>
      <c r="B62" s="33">
        <v>45.34</v>
      </c>
      <c r="C62" s="33">
        <v>49.89</v>
      </c>
      <c r="D62" s="15">
        <v>3.3138216561947298E-3</v>
      </c>
      <c r="E62" s="15">
        <v>2.4081890024830899E-3</v>
      </c>
      <c r="F62" s="33">
        <v>0</v>
      </c>
      <c r="G62" s="33">
        <v>0.26784999999999998</v>
      </c>
      <c r="H62" s="33">
        <v>0</v>
      </c>
      <c r="I62" s="33">
        <v>0.28849999999999998</v>
      </c>
      <c r="J62" s="33">
        <v>0</v>
      </c>
      <c r="K62" s="33">
        <v>0</v>
      </c>
      <c r="L62" s="33">
        <v>45.34</v>
      </c>
      <c r="M62" s="33">
        <v>49.89</v>
      </c>
      <c r="N62" s="34">
        <v>1.10035288928098</v>
      </c>
      <c r="O62" s="34">
        <v>1.1028747626327899</v>
      </c>
      <c r="P62" s="34">
        <v>1.10097142463583</v>
      </c>
      <c r="Q62" s="34">
        <v>1.1007489463803399</v>
      </c>
      <c r="R62" s="33">
        <v>50.004341737770901</v>
      </c>
      <c r="S62" s="33">
        <v>49.919021655778401</v>
      </c>
      <c r="T62" s="33">
        <v>49.908784616311202</v>
      </c>
      <c r="U62" s="15">
        <v>2.2892545407003201E-3</v>
      </c>
      <c r="V62" s="15">
        <v>5.8154375455993603E-4</v>
      </c>
      <c r="W62" s="15">
        <v>3.7644980558183399E-4</v>
      </c>
      <c r="X62" s="34">
        <v>1.10035288928098</v>
      </c>
      <c r="Y62" s="34">
        <v>1.1028747626327899</v>
      </c>
      <c r="Z62" s="34">
        <v>1.10097142463583</v>
      </c>
      <c r="AA62" s="34">
        <v>1.1007489463803399</v>
      </c>
      <c r="AB62" s="33">
        <v>50.004341737770901</v>
      </c>
      <c r="AC62" s="33">
        <v>49.919021655778401</v>
      </c>
      <c r="AD62" s="33">
        <v>49.908784616311202</v>
      </c>
      <c r="AE62" s="15">
        <v>2.2892545407003201E-3</v>
      </c>
      <c r="AF62" s="15">
        <v>5.8154375455993603E-4</v>
      </c>
      <c r="AG62" s="15">
        <v>3.7644980558183399E-4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4.6546673713430261E-3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1.3251978371802715E-3</v>
      </c>
      <c r="BE62" s="29">
        <f t="shared" si="22"/>
        <v>0</v>
      </c>
      <c r="BF62" s="29">
        <f t="shared" si="23"/>
        <v>5.9798652085232976E-3</v>
      </c>
      <c r="BH62" s="29"/>
    </row>
    <row r="63" spans="1:60" x14ac:dyDescent="0.25">
      <c r="A63" s="1">
        <v>46113</v>
      </c>
      <c r="B63" s="33">
        <v>45.3</v>
      </c>
      <c r="C63" s="33">
        <v>49.91</v>
      </c>
      <c r="D63" s="15">
        <v>-8.8261259039470802E-4</v>
      </c>
      <c r="E63" s="15">
        <v>4.0080160857183301E-4</v>
      </c>
      <c r="F63" s="33">
        <v>0.13347000000000001</v>
      </c>
      <c r="G63" s="33">
        <v>0.40132000000000001</v>
      </c>
      <c r="H63" s="33">
        <v>0.14149999999999999</v>
      </c>
      <c r="I63" s="33">
        <v>0.42999999999999899</v>
      </c>
      <c r="J63" s="33">
        <v>0</v>
      </c>
      <c r="K63" s="33">
        <v>0</v>
      </c>
      <c r="L63" s="33">
        <v>45.3</v>
      </c>
      <c r="M63" s="33">
        <v>49.91</v>
      </c>
      <c r="N63" s="34">
        <v>1.1017660044150099</v>
      </c>
      <c r="O63" s="34">
        <v>1.1028747626327899</v>
      </c>
      <c r="P63" s="34">
        <v>1.1010034150860899</v>
      </c>
      <c r="Q63" s="34">
        <v>1.1008579032655801</v>
      </c>
      <c r="R63" s="33">
        <v>49.960226747265601</v>
      </c>
      <c r="S63" s="33">
        <v>49.874005536003303</v>
      </c>
      <c r="T63" s="33">
        <v>49.863927271029397</v>
      </c>
      <c r="U63" s="15">
        <v>1.0058403417337199E-3</v>
      </c>
      <c r="V63" s="15">
        <v>-7.2144759803066205E-4</v>
      </c>
      <c r="W63" s="15">
        <v>-9.2354252269061601E-4</v>
      </c>
      <c r="X63" s="34">
        <v>1.1017660044150099</v>
      </c>
      <c r="Y63" s="34">
        <v>1.1028747626327899</v>
      </c>
      <c r="Z63" s="34">
        <v>1.1010034150860899</v>
      </c>
      <c r="AA63" s="34">
        <v>1.1008579032655801</v>
      </c>
      <c r="AB63" s="33">
        <v>49.960226747265601</v>
      </c>
      <c r="AC63" s="33">
        <v>49.874005536003303</v>
      </c>
      <c r="AD63" s="33">
        <v>49.863927271029397</v>
      </c>
      <c r="AE63" s="15">
        <v>1.0058403417337199E-3</v>
      </c>
      <c r="AF63" s="15">
        <v>-7.2144759803066205E-4</v>
      </c>
      <c r="AG63" s="15">
        <v>-9.2354252269061601E-4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4.6546673713430261E-3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1.3251978371802715E-3</v>
      </c>
      <c r="BE63" s="29">
        <f t="shared" si="22"/>
        <v>0</v>
      </c>
      <c r="BF63" s="29">
        <f t="shared" si="23"/>
        <v>5.9798652085232976E-3</v>
      </c>
      <c r="BH63" s="29"/>
    </row>
    <row r="64" spans="1:60" x14ac:dyDescent="0.25">
      <c r="A64" s="1">
        <v>46114</v>
      </c>
      <c r="B64" s="33">
        <v>45.36</v>
      </c>
      <c r="C64" s="33">
        <v>50</v>
      </c>
      <c r="D64" s="15">
        <v>1.3236269305083399E-3</v>
      </c>
      <c r="E64" s="15">
        <v>1.80162194662822E-3</v>
      </c>
      <c r="F64" s="33">
        <v>0</v>
      </c>
      <c r="G64" s="33">
        <v>0.40132000000000001</v>
      </c>
      <c r="H64" s="33">
        <v>0</v>
      </c>
      <c r="I64" s="33">
        <v>0.42999999999999899</v>
      </c>
      <c r="J64" s="33">
        <v>0</v>
      </c>
      <c r="K64" s="33">
        <v>0</v>
      </c>
      <c r="L64" s="33">
        <v>45.36</v>
      </c>
      <c r="M64" s="33">
        <v>50</v>
      </c>
      <c r="N64" s="34">
        <v>1.10229276895943</v>
      </c>
      <c r="O64" s="34">
        <v>1.1028747626327899</v>
      </c>
      <c r="P64" s="34">
        <v>1.10115160497787</v>
      </c>
      <c r="Q64" s="34">
        <v>1.1009344568386901</v>
      </c>
      <c r="R64" s="33">
        <v>50.026399233023596</v>
      </c>
      <c r="S64" s="33">
        <v>49.9415149083054</v>
      </c>
      <c r="T64" s="33">
        <v>49.934914492126801</v>
      </c>
      <c r="U64" s="15">
        <v>5.2784532561387602E-4</v>
      </c>
      <c r="V64" s="15">
        <v>-1.1703864690119001E-3</v>
      </c>
      <c r="W64" s="15">
        <v>-1.3025581180758001E-3</v>
      </c>
      <c r="X64" s="34">
        <v>1.10229276895943</v>
      </c>
      <c r="Y64" s="34">
        <v>1.1028747626327899</v>
      </c>
      <c r="Z64" s="34">
        <v>1.10115160497787</v>
      </c>
      <c r="AA64" s="34">
        <v>1.1009344568386901</v>
      </c>
      <c r="AB64" s="33">
        <v>50.026399233023596</v>
      </c>
      <c r="AC64" s="33">
        <v>49.9415149083054</v>
      </c>
      <c r="AD64" s="33">
        <v>49.934914492126801</v>
      </c>
      <c r="AE64" s="15">
        <v>5.2784532561387602E-4</v>
      </c>
      <c r="AF64" s="15">
        <v>-1.1703864690119001E-3</v>
      </c>
      <c r="AG64" s="15">
        <v>-1.3025581180758001E-3</v>
      </c>
      <c r="AI64" s="12"/>
      <c r="AJ64">
        <f t="shared" si="6"/>
        <v>1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4.6546673713430261E-3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1.3251978371802715E-3</v>
      </c>
      <c r="BE64" s="29">
        <f t="shared" si="22"/>
        <v>0</v>
      </c>
      <c r="BF64" s="29">
        <f t="shared" si="23"/>
        <v>5.9798652085232976E-3</v>
      </c>
      <c r="BH64" s="29"/>
    </row>
    <row r="65" spans="1:60" x14ac:dyDescent="0.25">
      <c r="A65" s="1">
        <v>46118</v>
      </c>
      <c r="B65" s="33">
        <v>45.33</v>
      </c>
      <c r="C65" s="33">
        <v>49.96</v>
      </c>
      <c r="D65" s="15">
        <v>-6.6159446673877301E-4</v>
      </c>
      <c r="E65" s="15">
        <v>-8.0032017076915498E-4</v>
      </c>
      <c r="F65" s="33">
        <v>0</v>
      </c>
      <c r="G65" s="33">
        <v>0.40132000000000001</v>
      </c>
      <c r="H65" s="33">
        <v>0</v>
      </c>
      <c r="I65" s="33">
        <v>0.42999999999999899</v>
      </c>
      <c r="J65" s="33">
        <v>0</v>
      </c>
      <c r="K65" s="33">
        <v>0</v>
      </c>
      <c r="L65" s="33">
        <v>45.33</v>
      </c>
      <c r="M65" s="33">
        <v>49.96</v>
      </c>
      <c r="N65" s="34">
        <v>1.1021398632252299</v>
      </c>
      <c r="O65" s="34">
        <v>1.1028747626327899</v>
      </c>
      <c r="P65" s="34">
        <v>1.1011398276881801</v>
      </c>
      <c r="Q65" s="34">
        <v>1.1009771938466</v>
      </c>
      <c r="R65" s="33">
        <v>49.993312990144602</v>
      </c>
      <c r="S65" s="33">
        <v>49.915202253647202</v>
      </c>
      <c r="T65" s="33">
        <v>49.905358928497797</v>
      </c>
      <c r="U65" s="15">
        <v>6.6657102964416898E-4</v>
      </c>
      <c r="V65" s="15">
        <v>-8.97074515917845E-4</v>
      </c>
      <c r="W65" s="15">
        <v>-1.09429490948708E-3</v>
      </c>
      <c r="X65" s="34">
        <v>1.1021398632252299</v>
      </c>
      <c r="Y65" s="34">
        <v>1.1028747626327899</v>
      </c>
      <c r="Z65" s="34">
        <v>1.1011398276881801</v>
      </c>
      <c r="AA65" s="34">
        <v>1.1009771938466</v>
      </c>
      <c r="AB65" s="33">
        <v>49.993312990144602</v>
      </c>
      <c r="AC65" s="33">
        <v>49.915202253647202</v>
      </c>
      <c r="AD65" s="33">
        <v>49.905358928497797</v>
      </c>
      <c r="AE65" s="15">
        <v>6.6657102964416898E-4</v>
      </c>
      <c r="AF65" s="15">
        <v>-8.97074515917845E-4</v>
      </c>
      <c r="AG65" s="15">
        <v>-1.09429490948708E-3</v>
      </c>
      <c r="AI65" s="12"/>
      <c r="AJ65">
        <f t="shared" si="6"/>
        <v>1</v>
      </c>
      <c r="AK65">
        <f t="shared" si="7"/>
        <v>0</v>
      </c>
      <c r="AL65">
        <f t="shared" si="14"/>
        <v>1</v>
      </c>
      <c r="AM65">
        <f t="shared" si="4"/>
        <v>1</v>
      </c>
      <c r="AN65">
        <f t="shared" si="15"/>
        <v>1</v>
      </c>
      <c r="AO65" s="28">
        <f t="shared" si="8"/>
        <v>-6.6159446673877301E-4</v>
      </c>
      <c r="AP65" s="28">
        <f t="shared" si="9"/>
        <v>8.0032017076915498E-4</v>
      </c>
      <c r="AQ65" s="28">
        <f t="shared" si="16"/>
        <v>1.3872570403038198E-4</v>
      </c>
      <c r="AR65" s="29">
        <f t="shared" si="17"/>
        <v>4.793393075373408E-3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1.3251978371802715E-3</v>
      </c>
      <c r="BE65" s="29">
        <f t="shared" si="22"/>
        <v>1.3872570403038198E-4</v>
      </c>
      <c r="BF65" s="29">
        <f t="shared" si="23"/>
        <v>6.1185909125536795E-3</v>
      </c>
      <c r="BH65" s="29"/>
    </row>
    <row r="66" spans="1:60" x14ac:dyDescent="0.25">
      <c r="A66" s="1">
        <v>46119</v>
      </c>
      <c r="B66" s="33">
        <v>45.37</v>
      </c>
      <c r="C66" s="33">
        <v>50.01</v>
      </c>
      <c r="D66" s="15">
        <v>8.8202872311468595E-4</v>
      </c>
      <c r="E66" s="15">
        <v>1.0003001734354301E-3</v>
      </c>
      <c r="F66" s="33">
        <v>0</v>
      </c>
      <c r="G66" s="33">
        <v>0.40132000000000001</v>
      </c>
      <c r="H66" s="33">
        <v>0</v>
      </c>
      <c r="I66" s="33">
        <v>0.42999999999999899</v>
      </c>
      <c r="J66" s="33">
        <v>0</v>
      </c>
      <c r="K66" s="33">
        <v>0</v>
      </c>
      <c r="L66" s="33">
        <v>45.37</v>
      </c>
      <c r="M66" s="33">
        <v>50.01</v>
      </c>
      <c r="N66" s="34">
        <v>1.1022702226140599</v>
      </c>
      <c r="O66" s="34">
        <v>1.1028747626327899</v>
      </c>
      <c r="P66" s="34">
        <v>1.10124557100802</v>
      </c>
      <c r="Q66" s="34">
        <v>1.1010809031912001</v>
      </c>
      <c r="R66" s="33">
        <v>50.037427980649902</v>
      </c>
      <c r="S66" s="33">
        <v>49.958713982212899</v>
      </c>
      <c r="T66" s="33">
        <v>49.951335284820601</v>
      </c>
      <c r="U66" s="15">
        <v>5.4829957932351096E-4</v>
      </c>
      <c r="V66" s="15">
        <v>-1.0260414532386401E-3</v>
      </c>
      <c r="W66" s="15">
        <v>-1.1737482647124499E-3</v>
      </c>
      <c r="X66" s="34">
        <v>1.1022702226140599</v>
      </c>
      <c r="Y66" s="34">
        <v>1.1028747626327899</v>
      </c>
      <c r="Z66" s="34">
        <v>1.10124557100802</v>
      </c>
      <c r="AA66" s="34">
        <v>1.1010809031912001</v>
      </c>
      <c r="AB66" s="33">
        <v>50.037427980649902</v>
      </c>
      <c r="AC66" s="33">
        <v>49.958713982212899</v>
      </c>
      <c r="AD66" s="33">
        <v>49.951335284820601</v>
      </c>
      <c r="AE66" s="15">
        <v>5.4829957932351096E-4</v>
      </c>
      <c r="AF66" s="15">
        <v>-1.0260414532386401E-3</v>
      </c>
      <c r="AG66" s="15">
        <v>-1.1737482647124499E-3</v>
      </c>
      <c r="AI66" s="12"/>
      <c r="AJ66">
        <f t="shared" si="6"/>
        <v>1</v>
      </c>
      <c r="AK66">
        <f t="shared" si="7"/>
        <v>0</v>
      </c>
      <c r="AL66">
        <f t="shared" si="14"/>
        <v>1</v>
      </c>
      <c r="AM66">
        <f t="shared" si="4"/>
        <v>1</v>
      </c>
      <c r="AN66">
        <f t="shared" si="15"/>
        <v>1</v>
      </c>
      <c r="AO66" s="28">
        <f t="shared" si="8"/>
        <v>8.8202872311468595E-4</v>
      </c>
      <c r="AP66" s="28">
        <f t="shared" si="9"/>
        <v>-1.0003001734354301E-3</v>
      </c>
      <c r="AQ66" s="28">
        <f t="shared" si="16"/>
        <v>-1.1827145032074411E-4</v>
      </c>
      <c r="AR66" s="29">
        <f t="shared" si="17"/>
        <v>4.6751216250526641E-3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1.3251978371802715E-3</v>
      </c>
      <c r="BE66" s="29">
        <f t="shared" si="22"/>
        <v>-1.1827145032074411E-4</v>
      </c>
      <c r="BF66" s="29">
        <f t="shared" si="23"/>
        <v>6.0003194622329356E-3</v>
      </c>
      <c r="BH66" s="29"/>
    </row>
    <row r="67" spans="1:60" x14ac:dyDescent="0.25">
      <c r="A67" s="1">
        <v>46120</v>
      </c>
      <c r="B67" s="33">
        <v>45.48</v>
      </c>
      <c r="C67" s="33">
        <v>50.13</v>
      </c>
      <c r="D67" s="15">
        <v>2.4215752064628499E-3</v>
      </c>
      <c r="E67" s="15">
        <v>2.3966458445998898E-3</v>
      </c>
      <c r="F67" s="33">
        <v>0</v>
      </c>
      <c r="G67" s="33">
        <v>0.40132000000000001</v>
      </c>
      <c r="H67" s="33">
        <v>0</v>
      </c>
      <c r="I67" s="33">
        <v>0.42999999999999899</v>
      </c>
      <c r="J67" s="33">
        <v>0</v>
      </c>
      <c r="K67" s="33">
        <v>0</v>
      </c>
      <c r="L67" s="33">
        <v>45.48</v>
      </c>
      <c r="M67" s="33">
        <v>50.13</v>
      </c>
      <c r="N67" s="34">
        <v>1.10224274406332</v>
      </c>
      <c r="O67" s="34">
        <v>1.1028747626327899</v>
      </c>
      <c r="P67" s="34">
        <v>1.1014476724653499</v>
      </c>
      <c r="Q67" s="34">
        <v>1.10119740339612</v>
      </c>
      <c r="R67" s="33">
        <v>50.158744204539502</v>
      </c>
      <c r="S67" s="33">
        <v>50.084648569445001</v>
      </c>
      <c r="T67" s="33">
        <v>50.077159477136099</v>
      </c>
      <c r="U67" s="15">
        <v>5.7322894118661699E-4</v>
      </c>
      <c r="V67" s="15">
        <v>-9.0508591904031295E-4</v>
      </c>
      <c r="W67" s="15">
        <v>-1.0546257979394001E-3</v>
      </c>
      <c r="X67" s="34">
        <v>1.10224274406332</v>
      </c>
      <c r="Y67" s="34">
        <v>1.1028747626327899</v>
      </c>
      <c r="Z67" s="34">
        <v>1.1014476724653499</v>
      </c>
      <c r="AA67" s="34">
        <v>1.10119740339612</v>
      </c>
      <c r="AB67" s="33">
        <v>50.158744204539502</v>
      </c>
      <c r="AC67" s="33">
        <v>50.084648569445001</v>
      </c>
      <c r="AD67" s="33">
        <v>50.077159477136099</v>
      </c>
      <c r="AE67" s="15">
        <v>5.7322894118661699E-4</v>
      </c>
      <c r="AF67" s="15">
        <v>-9.0508591904031295E-4</v>
      </c>
      <c r="AG67" s="15">
        <v>-1.0546257979394001E-3</v>
      </c>
      <c r="AI67" s="12"/>
      <c r="AJ67">
        <f t="shared" si="6"/>
        <v>1</v>
      </c>
      <c r="AK67">
        <f t="shared" si="7"/>
        <v>0</v>
      </c>
      <c r="AL67">
        <f t="shared" si="14"/>
        <v>1</v>
      </c>
      <c r="AM67">
        <f t="shared" si="4"/>
        <v>1</v>
      </c>
      <c r="AN67">
        <f t="shared" si="15"/>
        <v>1</v>
      </c>
      <c r="AO67" s="28">
        <f t="shared" si="8"/>
        <v>2.4215752064628499E-3</v>
      </c>
      <c r="AP67" s="28">
        <f t="shared" si="9"/>
        <v>-2.3966458445998898E-3</v>
      </c>
      <c r="AQ67" s="28">
        <f t="shared" si="16"/>
        <v>2.4929361862960093E-5</v>
      </c>
      <c r="AR67" s="29">
        <f t="shared" si="17"/>
        <v>4.7000509869156246E-3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1.3251978371802715E-3</v>
      </c>
      <c r="BE67" s="29">
        <f t="shared" si="22"/>
        <v>2.4929361862960093E-5</v>
      </c>
      <c r="BF67" s="29">
        <f t="shared" si="23"/>
        <v>6.0252488240958961E-3</v>
      </c>
      <c r="BH67" s="29"/>
    </row>
    <row r="68" spans="1:60" x14ac:dyDescent="0.25">
      <c r="A68" s="1">
        <v>46121</v>
      </c>
      <c r="B68" s="33">
        <v>45.55</v>
      </c>
      <c r="C68" s="33">
        <v>50.26</v>
      </c>
      <c r="D68" s="15">
        <v>1.53795482363203E-3</v>
      </c>
      <c r="E68" s="15">
        <v>2.5899008400340098E-3</v>
      </c>
      <c r="F68" s="33">
        <v>0</v>
      </c>
      <c r="G68" s="33">
        <v>0.40132000000000001</v>
      </c>
      <c r="H68" s="33">
        <v>0</v>
      </c>
      <c r="I68" s="33">
        <v>0.42999999999999899</v>
      </c>
      <c r="J68" s="33">
        <v>0</v>
      </c>
      <c r="K68" s="33">
        <v>0</v>
      </c>
      <c r="L68" s="33">
        <v>45.55</v>
      </c>
      <c r="M68" s="33">
        <v>50.26</v>
      </c>
      <c r="N68" s="34">
        <v>1.1034028540065799</v>
      </c>
      <c r="O68" s="34">
        <v>1.1028747626327899</v>
      </c>
      <c r="P68" s="34">
        <v>1.1017658339722001</v>
      </c>
      <c r="Q68" s="34">
        <v>1.1013861172129</v>
      </c>
      <c r="R68" s="33">
        <v>50.235945437923803</v>
      </c>
      <c r="S68" s="33">
        <v>50.170941480796898</v>
      </c>
      <c r="T68" s="33">
        <v>50.159541724693199</v>
      </c>
      <c r="U68" s="15">
        <v>-4.7871707521550199E-4</v>
      </c>
      <c r="V68" s="15">
        <v>-1.7735279831821199E-3</v>
      </c>
      <c r="W68" s="15">
        <v>-2.00077210258689E-3</v>
      </c>
      <c r="X68" s="34">
        <v>1.1034028540065799</v>
      </c>
      <c r="Y68" s="34">
        <v>1.1028747626327899</v>
      </c>
      <c r="Z68" s="34">
        <v>1.1017658339722001</v>
      </c>
      <c r="AA68" s="34">
        <v>1.1013861172129</v>
      </c>
      <c r="AB68" s="33">
        <v>50.235945437923803</v>
      </c>
      <c r="AC68" s="33">
        <v>50.170941480796898</v>
      </c>
      <c r="AD68" s="33">
        <v>50.159541724693199</v>
      </c>
      <c r="AE68" s="15">
        <v>-4.7871707521550199E-4</v>
      </c>
      <c r="AF68" s="15">
        <v>-1.7735279831821199E-3</v>
      </c>
      <c r="AG68" s="15">
        <v>-2.00077210258689E-3</v>
      </c>
      <c r="AI68" s="12"/>
      <c r="AJ68">
        <f t="shared" si="6"/>
        <v>1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1.53795482363203E-3</v>
      </c>
      <c r="AP68" s="28">
        <f t="shared" si="9"/>
        <v>-2.5899008400340098E-3</v>
      </c>
      <c r="AQ68" s="28">
        <f t="shared" si="16"/>
        <v>-1.0519460164019798E-3</v>
      </c>
      <c r="AR68" s="29">
        <f t="shared" si="17"/>
        <v>3.6481049705136448E-3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1.3251978371802715E-3</v>
      </c>
      <c r="BE68" s="29">
        <f t="shared" si="22"/>
        <v>-1.0519460164019798E-3</v>
      </c>
      <c r="BF68" s="29">
        <f t="shared" si="23"/>
        <v>4.9733028076939158E-3</v>
      </c>
      <c r="BH68" s="29"/>
    </row>
    <row r="69" spans="1:60" x14ac:dyDescent="0.25">
      <c r="A69" s="1">
        <v>46122</v>
      </c>
      <c r="B69" s="33">
        <v>45.57</v>
      </c>
      <c r="C69" s="33">
        <v>50.24</v>
      </c>
      <c r="D69" s="15">
        <v>4.3898156982383901E-4</v>
      </c>
      <c r="E69" s="15">
        <v>-3.98009955502813E-4</v>
      </c>
      <c r="F69" s="33">
        <v>0</v>
      </c>
      <c r="G69" s="33">
        <v>0.40132000000000001</v>
      </c>
      <c r="H69" s="33">
        <v>0</v>
      </c>
      <c r="I69" s="33">
        <v>0.42999999999999899</v>
      </c>
      <c r="J69" s="33">
        <v>0</v>
      </c>
      <c r="K69" s="33">
        <v>0</v>
      </c>
      <c r="L69" s="33">
        <v>45.57</v>
      </c>
      <c r="M69" s="33">
        <v>50.24</v>
      </c>
      <c r="N69" s="34">
        <v>1.1024797015580401</v>
      </c>
      <c r="O69" s="34">
        <v>1.1028747626327899</v>
      </c>
      <c r="P69" s="34">
        <v>1.10189620927556</v>
      </c>
      <c r="Q69" s="34">
        <v>1.1014783110169599</v>
      </c>
      <c r="R69" s="33">
        <v>50.258002933176499</v>
      </c>
      <c r="S69" s="33">
        <v>50.207469054113503</v>
      </c>
      <c r="T69" s="33">
        <v>50.190165361391898</v>
      </c>
      <c r="U69" s="15">
        <v>3.58274450111238E-4</v>
      </c>
      <c r="V69" s="15">
        <v>-6.4772059127186996E-4</v>
      </c>
      <c r="W69" s="15">
        <v>-9.924237905800529E-4</v>
      </c>
      <c r="X69" s="34">
        <v>1.1024797015580401</v>
      </c>
      <c r="Y69" s="34">
        <v>1.1028747626327899</v>
      </c>
      <c r="Z69" s="34">
        <v>1.10189620927556</v>
      </c>
      <c r="AA69" s="34">
        <v>1.1014783110169599</v>
      </c>
      <c r="AB69" s="33">
        <v>50.258002933176499</v>
      </c>
      <c r="AC69" s="33">
        <v>50.207469054113503</v>
      </c>
      <c r="AD69" s="33">
        <v>50.190165361391898</v>
      </c>
      <c r="AE69" s="15">
        <v>3.58274450111238E-4</v>
      </c>
      <c r="AF69" s="15">
        <v>-6.4772059127186996E-4</v>
      </c>
      <c r="AG69" s="15">
        <v>-9.924237905800529E-4</v>
      </c>
      <c r="AI69" s="12"/>
      <c r="AJ69">
        <f t="shared" si="6"/>
        <v>0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4.3898156982383901E-4</v>
      </c>
      <c r="AP69" s="28">
        <f t="shared" si="9"/>
        <v>3.98009955502813E-4</v>
      </c>
      <c r="AQ69" s="28">
        <f t="shared" si="16"/>
        <v>8.3699152532665201E-4</v>
      </c>
      <c r="AR69" s="29">
        <f t="shared" si="17"/>
        <v>4.4850964958402968E-3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1.3251978371802715E-3</v>
      </c>
      <c r="BE69" s="29">
        <f t="shared" si="22"/>
        <v>8.3699152532665201E-4</v>
      </c>
      <c r="BF69" s="29">
        <f t="shared" si="23"/>
        <v>5.8102943330205683E-3</v>
      </c>
      <c r="BH69" s="29"/>
    </row>
    <row r="70" spans="1:60" x14ac:dyDescent="0.25">
      <c r="A70" s="1">
        <v>46125</v>
      </c>
      <c r="B70" s="33">
        <v>45.6</v>
      </c>
      <c r="C70" s="33">
        <v>50.3</v>
      </c>
      <c r="D70" s="15">
        <v>6.58111244549324E-4</v>
      </c>
      <c r="E70" s="15">
        <v>1.1935549457502701E-3</v>
      </c>
      <c r="F70" s="33">
        <v>0</v>
      </c>
      <c r="G70" s="33">
        <v>0.40132000000000001</v>
      </c>
      <c r="H70" s="33">
        <v>0</v>
      </c>
      <c r="I70" s="33">
        <v>0.42999999999999899</v>
      </c>
      <c r="J70" s="33">
        <v>0</v>
      </c>
      <c r="K70" s="33">
        <v>0</v>
      </c>
      <c r="L70" s="33">
        <v>45.6</v>
      </c>
      <c r="M70" s="33">
        <v>50.3</v>
      </c>
      <c r="N70" s="34">
        <v>1.1030701754385901</v>
      </c>
      <c r="O70" s="34">
        <v>1.1028747626327899</v>
      </c>
      <c r="P70" s="34">
        <v>1.10213670797241</v>
      </c>
      <c r="Q70" s="34">
        <v>1.1015694974621899</v>
      </c>
      <c r="R70" s="33">
        <v>50.291089176055401</v>
      </c>
      <c r="S70" s="33">
        <v>50.246467142965599</v>
      </c>
      <c r="T70" s="33">
        <v>50.2274109823733</v>
      </c>
      <c r="U70" s="15">
        <v>-1.7716925108972101E-4</v>
      </c>
      <c r="V70" s="15">
        <v>-1.0648382506879799E-3</v>
      </c>
      <c r="W70" s="15">
        <v>-1.44416392570505E-3</v>
      </c>
      <c r="X70" s="34">
        <v>1.1030701754385901</v>
      </c>
      <c r="Y70" s="34">
        <v>1.1028747626327899</v>
      </c>
      <c r="Z70" s="34">
        <v>1.10213670797241</v>
      </c>
      <c r="AA70" s="34">
        <v>1.1015694974621899</v>
      </c>
      <c r="AB70" s="33">
        <v>50.291089176055401</v>
      </c>
      <c r="AC70" s="33">
        <v>50.246467142965599</v>
      </c>
      <c r="AD70" s="33">
        <v>50.2274109823733</v>
      </c>
      <c r="AE70" s="15">
        <v>-1.7716925108972101E-4</v>
      </c>
      <c r="AF70" s="15">
        <v>-1.0648382506879799E-3</v>
      </c>
      <c r="AG70" s="15">
        <v>-1.44416392570505E-3</v>
      </c>
      <c r="AI70" s="12"/>
      <c r="AJ70">
        <f t="shared" si="6"/>
        <v>1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6.58111244549324E-4</v>
      </c>
      <c r="AP70" s="28">
        <f t="shared" si="9"/>
        <v>-1.1935549457502701E-3</v>
      </c>
      <c r="AQ70" s="28">
        <f t="shared" si="16"/>
        <v>-5.3544370120094608E-4</v>
      </c>
      <c r="AR70" s="29">
        <f t="shared" si="17"/>
        <v>3.9496527946393505E-3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1.3251978371802715E-3</v>
      </c>
      <c r="BE70" s="29">
        <f t="shared" si="22"/>
        <v>-5.3544370120094608E-4</v>
      </c>
      <c r="BF70" s="29">
        <f t="shared" si="23"/>
        <v>5.274850631819622E-3</v>
      </c>
      <c r="BH70" s="29"/>
    </row>
    <row r="71" spans="1:60" x14ac:dyDescent="0.25">
      <c r="A71" s="1">
        <v>46126</v>
      </c>
      <c r="B71" s="33">
        <v>45.61</v>
      </c>
      <c r="C71" s="33">
        <v>50.34</v>
      </c>
      <c r="D71" s="15">
        <v>2.1927420326858601E-4</v>
      </c>
      <c r="E71" s="15">
        <v>7.9491260147634198E-4</v>
      </c>
      <c r="F71" s="33">
        <v>0</v>
      </c>
      <c r="G71" s="33">
        <v>0.40132000000000001</v>
      </c>
      <c r="H71" s="33">
        <v>0</v>
      </c>
      <c r="I71" s="33">
        <v>0.42999999999999899</v>
      </c>
      <c r="J71" s="33">
        <v>0</v>
      </c>
      <c r="K71" s="33">
        <v>0</v>
      </c>
      <c r="L71" s="33">
        <v>45.61</v>
      </c>
      <c r="M71" s="33">
        <v>50.34</v>
      </c>
      <c r="N71" s="34">
        <v>1.1037053277789901</v>
      </c>
      <c r="O71" s="34">
        <v>1.1028747626327899</v>
      </c>
      <c r="P71" s="34">
        <v>1.10237225513402</v>
      </c>
      <c r="Q71" s="34">
        <v>1.1016826169337799</v>
      </c>
      <c r="R71" s="33">
        <v>50.302117923681799</v>
      </c>
      <c r="S71" s="33">
        <v>50.268455250621798</v>
      </c>
      <c r="T71" s="33">
        <v>50.2425847792504</v>
      </c>
      <c r="U71" s="15">
        <v>-7.5280764929751601E-4</v>
      </c>
      <c r="V71" s="15">
        <v>-1.42224152552215E-3</v>
      </c>
      <c r="W71" s="15">
        <v>-1.9370202390837699E-3</v>
      </c>
      <c r="X71" s="34">
        <v>1.1037053277789901</v>
      </c>
      <c r="Y71" s="34">
        <v>1.1028747626327899</v>
      </c>
      <c r="Z71" s="34">
        <v>1.10237225513402</v>
      </c>
      <c r="AA71" s="34">
        <v>1.1016826169337799</v>
      </c>
      <c r="AB71" s="33">
        <v>50.302117923681799</v>
      </c>
      <c r="AC71" s="33">
        <v>50.268455250621798</v>
      </c>
      <c r="AD71" s="33">
        <v>50.2425847792504</v>
      </c>
      <c r="AE71" s="15">
        <v>-7.5280764929751601E-4</v>
      </c>
      <c r="AF71" s="15">
        <v>-1.42224152552215E-3</v>
      </c>
      <c r="AG71" s="15">
        <v>-1.9370202390837699E-3</v>
      </c>
      <c r="AI71" s="12"/>
      <c r="AJ71">
        <f t="shared" si="6"/>
        <v>1</v>
      </c>
      <c r="AK71">
        <f t="shared" si="7"/>
        <v>0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2.1927420326858601E-4</v>
      </c>
      <c r="AP71" s="28">
        <f t="shared" si="9"/>
        <v>-7.9491260147634198E-4</v>
      </c>
      <c r="AQ71" s="28">
        <f t="shared" si="16"/>
        <v>-5.75638398207756E-4</v>
      </c>
      <c r="AR71" s="29">
        <f t="shared" si="17"/>
        <v>3.3740143964315944E-3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1.3251978371802715E-3</v>
      </c>
      <c r="BE71" s="29">
        <f t="shared" si="22"/>
        <v>-5.75638398207756E-4</v>
      </c>
      <c r="BF71" s="29">
        <f t="shared" si="23"/>
        <v>4.6992122336118663E-3</v>
      </c>
      <c r="BH71" s="29"/>
    </row>
    <row r="72" spans="1:60" x14ac:dyDescent="0.25">
      <c r="A72" s="1">
        <v>46127</v>
      </c>
      <c r="B72" s="33">
        <v>45.57</v>
      </c>
      <c r="C72" s="33">
        <v>50.26</v>
      </c>
      <c r="D72" s="15">
        <v>-8.7738544781781804E-4</v>
      </c>
      <c r="E72" s="15">
        <v>-1.5904575917238301E-3</v>
      </c>
      <c r="F72" s="33">
        <v>0</v>
      </c>
      <c r="G72" s="33">
        <v>0.40132000000000001</v>
      </c>
      <c r="H72" s="33">
        <v>0</v>
      </c>
      <c r="I72" s="33">
        <v>0.42999999999999899</v>
      </c>
      <c r="J72" s="33">
        <v>0</v>
      </c>
      <c r="K72" s="33">
        <v>0</v>
      </c>
      <c r="L72" s="33">
        <v>45.57</v>
      </c>
      <c r="M72" s="33">
        <v>50.26</v>
      </c>
      <c r="N72" s="34">
        <v>1.1029185867895499</v>
      </c>
      <c r="O72" s="34">
        <v>1.1028747626327899</v>
      </c>
      <c r="P72" s="34">
        <v>1.1026288248848799</v>
      </c>
      <c r="Q72" s="34">
        <v>1.1018001247603499</v>
      </c>
      <c r="R72" s="33">
        <v>50.258002933176499</v>
      </c>
      <c r="S72" s="33">
        <v>50.235103666457597</v>
      </c>
      <c r="T72" s="33">
        <v>50.203676853672299</v>
      </c>
      <c r="U72" s="15">
        <v>-3.9735505391497801E-5</v>
      </c>
      <c r="V72" s="15">
        <v>-4.9547357320599901E-4</v>
      </c>
      <c r="W72" s="15">
        <v>-1.12126400292087E-3</v>
      </c>
      <c r="X72" s="34">
        <v>1.1029185867895499</v>
      </c>
      <c r="Y72" s="34">
        <v>1.1028747626327899</v>
      </c>
      <c r="Z72" s="34">
        <v>1.1026288248848799</v>
      </c>
      <c r="AA72" s="34">
        <v>1.1018001247603499</v>
      </c>
      <c r="AB72" s="33">
        <v>50.258002933176499</v>
      </c>
      <c r="AC72" s="33">
        <v>50.235103666457597</v>
      </c>
      <c r="AD72" s="33">
        <v>50.203676853672299</v>
      </c>
      <c r="AE72" s="15">
        <v>-3.9735505391497801E-5</v>
      </c>
      <c r="AF72" s="15">
        <v>-4.9547357320599901E-4</v>
      </c>
      <c r="AG72" s="15">
        <v>-1.12126400292087E-3</v>
      </c>
      <c r="AI72" s="12"/>
      <c r="AJ72">
        <f t="shared" si="6"/>
        <v>1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28">
        <f t="shared" si="8"/>
        <v>-8.7738544781781804E-4</v>
      </c>
      <c r="AP72" s="28">
        <f t="shared" si="9"/>
        <v>1.5904575917238301E-3</v>
      </c>
      <c r="AQ72" s="28">
        <f t="shared" si="16"/>
        <v>7.1307214390601203E-4</v>
      </c>
      <c r="AR72" s="29">
        <f t="shared" si="17"/>
        <v>4.0870865403376064E-3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1.3251978371802715E-3</v>
      </c>
      <c r="BE72" s="29">
        <f t="shared" si="22"/>
        <v>7.1307214390601203E-4</v>
      </c>
      <c r="BF72" s="29">
        <f t="shared" si="23"/>
        <v>5.4122843775178779E-3</v>
      </c>
      <c r="BH72" s="29"/>
    </row>
    <row r="73" spans="1:60" x14ac:dyDescent="0.25">
      <c r="A73" s="1">
        <v>46128</v>
      </c>
      <c r="B73" s="33">
        <v>45.6</v>
      </c>
      <c r="C73" s="33">
        <v>50.29</v>
      </c>
      <c r="D73" s="15">
        <v>6.58111244549324E-4</v>
      </c>
      <c r="E73" s="15">
        <v>5.9671806842739004E-4</v>
      </c>
      <c r="F73" s="33">
        <v>0</v>
      </c>
      <c r="G73" s="33">
        <v>0.40132000000000001</v>
      </c>
      <c r="H73" s="33">
        <v>0</v>
      </c>
      <c r="I73" s="33">
        <v>0.42999999999999899</v>
      </c>
      <c r="J73" s="33">
        <v>0</v>
      </c>
      <c r="K73" s="33">
        <v>0</v>
      </c>
      <c r="L73" s="33">
        <v>45.6</v>
      </c>
      <c r="M73" s="33">
        <v>50.29</v>
      </c>
      <c r="N73" s="34">
        <v>1.1028508771929799</v>
      </c>
      <c r="O73" s="34">
        <v>1.1028747626327899</v>
      </c>
      <c r="P73" s="34">
        <v>1.10273731216268</v>
      </c>
      <c r="Q73" s="34">
        <v>1.1018703636243901</v>
      </c>
      <c r="R73" s="33">
        <v>50.291089176055401</v>
      </c>
      <c r="S73" s="33">
        <v>50.279874414750701</v>
      </c>
      <c r="T73" s="33">
        <v>50.242085689072397</v>
      </c>
      <c r="U73" s="15">
        <v>2.16576707303873E-5</v>
      </c>
      <c r="V73" s="15">
        <v>-2.0136418271176701E-4</v>
      </c>
      <c r="W73" s="15">
        <v>-9.5321437384217496E-4</v>
      </c>
      <c r="X73" s="34">
        <v>1.1028508771929799</v>
      </c>
      <c r="Y73" s="34">
        <v>1.1028747626327899</v>
      </c>
      <c r="Z73" s="34">
        <v>1.10273731216268</v>
      </c>
      <c r="AA73" s="34">
        <v>1.1018703636243901</v>
      </c>
      <c r="AB73" s="33">
        <v>50.291089176055401</v>
      </c>
      <c r="AC73" s="33">
        <v>50.279874414750701</v>
      </c>
      <c r="AD73" s="33">
        <v>50.242085689072397</v>
      </c>
      <c r="AE73" s="15">
        <v>2.16576707303873E-5</v>
      </c>
      <c r="AF73" s="15">
        <v>-2.0136418271176701E-4</v>
      </c>
      <c r="AG73" s="15">
        <v>-9.5321437384217496E-4</v>
      </c>
      <c r="AI73" s="12"/>
      <c r="AJ73">
        <f t="shared" si="6"/>
        <v>0</v>
      </c>
      <c r="AK73">
        <f t="shared" si="7"/>
        <v>0</v>
      </c>
      <c r="AL73">
        <f t="shared" si="14"/>
        <v>1</v>
      </c>
      <c r="AM73">
        <f t="shared" si="4"/>
        <v>1</v>
      </c>
      <c r="AN73">
        <f t="shared" si="15"/>
        <v>1</v>
      </c>
      <c r="AO73" s="28">
        <f t="shared" si="8"/>
        <v>6.58111244549324E-4</v>
      </c>
      <c r="AP73" s="28">
        <f t="shared" si="9"/>
        <v>-5.9671806842739004E-4</v>
      </c>
      <c r="AQ73" s="28">
        <f t="shared" si="16"/>
        <v>6.1393176121933958E-5</v>
      </c>
      <c r="AR73" s="29">
        <f t="shared" si="17"/>
        <v>4.1484797164595402E-3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1.3251978371802715E-3</v>
      </c>
      <c r="BE73" s="29">
        <f t="shared" si="22"/>
        <v>6.1393176121933958E-5</v>
      </c>
      <c r="BF73" s="29">
        <f t="shared" si="23"/>
        <v>5.4736775536398117E-3</v>
      </c>
      <c r="BH73" s="29"/>
    </row>
    <row r="74" spans="1:60" x14ac:dyDescent="0.25">
      <c r="A74" s="1">
        <v>46129</v>
      </c>
      <c r="B74" s="33">
        <v>45.76</v>
      </c>
      <c r="C74" s="33">
        <v>50.45</v>
      </c>
      <c r="D74" s="15">
        <v>3.5026305512020702E-3</v>
      </c>
      <c r="E74" s="15">
        <v>3.1764966157446198E-3</v>
      </c>
      <c r="F74" s="33">
        <v>0</v>
      </c>
      <c r="G74" s="33">
        <v>0.40132000000000001</v>
      </c>
      <c r="H74" s="33">
        <v>0</v>
      </c>
      <c r="I74" s="33">
        <v>0.42999999999999899</v>
      </c>
      <c r="J74" s="33">
        <v>0</v>
      </c>
      <c r="K74" s="33">
        <v>0</v>
      </c>
      <c r="L74" s="33">
        <v>45.76</v>
      </c>
      <c r="M74" s="33">
        <v>50.45</v>
      </c>
      <c r="N74" s="34">
        <v>1.1024912587412501</v>
      </c>
      <c r="O74" s="34">
        <v>1.1028747626327899</v>
      </c>
      <c r="P74" s="34">
        <v>1.10275716114086</v>
      </c>
      <c r="Q74" s="34">
        <v>1.1019543830593701</v>
      </c>
      <c r="R74" s="33">
        <v>50.467549138076699</v>
      </c>
      <c r="S74" s="33">
        <v>50.461259404564302</v>
      </c>
      <c r="T74" s="33">
        <v>50.421587839452101</v>
      </c>
      <c r="U74" s="15">
        <v>3.4779160618779703E-4</v>
      </c>
      <c r="V74" s="15">
        <v>2.2315457516772401E-4</v>
      </c>
      <c r="W74" s="15">
        <v>-5.6333328160702498E-4</v>
      </c>
      <c r="X74" s="34">
        <v>1.1024912587412501</v>
      </c>
      <c r="Y74" s="34">
        <v>1.1028747626327899</v>
      </c>
      <c r="Z74" s="34">
        <v>1.10275716114086</v>
      </c>
      <c r="AA74" s="34">
        <v>1.1019543830593701</v>
      </c>
      <c r="AB74" s="33">
        <v>50.467549138076699</v>
      </c>
      <c r="AC74" s="33">
        <v>50.461259404564302</v>
      </c>
      <c r="AD74" s="33">
        <v>50.421587839452101</v>
      </c>
      <c r="AE74" s="15">
        <v>3.4779160618779703E-4</v>
      </c>
      <c r="AF74" s="15">
        <v>2.2315457516772401E-4</v>
      </c>
      <c r="AG74" s="15">
        <v>-5.6333328160702498E-4</v>
      </c>
      <c r="AI74" s="12"/>
      <c r="AJ74">
        <f t="shared" si="6"/>
        <v>0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3.5026305512020702E-3</v>
      </c>
      <c r="AP74" s="28">
        <f t="shared" si="9"/>
        <v>-3.1764966157446198E-3</v>
      </c>
      <c r="AQ74" s="28">
        <f t="shared" si="16"/>
        <v>3.2613393545745037E-4</v>
      </c>
      <c r="AR74" s="29">
        <f t="shared" si="17"/>
        <v>4.4746136519169906E-3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1.3251978371802715E-3</v>
      </c>
      <c r="BE74" s="29">
        <f t="shared" si="22"/>
        <v>3.2613393545745037E-4</v>
      </c>
      <c r="BF74" s="29">
        <f t="shared" si="23"/>
        <v>5.799811489097262E-3</v>
      </c>
      <c r="BH74" s="29"/>
    </row>
    <row r="75" spans="1:60" x14ac:dyDescent="0.25">
      <c r="A75" s="1">
        <v>46132</v>
      </c>
      <c r="B75" s="33">
        <v>45.74</v>
      </c>
      <c r="C75" s="33">
        <v>50.47</v>
      </c>
      <c r="D75" s="15">
        <v>-4.3715847690724502E-4</v>
      </c>
      <c r="E75" s="15">
        <v>3.9635355255287997E-4</v>
      </c>
      <c r="F75" s="33">
        <v>0</v>
      </c>
      <c r="G75" s="33">
        <v>0.40132000000000001</v>
      </c>
      <c r="H75" s="33">
        <v>0</v>
      </c>
      <c r="I75" s="33">
        <v>0.42999999999999899</v>
      </c>
      <c r="J75" s="33">
        <v>0</v>
      </c>
      <c r="K75" s="33">
        <v>0</v>
      </c>
      <c r="L75" s="33">
        <v>45.74</v>
      </c>
      <c r="M75" s="33">
        <v>50.47</v>
      </c>
      <c r="N75" s="34">
        <v>1.1034105815478701</v>
      </c>
      <c r="O75" s="34">
        <v>1.1028747626327899</v>
      </c>
      <c r="P75" s="34">
        <v>1.1028842329731201</v>
      </c>
      <c r="Q75" s="34">
        <v>1.10201203033065</v>
      </c>
      <c r="R75" s="33">
        <v>50.445491642824003</v>
      </c>
      <c r="S75" s="33">
        <v>50.440112550583102</v>
      </c>
      <c r="T75" s="33">
        <v>50.403393481135602</v>
      </c>
      <c r="U75" s="15">
        <v>-4.8572042327258298E-4</v>
      </c>
      <c r="V75" s="15">
        <v>-5.9235788238412796E-4</v>
      </c>
      <c r="W75" s="15">
        <v>-1.3205965665622999E-3</v>
      </c>
      <c r="X75" s="34">
        <v>1.1034105815478701</v>
      </c>
      <c r="Y75" s="34">
        <v>1.1028747626327899</v>
      </c>
      <c r="Z75" s="34">
        <v>1.1028842329731201</v>
      </c>
      <c r="AA75" s="34">
        <v>1.10201203033065</v>
      </c>
      <c r="AB75" s="33">
        <v>50.445491642824003</v>
      </c>
      <c r="AC75" s="33">
        <v>50.440112550583102</v>
      </c>
      <c r="AD75" s="33">
        <v>50.403393481135602</v>
      </c>
      <c r="AE75" s="15">
        <v>-4.8572042327258298E-4</v>
      </c>
      <c r="AF75" s="15">
        <v>-5.9235788238412796E-4</v>
      </c>
      <c r="AG75" s="15">
        <v>-1.3205965665622999E-3</v>
      </c>
      <c r="AI75" s="12"/>
      <c r="AJ75">
        <f t="shared" si="6"/>
        <v>1</v>
      </c>
      <c r="AK75">
        <f t="shared" si="7"/>
        <v>0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-4.3715847690724502E-4</v>
      </c>
      <c r="AP75" s="28">
        <f t="shared" si="9"/>
        <v>-3.9635355255287997E-4</v>
      </c>
      <c r="AQ75" s="28">
        <f t="shared" si="16"/>
        <v>-8.33512029460125E-4</v>
      </c>
      <c r="AR75" s="29">
        <f t="shared" si="17"/>
        <v>3.6411016224568655E-3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1.3251978371802715E-3</v>
      </c>
      <c r="BE75" s="29">
        <f t="shared" si="22"/>
        <v>-8.33512029460125E-4</v>
      </c>
      <c r="BF75" s="29">
        <f t="shared" si="23"/>
        <v>4.9662994596371369E-3</v>
      </c>
      <c r="BH75" s="29"/>
    </row>
    <row r="76" spans="1:60" x14ac:dyDescent="0.25">
      <c r="A76" s="1">
        <v>46133</v>
      </c>
      <c r="B76" s="33">
        <v>45.66</v>
      </c>
      <c r="C76" s="33">
        <v>50.38</v>
      </c>
      <c r="D76" s="15">
        <v>-1.7505474929856899E-3</v>
      </c>
      <c r="E76" s="15">
        <v>-1.7848294277068399E-3</v>
      </c>
      <c r="F76" s="33">
        <v>0</v>
      </c>
      <c r="G76" s="33">
        <v>0.40132000000000001</v>
      </c>
      <c r="H76" s="33">
        <v>0</v>
      </c>
      <c r="I76" s="33">
        <v>0.42999999999999899</v>
      </c>
      <c r="J76" s="33">
        <v>0</v>
      </c>
      <c r="K76" s="33">
        <v>0</v>
      </c>
      <c r="L76" s="33">
        <v>45.66</v>
      </c>
      <c r="M76" s="33">
        <v>50.38</v>
      </c>
      <c r="N76" s="34">
        <v>1.1033727551467301</v>
      </c>
      <c r="O76" s="34">
        <v>1.1028747626327899</v>
      </c>
      <c r="P76" s="34">
        <v>1.1029944862263901</v>
      </c>
      <c r="Q76" s="34">
        <v>1.1021200286172099</v>
      </c>
      <c r="R76" s="33">
        <v>50.357261661813403</v>
      </c>
      <c r="S76" s="33">
        <v>50.357694077552999</v>
      </c>
      <c r="T76" s="33">
        <v>50.317869304897698</v>
      </c>
      <c r="U76" s="15">
        <v>-4.5143848855146298E-4</v>
      </c>
      <c r="V76" s="15">
        <v>-4.4285156645222298E-4</v>
      </c>
      <c r="W76" s="15">
        <v>-1.2340023362019401E-3</v>
      </c>
      <c r="X76" s="34">
        <v>1.1033727551467301</v>
      </c>
      <c r="Y76" s="34">
        <v>1.1028747626327899</v>
      </c>
      <c r="Z76" s="34">
        <v>1.1029944862263901</v>
      </c>
      <c r="AA76" s="34">
        <v>1.1021200286172099</v>
      </c>
      <c r="AB76" s="33">
        <v>50.357261661813403</v>
      </c>
      <c r="AC76" s="33">
        <v>50.357694077552999</v>
      </c>
      <c r="AD76" s="33">
        <v>50.317869304897698</v>
      </c>
      <c r="AE76" s="15">
        <v>-4.5143848855146298E-4</v>
      </c>
      <c r="AF76" s="15">
        <v>-4.4285156645222298E-4</v>
      </c>
      <c r="AG76" s="15">
        <v>-1.2340023362019401E-3</v>
      </c>
      <c r="AI76" s="12"/>
      <c r="AJ76">
        <f t="shared" si="6"/>
        <v>1</v>
      </c>
      <c r="AK76">
        <f t="shared" si="7"/>
        <v>0</v>
      </c>
      <c r="AL76">
        <f t="shared" si="14"/>
        <v>1</v>
      </c>
      <c r="AM76">
        <f t="shared" si="4"/>
        <v>1</v>
      </c>
      <c r="AN76">
        <f t="shared" si="15"/>
        <v>1</v>
      </c>
      <c r="AO76" s="28">
        <f t="shared" si="8"/>
        <v>-1.7505474929856899E-3</v>
      </c>
      <c r="AP76" s="28">
        <f t="shared" si="9"/>
        <v>1.7848294277068399E-3</v>
      </c>
      <c r="AQ76" s="28">
        <f t="shared" si="16"/>
        <v>3.4281934721150029E-5</v>
      </c>
      <c r="AR76" s="29">
        <f t="shared" si="17"/>
        <v>3.6753835571780155E-3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1.3251978371802715E-3</v>
      </c>
      <c r="BE76" s="29">
        <f t="shared" si="22"/>
        <v>3.4281934721150029E-5</v>
      </c>
      <c r="BF76" s="29">
        <f t="shared" si="23"/>
        <v>5.0005813943582869E-3</v>
      </c>
      <c r="BH76" s="29"/>
    </row>
    <row r="77" spans="1:60" x14ac:dyDescent="0.25">
      <c r="A77" s="1">
        <v>46134</v>
      </c>
      <c r="B77" s="33">
        <v>45.7</v>
      </c>
      <c r="C77" s="33">
        <v>50.43</v>
      </c>
      <c r="D77" s="15">
        <v>8.7565679850966404E-4</v>
      </c>
      <c r="E77" s="15">
        <v>9.9196516416969307E-4</v>
      </c>
      <c r="F77" s="33">
        <v>0</v>
      </c>
      <c r="G77" s="33">
        <v>0.40132000000000001</v>
      </c>
      <c r="H77" s="33">
        <v>0</v>
      </c>
      <c r="I77" s="33">
        <v>0.42999999999999899</v>
      </c>
      <c r="J77" s="33">
        <v>0</v>
      </c>
      <c r="K77" s="33">
        <v>0</v>
      </c>
      <c r="L77" s="33">
        <v>45.7</v>
      </c>
      <c r="M77" s="33">
        <v>50.43</v>
      </c>
      <c r="N77" s="34">
        <v>1.1035010940918999</v>
      </c>
      <c r="O77" s="34">
        <v>1.1028747626327899</v>
      </c>
      <c r="P77" s="34">
        <v>1.10312032122925</v>
      </c>
      <c r="Q77" s="34">
        <v>1.1022839968472999</v>
      </c>
      <c r="R77" s="33">
        <v>50.401376652318703</v>
      </c>
      <c r="S77" s="33">
        <v>50.4068480205462</v>
      </c>
      <c r="T77" s="33">
        <v>50.366885307806498</v>
      </c>
      <c r="U77" s="15">
        <v>-5.6774685421162195E-4</v>
      </c>
      <c r="V77" s="15">
        <v>-4.5919681773109203E-4</v>
      </c>
      <c r="W77" s="15">
        <v>-1.25231449859258E-3</v>
      </c>
      <c r="X77" s="34">
        <v>1.1035010940918999</v>
      </c>
      <c r="Y77" s="34">
        <v>1.1028747626327899</v>
      </c>
      <c r="Z77" s="34">
        <v>1.10312032122925</v>
      </c>
      <c r="AA77" s="34">
        <v>1.1022839968472999</v>
      </c>
      <c r="AB77" s="33">
        <v>50.401376652318703</v>
      </c>
      <c r="AC77" s="33">
        <v>50.4068480205462</v>
      </c>
      <c r="AD77" s="33">
        <v>50.366885307806498</v>
      </c>
      <c r="AE77" s="15">
        <v>-5.6774685421162195E-4</v>
      </c>
      <c r="AF77" s="15">
        <v>-4.5919681773109203E-4</v>
      </c>
      <c r="AG77" s="15">
        <v>-1.25231449859258E-3</v>
      </c>
      <c r="AI77" s="12"/>
      <c r="AJ77">
        <f t="shared" si="6"/>
        <v>1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8">
        <f t="shared" si="8"/>
        <v>8.7565679850966404E-4</v>
      </c>
      <c r="AP77" s="28">
        <f t="shared" si="9"/>
        <v>-9.9196516416969307E-4</v>
      </c>
      <c r="AQ77" s="28">
        <f t="shared" si="16"/>
        <v>-1.1630836566002903E-4</v>
      </c>
      <c r="AR77" s="29">
        <f t="shared" si="17"/>
        <v>3.5590751915179865E-3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1.3251978371802715E-3</v>
      </c>
      <c r="BE77" s="29">
        <f t="shared" si="22"/>
        <v>-1.1630836566002903E-4</v>
      </c>
      <c r="BF77" s="29">
        <f t="shared" si="23"/>
        <v>4.8842730286982579E-3</v>
      </c>
      <c r="BH77" s="29"/>
    </row>
    <row r="78" spans="1:60" x14ac:dyDescent="0.25">
      <c r="A78" s="1">
        <v>46135</v>
      </c>
      <c r="B78" s="33">
        <v>45.7</v>
      </c>
      <c r="C78" s="33">
        <v>50.45</v>
      </c>
      <c r="D78" s="15">
        <v>0</v>
      </c>
      <c r="E78" s="15">
        <v>3.9651071098407699E-4</v>
      </c>
      <c r="F78" s="33">
        <v>0</v>
      </c>
      <c r="G78" s="33">
        <v>0.40132000000000001</v>
      </c>
      <c r="H78" s="33">
        <v>0</v>
      </c>
      <c r="I78" s="33">
        <v>0.42999999999999899</v>
      </c>
      <c r="J78" s="33">
        <v>0</v>
      </c>
      <c r="K78" s="33">
        <v>0</v>
      </c>
      <c r="L78" s="33">
        <v>45.7</v>
      </c>
      <c r="M78" s="33">
        <v>50.45</v>
      </c>
      <c r="N78" s="34">
        <v>1.1039387308533899</v>
      </c>
      <c r="O78" s="34">
        <v>1.1028747626327899</v>
      </c>
      <c r="P78" s="34">
        <v>1.1031739089139301</v>
      </c>
      <c r="Q78" s="34">
        <v>1.1024698714430701</v>
      </c>
      <c r="R78" s="33">
        <v>50.401376652318703</v>
      </c>
      <c r="S78" s="33">
        <v>50.412598680176799</v>
      </c>
      <c r="T78" s="33">
        <v>50.374378655921802</v>
      </c>
      <c r="U78" s="15">
        <v>-9.6425756519563297E-4</v>
      </c>
      <c r="V78" s="15">
        <v>-7.4162914750945403E-4</v>
      </c>
      <c r="W78" s="15">
        <v>-1.5000609825999199E-3</v>
      </c>
      <c r="X78" s="34">
        <v>1.1039387308533899</v>
      </c>
      <c r="Y78" s="34">
        <v>1.1028747626327899</v>
      </c>
      <c r="Z78" s="34">
        <v>1.1031739089139301</v>
      </c>
      <c r="AA78" s="34">
        <v>1.1024698714430701</v>
      </c>
      <c r="AB78" s="33">
        <v>50.401376652318703</v>
      </c>
      <c r="AC78" s="33">
        <v>50.412598680176799</v>
      </c>
      <c r="AD78" s="33">
        <v>50.374378655921802</v>
      </c>
      <c r="AE78" s="15">
        <v>-9.6425756519563297E-4</v>
      </c>
      <c r="AF78" s="15">
        <v>-7.4162914750945403E-4</v>
      </c>
      <c r="AG78" s="15">
        <v>-1.5000609825999199E-3</v>
      </c>
      <c r="AI78" s="12"/>
      <c r="AJ78">
        <f t="shared" si="6"/>
        <v>1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8">
        <f t="shared" si="8"/>
        <v>0</v>
      </c>
      <c r="AP78" s="28">
        <f t="shared" si="9"/>
        <v>-3.9651071098407699E-4</v>
      </c>
      <c r="AQ78" s="28">
        <f t="shared" si="16"/>
        <v>-3.9651071098407699E-4</v>
      </c>
      <c r="AR78" s="29">
        <f t="shared" si="17"/>
        <v>3.1625644805339096E-3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1.3251978371802715E-3</v>
      </c>
      <c r="BE78" s="29">
        <f t="shared" si="22"/>
        <v>-3.9651071098407699E-4</v>
      </c>
      <c r="BF78" s="29">
        <f t="shared" si="23"/>
        <v>4.4877623177141807E-3</v>
      </c>
      <c r="BH78" s="29"/>
    </row>
    <row r="79" spans="1:60" x14ac:dyDescent="0.25">
      <c r="A79" s="1">
        <v>46136</v>
      </c>
      <c r="B79" s="33">
        <v>45.75</v>
      </c>
      <c r="C79" s="33">
        <v>50.47</v>
      </c>
      <c r="D79" s="15">
        <v>1.0934938213712801E-3</v>
      </c>
      <c r="E79" s="15">
        <v>3.9635355255287997E-4</v>
      </c>
      <c r="F79" s="33">
        <v>0</v>
      </c>
      <c r="G79" s="33">
        <v>0.40132000000000001</v>
      </c>
      <c r="H79" s="33">
        <v>0</v>
      </c>
      <c r="I79" s="33">
        <v>0.42999999999999899</v>
      </c>
      <c r="J79" s="33">
        <v>0</v>
      </c>
      <c r="K79" s="33">
        <v>0</v>
      </c>
      <c r="L79" s="33">
        <v>45.75</v>
      </c>
      <c r="M79" s="33">
        <v>50.47</v>
      </c>
      <c r="N79" s="34">
        <v>1.1031693989071001</v>
      </c>
      <c r="O79" s="34">
        <v>1.1028747626327899</v>
      </c>
      <c r="P79" s="34">
        <v>1.10324287864884</v>
      </c>
      <c r="Q79" s="34">
        <v>1.1025695439622001</v>
      </c>
      <c r="R79" s="33">
        <v>50.4565203904504</v>
      </c>
      <c r="S79" s="33">
        <v>50.470206332812403</v>
      </c>
      <c r="T79" s="33">
        <v>50.437996618520501</v>
      </c>
      <c r="U79" s="15">
        <v>-2.6711729637736198E-4</v>
      </c>
      <c r="V79" s="15">
        <v>4.0882185597774197E-6</v>
      </c>
      <c r="W79" s="15">
        <v>-6.3430815445631198E-4</v>
      </c>
      <c r="X79" s="34">
        <v>1.1031693989071001</v>
      </c>
      <c r="Y79" s="34">
        <v>1.1028747626327899</v>
      </c>
      <c r="Z79" s="34">
        <v>1.10324287864884</v>
      </c>
      <c r="AA79" s="34">
        <v>1.1025695439622001</v>
      </c>
      <c r="AB79" s="33">
        <v>50.4565203904504</v>
      </c>
      <c r="AC79" s="33">
        <v>50.470206332812403</v>
      </c>
      <c r="AD79" s="33">
        <v>50.437996618520501</v>
      </c>
      <c r="AE79" s="15">
        <v>-2.6711729637736198E-4</v>
      </c>
      <c r="AF79" s="15">
        <v>4.0882185597774197E-6</v>
      </c>
      <c r="AG79" s="15">
        <v>-6.3430815445631198E-4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1.0934938213712801E-3</v>
      </c>
      <c r="AP79" s="28">
        <f t="shared" si="9"/>
        <v>-3.9635355255287997E-4</v>
      </c>
      <c r="AQ79" s="28">
        <f t="shared" si="16"/>
        <v>6.9714026881840011E-4</v>
      </c>
      <c r="AR79" s="29">
        <f t="shared" si="17"/>
        <v>3.8597047493523096E-3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1.3251978371802715E-3</v>
      </c>
      <c r="BE79" s="29">
        <f t="shared" si="22"/>
        <v>6.9714026881840011E-4</v>
      </c>
      <c r="BF79" s="29">
        <f t="shared" si="23"/>
        <v>5.1849025865325811E-3</v>
      </c>
      <c r="BH79" s="29"/>
    </row>
    <row r="80" spans="1:60" x14ac:dyDescent="0.25">
      <c r="A80" s="1">
        <v>46139</v>
      </c>
      <c r="B80" s="33">
        <v>45.74</v>
      </c>
      <c r="C80" s="33">
        <v>50.47</v>
      </c>
      <c r="D80" s="15">
        <v>-2.18603126895156E-4</v>
      </c>
      <c r="E80" s="15">
        <v>0</v>
      </c>
      <c r="F80" s="33">
        <v>0</v>
      </c>
      <c r="G80" s="33">
        <v>0.40132000000000001</v>
      </c>
      <c r="H80" s="33">
        <v>0</v>
      </c>
      <c r="I80" s="33">
        <v>0.42999999999999899</v>
      </c>
      <c r="J80" s="33">
        <v>0</v>
      </c>
      <c r="K80" s="33">
        <v>0</v>
      </c>
      <c r="L80" s="33">
        <v>45.74</v>
      </c>
      <c r="M80" s="33">
        <v>50.47</v>
      </c>
      <c r="N80" s="34">
        <v>1.1034105815478701</v>
      </c>
      <c r="O80" s="34">
        <v>1.1028747626327899</v>
      </c>
      <c r="P80" s="34">
        <v>1.10327691925976</v>
      </c>
      <c r="Q80" s="34">
        <v>1.10270681361609</v>
      </c>
      <c r="R80" s="33">
        <v>50.445491642824003</v>
      </c>
      <c r="S80" s="33">
        <v>50.462329269397898</v>
      </c>
      <c r="T80" s="33">
        <v>50.431530940831003</v>
      </c>
      <c r="U80" s="15">
        <v>-4.8572042327258298E-4</v>
      </c>
      <c r="V80" s="15">
        <v>-1.5199749519978999E-4</v>
      </c>
      <c r="W80" s="15">
        <v>-7.6250698426651598E-4</v>
      </c>
      <c r="X80" s="34">
        <v>1.1034105815478701</v>
      </c>
      <c r="Y80" s="34">
        <v>1.1028747626327899</v>
      </c>
      <c r="Z80" s="34">
        <v>1.10327691925976</v>
      </c>
      <c r="AA80" s="34">
        <v>1.10270681361609</v>
      </c>
      <c r="AB80" s="33">
        <v>50.445491642824003</v>
      </c>
      <c r="AC80" s="33">
        <v>50.462329269397898</v>
      </c>
      <c r="AD80" s="33">
        <v>50.431530940831003</v>
      </c>
      <c r="AE80" s="15">
        <v>-4.8572042327258298E-4</v>
      </c>
      <c r="AF80" s="15">
        <v>-1.5199749519978999E-4</v>
      </c>
      <c r="AG80" s="15">
        <v>-7.6250698426651598E-4</v>
      </c>
      <c r="AI80" s="12"/>
      <c r="AJ80">
        <f t="shared" si="6"/>
        <v>0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-2.18603126895156E-4</v>
      </c>
      <c r="AP80" s="28">
        <f t="shared" si="9"/>
        <v>0</v>
      </c>
      <c r="AQ80" s="28">
        <f t="shared" si="16"/>
        <v>-2.18603126895156E-4</v>
      </c>
      <c r="AR80" s="29">
        <f t="shared" si="17"/>
        <v>3.6411016224571534E-3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1.3251978371802715E-3</v>
      </c>
      <c r="BE80" s="29">
        <f t="shared" si="22"/>
        <v>-2.18603126895156E-4</v>
      </c>
      <c r="BF80" s="29">
        <f t="shared" si="23"/>
        <v>4.9662994596374249E-3</v>
      </c>
      <c r="BH80" s="29"/>
    </row>
    <row r="81" spans="1:60" x14ac:dyDescent="0.25">
      <c r="A81" s="1">
        <v>46140</v>
      </c>
      <c r="B81" s="33">
        <v>45.66</v>
      </c>
      <c r="C81" s="33">
        <v>50.39</v>
      </c>
      <c r="D81" s="15">
        <v>-1.7505474929856899E-3</v>
      </c>
      <c r="E81" s="15">
        <v>-1.5863576596642701E-3</v>
      </c>
      <c r="F81" s="33">
        <v>0</v>
      </c>
      <c r="G81" s="33">
        <v>0.40132000000000001</v>
      </c>
      <c r="H81" s="33">
        <v>0</v>
      </c>
      <c r="I81" s="33">
        <v>0.42999999999999899</v>
      </c>
      <c r="J81" s="33">
        <v>0</v>
      </c>
      <c r="K81" s="33">
        <v>0</v>
      </c>
      <c r="L81" s="33">
        <v>45.66</v>
      </c>
      <c r="M81" s="33">
        <v>50.39</v>
      </c>
      <c r="N81" s="34">
        <v>1.1035917652211999</v>
      </c>
      <c r="O81" s="34">
        <v>1.1028747626327899</v>
      </c>
      <c r="P81" s="34">
        <v>1.10326556300398</v>
      </c>
      <c r="Q81" s="34">
        <v>1.1028189090689999</v>
      </c>
      <c r="R81" s="33">
        <v>50.357261661813403</v>
      </c>
      <c r="S81" s="33">
        <v>50.375624133400997</v>
      </c>
      <c r="T81" s="33">
        <v>50.349593109710703</v>
      </c>
      <c r="U81" s="15">
        <v>-6.4991025659395698E-4</v>
      </c>
      <c r="V81" s="15">
        <v>-2.8533275747824502E-4</v>
      </c>
      <c r="W81" s="15">
        <v>-8.0220479771404602E-4</v>
      </c>
      <c r="X81" s="34">
        <v>1.1035917652211999</v>
      </c>
      <c r="Y81" s="34">
        <v>1.1028747626327899</v>
      </c>
      <c r="Z81" s="34">
        <v>1.10326556300398</v>
      </c>
      <c r="AA81" s="34">
        <v>1.1028189090689999</v>
      </c>
      <c r="AB81" s="33">
        <v>50.357261661813403</v>
      </c>
      <c r="AC81" s="33">
        <v>50.375624133400997</v>
      </c>
      <c r="AD81" s="33">
        <v>50.349593109710703</v>
      </c>
      <c r="AE81" s="15">
        <v>-6.4991025659395698E-4</v>
      </c>
      <c r="AF81" s="15">
        <v>-2.8533275747824502E-4</v>
      </c>
      <c r="AG81" s="15">
        <v>-8.0220479771404602E-4</v>
      </c>
      <c r="AI81" s="12"/>
      <c r="AJ81">
        <f t="shared" si="6"/>
        <v>0</v>
      </c>
      <c r="AK81">
        <f t="shared" si="7"/>
        <v>0</v>
      </c>
      <c r="AL81">
        <f t="shared" si="14"/>
        <v>1</v>
      </c>
      <c r="AM81">
        <f t="shared" si="4"/>
        <v>1</v>
      </c>
      <c r="AN81">
        <f t="shared" si="15"/>
        <v>1</v>
      </c>
      <c r="AO81" s="28">
        <f t="shared" si="8"/>
        <v>-1.7505474929856899E-3</v>
      </c>
      <c r="AP81" s="28">
        <f t="shared" si="9"/>
        <v>1.5863576596642701E-3</v>
      </c>
      <c r="AQ81" s="28">
        <f t="shared" si="16"/>
        <v>-1.6418983332141981E-4</v>
      </c>
      <c r="AR81" s="29">
        <f t="shared" si="17"/>
        <v>3.4769117891357334E-3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1.3251978371802715E-3</v>
      </c>
      <c r="BE81" s="29">
        <f t="shared" si="22"/>
        <v>-1.6418983332141981E-4</v>
      </c>
      <c r="BF81" s="29">
        <f t="shared" si="23"/>
        <v>4.8021096263160049E-3</v>
      </c>
      <c r="BH81" s="29"/>
    </row>
    <row r="82" spans="1:60" x14ac:dyDescent="0.25">
      <c r="A82" s="1">
        <v>46141</v>
      </c>
      <c r="B82" s="33">
        <v>45.52</v>
      </c>
      <c r="C82" s="33">
        <v>50.29</v>
      </c>
      <c r="D82" s="15">
        <v>-3.0708512835738401E-3</v>
      </c>
      <c r="E82" s="15">
        <v>-1.9864925086333501E-3</v>
      </c>
      <c r="F82" s="33">
        <v>0</v>
      </c>
      <c r="G82" s="33">
        <v>0.40132000000000001</v>
      </c>
      <c r="H82" s="33">
        <v>0</v>
      </c>
      <c r="I82" s="33">
        <v>0.42999999999999899</v>
      </c>
      <c r="J82" s="33">
        <v>0</v>
      </c>
      <c r="K82" s="33">
        <v>0</v>
      </c>
      <c r="L82" s="33">
        <v>45.52</v>
      </c>
      <c r="M82" s="33">
        <v>50.29</v>
      </c>
      <c r="N82" s="34">
        <v>1.1047891036906801</v>
      </c>
      <c r="O82" s="34">
        <v>1.1028747626327899</v>
      </c>
      <c r="P82" s="34">
        <v>1.1034526146940999</v>
      </c>
      <c r="Q82" s="34">
        <v>1.10304071978949</v>
      </c>
      <c r="R82" s="33">
        <v>50.202859195044802</v>
      </c>
      <c r="S82" s="33">
        <v>50.220648427941498</v>
      </c>
      <c r="T82" s="33">
        <v>50.200316740821201</v>
      </c>
      <c r="U82" s="15">
        <v>-1.73426903153449E-3</v>
      </c>
      <c r="V82" s="15">
        <v>-1.3799847906459199E-3</v>
      </c>
      <c r="W82" s="15">
        <v>-1.78491392798234E-3</v>
      </c>
      <c r="X82" s="34">
        <v>1.1047891036906801</v>
      </c>
      <c r="Y82" s="34">
        <v>1.1028747626327899</v>
      </c>
      <c r="Z82" s="34">
        <v>1.1034526146940999</v>
      </c>
      <c r="AA82" s="34">
        <v>1.10304071978949</v>
      </c>
      <c r="AB82" s="33">
        <v>50.202859195044802</v>
      </c>
      <c r="AC82" s="33">
        <v>50.220648427941498</v>
      </c>
      <c r="AD82" s="33">
        <v>50.200316740821201</v>
      </c>
      <c r="AE82" s="15">
        <v>-1.73426903153449E-3</v>
      </c>
      <c r="AF82" s="15">
        <v>-1.3799847906459199E-3</v>
      </c>
      <c r="AG82" s="15">
        <v>-1.78491392798234E-3</v>
      </c>
      <c r="AI82" s="12"/>
      <c r="AJ82">
        <f t="shared" si="6"/>
        <v>1</v>
      </c>
      <c r="AK82">
        <f t="shared" si="7"/>
        <v>0</v>
      </c>
      <c r="AL82">
        <f t="shared" si="14"/>
        <v>1</v>
      </c>
      <c r="AM82">
        <f t="shared" si="4"/>
        <v>1</v>
      </c>
      <c r="AN82">
        <f t="shared" si="15"/>
        <v>1</v>
      </c>
      <c r="AO82" s="28">
        <f t="shared" si="8"/>
        <v>-3.0708512835738401E-3</v>
      </c>
      <c r="AP82" s="28">
        <f t="shared" si="9"/>
        <v>1.9864925086333501E-3</v>
      </c>
      <c r="AQ82" s="28">
        <f t="shared" si="16"/>
        <v>-1.0843587749404899E-3</v>
      </c>
      <c r="AR82" s="29">
        <f t="shared" si="17"/>
        <v>2.3925530141952435E-3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1.3251978371802715E-3</v>
      </c>
      <c r="BE82" s="29">
        <f t="shared" si="22"/>
        <v>-1.0843587749404899E-3</v>
      </c>
      <c r="BF82" s="29">
        <f t="shared" si="23"/>
        <v>3.7177508513755149E-3</v>
      </c>
      <c r="BH82" s="29"/>
    </row>
    <row r="83" spans="1:60" x14ac:dyDescent="0.25">
      <c r="A83" s="1">
        <v>46142</v>
      </c>
      <c r="B83" s="33">
        <v>45.58</v>
      </c>
      <c r="C83" s="33">
        <v>50.31</v>
      </c>
      <c r="D83" s="15">
        <v>1.3172339994625599E-3</v>
      </c>
      <c r="E83" s="15">
        <v>3.9761431935387198E-4</v>
      </c>
      <c r="F83" s="33">
        <v>0</v>
      </c>
      <c r="G83" s="33">
        <v>0.40132000000000001</v>
      </c>
      <c r="H83" s="33">
        <v>0</v>
      </c>
      <c r="I83" s="33">
        <v>0.42999999999999899</v>
      </c>
      <c r="J83" s="33">
        <v>0</v>
      </c>
      <c r="K83" s="33">
        <v>0</v>
      </c>
      <c r="L83" s="33">
        <v>45.58</v>
      </c>
      <c r="M83" s="33">
        <v>50.31</v>
      </c>
      <c r="N83" s="34">
        <v>1.10377358490566</v>
      </c>
      <c r="O83" s="34">
        <v>1.1028747626327899</v>
      </c>
      <c r="P83" s="34">
        <v>1.10354488546537</v>
      </c>
      <c r="Q83" s="34">
        <v>1.10314109881402</v>
      </c>
      <c r="R83" s="33">
        <v>50.269031680802797</v>
      </c>
      <c r="S83" s="33">
        <v>50.2953701777571</v>
      </c>
      <c r="T83" s="33">
        <v>50.2765960080051</v>
      </c>
      <c r="U83" s="15">
        <v>-8.1464935142568703E-4</v>
      </c>
      <c r="V83" s="15">
        <v>-2.9083581363696198E-4</v>
      </c>
      <c r="W83" s="15">
        <v>-6.6418378886629796E-4</v>
      </c>
      <c r="X83" s="34">
        <v>1.10377358490566</v>
      </c>
      <c r="Y83" s="34">
        <v>1.1028747626327899</v>
      </c>
      <c r="Z83" s="34">
        <v>1.10354488546537</v>
      </c>
      <c r="AA83" s="34">
        <v>1.10314109881402</v>
      </c>
      <c r="AB83" s="33">
        <v>50.269031680802797</v>
      </c>
      <c r="AC83" s="33">
        <v>50.2953701777571</v>
      </c>
      <c r="AD83" s="33">
        <v>50.2765960080051</v>
      </c>
      <c r="AE83" s="15">
        <v>-8.1464935142568703E-4</v>
      </c>
      <c r="AF83" s="15">
        <v>-2.9083581363696198E-4</v>
      </c>
      <c r="AG83" s="15">
        <v>-6.6418378886629796E-4</v>
      </c>
      <c r="AI83" s="12"/>
      <c r="AJ83">
        <f t="shared" si="6"/>
        <v>0</v>
      </c>
      <c r="AK83">
        <f t="shared" si="7"/>
        <v>0</v>
      </c>
      <c r="AL83">
        <f t="shared" si="14"/>
        <v>1</v>
      </c>
      <c r="AM83">
        <f t="shared" si="4"/>
        <v>0</v>
      </c>
      <c r="AN83">
        <f t="shared" si="15"/>
        <v>1</v>
      </c>
      <c r="AO83" s="28">
        <f t="shared" si="8"/>
        <v>1.3172339994625599E-3</v>
      </c>
      <c r="AP83" s="28">
        <f t="shared" si="9"/>
        <v>-3.9761431935387198E-4</v>
      </c>
      <c r="AQ83" s="28">
        <f t="shared" si="16"/>
        <v>9.1961968010868789E-4</v>
      </c>
      <c r="AR83" s="29">
        <f t="shared" si="17"/>
        <v>3.3121726943039316E-3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1.3251978371802715E-3</v>
      </c>
      <c r="BE83" s="29">
        <f t="shared" si="22"/>
        <v>9.1961968010868789E-4</v>
      </c>
      <c r="BF83" s="29">
        <f t="shared" si="23"/>
        <v>4.637370531484203E-3</v>
      </c>
      <c r="BH83" s="29"/>
    </row>
    <row r="84" spans="1:60" x14ac:dyDescent="0.25">
      <c r="A84" s="1">
        <v>46143</v>
      </c>
      <c r="B84" s="33">
        <v>45.43</v>
      </c>
      <c r="C84" s="33">
        <v>50.17</v>
      </c>
      <c r="D84" s="15">
        <v>-3.2963440462262399E-3</v>
      </c>
      <c r="E84" s="15">
        <v>-2.78662600706552E-3</v>
      </c>
      <c r="F84" s="33">
        <v>0.13463</v>
      </c>
      <c r="G84" s="33">
        <v>0.53595000000000004</v>
      </c>
      <c r="H84" s="33">
        <v>0.14230000000000001</v>
      </c>
      <c r="I84" s="33">
        <v>0.57229999999999903</v>
      </c>
      <c r="J84" s="33">
        <v>0</v>
      </c>
      <c r="K84" s="33">
        <v>0</v>
      </c>
      <c r="L84" s="33">
        <v>45.43</v>
      </c>
      <c r="M84" s="33">
        <v>50.17</v>
      </c>
      <c r="N84" s="34">
        <v>1.10433634162447</v>
      </c>
      <c r="O84" s="34">
        <v>1.1028747626327899</v>
      </c>
      <c r="P84" s="34">
        <v>1.1037293937536901</v>
      </c>
      <c r="Q84" s="34">
        <v>1.10324327744727</v>
      </c>
      <c r="R84" s="33">
        <v>50.103600466407897</v>
      </c>
      <c r="S84" s="33">
        <v>50.1340441466917</v>
      </c>
      <c r="T84" s="33">
        <v>50.115700119121101</v>
      </c>
      <c r="U84" s="15">
        <v>-1.3243673905864099E-3</v>
      </c>
      <c r="V84" s="15">
        <v>-7.1693729109796502E-4</v>
      </c>
      <c r="W84" s="15">
        <v>-1.0829038660681699E-3</v>
      </c>
      <c r="X84" s="34">
        <v>1.10433634162447</v>
      </c>
      <c r="Y84" s="34">
        <v>1.1028747626327899</v>
      </c>
      <c r="Z84" s="34">
        <v>1.1037293937536901</v>
      </c>
      <c r="AA84" s="34">
        <v>1.10324327744727</v>
      </c>
      <c r="AB84" s="33">
        <v>50.103600466407897</v>
      </c>
      <c r="AC84" s="33">
        <v>50.1340441466917</v>
      </c>
      <c r="AD84" s="33">
        <v>50.115700119121101</v>
      </c>
      <c r="AE84" s="15">
        <v>-1.3243673905864099E-3</v>
      </c>
      <c r="AF84" s="15">
        <v>-7.1693729109796502E-4</v>
      </c>
      <c r="AG84" s="15">
        <v>-1.0829038660681699E-3</v>
      </c>
      <c r="AI84" s="12"/>
      <c r="AJ84">
        <f t="shared" si="6"/>
        <v>1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3.3121726943039316E-3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1.3251978371802715E-3</v>
      </c>
      <c r="BE84" s="29">
        <f t="shared" si="22"/>
        <v>0</v>
      </c>
      <c r="BF84" s="29">
        <f t="shared" si="23"/>
        <v>4.637370531484203E-3</v>
      </c>
      <c r="BH84" s="29"/>
    </row>
    <row r="85" spans="1:60" x14ac:dyDescent="0.25">
      <c r="A85" s="1">
        <v>46146</v>
      </c>
      <c r="B85" s="33">
        <v>45.43</v>
      </c>
      <c r="C85" s="33">
        <v>50.12</v>
      </c>
      <c r="D85" s="15">
        <v>0</v>
      </c>
      <c r="E85" s="15">
        <v>-9.9710846829417798E-4</v>
      </c>
      <c r="F85" s="33">
        <v>0</v>
      </c>
      <c r="G85" s="33">
        <v>0.53595000000000004</v>
      </c>
      <c r="H85" s="33">
        <v>0</v>
      </c>
      <c r="I85" s="33">
        <v>0.57229999999999903</v>
      </c>
      <c r="J85" s="33">
        <v>0</v>
      </c>
      <c r="K85" s="33">
        <v>0</v>
      </c>
      <c r="L85" s="33">
        <v>45.43</v>
      </c>
      <c r="M85" s="33">
        <v>50.12</v>
      </c>
      <c r="N85" s="34">
        <v>1.1032357473035399</v>
      </c>
      <c r="O85" s="34">
        <v>1.1028747626327899</v>
      </c>
      <c r="P85" s="34">
        <v>1.1037119103292501</v>
      </c>
      <c r="Q85" s="34">
        <v>1.10329807165119</v>
      </c>
      <c r="R85" s="33">
        <v>50.103600466407897</v>
      </c>
      <c r="S85" s="33">
        <v>50.142426358230203</v>
      </c>
      <c r="T85" s="33">
        <v>50.120342094429802</v>
      </c>
      <c r="U85" s="15">
        <v>-3.2725892229226299E-4</v>
      </c>
      <c r="V85" s="15">
        <v>4.4735319937497898E-4</v>
      </c>
      <c r="W85" s="15">
        <v>6.8254840854017798E-6</v>
      </c>
      <c r="X85" s="34">
        <v>1.1032357473035399</v>
      </c>
      <c r="Y85" s="34">
        <v>1.1028747626327899</v>
      </c>
      <c r="Z85" s="34">
        <v>1.1037119103292501</v>
      </c>
      <c r="AA85" s="34">
        <v>1.10329807165119</v>
      </c>
      <c r="AB85" s="33">
        <v>50.103600466407897</v>
      </c>
      <c r="AC85" s="33">
        <v>50.142426358230203</v>
      </c>
      <c r="AD85" s="33">
        <v>50.120342094429802</v>
      </c>
      <c r="AE85" s="15">
        <v>-3.2725892229226299E-4</v>
      </c>
      <c r="AF85" s="15">
        <v>4.4735319937497898E-4</v>
      </c>
      <c r="AG85" s="15">
        <v>6.8254840854017798E-6</v>
      </c>
      <c r="AI85" s="12"/>
      <c r="AJ85">
        <f t="shared" si="6"/>
        <v>0</v>
      </c>
      <c r="AK85">
        <f t="shared" si="7"/>
        <v>1</v>
      </c>
      <c r="AL85">
        <f t="shared" si="14"/>
        <v>1</v>
      </c>
      <c r="AM85">
        <f t="shared" ref="AM85:AM148" si="24">IF(F86+H86&gt;0,0,1)</f>
        <v>1</v>
      </c>
      <c r="AN85">
        <f t="shared" si="15"/>
        <v>1</v>
      </c>
      <c r="AO85" s="28">
        <f t="shared" si="8"/>
        <v>0</v>
      </c>
      <c r="AP85" s="28">
        <f t="shared" si="9"/>
        <v>9.9710846829417798E-4</v>
      </c>
      <c r="AQ85" s="28">
        <f t="shared" si="16"/>
        <v>9.9710846829417798E-4</v>
      </c>
      <c r="AR85" s="29">
        <f t="shared" si="17"/>
        <v>4.3092811625981093E-3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1.3251978371802715E-3</v>
      </c>
      <c r="BE85" s="29">
        <f t="shared" si="22"/>
        <v>9.9710846829417798E-4</v>
      </c>
      <c r="BF85" s="29">
        <f t="shared" si="23"/>
        <v>5.6344789997783808E-3</v>
      </c>
      <c r="BH85" s="29"/>
    </row>
    <row r="86" spans="1:60" x14ac:dyDescent="0.25">
      <c r="A86" s="1">
        <v>46147</v>
      </c>
      <c r="B86" s="33">
        <v>45.41</v>
      </c>
      <c r="C86" s="33">
        <v>50.14</v>
      </c>
      <c r="D86" s="15">
        <v>-4.40334661452278E-4</v>
      </c>
      <c r="E86" s="15">
        <v>3.9896270227978402E-4</v>
      </c>
      <c r="F86" s="33">
        <v>0</v>
      </c>
      <c r="G86" s="33">
        <v>0.53595000000000004</v>
      </c>
      <c r="H86" s="33">
        <v>0</v>
      </c>
      <c r="I86" s="33">
        <v>0.57229999999999903</v>
      </c>
      <c r="J86" s="33">
        <v>0</v>
      </c>
      <c r="K86" s="33">
        <v>0</v>
      </c>
      <c r="L86" s="33">
        <v>45.41</v>
      </c>
      <c r="M86" s="33">
        <v>50.14</v>
      </c>
      <c r="N86" s="34">
        <v>1.1041620788372599</v>
      </c>
      <c r="O86" s="34">
        <v>1.1028747626327899</v>
      </c>
      <c r="P86" s="34">
        <v>1.1037908426983101</v>
      </c>
      <c r="Q86" s="34">
        <v>1.10339266446235</v>
      </c>
      <c r="R86" s="33">
        <v>50.081542971155201</v>
      </c>
      <c r="S86" s="33">
        <v>50.119557848051599</v>
      </c>
      <c r="T86" s="33">
        <v>50.1007654336806</v>
      </c>
      <c r="U86" s="15">
        <v>-1.16655628602429E-3</v>
      </c>
      <c r="V86" s="15">
        <v>-4.0778460768080001E-4</v>
      </c>
      <c r="W86" s="15">
        <v>-7.8280663865855197E-4</v>
      </c>
      <c r="X86" s="34">
        <v>1.1041620788372599</v>
      </c>
      <c r="Y86" s="34">
        <v>1.1028747626327899</v>
      </c>
      <c r="Z86" s="34">
        <v>1.1037908426983101</v>
      </c>
      <c r="AA86" s="34">
        <v>1.10339266446235</v>
      </c>
      <c r="AB86" s="33">
        <v>50.081542971155201</v>
      </c>
      <c r="AC86" s="33">
        <v>50.119557848051599</v>
      </c>
      <c r="AD86" s="33">
        <v>50.1007654336806</v>
      </c>
      <c r="AE86" s="15">
        <v>-1.16655628602429E-3</v>
      </c>
      <c r="AF86" s="15">
        <v>-4.0778460768080001E-4</v>
      </c>
      <c r="AG86" s="15">
        <v>-7.8280663865855197E-4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4.3092811625981093E-3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1.3251978371802715E-3</v>
      </c>
      <c r="BE86" s="29">
        <f t="shared" si="22"/>
        <v>0</v>
      </c>
      <c r="BF86" s="29">
        <f t="shared" si="23"/>
        <v>5.6344789997783808E-3</v>
      </c>
      <c r="BH86" s="29"/>
    </row>
    <row r="87" spans="1:60" x14ac:dyDescent="0.25">
      <c r="A87" s="1">
        <v>46148</v>
      </c>
      <c r="B87" s="33">
        <v>45.52</v>
      </c>
      <c r="C87" s="33">
        <v>50.23</v>
      </c>
      <c r="D87" s="15">
        <v>2.41944470821597E-3</v>
      </c>
      <c r="E87" s="15">
        <v>1.79336503180593E-3</v>
      </c>
      <c r="F87" s="33">
        <v>0</v>
      </c>
      <c r="G87" s="33">
        <v>0.53595000000000004</v>
      </c>
      <c r="H87" s="33">
        <v>0</v>
      </c>
      <c r="I87" s="33">
        <v>0.57229999999999903</v>
      </c>
      <c r="J87" s="33">
        <v>0</v>
      </c>
      <c r="K87" s="33">
        <v>0</v>
      </c>
      <c r="L87" s="33">
        <v>45.52</v>
      </c>
      <c r="M87" s="33">
        <v>50.23</v>
      </c>
      <c r="N87" s="34">
        <v>1.10347100175746</v>
      </c>
      <c r="O87" s="34">
        <v>1.1028747626327899</v>
      </c>
      <c r="P87" s="34">
        <v>1.1037878334648601</v>
      </c>
      <c r="Q87" s="34">
        <v>1.10345407734706</v>
      </c>
      <c r="R87" s="33">
        <v>50.202859195044802</v>
      </c>
      <c r="S87" s="33">
        <v>50.244559159627102</v>
      </c>
      <c r="T87" s="33">
        <v>50.2264340863263</v>
      </c>
      <c r="U87" s="15">
        <v>-5.4047660961437896E-4</v>
      </c>
      <c r="V87" s="15">
        <v>2.8980788471804101E-4</v>
      </c>
      <c r="W87" s="15">
        <v>-7.0994231630791999E-5</v>
      </c>
      <c r="X87" s="34">
        <v>1.10347100175746</v>
      </c>
      <c r="Y87" s="34">
        <v>1.1028747626327899</v>
      </c>
      <c r="Z87" s="34">
        <v>1.1037878334648601</v>
      </c>
      <c r="AA87" s="34">
        <v>1.10345407734706</v>
      </c>
      <c r="AB87" s="33">
        <v>50.202859195044802</v>
      </c>
      <c r="AC87" s="33">
        <v>50.244559159627102</v>
      </c>
      <c r="AD87" s="33">
        <v>50.2264340863263</v>
      </c>
      <c r="AE87" s="15">
        <v>-5.4047660961437896E-4</v>
      </c>
      <c r="AF87" s="15">
        <v>2.8980788471804101E-4</v>
      </c>
      <c r="AG87" s="15">
        <v>-7.0994231630791999E-5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4.3092811625981093E-3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1.3251978371802715E-3</v>
      </c>
      <c r="BE87" s="29">
        <f t="shared" ref="BE87:BE150" si="42">AQ87+BB87</f>
        <v>0</v>
      </c>
      <c r="BF87" s="29">
        <f t="shared" ref="BF87:BF150" si="43">BF86+BE87</f>
        <v>5.6344789997783808E-3</v>
      </c>
      <c r="BH87" s="29"/>
    </row>
    <row r="88" spans="1:60" x14ac:dyDescent="0.25">
      <c r="A88" s="1">
        <v>46149</v>
      </c>
      <c r="B88" s="33">
        <v>45.48</v>
      </c>
      <c r="C88" s="33">
        <v>50.2</v>
      </c>
      <c r="D88" s="15">
        <v>-8.7912093574035103E-4</v>
      </c>
      <c r="E88" s="15">
        <v>-5.9743106426971297E-4</v>
      </c>
      <c r="F88" s="33">
        <v>0</v>
      </c>
      <c r="G88" s="33">
        <v>0.53595000000000004</v>
      </c>
      <c r="H88" s="33">
        <v>0</v>
      </c>
      <c r="I88" s="33">
        <v>0.57229999999999903</v>
      </c>
      <c r="J88" s="33">
        <v>0</v>
      </c>
      <c r="K88" s="33">
        <v>0</v>
      </c>
      <c r="L88" s="33">
        <v>45.48</v>
      </c>
      <c r="M88" s="33">
        <v>50.2</v>
      </c>
      <c r="N88" s="34">
        <v>1.1037818821459899</v>
      </c>
      <c r="O88" s="34">
        <v>1.1028747626327899</v>
      </c>
      <c r="P88" s="34">
        <v>1.1037721485941201</v>
      </c>
      <c r="Q88" s="34">
        <v>1.10347302875403</v>
      </c>
      <c r="R88" s="33">
        <v>50.158744204539502</v>
      </c>
      <c r="S88" s="33">
        <v>50.200270665982103</v>
      </c>
      <c r="T88" s="33">
        <v>50.185091437744298</v>
      </c>
      <c r="U88" s="15">
        <v>-8.2216648108497995E-4</v>
      </c>
      <c r="V88" s="15">
        <v>5.3917380971426404E-6</v>
      </c>
      <c r="W88" s="15">
        <v>-2.9702742014337701E-4</v>
      </c>
      <c r="X88" s="34">
        <v>1.1037818821459899</v>
      </c>
      <c r="Y88" s="34">
        <v>1.1028747626327899</v>
      </c>
      <c r="Z88" s="34">
        <v>1.1037721485941201</v>
      </c>
      <c r="AA88" s="34">
        <v>1.10347302875403</v>
      </c>
      <c r="AB88" s="33">
        <v>50.158744204539502</v>
      </c>
      <c r="AC88" s="33">
        <v>50.200270665982103</v>
      </c>
      <c r="AD88" s="33">
        <v>50.185091437744298</v>
      </c>
      <c r="AE88" s="15">
        <v>-8.2216648108497995E-4</v>
      </c>
      <c r="AF88" s="15">
        <v>5.3917380971426404E-6</v>
      </c>
      <c r="AG88" s="15">
        <v>-2.9702742014337701E-4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4.3092811625981093E-3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1.3251978371802715E-3</v>
      </c>
      <c r="BE88" s="29">
        <f t="shared" si="42"/>
        <v>0</v>
      </c>
      <c r="BF88" s="29">
        <f t="shared" si="43"/>
        <v>5.6344789997783808E-3</v>
      </c>
      <c r="BH88" s="29"/>
    </row>
    <row r="89" spans="1:60" x14ac:dyDescent="0.25">
      <c r="A89" s="1">
        <v>46150</v>
      </c>
      <c r="B89" s="33">
        <v>45.51</v>
      </c>
      <c r="C89" s="33">
        <v>50.25</v>
      </c>
      <c r="D89" s="15">
        <v>6.5941314621537398E-4</v>
      </c>
      <c r="E89" s="15">
        <v>9.9552024150161901E-4</v>
      </c>
      <c r="F89" s="33">
        <v>0</v>
      </c>
      <c r="G89" s="33">
        <v>0.53595000000000004</v>
      </c>
      <c r="H89" s="33">
        <v>0</v>
      </c>
      <c r="I89" s="33">
        <v>0.57229999999999903</v>
      </c>
      <c r="J89" s="33">
        <v>0</v>
      </c>
      <c r="K89" s="33">
        <v>0</v>
      </c>
      <c r="L89" s="33">
        <v>45.51</v>
      </c>
      <c r="M89" s="33">
        <v>50.25</v>
      </c>
      <c r="N89" s="34">
        <v>1.1041529334212199</v>
      </c>
      <c r="O89" s="34">
        <v>1.1028747626327899</v>
      </c>
      <c r="P89" s="34">
        <v>1.1038705020455399</v>
      </c>
      <c r="Q89" s="34">
        <v>1.1035566903471901</v>
      </c>
      <c r="R89" s="33">
        <v>50.191830447418504</v>
      </c>
      <c r="S89" s="33">
        <v>50.232670482518699</v>
      </c>
      <c r="T89" s="33">
        <v>50.219057538595898</v>
      </c>
      <c r="U89" s="15">
        <v>-1.15827357637127E-3</v>
      </c>
      <c r="V89" s="15">
        <v>-3.4492549948839601E-4</v>
      </c>
      <c r="W89" s="15">
        <v>-6.1596004064179302E-4</v>
      </c>
      <c r="X89" s="34">
        <v>1.1041529334212199</v>
      </c>
      <c r="Y89" s="34">
        <v>1.1028747626327899</v>
      </c>
      <c r="Z89" s="34">
        <v>1.1038705020455399</v>
      </c>
      <c r="AA89" s="34">
        <v>1.1035566903471901</v>
      </c>
      <c r="AB89" s="33">
        <v>50.191830447418504</v>
      </c>
      <c r="AC89" s="33">
        <v>50.232670482518699</v>
      </c>
      <c r="AD89" s="33">
        <v>50.219057538595898</v>
      </c>
      <c r="AE89" s="15">
        <v>-1.15827357637127E-3</v>
      </c>
      <c r="AF89" s="15">
        <v>-3.4492549948839601E-4</v>
      </c>
      <c r="AG89" s="15">
        <v>-6.1596004064179302E-4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4.3092811625981093E-3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1.3251978371802715E-3</v>
      </c>
      <c r="BE89" s="29">
        <f t="shared" si="42"/>
        <v>0</v>
      </c>
      <c r="BF89" s="29">
        <f t="shared" si="43"/>
        <v>5.6344789997783808E-3</v>
      </c>
      <c r="BH89" s="29"/>
    </row>
    <row r="90" spans="1:60" x14ac:dyDescent="0.25">
      <c r="A90" s="1">
        <v>46153</v>
      </c>
      <c r="B90" s="33">
        <v>45.5</v>
      </c>
      <c r="C90" s="33">
        <v>50.22</v>
      </c>
      <c r="D90" s="15">
        <v>-2.19756071645778E-4</v>
      </c>
      <c r="E90" s="15">
        <v>-5.9719320974616302E-4</v>
      </c>
      <c r="F90" s="33">
        <v>0</v>
      </c>
      <c r="G90" s="33">
        <v>0.53595000000000004</v>
      </c>
      <c r="H90" s="33">
        <v>0</v>
      </c>
      <c r="I90" s="33">
        <v>0.57229999999999903</v>
      </c>
      <c r="J90" s="33">
        <v>0</v>
      </c>
      <c r="K90" s="33">
        <v>0</v>
      </c>
      <c r="L90" s="33">
        <v>45.5</v>
      </c>
      <c r="M90" s="33">
        <v>50.22</v>
      </c>
      <c r="N90" s="34">
        <v>1.10373626373626</v>
      </c>
      <c r="O90" s="34">
        <v>1.1028747626327899</v>
      </c>
      <c r="P90" s="34">
        <v>1.10390307026437</v>
      </c>
      <c r="Q90" s="34">
        <v>1.10358999476207</v>
      </c>
      <c r="R90" s="33">
        <v>50.180801699792198</v>
      </c>
      <c r="S90" s="33">
        <v>50.226107843072</v>
      </c>
      <c r="T90" s="33">
        <v>50.211829410797101</v>
      </c>
      <c r="U90" s="15">
        <v>-7.8083643827093195E-4</v>
      </c>
      <c r="V90" s="15">
        <v>1.2161433052546901E-4</v>
      </c>
      <c r="W90" s="15">
        <v>-1.62709158417233E-4</v>
      </c>
      <c r="X90" s="34">
        <v>1.10373626373626</v>
      </c>
      <c r="Y90" s="34">
        <v>1.1028747626327899</v>
      </c>
      <c r="Z90" s="34">
        <v>1.10390307026437</v>
      </c>
      <c r="AA90" s="34">
        <v>1.10358999476207</v>
      </c>
      <c r="AB90" s="33">
        <v>50.180801699792198</v>
      </c>
      <c r="AC90" s="33">
        <v>50.226107843072</v>
      </c>
      <c r="AD90" s="33">
        <v>50.211829410797101</v>
      </c>
      <c r="AE90" s="15">
        <v>-7.8083643827093195E-4</v>
      </c>
      <c r="AF90" s="15">
        <v>1.2161433052546901E-4</v>
      </c>
      <c r="AG90" s="15">
        <v>-1.62709158417233E-4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4.3092811625981093E-3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1.3251978371802715E-3</v>
      </c>
      <c r="BE90" s="29">
        <f t="shared" si="42"/>
        <v>0</v>
      </c>
      <c r="BF90" s="29">
        <f t="shared" si="43"/>
        <v>5.6344789997783808E-3</v>
      </c>
      <c r="BH90" s="29"/>
    </row>
    <row r="91" spans="1:60" x14ac:dyDescent="0.25">
      <c r="A91" s="1">
        <v>46154</v>
      </c>
      <c r="B91" s="33">
        <v>45.43</v>
      </c>
      <c r="C91" s="33">
        <v>50.12</v>
      </c>
      <c r="D91" s="15">
        <v>-1.5396461855928601E-3</v>
      </c>
      <c r="E91" s="15">
        <v>-1.9932237015714799E-3</v>
      </c>
      <c r="F91" s="33">
        <v>0</v>
      </c>
      <c r="G91" s="33">
        <v>0.53595000000000004</v>
      </c>
      <c r="H91" s="33">
        <v>0</v>
      </c>
      <c r="I91" s="33">
        <v>0.57229999999999903</v>
      </c>
      <c r="J91" s="33">
        <v>0</v>
      </c>
      <c r="K91" s="33">
        <v>0</v>
      </c>
      <c r="L91" s="33">
        <v>45.43</v>
      </c>
      <c r="M91" s="33">
        <v>50.12</v>
      </c>
      <c r="N91" s="34">
        <v>1.1032357473035399</v>
      </c>
      <c r="O91" s="34">
        <v>1.1028747626327899</v>
      </c>
      <c r="P91" s="34">
        <v>1.10386746847261</v>
      </c>
      <c r="Q91" s="34">
        <v>1.1035665157382999</v>
      </c>
      <c r="R91" s="33">
        <v>50.103600466407897</v>
      </c>
      <c r="S91" s="33">
        <v>50.150316482110703</v>
      </c>
      <c r="T91" s="33">
        <v>50.136093462041003</v>
      </c>
      <c r="U91" s="15">
        <v>-3.2725892229226299E-4</v>
      </c>
      <c r="V91" s="15">
        <v>6.0469507024863897E-4</v>
      </c>
      <c r="W91" s="15">
        <v>3.2104706304627098E-4</v>
      </c>
      <c r="X91" s="34">
        <v>1.1032357473035399</v>
      </c>
      <c r="Y91" s="34">
        <v>1.1028747626327899</v>
      </c>
      <c r="Z91" s="34">
        <v>1.10386746847261</v>
      </c>
      <c r="AA91" s="34">
        <v>1.1035665157382999</v>
      </c>
      <c r="AB91" s="33">
        <v>50.103600466407897</v>
      </c>
      <c r="AC91" s="33">
        <v>50.150316482110703</v>
      </c>
      <c r="AD91" s="33">
        <v>50.136093462041003</v>
      </c>
      <c r="AE91" s="15">
        <v>-3.2725892229226299E-4</v>
      </c>
      <c r="AF91" s="15">
        <v>6.0469507024863897E-4</v>
      </c>
      <c r="AG91" s="15">
        <v>3.2104706304627098E-4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4.3092811625981093E-3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1.3251978371802715E-3</v>
      </c>
      <c r="BE91" s="29">
        <f t="shared" si="42"/>
        <v>0</v>
      </c>
      <c r="BF91" s="29">
        <f t="shared" si="43"/>
        <v>5.6344789997783808E-3</v>
      </c>
      <c r="BH91" s="29"/>
    </row>
    <row r="92" spans="1:60" x14ac:dyDescent="0.25">
      <c r="A92" s="1">
        <v>46155</v>
      </c>
      <c r="B92" s="33">
        <v>45.38</v>
      </c>
      <c r="C92" s="33">
        <v>50.1</v>
      </c>
      <c r="D92" s="15">
        <v>-1.10120041961619E-3</v>
      </c>
      <c r="E92" s="15">
        <v>-3.9912193704832902E-4</v>
      </c>
      <c r="F92" s="33">
        <v>0</v>
      </c>
      <c r="G92" s="33">
        <v>0.53595000000000004</v>
      </c>
      <c r="H92" s="33">
        <v>0</v>
      </c>
      <c r="I92" s="33">
        <v>0.57229999999999903</v>
      </c>
      <c r="J92" s="33">
        <v>0</v>
      </c>
      <c r="K92" s="33">
        <v>0</v>
      </c>
      <c r="L92" s="33">
        <v>45.38</v>
      </c>
      <c r="M92" s="33">
        <v>50.1</v>
      </c>
      <c r="N92" s="34">
        <v>1.10401057734684</v>
      </c>
      <c r="O92" s="34">
        <v>1.1028747626327899</v>
      </c>
      <c r="P92" s="34">
        <v>1.1037896158382201</v>
      </c>
      <c r="Q92" s="34">
        <v>1.1036211152661599</v>
      </c>
      <c r="R92" s="33">
        <v>50.0484567282762</v>
      </c>
      <c r="S92" s="33">
        <v>50.093505719287101</v>
      </c>
      <c r="T92" s="33">
        <v>50.079848484204099</v>
      </c>
      <c r="U92" s="15">
        <v>-1.0293374048599899E-3</v>
      </c>
      <c r="V92" s="15">
        <v>-1.29634763756373E-4</v>
      </c>
      <c r="W92" s="15">
        <v>-4.02306778710612E-4</v>
      </c>
      <c r="X92" s="34">
        <v>1.10401057734684</v>
      </c>
      <c r="Y92" s="34">
        <v>1.1028747626327899</v>
      </c>
      <c r="Z92" s="34">
        <v>1.1037896158382201</v>
      </c>
      <c r="AA92" s="34">
        <v>1.1036211152661599</v>
      </c>
      <c r="AB92" s="33">
        <v>50.0484567282762</v>
      </c>
      <c r="AC92" s="33">
        <v>50.093505719287101</v>
      </c>
      <c r="AD92" s="33">
        <v>50.079848484204099</v>
      </c>
      <c r="AE92" s="15">
        <v>-1.0293374048599899E-3</v>
      </c>
      <c r="AF92" s="15">
        <v>-1.29634763756373E-4</v>
      </c>
      <c r="AG92" s="15">
        <v>-4.02306778710612E-4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4.3092811625981093E-3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1.3251978371802715E-3</v>
      </c>
      <c r="BE92" s="29">
        <f t="shared" si="42"/>
        <v>0</v>
      </c>
      <c r="BF92" s="29">
        <f t="shared" si="43"/>
        <v>5.6344789997783808E-3</v>
      </c>
      <c r="BH92" s="29"/>
    </row>
    <row r="93" spans="1:60" x14ac:dyDescent="0.25">
      <c r="A93" s="1">
        <v>46156</v>
      </c>
      <c r="B93" s="33">
        <v>45.38</v>
      </c>
      <c r="C93" s="33">
        <v>50.05</v>
      </c>
      <c r="D93" s="15">
        <v>0</v>
      </c>
      <c r="E93" s="15">
        <v>-9.985023295896601E-4</v>
      </c>
      <c r="F93" s="33">
        <v>0</v>
      </c>
      <c r="G93" s="33">
        <v>0.53595000000000004</v>
      </c>
      <c r="H93" s="33">
        <v>0</v>
      </c>
      <c r="I93" s="33">
        <v>0.57229999999999903</v>
      </c>
      <c r="J93" s="33">
        <v>0</v>
      </c>
      <c r="K93" s="33">
        <v>0</v>
      </c>
      <c r="L93" s="33">
        <v>45.38</v>
      </c>
      <c r="M93" s="33">
        <v>50.05</v>
      </c>
      <c r="N93" s="34">
        <v>1.1029087703834199</v>
      </c>
      <c r="O93" s="34">
        <v>1.1028747626327899</v>
      </c>
      <c r="P93" s="34">
        <v>1.103703134386</v>
      </c>
      <c r="Q93" s="34">
        <v>1.10362400992568</v>
      </c>
      <c r="R93" s="33">
        <v>50.0484567282762</v>
      </c>
      <c r="S93" s="33">
        <v>50.089972766738804</v>
      </c>
      <c r="T93" s="33">
        <v>50.082326210778596</v>
      </c>
      <c r="U93" s="15">
        <v>-3.0835075270454602E-5</v>
      </c>
      <c r="V93" s="15">
        <v>7.98337921560862E-4</v>
      </c>
      <c r="W93" s="15">
        <v>6.4566984758949596E-4</v>
      </c>
      <c r="X93" s="34">
        <v>1.1029087703834199</v>
      </c>
      <c r="Y93" s="34">
        <v>1.1028747626327899</v>
      </c>
      <c r="Z93" s="34">
        <v>1.103703134386</v>
      </c>
      <c r="AA93" s="34">
        <v>1.10362400992568</v>
      </c>
      <c r="AB93" s="33">
        <v>50.0484567282762</v>
      </c>
      <c r="AC93" s="33">
        <v>50.089972766738804</v>
      </c>
      <c r="AD93" s="33">
        <v>50.082326210778596</v>
      </c>
      <c r="AE93" s="15">
        <v>-3.0835075270454602E-5</v>
      </c>
      <c r="AF93" s="15">
        <v>7.98337921560862E-4</v>
      </c>
      <c r="AG93" s="15">
        <v>6.4566984758949596E-4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4.3092811625981093E-3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1.3251978371802715E-3</v>
      </c>
      <c r="BE93" s="29">
        <f t="shared" si="42"/>
        <v>0</v>
      </c>
      <c r="BF93" s="29">
        <f t="shared" si="43"/>
        <v>5.6344789997783808E-3</v>
      </c>
      <c r="BH93" s="29"/>
    </row>
    <row r="94" spans="1:60" x14ac:dyDescent="0.25">
      <c r="A94" s="1">
        <v>46157</v>
      </c>
      <c r="B94" s="33">
        <v>45.16</v>
      </c>
      <c r="C94" s="33">
        <v>49.83</v>
      </c>
      <c r="D94" s="15">
        <v>-4.8597400702345504E-3</v>
      </c>
      <c r="E94" s="15">
        <v>-4.4052934679163699E-3</v>
      </c>
      <c r="F94" s="33">
        <v>0</v>
      </c>
      <c r="G94" s="33">
        <v>0.53595000000000004</v>
      </c>
      <c r="H94" s="33">
        <v>0</v>
      </c>
      <c r="I94" s="33">
        <v>0.57229999999999903</v>
      </c>
      <c r="J94" s="33">
        <v>0</v>
      </c>
      <c r="K94" s="33">
        <v>0</v>
      </c>
      <c r="L94" s="33">
        <v>45.16</v>
      </c>
      <c r="M94" s="33">
        <v>49.83</v>
      </c>
      <c r="N94" s="34">
        <v>1.1034100974313501</v>
      </c>
      <c r="O94" s="34">
        <v>1.1028747626327899</v>
      </c>
      <c r="P94" s="34">
        <v>1.10361050996669</v>
      </c>
      <c r="Q94" s="34">
        <v>1.10366995186019</v>
      </c>
      <c r="R94" s="33">
        <v>49.805824280496999</v>
      </c>
      <c r="S94" s="33">
        <v>49.843233548872</v>
      </c>
      <c r="T94" s="33">
        <v>49.839660288243998</v>
      </c>
      <c r="U94" s="15">
        <v>-4.8528167758854799E-4</v>
      </c>
      <c r="V94" s="15">
        <v>2.6553867028519497E-4</v>
      </c>
      <c r="W94" s="15">
        <v>1.9384611618794901E-4</v>
      </c>
      <c r="X94" s="34">
        <v>1.1034100974313501</v>
      </c>
      <c r="Y94" s="34">
        <v>1.1028747626327899</v>
      </c>
      <c r="Z94" s="34">
        <v>1.10361050996669</v>
      </c>
      <c r="AA94" s="34">
        <v>1.10366995186019</v>
      </c>
      <c r="AB94" s="33">
        <v>49.805824280496999</v>
      </c>
      <c r="AC94" s="33">
        <v>49.843233548872</v>
      </c>
      <c r="AD94" s="33">
        <v>49.839660288243998</v>
      </c>
      <c r="AE94" s="15">
        <v>-4.8528167758854799E-4</v>
      </c>
      <c r="AF94" s="15">
        <v>2.6553867028519497E-4</v>
      </c>
      <c r="AG94" s="15">
        <v>1.9384611618794901E-4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4.3092811625981093E-3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1.3251978371802715E-3</v>
      </c>
      <c r="BE94" s="29">
        <f t="shared" si="42"/>
        <v>0</v>
      </c>
      <c r="BF94" s="29">
        <f t="shared" si="43"/>
        <v>5.6344789997783808E-3</v>
      </c>
      <c r="BH94" s="29"/>
    </row>
    <row r="95" spans="1:60" x14ac:dyDescent="0.25">
      <c r="A95" s="1">
        <v>46160</v>
      </c>
      <c r="B95" s="33">
        <v>45.18</v>
      </c>
      <c r="C95" s="33">
        <v>49.84</v>
      </c>
      <c r="D95" s="15">
        <v>4.4277175839599098E-4</v>
      </c>
      <c r="E95" s="15">
        <v>2.0066218588456899E-4</v>
      </c>
      <c r="F95" s="33">
        <v>0</v>
      </c>
      <c r="G95" s="33">
        <v>0.53595000000000004</v>
      </c>
      <c r="H95" s="33">
        <v>0</v>
      </c>
      <c r="I95" s="33">
        <v>0.57229999999999903</v>
      </c>
      <c r="J95" s="33">
        <v>0</v>
      </c>
      <c r="K95" s="33">
        <v>0</v>
      </c>
      <c r="L95" s="33">
        <v>45.18</v>
      </c>
      <c r="M95" s="33">
        <v>49.84</v>
      </c>
      <c r="N95" s="34">
        <v>1.10314298362107</v>
      </c>
      <c r="O95" s="34">
        <v>1.1028747626327899</v>
      </c>
      <c r="P95" s="34">
        <v>1.10360123359844</v>
      </c>
      <c r="Q95" s="34">
        <v>1.10365657196385</v>
      </c>
      <c r="R95" s="33">
        <v>49.827881775749702</v>
      </c>
      <c r="S95" s="33">
        <v>49.861122840295202</v>
      </c>
      <c r="T95" s="33">
        <v>49.863808425043501</v>
      </c>
      <c r="U95" s="15">
        <v>-2.4317210507725101E-4</v>
      </c>
      <c r="V95" s="15">
        <v>4.2372322416247399E-4</v>
      </c>
      <c r="W95" s="15">
        <v>4.7758307073990098E-4</v>
      </c>
      <c r="X95" s="34">
        <v>1.10314298362107</v>
      </c>
      <c r="Y95" s="34">
        <v>1.1028747626327899</v>
      </c>
      <c r="Z95" s="34">
        <v>1.10360123359844</v>
      </c>
      <c r="AA95" s="34">
        <v>1.10365657196385</v>
      </c>
      <c r="AB95" s="33">
        <v>49.827881775749702</v>
      </c>
      <c r="AC95" s="33">
        <v>49.861122840295202</v>
      </c>
      <c r="AD95" s="33">
        <v>49.863808425043501</v>
      </c>
      <c r="AE95" s="15">
        <v>-2.4317210507725101E-4</v>
      </c>
      <c r="AF95" s="15">
        <v>4.2372322416247399E-4</v>
      </c>
      <c r="AG95" s="15">
        <v>4.7758307073990098E-4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4.3092811625981093E-3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1.3251978371802715E-3</v>
      </c>
      <c r="BE95" s="29">
        <f t="shared" si="42"/>
        <v>0</v>
      </c>
      <c r="BF95" s="29">
        <f t="shared" si="43"/>
        <v>5.6344789997783808E-3</v>
      </c>
      <c r="BH95" s="29"/>
    </row>
    <row r="96" spans="1:60" x14ac:dyDescent="0.25">
      <c r="A96" s="1">
        <v>46161</v>
      </c>
      <c r="B96" s="33">
        <v>45.07</v>
      </c>
      <c r="C96" s="33">
        <v>49.68</v>
      </c>
      <c r="D96" s="15">
        <v>-2.4376743373002601E-3</v>
      </c>
      <c r="E96" s="15">
        <v>-3.2154368539744601E-3</v>
      </c>
      <c r="F96" s="33">
        <v>0</v>
      </c>
      <c r="G96" s="33">
        <v>0.53595000000000004</v>
      </c>
      <c r="H96" s="33">
        <v>0</v>
      </c>
      <c r="I96" s="33">
        <v>0.57229999999999903</v>
      </c>
      <c r="J96" s="33">
        <v>0</v>
      </c>
      <c r="K96" s="33">
        <v>0</v>
      </c>
      <c r="L96" s="33">
        <v>45.07</v>
      </c>
      <c r="M96" s="33">
        <v>49.68</v>
      </c>
      <c r="N96" s="34">
        <v>1.1022853339250001</v>
      </c>
      <c r="O96" s="34">
        <v>1.1028747626327899</v>
      </c>
      <c r="P96" s="34">
        <v>1.1034135591072201</v>
      </c>
      <c r="Q96" s="34">
        <v>1.10360220090276</v>
      </c>
      <c r="R96" s="33">
        <v>49.706565551860102</v>
      </c>
      <c r="S96" s="33">
        <v>49.739307598281897</v>
      </c>
      <c r="T96" s="33">
        <v>49.741801698410796</v>
      </c>
      <c r="U96" s="15">
        <v>5.34590411597032E-4</v>
      </c>
      <c r="V96" s="15">
        <v>1.1930802325983501E-3</v>
      </c>
      <c r="W96" s="15">
        <v>1.2432224183258E-3</v>
      </c>
      <c r="X96" s="34">
        <v>1.1022853339250001</v>
      </c>
      <c r="Y96" s="34">
        <v>1.1028747626327899</v>
      </c>
      <c r="Z96" s="34">
        <v>1.1034135591072201</v>
      </c>
      <c r="AA96" s="34">
        <v>1.10360220090276</v>
      </c>
      <c r="AB96" s="33">
        <v>49.706565551860102</v>
      </c>
      <c r="AC96" s="33">
        <v>49.739307598281897</v>
      </c>
      <c r="AD96" s="33">
        <v>49.741801698410796</v>
      </c>
      <c r="AE96" s="15">
        <v>5.34590411597032E-4</v>
      </c>
      <c r="AF96" s="15">
        <v>1.1930802325983501E-3</v>
      </c>
      <c r="AG96" s="15">
        <v>1.2432224183258E-3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4.3092811625981093E-3</v>
      </c>
      <c r="AT96" s="12"/>
      <c r="AU96">
        <f t="shared" si="30"/>
        <v>1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1.3251978371802715E-3</v>
      </c>
      <c r="BE96" s="29">
        <f t="shared" si="42"/>
        <v>0</v>
      </c>
      <c r="BF96" s="29">
        <f t="shared" si="43"/>
        <v>5.6344789997783808E-3</v>
      </c>
      <c r="BH96" s="29"/>
    </row>
    <row r="97" spans="1:60" x14ac:dyDescent="0.25">
      <c r="A97" s="1">
        <v>46162</v>
      </c>
      <c r="B97" s="33">
        <v>45.15</v>
      </c>
      <c r="C97" s="33">
        <v>49.8</v>
      </c>
      <c r="D97" s="15">
        <v>1.7734431604375699E-3</v>
      </c>
      <c r="E97" s="15">
        <v>2.4125464053839198E-3</v>
      </c>
      <c r="F97" s="33">
        <v>0</v>
      </c>
      <c r="G97" s="33">
        <v>0.53595000000000004</v>
      </c>
      <c r="H97" s="33">
        <v>0</v>
      </c>
      <c r="I97" s="33">
        <v>0.57229999999999903</v>
      </c>
      <c r="J97" s="33">
        <v>0</v>
      </c>
      <c r="K97" s="33">
        <v>0</v>
      </c>
      <c r="L97" s="33">
        <v>45.15</v>
      </c>
      <c r="M97" s="33">
        <v>49.8</v>
      </c>
      <c r="N97" s="34">
        <v>1.1029900332225899</v>
      </c>
      <c r="O97" s="34">
        <v>1.1028747626327899</v>
      </c>
      <c r="P97" s="34">
        <v>1.1033654622537299</v>
      </c>
      <c r="Q97" s="34">
        <v>1.1035766478593001</v>
      </c>
      <c r="R97" s="33">
        <v>49.794795532870701</v>
      </c>
      <c r="S97" s="33">
        <v>49.819122193691001</v>
      </c>
      <c r="T97" s="33">
        <v>49.827639370759798</v>
      </c>
      <c r="U97" s="15">
        <v>-1.04512833349366E-4</v>
      </c>
      <c r="V97" s="15">
        <v>3.83906091618003E-4</v>
      </c>
      <c r="W97" s="15">
        <v>5.5485348530860202E-4</v>
      </c>
      <c r="X97" s="34">
        <v>1.1029900332225899</v>
      </c>
      <c r="Y97" s="34">
        <v>1.1028747626327899</v>
      </c>
      <c r="Z97" s="34">
        <v>1.1033654622537299</v>
      </c>
      <c r="AA97" s="34">
        <v>1.1035766478593001</v>
      </c>
      <c r="AB97" s="33">
        <v>49.794795532870701</v>
      </c>
      <c r="AC97" s="33">
        <v>49.819122193691001</v>
      </c>
      <c r="AD97" s="33">
        <v>49.827639370759798</v>
      </c>
      <c r="AE97" s="15">
        <v>-1.04512833349366E-4</v>
      </c>
      <c r="AF97" s="15">
        <v>3.83906091618003E-4</v>
      </c>
      <c r="AG97" s="15">
        <v>5.5485348530860202E-4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4.3092811625981093E-3</v>
      </c>
      <c r="AT97" s="12"/>
      <c r="AU97">
        <f t="shared" si="30"/>
        <v>0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-1.7734431604375699E-3</v>
      </c>
      <c r="BA97" s="28">
        <f t="shared" si="33"/>
        <v>2.4125464053839198E-3</v>
      </c>
      <c r="BB97" s="28">
        <f t="shared" si="40"/>
        <v>6.391032449463499E-4</v>
      </c>
      <c r="BC97" s="29">
        <f t="shared" si="41"/>
        <v>1.9643010821266214E-3</v>
      </c>
      <c r="BE97" s="29">
        <f t="shared" si="42"/>
        <v>6.391032449463499E-4</v>
      </c>
      <c r="BF97" s="29">
        <f t="shared" si="43"/>
        <v>6.2735822447247307E-3</v>
      </c>
      <c r="BH97" s="29"/>
    </row>
    <row r="98" spans="1:60" x14ac:dyDescent="0.25">
      <c r="A98" s="1">
        <v>46163</v>
      </c>
      <c r="B98" s="33">
        <v>45.19</v>
      </c>
      <c r="C98" s="33">
        <v>49.85</v>
      </c>
      <c r="D98" s="15">
        <v>8.8554356019386496E-4</v>
      </c>
      <c r="E98" s="15">
        <v>1.0035123772401001E-3</v>
      </c>
      <c r="F98" s="33">
        <v>0</v>
      </c>
      <c r="G98" s="33">
        <v>0.53595000000000004</v>
      </c>
      <c r="H98" s="33">
        <v>0</v>
      </c>
      <c r="I98" s="33">
        <v>0.57229999999999903</v>
      </c>
      <c r="J98" s="33">
        <v>0</v>
      </c>
      <c r="K98" s="33">
        <v>0</v>
      </c>
      <c r="L98" s="33">
        <v>45.19</v>
      </c>
      <c r="M98" s="33">
        <v>49.85</v>
      </c>
      <c r="N98" s="34">
        <v>1.1031201593272799</v>
      </c>
      <c r="O98" s="34">
        <v>1.1028747626327899</v>
      </c>
      <c r="P98" s="34">
        <v>1.1032992899718601</v>
      </c>
      <c r="Q98" s="34">
        <v>1.10353571928299</v>
      </c>
      <c r="R98" s="33">
        <v>49.838910523376001</v>
      </c>
      <c r="S98" s="33">
        <v>49.861085239246201</v>
      </c>
      <c r="T98" s="33">
        <v>49.870628716761701</v>
      </c>
      <c r="U98" s="15">
        <v>-2.22481650395864E-4</v>
      </c>
      <c r="V98" s="15">
        <v>2.22347179659465E-4</v>
      </c>
      <c r="W98" s="15">
        <v>4.1373018444606098E-4</v>
      </c>
      <c r="X98" s="34">
        <v>1.1031201593272799</v>
      </c>
      <c r="Y98" s="34">
        <v>1.1028747626327899</v>
      </c>
      <c r="Z98" s="34">
        <v>1.1032992899718601</v>
      </c>
      <c r="AA98" s="34">
        <v>1.10353571928299</v>
      </c>
      <c r="AB98" s="33">
        <v>49.838910523376001</v>
      </c>
      <c r="AC98" s="33">
        <v>49.861085239246201</v>
      </c>
      <c r="AD98" s="33">
        <v>49.870628716761701</v>
      </c>
      <c r="AE98" s="15">
        <v>-2.22481650395864E-4</v>
      </c>
      <c r="AF98" s="15">
        <v>2.22347179659465E-4</v>
      </c>
      <c r="AG98" s="15">
        <v>4.1373018444606098E-4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4.3092811625981093E-3</v>
      </c>
      <c r="AT98" s="12"/>
      <c r="AU98">
        <f t="shared" si="30"/>
        <v>0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-8.8554356019386496E-4</v>
      </c>
      <c r="BA98" s="28">
        <f t="shared" si="33"/>
        <v>1.0035123772401001E-3</v>
      </c>
      <c r="BB98" s="28">
        <f t="shared" si="40"/>
        <v>1.1796881704623512E-4</v>
      </c>
      <c r="BC98" s="29">
        <f t="shared" si="41"/>
        <v>2.0822698991728563E-3</v>
      </c>
      <c r="BE98" s="29">
        <f t="shared" si="42"/>
        <v>1.1796881704623512E-4</v>
      </c>
      <c r="BF98" s="29">
        <f t="shared" si="43"/>
        <v>6.3915510617709656E-3</v>
      </c>
      <c r="BH98" s="29"/>
    </row>
    <row r="99" spans="1:60" x14ac:dyDescent="0.25">
      <c r="A99" s="1">
        <v>46164</v>
      </c>
      <c r="B99" s="33">
        <v>45.19</v>
      </c>
      <c r="C99" s="33">
        <v>49.88</v>
      </c>
      <c r="D99" s="15">
        <v>0</v>
      </c>
      <c r="E99" s="15">
        <v>6.0162440398849699E-4</v>
      </c>
      <c r="F99" s="33">
        <v>0</v>
      </c>
      <c r="G99" s="33">
        <v>0.53595000000000004</v>
      </c>
      <c r="H99" s="33">
        <v>0</v>
      </c>
      <c r="I99" s="33">
        <v>0.57229999999999903</v>
      </c>
      <c r="J99" s="33">
        <v>0</v>
      </c>
      <c r="K99" s="33">
        <v>0</v>
      </c>
      <c r="L99" s="33">
        <v>45.19</v>
      </c>
      <c r="M99" s="33">
        <v>49.88</v>
      </c>
      <c r="N99" s="34">
        <v>1.10378402301394</v>
      </c>
      <c r="O99" s="34">
        <v>1.1028747626327899</v>
      </c>
      <c r="P99" s="34">
        <v>1.1032623989311301</v>
      </c>
      <c r="Q99" s="34">
        <v>1.10356645048833</v>
      </c>
      <c r="R99" s="33">
        <v>49.838910523376001</v>
      </c>
      <c r="S99" s="33">
        <v>49.858094913828403</v>
      </c>
      <c r="T99" s="33">
        <v>49.868779154398503</v>
      </c>
      <c r="U99" s="15">
        <v>-8.2410605438418695E-4</v>
      </c>
      <c r="V99" s="15">
        <v>-4.3925215420826199E-4</v>
      </c>
      <c r="W99" s="15">
        <v>-2.2498211494757E-4</v>
      </c>
      <c r="X99" s="34">
        <v>1.10378402301394</v>
      </c>
      <c r="Y99" s="34">
        <v>1.1028747626327899</v>
      </c>
      <c r="Z99" s="34">
        <v>1.1032623989311301</v>
      </c>
      <c r="AA99" s="34">
        <v>1.10356645048833</v>
      </c>
      <c r="AB99" s="33">
        <v>49.838910523376001</v>
      </c>
      <c r="AC99" s="33">
        <v>49.858094913828403</v>
      </c>
      <c r="AD99" s="33">
        <v>49.868779154398503</v>
      </c>
      <c r="AE99" s="15">
        <v>-8.2410605438418695E-4</v>
      </c>
      <c r="AF99" s="15">
        <v>-4.3925215420826199E-4</v>
      </c>
      <c r="AG99" s="15">
        <v>-2.2498211494757E-4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4.3092811625981093E-3</v>
      </c>
      <c r="AT99" s="12"/>
      <c r="AU99">
        <f t="shared" si="30"/>
        <v>0</v>
      </c>
      <c r="AV99">
        <f t="shared" si="31"/>
        <v>1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0</v>
      </c>
      <c r="BA99" s="28">
        <f t="shared" si="33"/>
        <v>6.0162440398849699E-4</v>
      </c>
      <c r="BB99" s="28">
        <f t="shared" si="40"/>
        <v>6.0162440398849699E-4</v>
      </c>
      <c r="BC99" s="29">
        <f t="shared" si="41"/>
        <v>2.6838943031613533E-3</v>
      </c>
      <c r="BE99" s="29">
        <f t="shared" si="42"/>
        <v>6.0162440398849699E-4</v>
      </c>
      <c r="BF99" s="29">
        <f t="shared" si="43"/>
        <v>6.993175465759463E-3</v>
      </c>
      <c r="BH99" s="29"/>
    </row>
    <row r="100" spans="1:60" x14ac:dyDescent="0.25">
      <c r="A100" s="1">
        <v>46168</v>
      </c>
      <c r="B100" s="33">
        <v>45.4</v>
      </c>
      <c r="C100" s="33">
        <v>50.09</v>
      </c>
      <c r="D100" s="15">
        <v>4.6362816241139601E-3</v>
      </c>
      <c r="E100" s="15">
        <v>4.2012665576897602E-3</v>
      </c>
      <c r="F100" s="33">
        <v>0</v>
      </c>
      <c r="G100" s="33">
        <v>0.53595000000000004</v>
      </c>
      <c r="H100" s="33">
        <v>0</v>
      </c>
      <c r="I100" s="33">
        <v>0.57229999999999903</v>
      </c>
      <c r="J100" s="33">
        <v>0</v>
      </c>
      <c r="K100" s="33">
        <v>0</v>
      </c>
      <c r="L100" s="33">
        <v>45.4</v>
      </c>
      <c r="M100" s="33">
        <v>50.09</v>
      </c>
      <c r="N100" s="34">
        <v>1.1033039647577001</v>
      </c>
      <c r="O100" s="34">
        <v>1.1028747626327899</v>
      </c>
      <c r="P100" s="34">
        <v>1.10321916903327</v>
      </c>
      <c r="Q100" s="34">
        <v>1.10356111964882</v>
      </c>
      <c r="R100" s="33">
        <v>50.070514223528903</v>
      </c>
      <c r="S100" s="33">
        <v>50.088112911473402</v>
      </c>
      <c r="T100" s="33">
        <v>50.101916852170397</v>
      </c>
      <c r="U100" s="15">
        <v>-3.8909098795994999E-4</v>
      </c>
      <c r="V100" s="15">
        <v>-3.7674667088860197E-5</v>
      </c>
      <c r="W100" s="15">
        <v>2.3788051174335599E-4</v>
      </c>
      <c r="X100" s="34">
        <v>1.1033039647577001</v>
      </c>
      <c r="Y100" s="34">
        <v>1.1028747626327899</v>
      </c>
      <c r="Z100" s="34">
        <v>1.10321916903327</v>
      </c>
      <c r="AA100" s="34">
        <v>1.10356111964882</v>
      </c>
      <c r="AB100" s="33">
        <v>50.070514223528903</v>
      </c>
      <c r="AC100" s="33">
        <v>50.088112911473402</v>
      </c>
      <c r="AD100" s="33">
        <v>50.101916852170397</v>
      </c>
      <c r="AE100" s="15">
        <v>-3.8909098795994999E-4</v>
      </c>
      <c r="AF100" s="15">
        <v>-3.7674667088860197E-5</v>
      </c>
      <c r="AG100" s="15">
        <v>2.3788051174335599E-4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4.3092811625981093E-3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2.6838943031613533E-3</v>
      </c>
      <c r="BE100" s="29">
        <f t="shared" si="42"/>
        <v>0</v>
      </c>
      <c r="BF100" s="29">
        <f t="shared" si="43"/>
        <v>6.993175465759463E-3</v>
      </c>
      <c r="BH100" s="29"/>
    </row>
    <row r="101" spans="1:60" x14ac:dyDescent="0.25">
      <c r="A101" s="1">
        <v>46169</v>
      </c>
      <c r="B101" s="33">
        <v>45.46</v>
      </c>
      <c r="C101" s="33">
        <v>50.21</v>
      </c>
      <c r="D101" s="15">
        <v>1.3207133770948699E-3</v>
      </c>
      <c r="E101" s="15">
        <v>2.3928226770887099E-3</v>
      </c>
      <c r="F101" s="33">
        <v>0</v>
      </c>
      <c r="G101" s="33">
        <v>0.53595000000000004</v>
      </c>
      <c r="H101" s="33">
        <v>0</v>
      </c>
      <c r="I101" s="33">
        <v>0.57229999999999903</v>
      </c>
      <c r="J101" s="33">
        <v>0</v>
      </c>
      <c r="K101" s="33">
        <v>0</v>
      </c>
      <c r="L101" s="33">
        <v>45.46</v>
      </c>
      <c r="M101" s="33">
        <v>50.21</v>
      </c>
      <c r="N101" s="34">
        <v>1.1044874615046101</v>
      </c>
      <c r="O101" s="34">
        <v>1.1028747626327899</v>
      </c>
      <c r="P101" s="34">
        <v>1.10334434045338</v>
      </c>
      <c r="Q101" s="34">
        <v>1.10360590446299</v>
      </c>
      <c r="R101" s="33">
        <v>50.136686709286899</v>
      </c>
      <c r="S101" s="33">
        <v>50.152343424252798</v>
      </c>
      <c r="T101" s="33">
        <v>50.167888499235701</v>
      </c>
      <c r="U101" s="15">
        <v>-1.46120028795359E-3</v>
      </c>
      <c r="V101" s="15">
        <v>-1.1489684302469401E-3</v>
      </c>
      <c r="W101" s="15">
        <v>-8.3905935589008104E-4</v>
      </c>
      <c r="X101" s="34">
        <v>1.1044874615046101</v>
      </c>
      <c r="Y101" s="34">
        <v>1.1028747626327899</v>
      </c>
      <c r="Z101" s="34">
        <v>1.10334434045338</v>
      </c>
      <c r="AA101" s="34">
        <v>1.10360590446299</v>
      </c>
      <c r="AB101" s="33">
        <v>50.136686709286899</v>
      </c>
      <c r="AC101" s="33">
        <v>50.152343424252798</v>
      </c>
      <c r="AD101" s="33">
        <v>50.167888499235701</v>
      </c>
      <c r="AE101" s="15">
        <v>-1.46120028795359E-3</v>
      </c>
      <c r="AF101" s="15">
        <v>-1.1489684302469401E-3</v>
      </c>
      <c r="AG101" s="15">
        <v>-8.3905935589008104E-4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4.3092811625981093E-3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2.6838943031613533E-3</v>
      </c>
      <c r="BE101" s="29">
        <f t="shared" si="42"/>
        <v>0</v>
      </c>
      <c r="BF101" s="29">
        <f t="shared" si="43"/>
        <v>6.993175465759463E-3</v>
      </c>
      <c r="BH101" s="29"/>
    </row>
    <row r="102" spans="1:60" x14ac:dyDescent="0.25">
      <c r="A102" s="1">
        <v>46170</v>
      </c>
      <c r="B102" s="33">
        <v>45.53</v>
      </c>
      <c r="C102" s="33">
        <v>50.28</v>
      </c>
      <c r="D102" s="15">
        <v>1.53863092229351E-3</v>
      </c>
      <c r="E102" s="15">
        <v>1.39317367543251E-3</v>
      </c>
      <c r="F102" s="33">
        <v>0</v>
      </c>
      <c r="G102" s="33">
        <v>0.53595000000000004</v>
      </c>
      <c r="H102" s="33">
        <v>0</v>
      </c>
      <c r="I102" s="33">
        <v>0.57229999999999903</v>
      </c>
      <c r="J102" s="33">
        <v>0</v>
      </c>
      <c r="K102" s="33">
        <v>0</v>
      </c>
      <c r="L102" s="33">
        <v>45.53</v>
      </c>
      <c r="M102" s="33">
        <v>50.28</v>
      </c>
      <c r="N102" s="34">
        <v>1.1043268174829699</v>
      </c>
      <c r="O102" s="34">
        <v>1.1028747626327899</v>
      </c>
      <c r="P102" s="34">
        <v>1.10337596446699</v>
      </c>
      <c r="Q102" s="34">
        <v>1.1035827901526101</v>
      </c>
      <c r="R102" s="33">
        <v>50.213887942671199</v>
      </c>
      <c r="S102" s="33">
        <v>50.235267820842601</v>
      </c>
      <c r="T102" s="33">
        <v>50.247176830200303</v>
      </c>
      <c r="U102" s="15">
        <v>-1.31574304109257E-3</v>
      </c>
      <c r="V102" s="15">
        <v>-8.9005746251733203E-4</v>
      </c>
      <c r="W102" s="15">
        <v>-6.53020844731337E-4</v>
      </c>
      <c r="X102" s="34">
        <v>1.1043268174829699</v>
      </c>
      <c r="Y102" s="34">
        <v>1.1028747626327899</v>
      </c>
      <c r="Z102" s="34">
        <v>1.10337596446699</v>
      </c>
      <c r="AA102" s="34">
        <v>1.1035827901526101</v>
      </c>
      <c r="AB102" s="33">
        <v>50.213887942671199</v>
      </c>
      <c r="AC102" s="33">
        <v>50.235267820842601</v>
      </c>
      <c r="AD102" s="33">
        <v>50.247176830200303</v>
      </c>
      <c r="AE102" s="15">
        <v>-1.31574304109257E-3</v>
      </c>
      <c r="AF102" s="15">
        <v>-8.9005746251733203E-4</v>
      </c>
      <c r="AG102" s="15">
        <v>-6.53020844731337E-4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4.3092811625981093E-3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2.6838943031613533E-3</v>
      </c>
      <c r="BE102" s="29">
        <f t="shared" si="42"/>
        <v>0</v>
      </c>
      <c r="BF102" s="29">
        <f t="shared" si="43"/>
        <v>6.993175465759463E-3</v>
      </c>
      <c r="BH102" s="29"/>
    </row>
    <row r="103" spans="1:60" x14ac:dyDescent="0.25">
      <c r="A103" s="1">
        <v>46171</v>
      </c>
      <c r="B103" s="33">
        <v>45.59</v>
      </c>
      <c r="C103" s="33">
        <v>50.36</v>
      </c>
      <c r="D103" s="15">
        <v>1.3169448786593599E-3</v>
      </c>
      <c r="E103" s="15">
        <v>1.5898254540997699E-3</v>
      </c>
      <c r="F103" s="33">
        <v>0</v>
      </c>
      <c r="G103" s="33">
        <v>0.53595000000000004</v>
      </c>
      <c r="H103" s="33">
        <v>0</v>
      </c>
      <c r="I103" s="33">
        <v>0.57229999999999903</v>
      </c>
      <c r="J103" s="33">
        <v>0</v>
      </c>
      <c r="K103" s="33">
        <v>0</v>
      </c>
      <c r="L103" s="33">
        <v>45.59</v>
      </c>
      <c r="M103" s="33">
        <v>50.36</v>
      </c>
      <c r="N103" s="34">
        <v>1.10462820794033</v>
      </c>
      <c r="O103" s="34">
        <v>1.1028747626327899</v>
      </c>
      <c r="P103" s="34">
        <v>1.10354790822268</v>
      </c>
      <c r="Q103" s="34">
        <v>1.10362552130434</v>
      </c>
      <c r="R103" s="33">
        <v>50.280060428429103</v>
      </c>
      <c r="S103" s="33">
        <v>50.3029102200504</v>
      </c>
      <c r="T103" s="33">
        <v>50.312339403057599</v>
      </c>
      <c r="U103" s="15">
        <v>-1.5886236165329299E-3</v>
      </c>
      <c r="V103" s="15">
        <v>-1.1342764866550099E-3</v>
      </c>
      <c r="W103" s="15">
        <v>-9.4684599137438198E-4</v>
      </c>
      <c r="X103" s="34">
        <v>1.10462820794033</v>
      </c>
      <c r="Y103" s="34">
        <v>1.1028747626327899</v>
      </c>
      <c r="Z103" s="34">
        <v>1.10354790822268</v>
      </c>
      <c r="AA103" s="34">
        <v>1.10362552130434</v>
      </c>
      <c r="AB103" s="33">
        <v>50.280060428429103</v>
      </c>
      <c r="AC103" s="33">
        <v>50.3029102200504</v>
      </c>
      <c r="AD103" s="33">
        <v>50.312339403057599</v>
      </c>
      <c r="AE103" s="15">
        <v>-1.5886236165329299E-3</v>
      </c>
      <c r="AF103" s="15">
        <v>-1.1342764866550099E-3</v>
      </c>
      <c r="AG103" s="15">
        <v>-9.4684599137438198E-4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4.3092811625981093E-3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2.6838943031613533E-3</v>
      </c>
      <c r="BE103" s="29">
        <f t="shared" si="42"/>
        <v>0</v>
      </c>
      <c r="BF103" s="29">
        <f t="shared" si="43"/>
        <v>6.993175465759463E-3</v>
      </c>
      <c r="BH103" s="29"/>
    </row>
    <row r="104" spans="1:60" x14ac:dyDescent="0.25">
      <c r="A104" s="1">
        <v>46174</v>
      </c>
      <c r="B104" s="33">
        <v>45.49</v>
      </c>
      <c r="C104" s="33">
        <v>50.29</v>
      </c>
      <c r="D104" s="15">
        <v>-2.1958726434373301E-3</v>
      </c>
      <c r="E104" s="15">
        <v>-1.3909589922730401E-3</v>
      </c>
      <c r="F104" s="33">
        <v>0.13396</v>
      </c>
      <c r="G104" s="33">
        <v>0.66991000000000001</v>
      </c>
      <c r="H104" s="33">
        <v>0.1381</v>
      </c>
      <c r="I104" s="33">
        <v>0.71039999999999903</v>
      </c>
      <c r="J104" s="33">
        <v>0</v>
      </c>
      <c r="K104" s="33">
        <v>0</v>
      </c>
      <c r="L104" s="33">
        <v>45.49</v>
      </c>
      <c r="M104" s="33">
        <v>50.29</v>
      </c>
      <c r="N104" s="34">
        <v>1.1055176961969599</v>
      </c>
      <c r="O104" s="34">
        <v>1.1028747626327899</v>
      </c>
      <c r="P104" s="34">
        <v>1.1037586680992499</v>
      </c>
      <c r="Q104" s="34">
        <v>1.1036845890329701</v>
      </c>
      <c r="R104" s="33">
        <v>50.1697729521658</v>
      </c>
      <c r="S104" s="33">
        <v>50.2003943450501</v>
      </c>
      <c r="T104" s="33">
        <v>50.2039249641347</v>
      </c>
      <c r="U104" s="15">
        <v>-2.3935372676971798E-3</v>
      </c>
      <c r="V104" s="15">
        <v>-1.7833680379575E-3</v>
      </c>
      <c r="W104" s="15">
        <v>-1.7130400060482601E-3</v>
      </c>
      <c r="X104" s="34">
        <v>1.1055176961969599</v>
      </c>
      <c r="Y104" s="34">
        <v>1.1028747626327899</v>
      </c>
      <c r="Z104" s="34">
        <v>1.1037586680992499</v>
      </c>
      <c r="AA104" s="34">
        <v>1.1036845890329701</v>
      </c>
      <c r="AB104" s="33">
        <v>50.1697729521658</v>
      </c>
      <c r="AC104" s="33">
        <v>50.2003943450501</v>
      </c>
      <c r="AD104" s="33">
        <v>50.2039249641347</v>
      </c>
      <c r="AE104" s="15">
        <v>-2.3935372676971798E-3</v>
      </c>
      <c r="AF104" s="15">
        <v>-1.7833680379575E-3</v>
      </c>
      <c r="AG104" s="15">
        <v>-1.7130400060482601E-3</v>
      </c>
      <c r="AI104" s="12"/>
      <c r="AJ104">
        <f t="shared" si="26"/>
        <v>1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4.3092811625981093E-3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2.6838943031613533E-3</v>
      </c>
      <c r="BE104" s="29">
        <f t="shared" si="42"/>
        <v>0</v>
      </c>
      <c r="BF104" s="29">
        <f t="shared" si="43"/>
        <v>6.993175465759463E-3</v>
      </c>
      <c r="BH104" s="29"/>
    </row>
    <row r="105" spans="1:60" x14ac:dyDescent="0.25">
      <c r="A105" s="1">
        <v>46175</v>
      </c>
      <c r="B105" s="33">
        <v>45.59</v>
      </c>
      <c r="C105" s="33">
        <v>50.34</v>
      </c>
      <c r="D105" s="15">
        <v>2.1958726434374502E-3</v>
      </c>
      <c r="E105" s="15">
        <v>9.9373952329642008E-4</v>
      </c>
      <c r="F105" s="33">
        <v>0</v>
      </c>
      <c r="G105" s="33">
        <v>0.66991000000000001</v>
      </c>
      <c r="H105" s="33">
        <v>0</v>
      </c>
      <c r="I105" s="33">
        <v>0.71039999999999903</v>
      </c>
      <c r="J105" s="33">
        <v>0</v>
      </c>
      <c r="K105" s="33">
        <v>0</v>
      </c>
      <c r="L105" s="33">
        <v>45.59</v>
      </c>
      <c r="M105" s="33">
        <v>50.34</v>
      </c>
      <c r="N105" s="34">
        <v>1.10418951524457</v>
      </c>
      <c r="O105" s="34">
        <v>1.1028747626327899</v>
      </c>
      <c r="P105" s="34">
        <v>1.1038633212616</v>
      </c>
      <c r="Q105" s="34">
        <v>1.10373227743002</v>
      </c>
      <c r="R105" s="33">
        <v>50.280060428429103</v>
      </c>
      <c r="S105" s="33">
        <v>50.320357678644797</v>
      </c>
      <c r="T105" s="33">
        <v>50.316980414013202</v>
      </c>
      <c r="U105" s="15">
        <v>-1.1914041475562999E-3</v>
      </c>
      <c r="V105" s="15">
        <v>-3.9026925907011199E-4</v>
      </c>
      <c r="W105" s="15">
        <v>-4.5738678616082503E-4</v>
      </c>
      <c r="X105" s="34">
        <v>1.10418951524457</v>
      </c>
      <c r="Y105" s="34">
        <v>1.1028747626327899</v>
      </c>
      <c r="Z105" s="34">
        <v>1.1038633212616</v>
      </c>
      <c r="AA105" s="34">
        <v>1.10373227743002</v>
      </c>
      <c r="AB105" s="33">
        <v>50.280060428429103</v>
      </c>
      <c r="AC105" s="33">
        <v>50.320357678644797</v>
      </c>
      <c r="AD105" s="33">
        <v>50.316980414013202</v>
      </c>
      <c r="AE105" s="15">
        <v>-1.1914041475562999E-3</v>
      </c>
      <c r="AF105" s="15">
        <v>-3.9026925907011199E-4</v>
      </c>
      <c r="AG105" s="15">
        <v>-4.5738678616082503E-4</v>
      </c>
      <c r="AI105" s="12"/>
      <c r="AJ105">
        <f t="shared" si="26"/>
        <v>0</v>
      </c>
      <c r="AK105">
        <f t="shared" si="27"/>
        <v>0</v>
      </c>
      <c r="AL105">
        <f t="shared" si="34"/>
        <v>1</v>
      </c>
      <c r="AM105">
        <f t="shared" si="24"/>
        <v>1</v>
      </c>
      <c r="AN105">
        <f t="shared" si="35"/>
        <v>1</v>
      </c>
      <c r="AO105" s="28">
        <f t="shared" si="28"/>
        <v>2.1958726434374502E-3</v>
      </c>
      <c r="AP105" s="28">
        <f t="shared" si="29"/>
        <v>-9.9373952329642008E-4</v>
      </c>
      <c r="AQ105" s="28">
        <f t="shared" si="36"/>
        <v>1.2021331201410301E-3</v>
      </c>
      <c r="AR105" s="29">
        <f t="shared" si="37"/>
        <v>5.5114142827391395E-3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2.6838943031613533E-3</v>
      </c>
      <c r="BE105" s="29">
        <f t="shared" si="42"/>
        <v>1.2021331201410301E-3</v>
      </c>
      <c r="BF105" s="29">
        <f t="shared" si="43"/>
        <v>8.1953085859004932E-3</v>
      </c>
      <c r="BH105" s="29"/>
    </row>
    <row r="106" spans="1:60" x14ac:dyDescent="0.25">
      <c r="A106" s="1">
        <v>46176</v>
      </c>
      <c r="B106" s="33">
        <v>45.58</v>
      </c>
      <c r="C106" s="33">
        <v>50.31</v>
      </c>
      <c r="D106" s="15">
        <v>-2.1937040781198699E-4</v>
      </c>
      <c r="E106" s="15">
        <v>-5.9612520394268997E-4</v>
      </c>
      <c r="F106" s="33">
        <v>0</v>
      </c>
      <c r="G106" s="33">
        <v>0.66991000000000001</v>
      </c>
      <c r="H106" s="33">
        <v>0</v>
      </c>
      <c r="I106" s="33">
        <v>0.71039999999999903</v>
      </c>
      <c r="J106" s="33">
        <v>0</v>
      </c>
      <c r="K106" s="33">
        <v>0</v>
      </c>
      <c r="L106" s="33">
        <v>45.58</v>
      </c>
      <c r="M106" s="33">
        <v>50.31</v>
      </c>
      <c r="N106" s="34">
        <v>1.10377358490566</v>
      </c>
      <c r="O106" s="34">
        <v>1.1028747626327899</v>
      </c>
      <c r="P106" s="34">
        <v>1.1040121463596599</v>
      </c>
      <c r="Q106" s="34">
        <v>1.1037128527334401</v>
      </c>
      <c r="R106" s="33">
        <v>50.269031680802797</v>
      </c>
      <c r="S106" s="33">
        <v>50.314090183103701</v>
      </c>
      <c r="T106" s="33">
        <v>50.308117205260402</v>
      </c>
      <c r="U106" s="15">
        <v>-8.1464935142568703E-4</v>
      </c>
      <c r="V106" s="15">
        <v>8.1296299893224093E-5</v>
      </c>
      <c r="W106" s="15">
        <v>-3.7424567106974898E-5</v>
      </c>
      <c r="X106" s="34">
        <v>1.10377358490566</v>
      </c>
      <c r="Y106" s="34">
        <v>1.1028747626327899</v>
      </c>
      <c r="Z106" s="34">
        <v>1.1040121463596599</v>
      </c>
      <c r="AA106" s="34">
        <v>1.1037128527334401</v>
      </c>
      <c r="AB106" s="33">
        <v>50.269031680802797</v>
      </c>
      <c r="AC106" s="33">
        <v>50.314090183103701</v>
      </c>
      <c r="AD106" s="33">
        <v>50.308117205260402</v>
      </c>
      <c r="AE106" s="15">
        <v>-8.1464935142568703E-4</v>
      </c>
      <c r="AF106" s="15">
        <v>8.1296299893224093E-5</v>
      </c>
      <c r="AG106" s="15">
        <v>-3.7424567106974898E-5</v>
      </c>
      <c r="AI106" s="12"/>
      <c r="AJ106">
        <f t="shared" si="26"/>
        <v>0</v>
      </c>
      <c r="AK106">
        <f t="shared" si="27"/>
        <v>0</v>
      </c>
      <c r="AL106">
        <f t="shared" si="34"/>
        <v>1</v>
      </c>
      <c r="AM106">
        <f t="shared" si="24"/>
        <v>1</v>
      </c>
      <c r="AN106">
        <f t="shared" si="35"/>
        <v>1</v>
      </c>
      <c r="AO106" s="28">
        <f t="shared" si="28"/>
        <v>-2.1937040781198699E-4</v>
      </c>
      <c r="AP106" s="28">
        <f t="shared" si="29"/>
        <v>5.9612520394268997E-4</v>
      </c>
      <c r="AQ106" s="28">
        <f t="shared" si="36"/>
        <v>3.7675479613070301E-4</v>
      </c>
      <c r="AR106" s="29">
        <f t="shared" si="37"/>
        <v>5.8881690788698425E-3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2.6838943031613533E-3</v>
      </c>
      <c r="BE106" s="29">
        <f t="shared" si="42"/>
        <v>3.7675479613070301E-4</v>
      </c>
      <c r="BF106" s="29">
        <f t="shared" si="43"/>
        <v>8.5720633820311962E-3</v>
      </c>
      <c r="BH106" s="29"/>
    </row>
    <row r="107" spans="1:60" x14ac:dyDescent="0.25">
      <c r="A107" s="1">
        <v>46177</v>
      </c>
      <c r="B107" s="33">
        <v>45.63</v>
      </c>
      <c r="C107" s="33">
        <v>50.38</v>
      </c>
      <c r="D107" s="15">
        <v>1.09637112177315E-3</v>
      </c>
      <c r="E107" s="15">
        <v>1.3904064212368801E-3</v>
      </c>
      <c r="F107" s="33">
        <v>0</v>
      </c>
      <c r="G107" s="33">
        <v>0.66991000000000001</v>
      </c>
      <c r="H107" s="33">
        <v>0</v>
      </c>
      <c r="I107" s="33">
        <v>0.71039999999999903</v>
      </c>
      <c r="J107" s="33">
        <v>0</v>
      </c>
      <c r="K107" s="33">
        <v>0</v>
      </c>
      <c r="L107" s="33">
        <v>45.63</v>
      </c>
      <c r="M107" s="33">
        <v>50.38</v>
      </c>
      <c r="N107" s="34">
        <v>1.10409818102125</v>
      </c>
      <c r="O107" s="34">
        <v>1.1028747626327899</v>
      </c>
      <c r="P107" s="34">
        <v>1.10412296113953</v>
      </c>
      <c r="Q107" s="34">
        <v>1.1037442116966301</v>
      </c>
      <c r="R107" s="33">
        <v>50.324175418934402</v>
      </c>
      <c r="S107" s="33">
        <v>50.376074238391503</v>
      </c>
      <c r="T107" s="33">
        <v>50.362417470227001</v>
      </c>
      <c r="U107" s="15">
        <v>-1.1086846508895801E-3</v>
      </c>
      <c r="V107" s="15">
        <v>-7.7926053393779495E-5</v>
      </c>
      <c r="W107" s="15">
        <v>-3.49059123118503E-4</v>
      </c>
      <c r="X107" s="34">
        <v>1.10409818102125</v>
      </c>
      <c r="Y107" s="34">
        <v>1.1028747626327899</v>
      </c>
      <c r="Z107" s="34">
        <v>1.10412296113953</v>
      </c>
      <c r="AA107" s="34">
        <v>1.1037442116966301</v>
      </c>
      <c r="AB107" s="33">
        <v>50.324175418934402</v>
      </c>
      <c r="AC107" s="33">
        <v>50.376074238391503</v>
      </c>
      <c r="AD107" s="33">
        <v>50.362417470227001</v>
      </c>
      <c r="AE107" s="15">
        <v>-1.1086846508895801E-3</v>
      </c>
      <c r="AF107" s="15">
        <v>-7.7926053393779495E-5</v>
      </c>
      <c r="AG107" s="15">
        <v>-3.49059123118503E-4</v>
      </c>
      <c r="AI107" s="12"/>
      <c r="AJ107">
        <f t="shared" si="26"/>
        <v>0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8">
        <f t="shared" si="28"/>
        <v>1.09637112177315E-3</v>
      </c>
      <c r="AP107" s="28">
        <f t="shared" si="29"/>
        <v>-1.3904064212368801E-3</v>
      </c>
      <c r="AQ107" s="28">
        <f t="shared" si="36"/>
        <v>-2.9403529946373007E-4</v>
      </c>
      <c r="AR107" s="29">
        <f t="shared" si="37"/>
        <v>5.594133779406112E-3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2.6838943031613533E-3</v>
      </c>
      <c r="BE107" s="29">
        <f t="shared" si="42"/>
        <v>-2.9403529946373007E-4</v>
      </c>
      <c r="BF107" s="29">
        <f t="shared" si="43"/>
        <v>8.2780280825674665E-3</v>
      </c>
      <c r="BH107" s="29"/>
    </row>
    <row r="108" spans="1:60" x14ac:dyDescent="0.25">
      <c r="A108" s="1">
        <v>46178</v>
      </c>
      <c r="B108" s="33">
        <v>45.56</v>
      </c>
      <c r="C108" s="33">
        <v>50.3</v>
      </c>
      <c r="D108" s="15">
        <v>-1.53525636032977E-3</v>
      </c>
      <c r="E108" s="15">
        <v>-1.58919381877075E-3</v>
      </c>
      <c r="F108" s="33">
        <v>0</v>
      </c>
      <c r="G108" s="33">
        <v>0.66991000000000001</v>
      </c>
      <c r="H108" s="33">
        <v>0</v>
      </c>
      <c r="I108" s="33">
        <v>0.71039999999999903</v>
      </c>
      <c r="J108" s="33">
        <v>0</v>
      </c>
      <c r="K108" s="33">
        <v>0</v>
      </c>
      <c r="L108" s="33">
        <v>45.56</v>
      </c>
      <c r="M108" s="33">
        <v>50.3</v>
      </c>
      <c r="N108" s="34">
        <v>1.10403863037752</v>
      </c>
      <c r="O108" s="34">
        <v>1.1028747626327899</v>
      </c>
      <c r="P108" s="34">
        <v>1.10421480824455</v>
      </c>
      <c r="Q108" s="34">
        <v>1.1037570491082001</v>
      </c>
      <c r="R108" s="33">
        <v>50.246974185550101</v>
      </c>
      <c r="S108" s="33">
        <v>50.303842109517099</v>
      </c>
      <c r="T108" s="33">
        <v>50.286586284898597</v>
      </c>
      <c r="U108" s="15">
        <v>-1.0547471924486399E-3</v>
      </c>
      <c r="V108" s="15">
        <v>7.6380969919584397E-5</v>
      </c>
      <c r="W108" s="15">
        <v>-2.6670982039140299E-4</v>
      </c>
      <c r="X108" s="34">
        <v>1.10403863037752</v>
      </c>
      <c r="Y108" s="34">
        <v>1.1028747626327899</v>
      </c>
      <c r="Z108" s="34">
        <v>1.10421480824455</v>
      </c>
      <c r="AA108" s="34">
        <v>1.1037570491082001</v>
      </c>
      <c r="AB108" s="33">
        <v>50.246974185550101</v>
      </c>
      <c r="AC108" s="33">
        <v>50.303842109517099</v>
      </c>
      <c r="AD108" s="33">
        <v>50.286586284898597</v>
      </c>
      <c r="AE108" s="15">
        <v>-1.0547471924486399E-3</v>
      </c>
      <c r="AF108" s="15">
        <v>7.6380969919584397E-5</v>
      </c>
      <c r="AG108" s="15">
        <v>-2.6670982039140299E-4</v>
      </c>
      <c r="AI108" s="12"/>
      <c r="AJ108">
        <f t="shared" si="26"/>
        <v>0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28">
        <f t="shared" si="28"/>
        <v>-1.53525636032977E-3</v>
      </c>
      <c r="AP108" s="28">
        <f t="shared" si="29"/>
        <v>1.58919381877075E-3</v>
      </c>
      <c r="AQ108" s="28">
        <f t="shared" si="36"/>
        <v>5.3937458440980052E-5</v>
      </c>
      <c r="AR108" s="29">
        <f t="shared" si="37"/>
        <v>5.648071237847092E-3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2.6838943031613533E-3</v>
      </c>
      <c r="BE108" s="29">
        <f t="shared" si="42"/>
        <v>5.3937458440980052E-5</v>
      </c>
      <c r="BF108" s="29">
        <f t="shared" si="43"/>
        <v>8.3319655410084466E-3</v>
      </c>
      <c r="BH108" s="29"/>
    </row>
    <row r="109" spans="1:60" x14ac:dyDescent="0.25">
      <c r="A109" s="1">
        <v>46181</v>
      </c>
      <c r="B109" s="33">
        <v>45.56</v>
      </c>
      <c r="C109" s="33">
        <v>50.29</v>
      </c>
      <c r="D109" s="15">
        <v>0</v>
      </c>
      <c r="E109" s="15">
        <v>-1.9882692182014299E-4</v>
      </c>
      <c r="F109" s="33">
        <v>0</v>
      </c>
      <c r="G109" s="33">
        <v>0.66991000000000001</v>
      </c>
      <c r="H109" s="33">
        <v>0</v>
      </c>
      <c r="I109" s="33">
        <v>0.71039999999999903</v>
      </c>
      <c r="J109" s="33">
        <v>0</v>
      </c>
      <c r="K109" s="33">
        <v>0</v>
      </c>
      <c r="L109" s="33">
        <v>45.56</v>
      </c>
      <c r="M109" s="33">
        <v>50.29</v>
      </c>
      <c r="N109" s="34">
        <v>1.1038191395961301</v>
      </c>
      <c r="O109" s="34">
        <v>1.1028747626327899</v>
      </c>
      <c r="P109" s="34">
        <v>1.10421831990277</v>
      </c>
      <c r="Q109" s="34">
        <v>1.1037403594169499</v>
      </c>
      <c r="R109" s="33">
        <v>50.246974185550101</v>
      </c>
      <c r="S109" s="33">
        <v>50.308026663622002</v>
      </c>
      <c r="T109" s="33">
        <v>50.287171157369997</v>
      </c>
      <c r="U109" s="15">
        <v>-8.5592027062859899E-4</v>
      </c>
      <c r="V109" s="15">
        <v>3.5839000848881999E-4</v>
      </c>
      <c r="W109" s="15">
        <v>-5.6252181249011198E-5</v>
      </c>
      <c r="X109" s="34">
        <v>1.1038191395961301</v>
      </c>
      <c r="Y109" s="34">
        <v>1.1028747626327899</v>
      </c>
      <c r="Z109" s="34">
        <v>1.10421831990277</v>
      </c>
      <c r="AA109" s="34">
        <v>1.1037403594169499</v>
      </c>
      <c r="AB109" s="33">
        <v>50.246974185550101</v>
      </c>
      <c r="AC109" s="33">
        <v>50.308026663622002</v>
      </c>
      <c r="AD109" s="33">
        <v>50.287171157369997</v>
      </c>
      <c r="AE109" s="15">
        <v>-8.5592027062859899E-4</v>
      </c>
      <c r="AF109" s="15">
        <v>3.5839000848881999E-4</v>
      </c>
      <c r="AG109" s="15">
        <v>-5.6252181249011198E-5</v>
      </c>
      <c r="AI109" s="12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8">
        <f t="shared" si="28"/>
        <v>0</v>
      </c>
      <c r="AP109" s="28">
        <f t="shared" si="29"/>
        <v>1.9882692182014299E-4</v>
      </c>
      <c r="AQ109" s="28">
        <f t="shared" si="36"/>
        <v>1.9882692182014299E-4</v>
      </c>
      <c r="AR109" s="29">
        <f t="shared" si="37"/>
        <v>5.8468981596672348E-3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2.6838943031613533E-3</v>
      </c>
      <c r="BE109" s="29">
        <f t="shared" si="42"/>
        <v>1.9882692182014299E-4</v>
      </c>
      <c r="BF109" s="29">
        <f t="shared" si="43"/>
        <v>8.5307924628285903E-3</v>
      </c>
      <c r="BH109" s="29"/>
    </row>
    <row r="110" spans="1:60" x14ac:dyDescent="0.25">
      <c r="A110" s="1">
        <v>46182</v>
      </c>
      <c r="B110" s="33">
        <v>45.59</v>
      </c>
      <c r="C110" s="33">
        <v>50.37</v>
      </c>
      <c r="D110" s="15">
        <v>6.5825564636871404E-4</v>
      </c>
      <c r="E110" s="15">
        <v>1.58950957368566E-3</v>
      </c>
      <c r="F110" s="33">
        <v>0</v>
      </c>
      <c r="G110" s="33">
        <v>0.66991000000000001</v>
      </c>
      <c r="H110" s="33">
        <v>0</v>
      </c>
      <c r="I110" s="33">
        <v>0.71039999999999903</v>
      </c>
      <c r="J110" s="33">
        <v>0</v>
      </c>
      <c r="K110" s="33">
        <v>0</v>
      </c>
      <c r="L110" s="33">
        <v>45.59</v>
      </c>
      <c r="M110" s="33">
        <v>50.37</v>
      </c>
      <c r="N110" s="34">
        <v>1.1048475542882199</v>
      </c>
      <c r="O110" s="34">
        <v>1.1028747626327899</v>
      </c>
      <c r="P110" s="34">
        <v>1.1043726788558199</v>
      </c>
      <c r="Q110" s="34">
        <v>1.1037959239445501</v>
      </c>
      <c r="R110" s="33">
        <v>50.280060428429103</v>
      </c>
      <c r="S110" s="33">
        <v>50.341313204367502</v>
      </c>
      <c r="T110" s="33">
        <v>50.319522985818899</v>
      </c>
      <c r="U110" s="15">
        <v>-1.7871741979455799E-3</v>
      </c>
      <c r="V110" s="15">
        <v>-5.6968369283485001E-4</v>
      </c>
      <c r="W110" s="15">
        <v>-1.00262702439626E-3</v>
      </c>
      <c r="X110" s="34">
        <v>1.1048475542882199</v>
      </c>
      <c r="Y110" s="34">
        <v>1.1028747626327899</v>
      </c>
      <c r="Z110" s="34">
        <v>1.1043726788558199</v>
      </c>
      <c r="AA110" s="34">
        <v>1.1037959239445501</v>
      </c>
      <c r="AB110" s="33">
        <v>50.280060428429103</v>
      </c>
      <c r="AC110" s="33">
        <v>50.341313204367502</v>
      </c>
      <c r="AD110" s="33">
        <v>50.319522985818899</v>
      </c>
      <c r="AE110" s="15">
        <v>-1.7871741979455799E-3</v>
      </c>
      <c r="AF110" s="15">
        <v>-5.6968369283485001E-4</v>
      </c>
      <c r="AG110" s="15">
        <v>-1.00262702439626E-3</v>
      </c>
      <c r="AI110" s="12"/>
      <c r="AJ110">
        <f t="shared" si="26"/>
        <v>1</v>
      </c>
      <c r="AK110">
        <f t="shared" si="27"/>
        <v>0</v>
      </c>
      <c r="AL110">
        <f t="shared" si="34"/>
        <v>1</v>
      </c>
      <c r="AM110">
        <f t="shared" si="24"/>
        <v>1</v>
      </c>
      <c r="AN110">
        <f t="shared" si="35"/>
        <v>1</v>
      </c>
      <c r="AO110" s="28">
        <f t="shared" si="28"/>
        <v>6.5825564636871404E-4</v>
      </c>
      <c r="AP110" s="28">
        <f t="shared" si="29"/>
        <v>-1.58950957368566E-3</v>
      </c>
      <c r="AQ110" s="28">
        <f t="shared" si="36"/>
        <v>-9.3125392731694594E-4</v>
      </c>
      <c r="AR110" s="29">
        <f t="shared" si="37"/>
        <v>4.9156442323502886E-3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2.6838943031613533E-3</v>
      </c>
      <c r="BE110" s="29">
        <f t="shared" si="42"/>
        <v>-9.3125392731694594E-4</v>
      </c>
      <c r="BF110" s="29">
        <f t="shared" si="43"/>
        <v>7.599538535511644E-3</v>
      </c>
      <c r="BH110" s="29"/>
    </row>
    <row r="111" spans="1:60" x14ac:dyDescent="0.25">
      <c r="A111" s="1">
        <v>46183</v>
      </c>
      <c r="B111" s="33">
        <v>45.5</v>
      </c>
      <c r="C111" s="33">
        <v>50.26</v>
      </c>
      <c r="D111" s="15">
        <v>-1.9760682684453901E-3</v>
      </c>
      <c r="E111" s="15">
        <v>-2.18622764211305E-3</v>
      </c>
      <c r="F111" s="33">
        <v>0</v>
      </c>
      <c r="G111" s="33">
        <v>0.66991000000000001</v>
      </c>
      <c r="H111" s="33">
        <v>0</v>
      </c>
      <c r="I111" s="33">
        <v>0.71039999999999903</v>
      </c>
      <c r="J111" s="33">
        <v>0</v>
      </c>
      <c r="K111" s="33">
        <v>0</v>
      </c>
      <c r="L111" s="33">
        <v>45.5</v>
      </c>
      <c r="M111" s="33">
        <v>50.26</v>
      </c>
      <c r="N111" s="34">
        <v>1.1046153846153799</v>
      </c>
      <c r="O111" s="34">
        <v>1.1028747626327899</v>
      </c>
      <c r="P111" s="34">
        <v>1.1043854711668999</v>
      </c>
      <c r="Q111" s="34">
        <v>1.10386490581014</v>
      </c>
      <c r="R111" s="33">
        <v>50.180801699792198</v>
      </c>
      <c r="S111" s="33">
        <v>50.248956887940103</v>
      </c>
      <c r="T111" s="33">
        <v>50.222714539477103</v>
      </c>
      <c r="U111" s="15">
        <v>-1.5770148242780901E-3</v>
      </c>
      <c r="V111" s="15">
        <v>-2.1974384067282199E-4</v>
      </c>
      <c r="W111" s="15">
        <v>-7.4212689028120495E-4</v>
      </c>
      <c r="X111" s="34">
        <v>1.1046153846153799</v>
      </c>
      <c r="Y111" s="34">
        <v>1.1028747626327899</v>
      </c>
      <c r="Z111" s="34">
        <v>1.1043854711668999</v>
      </c>
      <c r="AA111" s="34">
        <v>1.10386490581014</v>
      </c>
      <c r="AB111" s="33">
        <v>50.180801699792198</v>
      </c>
      <c r="AC111" s="33">
        <v>50.248956887940103</v>
      </c>
      <c r="AD111" s="33">
        <v>50.222714539477103</v>
      </c>
      <c r="AE111" s="15">
        <v>-1.5770148242780901E-3</v>
      </c>
      <c r="AF111" s="15">
        <v>-2.1974384067282199E-4</v>
      </c>
      <c r="AG111" s="15">
        <v>-7.4212689028120495E-4</v>
      </c>
      <c r="AI111" s="12"/>
      <c r="AJ111">
        <f t="shared" si="26"/>
        <v>0</v>
      </c>
      <c r="AK111">
        <f t="shared" si="27"/>
        <v>0</v>
      </c>
      <c r="AL111">
        <f t="shared" si="34"/>
        <v>1</v>
      </c>
      <c r="AM111">
        <f t="shared" si="24"/>
        <v>1</v>
      </c>
      <c r="AN111">
        <f t="shared" si="35"/>
        <v>1</v>
      </c>
      <c r="AO111" s="28">
        <f t="shared" si="28"/>
        <v>-1.9760682684453901E-3</v>
      </c>
      <c r="AP111" s="28">
        <f t="shared" si="29"/>
        <v>2.18622764211305E-3</v>
      </c>
      <c r="AQ111" s="28">
        <f t="shared" si="36"/>
        <v>2.1015937366765988E-4</v>
      </c>
      <c r="AR111" s="29">
        <f t="shared" si="37"/>
        <v>5.1258036060179485E-3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2.6838943031613533E-3</v>
      </c>
      <c r="BE111" s="29">
        <f t="shared" si="42"/>
        <v>2.1015937366765988E-4</v>
      </c>
      <c r="BF111" s="29">
        <f t="shared" si="43"/>
        <v>7.8096979091793039E-3</v>
      </c>
      <c r="BH111" s="29"/>
    </row>
    <row r="112" spans="1:60" x14ac:dyDescent="0.25">
      <c r="A112" s="1">
        <v>46184</v>
      </c>
      <c r="B112" s="33">
        <v>45.61</v>
      </c>
      <c r="C112" s="33">
        <v>50.34</v>
      </c>
      <c r="D112" s="15">
        <v>2.41466476670441E-3</v>
      </c>
      <c r="E112" s="15">
        <v>1.59045759172385E-3</v>
      </c>
      <c r="F112" s="33">
        <v>0</v>
      </c>
      <c r="G112" s="33">
        <v>0.66991000000000001</v>
      </c>
      <c r="H112" s="33">
        <v>0</v>
      </c>
      <c r="I112" s="33">
        <v>0.71039999999999903</v>
      </c>
      <c r="J112" s="33">
        <v>0</v>
      </c>
      <c r="K112" s="33">
        <v>0</v>
      </c>
      <c r="L112" s="33">
        <v>45.61</v>
      </c>
      <c r="M112" s="33">
        <v>50.34</v>
      </c>
      <c r="N112" s="34">
        <v>1.1037053277789901</v>
      </c>
      <c r="O112" s="34">
        <v>1.1028747626327899</v>
      </c>
      <c r="P112" s="34">
        <v>1.1043233221965001</v>
      </c>
      <c r="Q112" s="34">
        <v>1.10384964333175</v>
      </c>
      <c r="R112" s="33">
        <v>50.302117923681799</v>
      </c>
      <c r="S112" s="33">
        <v>50.3710213399224</v>
      </c>
      <c r="T112" s="33">
        <v>50.3472783540007</v>
      </c>
      <c r="U112" s="15">
        <v>-7.5280764929751601E-4</v>
      </c>
      <c r="V112" s="15">
        <v>6.1604659531482801E-4</v>
      </c>
      <c r="W112" s="15">
        <v>1.4457345818378299E-4</v>
      </c>
      <c r="X112" s="34">
        <v>1.1037053277789901</v>
      </c>
      <c r="Y112" s="34">
        <v>1.1028747626327899</v>
      </c>
      <c r="Z112" s="34">
        <v>1.1043233221965001</v>
      </c>
      <c r="AA112" s="34">
        <v>1.10384964333175</v>
      </c>
      <c r="AB112" s="33">
        <v>50.302117923681799</v>
      </c>
      <c r="AC112" s="33">
        <v>50.3710213399224</v>
      </c>
      <c r="AD112" s="33">
        <v>50.3472783540007</v>
      </c>
      <c r="AE112" s="15">
        <v>-7.5280764929751601E-4</v>
      </c>
      <c r="AF112" s="15">
        <v>6.1604659531482801E-4</v>
      </c>
      <c r="AG112" s="15">
        <v>1.4457345818378299E-4</v>
      </c>
      <c r="AI112" s="12"/>
      <c r="AJ112">
        <f t="shared" si="26"/>
        <v>0</v>
      </c>
      <c r="AK112">
        <f t="shared" si="27"/>
        <v>1</v>
      </c>
      <c r="AL112">
        <f t="shared" si="34"/>
        <v>1</v>
      </c>
      <c r="AM112">
        <f t="shared" si="24"/>
        <v>1</v>
      </c>
      <c r="AN112">
        <f t="shared" si="35"/>
        <v>1</v>
      </c>
      <c r="AO112" s="28">
        <f t="shared" si="28"/>
        <v>2.41466476670441E-3</v>
      </c>
      <c r="AP112" s="28">
        <f t="shared" si="29"/>
        <v>-1.59045759172385E-3</v>
      </c>
      <c r="AQ112" s="28">
        <f t="shared" si="36"/>
        <v>8.2420717498055997E-4</v>
      </c>
      <c r="AR112" s="29">
        <f t="shared" si="37"/>
        <v>5.9500107809985084E-3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2.6838943031613533E-3</v>
      </c>
      <c r="BE112" s="29">
        <f t="shared" si="42"/>
        <v>8.2420717498055997E-4</v>
      </c>
      <c r="BF112" s="29">
        <f t="shared" si="43"/>
        <v>8.6339050841598639E-3</v>
      </c>
      <c r="BH112" s="29"/>
    </row>
    <row r="113" spans="1:60" x14ac:dyDescent="0.25">
      <c r="A113" s="1">
        <v>46185</v>
      </c>
      <c r="B113" s="33">
        <v>45.55</v>
      </c>
      <c r="C113" s="33">
        <v>50.3</v>
      </c>
      <c r="D113" s="15">
        <v>-1.3163670176418001E-3</v>
      </c>
      <c r="E113" s="15">
        <v>-7.9491260147636095E-4</v>
      </c>
      <c r="F113" s="33">
        <v>0</v>
      </c>
      <c r="G113" s="33">
        <v>0.66991000000000001</v>
      </c>
      <c r="H113" s="33">
        <v>0</v>
      </c>
      <c r="I113" s="33">
        <v>0.71039999999999903</v>
      </c>
      <c r="J113" s="33">
        <v>0</v>
      </c>
      <c r="K113" s="33">
        <v>0</v>
      </c>
      <c r="L113" s="33">
        <v>45.55</v>
      </c>
      <c r="M113" s="33">
        <v>50.3</v>
      </c>
      <c r="N113" s="34">
        <v>1.1042810098792499</v>
      </c>
      <c r="O113" s="34">
        <v>1.1028747626327899</v>
      </c>
      <c r="P113" s="34">
        <v>1.10428860239039</v>
      </c>
      <c r="Q113" s="34">
        <v>1.1039182553065401</v>
      </c>
      <c r="R113" s="33">
        <v>50.235945437923803</v>
      </c>
      <c r="S113" s="33">
        <v>50.301927326050802</v>
      </c>
      <c r="T113" s="33">
        <v>50.280351253761197</v>
      </c>
      <c r="U113" s="15">
        <v>-1.2742620654627901E-3</v>
      </c>
      <c r="V113" s="15">
        <v>3.8315887225965E-5</v>
      </c>
      <c r="W113" s="15">
        <v>-3.9070745416429201E-4</v>
      </c>
      <c r="X113" s="34">
        <v>1.1042810098792499</v>
      </c>
      <c r="Y113" s="34">
        <v>1.1028747626327899</v>
      </c>
      <c r="Z113" s="34">
        <v>1.10428860239039</v>
      </c>
      <c r="AA113" s="34">
        <v>1.1039182553065401</v>
      </c>
      <c r="AB113" s="33">
        <v>50.235945437923803</v>
      </c>
      <c r="AC113" s="33">
        <v>50.301927326050802</v>
      </c>
      <c r="AD113" s="33">
        <v>50.280351253761197</v>
      </c>
      <c r="AE113" s="15">
        <v>-1.2742620654627901E-3</v>
      </c>
      <c r="AF113" s="15">
        <v>3.8315887225965E-5</v>
      </c>
      <c r="AG113" s="15">
        <v>-3.9070745416429201E-4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5.9500107809985084E-3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2.6838943031613533E-3</v>
      </c>
      <c r="BE113" s="29">
        <f t="shared" si="42"/>
        <v>0</v>
      </c>
      <c r="BF113" s="29">
        <f t="shared" si="43"/>
        <v>8.6339050841598639E-3</v>
      </c>
      <c r="BH113" s="29"/>
    </row>
    <row r="114" spans="1:60" x14ac:dyDescent="0.25">
      <c r="A114" s="1">
        <v>46188</v>
      </c>
      <c r="B114" s="33">
        <v>45.59</v>
      </c>
      <c r="C114" s="33">
        <v>50.35</v>
      </c>
      <c r="D114" s="15">
        <v>8.7777051938291097E-4</v>
      </c>
      <c r="E114" s="15">
        <v>9.9354205887795702E-4</v>
      </c>
      <c r="F114" s="33">
        <v>0</v>
      </c>
      <c r="G114" s="33">
        <v>0.66991000000000001</v>
      </c>
      <c r="H114" s="33">
        <v>0</v>
      </c>
      <c r="I114" s="33">
        <v>0.71039999999999903</v>
      </c>
      <c r="J114" s="33">
        <v>0</v>
      </c>
      <c r="K114" s="33">
        <v>0</v>
      </c>
      <c r="L114" s="33">
        <v>45.59</v>
      </c>
      <c r="M114" s="33">
        <v>50.35</v>
      </c>
      <c r="N114" s="34">
        <v>1.1044088615924501</v>
      </c>
      <c r="O114" s="34">
        <v>1.1028747626327899</v>
      </c>
      <c r="P114" s="34">
        <v>1.10417771892994</v>
      </c>
      <c r="Q114" s="34">
        <v>1.10396819351459</v>
      </c>
      <c r="R114" s="33">
        <v>50.280060428429103</v>
      </c>
      <c r="S114" s="33">
        <v>50.344517382978196</v>
      </c>
      <c r="T114" s="33">
        <v>50.327633259425298</v>
      </c>
      <c r="U114" s="15">
        <v>-1.3900336049577999E-3</v>
      </c>
      <c r="V114" s="15">
        <v>-1.08896038626701E-4</v>
      </c>
      <c r="W114" s="15">
        <v>-4.44323932109589E-4</v>
      </c>
      <c r="X114" s="34">
        <v>1.1044088615924501</v>
      </c>
      <c r="Y114" s="34">
        <v>1.1028747626327899</v>
      </c>
      <c r="Z114" s="34">
        <v>1.10417771892994</v>
      </c>
      <c r="AA114" s="34">
        <v>1.10396819351459</v>
      </c>
      <c r="AB114" s="33">
        <v>50.280060428429103</v>
      </c>
      <c r="AC114" s="33">
        <v>50.344517382978196</v>
      </c>
      <c r="AD114" s="33">
        <v>50.327633259425298</v>
      </c>
      <c r="AE114" s="15">
        <v>-1.3900336049577999E-3</v>
      </c>
      <c r="AF114" s="15">
        <v>-1.08896038626701E-4</v>
      </c>
      <c r="AG114" s="15">
        <v>-4.44323932109589E-4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5.9500107809985084E-3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2.6838943031613533E-3</v>
      </c>
      <c r="BE114" s="29">
        <f t="shared" si="42"/>
        <v>0</v>
      </c>
      <c r="BF114" s="29">
        <f t="shared" si="43"/>
        <v>8.6339050841598639E-3</v>
      </c>
      <c r="BH114" s="29"/>
    </row>
    <row r="115" spans="1:60" x14ac:dyDescent="0.25">
      <c r="A115" s="1">
        <v>46189</v>
      </c>
      <c r="B115" s="33">
        <v>45.59</v>
      </c>
      <c r="C115" s="33">
        <v>50.35</v>
      </c>
      <c r="D115" s="15">
        <v>0</v>
      </c>
      <c r="E115" s="15">
        <v>0</v>
      </c>
      <c r="F115" s="33">
        <v>0</v>
      </c>
      <c r="G115" s="33">
        <v>0.66991000000000001</v>
      </c>
      <c r="H115" s="33">
        <v>0</v>
      </c>
      <c r="I115" s="33">
        <v>0.71039999999999903</v>
      </c>
      <c r="J115" s="33">
        <v>0</v>
      </c>
      <c r="K115" s="33">
        <v>0</v>
      </c>
      <c r="L115" s="33">
        <v>45.59</v>
      </c>
      <c r="M115" s="33">
        <v>50.35</v>
      </c>
      <c r="N115" s="34">
        <v>1.1044088615924501</v>
      </c>
      <c r="O115" s="34">
        <v>1.1028747626327899</v>
      </c>
      <c r="P115" s="34">
        <v>1.10419965356473</v>
      </c>
      <c r="Q115" s="34">
        <v>1.10403148741316</v>
      </c>
      <c r="R115" s="33">
        <v>50.280060428429103</v>
      </c>
      <c r="S115" s="33">
        <v>50.339462206016201</v>
      </c>
      <c r="T115" s="33">
        <v>50.329909942330502</v>
      </c>
      <c r="U115" s="15">
        <v>-1.3900336049577999E-3</v>
      </c>
      <c r="V115" s="15">
        <v>-2.0931274815370399E-4</v>
      </c>
      <c r="W115" s="15">
        <v>-3.9908772162431999E-4</v>
      </c>
      <c r="X115" s="34">
        <v>1.1044088615924501</v>
      </c>
      <c r="Y115" s="34">
        <v>1.1028747626327899</v>
      </c>
      <c r="Z115" s="34">
        <v>1.10419965356473</v>
      </c>
      <c r="AA115" s="34">
        <v>1.10403148741316</v>
      </c>
      <c r="AB115" s="33">
        <v>50.280060428429103</v>
      </c>
      <c r="AC115" s="33">
        <v>50.339462206016201</v>
      </c>
      <c r="AD115" s="33">
        <v>50.329909942330502</v>
      </c>
      <c r="AE115" s="15">
        <v>-1.3900336049577999E-3</v>
      </c>
      <c r="AF115" s="15">
        <v>-2.0931274815370399E-4</v>
      </c>
      <c r="AG115" s="15">
        <v>-3.9908772162431999E-4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5.9500107809985084E-3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2.6838943031613533E-3</v>
      </c>
      <c r="BE115" s="29">
        <f t="shared" si="42"/>
        <v>0</v>
      </c>
      <c r="BF115" s="29">
        <f t="shared" si="43"/>
        <v>8.6339050841598639E-3</v>
      </c>
      <c r="BH115" s="29"/>
    </row>
    <row r="116" spans="1:60" x14ac:dyDescent="0.25">
      <c r="A116" s="1">
        <v>46190</v>
      </c>
      <c r="B116" s="33">
        <v>45.54</v>
      </c>
      <c r="C116" s="33">
        <v>50.29</v>
      </c>
      <c r="D116" s="15">
        <v>-1.0973335897565401E-3</v>
      </c>
      <c r="E116" s="15">
        <v>-1.19236898069796E-3</v>
      </c>
      <c r="F116" s="33">
        <v>0</v>
      </c>
      <c r="G116" s="33">
        <v>0.66991000000000001</v>
      </c>
      <c r="H116" s="33">
        <v>0</v>
      </c>
      <c r="I116" s="33">
        <v>0.71039999999999903</v>
      </c>
      <c r="J116" s="33">
        <v>0</v>
      </c>
      <c r="K116" s="33">
        <v>0</v>
      </c>
      <c r="L116" s="33">
        <v>45.54</v>
      </c>
      <c r="M116" s="33">
        <v>50.29</v>
      </c>
      <c r="N116" s="34">
        <v>1.1043039086517299</v>
      </c>
      <c r="O116" s="34">
        <v>1.1028747626327899</v>
      </c>
      <c r="P116" s="34">
        <v>1.10425268593934</v>
      </c>
      <c r="Q116" s="34">
        <v>1.1041324161495001</v>
      </c>
      <c r="R116" s="33">
        <v>50.224916690297498</v>
      </c>
      <c r="S116" s="33">
        <v>50.285252223337999</v>
      </c>
      <c r="T116" s="33">
        <v>50.277593936795597</v>
      </c>
      <c r="U116" s="15">
        <v>-1.2949982140165301E-3</v>
      </c>
      <c r="V116" s="15">
        <v>-9.4412423743817003E-5</v>
      </c>
      <c r="W116" s="15">
        <v>-2.4672089251901802E-4</v>
      </c>
      <c r="X116" s="34">
        <v>1.1043039086517299</v>
      </c>
      <c r="Y116" s="34">
        <v>1.1028747626327899</v>
      </c>
      <c r="Z116" s="34">
        <v>1.10425268593934</v>
      </c>
      <c r="AA116" s="34">
        <v>1.1041324161495001</v>
      </c>
      <c r="AB116" s="33">
        <v>50.224916690297498</v>
      </c>
      <c r="AC116" s="33">
        <v>50.285252223337999</v>
      </c>
      <c r="AD116" s="33">
        <v>50.277593936795597</v>
      </c>
      <c r="AE116" s="15">
        <v>-1.2949982140165301E-3</v>
      </c>
      <c r="AF116" s="15">
        <v>-9.4412423743817003E-5</v>
      </c>
      <c r="AG116" s="15">
        <v>-2.4672089251901802E-4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5.9500107809985084E-3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2.6838943031613533E-3</v>
      </c>
      <c r="BE116" s="29">
        <f t="shared" si="42"/>
        <v>0</v>
      </c>
      <c r="BF116" s="29">
        <f t="shared" si="43"/>
        <v>8.6339050841598639E-3</v>
      </c>
      <c r="BH116" s="29"/>
    </row>
    <row r="117" spans="1:60" x14ac:dyDescent="0.25">
      <c r="A117" s="1">
        <v>46191</v>
      </c>
      <c r="B117" s="33">
        <v>45.67</v>
      </c>
      <c r="C117" s="33">
        <v>50.45</v>
      </c>
      <c r="D117" s="15">
        <v>2.85056656131407E-3</v>
      </c>
      <c r="E117" s="15">
        <v>3.1764966157446198E-3</v>
      </c>
      <c r="F117" s="33">
        <v>0</v>
      </c>
      <c r="G117" s="33">
        <v>0.66991000000000001</v>
      </c>
      <c r="H117" s="33">
        <v>0</v>
      </c>
      <c r="I117" s="33">
        <v>0.71039999999999903</v>
      </c>
      <c r="J117" s="33">
        <v>0</v>
      </c>
      <c r="K117" s="33">
        <v>0</v>
      </c>
      <c r="L117" s="33">
        <v>45.67</v>
      </c>
      <c r="M117" s="33">
        <v>50.45</v>
      </c>
      <c r="N117" s="34">
        <v>1.1046638931464801</v>
      </c>
      <c r="O117" s="34">
        <v>1.1028747626327899</v>
      </c>
      <c r="P117" s="34">
        <v>1.10430925715186</v>
      </c>
      <c r="Q117" s="34">
        <v>1.1042161091456899</v>
      </c>
      <c r="R117" s="33">
        <v>50.368290409439702</v>
      </c>
      <c r="S117" s="33">
        <v>50.431220166849698</v>
      </c>
      <c r="T117" s="33">
        <v>50.4257274455478</v>
      </c>
      <c r="U117" s="15">
        <v>-1.62092826844704E-3</v>
      </c>
      <c r="V117" s="15">
        <v>-3.7231574590667498E-4</v>
      </c>
      <c r="W117" s="15">
        <v>-4.8123677588745098E-4</v>
      </c>
      <c r="X117" s="34">
        <v>1.1046638931464801</v>
      </c>
      <c r="Y117" s="34">
        <v>1.1028747626327899</v>
      </c>
      <c r="Z117" s="34">
        <v>1.10430925715186</v>
      </c>
      <c r="AA117" s="34">
        <v>1.1042161091456899</v>
      </c>
      <c r="AB117" s="33">
        <v>50.368290409439702</v>
      </c>
      <c r="AC117" s="33">
        <v>50.431220166849698</v>
      </c>
      <c r="AD117" s="33">
        <v>50.4257274455478</v>
      </c>
      <c r="AE117" s="15">
        <v>-1.62092826844704E-3</v>
      </c>
      <c r="AF117" s="15">
        <v>-3.7231574590667498E-4</v>
      </c>
      <c r="AG117" s="15">
        <v>-4.8123677588745098E-4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5.9500107809985084E-3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2.6838943031613533E-3</v>
      </c>
      <c r="BE117" s="29">
        <f t="shared" si="42"/>
        <v>0</v>
      </c>
      <c r="BF117" s="29">
        <f t="shared" si="43"/>
        <v>8.6339050841598639E-3</v>
      </c>
      <c r="BH117" s="29"/>
    </row>
    <row r="118" spans="1:60" x14ac:dyDescent="0.25">
      <c r="A118" s="1">
        <v>46195</v>
      </c>
      <c r="B118" s="33">
        <v>45.67</v>
      </c>
      <c r="C118" s="33">
        <v>50.44</v>
      </c>
      <c r="D118" s="15">
        <v>0</v>
      </c>
      <c r="E118" s="15">
        <v>-1.9823570289929099E-4</v>
      </c>
      <c r="F118" s="33">
        <v>0</v>
      </c>
      <c r="G118" s="33">
        <v>0.66991000000000001</v>
      </c>
      <c r="H118" s="33">
        <v>0</v>
      </c>
      <c r="I118" s="33">
        <v>0.71039999999999903</v>
      </c>
      <c r="J118" s="33">
        <v>0</v>
      </c>
      <c r="K118" s="33">
        <v>0</v>
      </c>
      <c r="L118" s="33">
        <v>45.67</v>
      </c>
      <c r="M118" s="33">
        <v>50.44</v>
      </c>
      <c r="N118" s="34">
        <v>1.10444493102693</v>
      </c>
      <c r="O118" s="34">
        <v>1.1028747626327899</v>
      </c>
      <c r="P118" s="34">
        <v>1.1043498872168001</v>
      </c>
      <c r="Q118" s="34">
        <v>1.10428234773068</v>
      </c>
      <c r="R118" s="33">
        <v>50.368290409439702</v>
      </c>
      <c r="S118" s="33">
        <v>50.4338037741256</v>
      </c>
      <c r="T118" s="33">
        <v>50.429549704684</v>
      </c>
      <c r="U118" s="15">
        <v>-1.4226925655477999E-3</v>
      </c>
      <c r="V118" s="15">
        <v>-1.2285104061342901E-4</v>
      </c>
      <c r="W118" s="15">
        <v>-2.0720416387151001E-4</v>
      </c>
      <c r="X118" s="34">
        <v>1.10444493102693</v>
      </c>
      <c r="Y118" s="34">
        <v>1.1028747626327899</v>
      </c>
      <c r="Z118" s="34">
        <v>1.1043498872168001</v>
      </c>
      <c r="AA118" s="34">
        <v>1.10428234773068</v>
      </c>
      <c r="AB118" s="33">
        <v>50.368290409439702</v>
      </c>
      <c r="AC118" s="33">
        <v>50.4338037741256</v>
      </c>
      <c r="AD118" s="33">
        <v>50.429549704684</v>
      </c>
      <c r="AE118" s="15">
        <v>-1.4226925655477999E-3</v>
      </c>
      <c r="AF118" s="15">
        <v>-1.2285104061342901E-4</v>
      </c>
      <c r="AG118" s="15">
        <v>-2.0720416387151001E-4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5.9500107809985084E-3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2.6838943031613533E-3</v>
      </c>
      <c r="BE118" s="29">
        <f t="shared" si="42"/>
        <v>0</v>
      </c>
      <c r="BF118" s="29">
        <f t="shared" si="43"/>
        <v>8.6339050841598639E-3</v>
      </c>
      <c r="BH118" s="29"/>
    </row>
    <row r="119" spans="1:60" x14ac:dyDescent="0.25">
      <c r="A119" s="1">
        <v>46196</v>
      </c>
      <c r="B119" s="33">
        <v>45.61</v>
      </c>
      <c r="C119" s="33">
        <v>50.43</v>
      </c>
      <c r="D119" s="15">
        <v>-1.31463647329854E-3</v>
      </c>
      <c r="E119" s="15">
        <v>-1.9827500808487699E-4</v>
      </c>
      <c r="F119" s="33">
        <v>0</v>
      </c>
      <c r="G119" s="33">
        <v>0.66991000000000001</v>
      </c>
      <c r="H119" s="33">
        <v>0</v>
      </c>
      <c r="I119" s="33">
        <v>0.71039999999999903</v>
      </c>
      <c r="J119" s="33">
        <v>0</v>
      </c>
      <c r="K119" s="33">
        <v>0</v>
      </c>
      <c r="L119" s="33">
        <v>45.61</v>
      </c>
      <c r="M119" s="33">
        <v>50.43</v>
      </c>
      <c r="N119" s="34">
        <v>1.1056785792589301</v>
      </c>
      <c r="O119" s="34">
        <v>1.1028747626327899</v>
      </c>
      <c r="P119" s="34">
        <v>1.10453583118308</v>
      </c>
      <c r="Q119" s="34">
        <v>1.1043770755429301</v>
      </c>
      <c r="R119" s="33">
        <v>50.302117923681799</v>
      </c>
      <c r="S119" s="33">
        <v>50.369398355958403</v>
      </c>
      <c r="T119" s="33">
        <v>50.366317879996302</v>
      </c>
      <c r="U119" s="15">
        <v>-2.5390540307615901E-3</v>
      </c>
      <c r="V119" s="15">
        <v>-1.2024208940030899E-3</v>
      </c>
      <c r="W119" s="15">
        <v>-1.2635804524637601E-3</v>
      </c>
      <c r="X119" s="34">
        <v>1.1056785792589301</v>
      </c>
      <c r="Y119" s="34">
        <v>1.1028747626327899</v>
      </c>
      <c r="Z119" s="34">
        <v>1.10453583118308</v>
      </c>
      <c r="AA119" s="34">
        <v>1.1043770755429301</v>
      </c>
      <c r="AB119" s="33">
        <v>50.302117923681799</v>
      </c>
      <c r="AC119" s="33">
        <v>50.369398355958403</v>
      </c>
      <c r="AD119" s="33">
        <v>50.366317879996302</v>
      </c>
      <c r="AE119" s="15">
        <v>-2.5390540307615901E-3</v>
      </c>
      <c r="AF119" s="15">
        <v>-1.2024208940030899E-3</v>
      </c>
      <c r="AG119" s="15">
        <v>-1.2635804524637601E-3</v>
      </c>
      <c r="AI119" s="12"/>
      <c r="AJ119">
        <f t="shared" si="26"/>
        <v>1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5.9500107809985084E-3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2.6838943031613533E-3</v>
      </c>
      <c r="BE119" s="29">
        <f t="shared" si="42"/>
        <v>0</v>
      </c>
      <c r="BF119" s="29">
        <f t="shared" si="43"/>
        <v>8.6339050841598639E-3</v>
      </c>
      <c r="BH119" s="29"/>
    </row>
    <row r="120" spans="1:60" x14ac:dyDescent="0.25">
      <c r="A120" s="1">
        <v>46197</v>
      </c>
      <c r="B120" s="33">
        <v>45.71</v>
      </c>
      <c r="C120" s="33">
        <v>50.49</v>
      </c>
      <c r="D120" s="15">
        <v>2.1901016200439301E-3</v>
      </c>
      <c r="E120" s="15">
        <v>1.18906078219053E-3</v>
      </c>
      <c r="F120" s="33">
        <v>0</v>
      </c>
      <c r="G120" s="33">
        <v>0.66991000000000001</v>
      </c>
      <c r="H120" s="33">
        <v>0</v>
      </c>
      <c r="I120" s="33">
        <v>0.71039999999999903</v>
      </c>
      <c r="J120" s="33">
        <v>0</v>
      </c>
      <c r="K120" s="33">
        <v>0</v>
      </c>
      <c r="L120" s="33">
        <v>45.71</v>
      </c>
      <c r="M120" s="33">
        <v>50.49</v>
      </c>
      <c r="N120" s="34">
        <v>1.10457230365346</v>
      </c>
      <c r="O120" s="34">
        <v>1.1028747626327899</v>
      </c>
      <c r="P120" s="34">
        <v>1.1045083061195999</v>
      </c>
      <c r="Q120" s="34">
        <v>1.10444049248771</v>
      </c>
      <c r="R120" s="33">
        <v>50.412405399945101</v>
      </c>
      <c r="S120" s="33">
        <v>50.488332843378799</v>
      </c>
      <c r="T120" s="33">
        <v>50.481076123067297</v>
      </c>
      <c r="U120" s="15">
        <v>-1.5380131929080599E-3</v>
      </c>
      <c r="V120" s="15">
        <v>-3.3020086079649402E-5</v>
      </c>
      <c r="W120" s="15">
        <v>-1.7676105472009499E-4</v>
      </c>
      <c r="X120" s="34">
        <v>1.10457230365346</v>
      </c>
      <c r="Y120" s="34">
        <v>1.1028747626327899</v>
      </c>
      <c r="Z120" s="34">
        <v>1.1045083061195999</v>
      </c>
      <c r="AA120" s="34">
        <v>1.10444049248771</v>
      </c>
      <c r="AB120" s="33">
        <v>50.412405399945101</v>
      </c>
      <c r="AC120" s="33">
        <v>50.488332843378799</v>
      </c>
      <c r="AD120" s="33">
        <v>50.481076123067297</v>
      </c>
      <c r="AE120" s="15">
        <v>-1.5380131929080599E-3</v>
      </c>
      <c r="AF120" s="15">
        <v>-3.3020086079649402E-5</v>
      </c>
      <c r="AG120" s="15">
        <v>-1.7676105472009499E-4</v>
      </c>
      <c r="AI120" s="12"/>
      <c r="AJ120">
        <f t="shared" si="26"/>
        <v>0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2.1901016200439301E-3</v>
      </c>
      <c r="AP120" s="28">
        <f t="shared" si="29"/>
        <v>-1.18906078219053E-3</v>
      </c>
      <c r="AQ120" s="28">
        <f t="shared" si="36"/>
        <v>1.0010408378534001E-3</v>
      </c>
      <c r="AR120" s="29">
        <f t="shared" si="37"/>
        <v>6.9510516188519087E-3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2.6838943031613533E-3</v>
      </c>
      <c r="BE120" s="29">
        <f t="shared" si="42"/>
        <v>1.0010408378534001E-3</v>
      </c>
      <c r="BF120" s="29">
        <f t="shared" si="43"/>
        <v>9.6349459220132633E-3</v>
      </c>
      <c r="BH120" s="29"/>
    </row>
    <row r="121" spans="1:60" x14ac:dyDescent="0.25">
      <c r="A121" s="1">
        <v>46198</v>
      </c>
      <c r="B121" s="33">
        <v>45.73</v>
      </c>
      <c r="C121" s="33">
        <v>50.53</v>
      </c>
      <c r="D121" s="15">
        <v>4.3744532631082202E-4</v>
      </c>
      <c r="E121" s="15">
        <v>7.9192243299285102E-4</v>
      </c>
      <c r="F121" s="33">
        <v>0</v>
      </c>
      <c r="G121" s="33">
        <v>0.66991000000000001</v>
      </c>
      <c r="H121" s="33">
        <v>0</v>
      </c>
      <c r="I121" s="33">
        <v>0.71039999999999903</v>
      </c>
      <c r="J121" s="33">
        <v>0</v>
      </c>
      <c r="K121" s="33">
        <v>0</v>
      </c>
      <c r="L121" s="33">
        <v>45.73</v>
      </c>
      <c r="M121" s="33">
        <v>50.53</v>
      </c>
      <c r="N121" s="34">
        <v>1.1049639186529601</v>
      </c>
      <c r="O121" s="34">
        <v>1.1028747626327899</v>
      </c>
      <c r="P121" s="34">
        <v>1.1045431595233599</v>
      </c>
      <c r="Q121" s="34">
        <v>1.1044643153451299</v>
      </c>
      <c r="R121" s="33">
        <v>50.434462895197697</v>
      </c>
      <c r="S121" s="33">
        <v>50.509164838849699</v>
      </c>
      <c r="T121" s="33">
        <v>50.506063721463299</v>
      </c>
      <c r="U121" s="15">
        <v>-1.8924902995901499E-3</v>
      </c>
      <c r="V121" s="15">
        <v>-4.12417530940576E-4</v>
      </c>
      <c r="W121" s="15">
        <v>-4.7381653842786198E-4</v>
      </c>
      <c r="X121" s="34">
        <v>1.1049639186529601</v>
      </c>
      <c r="Y121" s="34">
        <v>1.1028747626327899</v>
      </c>
      <c r="Z121" s="34">
        <v>1.1045431595233599</v>
      </c>
      <c r="AA121" s="34">
        <v>1.1044643153451299</v>
      </c>
      <c r="AB121" s="33">
        <v>50.434462895197697</v>
      </c>
      <c r="AC121" s="33">
        <v>50.509164838849699</v>
      </c>
      <c r="AD121" s="33">
        <v>50.506063721463299</v>
      </c>
      <c r="AE121" s="15">
        <v>-1.8924902995901499E-3</v>
      </c>
      <c r="AF121" s="15">
        <v>-4.12417530940576E-4</v>
      </c>
      <c r="AG121" s="15">
        <v>-4.7381653842786198E-4</v>
      </c>
      <c r="AI121" s="12"/>
      <c r="AJ121">
        <f t="shared" si="26"/>
        <v>0</v>
      </c>
      <c r="AK121">
        <f t="shared" si="27"/>
        <v>0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4.3744532631082202E-4</v>
      </c>
      <c r="AP121" s="28">
        <f t="shared" si="29"/>
        <v>-7.9192243299285102E-4</v>
      </c>
      <c r="AQ121" s="28">
        <f t="shared" si="36"/>
        <v>-3.54477106682029E-4</v>
      </c>
      <c r="AR121" s="29">
        <f t="shared" si="37"/>
        <v>6.5965745121698794E-3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2.6838943031613533E-3</v>
      </c>
      <c r="BE121" s="29">
        <f t="shared" si="42"/>
        <v>-3.54477106682029E-4</v>
      </c>
      <c r="BF121" s="29">
        <f t="shared" si="43"/>
        <v>9.2804688153312349E-3</v>
      </c>
      <c r="BH121" s="29"/>
    </row>
    <row r="122" spans="1:60" x14ac:dyDescent="0.25">
      <c r="A122" s="1">
        <v>46199</v>
      </c>
      <c r="B122" s="33">
        <v>45.76</v>
      </c>
      <c r="C122" s="33">
        <v>50.56</v>
      </c>
      <c r="D122" s="15">
        <v>6.5580940157859702E-4</v>
      </c>
      <c r="E122" s="15">
        <v>5.9353053478488097E-4</v>
      </c>
      <c r="F122" s="33">
        <v>0</v>
      </c>
      <c r="G122" s="33">
        <v>0.66991000000000001</v>
      </c>
      <c r="H122" s="33">
        <v>0</v>
      </c>
      <c r="I122" s="33">
        <v>0.71039999999999903</v>
      </c>
      <c r="J122" s="33">
        <v>0</v>
      </c>
      <c r="K122" s="33">
        <v>0</v>
      </c>
      <c r="L122" s="33">
        <v>45.76</v>
      </c>
      <c r="M122" s="33">
        <v>50.56</v>
      </c>
      <c r="N122" s="34">
        <v>1.1048951048950999</v>
      </c>
      <c r="O122" s="34">
        <v>1.1028747626327899</v>
      </c>
      <c r="P122" s="34">
        <v>1.1046621372349701</v>
      </c>
      <c r="Q122" s="34">
        <v>1.1044927297157401</v>
      </c>
      <c r="R122" s="33">
        <v>50.467549138076699</v>
      </c>
      <c r="S122" s="33">
        <v>50.5438949797893</v>
      </c>
      <c r="T122" s="33">
        <v>50.540287070193401</v>
      </c>
      <c r="U122" s="15">
        <v>-1.8302114327961999E-3</v>
      </c>
      <c r="V122" s="15">
        <v>-3.1858357880553301E-4</v>
      </c>
      <c r="W122" s="15">
        <v>-3.8996783545687899E-4</v>
      </c>
      <c r="X122" s="34">
        <v>1.1048951048950999</v>
      </c>
      <c r="Y122" s="34">
        <v>1.1028747626327899</v>
      </c>
      <c r="Z122" s="34">
        <v>1.1046621372349701</v>
      </c>
      <c r="AA122" s="34">
        <v>1.1044927297157401</v>
      </c>
      <c r="AB122" s="33">
        <v>50.467549138076699</v>
      </c>
      <c r="AC122" s="33">
        <v>50.5438949797893</v>
      </c>
      <c r="AD122" s="33">
        <v>50.540287070193401</v>
      </c>
      <c r="AE122" s="15">
        <v>-1.8302114327961999E-3</v>
      </c>
      <c r="AF122" s="15">
        <v>-3.1858357880553301E-4</v>
      </c>
      <c r="AG122" s="15">
        <v>-3.8996783545687899E-4</v>
      </c>
      <c r="AI122" s="12"/>
      <c r="AJ122">
        <f t="shared" si="26"/>
        <v>0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6.5580940157859702E-4</v>
      </c>
      <c r="AP122" s="28">
        <f t="shared" si="29"/>
        <v>-5.9353053478488097E-4</v>
      </c>
      <c r="AQ122" s="28">
        <f t="shared" si="36"/>
        <v>6.2278866793716043E-5</v>
      </c>
      <c r="AR122" s="29">
        <f t="shared" si="37"/>
        <v>6.6588533789635959E-3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2.6838943031613533E-3</v>
      </c>
      <c r="BE122" s="29">
        <f t="shared" si="42"/>
        <v>6.2278866793716043E-5</v>
      </c>
      <c r="BF122" s="29">
        <f t="shared" si="43"/>
        <v>9.3427476821249505E-3</v>
      </c>
      <c r="BH122" s="29"/>
    </row>
    <row r="123" spans="1:60" x14ac:dyDescent="0.25">
      <c r="A123" s="1">
        <v>46202</v>
      </c>
      <c r="B123" s="33">
        <v>45.81</v>
      </c>
      <c r="C123" s="33">
        <v>50.64</v>
      </c>
      <c r="D123" s="15">
        <v>1.09206082710846E-3</v>
      </c>
      <c r="E123" s="15">
        <v>1.5810279973187699E-3</v>
      </c>
      <c r="F123" s="33">
        <v>0</v>
      </c>
      <c r="G123" s="33">
        <v>0.66991000000000001</v>
      </c>
      <c r="H123" s="33">
        <v>0</v>
      </c>
      <c r="I123" s="33">
        <v>0.71039999999999903</v>
      </c>
      <c r="J123" s="33">
        <v>0</v>
      </c>
      <c r="K123" s="33">
        <v>0</v>
      </c>
      <c r="L123" s="33">
        <v>45.81</v>
      </c>
      <c r="M123" s="33">
        <v>50.64</v>
      </c>
      <c r="N123" s="34">
        <v>1.1054354944335201</v>
      </c>
      <c r="O123" s="34">
        <v>1.1028747626327899</v>
      </c>
      <c r="P123" s="34">
        <v>1.1047775856904001</v>
      </c>
      <c r="Q123" s="34">
        <v>1.1045330940403999</v>
      </c>
      <c r="R123" s="33">
        <v>50.522692876208303</v>
      </c>
      <c r="S123" s="33">
        <v>50.6045725067343</v>
      </c>
      <c r="T123" s="33">
        <v>50.596811948278102</v>
      </c>
      <c r="U123" s="15">
        <v>-2.31917860300671E-3</v>
      </c>
      <c r="V123" s="15">
        <v>-6.9983987950034403E-4</v>
      </c>
      <c r="W123" s="15">
        <v>-8.5320850213792601E-4</v>
      </c>
      <c r="X123" s="34">
        <v>1.1054354944335201</v>
      </c>
      <c r="Y123" s="34">
        <v>1.1028747626327899</v>
      </c>
      <c r="Z123" s="34">
        <v>1.1047775856904001</v>
      </c>
      <c r="AA123" s="34">
        <v>1.1045330940403999</v>
      </c>
      <c r="AB123" s="33">
        <v>50.522692876208303</v>
      </c>
      <c r="AC123" s="33">
        <v>50.6045725067343</v>
      </c>
      <c r="AD123" s="33">
        <v>50.596811948278102</v>
      </c>
      <c r="AE123" s="15">
        <v>-2.31917860300671E-3</v>
      </c>
      <c r="AF123" s="15">
        <v>-6.9983987950034403E-4</v>
      </c>
      <c r="AG123" s="15">
        <v>-8.5320850213792601E-4</v>
      </c>
      <c r="AI123" s="12"/>
      <c r="AJ123">
        <f t="shared" si="26"/>
        <v>0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1.09206082710846E-3</v>
      </c>
      <c r="AP123" s="28">
        <f t="shared" si="29"/>
        <v>-1.5810279973187699E-3</v>
      </c>
      <c r="AQ123" s="28">
        <f t="shared" si="36"/>
        <v>-4.8896717021030991E-4</v>
      </c>
      <c r="AR123" s="29">
        <f t="shared" si="37"/>
        <v>6.1698862087532858E-3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2.6838943031613533E-3</v>
      </c>
      <c r="BE123" s="29">
        <f t="shared" si="42"/>
        <v>-4.8896717021030991E-4</v>
      </c>
      <c r="BF123" s="29">
        <f t="shared" si="43"/>
        <v>8.8537805119146412E-3</v>
      </c>
      <c r="BH123" s="29"/>
    </row>
    <row r="124" spans="1:60" x14ac:dyDescent="0.25">
      <c r="A124" s="1">
        <v>46203</v>
      </c>
      <c r="B124" s="33">
        <v>45.8</v>
      </c>
      <c r="C124" s="33">
        <v>50.58</v>
      </c>
      <c r="D124" s="15">
        <v>-2.18316778511629E-4</v>
      </c>
      <c r="E124" s="15">
        <v>-1.18553659410169E-3</v>
      </c>
      <c r="F124" s="33">
        <v>0</v>
      </c>
      <c r="G124" s="33">
        <v>0.66991000000000001</v>
      </c>
      <c r="H124" s="33">
        <v>0</v>
      </c>
      <c r="I124" s="33">
        <v>0.71039999999999903</v>
      </c>
      <c r="J124" s="33">
        <v>0</v>
      </c>
      <c r="K124" s="33">
        <v>0</v>
      </c>
      <c r="L124" s="33">
        <v>45.8</v>
      </c>
      <c r="M124" s="33">
        <v>50.58</v>
      </c>
      <c r="N124" s="34">
        <v>1.10436681222707</v>
      </c>
      <c r="O124" s="34">
        <v>1.1028747626327899</v>
      </c>
      <c r="P124" s="34">
        <v>1.10477338075386</v>
      </c>
      <c r="Q124" s="34">
        <v>1.1044755498419001</v>
      </c>
      <c r="R124" s="33">
        <v>50.511664128581998</v>
      </c>
      <c r="S124" s="33">
        <v>50.598813424620602</v>
      </c>
      <c r="T124" s="33">
        <v>50.587615707050396</v>
      </c>
      <c r="U124" s="15">
        <v>-1.35195878741658E-3</v>
      </c>
      <c r="V124" s="15">
        <v>3.71884670330502E-4</v>
      </c>
      <c r="W124" s="15">
        <v>1.5055622318580099E-4</v>
      </c>
      <c r="X124" s="34">
        <v>1.10436681222707</v>
      </c>
      <c r="Y124" s="34">
        <v>1.1028747626327899</v>
      </c>
      <c r="Z124" s="34">
        <v>1.10477338075386</v>
      </c>
      <c r="AA124" s="34">
        <v>1.1044755498419001</v>
      </c>
      <c r="AB124" s="33">
        <v>50.511664128581998</v>
      </c>
      <c r="AC124" s="33">
        <v>50.598813424620602</v>
      </c>
      <c r="AD124" s="33">
        <v>50.587615707050396</v>
      </c>
      <c r="AE124" s="15">
        <v>-1.35195878741658E-3</v>
      </c>
      <c r="AF124" s="15">
        <v>3.71884670330502E-4</v>
      </c>
      <c r="AG124" s="15">
        <v>1.5055622318580099E-4</v>
      </c>
      <c r="AI124" s="12"/>
      <c r="AJ124">
        <f t="shared" si="26"/>
        <v>0</v>
      </c>
      <c r="AK124">
        <f t="shared" si="27"/>
        <v>1</v>
      </c>
      <c r="AL124">
        <f t="shared" si="34"/>
        <v>1</v>
      </c>
      <c r="AM124">
        <f t="shared" si="24"/>
        <v>0</v>
      </c>
      <c r="AN124">
        <f t="shared" si="35"/>
        <v>1</v>
      </c>
      <c r="AO124" s="28">
        <f t="shared" si="28"/>
        <v>-2.18316778511629E-4</v>
      </c>
      <c r="AP124" s="28">
        <f t="shared" si="29"/>
        <v>1.18553659410169E-3</v>
      </c>
      <c r="AQ124" s="28">
        <f t="shared" si="36"/>
        <v>9.6721981559006105E-4</v>
      </c>
      <c r="AR124" s="29">
        <f t="shared" si="37"/>
        <v>7.1371060243433466E-3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2.6838943031613533E-3</v>
      </c>
      <c r="BE124" s="29">
        <f t="shared" si="42"/>
        <v>9.6721981559006105E-4</v>
      </c>
      <c r="BF124" s="29">
        <f t="shared" si="43"/>
        <v>9.821000327504702E-3</v>
      </c>
      <c r="BH124" s="29"/>
    </row>
    <row r="125" spans="1:60" x14ac:dyDescent="0.25">
      <c r="A125" s="1">
        <v>46204</v>
      </c>
      <c r="B125" s="33">
        <v>45.64</v>
      </c>
      <c r="C125" s="33">
        <v>50.47</v>
      </c>
      <c r="D125" s="15">
        <v>-3.4995661262643201E-3</v>
      </c>
      <c r="E125" s="15">
        <v>-2.1771408896480498E-3</v>
      </c>
      <c r="F125" s="33">
        <v>0.13542999999999999</v>
      </c>
      <c r="G125" s="33">
        <v>0.80533999999999994</v>
      </c>
      <c r="H125" s="33">
        <v>0.14199999999999999</v>
      </c>
      <c r="I125" s="33">
        <v>0.85239999999999905</v>
      </c>
      <c r="J125" s="33">
        <v>0</v>
      </c>
      <c r="K125" s="33">
        <v>0</v>
      </c>
      <c r="L125" s="33">
        <v>45.64</v>
      </c>
      <c r="M125" s="33">
        <v>50.47</v>
      </c>
      <c r="N125" s="34">
        <v>1.1058282208588901</v>
      </c>
      <c r="O125" s="34">
        <v>1.1028747626327899</v>
      </c>
      <c r="P125" s="34">
        <v>1.1049153166805099</v>
      </c>
      <c r="Q125" s="34">
        <v>1.1045574851226201</v>
      </c>
      <c r="R125" s="33">
        <v>50.3352041665608</v>
      </c>
      <c r="S125" s="33">
        <v>50.421857097606498</v>
      </c>
      <c r="T125" s="33">
        <v>50.408264094784599</v>
      </c>
      <c r="U125" s="15">
        <v>-2.6743840240327898E-3</v>
      </c>
      <c r="V125" s="15">
        <v>-9.5434671206114801E-4</v>
      </c>
      <c r="W125" s="15">
        <v>-1.22396858186517E-3</v>
      </c>
      <c r="X125" s="34">
        <v>1.1058282208588901</v>
      </c>
      <c r="Y125" s="34">
        <v>1.1028747626327899</v>
      </c>
      <c r="Z125" s="34">
        <v>1.1049153166805099</v>
      </c>
      <c r="AA125" s="34">
        <v>1.1045574851226201</v>
      </c>
      <c r="AB125" s="33">
        <v>50.3352041665608</v>
      </c>
      <c r="AC125" s="33">
        <v>50.421857097606498</v>
      </c>
      <c r="AD125" s="33">
        <v>50.408264094784599</v>
      </c>
      <c r="AE125" s="15">
        <v>-2.6743840240327898E-3</v>
      </c>
      <c r="AF125" s="15">
        <v>-9.5434671206114801E-4</v>
      </c>
      <c r="AG125" s="15">
        <v>-1.22396858186517E-3</v>
      </c>
      <c r="AI125" s="12"/>
      <c r="AJ125">
        <f t="shared" si="26"/>
        <v>1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7.1371060243433466E-3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2.6838943031613533E-3</v>
      </c>
      <c r="BE125" s="29">
        <f t="shared" si="42"/>
        <v>0</v>
      </c>
      <c r="BF125" s="29">
        <f t="shared" si="43"/>
        <v>9.821000327504702E-3</v>
      </c>
      <c r="BH125" s="29"/>
    </row>
    <row r="126" spans="1:60" x14ac:dyDescent="0.25">
      <c r="A126" s="1">
        <v>46205</v>
      </c>
      <c r="B126" s="33">
        <v>45.73</v>
      </c>
      <c r="C126" s="33">
        <v>50.53</v>
      </c>
      <c r="D126" s="15">
        <v>1.9700126760887702E-3</v>
      </c>
      <c r="E126" s="15">
        <v>1.1881189516463201E-3</v>
      </c>
      <c r="F126" s="33">
        <v>0</v>
      </c>
      <c r="G126" s="33">
        <v>0.80533999999999994</v>
      </c>
      <c r="H126" s="33">
        <v>0</v>
      </c>
      <c r="I126" s="33">
        <v>0.85239999999999905</v>
      </c>
      <c r="J126" s="33">
        <v>0</v>
      </c>
      <c r="K126" s="33">
        <v>0</v>
      </c>
      <c r="L126" s="33">
        <v>45.73</v>
      </c>
      <c r="M126" s="33">
        <v>50.53</v>
      </c>
      <c r="N126" s="34">
        <v>1.1049639186529601</v>
      </c>
      <c r="O126" s="34">
        <v>1.1028747626327899</v>
      </c>
      <c r="P126" s="34">
        <v>1.10498131768063</v>
      </c>
      <c r="Q126" s="34">
        <v>1.1046170018099799</v>
      </c>
      <c r="R126" s="33">
        <v>50.434462895197697</v>
      </c>
      <c r="S126" s="33">
        <v>50.527777431799798</v>
      </c>
      <c r="T126" s="33">
        <v>50.5114137946575</v>
      </c>
      <c r="U126" s="15">
        <v>-1.8924902995901499E-3</v>
      </c>
      <c r="V126" s="15">
        <v>-4.3986089087163098E-5</v>
      </c>
      <c r="W126" s="15">
        <v>-3.6789282441846701E-4</v>
      </c>
      <c r="X126" s="34">
        <v>1.1049639186529601</v>
      </c>
      <c r="Y126" s="34">
        <v>1.1028747626327899</v>
      </c>
      <c r="Z126" s="34">
        <v>1.10498131768063</v>
      </c>
      <c r="AA126" s="34">
        <v>1.1046170018099799</v>
      </c>
      <c r="AB126" s="33">
        <v>50.434462895197697</v>
      </c>
      <c r="AC126" s="33">
        <v>50.527777431799798</v>
      </c>
      <c r="AD126" s="33">
        <v>50.5114137946575</v>
      </c>
      <c r="AE126" s="15">
        <v>-1.8924902995901499E-3</v>
      </c>
      <c r="AF126" s="15">
        <v>-4.3986089087163098E-5</v>
      </c>
      <c r="AG126" s="15">
        <v>-3.6789282441846701E-4</v>
      </c>
      <c r="AI126" s="12"/>
      <c r="AJ126">
        <f t="shared" si="26"/>
        <v>0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1.9700126760887702E-3</v>
      </c>
      <c r="AP126" s="28">
        <f t="shared" si="29"/>
        <v>-1.1881189516463201E-3</v>
      </c>
      <c r="AQ126" s="28">
        <f t="shared" si="36"/>
        <v>7.8189372444245012E-4</v>
      </c>
      <c r="AR126" s="29">
        <f t="shared" si="37"/>
        <v>7.9189997487857967E-3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2.6838943031613533E-3</v>
      </c>
      <c r="BE126" s="29">
        <f t="shared" si="42"/>
        <v>7.8189372444245012E-4</v>
      </c>
      <c r="BF126" s="29">
        <f t="shared" si="43"/>
        <v>1.0602894051947153E-2</v>
      </c>
      <c r="BH126" s="29"/>
    </row>
    <row r="127" spans="1:60" x14ac:dyDescent="0.25">
      <c r="A127" s="1">
        <v>46209</v>
      </c>
      <c r="B127" s="33">
        <v>45.72</v>
      </c>
      <c r="C127" s="33">
        <v>50.54</v>
      </c>
      <c r="D127" s="15">
        <v>-2.1869874335385999E-4</v>
      </c>
      <c r="E127" s="15">
        <v>1.9788265623091699E-4</v>
      </c>
      <c r="F127" s="33">
        <v>0</v>
      </c>
      <c r="G127" s="33">
        <v>0.80533999999999994</v>
      </c>
      <c r="H127" s="33">
        <v>0</v>
      </c>
      <c r="I127" s="33">
        <v>0.85239999999999905</v>
      </c>
      <c r="J127" s="33">
        <v>0</v>
      </c>
      <c r="K127" s="33">
        <v>0</v>
      </c>
      <c r="L127" s="33">
        <v>45.72</v>
      </c>
      <c r="M127" s="33">
        <v>50.54</v>
      </c>
      <c r="N127" s="34">
        <v>1.1054243219597499</v>
      </c>
      <c r="O127" s="34">
        <v>1.1028747626327899</v>
      </c>
      <c r="P127" s="34">
        <v>1.10505736056196</v>
      </c>
      <c r="Q127" s="34">
        <v>1.1046833088569099</v>
      </c>
      <c r="R127" s="33">
        <v>50.423434147571399</v>
      </c>
      <c r="S127" s="33">
        <v>50.519745844358603</v>
      </c>
      <c r="T127" s="33">
        <v>50.503089322752601</v>
      </c>
      <c r="U127" s="15">
        <v>-2.3090716991749E-3</v>
      </c>
      <c r="V127" s="15">
        <v>-4.0083528299666201E-4</v>
      </c>
      <c r="W127" s="15">
        <v>-7.3059284185656901E-4</v>
      </c>
      <c r="X127" s="34">
        <v>1.1054243219597499</v>
      </c>
      <c r="Y127" s="34">
        <v>1.1028747626327899</v>
      </c>
      <c r="Z127" s="34">
        <v>1.10505736056196</v>
      </c>
      <c r="AA127" s="34">
        <v>1.1046833088569099</v>
      </c>
      <c r="AB127" s="33">
        <v>50.423434147571399</v>
      </c>
      <c r="AC127" s="33">
        <v>50.519745844358603</v>
      </c>
      <c r="AD127" s="33">
        <v>50.503089322752601</v>
      </c>
      <c r="AE127" s="15">
        <v>-2.3090716991749E-3</v>
      </c>
      <c r="AF127" s="15">
        <v>-4.0083528299666201E-4</v>
      </c>
      <c r="AG127" s="15">
        <v>-7.3059284185656901E-4</v>
      </c>
      <c r="AI127" s="12"/>
      <c r="AJ127">
        <f t="shared" si="26"/>
        <v>0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-2.1869874335385999E-4</v>
      </c>
      <c r="AP127" s="28">
        <f t="shared" si="29"/>
        <v>-1.9788265623091699E-4</v>
      </c>
      <c r="AQ127" s="28">
        <f t="shared" si="36"/>
        <v>-4.1658139958477701E-4</v>
      </c>
      <c r="AR127" s="29">
        <f t="shared" si="37"/>
        <v>7.5024183492010199E-3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2.6838943031613533E-3</v>
      </c>
      <c r="BE127" s="29">
        <f t="shared" si="42"/>
        <v>-4.1658139958477701E-4</v>
      </c>
      <c r="BF127" s="29">
        <f t="shared" si="43"/>
        <v>1.0186312652362375E-2</v>
      </c>
      <c r="BH127" s="29"/>
    </row>
    <row r="128" spans="1:60" x14ac:dyDescent="0.25">
      <c r="A128" s="1">
        <v>46210</v>
      </c>
      <c r="B128" s="33">
        <v>45.6</v>
      </c>
      <c r="C128" s="33">
        <v>50.42</v>
      </c>
      <c r="D128" s="15">
        <v>-2.62812240626946E-3</v>
      </c>
      <c r="E128" s="15">
        <v>-2.3771802002743201E-3</v>
      </c>
      <c r="F128" s="33">
        <v>0</v>
      </c>
      <c r="G128" s="33">
        <v>0.80533999999999994</v>
      </c>
      <c r="H128" s="33">
        <v>0</v>
      </c>
      <c r="I128" s="33">
        <v>0.85239999999999905</v>
      </c>
      <c r="J128" s="33">
        <v>0</v>
      </c>
      <c r="K128" s="33">
        <v>0</v>
      </c>
      <c r="L128" s="33">
        <v>45.6</v>
      </c>
      <c r="M128" s="33">
        <v>50.42</v>
      </c>
      <c r="N128" s="34">
        <v>1.10570175438596</v>
      </c>
      <c r="O128" s="34">
        <v>1.1028747626327899</v>
      </c>
      <c r="P128" s="34">
        <v>1.10518304289786</v>
      </c>
      <c r="Q128" s="34">
        <v>1.1047664650573299</v>
      </c>
      <c r="R128" s="33">
        <v>50.291089176055401</v>
      </c>
      <c r="S128" s="33">
        <v>50.390615641625402</v>
      </c>
      <c r="T128" s="33">
        <v>50.373558883875198</v>
      </c>
      <c r="U128" s="15">
        <v>-2.5600139051700499E-3</v>
      </c>
      <c r="V128" s="15">
        <v>-5.8296160616979904E-4</v>
      </c>
      <c r="W128" s="15">
        <v>-9.2150966639966596E-4</v>
      </c>
      <c r="X128" s="34">
        <v>1.10570175438596</v>
      </c>
      <c r="Y128" s="34">
        <v>1.1028747626327899</v>
      </c>
      <c r="Z128" s="34">
        <v>1.10518304289786</v>
      </c>
      <c r="AA128" s="34">
        <v>1.1047664650573299</v>
      </c>
      <c r="AB128" s="33">
        <v>50.291089176055401</v>
      </c>
      <c r="AC128" s="33">
        <v>50.390615641625402</v>
      </c>
      <c r="AD128" s="33">
        <v>50.373558883875198</v>
      </c>
      <c r="AE128" s="15">
        <v>-2.5600139051700499E-3</v>
      </c>
      <c r="AF128" s="15">
        <v>-5.8296160616979904E-4</v>
      </c>
      <c r="AG128" s="15">
        <v>-9.2150966639966596E-4</v>
      </c>
      <c r="AI128" s="12"/>
      <c r="AJ128">
        <f t="shared" si="26"/>
        <v>0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-2.62812240626946E-3</v>
      </c>
      <c r="AP128" s="28">
        <f t="shared" si="29"/>
        <v>2.3771802002743201E-3</v>
      </c>
      <c r="AQ128" s="28">
        <f t="shared" si="36"/>
        <v>-2.5094220599513987E-4</v>
      </c>
      <c r="AR128" s="29">
        <f t="shared" si="37"/>
        <v>7.2514761432058801E-3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2.6838943031613533E-3</v>
      </c>
      <c r="BE128" s="29">
        <f t="shared" si="42"/>
        <v>-2.5094220599513987E-4</v>
      </c>
      <c r="BF128" s="29">
        <f t="shared" si="43"/>
        <v>9.9353704463672355E-3</v>
      </c>
      <c r="BH128" s="29"/>
    </row>
    <row r="129" spans="1:60" x14ac:dyDescent="0.25">
      <c r="A129" s="1">
        <v>46211</v>
      </c>
      <c r="B129" s="33">
        <v>45.55</v>
      </c>
      <c r="C129" s="33">
        <v>50.26</v>
      </c>
      <c r="D129" s="15">
        <v>-1.09709281437321E-3</v>
      </c>
      <c r="E129" s="15">
        <v>-3.1783896443276999E-3</v>
      </c>
      <c r="F129" s="33">
        <v>0</v>
      </c>
      <c r="G129" s="33">
        <v>0.80533999999999994</v>
      </c>
      <c r="H129" s="33">
        <v>0</v>
      </c>
      <c r="I129" s="33">
        <v>0.85239999999999905</v>
      </c>
      <c r="J129" s="33">
        <v>0</v>
      </c>
      <c r="K129" s="33">
        <v>0</v>
      </c>
      <c r="L129" s="33">
        <v>45.55</v>
      </c>
      <c r="M129" s="33">
        <v>50.26</v>
      </c>
      <c r="N129" s="34">
        <v>1.1034028540065799</v>
      </c>
      <c r="O129" s="34">
        <v>1.1028747626327899</v>
      </c>
      <c r="P129" s="34">
        <v>1.1049554703726301</v>
      </c>
      <c r="Q129" s="34">
        <v>1.1047456507778499</v>
      </c>
      <c r="R129" s="33">
        <v>50.235945437923803</v>
      </c>
      <c r="S129" s="33">
        <v>50.3410876039977</v>
      </c>
      <c r="T129" s="33">
        <v>50.3221124833616</v>
      </c>
      <c r="U129" s="15">
        <v>-4.7871707521550199E-4</v>
      </c>
      <c r="V129" s="15">
        <v>1.61206252316991E-3</v>
      </c>
      <c r="W129" s="15">
        <v>1.2350603844652999E-3</v>
      </c>
      <c r="X129" s="34">
        <v>1.1034028540065799</v>
      </c>
      <c r="Y129" s="34">
        <v>1.1028747626327899</v>
      </c>
      <c r="Z129" s="34">
        <v>1.1049554703726301</v>
      </c>
      <c r="AA129" s="34">
        <v>1.1047456507778499</v>
      </c>
      <c r="AB129" s="33">
        <v>50.235945437923803</v>
      </c>
      <c r="AC129" s="33">
        <v>50.3410876039977</v>
      </c>
      <c r="AD129" s="33">
        <v>50.3221124833616</v>
      </c>
      <c r="AE129" s="15">
        <v>-4.7871707521550199E-4</v>
      </c>
      <c r="AF129" s="15">
        <v>1.61206252316991E-3</v>
      </c>
      <c r="AG129" s="15">
        <v>1.2350603844652999E-3</v>
      </c>
      <c r="AI129" s="12"/>
      <c r="AJ129">
        <f t="shared" si="26"/>
        <v>0</v>
      </c>
      <c r="AK129">
        <f t="shared" si="27"/>
        <v>1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-1.09709281437321E-3</v>
      </c>
      <c r="AP129" s="28">
        <f t="shared" si="29"/>
        <v>3.1783896443276999E-3</v>
      </c>
      <c r="AQ129" s="28">
        <f t="shared" si="36"/>
        <v>2.08129682995449E-3</v>
      </c>
      <c r="AR129" s="29">
        <f t="shared" si="37"/>
        <v>9.3327729731603696E-3</v>
      </c>
      <c r="AT129" s="12"/>
      <c r="AU129">
        <f t="shared" si="30"/>
        <v>1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2.6838943031613533E-3</v>
      </c>
      <c r="BE129" s="29">
        <f t="shared" si="42"/>
        <v>2.08129682995449E-3</v>
      </c>
      <c r="BF129" s="29">
        <f t="shared" si="43"/>
        <v>1.2016667276321726E-2</v>
      </c>
      <c r="BH129" s="29"/>
    </row>
    <row r="130" spans="1:60" x14ac:dyDescent="0.25">
      <c r="A130" s="1">
        <v>46212</v>
      </c>
      <c r="B130" s="33">
        <v>45.55</v>
      </c>
      <c r="C130" s="33">
        <v>50.29</v>
      </c>
      <c r="D130" s="15">
        <v>0</v>
      </c>
      <c r="E130" s="15">
        <v>5.9671806842739004E-4</v>
      </c>
      <c r="F130" s="33">
        <v>0</v>
      </c>
      <c r="G130" s="33">
        <v>0.80533999999999994</v>
      </c>
      <c r="H130" s="33">
        <v>0</v>
      </c>
      <c r="I130" s="33">
        <v>0.85239999999999905</v>
      </c>
      <c r="J130" s="33">
        <v>0</v>
      </c>
      <c r="K130" s="33">
        <v>0</v>
      </c>
      <c r="L130" s="33">
        <v>45.55</v>
      </c>
      <c r="M130" s="33">
        <v>50.29</v>
      </c>
      <c r="N130" s="34">
        <v>1.1040614709110801</v>
      </c>
      <c r="O130" s="34">
        <v>1.1028747626327899</v>
      </c>
      <c r="P130" s="34">
        <v>1.1049043870983899</v>
      </c>
      <c r="Q130" s="34">
        <v>1.1047063466089999</v>
      </c>
      <c r="R130" s="33">
        <v>50.235945437923803</v>
      </c>
      <c r="S130" s="33">
        <v>50.330721675473299</v>
      </c>
      <c r="T130" s="33">
        <v>50.321164392931401</v>
      </c>
      <c r="U130" s="15">
        <v>-1.0754351436427099E-3</v>
      </c>
      <c r="V130" s="15">
        <v>8.0940937449982099E-4</v>
      </c>
      <c r="W130" s="15">
        <v>6.1950170472940499E-4</v>
      </c>
      <c r="X130" s="34">
        <v>1.1040614709110801</v>
      </c>
      <c r="Y130" s="34">
        <v>1.1028747626327899</v>
      </c>
      <c r="Z130" s="34">
        <v>1.1049043870983899</v>
      </c>
      <c r="AA130" s="34">
        <v>1.1047063466089999</v>
      </c>
      <c r="AB130" s="33">
        <v>50.235945437923803</v>
      </c>
      <c r="AC130" s="33">
        <v>50.330721675473299</v>
      </c>
      <c r="AD130" s="33">
        <v>50.321164392931401</v>
      </c>
      <c r="AE130" s="15">
        <v>-1.0754351436427099E-3</v>
      </c>
      <c r="AF130" s="15">
        <v>8.0940937449982099E-4</v>
      </c>
      <c r="AG130" s="15">
        <v>6.1950170472940499E-4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9.3327729731603696E-3</v>
      </c>
      <c r="AT130" s="12"/>
      <c r="AU130">
        <f t="shared" si="30"/>
        <v>0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0</v>
      </c>
      <c r="BA130" s="28">
        <f t="shared" si="33"/>
        <v>5.9671806842739004E-4</v>
      </c>
      <c r="BB130" s="28">
        <f t="shared" si="40"/>
        <v>5.9671806842739004E-4</v>
      </c>
      <c r="BC130" s="29">
        <f t="shared" si="41"/>
        <v>3.2806123715887433E-3</v>
      </c>
      <c r="BE130" s="29">
        <f t="shared" si="42"/>
        <v>5.9671806842739004E-4</v>
      </c>
      <c r="BF130" s="29">
        <f t="shared" si="43"/>
        <v>1.2613385344749116E-2</v>
      </c>
      <c r="BH130" s="29"/>
    </row>
    <row r="131" spans="1:60" x14ac:dyDescent="0.25">
      <c r="A131" s="1">
        <v>46213</v>
      </c>
      <c r="B131" s="33">
        <v>45.54</v>
      </c>
      <c r="C131" s="33">
        <v>50.34</v>
      </c>
      <c r="D131" s="15">
        <v>-2.1956307037376201E-4</v>
      </c>
      <c r="E131" s="15">
        <v>9.9373952329642008E-4</v>
      </c>
      <c r="F131" s="33">
        <v>0</v>
      </c>
      <c r="G131" s="33">
        <v>0.80533999999999994</v>
      </c>
      <c r="H131" s="33">
        <v>0</v>
      </c>
      <c r="I131" s="33">
        <v>0.85239999999999905</v>
      </c>
      <c r="J131" s="33">
        <v>0</v>
      </c>
      <c r="K131" s="33">
        <v>0</v>
      </c>
      <c r="L131" s="33">
        <v>45.54</v>
      </c>
      <c r="M131" s="33">
        <v>50.34</v>
      </c>
      <c r="N131" s="34">
        <v>1.10540184453227</v>
      </c>
      <c r="O131" s="34">
        <v>1.1028747626327899</v>
      </c>
      <c r="P131" s="34">
        <v>1.1049481796863201</v>
      </c>
      <c r="Q131" s="34">
        <v>1.1047456696048401</v>
      </c>
      <c r="R131" s="33">
        <v>50.224916690297498</v>
      </c>
      <c r="S131" s="33">
        <v>50.317345788460699</v>
      </c>
      <c r="T131" s="33">
        <v>50.308327024573899</v>
      </c>
      <c r="U131" s="15">
        <v>-2.2887377373129801E-3</v>
      </c>
      <c r="V131" s="15">
        <v>-4.5012535834853602E-4</v>
      </c>
      <c r="W131" s="15">
        <v>-6.2937909467454599E-4</v>
      </c>
      <c r="X131" s="34">
        <v>1.10540184453227</v>
      </c>
      <c r="Y131" s="34">
        <v>1.1028747626327899</v>
      </c>
      <c r="Z131" s="34">
        <v>1.1049481796863201</v>
      </c>
      <c r="AA131" s="34">
        <v>1.1047456696048401</v>
      </c>
      <c r="AB131" s="33">
        <v>50.224916690297498</v>
      </c>
      <c r="AC131" s="33">
        <v>50.317345788460699</v>
      </c>
      <c r="AD131" s="33">
        <v>50.308327024573899</v>
      </c>
      <c r="AE131" s="15">
        <v>-2.2887377373129801E-3</v>
      </c>
      <c r="AF131" s="15">
        <v>-4.5012535834853602E-4</v>
      </c>
      <c r="AG131" s="15">
        <v>-6.2937909467454599E-4</v>
      </c>
      <c r="AI131" s="12"/>
      <c r="AJ131">
        <f t="shared" si="26"/>
        <v>0</v>
      </c>
      <c r="AK131">
        <f t="shared" si="27"/>
        <v>0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9.3327729731603696E-3</v>
      </c>
      <c r="AT131" s="12"/>
      <c r="AU131">
        <f t="shared" si="30"/>
        <v>0</v>
      </c>
      <c r="AV131">
        <f t="shared" si="31"/>
        <v>1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2.1956307037376201E-4</v>
      </c>
      <c r="BA131" s="28">
        <f t="shared" si="33"/>
        <v>9.9373952329642008E-4</v>
      </c>
      <c r="BB131" s="28">
        <f t="shared" si="40"/>
        <v>1.2133025936701821E-3</v>
      </c>
      <c r="BC131" s="29">
        <f t="shared" si="41"/>
        <v>4.4939149652589256E-3</v>
      </c>
      <c r="BE131" s="29">
        <f t="shared" si="42"/>
        <v>1.2133025936701821E-3</v>
      </c>
      <c r="BF131" s="29">
        <f t="shared" si="43"/>
        <v>1.3826687938419298E-2</v>
      </c>
      <c r="BH131" s="29"/>
    </row>
    <row r="132" spans="1:60" x14ac:dyDescent="0.25">
      <c r="A132" s="1">
        <v>46216</v>
      </c>
      <c r="B132" s="33">
        <v>45.54</v>
      </c>
      <c r="C132" s="33">
        <v>50.27</v>
      </c>
      <c r="D132" s="15">
        <v>0</v>
      </c>
      <c r="E132" s="15">
        <v>-1.3915120026859499E-3</v>
      </c>
      <c r="F132" s="33">
        <v>0</v>
      </c>
      <c r="G132" s="33">
        <v>0.80533999999999994</v>
      </c>
      <c r="H132" s="33">
        <v>0</v>
      </c>
      <c r="I132" s="33">
        <v>0.85239999999999905</v>
      </c>
      <c r="J132" s="33">
        <v>0</v>
      </c>
      <c r="K132" s="33">
        <v>0</v>
      </c>
      <c r="L132" s="33">
        <v>45.54</v>
      </c>
      <c r="M132" s="33">
        <v>50.27</v>
      </c>
      <c r="N132" s="34">
        <v>1.10386473429951</v>
      </c>
      <c r="O132" s="34">
        <v>1.1028747626327899</v>
      </c>
      <c r="P132" s="34">
        <v>1.10484514262676</v>
      </c>
      <c r="Q132" s="34">
        <v>1.1047536399308699</v>
      </c>
      <c r="R132" s="33">
        <v>50.224916690297498</v>
      </c>
      <c r="S132" s="33">
        <v>50.319340102915199</v>
      </c>
      <c r="T132" s="33">
        <v>50.310117793804601</v>
      </c>
      <c r="U132" s="15">
        <v>-8.9722573462702997E-4</v>
      </c>
      <c r="V132" s="15">
        <v>9.8102058969266903E-4</v>
      </c>
      <c r="W132" s="15">
        <v>7.9772815566581698E-4</v>
      </c>
      <c r="X132" s="34">
        <v>1.10386473429951</v>
      </c>
      <c r="Y132" s="34">
        <v>1.1028747626327899</v>
      </c>
      <c r="Z132" s="34">
        <v>1.10484514262676</v>
      </c>
      <c r="AA132" s="34">
        <v>1.1047536399308699</v>
      </c>
      <c r="AB132" s="33">
        <v>50.224916690297498</v>
      </c>
      <c r="AC132" s="33">
        <v>50.319340102915199</v>
      </c>
      <c r="AD132" s="33">
        <v>50.310117793804601</v>
      </c>
      <c r="AE132" s="15">
        <v>-8.9722573462702997E-4</v>
      </c>
      <c r="AF132" s="15">
        <v>9.8102058969266903E-4</v>
      </c>
      <c r="AG132" s="15">
        <v>7.9772815566581698E-4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9.3327729731603696E-3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4.4939149652589256E-3</v>
      </c>
      <c r="BE132" s="29">
        <f t="shared" si="42"/>
        <v>0</v>
      </c>
      <c r="BF132" s="29">
        <f t="shared" si="43"/>
        <v>1.3826687938419298E-2</v>
      </c>
      <c r="BH132" s="29"/>
    </row>
    <row r="133" spans="1:60" x14ac:dyDescent="0.25">
      <c r="A133" s="1">
        <v>46217</v>
      </c>
      <c r="B133" s="33">
        <v>45.57</v>
      </c>
      <c r="C133" s="33">
        <v>50.29</v>
      </c>
      <c r="D133" s="15">
        <v>6.5854464019754195E-4</v>
      </c>
      <c r="E133" s="15">
        <v>3.9777247938934898E-4</v>
      </c>
      <c r="F133" s="33">
        <v>0</v>
      </c>
      <c r="G133" s="33">
        <v>0.80533999999999994</v>
      </c>
      <c r="H133" s="33">
        <v>0</v>
      </c>
      <c r="I133" s="33">
        <v>0.85239999999999905</v>
      </c>
      <c r="J133" s="33">
        <v>0</v>
      </c>
      <c r="K133" s="33">
        <v>0</v>
      </c>
      <c r="L133" s="33">
        <v>45.57</v>
      </c>
      <c r="M133" s="33">
        <v>50.29</v>
      </c>
      <c r="N133" s="34">
        <v>1.10357691463682</v>
      </c>
      <c r="O133" s="34">
        <v>1.1028747626327899</v>
      </c>
      <c r="P133" s="34">
        <v>1.10465928464709</v>
      </c>
      <c r="Q133" s="34">
        <v>1.10471843516875</v>
      </c>
      <c r="R133" s="33">
        <v>50.258002933176499</v>
      </c>
      <c r="S133" s="33">
        <v>50.347793149501598</v>
      </c>
      <c r="T133" s="33">
        <v>50.343623371649798</v>
      </c>
      <c r="U133" s="15">
        <v>-6.3645357381875904E-4</v>
      </c>
      <c r="V133" s="15">
        <v>1.1485378215505401E-3</v>
      </c>
      <c r="W133" s="15">
        <v>1.0657149157200401E-3</v>
      </c>
      <c r="X133" s="34">
        <v>1.10357691463682</v>
      </c>
      <c r="Y133" s="34">
        <v>1.1028747626327899</v>
      </c>
      <c r="Z133" s="34">
        <v>1.10465928464709</v>
      </c>
      <c r="AA133" s="34">
        <v>1.10471843516875</v>
      </c>
      <c r="AB133" s="33">
        <v>50.258002933176499</v>
      </c>
      <c r="AC133" s="33">
        <v>50.347793149501598</v>
      </c>
      <c r="AD133" s="33">
        <v>50.343623371649798</v>
      </c>
      <c r="AE133" s="15">
        <v>-6.3645357381875904E-4</v>
      </c>
      <c r="AF133" s="15">
        <v>1.1485378215505401E-3</v>
      </c>
      <c r="AG133" s="15">
        <v>1.0657149157200401E-3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9.3327729731603696E-3</v>
      </c>
      <c r="AT133" s="12"/>
      <c r="AU133">
        <f t="shared" si="30"/>
        <v>1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4.4939149652589256E-3</v>
      </c>
      <c r="BE133" s="29">
        <f t="shared" si="42"/>
        <v>0</v>
      </c>
      <c r="BF133" s="29">
        <f t="shared" si="43"/>
        <v>1.3826687938419298E-2</v>
      </c>
      <c r="BH133" s="29"/>
    </row>
    <row r="134" spans="1:60" x14ac:dyDescent="0.25">
      <c r="A134" s="1">
        <v>46218</v>
      </c>
      <c r="B134" s="33">
        <v>45.49</v>
      </c>
      <c r="C134" s="33">
        <v>50.21</v>
      </c>
      <c r="D134" s="15">
        <v>-1.75708369387841E-3</v>
      </c>
      <c r="E134" s="15">
        <v>-1.59204013725917E-3</v>
      </c>
      <c r="F134" s="33">
        <v>0</v>
      </c>
      <c r="G134" s="33">
        <v>0.80533999999999994</v>
      </c>
      <c r="H134" s="33">
        <v>0</v>
      </c>
      <c r="I134" s="33">
        <v>0.85239999999999905</v>
      </c>
      <c r="J134" s="33">
        <v>0</v>
      </c>
      <c r="K134" s="33">
        <v>0</v>
      </c>
      <c r="L134" s="33">
        <v>45.49</v>
      </c>
      <c r="M134" s="33">
        <v>50.21</v>
      </c>
      <c r="N134" s="34">
        <v>1.10375906792701</v>
      </c>
      <c r="O134" s="34">
        <v>1.1028747626327899</v>
      </c>
      <c r="P134" s="34">
        <v>1.1045985102170801</v>
      </c>
      <c r="Q134" s="34">
        <v>1.1046859454854701</v>
      </c>
      <c r="R134" s="33">
        <v>50.1697729521658</v>
      </c>
      <c r="S134" s="33">
        <v>50.250950858596298</v>
      </c>
      <c r="T134" s="33">
        <v>50.253641615826403</v>
      </c>
      <c r="U134" s="15">
        <v>-8.0149713043796303E-4</v>
      </c>
      <c r="V134" s="15">
        <v>8.1525927267247405E-4</v>
      </c>
      <c r="W134" s="15">
        <v>8.6880423344550504E-4</v>
      </c>
      <c r="X134" s="34">
        <v>1.10375906792701</v>
      </c>
      <c r="Y134" s="34">
        <v>1.1028747626327899</v>
      </c>
      <c r="Z134" s="34">
        <v>1.1045985102170801</v>
      </c>
      <c r="AA134" s="34">
        <v>1.1046859454854701</v>
      </c>
      <c r="AB134" s="33">
        <v>50.1697729521658</v>
      </c>
      <c r="AC134" s="33">
        <v>50.250950858596298</v>
      </c>
      <c r="AD134" s="33">
        <v>50.253641615826403</v>
      </c>
      <c r="AE134" s="15">
        <v>-8.0149713043796303E-4</v>
      </c>
      <c r="AF134" s="15">
        <v>8.1525927267247405E-4</v>
      </c>
      <c r="AG134" s="15">
        <v>8.6880423344550504E-4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9.3327729731603696E-3</v>
      </c>
      <c r="AT134" s="12"/>
      <c r="AU134">
        <f t="shared" si="30"/>
        <v>0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1.75708369387841E-3</v>
      </c>
      <c r="BA134" s="28">
        <f t="shared" si="33"/>
        <v>-1.59204013725917E-3</v>
      </c>
      <c r="BB134" s="28">
        <f t="shared" si="40"/>
        <v>1.6504355661923998E-4</v>
      </c>
      <c r="BC134" s="29">
        <f t="shared" si="41"/>
        <v>4.6589585218781652E-3</v>
      </c>
      <c r="BE134" s="29">
        <f t="shared" si="42"/>
        <v>1.6504355661923998E-4</v>
      </c>
      <c r="BF134" s="29">
        <f t="shared" si="43"/>
        <v>1.3991731495038538E-2</v>
      </c>
      <c r="BH134" s="29"/>
    </row>
    <row r="135" spans="1:60" x14ac:dyDescent="0.25">
      <c r="A135" s="1">
        <v>46219</v>
      </c>
      <c r="B135" s="33">
        <v>45.42</v>
      </c>
      <c r="C135" s="33">
        <v>50.16</v>
      </c>
      <c r="D135" s="15">
        <v>-1.5399849045002901E-3</v>
      </c>
      <c r="E135" s="15">
        <v>-9.9631372194891794E-4</v>
      </c>
      <c r="F135" s="33">
        <v>0</v>
      </c>
      <c r="G135" s="33">
        <v>0.80533999999999994</v>
      </c>
      <c r="H135" s="33">
        <v>0</v>
      </c>
      <c r="I135" s="33">
        <v>0.85239999999999905</v>
      </c>
      <c r="J135" s="33">
        <v>0</v>
      </c>
      <c r="K135" s="33">
        <v>0</v>
      </c>
      <c r="L135" s="33">
        <v>45.42</v>
      </c>
      <c r="M135" s="33">
        <v>50.16</v>
      </c>
      <c r="N135" s="34">
        <v>1.1043593130779299</v>
      </c>
      <c r="O135" s="34">
        <v>1.1028747626327899</v>
      </c>
      <c r="P135" s="34">
        <v>1.10445161943899</v>
      </c>
      <c r="Q135" s="34">
        <v>1.1046834680597499</v>
      </c>
      <c r="R135" s="33">
        <v>50.0925717187815</v>
      </c>
      <c r="S135" s="33">
        <v>50.170864334060099</v>
      </c>
      <c r="T135" s="33">
        <v>50.174835643950402</v>
      </c>
      <c r="U135" s="15">
        <v>-1.34516831298943E-3</v>
      </c>
      <c r="V135" s="15">
        <v>2.1657012873860099E-4</v>
      </c>
      <c r="W135" s="15">
        <v>2.9572269617715499E-4</v>
      </c>
      <c r="X135" s="34">
        <v>1.1043593130779299</v>
      </c>
      <c r="Y135" s="34">
        <v>1.1028747626327899</v>
      </c>
      <c r="Z135" s="34">
        <v>1.10445161943899</v>
      </c>
      <c r="AA135" s="34">
        <v>1.1046834680597499</v>
      </c>
      <c r="AB135" s="33">
        <v>50.0925717187815</v>
      </c>
      <c r="AC135" s="33">
        <v>50.170864334060099</v>
      </c>
      <c r="AD135" s="33">
        <v>50.174835643950402</v>
      </c>
      <c r="AE135" s="15">
        <v>-1.34516831298943E-3</v>
      </c>
      <c r="AF135" s="15">
        <v>2.1657012873860099E-4</v>
      </c>
      <c r="AG135" s="15">
        <v>2.9572269617715499E-4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9.3327729731603696E-3</v>
      </c>
      <c r="AT135" s="12"/>
      <c r="AU135">
        <f t="shared" si="30"/>
        <v>0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1.5399849045002901E-3</v>
      </c>
      <c r="BA135" s="28">
        <f t="shared" si="33"/>
        <v>-9.9631372194891794E-4</v>
      </c>
      <c r="BB135" s="28">
        <f t="shared" si="40"/>
        <v>5.4367118255137215E-4</v>
      </c>
      <c r="BC135" s="29">
        <f t="shared" si="41"/>
        <v>5.2026297044295376E-3</v>
      </c>
      <c r="BE135" s="29">
        <f t="shared" si="42"/>
        <v>5.4367118255137215E-4</v>
      </c>
      <c r="BF135" s="29">
        <f t="shared" si="43"/>
        <v>1.4535402677589911E-2</v>
      </c>
      <c r="BH135" s="29"/>
    </row>
    <row r="136" spans="1:60" x14ac:dyDescent="0.25">
      <c r="A136" s="1">
        <v>46220</v>
      </c>
      <c r="B136" s="33">
        <v>45.39</v>
      </c>
      <c r="C136" s="33">
        <v>50.13</v>
      </c>
      <c r="D136" s="15">
        <v>-6.60720209038245E-4</v>
      </c>
      <c r="E136" s="15">
        <v>-5.9826504925312497E-4</v>
      </c>
      <c r="F136" s="33">
        <v>0</v>
      </c>
      <c r="G136" s="33">
        <v>0.80533999999999994</v>
      </c>
      <c r="H136" s="33">
        <v>0</v>
      </c>
      <c r="I136" s="33">
        <v>0.85239999999999905</v>
      </c>
      <c r="J136" s="33">
        <v>0</v>
      </c>
      <c r="K136" s="33">
        <v>0</v>
      </c>
      <c r="L136" s="33">
        <v>45.39</v>
      </c>
      <c r="M136" s="33">
        <v>50.13</v>
      </c>
      <c r="N136" s="34">
        <v>1.1044282881692</v>
      </c>
      <c r="O136" s="34">
        <v>1.1028747626327899</v>
      </c>
      <c r="P136" s="34">
        <v>1.10439805639061</v>
      </c>
      <c r="Q136" s="34">
        <v>1.10468968703562</v>
      </c>
      <c r="R136" s="33">
        <v>50.059485475902598</v>
      </c>
      <c r="S136" s="33">
        <v>50.131059006335803</v>
      </c>
      <c r="T136" s="33">
        <v>50.141582615232103</v>
      </c>
      <c r="U136" s="15">
        <v>-1.4076234727745699E-3</v>
      </c>
      <c r="V136" s="15">
        <v>2.1124978060873502E-5</v>
      </c>
      <c r="W136" s="15">
        <v>2.31024882256844E-4</v>
      </c>
      <c r="X136" s="34">
        <v>1.1044282881692</v>
      </c>
      <c r="Y136" s="34">
        <v>1.1028747626327899</v>
      </c>
      <c r="Z136" s="34">
        <v>1.10439805639061</v>
      </c>
      <c r="AA136" s="34">
        <v>1.10468968703562</v>
      </c>
      <c r="AB136" s="33">
        <v>50.059485475902598</v>
      </c>
      <c r="AC136" s="33">
        <v>50.131059006335803</v>
      </c>
      <c r="AD136" s="33">
        <v>50.141582615232103</v>
      </c>
      <c r="AE136" s="15">
        <v>-1.4076234727745699E-3</v>
      </c>
      <c r="AF136" s="15">
        <v>2.1124978060873502E-5</v>
      </c>
      <c r="AG136" s="15">
        <v>2.31024882256844E-4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9.3327729731603696E-3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6.60720209038245E-4</v>
      </c>
      <c r="BA136" s="28">
        <f t="shared" si="33"/>
        <v>-5.9826504925312497E-4</v>
      </c>
      <c r="BB136" s="28">
        <f t="shared" si="40"/>
        <v>6.2455159785120029E-5</v>
      </c>
      <c r="BC136" s="29">
        <f t="shared" si="41"/>
        <v>5.2650848642146579E-3</v>
      </c>
      <c r="BE136" s="29">
        <f t="shared" si="42"/>
        <v>6.2455159785120029E-5</v>
      </c>
      <c r="BF136" s="29">
        <f t="shared" si="43"/>
        <v>1.4597857837375031E-2</v>
      </c>
      <c r="BH136" s="29"/>
    </row>
    <row r="137" spans="1:60" x14ac:dyDescent="0.25">
      <c r="A137" s="1">
        <v>46223</v>
      </c>
      <c r="B137" s="33">
        <v>45.32</v>
      </c>
      <c r="C137" s="33">
        <v>50.05</v>
      </c>
      <c r="D137" s="15">
        <v>-1.5433803085686401E-3</v>
      </c>
      <c r="E137" s="15">
        <v>-1.5971255141825501E-3</v>
      </c>
      <c r="F137" s="33">
        <v>0</v>
      </c>
      <c r="G137" s="33">
        <v>0.80533999999999994</v>
      </c>
      <c r="H137" s="33">
        <v>0</v>
      </c>
      <c r="I137" s="33">
        <v>0.85239999999999905</v>
      </c>
      <c r="J137" s="33">
        <v>0</v>
      </c>
      <c r="K137" s="33">
        <v>0</v>
      </c>
      <c r="L137" s="33">
        <v>45.32</v>
      </c>
      <c r="M137" s="33">
        <v>50.05</v>
      </c>
      <c r="N137" s="34">
        <v>1.1043689320388299</v>
      </c>
      <c r="O137" s="34">
        <v>1.1028747626327899</v>
      </c>
      <c r="P137" s="34">
        <v>1.1042925173985201</v>
      </c>
      <c r="Q137" s="34">
        <v>1.1046749389802399</v>
      </c>
      <c r="R137" s="33">
        <v>49.982284242518297</v>
      </c>
      <c r="S137" s="33">
        <v>50.051319915622699</v>
      </c>
      <c r="T137" s="33">
        <v>50.064536616454497</v>
      </c>
      <c r="U137" s="15">
        <v>-1.3538782671606599E-3</v>
      </c>
      <c r="V137" s="15">
        <v>2.6371592781181399E-5</v>
      </c>
      <c r="W137" s="15">
        <v>2.90399717124248E-4</v>
      </c>
      <c r="X137" s="34">
        <v>1.1043689320388299</v>
      </c>
      <c r="Y137" s="34">
        <v>1.1028747626327899</v>
      </c>
      <c r="Z137" s="34">
        <v>1.1042925173985201</v>
      </c>
      <c r="AA137" s="34">
        <v>1.1046749389802399</v>
      </c>
      <c r="AB137" s="33">
        <v>49.982284242518297</v>
      </c>
      <c r="AC137" s="33">
        <v>50.051319915622699</v>
      </c>
      <c r="AD137" s="33">
        <v>50.064536616454497</v>
      </c>
      <c r="AE137" s="15">
        <v>-1.3538782671606599E-3</v>
      </c>
      <c r="AF137" s="15">
        <v>2.6371592781181399E-5</v>
      </c>
      <c r="AG137" s="15">
        <v>2.90399717124248E-4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9.3327729731603696E-3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1.5433803085686401E-3</v>
      </c>
      <c r="BA137" s="28">
        <f t="shared" si="33"/>
        <v>-1.5971255141825501E-3</v>
      </c>
      <c r="BB137" s="28">
        <f t="shared" si="40"/>
        <v>-5.3745205613910021E-5</v>
      </c>
      <c r="BC137" s="29">
        <f t="shared" si="41"/>
        <v>5.2113396586007475E-3</v>
      </c>
      <c r="BE137" s="29">
        <f t="shared" si="42"/>
        <v>-5.3745205613910021E-5</v>
      </c>
      <c r="BF137" s="29">
        <f t="shared" si="43"/>
        <v>1.4544112631761121E-2</v>
      </c>
      <c r="BH137" s="29"/>
    </row>
    <row r="138" spans="1:60" x14ac:dyDescent="0.25">
      <c r="A138" s="1">
        <v>46224</v>
      </c>
      <c r="B138" s="33">
        <v>45.23</v>
      </c>
      <c r="C138" s="33">
        <v>49.95</v>
      </c>
      <c r="D138" s="15">
        <v>-1.9878526700538302E-3</v>
      </c>
      <c r="E138" s="15">
        <v>-2.0000006666669899E-3</v>
      </c>
      <c r="F138" s="33">
        <v>0</v>
      </c>
      <c r="G138" s="33">
        <v>0.80533999999999994</v>
      </c>
      <c r="H138" s="33">
        <v>0</v>
      </c>
      <c r="I138" s="33">
        <v>0.85239999999999905</v>
      </c>
      <c r="J138" s="33">
        <v>0</v>
      </c>
      <c r="K138" s="33">
        <v>0</v>
      </c>
      <c r="L138" s="33">
        <v>45.23</v>
      </c>
      <c r="M138" s="33">
        <v>49.95</v>
      </c>
      <c r="N138" s="34">
        <v>1.1043555162502701</v>
      </c>
      <c r="O138" s="34">
        <v>1.1028747626327899</v>
      </c>
      <c r="P138" s="34">
        <v>1.1041578935849501</v>
      </c>
      <c r="Q138" s="34">
        <v>1.1046704682414099</v>
      </c>
      <c r="R138" s="33">
        <v>49.8830255138813</v>
      </c>
      <c r="S138" s="33">
        <v>49.947150561935203</v>
      </c>
      <c r="T138" s="33">
        <v>49.964447490076402</v>
      </c>
      <c r="U138" s="15">
        <v>-1.34173027054756E-3</v>
      </c>
      <c r="V138" s="15">
        <v>-5.7047434275577601E-5</v>
      </c>
      <c r="W138" s="15">
        <v>2.8919721902145E-4</v>
      </c>
      <c r="X138" s="34">
        <v>1.1043555162502701</v>
      </c>
      <c r="Y138" s="34">
        <v>1.1028747626327899</v>
      </c>
      <c r="Z138" s="34">
        <v>1.1041578935849501</v>
      </c>
      <c r="AA138" s="34">
        <v>1.1046704682414099</v>
      </c>
      <c r="AB138" s="33">
        <v>49.8830255138813</v>
      </c>
      <c r="AC138" s="33">
        <v>49.947150561935203</v>
      </c>
      <c r="AD138" s="33">
        <v>49.964447490076402</v>
      </c>
      <c r="AE138" s="15">
        <v>-1.34173027054756E-3</v>
      </c>
      <c r="AF138" s="15">
        <v>-5.7047434275577601E-5</v>
      </c>
      <c r="AG138" s="15">
        <v>2.8919721902145E-4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9.3327729731603696E-3</v>
      </c>
      <c r="AT138" s="12"/>
      <c r="AU138">
        <f t="shared" si="30"/>
        <v>0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1.9878526700538302E-3</v>
      </c>
      <c r="BA138" s="28">
        <f t="shared" si="33"/>
        <v>-2.0000006666669899E-3</v>
      </c>
      <c r="BB138" s="28">
        <f t="shared" si="40"/>
        <v>-1.2147996613159733E-5</v>
      </c>
      <c r="BC138" s="29">
        <f t="shared" si="41"/>
        <v>5.1991916619875877E-3</v>
      </c>
      <c r="BE138" s="29">
        <f t="shared" si="42"/>
        <v>-1.2147996613159733E-5</v>
      </c>
      <c r="BF138" s="29">
        <f t="shared" si="43"/>
        <v>1.453196463514796E-2</v>
      </c>
      <c r="BH138" s="29"/>
    </row>
    <row r="139" spans="1:60" x14ac:dyDescent="0.25">
      <c r="A139" s="1">
        <v>46225</v>
      </c>
      <c r="B139" s="33">
        <v>45.1</v>
      </c>
      <c r="C139" s="33">
        <v>49.81</v>
      </c>
      <c r="D139" s="15">
        <v>-2.8783369811190098E-3</v>
      </c>
      <c r="E139" s="15">
        <v>-2.8067380093704602E-3</v>
      </c>
      <c r="F139" s="33">
        <v>0</v>
      </c>
      <c r="G139" s="33">
        <v>0.80533999999999994</v>
      </c>
      <c r="H139" s="33">
        <v>0</v>
      </c>
      <c r="I139" s="33">
        <v>0.85239999999999905</v>
      </c>
      <c r="J139" s="33">
        <v>0</v>
      </c>
      <c r="K139" s="33">
        <v>0</v>
      </c>
      <c r="L139" s="33">
        <v>45.1</v>
      </c>
      <c r="M139" s="33">
        <v>49.81</v>
      </c>
      <c r="N139" s="34">
        <v>1.10443458980044</v>
      </c>
      <c r="O139" s="34">
        <v>1.1028747626327899</v>
      </c>
      <c r="P139" s="34">
        <v>1.10426106716434</v>
      </c>
      <c r="Q139" s="34">
        <v>1.10460826876848</v>
      </c>
      <c r="R139" s="33">
        <v>49.739651794738997</v>
      </c>
      <c r="S139" s="33">
        <v>49.797521000681499</v>
      </c>
      <c r="T139" s="33">
        <v>49.820638117687601</v>
      </c>
      <c r="U139" s="15">
        <v>-1.41332924229608E-3</v>
      </c>
      <c r="V139" s="15">
        <v>-2.5056339638633698E-4</v>
      </c>
      <c r="W139" s="15">
        <v>2.1355113103844201E-4</v>
      </c>
      <c r="X139" s="34">
        <v>1.10443458980044</v>
      </c>
      <c r="Y139" s="34">
        <v>1.1028747626327899</v>
      </c>
      <c r="Z139" s="34">
        <v>1.10426106716434</v>
      </c>
      <c r="AA139" s="34">
        <v>1.10460826876848</v>
      </c>
      <c r="AB139" s="33">
        <v>49.739651794738997</v>
      </c>
      <c r="AC139" s="33">
        <v>49.797521000681499</v>
      </c>
      <c r="AD139" s="33">
        <v>49.820638117687601</v>
      </c>
      <c r="AE139" s="15">
        <v>-1.41332924229608E-3</v>
      </c>
      <c r="AF139" s="15">
        <v>-2.5056339638633698E-4</v>
      </c>
      <c r="AG139" s="15">
        <v>2.1355113103844201E-4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9.3327729731603696E-3</v>
      </c>
      <c r="AT139" s="12"/>
      <c r="AU139">
        <f t="shared" si="30"/>
        <v>0</v>
      </c>
      <c r="AV139">
        <f t="shared" si="31"/>
        <v>0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2.8783369811190098E-3</v>
      </c>
      <c r="BA139" s="28">
        <f t="shared" si="33"/>
        <v>-2.8067380093704602E-3</v>
      </c>
      <c r="BB139" s="28">
        <f t="shared" si="40"/>
        <v>7.1598971748549657E-5</v>
      </c>
      <c r="BC139" s="29">
        <f t="shared" si="41"/>
        <v>5.2707906337361374E-3</v>
      </c>
      <c r="BE139" s="29">
        <f t="shared" si="42"/>
        <v>7.1598971748549657E-5</v>
      </c>
      <c r="BF139" s="29">
        <f t="shared" si="43"/>
        <v>1.4603563606896509E-2</v>
      </c>
      <c r="BH139" s="29"/>
    </row>
    <row r="140" spans="1:60" x14ac:dyDescent="0.25">
      <c r="A140" s="1">
        <v>46226</v>
      </c>
      <c r="B140" s="33">
        <v>44.84</v>
      </c>
      <c r="C140" s="33">
        <v>49.51</v>
      </c>
      <c r="D140" s="15">
        <v>-5.78164830467347E-3</v>
      </c>
      <c r="E140" s="15">
        <v>-6.0410977118603897E-3</v>
      </c>
      <c r="F140" s="33">
        <v>0</v>
      </c>
      <c r="G140" s="33">
        <v>0.80533999999999994</v>
      </c>
      <c r="H140" s="33">
        <v>0</v>
      </c>
      <c r="I140" s="33">
        <v>0.85239999999999905</v>
      </c>
      <c r="J140" s="33">
        <v>0</v>
      </c>
      <c r="K140" s="33">
        <v>0</v>
      </c>
      <c r="L140" s="33">
        <v>44.84</v>
      </c>
      <c r="M140" s="33">
        <v>49.51</v>
      </c>
      <c r="N140" s="34">
        <v>1.1041480820695799</v>
      </c>
      <c r="O140" s="34">
        <v>1.1028747626327899</v>
      </c>
      <c r="P140" s="34">
        <v>1.1042697282801901</v>
      </c>
      <c r="Q140" s="34">
        <v>1.10458705768929</v>
      </c>
      <c r="R140" s="33">
        <v>49.452904356454503</v>
      </c>
      <c r="S140" s="33">
        <v>49.515066251649003</v>
      </c>
      <c r="T140" s="33">
        <v>49.530634771578903</v>
      </c>
      <c r="U140" s="15">
        <v>-1.1538798351090501E-3</v>
      </c>
      <c r="V140" s="15">
        <v>1.02322610734496E-4</v>
      </c>
      <c r="W140" s="15">
        <v>4.1669304573979302E-4</v>
      </c>
      <c r="X140" s="34">
        <v>1.1041480820695799</v>
      </c>
      <c r="Y140" s="34">
        <v>1.1028747626327899</v>
      </c>
      <c r="Z140" s="34">
        <v>1.1042697282801901</v>
      </c>
      <c r="AA140" s="34">
        <v>1.10458705768929</v>
      </c>
      <c r="AB140" s="33">
        <v>49.452904356454503</v>
      </c>
      <c r="AC140" s="33">
        <v>49.515066251649003</v>
      </c>
      <c r="AD140" s="33">
        <v>49.530634771578903</v>
      </c>
      <c r="AE140" s="15">
        <v>-1.1538798351090501E-3</v>
      </c>
      <c r="AF140" s="15">
        <v>1.02322610734496E-4</v>
      </c>
      <c r="AG140" s="15">
        <v>4.1669304573979302E-4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9.3327729731603696E-3</v>
      </c>
      <c r="AT140" s="12"/>
      <c r="AU140">
        <f t="shared" si="30"/>
        <v>0</v>
      </c>
      <c r="AV140">
        <f t="shared" si="31"/>
        <v>0</v>
      </c>
      <c r="AW140">
        <f t="shared" si="38"/>
        <v>1</v>
      </c>
      <c r="AX140">
        <f t="shared" si="25"/>
        <v>1</v>
      </c>
      <c r="AY140">
        <f t="shared" si="39"/>
        <v>1</v>
      </c>
      <c r="AZ140" s="28">
        <f t="shared" si="32"/>
        <v>5.78164830467347E-3</v>
      </c>
      <c r="BA140" s="28">
        <f t="shared" si="33"/>
        <v>-6.0410977118603897E-3</v>
      </c>
      <c r="BB140" s="28">
        <f t="shared" si="40"/>
        <v>-2.5944940718691974E-4</v>
      </c>
      <c r="BC140" s="29">
        <f t="shared" si="41"/>
        <v>5.0113412265492176E-3</v>
      </c>
      <c r="BE140" s="29">
        <f t="shared" si="42"/>
        <v>-2.5944940718691974E-4</v>
      </c>
      <c r="BF140" s="29">
        <f t="shared" si="43"/>
        <v>1.4344114199709589E-2</v>
      </c>
      <c r="BH140" s="29"/>
    </row>
    <row r="141" spans="1:60" x14ac:dyDescent="0.25">
      <c r="A141" s="1">
        <v>46227</v>
      </c>
      <c r="B141" s="33">
        <v>44.89</v>
      </c>
      <c r="C141" s="33">
        <v>49.61</v>
      </c>
      <c r="D141" s="15">
        <v>1.1144545898816101E-3</v>
      </c>
      <c r="E141" s="15">
        <v>2.0177569396259399E-3</v>
      </c>
      <c r="F141" s="33">
        <v>0</v>
      </c>
      <c r="G141" s="33">
        <v>0.80533999999999994</v>
      </c>
      <c r="H141" s="33">
        <v>0</v>
      </c>
      <c r="I141" s="33">
        <v>0.85239999999999905</v>
      </c>
      <c r="J141" s="33">
        <v>0</v>
      </c>
      <c r="K141" s="33">
        <v>0</v>
      </c>
      <c r="L141" s="33">
        <v>44.89</v>
      </c>
      <c r="M141" s="33">
        <v>49.61</v>
      </c>
      <c r="N141" s="34">
        <v>1.1051459122298899</v>
      </c>
      <c r="O141" s="34">
        <v>1.1028747626327899</v>
      </c>
      <c r="P141" s="34">
        <v>1.1042441350499499</v>
      </c>
      <c r="Q141" s="34">
        <v>1.10459615736813</v>
      </c>
      <c r="R141" s="33">
        <v>49.508048094586201</v>
      </c>
      <c r="S141" s="33">
        <v>49.570668102497699</v>
      </c>
      <c r="T141" s="33">
        <v>49.5849130196723</v>
      </c>
      <c r="U141" s="15">
        <v>-2.0571821848533998E-3</v>
      </c>
      <c r="V141" s="15">
        <v>-7.9313641088674103E-4</v>
      </c>
      <c r="W141" s="15">
        <v>-5.0581184254059404E-4</v>
      </c>
      <c r="X141" s="34">
        <v>1.1051459122298899</v>
      </c>
      <c r="Y141" s="34">
        <v>1.1028747626327899</v>
      </c>
      <c r="Z141" s="34">
        <v>1.1042441350499499</v>
      </c>
      <c r="AA141" s="34">
        <v>1.10459615736813</v>
      </c>
      <c r="AB141" s="33">
        <v>49.508048094586201</v>
      </c>
      <c r="AC141" s="33">
        <v>49.570668102497699</v>
      </c>
      <c r="AD141" s="33">
        <v>49.5849130196723</v>
      </c>
      <c r="AE141" s="15">
        <v>-2.0571821848533998E-3</v>
      </c>
      <c r="AF141" s="15">
        <v>-7.9313641088674103E-4</v>
      </c>
      <c r="AG141" s="15">
        <v>-5.0581184254059404E-4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9.3327729731603696E-3</v>
      </c>
      <c r="AT141" s="12"/>
      <c r="AU141">
        <f t="shared" si="30"/>
        <v>0</v>
      </c>
      <c r="AV141">
        <f t="shared" si="31"/>
        <v>1</v>
      </c>
      <c r="AW141">
        <f t="shared" si="38"/>
        <v>1</v>
      </c>
      <c r="AX141">
        <f t="shared" si="25"/>
        <v>1</v>
      </c>
      <c r="AY141">
        <f t="shared" si="39"/>
        <v>1</v>
      </c>
      <c r="AZ141" s="28">
        <f t="shared" si="32"/>
        <v>-1.1144545898816101E-3</v>
      </c>
      <c r="BA141" s="28">
        <f t="shared" si="33"/>
        <v>2.0177569396259399E-3</v>
      </c>
      <c r="BB141" s="28">
        <f t="shared" si="40"/>
        <v>9.0330234974432978E-4</v>
      </c>
      <c r="BC141" s="29">
        <f t="shared" si="41"/>
        <v>5.9146435762935474E-3</v>
      </c>
      <c r="BE141" s="29">
        <f t="shared" si="42"/>
        <v>9.0330234974432978E-4</v>
      </c>
      <c r="BF141" s="29">
        <f t="shared" si="43"/>
        <v>1.524741654945392E-2</v>
      </c>
      <c r="BH141" s="29"/>
    </row>
    <row r="142" spans="1:60" x14ac:dyDescent="0.25">
      <c r="A142" s="1">
        <v>46230</v>
      </c>
      <c r="B142" s="33">
        <v>45.02</v>
      </c>
      <c r="C142" s="33">
        <v>49.69</v>
      </c>
      <c r="D142" s="15">
        <v>2.89178268474541E-3</v>
      </c>
      <c r="E142" s="15">
        <v>1.61127930127171E-3</v>
      </c>
      <c r="F142" s="33">
        <v>0</v>
      </c>
      <c r="G142" s="33">
        <v>0.80533999999999994</v>
      </c>
      <c r="H142" s="33">
        <v>0</v>
      </c>
      <c r="I142" s="33">
        <v>0.85239999999999905</v>
      </c>
      <c r="J142" s="33">
        <v>0</v>
      </c>
      <c r="K142" s="33">
        <v>0</v>
      </c>
      <c r="L142" s="33">
        <v>45.02</v>
      </c>
      <c r="M142" s="33">
        <v>49.69</v>
      </c>
      <c r="N142" s="34">
        <v>1.1037316748111901</v>
      </c>
      <c r="O142" s="34">
        <v>1.1028747626327899</v>
      </c>
      <c r="P142" s="34">
        <v>1.10423082910112</v>
      </c>
      <c r="Q142" s="34">
        <v>1.1045379858639399</v>
      </c>
      <c r="R142" s="33">
        <v>49.651421813728398</v>
      </c>
      <c r="S142" s="33">
        <v>49.713070959948801</v>
      </c>
      <c r="T142" s="33">
        <v>49.728919004713497</v>
      </c>
      <c r="U142" s="15">
        <v>-7.7667880137953504E-4</v>
      </c>
      <c r="V142" s="15">
        <v>4.6419009272713002E-4</v>
      </c>
      <c r="W142" s="15">
        <v>7.8292958908140499E-4</v>
      </c>
      <c r="X142" s="34">
        <v>1.1037316748111901</v>
      </c>
      <c r="Y142" s="34">
        <v>1.1028747626327899</v>
      </c>
      <c r="Z142" s="34">
        <v>1.10423082910112</v>
      </c>
      <c r="AA142" s="34">
        <v>1.1045379858639399</v>
      </c>
      <c r="AB142" s="33">
        <v>49.651421813728398</v>
      </c>
      <c r="AC142" s="33">
        <v>49.713070959948801</v>
      </c>
      <c r="AD142" s="33">
        <v>49.728919004713497</v>
      </c>
      <c r="AE142" s="15">
        <v>-7.7667880137953504E-4</v>
      </c>
      <c r="AF142" s="15">
        <v>4.6419009272713002E-4</v>
      </c>
      <c r="AG142" s="15">
        <v>7.8292958908140499E-4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9.3327729731603696E-3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5.9146435762935474E-3</v>
      </c>
      <c r="BE142" s="29">
        <f t="shared" si="42"/>
        <v>0</v>
      </c>
      <c r="BF142" s="29">
        <f t="shared" si="43"/>
        <v>1.524741654945392E-2</v>
      </c>
      <c r="BH142" s="29"/>
    </row>
    <row r="143" spans="1:60" x14ac:dyDescent="0.25">
      <c r="A143" s="1">
        <v>46231</v>
      </c>
      <c r="B143" s="33">
        <v>45.09</v>
      </c>
      <c r="C143" s="33">
        <v>49.77</v>
      </c>
      <c r="D143" s="15">
        <v>1.55365695440661E-3</v>
      </c>
      <c r="E143" s="15">
        <v>1.60868725623362E-3</v>
      </c>
      <c r="F143" s="33">
        <v>0</v>
      </c>
      <c r="G143" s="33">
        <v>0.80533999999999994</v>
      </c>
      <c r="H143" s="33">
        <v>0</v>
      </c>
      <c r="I143" s="33">
        <v>0.85239999999999905</v>
      </c>
      <c r="J143" s="33">
        <v>0</v>
      </c>
      <c r="K143" s="33">
        <v>0</v>
      </c>
      <c r="L143" s="33">
        <v>45.09</v>
      </c>
      <c r="M143" s="33">
        <v>49.77</v>
      </c>
      <c r="N143" s="34">
        <v>1.1037924151696601</v>
      </c>
      <c r="O143" s="34">
        <v>1.1028747626327899</v>
      </c>
      <c r="P143" s="34">
        <v>1.1042523791544001</v>
      </c>
      <c r="Q143" s="34">
        <v>1.10445583190074</v>
      </c>
      <c r="R143" s="33">
        <v>49.728623047112698</v>
      </c>
      <c r="S143" s="33">
        <v>49.789768084169502</v>
      </c>
      <c r="T143" s="33">
        <v>49.803617782605102</v>
      </c>
      <c r="U143" s="15">
        <v>-8.3170910320667501E-4</v>
      </c>
      <c r="V143" s="15">
        <v>3.9710989307631899E-4</v>
      </c>
      <c r="W143" s="15">
        <v>6.7523475858623097E-4</v>
      </c>
      <c r="X143" s="34">
        <v>1.1037924151696601</v>
      </c>
      <c r="Y143" s="34">
        <v>1.1028747626327899</v>
      </c>
      <c r="Z143" s="34">
        <v>1.1042523791544001</v>
      </c>
      <c r="AA143" s="34">
        <v>1.10445583190074</v>
      </c>
      <c r="AB143" s="33">
        <v>49.728623047112698</v>
      </c>
      <c r="AC143" s="33">
        <v>49.789768084169502</v>
      </c>
      <c r="AD143" s="33">
        <v>49.803617782605102</v>
      </c>
      <c r="AE143" s="15">
        <v>-8.3170910320667501E-4</v>
      </c>
      <c r="AF143" s="15">
        <v>3.9710989307631899E-4</v>
      </c>
      <c r="AG143" s="15">
        <v>6.7523475858623097E-4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9.3327729731603696E-3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5.9146435762935474E-3</v>
      </c>
      <c r="BE143" s="29">
        <f t="shared" si="42"/>
        <v>0</v>
      </c>
      <c r="BF143" s="29">
        <f t="shared" si="43"/>
        <v>1.524741654945392E-2</v>
      </c>
      <c r="BH143" s="29"/>
    </row>
    <row r="144" spans="1:60" x14ac:dyDescent="0.25">
      <c r="A144" s="1">
        <v>46232</v>
      </c>
      <c r="B144" s="33">
        <v>45</v>
      </c>
      <c r="C144" s="33">
        <v>49.7</v>
      </c>
      <c r="D144" s="15">
        <v>-1.9980026626731E-3</v>
      </c>
      <c r="E144" s="15">
        <v>-1.4074597678798201E-3</v>
      </c>
      <c r="F144" s="33">
        <v>0</v>
      </c>
      <c r="G144" s="33">
        <v>0.80533999999999994</v>
      </c>
      <c r="H144" s="33">
        <v>0</v>
      </c>
      <c r="I144" s="33">
        <v>0.85239999999999905</v>
      </c>
      <c r="J144" s="33">
        <v>0</v>
      </c>
      <c r="K144" s="33">
        <v>0</v>
      </c>
      <c r="L144" s="33">
        <v>45</v>
      </c>
      <c r="M144" s="33">
        <v>49.7</v>
      </c>
      <c r="N144" s="34">
        <v>1.1044444444444399</v>
      </c>
      <c r="O144" s="34">
        <v>1.1028747626327899</v>
      </c>
      <c r="P144" s="34">
        <v>1.1043209168061401</v>
      </c>
      <c r="Q144" s="34">
        <v>1.1044597135116101</v>
      </c>
      <c r="R144" s="33">
        <v>49.629364318475801</v>
      </c>
      <c r="S144" s="33">
        <v>49.691357061948104</v>
      </c>
      <c r="T144" s="33">
        <v>49.700512435533703</v>
      </c>
      <c r="U144" s="15">
        <v>-1.4222519980000199E-3</v>
      </c>
      <c r="V144" s="15">
        <v>-1.7391729681699299E-4</v>
      </c>
      <c r="W144" s="15">
        <v>1.0310520965550501E-5</v>
      </c>
      <c r="X144" s="34">
        <v>1.1044444444444399</v>
      </c>
      <c r="Y144" s="34">
        <v>1.1028747626327899</v>
      </c>
      <c r="Z144" s="34">
        <v>1.1043209168061401</v>
      </c>
      <c r="AA144" s="34">
        <v>1.1044597135116101</v>
      </c>
      <c r="AB144" s="33">
        <v>49.629364318475801</v>
      </c>
      <c r="AC144" s="33">
        <v>49.691357061948104</v>
      </c>
      <c r="AD144" s="33">
        <v>49.700512435533703</v>
      </c>
      <c r="AE144" s="15">
        <v>-1.4222519980000199E-3</v>
      </c>
      <c r="AF144" s="15">
        <v>-1.7391729681699299E-4</v>
      </c>
      <c r="AG144" s="15">
        <v>1.0310520965550501E-5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9.3327729731603696E-3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5.9146435762935474E-3</v>
      </c>
      <c r="BE144" s="29">
        <f t="shared" si="42"/>
        <v>0</v>
      </c>
      <c r="BF144" s="29">
        <f t="shared" si="43"/>
        <v>1.524741654945392E-2</v>
      </c>
      <c r="BH144" s="29"/>
    </row>
    <row r="145" spans="1:60" x14ac:dyDescent="0.25">
      <c r="A145" s="1">
        <v>46233</v>
      </c>
      <c r="B145" s="33">
        <v>45</v>
      </c>
      <c r="C145" s="33">
        <v>49.65</v>
      </c>
      <c r="D145" s="15">
        <v>0</v>
      </c>
      <c r="E145" s="15">
        <v>-1.0065426114015E-3</v>
      </c>
      <c r="F145" s="33">
        <v>0</v>
      </c>
      <c r="G145" s="33">
        <v>0.80533999999999994</v>
      </c>
      <c r="H145" s="33">
        <v>0</v>
      </c>
      <c r="I145" s="33">
        <v>0.85239999999999905</v>
      </c>
      <c r="J145" s="33">
        <v>0</v>
      </c>
      <c r="K145" s="33">
        <v>0</v>
      </c>
      <c r="L145" s="33">
        <v>45</v>
      </c>
      <c r="M145" s="33">
        <v>49.65</v>
      </c>
      <c r="N145" s="34">
        <v>1.1033333333333299</v>
      </c>
      <c r="O145" s="34">
        <v>1.1028747626327899</v>
      </c>
      <c r="P145" s="34">
        <v>1.1042183188316801</v>
      </c>
      <c r="Q145" s="34">
        <v>1.1043349691353399</v>
      </c>
      <c r="R145" s="33">
        <v>49.629364318475801</v>
      </c>
      <c r="S145" s="33">
        <v>49.694441256276598</v>
      </c>
      <c r="T145" s="33">
        <v>49.700687108022798</v>
      </c>
      <c r="U145" s="15">
        <v>-4.1570938659848998E-4</v>
      </c>
      <c r="V145" s="15">
        <v>8.9469040600819404E-4</v>
      </c>
      <c r="W145" s="15">
        <v>1.0203676269582901E-3</v>
      </c>
      <c r="X145" s="34">
        <v>1.1033333333333299</v>
      </c>
      <c r="Y145" s="34">
        <v>1.1028747626327899</v>
      </c>
      <c r="Z145" s="34">
        <v>1.1042183188316801</v>
      </c>
      <c r="AA145" s="34">
        <v>1.1043349691353399</v>
      </c>
      <c r="AB145" s="33">
        <v>49.629364318475801</v>
      </c>
      <c r="AC145" s="33">
        <v>49.694441256276598</v>
      </c>
      <c r="AD145" s="33">
        <v>49.700687108022798</v>
      </c>
      <c r="AE145" s="15">
        <v>-4.1570938659848998E-4</v>
      </c>
      <c r="AF145" s="15">
        <v>8.9469040600819404E-4</v>
      </c>
      <c r="AG145" s="15">
        <v>1.0203676269582901E-3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9.3327729731603696E-3</v>
      </c>
      <c r="AT145" s="12"/>
      <c r="AU145">
        <f t="shared" si="30"/>
        <v>1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5.9146435762935474E-3</v>
      </c>
      <c r="BE145" s="29">
        <f t="shared" si="42"/>
        <v>0</v>
      </c>
      <c r="BF145" s="29">
        <f t="shared" si="43"/>
        <v>1.524741654945392E-2</v>
      </c>
      <c r="BH145" s="29"/>
    </row>
    <row r="146" spans="1:60" x14ac:dyDescent="0.25">
      <c r="A146" s="1">
        <v>46234</v>
      </c>
      <c r="B146" s="33">
        <v>44.9</v>
      </c>
      <c r="C146" s="33">
        <v>49.6</v>
      </c>
      <c r="D146" s="15">
        <v>-2.2246950221111602E-3</v>
      </c>
      <c r="E146" s="15">
        <v>-1.0075567602997101E-3</v>
      </c>
      <c r="F146" s="33">
        <v>0</v>
      </c>
      <c r="G146" s="33">
        <v>0.80533999999999994</v>
      </c>
      <c r="H146" s="33">
        <v>0</v>
      </c>
      <c r="I146" s="33">
        <v>0.85239999999999905</v>
      </c>
      <c r="J146" s="33">
        <v>0</v>
      </c>
      <c r="K146" s="33">
        <v>0</v>
      </c>
      <c r="L146" s="33">
        <v>44.9</v>
      </c>
      <c r="M146" s="33">
        <v>49.6</v>
      </c>
      <c r="N146" s="34">
        <v>1.10467706013363</v>
      </c>
      <c r="O146" s="34">
        <v>1.1028747626327899</v>
      </c>
      <c r="P146" s="34">
        <v>1.10424319602812</v>
      </c>
      <c r="Q146" s="34">
        <v>1.1043206262093701</v>
      </c>
      <c r="R146" s="33">
        <v>49.519076842212499</v>
      </c>
      <c r="S146" s="33">
        <v>49.579402515542697</v>
      </c>
      <c r="T146" s="33">
        <v>49.5846401141767</v>
      </c>
      <c r="U146" s="15">
        <v>-1.6328476484099299E-3</v>
      </c>
      <c r="V146" s="15">
        <v>-4.1535811329727299E-4</v>
      </c>
      <c r="W146" s="15">
        <v>-3.09723076644709E-4</v>
      </c>
      <c r="X146" s="34">
        <v>1.10467706013363</v>
      </c>
      <c r="Y146" s="34">
        <v>1.1028747626327899</v>
      </c>
      <c r="Z146" s="34">
        <v>1.10424319602812</v>
      </c>
      <c r="AA146" s="34">
        <v>1.1043206262093701</v>
      </c>
      <c r="AB146" s="33">
        <v>49.519076842212499</v>
      </c>
      <c r="AC146" s="33">
        <v>49.579402515542697</v>
      </c>
      <c r="AD146" s="33">
        <v>49.5846401141767</v>
      </c>
      <c r="AE146" s="15">
        <v>-1.6328476484099299E-3</v>
      </c>
      <c r="AF146" s="15">
        <v>-4.1535811329727299E-4</v>
      </c>
      <c r="AG146" s="15">
        <v>-3.09723076644709E-4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9.3327729731603696E-3</v>
      </c>
      <c r="AT146" s="12"/>
      <c r="AU146">
        <f t="shared" si="30"/>
        <v>0</v>
      </c>
      <c r="AV146">
        <f t="shared" si="31"/>
        <v>1</v>
      </c>
      <c r="AW146">
        <f t="shared" si="38"/>
        <v>1</v>
      </c>
      <c r="AX146">
        <f t="shared" si="25"/>
        <v>0</v>
      </c>
      <c r="AY146">
        <f t="shared" si="39"/>
        <v>1</v>
      </c>
      <c r="AZ146" s="28">
        <f t="shared" si="32"/>
        <v>2.2246950221111602E-3</v>
      </c>
      <c r="BA146" s="28">
        <f t="shared" si="33"/>
        <v>-1.0075567602997101E-3</v>
      </c>
      <c r="BB146" s="28">
        <f t="shared" si="40"/>
        <v>1.2171382618114501E-3</v>
      </c>
      <c r="BC146" s="29">
        <f t="shared" si="41"/>
        <v>7.1317818381049971E-3</v>
      </c>
      <c r="BE146" s="29">
        <f t="shared" si="42"/>
        <v>1.2171382618114501E-3</v>
      </c>
      <c r="BF146" s="29">
        <f t="shared" si="43"/>
        <v>1.646455481126537E-2</v>
      </c>
      <c r="BH146" s="29"/>
    </row>
    <row r="147" spans="1:60" x14ac:dyDescent="0.25">
      <c r="A147" s="1">
        <v>46237</v>
      </c>
      <c r="B147" s="33">
        <v>44.83</v>
      </c>
      <c r="C147" s="33">
        <v>49.52</v>
      </c>
      <c r="D147" s="15">
        <v>-1.5602365808604899E-3</v>
      </c>
      <c r="E147" s="15">
        <v>-1.6142053545411101E-3</v>
      </c>
      <c r="F147" s="33">
        <v>0.1351</v>
      </c>
      <c r="G147" s="33">
        <v>0.94043999999999905</v>
      </c>
      <c r="H147" s="33">
        <v>0.14149999999999999</v>
      </c>
      <c r="I147" s="33">
        <v>0.99389999999999901</v>
      </c>
      <c r="J147" s="33">
        <v>0</v>
      </c>
      <c r="K147" s="33">
        <v>0</v>
      </c>
      <c r="L147" s="33">
        <v>44.83</v>
      </c>
      <c r="M147" s="33">
        <v>49.52</v>
      </c>
      <c r="N147" s="34">
        <v>1.1046174436761</v>
      </c>
      <c r="O147" s="34">
        <v>1.1028747626327899</v>
      </c>
      <c r="P147" s="34">
        <v>1.10426804719185</v>
      </c>
      <c r="Q147" s="34">
        <v>1.10428028229519</v>
      </c>
      <c r="R147" s="33">
        <v>49.441875608828198</v>
      </c>
      <c r="S147" s="33">
        <v>49.503222477941002</v>
      </c>
      <c r="T147" s="33">
        <v>49.5066936729662</v>
      </c>
      <c r="U147" s="15">
        <v>-1.57887887472928E-3</v>
      </c>
      <c r="V147" s="15">
        <v>-3.3886035618020498E-4</v>
      </c>
      <c r="W147" s="15">
        <v>-2.6874222738027301E-4</v>
      </c>
      <c r="X147" s="34">
        <v>1.1046174436761</v>
      </c>
      <c r="Y147" s="34">
        <v>1.1028747626327899</v>
      </c>
      <c r="Z147" s="34">
        <v>1.10426804719185</v>
      </c>
      <c r="AA147" s="34">
        <v>1.10428028229519</v>
      </c>
      <c r="AB147" s="33">
        <v>49.441875608828198</v>
      </c>
      <c r="AC147" s="33">
        <v>49.503222477941002</v>
      </c>
      <c r="AD147" s="33">
        <v>49.5066936729662</v>
      </c>
      <c r="AE147" s="15">
        <v>-1.57887887472928E-3</v>
      </c>
      <c r="AF147" s="15">
        <v>-3.3886035618020498E-4</v>
      </c>
      <c r="AG147" s="15">
        <v>-2.6874222738027301E-4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9.3327729731603696E-3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7.1317818381049971E-3</v>
      </c>
      <c r="BE147" s="29">
        <f t="shared" si="42"/>
        <v>0</v>
      </c>
      <c r="BF147" s="29">
        <f t="shared" si="43"/>
        <v>1.646455481126537E-2</v>
      </c>
      <c r="BH147" s="29"/>
    </row>
    <row r="148" spans="1:60" x14ac:dyDescent="0.25">
      <c r="A148" s="1">
        <v>46238</v>
      </c>
      <c r="B148" s="33">
        <v>44.94</v>
      </c>
      <c r="C148" s="33">
        <v>49.66</v>
      </c>
      <c r="D148" s="15">
        <v>2.4507085898350001E-3</v>
      </c>
      <c r="E148" s="15">
        <v>2.82315170367966E-3</v>
      </c>
      <c r="F148" s="33">
        <v>0</v>
      </c>
      <c r="G148" s="33">
        <v>0.94043999999999905</v>
      </c>
      <c r="H148" s="33">
        <v>0</v>
      </c>
      <c r="I148" s="33">
        <v>0.99389999999999901</v>
      </c>
      <c r="J148" s="33">
        <v>0</v>
      </c>
      <c r="K148" s="33">
        <v>0</v>
      </c>
      <c r="L148" s="33">
        <v>44.94</v>
      </c>
      <c r="M148" s="33">
        <v>49.66</v>
      </c>
      <c r="N148" s="34">
        <v>1.1050289274588301</v>
      </c>
      <c r="O148" s="34">
        <v>1.1028747626327899</v>
      </c>
      <c r="P148" s="34">
        <v>1.1043353883127101</v>
      </c>
      <c r="Q148" s="34">
        <v>1.1042466409488301</v>
      </c>
      <c r="R148" s="33">
        <v>49.563191832717798</v>
      </c>
      <c r="S148" s="33">
        <v>49.625806040801997</v>
      </c>
      <c r="T148" s="33">
        <v>49.626355886345799</v>
      </c>
      <c r="U148" s="15">
        <v>-1.9513219885741E-3</v>
      </c>
      <c r="V148" s="15">
        <v>-6.8879856876664404E-4</v>
      </c>
      <c r="W148" s="15">
        <v>-6.7771879915441203E-4</v>
      </c>
      <c r="X148" s="34">
        <v>1.1050289274588301</v>
      </c>
      <c r="Y148" s="34">
        <v>1.1028747626327899</v>
      </c>
      <c r="Z148" s="34">
        <v>1.1043353883127101</v>
      </c>
      <c r="AA148" s="34">
        <v>1.1042466409488301</v>
      </c>
      <c r="AB148" s="33">
        <v>49.563191832717798</v>
      </c>
      <c r="AC148" s="33">
        <v>49.625806040801997</v>
      </c>
      <c r="AD148" s="33">
        <v>49.626355886345799</v>
      </c>
      <c r="AE148" s="15">
        <v>-1.9513219885741E-3</v>
      </c>
      <c r="AF148" s="15">
        <v>-6.8879856876664404E-4</v>
      </c>
      <c r="AG148" s="15">
        <v>-6.7771879915441203E-4</v>
      </c>
      <c r="AI148" s="12"/>
      <c r="AJ148">
        <f t="shared" si="26"/>
        <v>0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9.3327729731603696E-3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7.1317818381049971E-3</v>
      </c>
      <c r="BE148" s="29">
        <f t="shared" si="42"/>
        <v>0</v>
      </c>
      <c r="BF148" s="29">
        <f t="shared" si="43"/>
        <v>1.646455481126537E-2</v>
      </c>
      <c r="BH148" s="29"/>
    </row>
    <row r="149" spans="1:60" x14ac:dyDescent="0.25">
      <c r="A149" s="1">
        <v>46239</v>
      </c>
      <c r="B149" s="33">
        <v>44.98</v>
      </c>
      <c r="C149" s="33">
        <v>49.69</v>
      </c>
      <c r="D149" s="15">
        <v>8.8967977398644903E-4</v>
      </c>
      <c r="E149" s="15">
        <v>6.0392553420872896E-4</v>
      </c>
      <c r="F149" s="33">
        <v>0</v>
      </c>
      <c r="G149" s="33">
        <v>0.94043999999999905</v>
      </c>
      <c r="H149" s="33">
        <v>0</v>
      </c>
      <c r="I149" s="33">
        <v>0.99389999999999901</v>
      </c>
      <c r="J149" s="33">
        <v>0</v>
      </c>
      <c r="K149" s="33">
        <v>0</v>
      </c>
      <c r="L149" s="33">
        <v>44.98</v>
      </c>
      <c r="M149" s="33">
        <v>49.69</v>
      </c>
      <c r="N149" s="34">
        <v>1.1047132058692699</v>
      </c>
      <c r="O149" s="34">
        <v>1.1028747626327899</v>
      </c>
      <c r="P149" s="34">
        <v>1.1043632499195899</v>
      </c>
      <c r="Q149" s="34">
        <v>1.10431215854196</v>
      </c>
      <c r="R149" s="33">
        <v>49.607306823223098</v>
      </c>
      <c r="S149" s="33">
        <v>49.673005766305799</v>
      </c>
      <c r="T149" s="33">
        <v>49.669013909878501</v>
      </c>
      <c r="U149" s="15">
        <v>-1.66556774879634E-3</v>
      </c>
      <c r="V149" s="15">
        <v>-3.4206360262207798E-4</v>
      </c>
      <c r="W149" s="15">
        <v>-4.22429523154138E-4</v>
      </c>
      <c r="X149" s="34">
        <v>1.1047132058692699</v>
      </c>
      <c r="Y149" s="34">
        <v>1.1028747626327899</v>
      </c>
      <c r="Z149" s="34">
        <v>1.1043632499195899</v>
      </c>
      <c r="AA149" s="34">
        <v>1.10431215854196</v>
      </c>
      <c r="AB149" s="33">
        <v>49.607306823223098</v>
      </c>
      <c r="AC149" s="33">
        <v>49.673005766305799</v>
      </c>
      <c r="AD149" s="33">
        <v>49.669013909878501</v>
      </c>
      <c r="AE149" s="15">
        <v>-1.66556774879634E-3</v>
      </c>
      <c r="AF149" s="15">
        <v>-3.4206360262207798E-4</v>
      </c>
      <c r="AG149" s="15">
        <v>-4.22429523154138E-4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9.3327729731603696E-3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7.1317818381049971E-3</v>
      </c>
      <c r="BE149" s="29">
        <f t="shared" si="42"/>
        <v>0</v>
      </c>
      <c r="BF149" s="29">
        <f t="shared" si="43"/>
        <v>1.646455481126537E-2</v>
      </c>
      <c r="BH149" s="29"/>
    </row>
    <row r="150" spans="1:60" x14ac:dyDescent="0.25">
      <c r="A150" s="1">
        <v>46240</v>
      </c>
      <c r="B150" s="33">
        <v>44.94</v>
      </c>
      <c r="C150" s="33">
        <v>49.67</v>
      </c>
      <c r="D150" s="15">
        <v>-8.8967977398647798E-4</v>
      </c>
      <c r="E150" s="15">
        <v>-4.02576494969963E-4</v>
      </c>
      <c r="F150" s="33">
        <v>0</v>
      </c>
      <c r="G150" s="33">
        <v>0.94043999999999905</v>
      </c>
      <c r="H150" s="33">
        <v>0</v>
      </c>
      <c r="I150" s="33">
        <v>0.99389999999999901</v>
      </c>
      <c r="J150" s="33">
        <v>0</v>
      </c>
      <c r="K150" s="33">
        <v>0</v>
      </c>
      <c r="L150" s="33">
        <v>44.94</v>
      </c>
      <c r="M150" s="33">
        <v>49.67</v>
      </c>
      <c r="N150" s="34">
        <v>1.1052514463729399</v>
      </c>
      <c r="O150" s="34">
        <v>1.1028747626327899</v>
      </c>
      <c r="P150" s="34">
        <v>1.10447358634993</v>
      </c>
      <c r="Q150" s="34">
        <v>1.1043716573150599</v>
      </c>
      <c r="R150" s="33">
        <v>49.563191832717798</v>
      </c>
      <c r="S150" s="33">
        <v>49.630084451386601</v>
      </c>
      <c r="T150" s="33">
        <v>49.627788404876</v>
      </c>
      <c r="U150" s="15">
        <v>-2.1526710278127401E-3</v>
      </c>
      <c r="V150" s="15">
        <v>-8.0393790163880996E-4</v>
      </c>
      <c r="W150" s="15">
        <v>-8.50202171563193E-4</v>
      </c>
      <c r="X150" s="34">
        <v>1.1052514463729399</v>
      </c>
      <c r="Y150" s="34">
        <v>1.1028747626327899</v>
      </c>
      <c r="Z150" s="34">
        <v>1.10447358634993</v>
      </c>
      <c r="AA150" s="34">
        <v>1.1043716573150599</v>
      </c>
      <c r="AB150" s="33">
        <v>49.563191832717798</v>
      </c>
      <c r="AC150" s="33">
        <v>49.630084451386601</v>
      </c>
      <c r="AD150" s="33">
        <v>49.627788404876</v>
      </c>
      <c r="AE150" s="15">
        <v>-2.1526710278127401E-3</v>
      </c>
      <c r="AF150" s="15">
        <v>-8.0393790163880996E-4</v>
      </c>
      <c r="AG150" s="15">
        <v>-8.50202171563193E-4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9.3327729731603696E-3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7.1317818381049971E-3</v>
      </c>
      <c r="BE150" s="29">
        <f t="shared" si="42"/>
        <v>0</v>
      </c>
      <c r="BF150" s="29">
        <f t="shared" si="43"/>
        <v>1.646455481126537E-2</v>
      </c>
      <c r="BH150" s="29"/>
    </row>
    <row r="151" spans="1:60" x14ac:dyDescent="0.25">
      <c r="A151" s="1">
        <v>46241</v>
      </c>
      <c r="B151" s="33">
        <v>45.06</v>
      </c>
      <c r="C151" s="33">
        <v>49.81</v>
      </c>
      <c r="D151" s="15">
        <v>2.6666682469152899E-3</v>
      </c>
      <c r="E151" s="15">
        <v>2.8146379659328602E-3</v>
      </c>
      <c r="F151" s="33">
        <v>0</v>
      </c>
      <c r="G151" s="33">
        <v>0.94043999999999905</v>
      </c>
      <c r="H151" s="33">
        <v>0</v>
      </c>
      <c r="I151" s="33">
        <v>0.99389999999999901</v>
      </c>
      <c r="J151" s="33">
        <v>0</v>
      </c>
      <c r="K151" s="33">
        <v>0</v>
      </c>
      <c r="L151" s="33">
        <v>45.06</v>
      </c>
      <c r="M151" s="33">
        <v>49.81</v>
      </c>
      <c r="N151" s="34">
        <v>1.1054150022192599</v>
      </c>
      <c r="O151" s="34">
        <v>1.1028747626327899</v>
      </c>
      <c r="P151" s="34">
        <v>1.10450049534886</v>
      </c>
      <c r="Q151" s="34">
        <v>1.10437231519941</v>
      </c>
      <c r="R151" s="33">
        <v>49.695536804233697</v>
      </c>
      <c r="S151" s="33">
        <v>49.767579800927898</v>
      </c>
      <c r="T151" s="33">
        <v>49.762986878616601</v>
      </c>
      <c r="U151" s="15">
        <v>-2.3006407468302002E-3</v>
      </c>
      <c r="V151" s="15">
        <v>-8.5200306580997904E-4</v>
      </c>
      <c r="W151" s="15">
        <v>-9.4429476006536897E-4</v>
      </c>
      <c r="X151" s="34">
        <v>1.1054150022192599</v>
      </c>
      <c r="Y151" s="34">
        <v>1.1028747626327899</v>
      </c>
      <c r="Z151" s="34">
        <v>1.10450049534886</v>
      </c>
      <c r="AA151" s="34">
        <v>1.10437231519941</v>
      </c>
      <c r="AB151" s="33">
        <v>49.695536804233697</v>
      </c>
      <c r="AC151" s="33">
        <v>49.767579800927898</v>
      </c>
      <c r="AD151" s="33">
        <v>49.762986878616601</v>
      </c>
      <c r="AE151" s="15">
        <v>-2.3006407468302002E-3</v>
      </c>
      <c r="AF151" s="15">
        <v>-8.5200306580997904E-4</v>
      </c>
      <c r="AG151" s="15">
        <v>-9.4429476006536897E-4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9.3327729731603696E-3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7.1317818381049971E-3</v>
      </c>
      <c r="BE151" s="29">
        <f t="shared" ref="BE151:BE176" si="62">AQ151+BB151</f>
        <v>0</v>
      </c>
      <c r="BF151" s="29">
        <f t="shared" ref="BF151:BF176" si="63">BF150+BE151</f>
        <v>1.646455481126537E-2</v>
      </c>
      <c r="BH151" s="29"/>
    </row>
    <row r="152" spans="1:60" x14ac:dyDescent="0.25">
      <c r="A152" s="1">
        <v>46244</v>
      </c>
      <c r="B152" s="33">
        <v>45.03</v>
      </c>
      <c r="C152" s="33">
        <v>49.78</v>
      </c>
      <c r="D152" s="15">
        <v>-6.6600069061814495E-4</v>
      </c>
      <c r="E152" s="15">
        <v>-6.0247014574610098E-4</v>
      </c>
      <c r="F152" s="33">
        <v>0</v>
      </c>
      <c r="G152" s="33">
        <v>0.94043999999999905</v>
      </c>
      <c r="H152" s="33">
        <v>0</v>
      </c>
      <c r="I152" s="33">
        <v>0.99389999999999901</v>
      </c>
      <c r="J152" s="33">
        <v>0</v>
      </c>
      <c r="K152" s="33">
        <v>0</v>
      </c>
      <c r="L152" s="33">
        <v>45.03</v>
      </c>
      <c r="M152" s="33">
        <v>49.78</v>
      </c>
      <c r="N152" s="34">
        <v>1.1054852320675099</v>
      </c>
      <c r="O152" s="34">
        <v>1.1028747626327899</v>
      </c>
      <c r="P152" s="34">
        <v>1.1046758510745001</v>
      </c>
      <c r="Q152" s="34">
        <v>1.10445334008781</v>
      </c>
      <c r="R152" s="33">
        <v>49.662450561354802</v>
      </c>
      <c r="S152" s="33">
        <v>49.735657305559499</v>
      </c>
      <c r="T152" s="33">
        <v>49.729885353429403</v>
      </c>
      <c r="U152" s="15">
        <v>-2.3641712917023701E-3</v>
      </c>
      <c r="V152" s="15">
        <v>-8.91170265578867E-4</v>
      </c>
      <c r="W152" s="15">
        <v>-1.00722959592141E-3</v>
      </c>
      <c r="X152" s="34">
        <v>1.1054852320675099</v>
      </c>
      <c r="Y152" s="34">
        <v>1.1028747626327899</v>
      </c>
      <c r="Z152" s="34">
        <v>1.1046758510745001</v>
      </c>
      <c r="AA152" s="34">
        <v>1.10445334008781</v>
      </c>
      <c r="AB152" s="33">
        <v>49.662450561354802</v>
      </c>
      <c r="AC152" s="33">
        <v>49.735657305559499</v>
      </c>
      <c r="AD152" s="33">
        <v>49.729885353429403</v>
      </c>
      <c r="AE152" s="15">
        <v>-2.3641712917023701E-3</v>
      </c>
      <c r="AF152" s="15">
        <v>-8.91170265578867E-4</v>
      </c>
      <c r="AG152" s="15">
        <v>-1.00722959592141E-3</v>
      </c>
      <c r="AI152" s="12"/>
      <c r="AJ152">
        <f t="shared" si="46"/>
        <v>1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9.3327729731603696E-3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7.1317818381049971E-3</v>
      </c>
      <c r="BE152" s="29">
        <f t="shared" si="62"/>
        <v>0</v>
      </c>
      <c r="BF152" s="29">
        <f t="shared" si="63"/>
        <v>1.646455481126537E-2</v>
      </c>
      <c r="BH152" s="29"/>
    </row>
    <row r="153" spans="1:60" x14ac:dyDescent="0.25">
      <c r="A153" s="1">
        <v>46245</v>
      </c>
      <c r="B153" s="33">
        <v>45.07</v>
      </c>
      <c r="C153" s="33">
        <v>49.83</v>
      </c>
      <c r="D153" s="15">
        <v>8.8790238907660599E-4</v>
      </c>
      <c r="E153" s="15">
        <v>1.00391535386729E-3</v>
      </c>
      <c r="F153" s="33">
        <v>0</v>
      </c>
      <c r="G153" s="33">
        <v>0.94043999999999905</v>
      </c>
      <c r="H153" s="33">
        <v>0</v>
      </c>
      <c r="I153" s="33">
        <v>0.99389999999999901</v>
      </c>
      <c r="J153" s="33">
        <v>0</v>
      </c>
      <c r="K153" s="33">
        <v>0</v>
      </c>
      <c r="L153" s="33">
        <v>45.07</v>
      </c>
      <c r="M153" s="33">
        <v>49.83</v>
      </c>
      <c r="N153" s="34">
        <v>1.10561349012646</v>
      </c>
      <c r="O153" s="34">
        <v>1.1028747626327899</v>
      </c>
      <c r="P153" s="34">
        <v>1.1048579585701801</v>
      </c>
      <c r="Q153" s="34">
        <v>1.1045551688622901</v>
      </c>
      <c r="R153" s="33">
        <v>49.706565551860102</v>
      </c>
      <c r="S153" s="33">
        <v>49.787740607927702</v>
      </c>
      <c r="T153" s="33">
        <v>49.777712037757603</v>
      </c>
      <c r="U153" s="15">
        <v>-2.4801842564928498E-3</v>
      </c>
      <c r="V153" s="15">
        <v>-8.4843109970876302E-4</v>
      </c>
      <c r="W153" s="15">
        <v>-1.0498778854674501E-3</v>
      </c>
      <c r="X153" s="34">
        <v>1.10561349012646</v>
      </c>
      <c r="Y153" s="34">
        <v>1.1028747626327899</v>
      </c>
      <c r="Z153" s="34">
        <v>1.1048579585701801</v>
      </c>
      <c r="AA153" s="34">
        <v>1.1045551688622901</v>
      </c>
      <c r="AB153" s="33">
        <v>49.706565551860102</v>
      </c>
      <c r="AC153" s="33">
        <v>49.787740607927702</v>
      </c>
      <c r="AD153" s="33">
        <v>49.777712037757603</v>
      </c>
      <c r="AE153" s="15">
        <v>-2.4801842564928498E-3</v>
      </c>
      <c r="AF153" s="15">
        <v>-8.4843109970876302E-4</v>
      </c>
      <c r="AG153" s="15">
        <v>-1.0498778854674501E-3</v>
      </c>
      <c r="AI153" s="12"/>
      <c r="AJ153">
        <f t="shared" si="46"/>
        <v>1</v>
      </c>
      <c r="AK153">
        <f t="shared" si="47"/>
        <v>0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8.8790238907660599E-4</v>
      </c>
      <c r="AP153" s="28">
        <f t="shared" si="49"/>
        <v>-1.00391535386729E-3</v>
      </c>
      <c r="AQ153" s="28">
        <f t="shared" si="56"/>
        <v>-1.1601296479068406E-4</v>
      </c>
      <c r="AR153" s="29">
        <f t="shared" si="57"/>
        <v>9.2167600083696861E-3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7.1317818381049971E-3</v>
      </c>
      <c r="BE153" s="29">
        <f t="shared" si="62"/>
        <v>-1.1601296479068406E-4</v>
      </c>
      <c r="BF153" s="29">
        <f t="shared" si="63"/>
        <v>1.6348541846474687E-2</v>
      </c>
      <c r="BH153" s="29"/>
    </row>
    <row r="154" spans="1:60" x14ac:dyDescent="0.25">
      <c r="A154" s="1">
        <v>46246</v>
      </c>
      <c r="B154" s="33">
        <v>45.07</v>
      </c>
      <c r="C154" s="33">
        <v>49.82</v>
      </c>
      <c r="D154" s="15">
        <v>0</v>
      </c>
      <c r="E154" s="15">
        <v>-2.0070245927878401E-4</v>
      </c>
      <c r="F154" s="33">
        <v>0</v>
      </c>
      <c r="G154" s="33">
        <v>0.94043999999999905</v>
      </c>
      <c r="H154" s="33">
        <v>0</v>
      </c>
      <c r="I154" s="33">
        <v>0.99389999999999901</v>
      </c>
      <c r="J154" s="33">
        <v>0</v>
      </c>
      <c r="K154" s="33">
        <v>0</v>
      </c>
      <c r="L154" s="33">
        <v>45.07</v>
      </c>
      <c r="M154" s="33">
        <v>49.82</v>
      </c>
      <c r="N154" s="34">
        <v>1.1053916130463699</v>
      </c>
      <c r="O154" s="34">
        <v>1.1028747626327899</v>
      </c>
      <c r="P154" s="34">
        <v>1.10495267543037</v>
      </c>
      <c r="Q154" s="34">
        <v>1.1046367961182599</v>
      </c>
      <c r="R154" s="33">
        <v>49.706565551860102</v>
      </c>
      <c r="S154" s="33">
        <v>49.795948192757997</v>
      </c>
      <c r="T154" s="33">
        <v>49.782301460623501</v>
      </c>
      <c r="U154" s="15">
        <v>-2.2794817972140399E-3</v>
      </c>
      <c r="V154" s="15">
        <v>-4.8289070466439799E-4</v>
      </c>
      <c r="W154" s="15">
        <v>-7.5698132721432703E-4</v>
      </c>
      <c r="X154" s="34">
        <v>1.1053916130463699</v>
      </c>
      <c r="Y154" s="34">
        <v>1.1028747626327899</v>
      </c>
      <c r="Z154" s="34">
        <v>1.10495267543037</v>
      </c>
      <c r="AA154" s="34">
        <v>1.1046367961182599</v>
      </c>
      <c r="AB154" s="33">
        <v>49.706565551860102</v>
      </c>
      <c r="AC154" s="33">
        <v>49.795948192757997</v>
      </c>
      <c r="AD154" s="33">
        <v>49.782301460623501</v>
      </c>
      <c r="AE154" s="15">
        <v>-2.2794817972140399E-3</v>
      </c>
      <c r="AF154" s="15">
        <v>-4.8289070466439799E-4</v>
      </c>
      <c r="AG154" s="15">
        <v>-7.5698132721432703E-4</v>
      </c>
      <c r="AI154" s="12"/>
      <c r="AJ154">
        <f t="shared" si="46"/>
        <v>0</v>
      </c>
      <c r="AK154">
        <f t="shared" si="47"/>
        <v>0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0</v>
      </c>
      <c r="AP154" s="28">
        <f t="shared" si="49"/>
        <v>2.0070245927878401E-4</v>
      </c>
      <c r="AQ154" s="28">
        <f t="shared" si="56"/>
        <v>2.0070245927878401E-4</v>
      </c>
      <c r="AR154" s="29">
        <f t="shared" si="57"/>
        <v>9.41746246764847E-3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7.1317818381049971E-3</v>
      </c>
      <c r="BE154" s="29">
        <f t="shared" si="62"/>
        <v>2.0070245927878401E-4</v>
      </c>
      <c r="BF154" s="29">
        <f t="shared" si="63"/>
        <v>1.6549244305753472E-2</v>
      </c>
      <c r="BH154" s="29"/>
    </row>
    <row r="155" spans="1:60" x14ac:dyDescent="0.25">
      <c r="A155" s="1">
        <v>46247</v>
      </c>
      <c r="B155" s="33">
        <v>45.15</v>
      </c>
      <c r="C155" s="33">
        <v>49.91</v>
      </c>
      <c r="D155" s="15">
        <v>1.7734431604375699E-3</v>
      </c>
      <c r="E155" s="15">
        <v>1.80487364748334E-3</v>
      </c>
      <c r="F155" s="33">
        <v>0</v>
      </c>
      <c r="G155" s="33">
        <v>0.94043999999999905</v>
      </c>
      <c r="H155" s="33">
        <v>0</v>
      </c>
      <c r="I155" s="33">
        <v>0.99389999999999901</v>
      </c>
      <c r="J155" s="33">
        <v>0</v>
      </c>
      <c r="K155" s="33">
        <v>0</v>
      </c>
      <c r="L155" s="33">
        <v>45.15</v>
      </c>
      <c r="M155" s="33">
        <v>49.91</v>
      </c>
      <c r="N155" s="34">
        <v>1.10542635658914</v>
      </c>
      <c r="O155" s="34">
        <v>1.1028747626327899</v>
      </c>
      <c r="P155" s="34">
        <v>1.10516197775595</v>
      </c>
      <c r="Q155" s="34">
        <v>1.1046901482938201</v>
      </c>
      <c r="R155" s="33">
        <v>49.794795532870701</v>
      </c>
      <c r="S155" s="33">
        <v>49.888613295681303</v>
      </c>
      <c r="T155" s="33">
        <v>49.874351344739402</v>
      </c>
      <c r="U155" s="15">
        <v>-2.3109122842599802E-3</v>
      </c>
      <c r="V155" s="15">
        <v>-4.2859723075768598E-4</v>
      </c>
      <c r="W155" s="15">
        <v>-7.1451397532289402E-4</v>
      </c>
      <c r="X155" s="34">
        <v>1.10542635658914</v>
      </c>
      <c r="Y155" s="34">
        <v>1.1028747626327899</v>
      </c>
      <c r="Z155" s="34">
        <v>1.10516197775595</v>
      </c>
      <c r="AA155" s="34">
        <v>1.1046901482938201</v>
      </c>
      <c r="AB155" s="33">
        <v>49.794795532870701</v>
      </c>
      <c r="AC155" s="33">
        <v>49.888613295681303</v>
      </c>
      <c r="AD155" s="33">
        <v>49.874351344739402</v>
      </c>
      <c r="AE155" s="15">
        <v>-2.3109122842599802E-3</v>
      </c>
      <c r="AF155" s="15">
        <v>-4.2859723075768598E-4</v>
      </c>
      <c r="AG155" s="15">
        <v>-7.1451397532289402E-4</v>
      </c>
      <c r="AI155" s="12"/>
      <c r="AJ155">
        <f t="shared" si="46"/>
        <v>0</v>
      </c>
      <c r="AK155">
        <f t="shared" si="47"/>
        <v>0</v>
      </c>
      <c r="AL155">
        <f t="shared" si="54"/>
        <v>1</v>
      </c>
      <c r="AM155">
        <f t="shared" si="44"/>
        <v>1</v>
      </c>
      <c r="AN155">
        <f t="shared" si="55"/>
        <v>1</v>
      </c>
      <c r="AO155" s="28">
        <f t="shared" si="48"/>
        <v>1.7734431604375699E-3</v>
      </c>
      <c r="AP155" s="28">
        <f t="shared" si="49"/>
        <v>-1.80487364748334E-3</v>
      </c>
      <c r="AQ155" s="28">
        <f t="shared" si="56"/>
        <v>-3.1430487045770077E-5</v>
      </c>
      <c r="AR155" s="29">
        <f t="shared" si="57"/>
        <v>9.3860319806026993E-3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7.1317818381049971E-3</v>
      </c>
      <c r="BE155" s="29">
        <f t="shared" si="62"/>
        <v>-3.1430487045770077E-5</v>
      </c>
      <c r="BF155" s="29">
        <f t="shared" si="63"/>
        <v>1.6517813818707702E-2</v>
      </c>
      <c r="BH155" s="29"/>
    </row>
    <row r="156" spans="1:60" x14ac:dyDescent="0.25">
      <c r="A156" s="1">
        <v>46248</v>
      </c>
      <c r="B156" s="33">
        <v>45.09</v>
      </c>
      <c r="C156" s="33">
        <v>49.76</v>
      </c>
      <c r="D156" s="15">
        <v>-1.32978743000146E-3</v>
      </c>
      <c r="E156" s="15">
        <v>-3.00993505059381E-3</v>
      </c>
      <c r="F156" s="33">
        <v>0</v>
      </c>
      <c r="G156" s="33">
        <v>0.94043999999999905</v>
      </c>
      <c r="H156" s="33">
        <v>0</v>
      </c>
      <c r="I156" s="33">
        <v>0.99389999999999901</v>
      </c>
      <c r="J156" s="33">
        <v>0</v>
      </c>
      <c r="K156" s="33">
        <v>0</v>
      </c>
      <c r="L156" s="33">
        <v>45.09</v>
      </c>
      <c r="M156" s="33">
        <v>49.76</v>
      </c>
      <c r="N156" s="34">
        <v>1.1035706365047599</v>
      </c>
      <c r="O156" s="34">
        <v>1.1028747626327899</v>
      </c>
      <c r="P156" s="34">
        <v>1.10505133539306</v>
      </c>
      <c r="Q156" s="34">
        <v>1.1046472657105899</v>
      </c>
      <c r="R156" s="33">
        <v>49.728623047112698</v>
      </c>
      <c r="S156" s="33">
        <v>49.831753577016002</v>
      </c>
      <c r="T156" s="33">
        <v>49.810478786568297</v>
      </c>
      <c r="U156" s="15">
        <v>-6.3076466366784303E-4</v>
      </c>
      <c r="V156" s="15">
        <v>1.44095443356166E-3</v>
      </c>
      <c r="W156" s="15">
        <v>1.0139308660186001E-3</v>
      </c>
      <c r="X156" s="34">
        <v>1.1035706365047599</v>
      </c>
      <c r="Y156" s="34">
        <v>1.1028747626327899</v>
      </c>
      <c r="Z156" s="34">
        <v>1.10505133539306</v>
      </c>
      <c r="AA156" s="34">
        <v>1.1046472657105899</v>
      </c>
      <c r="AB156" s="33">
        <v>49.728623047112698</v>
      </c>
      <c r="AC156" s="33">
        <v>49.831753577016002</v>
      </c>
      <c r="AD156" s="33">
        <v>49.810478786568297</v>
      </c>
      <c r="AE156" s="15">
        <v>-6.3076466366784303E-4</v>
      </c>
      <c r="AF156" s="15">
        <v>1.44095443356166E-3</v>
      </c>
      <c r="AG156" s="15">
        <v>1.0139308660186001E-3</v>
      </c>
      <c r="AI156" s="12"/>
      <c r="AJ156">
        <f t="shared" si="46"/>
        <v>0</v>
      </c>
      <c r="AK156">
        <f t="shared" si="47"/>
        <v>1</v>
      </c>
      <c r="AL156">
        <f t="shared" si="54"/>
        <v>1</v>
      </c>
      <c r="AM156">
        <f t="shared" si="44"/>
        <v>1</v>
      </c>
      <c r="AN156">
        <f t="shared" si="55"/>
        <v>1</v>
      </c>
      <c r="AO156" s="28">
        <f t="shared" si="48"/>
        <v>-1.32978743000146E-3</v>
      </c>
      <c r="AP156" s="28">
        <f t="shared" si="49"/>
        <v>3.00993505059381E-3</v>
      </c>
      <c r="AQ156" s="28">
        <f t="shared" si="56"/>
        <v>1.68014762059235E-3</v>
      </c>
      <c r="AR156" s="29">
        <f t="shared" si="57"/>
        <v>1.1066179601195049E-2</v>
      </c>
      <c r="AT156" s="12"/>
      <c r="AU156">
        <f t="shared" si="50"/>
        <v>1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7.1317818381049971E-3</v>
      </c>
      <c r="BE156" s="29">
        <f t="shared" si="62"/>
        <v>1.68014762059235E-3</v>
      </c>
      <c r="BF156" s="29">
        <f t="shared" si="63"/>
        <v>1.8197961439300053E-2</v>
      </c>
      <c r="BH156" s="29"/>
    </row>
    <row r="157" spans="1:60" x14ac:dyDescent="0.25">
      <c r="A157" s="1">
        <v>46251</v>
      </c>
      <c r="B157" s="33">
        <v>44.92</v>
      </c>
      <c r="C157" s="33">
        <v>49.64</v>
      </c>
      <c r="D157" s="15">
        <v>-3.7773625627504398E-3</v>
      </c>
      <c r="E157" s="15">
        <v>-2.4144880945174601E-3</v>
      </c>
      <c r="F157" s="33">
        <v>0</v>
      </c>
      <c r="G157" s="33">
        <v>0.94043999999999905</v>
      </c>
      <c r="H157" s="33">
        <v>0</v>
      </c>
      <c r="I157" s="33">
        <v>0.99389999999999901</v>
      </c>
      <c r="J157" s="33">
        <v>0</v>
      </c>
      <c r="K157" s="33">
        <v>0</v>
      </c>
      <c r="L157" s="33">
        <v>44.92</v>
      </c>
      <c r="M157" s="33">
        <v>49.64</v>
      </c>
      <c r="N157" s="34">
        <v>1.1050756901157599</v>
      </c>
      <c r="O157" s="34">
        <v>1.1028747626327899</v>
      </c>
      <c r="P157" s="34">
        <v>1.1050971600370301</v>
      </c>
      <c r="Q157" s="34">
        <v>1.1046826036144399</v>
      </c>
      <c r="R157" s="33">
        <v>49.541134337465103</v>
      </c>
      <c r="S157" s="33">
        <v>49.638905985856603</v>
      </c>
      <c r="T157" s="33">
        <v>49.620755175720099</v>
      </c>
      <c r="U157" s="15">
        <v>-1.9936391319006199E-3</v>
      </c>
      <c r="V157" s="15">
        <v>-2.2039206264659199E-5</v>
      </c>
      <c r="W157" s="15">
        <v>-3.87763008390265E-4</v>
      </c>
      <c r="X157" s="34">
        <v>1.1050756901157599</v>
      </c>
      <c r="Y157" s="34">
        <v>1.1028747626327899</v>
      </c>
      <c r="Z157" s="34">
        <v>1.1050971600370301</v>
      </c>
      <c r="AA157" s="34">
        <v>1.1046826036144399</v>
      </c>
      <c r="AB157" s="33">
        <v>49.541134337465103</v>
      </c>
      <c r="AC157" s="33">
        <v>49.638905985856603</v>
      </c>
      <c r="AD157" s="33">
        <v>49.620755175720099</v>
      </c>
      <c r="AE157" s="15">
        <v>-1.9936391319006199E-3</v>
      </c>
      <c r="AF157" s="15">
        <v>-2.2039206264659199E-5</v>
      </c>
      <c r="AG157" s="15">
        <v>-3.87763008390265E-4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1.1066179601195049E-2</v>
      </c>
      <c r="AT157" s="12"/>
      <c r="AU157">
        <f t="shared" si="50"/>
        <v>0</v>
      </c>
      <c r="AV157">
        <f t="shared" si="51"/>
        <v>1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3.7773625627504398E-3</v>
      </c>
      <c r="BA157" s="28">
        <f t="shared" si="53"/>
        <v>-2.4144880945174601E-3</v>
      </c>
      <c r="BB157" s="28">
        <f t="shared" si="60"/>
        <v>1.3628744682329798E-3</v>
      </c>
      <c r="BC157" s="29">
        <f t="shared" si="61"/>
        <v>8.4946563063379773E-3</v>
      </c>
      <c r="BE157" s="29">
        <f t="shared" si="62"/>
        <v>1.3628744682329798E-3</v>
      </c>
      <c r="BF157" s="29">
        <f t="shared" si="63"/>
        <v>1.9560835907533033E-2</v>
      </c>
      <c r="BH157" s="29"/>
    </row>
    <row r="158" spans="1:60" x14ac:dyDescent="0.25">
      <c r="A158" s="1">
        <v>46252</v>
      </c>
      <c r="B158" s="33">
        <v>44.84</v>
      </c>
      <c r="C158" s="33">
        <v>49.53</v>
      </c>
      <c r="D158" s="15">
        <v>-1.78253166628319E-3</v>
      </c>
      <c r="E158" s="15">
        <v>-2.2184137362601299E-3</v>
      </c>
      <c r="F158" s="33">
        <v>0</v>
      </c>
      <c r="G158" s="33">
        <v>0.94043999999999905</v>
      </c>
      <c r="H158" s="33">
        <v>0</v>
      </c>
      <c r="I158" s="33">
        <v>0.99389999999999901</v>
      </c>
      <c r="J158" s="33">
        <v>0</v>
      </c>
      <c r="K158" s="33">
        <v>0</v>
      </c>
      <c r="L158" s="33">
        <v>44.84</v>
      </c>
      <c r="M158" s="33">
        <v>49.53</v>
      </c>
      <c r="N158" s="34">
        <v>1.1045941123996399</v>
      </c>
      <c r="O158" s="34">
        <v>1.1028747626327899</v>
      </c>
      <c r="P158" s="34">
        <v>1.10505367853111</v>
      </c>
      <c r="Q158" s="34">
        <v>1.10469453342191</v>
      </c>
      <c r="R158" s="33">
        <v>49.452904356454503</v>
      </c>
      <c r="S158" s="33">
        <v>49.552556656060602</v>
      </c>
      <c r="T158" s="33">
        <v>49.533967946071698</v>
      </c>
      <c r="U158" s="15">
        <v>-1.5577570619237601E-3</v>
      </c>
      <c r="V158" s="15">
        <v>4.5531034344649401E-4</v>
      </c>
      <c r="W158" s="15">
        <v>8.0108765197567798E-5</v>
      </c>
      <c r="X158" s="34">
        <v>1.1045941123996399</v>
      </c>
      <c r="Y158" s="34">
        <v>1.1028747626327899</v>
      </c>
      <c r="Z158" s="34">
        <v>1.10505367853111</v>
      </c>
      <c r="AA158" s="34">
        <v>1.10469453342191</v>
      </c>
      <c r="AB158" s="33">
        <v>49.452904356454503</v>
      </c>
      <c r="AC158" s="33">
        <v>49.552556656060602</v>
      </c>
      <c r="AD158" s="33">
        <v>49.533967946071698</v>
      </c>
      <c r="AE158" s="15">
        <v>-1.5577570619237601E-3</v>
      </c>
      <c r="AF158" s="15">
        <v>4.5531034344649401E-4</v>
      </c>
      <c r="AG158" s="15">
        <v>8.0108765197567798E-5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1.1066179601195049E-2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8.4946563063379773E-3</v>
      </c>
      <c r="BE158" s="29">
        <f t="shared" si="62"/>
        <v>0</v>
      </c>
      <c r="BF158" s="29">
        <f t="shared" si="63"/>
        <v>1.9560835907533033E-2</v>
      </c>
      <c r="BH158" s="29"/>
    </row>
    <row r="159" spans="1:60" x14ac:dyDescent="0.25">
      <c r="A159" s="1">
        <v>46253</v>
      </c>
      <c r="B159" s="33">
        <v>44.93</v>
      </c>
      <c r="C159" s="33">
        <v>49.66</v>
      </c>
      <c r="D159" s="15">
        <v>2.00512487810936E-3</v>
      </c>
      <c r="E159" s="15">
        <v>2.6212334798740599E-3</v>
      </c>
      <c r="F159" s="33">
        <v>0</v>
      </c>
      <c r="G159" s="33">
        <v>0.94043999999999905</v>
      </c>
      <c r="H159" s="33">
        <v>0</v>
      </c>
      <c r="I159" s="33">
        <v>0.99389999999999901</v>
      </c>
      <c r="J159" s="33">
        <v>0</v>
      </c>
      <c r="K159" s="33">
        <v>0</v>
      </c>
      <c r="L159" s="33">
        <v>44.93</v>
      </c>
      <c r="M159" s="33">
        <v>49.66</v>
      </c>
      <c r="N159" s="34">
        <v>1.10527487202314</v>
      </c>
      <c r="O159" s="34">
        <v>1.1028747626327899</v>
      </c>
      <c r="P159" s="34">
        <v>1.1051098451465</v>
      </c>
      <c r="Q159" s="34">
        <v>1.10473654753304</v>
      </c>
      <c r="R159" s="33">
        <v>49.5521630850915</v>
      </c>
      <c r="S159" s="33">
        <v>49.650061776403</v>
      </c>
      <c r="T159" s="33">
        <v>49.633925386646503</v>
      </c>
      <c r="U159" s="15">
        <v>-2.1738656636886098E-3</v>
      </c>
      <c r="V159" s="15">
        <v>-2.0014535188858399E-4</v>
      </c>
      <c r="W159" s="15">
        <v>-5.2520058706980604E-4</v>
      </c>
      <c r="X159" s="34">
        <v>1.10527487202314</v>
      </c>
      <c r="Y159" s="34">
        <v>1.1028747626327899</v>
      </c>
      <c r="Z159" s="34">
        <v>1.1051098451465</v>
      </c>
      <c r="AA159" s="34">
        <v>1.10473654753304</v>
      </c>
      <c r="AB159" s="33">
        <v>49.5521630850915</v>
      </c>
      <c r="AC159" s="33">
        <v>49.650061776403</v>
      </c>
      <c r="AD159" s="33">
        <v>49.633925386646503</v>
      </c>
      <c r="AE159" s="15">
        <v>-2.1738656636886098E-3</v>
      </c>
      <c r="AF159" s="15">
        <v>-2.0014535188858399E-4</v>
      </c>
      <c r="AG159" s="15">
        <v>-5.2520058706980604E-4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1.1066179601195049E-2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8.4946563063379773E-3</v>
      </c>
      <c r="BE159" s="29">
        <f t="shared" si="62"/>
        <v>0</v>
      </c>
      <c r="BF159" s="29">
        <f t="shared" si="63"/>
        <v>1.9560835907533033E-2</v>
      </c>
      <c r="BH159" s="29"/>
    </row>
    <row r="160" spans="1:60" x14ac:dyDescent="0.25">
      <c r="A160" s="1">
        <v>46254</v>
      </c>
      <c r="B160" s="33">
        <v>44.91</v>
      </c>
      <c r="C160" s="33">
        <v>49.57</v>
      </c>
      <c r="D160" s="15">
        <v>-4.4523598242200599E-4</v>
      </c>
      <c r="E160" s="15">
        <v>-1.8139680475379001E-3</v>
      </c>
      <c r="F160" s="33">
        <v>0</v>
      </c>
      <c r="G160" s="33">
        <v>0.94043999999999905</v>
      </c>
      <c r="H160" s="33">
        <v>0</v>
      </c>
      <c r="I160" s="33">
        <v>0.99389999999999901</v>
      </c>
      <c r="J160" s="33">
        <v>0</v>
      </c>
      <c r="K160" s="33">
        <v>0</v>
      </c>
      <c r="L160" s="33">
        <v>44.91</v>
      </c>
      <c r="M160" s="33">
        <v>49.57</v>
      </c>
      <c r="N160" s="34">
        <v>1.1037630817189901</v>
      </c>
      <c r="O160" s="34">
        <v>1.1028747626327899</v>
      </c>
      <c r="P160" s="34">
        <v>1.1049610086810999</v>
      </c>
      <c r="Q160" s="34">
        <v>1.1047172975155199</v>
      </c>
      <c r="R160" s="33">
        <v>49.530105589838797</v>
      </c>
      <c r="S160" s="33">
        <v>49.630483145529404</v>
      </c>
      <c r="T160" s="33">
        <v>49.613718349709202</v>
      </c>
      <c r="U160" s="15">
        <v>-8.0513359857264097E-4</v>
      </c>
      <c r="V160" s="15">
        <v>1.21941246869524E-3</v>
      </c>
      <c r="W160" s="15">
        <v>8.8156308853856605E-4</v>
      </c>
      <c r="X160" s="34">
        <v>1.1037630817189901</v>
      </c>
      <c r="Y160" s="34">
        <v>1.1028747626327899</v>
      </c>
      <c r="Z160" s="34">
        <v>1.1049610086810999</v>
      </c>
      <c r="AA160" s="34">
        <v>1.1047172975155199</v>
      </c>
      <c r="AB160" s="33">
        <v>49.530105589838797</v>
      </c>
      <c r="AC160" s="33">
        <v>49.630483145529404</v>
      </c>
      <c r="AD160" s="33">
        <v>49.613718349709202</v>
      </c>
      <c r="AE160" s="15">
        <v>-8.0513359857264097E-4</v>
      </c>
      <c r="AF160" s="15">
        <v>1.21941246869524E-3</v>
      </c>
      <c r="AG160" s="15">
        <v>8.8156308853856605E-4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1.1066179601195049E-2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8.4946563063379773E-3</v>
      </c>
      <c r="BE160" s="29">
        <f t="shared" si="62"/>
        <v>0</v>
      </c>
      <c r="BF160" s="29">
        <f t="shared" si="63"/>
        <v>1.9560835907533033E-2</v>
      </c>
      <c r="BH160" s="29"/>
    </row>
    <row r="161" spans="1:60" x14ac:dyDescent="0.25">
      <c r="A161" s="1">
        <v>46255</v>
      </c>
      <c r="B161" s="33">
        <v>44.87</v>
      </c>
      <c r="C161" s="33">
        <v>49.54</v>
      </c>
      <c r="D161" s="15">
        <v>-8.9106711175464205E-4</v>
      </c>
      <c r="E161" s="15">
        <v>-6.0538797126907101E-4</v>
      </c>
      <c r="F161" s="33">
        <v>0</v>
      </c>
      <c r="G161" s="33">
        <v>0.94043999999999905</v>
      </c>
      <c r="H161" s="33">
        <v>0</v>
      </c>
      <c r="I161" s="33">
        <v>0.99389999999999901</v>
      </c>
      <c r="J161" s="33">
        <v>0</v>
      </c>
      <c r="K161" s="33">
        <v>0</v>
      </c>
      <c r="L161" s="33">
        <v>44.87</v>
      </c>
      <c r="M161" s="33">
        <v>49.54</v>
      </c>
      <c r="N161" s="34">
        <v>1.1040784488522399</v>
      </c>
      <c r="O161" s="34">
        <v>1.1028747626327899</v>
      </c>
      <c r="P161" s="34">
        <v>1.1048273533444</v>
      </c>
      <c r="Q161" s="34">
        <v>1.1046639243466301</v>
      </c>
      <c r="R161" s="33">
        <v>49.485990599333498</v>
      </c>
      <c r="S161" s="33">
        <v>49.579600459521302</v>
      </c>
      <c r="T161" s="33">
        <v>49.5686651395213</v>
      </c>
      <c r="U161" s="15">
        <v>-1.0908127390582901E-3</v>
      </c>
      <c r="V161" s="15">
        <v>7.9904401237886698E-4</v>
      </c>
      <c r="W161" s="15">
        <v>5.7845881145393596E-4</v>
      </c>
      <c r="X161" s="34">
        <v>1.1040784488522399</v>
      </c>
      <c r="Y161" s="34">
        <v>1.1028747626327899</v>
      </c>
      <c r="Z161" s="34">
        <v>1.1048273533444</v>
      </c>
      <c r="AA161" s="34">
        <v>1.1046639243466301</v>
      </c>
      <c r="AB161" s="33">
        <v>49.485990599333498</v>
      </c>
      <c r="AC161" s="33">
        <v>49.579600459521302</v>
      </c>
      <c r="AD161" s="33">
        <v>49.5686651395213</v>
      </c>
      <c r="AE161" s="15">
        <v>-1.0908127390582901E-3</v>
      </c>
      <c r="AF161" s="15">
        <v>7.9904401237886698E-4</v>
      </c>
      <c r="AG161" s="15">
        <v>5.7845881145393596E-4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1.1066179601195049E-2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8.4946563063379773E-3</v>
      </c>
      <c r="BE161" s="29">
        <f t="shared" si="62"/>
        <v>0</v>
      </c>
      <c r="BF161" s="29">
        <f t="shared" si="63"/>
        <v>1.9560835907533033E-2</v>
      </c>
      <c r="BH161" s="29"/>
    </row>
    <row r="162" spans="1:60" x14ac:dyDescent="0.25">
      <c r="A162" s="1">
        <v>46258</v>
      </c>
      <c r="B162" s="33">
        <v>44.84</v>
      </c>
      <c r="C162" s="33">
        <v>49.54</v>
      </c>
      <c r="D162" s="15">
        <v>-6.6882178393268905E-4</v>
      </c>
      <c r="E162" s="15">
        <v>0</v>
      </c>
      <c r="F162" s="33">
        <v>0</v>
      </c>
      <c r="G162" s="33">
        <v>0.94043999999999905</v>
      </c>
      <c r="H162" s="33">
        <v>0</v>
      </c>
      <c r="I162" s="33">
        <v>0.99389999999999901</v>
      </c>
      <c r="J162" s="33">
        <v>0</v>
      </c>
      <c r="K162" s="33">
        <v>0</v>
      </c>
      <c r="L162" s="33">
        <v>44.84</v>
      </c>
      <c r="M162" s="33">
        <v>49.54</v>
      </c>
      <c r="N162" s="34">
        <v>1.1048171275646701</v>
      </c>
      <c r="O162" s="34">
        <v>1.1028747626327899</v>
      </c>
      <c r="P162" s="34">
        <v>1.1047605428941201</v>
      </c>
      <c r="Q162" s="34">
        <v>1.1047181969843101</v>
      </c>
      <c r="R162" s="33">
        <v>49.452904356454503</v>
      </c>
      <c r="S162" s="33">
        <v>49.540458523963103</v>
      </c>
      <c r="T162" s="33">
        <v>49.533130367703201</v>
      </c>
      <c r="U162" s="15">
        <v>-1.75963452299093E-3</v>
      </c>
      <c r="V162" s="15">
        <v>9.2555882355941595E-6</v>
      </c>
      <c r="W162" s="15">
        <v>-1.38678010522109E-4</v>
      </c>
      <c r="X162" s="34">
        <v>1.1048171275646701</v>
      </c>
      <c r="Y162" s="34">
        <v>1.1028747626327899</v>
      </c>
      <c r="Z162" s="34">
        <v>1.1047605428941201</v>
      </c>
      <c r="AA162" s="34">
        <v>1.1047181969843101</v>
      </c>
      <c r="AB162" s="33">
        <v>49.452904356454503</v>
      </c>
      <c r="AC162" s="33">
        <v>49.540458523963103</v>
      </c>
      <c r="AD162" s="33">
        <v>49.533130367703201</v>
      </c>
      <c r="AE162" s="15">
        <v>-1.75963452299093E-3</v>
      </c>
      <c r="AF162" s="15">
        <v>9.2555882355941595E-6</v>
      </c>
      <c r="AG162" s="15">
        <v>-1.38678010522109E-4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1.1066179601195049E-2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8.4946563063379773E-3</v>
      </c>
      <c r="BE162" s="29">
        <f t="shared" si="62"/>
        <v>0</v>
      </c>
      <c r="BF162" s="29">
        <f t="shared" si="63"/>
        <v>1.9560835907533033E-2</v>
      </c>
      <c r="BH162" s="29"/>
    </row>
    <row r="163" spans="1:60" x14ac:dyDescent="0.25">
      <c r="A163" s="1">
        <v>46259</v>
      </c>
      <c r="B163" s="33">
        <v>44.87</v>
      </c>
      <c r="C163" s="33">
        <v>49.58</v>
      </c>
      <c r="D163" s="15">
        <v>6.6882178393265002E-4</v>
      </c>
      <c r="E163" s="15">
        <v>8.0710254583084805E-4</v>
      </c>
      <c r="F163" s="33">
        <v>0</v>
      </c>
      <c r="G163" s="33">
        <v>0.94043999999999905</v>
      </c>
      <c r="H163" s="33">
        <v>0</v>
      </c>
      <c r="I163" s="33">
        <v>0.99389999999999901</v>
      </c>
      <c r="J163" s="33">
        <v>0</v>
      </c>
      <c r="K163" s="33">
        <v>0</v>
      </c>
      <c r="L163" s="33">
        <v>44.87</v>
      </c>
      <c r="M163" s="33">
        <v>49.58</v>
      </c>
      <c r="N163" s="34">
        <v>1.1049699130822299</v>
      </c>
      <c r="O163" s="34">
        <v>1.1028747626327899</v>
      </c>
      <c r="P163" s="34">
        <v>1.1046961851896899</v>
      </c>
      <c r="Q163" s="34">
        <v>1.1047770718799399</v>
      </c>
      <c r="R163" s="33">
        <v>49.485990599333498</v>
      </c>
      <c r="S163" s="33">
        <v>49.570605559659199</v>
      </c>
      <c r="T163" s="33">
        <v>49.568705498686001</v>
      </c>
      <c r="U163" s="15">
        <v>-1.89791528488926E-3</v>
      </c>
      <c r="V163" s="15">
        <v>-1.89498396219532E-4</v>
      </c>
      <c r="W163" s="15">
        <v>-2.27829527496298E-4</v>
      </c>
      <c r="X163" s="34">
        <v>1.1049699130822299</v>
      </c>
      <c r="Y163" s="34">
        <v>1.1028747626327899</v>
      </c>
      <c r="Z163" s="34">
        <v>1.1046961851896899</v>
      </c>
      <c r="AA163" s="34">
        <v>1.1047770718799399</v>
      </c>
      <c r="AB163" s="33">
        <v>49.485990599333498</v>
      </c>
      <c r="AC163" s="33">
        <v>49.570605559659199</v>
      </c>
      <c r="AD163" s="33">
        <v>49.568705498686001</v>
      </c>
      <c r="AE163" s="15">
        <v>-1.89791528488926E-3</v>
      </c>
      <c r="AF163" s="15">
        <v>-1.89498396219532E-4</v>
      </c>
      <c r="AG163" s="15">
        <v>-2.27829527496298E-4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1.1066179601195049E-2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8.4946563063379773E-3</v>
      </c>
      <c r="BE163" s="29">
        <f t="shared" si="62"/>
        <v>0</v>
      </c>
      <c r="BF163" s="29">
        <f t="shared" si="63"/>
        <v>1.9560835907533033E-2</v>
      </c>
      <c r="BH163" s="29"/>
    </row>
    <row r="164" spans="1:60" x14ac:dyDescent="0.25">
      <c r="A164" s="1">
        <v>46260</v>
      </c>
      <c r="B164" s="33">
        <v>44.8</v>
      </c>
      <c r="C164" s="33">
        <v>49.51</v>
      </c>
      <c r="D164" s="15">
        <v>-1.56128056695246E-3</v>
      </c>
      <c r="E164" s="15">
        <v>-1.41285723371271E-3</v>
      </c>
      <c r="F164" s="33">
        <v>0</v>
      </c>
      <c r="G164" s="33">
        <v>0.94043999999999905</v>
      </c>
      <c r="H164" s="33">
        <v>0</v>
      </c>
      <c r="I164" s="33">
        <v>0.99389999999999901</v>
      </c>
      <c r="J164" s="33">
        <v>0</v>
      </c>
      <c r="K164" s="33">
        <v>0</v>
      </c>
      <c r="L164" s="33">
        <v>44.8</v>
      </c>
      <c r="M164" s="33">
        <v>49.51</v>
      </c>
      <c r="N164" s="34">
        <v>1.1051339285714199</v>
      </c>
      <c r="O164" s="34">
        <v>1.1028747626327899</v>
      </c>
      <c r="P164" s="34">
        <v>1.1046704167421999</v>
      </c>
      <c r="Q164" s="34">
        <v>1.10481154608628</v>
      </c>
      <c r="R164" s="33">
        <v>49.408789365949197</v>
      </c>
      <c r="S164" s="33">
        <v>49.490389096498397</v>
      </c>
      <c r="T164" s="33">
        <v>49.4940128202213</v>
      </c>
      <c r="U164" s="15">
        <v>-2.0463386181289399E-3</v>
      </c>
      <c r="V164" s="15">
        <v>-3.9617831681258801E-4</v>
      </c>
      <c r="W164" s="15">
        <v>-3.2296024094863898E-4</v>
      </c>
      <c r="X164" s="34">
        <v>1.1051339285714199</v>
      </c>
      <c r="Y164" s="34">
        <v>1.1028747626327899</v>
      </c>
      <c r="Z164" s="34">
        <v>1.1046704167421999</v>
      </c>
      <c r="AA164" s="34">
        <v>1.10481154608628</v>
      </c>
      <c r="AB164" s="33">
        <v>49.408789365949197</v>
      </c>
      <c r="AC164" s="33">
        <v>49.490389096498397</v>
      </c>
      <c r="AD164" s="33">
        <v>49.4940128202213</v>
      </c>
      <c r="AE164" s="15">
        <v>-2.0463386181289399E-3</v>
      </c>
      <c r="AF164" s="15">
        <v>-3.9617831681258801E-4</v>
      </c>
      <c r="AG164" s="15">
        <v>-3.2296024094863898E-4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1.1066179601195049E-2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8.4946563063379773E-3</v>
      </c>
      <c r="BE164" s="29">
        <f t="shared" si="62"/>
        <v>0</v>
      </c>
      <c r="BF164" s="29">
        <f t="shared" si="63"/>
        <v>1.9560835907533033E-2</v>
      </c>
      <c r="BH164" s="29"/>
    </row>
    <row r="165" spans="1:60" x14ac:dyDescent="0.25">
      <c r="A165" s="1">
        <v>46261</v>
      </c>
      <c r="B165" s="33">
        <v>44.77</v>
      </c>
      <c r="C165" s="33">
        <v>49.48</v>
      </c>
      <c r="D165" s="15">
        <v>-6.6986716806522698E-4</v>
      </c>
      <c r="E165" s="15">
        <v>-6.0612184904456495E-4</v>
      </c>
      <c r="F165" s="33">
        <v>0</v>
      </c>
      <c r="G165" s="33">
        <v>0.94043999999999905</v>
      </c>
      <c r="H165" s="33">
        <v>0</v>
      </c>
      <c r="I165" s="33">
        <v>0.99389999999999901</v>
      </c>
      <c r="J165" s="33">
        <v>0</v>
      </c>
      <c r="K165" s="33">
        <v>0</v>
      </c>
      <c r="L165" s="33">
        <v>44.77</v>
      </c>
      <c r="M165" s="33">
        <v>49.48</v>
      </c>
      <c r="N165" s="34">
        <v>1.1052043779316501</v>
      </c>
      <c r="O165" s="34">
        <v>1.1028747626327899</v>
      </c>
      <c r="P165" s="34">
        <v>1.1046482188764499</v>
      </c>
      <c r="Q165" s="34">
        <v>1.1049050983162001</v>
      </c>
      <c r="R165" s="33">
        <v>49.375703123070203</v>
      </c>
      <c r="S165" s="33">
        <v>49.456094557548397</v>
      </c>
      <c r="T165" s="33">
        <v>49.4624129182831</v>
      </c>
      <c r="U165" s="15">
        <v>-2.1100839371494002E-3</v>
      </c>
      <c r="V165" s="15">
        <v>-4.8325018333590999E-4</v>
      </c>
      <c r="W165" s="15">
        <v>-3.55501374654518E-4</v>
      </c>
      <c r="X165" s="34">
        <v>1.1052043779316501</v>
      </c>
      <c r="Y165" s="34">
        <v>1.1028747626327899</v>
      </c>
      <c r="Z165" s="34">
        <v>1.1046482188764499</v>
      </c>
      <c r="AA165" s="34">
        <v>1.1049050983162001</v>
      </c>
      <c r="AB165" s="33">
        <v>49.375703123070203</v>
      </c>
      <c r="AC165" s="33">
        <v>49.456094557548397</v>
      </c>
      <c r="AD165" s="33">
        <v>49.4624129182831</v>
      </c>
      <c r="AE165" s="15">
        <v>-2.1100839371494002E-3</v>
      </c>
      <c r="AF165" s="15">
        <v>-4.8325018333590999E-4</v>
      </c>
      <c r="AG165" s="15">
        <v>-3.55501374654518E-4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1.1066179601195049E-2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8.4946563063379773E-3</v>
      </c>
      <c r="BE165" s="29">
        <f t="shared" si="62"/>
        <v>0</v>
      </c>
      <c r="BF165" s="29">
        <f t="shared" si="63"/>
        <v>1.9560835907533033E-2</v>
      </c>
      <c r="BH165" s="29"/>
    </row>
    <row r="166" spans="1:60" x14ac:dyDescent="0.25">
      <c r="A166" s="1">
        <v>46262</v>
      </c>
      <c r="B166" s="33">
        <v>44.7</v>
      </c>
      <c r="C166" s="33">
        <v>49.4</v>
      </c>
      <c r="D166" s="15">
        <v>-1.5647706333510099E-3</v>
      </c>
      <c r="E166" s="15">
        <v>-1.6181233304102601E-3</v>
      </c>
      <c r="F166" s="33">
        <v>0</v>
      </c>
      <c r="G166" s="33">
        <v>0.94043999999999905</v>
      </c>
      <c r="H166" s="33">
        <v>0</v>
      </c>
      <c r="I166" s="33">
        <v>0.99389999999999901</v>
      </c>
      <c r="J166" s="33">
        <v>0</v>
      </c>
      <c r="K166" s="33">
        <v>0</v>
      </c>
      <c r="L166" s="33">
        <v>44.7</v>
      </c>
      <c r="M166" s="33">
        <v>49.4</v>
      </c>
      <c r="N166" s="34">
        <v>1.1051454138702399</v>
      </c>
      <c r="O166" s="34">
        <v>1.1028747626327899</v>
      </c>
      <c r="P166" s="34">
        <v>1.104805696613</v>
      </c>
      <c r="Q166" s="34">
        <v>1.10492851600303</v>
      </c>
      <c r="R166" s="33">
        <v>49.298501889685902</v>
      </c>
      <c r="S166" s="33">
        <v>49.377775383777497</v>
      </c>
      <c r="T166" s="33">
        <v>49.3892578947343</v>
      </c>
      <c r="U166" s="15">
        <v>-2.0567312400902398E-3</v>
      </c>
      <c r="V166" s="15">
        <v>-4.4999224797610701E-4</v>
      </c>
      <c r="W166" s="15">
        <v>-2.17475169606395E-4</v>
      </c>
      <c r="X166" s="34">
        <v>1.1051454138702399</v>
      </c>
      <c r="Y166" s="34">
        <v>1.1028747626327899</v>
      </c>
      <c r="Z166" s="34">
        <v>1.104805696613</v>
      </c>
      <c r="AA166" s="34">
        <v>1.10492851600303</v>
      </c>
      <c r="AB166" s="33">
        <v>49.298501889685902</v>
      </c>
      <c r="AC166" s="33">
        <v>49.377775383777497</v>
      </c>
      <c r="AD166" s="33">
        <v>49.3892578947343</v>
      </c>
      <c r="AE166" s="15">
        <v>-2.0567312400902398E-3</v>
      </c>
      <c r="AF166" s="15">
        <v>-4.4999224797610701E-4</v>
      </c>
      <c r="AG166" s="15">
        <v>-2.17475169606395E-4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1.1066179601195049E-2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8.4946563063379773E-3</v>
      </c>
      <c r="BE166" s="29">
        <f t="shared" si="62"/>
        <v>0</v>
      </c>
      <c r="BF166" s="29">
        <f t="shared" si="63"/>
        <v>1.9560835907533033E-2</v>
      </c>
      <c r="BH166" s="29"/>
    </row>
    <row r="167" spans="1:60" x14ac:dyDescent="0.25">
      <c r="A167" s="1">
        <v>46265</v>
      </c>
      <c r="B167" s="33">
        <v>44.66</v>
      </c>
      <c r="C167" s="33">
        <v>49.34</v>
      </c>
      <c r="D167" s="15">
        <v>-8.9525520751149905E-4</v>
      </c>
      <c r="E167" s="15">
        <v>-1.21531309266604E-3</v>
      </c>
      <c r="F167" s="33">
        <v>0</v>
      </c>
      <c r="G167" s="33">
        <v>0.94043999999999905</v>
      </c>
      <c r="H167" s="33">
        <v>0</v>
      </c>
      <c r="I167" s="33">
        <v>0.99389999999999901</v>
      </c>
      <c r="J167" s="33">
        <v>0</v>
      </c>
      <c r="K167" s="33">
        <v>0</v>
      </c>
      <c r="L167" s="33">
        <v>44.66</v>
      </c>
      <c r="M167" s="33">
        <v>49.34</v>
      </c>
      <c r="N167" s="34">
        <v>1.1047917599641699</v>
      </c>
      <c r="O167" s="34">
        <v>1.1028747626327899</v>
      </c>
      <c r="P167" s="34">
        <v>1.1047773035978401</v>
      </c>
      <c r="Q167" s="34">
        <v>1.10493723181743</v>
      </c>
      <c r="R167" s="33">
        <v>49.254386899180602</v>
      </c>
      <c r="S167" s="33">
        <v>49.3406224107366</v>
      </c>
      <c r="T167" s="33">
        <v>49.346107524695498</v>
      </c>
      <c r="U167" s="15">
        <v>-1.73667335493552E-3</v>
      </c>
      <c r="V167" s="15">
        <v>1.26146495933399E-5</v>
      </c>
      <c r="W167" s="15">
        <v>1.2377678797079099E-4</v>
      </c>
      <c r="X167" s="34">
        <v>1.1047917599641699</v>
      </c>
      <c r="Y167" s="34">
        <v>1.1028747626327899</v>
      </c>
      <c r="Z167" s="34">
        <v>1.1047773035978401</v>
      </c>
      <c r="AA167" s="34">
        <v>1.10493723181743</v>
      </c>
      <c r="AB167" s="33">
        <v>49.254386899180602</v>
      </c>
      <c r="AC167" s="33">
        <v>49.3406224107366</v>
      </c>
      <c r="AD167" s="33">
        <v>49.346107524695498</v>
      </c>
      <c r="AE167" s="15">
        <v>-1.73667335493552E-3</v>
      </c>
      <c r="AF167" s="15">
        <v>1.26146495933399E-5</v>
      </c>
      <c r="AG167" s="15">
        <v>1.2377678797079099E-4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1.1066179601195049E-2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8.4946563063379773E-3</v>
      </c>
      <c r="BE167" s="29">
        <f t="shared" si="62"/>
        <v>0</v>
      </c>
      <c r="BF167" s="29">
        <f t="shared" si="63"/>
        <v>1.9560835907533033E-2</v>
      </c>
      <c r="BH167" s="29"/>
    </row>
    <row r="168" spans="1:60" x14ac:dyDescent="0.25">
      <c r="A168" s="1">
        <v>46266</v>
      </c>
      <c r="B168" s="33">
        <v>44.31</v>
      </c>
      <c r="C168" s="33">
        <v>48.98</v>
      </c>
      <c r="D168" s="15">
        <v>-7.8678612006135608E-3</v>
      </c>
      <c r="E168" s="15">
        <v>-7.3230595771890802E-3</v>
      </c>
      <c r="F168" s="33">
        <v>0.13560700000000001</v>
      </c>
      <c r="G168" s="33">
        <v>1.076047</v>
      </c>
      <c r="H168" s="33">
        <v>0.1434</v>
      </c>
      <c r="I168" s="33">
        <v>1.1373</v>
      </c>
      <c r="J168" s="33">
        <v>0</v>
      </c>
      <c r="K168" s="33">
        <v>0</v>
      </c>
      <c r="L168" s="33">
        <v>44.31</v>
      </c>
      <c r="M168" s="33">
        <v>48.98</v>
      </c>
      <c r="N168" s="34">
        <v>1.10539381629429</v>
      </c>
      <c r="O168" s="34">
        <v>1.1028747626327899</v>
      </c>
      <c r="P168" s="34">
        <v>1.1048572739872999</v>
      </c>
      <c r="Q168" s="34">
        <v>1.10495547625921</v>
      </c>
      <c r="R168" s="33">
        <v>48.868380732259098</v>
      </c>
      <c r="S168" s="33">
        <v>48.952682322420401</v>
      </c>
      <c r="T168" s="33">
        <v>48.9597687418307</v>
      </c>
      <c r="U168" s="15">
        <v>-2.2814749783601502E-3</v>
      </c>
      <c r="V168" s="15">
        <v>-5.5788685942708099E-4</v>
      </c>
      <c r="W168" s="15">
        <v>-4.1313674142654899E-4</v>
      </c>
      <c r="X168" s="34">
        <v>1.10539381629429</v>
      </c>
      <c r="Y168" s="34">
        <v>1.1028747626327899</v>
      </c>
      <c r="Z168" s="34">
        <v>1.1048572739872999</v>
      </c>
      <c r="AA168" s="34">
        <v>1.10495547625921</v>
      </c>
      <c r="AB168" s="33">
        <v>48.868380732259098</v>
      </c>
      <c r="AC168" s="33">
        <v>48.952682322420401</v>
      </c>
      <c r="AD168" s="33">
        <v>48.9597687418307</v>
      </c>
      <c r="AE168" s="15">
        <v>-2.2814749783601502E-3</v>
      </c>
      <c r="AF168" s="15">
        <v>-5.5788685942708099E-4</v>
      </c>
      <c r="AG168" s="15">
        <v>-4.1313674142654899E-4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1.1066179601195049E-2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8.4946563063379773E-3</v>
      </c>
      <c r="BE168" s="29">
        <f t="shared" si="62"/>
        <v>0</v>
      </c>
      <c r="BF168" s="29">
        <f t="shared" si="63"/>
        <v>1.9560835907533033E-2</v>
      </c>
      <c r="BH168" s="29"/>
    </row>
    <row r="169" spans="1:60" x14ac:dyDescent="0.25">
      <c r="A169" s="1">
        <v>46267</v>
      </c>
      <c r="B169" s="33">
        <v>44.29</v>
      </c>
      <c r="C169" s="33">
        <v>48.95</v>
      </c>
      <c r="D169" s="15">
        <v>-4.5146727629131301E-4</v>
      </c>
      <c r="E169" s="15">
        <v>-6.1268254750220603E-4</v>
      </c>
      <c r="F169" s="33">
        <v>0</v>
      </c>
      <c r="G169" s="33">
        <v>1.076047</v>
      </c>
      <c r="H169" s="33">
        <v>0</v>
      </c>
      <c r="I169" s="33">
        <v>1.1373</v>
      </c>
      <c r="J169" s="33">
        <v>0</v>
      </c>
      <c r="K169" s="33">
        <v>0</v>
      </c>
      <c r="L169" s="33">
        <v>44.29</v>
      </c>
      <c r="M169" s="33">
        <v>48.95</v>
      </c>
      <c r="N169" s="34">
        <v>1.10521562429442</v>
      </c>
      <c r="O169" s="34">
        <v>1.1028747626327899</v>
      </c>
      <c r="P169" s="34">
        <v>1.1048513492144301</v>
      </c>
      <c r="Q169" s="34">
        <v>1.10498059718046</v>
      </c>
      <c r="R169" s="33">
        <v>48.846323237006501</v>
      </c>
      <c r="S169" s="33">
        <v>48.934128664897798</v>
      </c>
      <c r="T169" s="33">
        <v>48.938478043520398</v>
      </c>
      <c r="U169" s="15">
        <v>-2.1202597071493098E-3</v>
      </c>
      <c r="V169" s="15">
        <v>-3.2428822645101598E-4</v>
      </c>
      <c r="W169" s="15">
        <v>-2.3540986156925201E-4</v>
      </c>
      <c r="X169" s="34">
        <v>1.10521562429442</v>
      </c>
      <c r="Y169" s="34">
        <v>1.1028747626327899</v>
      </c>
      <c r="Z169" s="34">
        <v>1.1048513492144301</v>
      </c>
      <c r="AA169" s="34">
        <v>1.10498059718046</v>
      </c>
      <c r="AB169" s="33">
        <v>48.846323237006501</v>
      </c>
      <c r="AC169" s="33">
        <v>48.934128664897798</v>
      </c>
      <c r="AD169" s="33">
        <v>48.938478043520398</v>
      </c>
      <c r="AE169" s="15">
        <v>-2.1202597071493098E-3</v>
      </c>
      <c r="AF169" s="15">
        <v>-3.2428822645101598E-4</v>
      </c>
      <c r="AG169" s="15">
        <v>-2.3540986156925201E-4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1.1066179601195049E-2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8.4946563063379773E-3</v>
      </c>
      <c r="BE169" s="29">
        <f t="shared" si="62"/>
        <v>0</v>
      </c>
      <c r="BF169" s="29">
        <f t="shared" si="63"/>
        <v>1.9560835907533033E-2</v>
      </c>
      <c r="BH169" s="29"/>
    </row>
    <row r="170" spans="1:60" x14ac:dyDescent="0.25">
      <c r="A170" s="1">
        <v>46268</v>
      </c>
      <c r="B170" s="33">
        <v>44.21</v>
      </c>
      <c r="C170" s="33">
        <v>48.86</v>
      </c>
      <c r="D170" s="15">
        <v>-1.80791009695492E-3</v>
      </c>
      <c r="E170" s="15">
        <v>-1.8403031469250101E-3</v>
      </c>
      <c r="F170" s="33">
        <v>0</v>
      </c>
      <c r="G170" s="33">
        <v>1.076047</v>
      </c>
      <c r="H170" s="33">
        <v>0</v>
      </c>
      <c r="I170" s="33">
        <v>1.1373</v>
      </c>
      <c r="J170" s="33">
        <v>0</v>
      </c>
      <c r="K170" s="33">
        <v>0</v>
      </c>
      <c r="L170" s="33">
        <v>44.21</v>
      </c>
      <c r="M170" s="33">
        <v>48.86</v>
      </c>
      <c r="N170" s="34">
        <v>1.10517982356932</v>
      </c>
      <c r="O170" s="34">
        <v>1.1028747626327899</v>
      </c>
      <c r="P170" s="34">
        <v>1.10499302339946</v>
      </c>
      <c r="Q170" s="34">
        <v>1.1049770160402801</v>
      </c>
      <c r="R170" s="33">
        <v>48.758093255995902</v>
      </c>
      <c r="S170" s="33">
        <v>48.845478148770198</v>
      </c>
      <c r="T170" s="33">
        <v>48.851192201348503</v>
      </c>
      <c r="U170" s="15">
        <v>-2.0878666571791898E-3</v>
      </c>
      <c r="V170" s="15">
        <v>-2.97257668902028E-4</v>
      </c>
      <c r="W170" s="15">
        <v>-1.8028228858704801E-4</v>
      </c>
      <c r="X170" s="34">
        <v>1.10517982356932</v>
      </c>
      <c r="Y170" s="34">
        <v>1.1028747626327899</v>
      </c>
      <c r="Z170" s="34">
        <v>1.10499302339946</v>
      </c>
      <c r="AA170" s="34">
        <v>1.1049770160402801</v>
      </c>
      <c r="AB170" s="33">
        <v>48.758093255995902</v>
      </c>
      <c r="AC170" s="33">
        <v>48.845478148770198</v>
      </c>
      <c r="AD170" s="33">
        <v>48.851192201348503</v>
      </c>
      <c r="AE170" s="15">
        <v>-2.0878666571791898E-3</v>
      </c>
      <c r="AF170" s="15">
        <v>-2.97257668902028E-4</v>
      </c>
      <c r="AG170" s="15">
        <v>-1.8028228858704801E-4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1.1066179601195049E-2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8.4946563063379773E-3</v>
      </c>
      <c r="BE170" s="29">
        <f t="shared" si="62"/>
        <v>0</v>
      </c>
      <c r="BF170" s="29">
        <f t="shared" si="63"/>
        <v>1.9560835907533033E-2</v>
      </c>
      <c r="BH170" s="29"/>
    </row>
    <row r="171" spans="1:60" x14ac:dyDescent="0.25">
      <c r="A171" s="1">
        <v>46269</v>
      </c>
      <c r="B171" s="33">
        <v>44.22</v>
      </c>
      <c r="C171" s="33">
        <v>48.88</v>
      </c>
      <c r="D171" s="15">
        <v>2.26167591148317E-4</v>
      </c>
      <c r="E171" s="15">
        <v>4.09249033745472E-4</v>
      </c>
      <c r="F171" s="33">
        <v>0</v>
      </c>
      <c r="G171" s="33">
        <v>1.076047</v>
      </c>
      <c r="H171" s="33">
        <v>0</v>
      </c>
      <c r="I171" s="33">
        <v>1.1373</v>
      </c>
      <c r="J171" s="33">
        <v>0</v>
      </c>
      <c r="K171" s="33">
        <v>0</v>
      </c>
      <c r="L171" s="33">
        <v>44.22</v>
      </c>
      <c r="M171" s="33">
        <v>48.88</v>
      </c>
      <c r="N171" s="34">
        <v>1.10538218000904</v>
      </c>
      <c r="O171" s="34">
        <v>1.1028747626327899</v>
      </c>
      <c r="P171" s="34">
        <v>1.1051233965151499</v>
      </c>
      <c r="Q171" s="34">
        <v>1.1049753749297699</v>
      </c>
      <c r="R171" s="33">
        <v>48.769122003622201</v>
      </c>
      <c r="S171" s="33">
        <v>48.862791494724497</v>
      </c>
      <c r="T171" s="33">
        <v>48.862083649301503</v>
      </c>
      <c r="U171" s="15">
        <v>-2.27094809977635E-3</v>
      </c>
      <c r="V171" s="15">
        <v>-3.5211814989361402E-4</v>
      </c>
      <c r="W171" s="15">
        <v>-3.6660464418559102E-4</v>
      </c>
      <c r="X171" s="34">
        <v>1.10538218000904</v>
      </c>
      <c r="Y171" s="34">
        <v>1.1028747626327899</v>
      </c>
      <c r="Z171" s="34">
        <v>1.1051233965151499</v>
      </c>
      <c r="AA171" s="34">
        <v>1.1049753749297699</v>
      </c>
      <c r="AB171" s="33">
        <v>48.769122003622201</v>
      </c>
      <c r="AC171" s="33">
        <v>48.862791494724497</v>
      </c>
      <c r="AD171" s="33">
        <v>48.862083649301503</v>
      </c>
      <c r="AE171" s="15">
        <v>-2.27094809977635E-3</v>
      </c>
      <c r="AF171" s="15">
        <v>-3.5211814989361402E-4</v>
      </c>
      <c r="AG171" s="15">
        <v>-3.6660464418559102E-4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1.1066179601195049E-2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8.4946563063379773E-3</v>
      </c>
      <c r="BE171" s="29">
        <f t="shared" si="62"/>
        <v>0</v>
      </c>
      <c r="BF171" s="29">
        <f t="shared" si="63"/>
        <v>1.9560835907533033E-2</v>
      </c>
      <c r="BH171" s="29"/>
    </row>
    <row r="172" spans="1:60" x14ac:dyDescent="0.25">
      <c r="A172" s="1">
        <v>46273</v>
      </c>
      <c r="B172" s="33">
        <v>44.25</v>
      </c>
      <c r="C172" s="33">
        <v>48.87</v>
      </c>
      <c r="D172" s="15">
        <v>6.7819602463833905E-4</v>
      </c>
      <c r="E172" s="15">
        <v>-2.0460358127649499E-4</v>
      </c>
      <c r="F172" s="33">
        <v>0</v>
      </c>
      <c r="G172" s="33">
        <v>1.076047</v>
      </c>
      <c r="H172" s="33">
        <v>0</v>
      </c>
      <c r="I172" s="33">
        <v>1.1373</v>
      </c>
      <c r="J172" s="33">
        <v>0</v>
      </c>
      <c r="K172" s="33">
        <v>0</v>
      </c>
      <c r="L172" s="33">
        <v>44.25</v>
      </c>
      <c r="M172" s="33">
        <v>48.87</v>
      </c>
      <c r="N172" s="34">
        <v>1.10440677966101</v>
      </c>
      <c r="O172" s="34">
        <v>1.1028747626327899</v>
      </c>
      <c r="P172" s="34">
        <v>1.10508236172478</v>
      </c>
      <c r="Q172" s="34">
        <v>1.1049214523094499</v>
      </c>
      <c r="R172" s="33">
        <v>48.802208246501202</v>
      </c>
      <c r="S172" s="33">
        <v>48.901710295795297</v>
      </c>
      <c r="T172" s="33">
        <v>48.895160340642597</v>
      </c>
      <c r="U172" s="15">
        <v>-1.3881484938614199E-3</v>
      </c>
      <c r="V172" s="15">
        <v>6.4865996127745596E-4</v>
      </c>
      <c r="W172" s="15">
        <v>5.1470976185089598E-4</v>
      </c>
      <c r="X172" s="34">
        <v>1.10440677966101</v>
      </c>
      <c r="Y172" s="34">
        <v>1.1028747626327899</v>
      </c>
      <c r="Z172" s="34">
        <v>1.10508236172478</v>
      </c>
      <c r="AA172" s="34">
        <v>1.1049214523094499</v>
      </c>
      <c r="AB172" s="33">
        <v>48.802208246501202</v>
      </c>
      <c r="AC172" s="33">
        <v>48.901710295795297</v>
      </c>
      <c r="AD172" s="33">
        <v>48.895160340642597</v>
      </c>
      <c r="AE172" s="15">
        <v>-1.3881484938614199E-3</v>
      </c>
      <c r="AF172" s="15">
        <v>6.4865996127745596E-4</v>
      </c>
      <c r="AG172" s="15">
        <v>5.1470976185089598E-4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1.1066179601195049E-2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8.4946563063379773E-3</v>
      </c>
      <c r="BE172" s="29">
        <f t="shared" si="62"/>
        <v>0</v>
      </c>
      <c r="BF172" s="29">
        <f t="shared" si="63"/>
        <v>1.9560835907533033E-2</v>
      </c>
      <c r="BH172" s="29"/>
    </row>
    <row r="173" spans="1:60" x14ac:dyDescent="0.25">
      <c r="A173" s="1">
        <v>46274</v>
      </c>
      <c r="B173" s="33">
        <v>44.04</v>
      </c>
      <c r="C173" s="33">
        <v>48.61</v>
      </c>
      <c r="D173" s="15">
        <v>-4.7570595994593399E-3</v>
      </c>
      <c r="E173" s="15">
        <v>-5.3344402246992698E-3</v>
      </c>
      <c r="F173" s="33">
        <v>0</v>
      </c>
      <c r="G173" s="33">
        <v>1.076047</v>
      </c>
      <c r="H173" s="33">
        <v>0</v>
      </c>
      <c r="I173" s="33">
        <v>1.1373</v>
      </c>
      <c r="J173" s="33">
        <v>0</v>
      </c>
      <c r="K173" s="33">
        <v>0</v>
      </c>
      <c r="L173" s="33">
        <v>44.04</v>
      </c>
      <c r="M173" s="33">
        <v>48.61</v>
      </c>
      <c r="N173" s="34">
        <v>1.10376930063578</v>
      </c>
      <c r="O173" s="34">
        <v>1.1028747626327899</v>
      </c>
      <c r="P173" s="34">
        <v>1.1049623004801301</v>
      </c>
      <c r="Q173" s="34">
        <v>1.10482924283491</v>
      </c>
      <c r="R173" s="33">
        <v>48.570604546348299</v>
      </c>
      <c r="S173" s="33">
        <v>48.667827210359498</v>
      </c>
      <c r="T173" s="33">
        <v>48.660740759708297</v>
      </c>
      <c r="U173" s="15">
        <v>-8.10767868621537E-4</v>
      </c>
      <c r="V173" s="15">
        <v>1.18890848674141E-3</v>
      </c>
      <c r="W173" s="15">
        <v>1.0432893574042999E-3</v>
      </c>
      <c r="X173" s="34">
        <v>1.10376930063578</v>
      </c>
      <c r="Y173" s="34">
        <v>1.1028747626327899</v>
      </c>
      <c r="Z173" s="34">
        <v>1.1049623004801301</v>
      </c>
      <c r="AA173" s="34">
        <v>1.10482924283491</v>
      </c>
      <c r="AB173" s="33">
        <v>48.570604546348299</v>
      </c>
      <c r="AC173" s="33">
        <v>48.667827210359498</v>
      </c>
      <c r="AD173" s="33">
        <v>48.660740759708297</v>
      </c>
      <c r="AE173" s="15">
        <v>-8.10767868621537E-4</v>
      </c>
      <c r="AF173" s="15">
        <v>1.18890848674141E-3</v>
      </c>
      <c r="AG173" s="15">
        <v>1.0432893574042999E-3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1.1066179601195049E-2</v>
      </c>
      <c r="AT173" s="12"/>
      <c r="AU173">
        <f t="shared" si="50"/>
        <v>1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8.4946563063379773E-3</v>
      </c>
      <c r="BE173" s="29">
        <f t="shared" si="62"/>
        <v>0</v>
      </c>
      <c r="BF173" s="29">
        <f t="shared" si="63"/>
        <v>1.9560835907533033E-2</v>
      </c>
      <c r="BH173" s="29"/>
    </row>
    <row r="174" spans="1:60" x14ac:dyDescent="0.25">
      <c r="A174" s="1">
        <v>46275</v>
      </c>
      <c r="B174" s="33">
        <v>43.68</v>
      </c>
      <c r="C174" s="33">
        <v>48.26</v>
      </c>
      <c r="D174" s="15">
        <v>-8.20798041782962E-3</v>
      </c>
      <c r="E174" s="15">
        <v>-7.2262108604785004E-3</v>
      </c>
      <c r="F174" s="33">
        <v>0</v>
      </c>
      <c r="G174" s="33">
        <v>1.076047</v>
      </c>
      <c r="H174" s="33">
        <v>0</v>
      </c>
      <c r="I174" s="33">
        <v>1.1373</v>
      </c>
      <c r="J174" s="33">
        <v>0</v>
      </c>
      <c r="K174" s="33">
        <v>0</v>
      </c>
      <c r="L174" s="33">
        <v>43.68</v>
      </c>
      <c r="M174" s="33">
        <v>48.26</v>
      </c>
      <c r="N174" s="34">
        <v>1.1048534798534799</v>
      </c>
      <c r="O174" s="34">
        <v>1.1028747626327899</v>
      </c>
      <c r="P174" s="34">
        <v>1.1049342556083399</v>
      </c>
      <c r="Q174" s="34">
        <v>1.1048023361752699</v>
      </c>
      <c r="R174" s="33">
        <v>48.173569631800497</v>
      </c>
      <c r="S174" s="33">
        <v>48.2647532849724</v>
      </c>
      <c r="T174" s="33">
        <v>48.258941327029198</v>
      </c>
      <c r="U174" s="15">
        <v>-1.79253742597266E-3</v>
      </c>
      <c r="V174" s="15">
        <v>9.8488414930664897E-5</v>
      </c>
      <c r="W174" s="15">
        <v>-2.1937102836776201E-5</v>
      </c>
      <c r="X174" s="34">
        <v>1.1048534798534799</v>
      </c>
      <c r="Y174" s="34">
        <v>1.1028747626327899</v>
      </c>
      <c r="Z174" s="34">
        <v>1.1049342556083399</v>
      </c>
      <c r="AA174" s="34">
        <v>1.1048023361752699</v>
      </c>
      <c r="AB174" s="33">
        <v>48.173569631800497</v>
      </c>
      <c r="AC174" s="33">
        <v>48.2647532849724</v>
      </c>
      <c r="AD174" s="33">
        <v>48.258941327029198</v>
      </c>
      <c r="AE174" s="15">
        <v>-1.79253742597266E-3</v>
      </c>
      <c r="AF174" s="15">
        <v>9.8488414930664897E-5</v>
      </c>
      <c r="AG174" s="15">
        <v>-2.1937102836776201E-5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1.1066179601195049E-2</v>
      </c>
      <c r="AT174" s="12"/>
      <c r="AU174">
        <f t="shared" si="50"/>
        <v>0</v>
      </c>
      <c r="AV174">
        <f t="shared" si="51"/>
        <v>1</v>
      </c>
      <c r="AW174">
        <f t="shared" si="58"/>
        <v>1</v>
      </c>
      <c r="AX174">
        <f t="shared" si="45"/>
        <v>1</v>
      </c>
      <c r="AY174">
        <f t="shared" si="59"/>
        <v>1</v>
      </c>
      <c r="AZ174" s="28">
        <f t="shared" si="52"/>
        <v>8.20798041782962E-3</v>
      </c>
      <c r="BA174" s="28">
        <f t="shared" si="53"/>
        <v>-7.2262108604785004E-3</v>
      </c>
      <c r="BB174" s="28">
        <f t="shared" si="60"/>
        <v>9.8176955735111964E-4</v>
      </c>
      <c r="BC174" s="29">
        <f t="shared" si="61"/>
        <v>9.4764258636890961E-3</v>
      </c>
      <c r="BE174" s="29">
        <f t="shared" si="62"/>
        <v>9.8176955735111964E-4</v>
      </c>
      <c r="BF174" s="29">
        <f t="shared" si="63"/>
        <v>2.0542605464884154E-2</v>
      </c>
      <c r="BH174" s="29"/>
    </row>
    <row r="175" spans="1:60" x14ac:dyDescent="0.25">
      <c r="A175" s="1">
        <v>46276</v>
      </c>
      <c r="B175" s="33">
        <v>43.79</v>
      </c>
      <c r="C175" s="33">
        <v>48.43</v>
      </c>
      <c r="D175" s="15">
        <v>2.5151493766573702E-3</v>
      </c>
      <c r="E175" s="15">
        <v>3.5163962182521999E-3</v>
      </c>
      <c r="F175" s="33">
        <v>0</v>
      </c>
      <c r="G175" s="33">
        <v>1.076047</v>
      </c>
      <c r="H175" s="33">
        <v>0</v>
      </c>
      <c r="I175" s="33">
        <v>1.1373</v>
      </c>
      <c r="J175" s="33">
        <v>0</v>
      </c>
      <c r="K175" s="33">
        <v>0</v>
      </c>
      <c r="L175" s="33">
        <v>43.79</v>
      </c>
      <c r="M175" s="33">
        <v>48.43</v>
      </c>
      <c r="N175" s="34">
        <v>1.1059602649006599</v>
      </c>
      <c r="O175" s="34">
        <v>1.1028747626327899</v>
      </c>
      <c r="P175" s="34">
        <v>1.1050098443052401</v>
      </c>
      <c r="Q175" s="34">
        <v>1.10482903159084</v>
      </c>
      <c r="R175" s="33">
        <v>48.294885855690097</v>
      </c>
      <c r="S175" s="33">
        <v>48.385071053089298</v>
      </c>
      <c r="T175" s="33">
        <v>48.379294301115202</v>
      </c>
      <c r="U175" s="15">
        <v>-2.7937842675674002E-3</v>
      </c>
      <c r="V175" s="15">
        <v>-9.2813958916165297E-4</v>
      </c>
      <c r="W175" s="15">
        <v>-1.04753792262547E-3</v>
      </c>
      <c r="X175" s="34">
        <v>1.1059602649006599</v>
      </c>
      <c r="Y175" s="34">
        <v>1.1028747626327899</v>
      </c>
      <c r="Z175" s="34">
        <v>1.1050098443052401</v>
      </c>
      <c r="AA175" s="34">
        <v>1.10482903159084</v>
      </c>
      <c r="AB175" s="33">
        <v>48.294885855690097</v>
      </c>
      <c r="AC175" s="33">
        <v>48.385071053089298</v>
      </c>
      <c r="AD175" s="33">
        <v>48.379294301115202</v>
      </c>
      <c r="AE175" s="15">
        <v>-2.7937842675674002E-3</v>
      </c>
      <c r="AF175" s="15">
        <v>-9.2813958916165297E-4</v>
      </c>
      <c r="AG175" s="15">
        <v>-1.04753792262547E-3</v>
      </c>
      <c r="AI175" s="12"/>
      <c r="AJ175">
        <f t="shared" si="46"/>
        <v>1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1.1066179601195049E-2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9.4764258636890961E-3</v>
      </c>
      <c r="BE175" s="29">
        <f t="shared" si="62"/>
        <v>0</v>
      </c>
      <c r="BF175" s="29">
        <f t="shared" si="63"/>
        <v>2.0542605464884154E-2</v>
      </c>
      <c r="BH175" s="29"/>
    </row>
    <row r="176" spans="1:60" x14ac:dyDescent="0.25">
      <c r="A176" s="1">
        <v>46279</v>
      </c>
      <c r="B176" s="33">
        <v>43.76</v>
      </c>
      <c r="C176" s="33">
        <v>48.41</v>
      </c>
      <c r="D176" s="15">
        <v>-6.8532269958128302E-4</v>
      </c>
      <c r="E176" s="15">
        <v>-4.1305246353482198E-4</v>
      </c>
      <c r="F176" s="33">
        <v>0</v>
      </c>
      <c r="G176" s="33">
        <v>1.076047</v>
      </c>
      <c r="H176" s="33">
        <v>0</v>
      </c>
      <c r="I176" s="33">
        <v>1.1373</v>
      </c>
      <c r="J176" s="33">
        <v>0</v>
      </c>
      <c r="K176" s="33">
        <v>0</v>
      </c>
      <c r="L176" s="33">
        <v>43.76</v>
      </c>
      <c r="M176" s="33">
        <v>48.41</v>
      </c>
      <c r="N176" s="34">
        <v>1.1062614259597801</v>
      </c>
      <c r="O176" s="34">
        <v>1.1028747626327899</v>
      </c>
      <c r="P176" s="34">
        <v>1.10512144551419</v>
      </c>
      <c r="Q176" s="34">
        <v>1.1049635710636001</v>
      </c>
      <c r="R176" s="33">
        <v>48.261799612811103</v>
      </c>
      <c r="S176" s="33">
        <v>48.355230786797499</v>
      </c>
      <c r="T176" s="33">
        <v>48.347318422415498</v>
      </c>
      <c r="U176" s="15">
        <v>-3.0660545036138602E-3</v>
      </c>
      <c r="V176" s="15">
        <v>-1.13200203431974E-3</v>
      </c>
      <c r="W176" s="15">
        <v>-1.2956453811457599E-3</v>
      </c>
      <c r="X176" s="34">
        <v>1.1062614259597801</v>
      </c>
      <c r="Y176" s="34">
        <v>1.1028747626327899</v>
      </c>
      <c r="Z176" s="34">
        <v>1.10512144551419</v>
      </c>
      <c r="AA176" s="34">
        <v>1.1049635710636001</v>
      </c>
      <c r="AB176" s="33">
        <v>48.261799612811103</v>
      </c>
      <c r="AC176" s="33">
        <v>48.355230786797499</v>
      </c>
      <c r="AD176" s="33">
        <v>48.347318422415498</v>
      </c>
      <c r="AE176" s="15">
        <v>-3.0660545036138602E-3</v>
      </c>
      <c r="AF176" s="15">
        <v>-1.13200203431974E-3</v>
      </c>
      <c r="AG176" s="15">
        <v>-1.2956453811457599E-3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-6.8532269958128302E-4</v>
      </c>
      <c r="AP176" s="28">
        <f t="shared" si="49"/>
        <v>4.1305246353482198E-4</v>
      </c>
      <c r="AQ176" s="28">
        <f t="shared" si="56"/>
        <v>-2.7227023604646104E-4</v>
      </c>
      <c r="AR176" s="29">
        <f t="shared" si="57"/>
        <v>1.0793909365148588E-2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9.4764258636890961E-3</v>
      </c>
      <c r="BE176" s="29">
        <f t="shared" si="62"/>
        <v>-2.7227023604646104E-4</v>
      </c>
      <c r="BF176" s="29">
        <f t="shared" si="63"/>
        <v>2.0270335228837692E-2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2026-09-24T00:39:48Z</dcterms:created>
  <dcterms:modified xsi:type="dcterms:W3CDTF">2026-09-24T00:52:33Z</dcterms:modified>
</cp:coreProperties>
</file>