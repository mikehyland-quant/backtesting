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26CD640B-E015-4AAA-8561-40FEF37AFDA3}" xr6:coauthVersionLast="47" xr6:coauthVersionMax="47" xr10:uidLastSave="{00000000-0000-0000-0000-000000000000}"/>
  <bookViews>
    <workbookView xWindow="11424" yWindow="0" windowWidth="11712" windowHeight="12336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F166" i="1" s="1"/>
  <c r="BR164" i="1"/>
  <c r="BS164" i="1" s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R163" i="1" s="1"/>
  <c r="BE162" i="1"/>
  <c r="BC162" i="1"/>
  <c r="BB162" i="1"/>
  <c r="BF163" i="1" s="1"/>
  <c r="BQ161" i="1"/>
  <c r="BO161" i="1"/>
  <c r="BN161" i="1"/>
  <c r="BR162" i="1" s="1"/>
  <c r="BP162" i="1" s="1"/>
  <c r="BG161" i="1"/>
  <c r="BF161" i="1"/>
  <c r="BH161" i="1" s="1"/>
  <c r="BE161" i="1"/>
  <c r="BC161" i="1"/>
  <c r="BB161" i="1"/>
  <c r="BF162" i="1" s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F160" i="1" s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Q156" i="1"/>
  <c r="BO156" i="1"/>
  <c r="BR157" i="1" s="1"/>
  <c r="BN156" i="1"/>
  <c r="BE156" i="1"/>
  <c r="BC156" i="1"/>
  <c r="BB156" i="1"/>
  <c r="BQ155" i="1"/>
  <c r="BO155" i="1"/>
  <c r="BN155" i="1"/>
  <c r="BE155" i="1"/>
  <c r="BC155" i="1"/>
  <c r="BB155" i="1"/>
  <c r="BQ154" i="1"/>
  <c r="BO154" i="1"/>
  <c r="BR155" i="1" s="1"/>
  <c r="BP155" i="1" s="1"/>
  <c r="BN154" i="1"/>
  <c r="BE154" i="1"/>
  <c r="BC154" i="1"/>
  <c r="BB154" i="1"/>
  <c r="BF155" i="1" s="1"/>
  <c r="BQ153" i="1"/>
  <c r="BO153" i="1"/>
  <c r="BN153" i="1"/>
  <c r="BE153" i="1"/>
  <c r="BC153" i="1"/>
  <c r="BB153" i="1"/>
  <c r="BF154" i="1" s="1"/>
  <c r="BQ152" i="1"/>
  <c r="BR153" i="1" s="1"/>
  <c r="BO152" i="1"/>
  <c r="BN152" i="1"/>
  <c r="BE152" i="1"/>
  <c r="BC152" i="1"/>
  <c r="BB152" i="1"/>
  <c r="BF153" i="1" s="1"/>
  <c r="BD153" i="1" s="1"/>
  <c r="BQ151" i="1"/>
  <c r="BO151" i="1"/>
  <c r="BN151" i="1"/>
  <c r="BF151" i="1"/>
  <c r="BD151" i="1" s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F149" i="1" s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R145" i="1" s="1"/>
  <c r="BN144" i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F143" i="1" s="1"/>
  <c r="BC142" i="1"/>
  <c r="BB142" i="1"/>
  <c r="BQ141" i="1"/>
  <c r="BO141" i="1"/>
  <c r="BN141" i="1"/>
  <c r="BE141" i="1"/>
  <c r="BC141" i="1"/>
  <c r="BB141" i="1"/>
  <c r="BF142" i="1" s="1"/>
  <c r="BQ140" i="1"/>
  <c r="BO140" i="1"/>
  <c r="BN140" i="1"/>
  <c r="BE140" i="1"/>
  <c r="BC140" i="1"/>
  <c r="BB140" i="1"/>
  <c r="BQ139" i="1"/>
  <c r="BO139" i="1"/>
  <c r="BN139" i="1"/>
  <c r="BE139" i="1"/>
  <c r="BC139" i="1"/>
  <c r="BB139" i="1"/>
  <c r="BR138" i="1"/>
  <c r="BQ138" i="1"/>
  <c r="BR139" i="1" s="1"/>
  <c r="BO138" i="1"/>
  <c r="BN138" i="1"/>
  <c r="BE138" i="1"/>
  <c r="BC138" i="1"/>
  <c r="BB138" i="1"/>
  <c r="BF139" i="1" s="1"/>
  <c r="BS137" i="1"/>
  <c r="BQ137" i="1"/>
  <c r="BO137" i="1"/>
  <c r="BN137" i="1"/>
  <c r="BE137" i="1"/>
  <c r="BC137" i="1"/>
  <c r="BB137" i="1"/>
  <c r="BF138" i="1" s="1"/>
  <c r="BQ136" i="1"/>
  <c r="BR137" i="1" s="1"/>
  <c r="BO136" i="1"/>
  <c r="BN136" i="1"/>
  <c r="BE136" i="1"/>
  <c r="BC136" i="1"/>
  <c r="BB136" i="1"/>
  <c r="BF137" i="1" s="1"/>
  <c r="BD137" i="1" s="1"/>
  <c r="BQ135" i="1"/>
  <c r="BR136" i="1" s="1"/>
  <c r="BO135" i="1"/>
  <c r="BN135" i="1"/>
  <c r="BE135" i="1"/>
  <c r="BF136" i="1" s="1"/>
  <c r="BH136" i="1" s="1"/>
  <c r="BC135" i="1"/>
  <c r="BB135" i="1"/>
  <c r="BQ134" i="1"/>
  <c r="BO134" i="1"/>
  <c r="BN134" i="1"/>
  <c r="BE134" i="1"/>
  <c r="BC134" i="1"/>
  <c r="BB134" i="1"/>
  <c r="BF135" i="1" s="1"/>
  <c r="BQ133" i="1"/>
  <c r="BO133" i="1"/>
  <c r="BR134" i="1" s="1"/>
  <c r="BS134" i="1" s="1"/>
  <c r="BN133" i="1"/>
  <c r="BE133" i="1"/>
  <c r="BC133" i="1"/>
  <c r="BB133" i="1"/>
  <c r="BF134" i="1" s="1"/>
  <c r="BH134" i="1" s="1"/>
  <c r="BQ132" i="1"/>
  <c r="BO132" i="1"/>
  <c r="BN132" i="1"/>
  <c r="BE132" i="1"/>
  <c r="BC132" i="1"/>
  <c r="BB132" i="1"/>
  <c r="BS131" i="1"/>
  <c r="BR131" i="1"/>
  <c r="BQ131" i="1"/>
  <c r="BR132" i="1" s="1"/>
  <c r="BO131" i="1"/>
  <c r="BN131" i="1"/>
  <c r="BE131" i="1"/>
  <c r="BC131" i="1"/>
  <c r="BB131" i="1"/>
  <c r="BF132" i="1" s="1"/>
  <c r="BQ130" i="1"/>
  <c r="BO130" i="1"/>
  <c r="BN130" i="1"/>
  <c r="BE130" i="1"/>
  <c r="BC130" i="1"/>
  <c r="BB130" i="1"/>
  <c r="BF131" i="1" s="1"/>
  <c r="BG131" i="1" s="1"/>
  <c r="BQ129" i="1"/>
  <c r="BR130" i="1" s="1"/>
  <c r="BO129" i="1"/>
  <c r="BN129" i="1"/>
  <c r="BE129" i="1"/>
  <c r="BC129" i="1"/>
  <c r="BB129" i="1"/>
  <c r="BF130" i="1" s="1"/>
  <c r="BQ128" i="1"/>
  <c r="BO128" i="1"/>
  <c r="BN128" i="1"/>
  <c r="BE128" i="1"/>
  <c r="BC128" i="1"/>
  <c r="BB128" i="1"/>
  <c r="BQ127" i="1"/>
  <c r="BO127" i="1"/>
  <c r="BN127" i="1"/>
  <c r="BE127" i="1"/>
  <c r="BC127" i="1"/>
  <c r="BB127" i="1"/>
  <c r="BF128" i="1" s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F124" i="1" s="1"/>
  <c r="BG124" i="1" s="1"/>
  <c r="BQ122" i="1"/>
  <c r="BO122" i="1"/>
  <c r="BN122" i="1"/>
  <c r="BE122" i="1"/>
  <c r="BC122" i="1"/>
  <c r="BB122" i="1"/>
  <c r="BF123" i="1" s="1"/>
  <c r="BQ121" i="1"/>
  <c r="BO121" i="1"/>
  <c r="BN121" i="1"/>
  <c r="BE121" i="1"/>
  <c r="BC121" i="1"/>
  <c r="BB121" i="1"/>
  <c r="BQ120" i="1"/>
  <c r="BO120" i="1"/>
  <c r="BN120" i="1"/>
  <c r="BR121" i="1" s="1"/>
  <c r="BS121" i="1" s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R117" i="1" s="1"/>
  <c r="BS117" i="1" s="1"/>
  <c r="BE116" i="1"/>
  <c r="BC116" i="1"/>
  <c r="BB116" i="1"/>
  <c r="BQ115" i="1"/>
  <c r="BO115" i="1"/>
  <c r="BN115" i="1"/>
  <c r="BE115" i="1"/>
  <c r="BF116" i="1" s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F113" i="1" s="1"/>
  <c r="BQ111" i="1"/>
  <c r="BO111" i="1"/>
  <c r="BN111" i="1"/>
  <c r="BE111" i="1"/>
  <c r="BF112" i="1" s="1"/>
  <c r="BG112" i="1" s="1"/>
  <c r="BC111" i="1"/>
  <c r="BB111" i="1"/>
  <c r="BQ110" i="1"/>
  <c r="BO110" i="1"/>
  <c r="BN110" i="1"/>
  <c r="BR111" i="1" s="1"/>
  <c r="BE110" i="1"/>
  <c r="BF111" i="1" s="1"/>
  <c r="BC110" i="1"/>
  <c r="BB110" i="1"/>
  <c r="BQ109" i="1"/>
  <c r="BO109" i="1"/>
  <c r="BN109" i="1"/>
  <c r="BR110" i="1" s="1"/>
  <c r="BT110" i="1" s="1"/>
  <c r="BE109" i="1"/>
  <c r="BC109" i="1"/>
  <c r="BB109" i="1"/>
  <c r="BQ108" i="1"/>
  <c r="BR109" i="1" s="1"/>
  <c r="BO108" i="1"/>
  <c r="BN108" i="1"/>
  <c r="BE108" i="1"/>
  <c r="BF109" i="1" s="1"/>
  <c r="BD109" i="1" s="1"/>
  <c r="BC108" i="1"/>
  <c r="BB108" i="1"/>
  <c r="BQ107" i="1"/>
  <c r="BO107" i="1"/>
  <c r="BN107" i="1"/>
  <c r="BE107" i="1"/>
  <c r="BC107" i="1"/>
  <c r="BB107" i="1"/>
  <c r="BF108" i="1" s="1"/>
  <c r="BQ106" i="1"/>
  <c r="BO106" i="1"/>
  <c r="BN106" i="1"/>
  <c r="BR107" i="1" s="1"/>
  <c r="BS107" i="1" s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F105" i="1" s="1"/>
  <c r="BD105" i="1" s="1"/>
  <c r="BF106" i="1" s="1"/>
  <c r="BC104" i="1"/>
  <c r="BB104" i="1"/>
  <c r="BQ103" i="1"/>
  <c r="BO103" i="1"/>
  <c r="BN103" i="1"/>
  <c r="BE103" i="1"/>
  <c r="BC103" i="1"/>
  <c r="BB103" i="1"/>
  <c r="BF104" i="1" s="1"/>
  <c r="BD104" i="1" s="1"/>
  <c r="BQ102" i="1"/>
  <c r="BO102" i="1"/>
  <c r="BN102" i="1"/>
  <c r="BE102" i="1"/>
  <c r="BC102" i="1"/>
  <c r="BB102" i="1"/>
  <c r="BQ101" i="1"/>
  <c r="BO101" i="1"/>
  <c r="BN101" i="1"/>
  <c r="BG101" i="1"/>
  <c r="BE101" i="1"/>
  <c r="BC101" i="1"/>
  <c r="BB101" i="1"/>
  <c r="BF102" i="1" s="1"/>
  <c r="BQ100" i="1"/>
  <c r="BO100" i="1"/>
  <c r="BN100" i="1"/>
  <c r="BE100" i="1"/>
  <c r="BC100" i="1"/>
  <c r="BB100" i="1"/>
  <c r="BF101" i="1" s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R98" i="1" s="1"/>
  <c r="BE97" i="1"/>
  <c r="BC97" i="1"/>
  <c r="BB97" i="1"/>
  <c r="BQ96" i="1"/>
  <c r="BO96" i="1"/>
  <c r="BN96" i="1"/>
  <c r="BE96" i="1"/>
  <c r="BC96" i="1"/>
  <c r="BB96" i="1"/>
  <c r="BF97" i="1" s="1"/>
  <c r="BQ95" i="1"/>
  <c r="BO95" i="1"/>
  <c r="BN95" i="1"/>
  <c r="BR96" i="1" s="1"/>
  <c r="BT96" i="1" s="1"/>
  <c r="BE95" i="1"/>
  <c r="BC95" i="1"/>
  <c r="BB95" i="1"/>
  <c r="BQ94" i="1"/>
  <c r="BO94" i="1"/>
  <c r="BN94" i="1"/>
  <c r="BE94" i="1"/>
  <c r="BC94" i="1"/>
  <c r="BB94" i="1"/>
  <c r="BF95" i="1" s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R91" i="1"/>
  <c r="BP91" i="1" s="1"/>
  <c r="BQ91" i="1"/>
  <c r="BO91" i="1"/>
  <c r="BN91" i="1"/>
  <c r="BE91" i="1"/>
  <c r="BC91" i="1"/>
  <c r="BB91" i="1"/>
  <c r="BF92" i="1" s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F90" i="1" s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F87" i="1" s="1"/>
  <c r="BQ85" i="1"/>
  <c r="BO85" i="1"/>
  <c r="BN85" i="1"/>
  <c r="BE85" i="1"/>
  <c r="BC85" i="1"/>
  <c r="BB85" i="1"/>
  <c r="BF86" i="1" s="1"/>
  <c r="BQ84" i="1"/>
  <c r="BO84" i="1"/>
  <c r="BN84" i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F82" i="1" s="1"/>
  <c r="BC81" i="1"/>
  <c r="BB81" i="1"/>
  <c r="BQ80" i="1"/>
  <c r="BO80" i="1"/>
  <c r="BN80" i="1"/>
  <c r="BE80" i="1"/>
  <c r="BC80" i="1"/>
  <c r="BB80" i="1"/>
  <c r="BQ79" i="1"/>
  <c r="BO79" i="1"/>
  <c r="BN79" i="1"/>
  <c r="BR80" i="1" s="1"/>
  <c r="BE79" i="1"/>
  <c r="BC79" i="1"/>
  <c r="BB79" i="1"/>
  <c r="BQ78" i="1"/>
  <c r="BR79" i="1" s="1"/>
  <c r="BP79" i="1" s="1"/>
  <c r="BO78" i="1"/>
  <c r="BN78" i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R74" i="1" s="1"/>
  <c r="BE73" i="1"/>
  <c r="BC73" i="1"/>
  <c r="BB73" i="1"/>
  <c r="BQ72" i="1"/>
  <c r="BO72" i="1"/>
  <c r="BN72" i="1"/>
  <c r="BE72" i="1"/>
  <c r="BF73" i="1" s="1"/>
  <c r="BC72" i="1"/>
  <c r="BB72" i="1"/>
  <c r="BQ71" i="1"/>
  <c r="BO71" i="1"/>
  <c r="BN71" i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F68" i="1" s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F64" i="1" s="1"/>
  <c r="BD64" i="1" s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F61" i="1" s="1"/>
  <c r="BC60" i="1"/>
  <c r="BB60" i="1"/>
  <c r="BQ59" i="1"/>
  <c r="BO59" i="1"/>
  <c r="BN59" i="1"/>
  <c r="BR60" i="1" s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R57" i="1" s="1"/>
  <c r="BP57" i="1" s="1"/>
  <c r="BO56" i="1"/>
  <c r="BN56" i="1"/>
  <c r="BE56" i="1"/>
  <c r="BC56" i="1"/>
  <c r="BB56" i="1"/>
  <c r="BF57" i="1" s="1"/>
  <c r="BG57" i="1" s="1"/>
  <c r="BQ55" i="1"/>
  <c r="BO55" i="1"/>
  <c r="BN55" i="1"/>
  <c r="BE55" i="1"/>
  <c r="BF56" i="1" s="1"/>
  <c r="BD56" i="1" s="1"/>
  <c r="BC55" i="1"/>
  <c r="BB55" i="1"/>
  <c r="BQ54" i="1"/>
  <c r="BO54" i="1"/>
  <c r="BN54" i="1"/>
  <c r="BR55" i="1" s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F53" i="1" s="1"/>
  <c r="BQ51" i="1"/>
  <c r="BO51" i="1"/>
  <c r="BN51" i="1"/>
  <c r="BE51" i="1"/>
  <c r="BF52" i="1" s="1"/>
  <c r="BH52" i="1" s="1"/>
  <c r="BC51" i="1"/>
  <c r="BB51" i="1"/>
  <c r="BQ50" i="1"/>
  <c r="BO50" i="1"/>
  <c r="BN50" i="1"/>
  <c r="BE50" i="1"/>
  <c r="BC50" i="1"/>
  <c r="BB50" i="1"/>
  <c r="BF51" i="1" s="1"/>
  <c r="BQ49" i="1"/>
  <c r="BO49" i="1"/>
  <c r="BN49" i="1"/>
  <c r="BE49" i="1"/>
  <c r="BC49" i="1"/>
  <c r="BB49" i="1"/>
  <c r="BQ48" i="1"/>
  <c r="BO48" i="1"/>
  <c r="BN48" i="1"/>
  <c r="BE48" i="1"/>
  <c r="BC48" i="1"/>
  <c r="BF49" i="1" s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R45" i="1" s="1"/>
  <c r="BE44" i="1"/>
  <c r="BC44" i="1"/>
  <c r="BB44" i="1"/>
  <c r="BQ43" i="1"/>
  <c r="BO43" i="1"/>
  <c r="BN43" i="1"/>
  <c r="BE43" i="1"/>
  <c r="BC43" i="1"/>
  <c r="BB43" i="1"/>
  <c r="BF44" i="1" s="1"/>
  <c r="BH44" i="1" s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F42" i="1" s="1"/>
  <c r="BG42" i="1" s="1"/>
  <c r="BQ40" i="1"/>
  <c r="BR41" i="1" s="1"/>
  <c r="BS41" i="1" s="1"/>
  <c r="BO40" i="1"/>
  <c r="BN40" i="1"/>
  <c r="BE40" i="1"/>
  <c r="BF41" i="1" s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F39" i="1" s="1"/>
  <c r="BC38" i="1"/>
  <c r="BB38" i="1"/>
  <c r="BQ37" i="1"/>
  <c r="BO37" i="1"/>
  <c r="BN37" i="1"/>
  <c r="BR38" i="1" s="1"/>
  <c r="BP38" i="1" s="1"/>
  <c r="BE37" i="1"/>
  <c r="BC37" i="1"/>
  <c r="BB37" i="1"/>
  <c r="BQ36" i="1"/>
  <c r="BR37" i="1" s="1"/>
  <c r="BP37" i="1" s="1"/>
  <c r="BO36" i="1"/>
  <c r="BN36" i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R35" i="1" s="1"/>
  <c r="BE34" i="1"/>
  <c r="BC34" i="1"/>
  <c r="BB34" i="1"/>
  <c r="BQ33" i="1"/>
  <c r="BO33" i="1"/>
  <c r="BN33" i="1"/>
  <c r="BR34" i="1" s="1"/>
  <c r="BE33" i="1"/>
  <c r="BC33" i="1"/>
  <c r="BB33" i="1"/>
  <c r="BF34" i="1" s="1"/>
  <c r="BQ32" i="1"/>
  <c r="BO32" i="1"/>
  <c r="BN32" i="1"/>
  <c r="BR33" i="1" s="1"/>
  <c r="BS33" i="1" s="1"/>
  <c r="BE32" i="1"/>
  <c r="BC32" i="1"/>
  <c r="BB32" i="1"/>
  <c r="BF33" i="1" s="1"/>
  <c r="BQ31" i="1"/>
  <c r="BO31" i="1"/>
  <c r="BN31" i="1"/>
  <c r="BR32" i="1" s="1"/>
  <c r="BP32" i="1" s="1"/>
  <c r="BE31" i="1"/>
  <c r="BC31" i="1"/>
  <c r="BB31" i="1"/>
  <c r="BF32" i="1" s="1"/>
  <c r="BQ30" i="1"/>
  <c r="BR31" i="1" s="1"/>
  <c r="BO30" i="1"/>
  <c r="BN30" i="1"/>
  <c r="BE30" i="1"/>
  <c r="BC30" i="1"/>
  <c r="BB30" i="1"/>
  <c r="BQ29" i="1"/>
  <c r="BR30" i="1" s="1"/>
  <c r="BO29" i="1"/>
  <c r="BN29" i="1"/>
  <c r="BE29" i="1"/>
  <c r="BC29" i="1"/>
  <c r="BB29" i="1"/>
  <c r="BQ28" i="1"/>
  <c r="BR29" i="1" s="1"/>
  <c r="BO28" i="1"/>
  <c r="BN28" i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F25" i="1" s="1"/>
  <c r="BQ23" i="1"/>
  <c r="BO23" i="1"/>
  <c r="BN23" i="1"/>
  <c r="BE23" i="1"/>
  <c r="BC23" i="1"/>
  <c r="BB23" i="1"/>
  <c r="BQ22" i="1"/>
  <c r="BR23" i="1" s="1"/>
  <c r="BP22" i="1"/>
  <c r="BO22" i="1"/>
  <c r="BN22" i="1"/>
  <c r="BE22" i="1"/>
  <c r="BD22" i="1"/>
  <c r="BC22" i="1"/>
  <c r="BB22" i="1"/>
  <c r="BF23" i="1" s="1"/>
  <c r="BD23" i="1" s="1"/>
  <c r="BQ21" i="1"/>
  <c r="BR22" i="1" s="1"/>
  <c r="BE21" i="1"/>
  <c r="BF22" i="1" s="1"/>
  <c r="BH22" i="1" s="1"/>
  <c r="BT20" i="1"/>
  <c r="BS20" i="1"/>
  <c r="BH20" i="1"/>
  <c r="BG20" i="1"/>
  <c r="BH135" i="1" l="1"/>
  <c r="BG135" i="1"/>
  <c r="BI135" i="1" s="1"/>
  <c r="BH142" i="1"/>
  <c r="BG142" i="1"/>
  <c r="BD142" i="1"/>
  <c r="BH154" i="1"/>
  <c r="BD154" i="1"/>
  <c r="BG154" i="1"/>
  <c r="BH163" i="1"/>
  <c r="BD163" i="1"/>
  <c r="BF164" i="1" s="1"/>
  <c r="BD164" i="1" s="1"/>
  <c r="BH86" i="1"/>
  <c r="BG86" i="1"/>
  <c r="BI86" i="1" s="1"/>
  <c r="BD86" i="1"/>
  <c r="BP145" i="1"/>
  <c r="BR146" i="1" s="1"/>
  <c r="BT145" i="1"/>
  <c r="BG116" i="1"/>
  <c r="BD116" i="1"/>
  <c r="BF117" i="1" s="1"/>
  <c r="BS157" i="1"/>
  <c r="BT157" i="1"/>
  <c r="BR46" i="1"/>
  <c r="BT46" i="1" s="1"/>
  <c r="BR36" i="1"/>
  <c r="BT36" i="1" s="1"/>
  <c r="BR40" i="1"/>
  <c r="BS40" i="1" s="1"/>
  <c r="BT41" i="1"/>
  <c r="BR128" i="1"/>
  <c r="BT128" i="1" s="1"/>
  <c r="BF152" i="1"/>
  <c r="BH152" i="1" s="1"/>
  <c r="BR65" i="1"/>
  <c r="BS65" i="1" s="1"/>
  <c r="BF147" i="1"/>
  <c r="BG23" i="1"/>
  <c r="BR66" i="1"/>
  <c r="BT66" i="1" s="1"/>
  <c r="BF71" i="1"/>
  <c r="BG71" i="1" s="1"/>
  <c r="BR94" i="1"/>
  <c r="BT94" i="1" s="1"/>
  <c r="BR105" i="1"/>
  <c r="BT105" i="1" s="1"/>
  <c r="BF110" i="1"/>
  <c r="BG110" i="1" s="1"/>
  <c r="BF120" i="1"/>
  <c r="BD120" i="1" s="1"/>
  <c r="BF121" i="1" s="1"/>
  <c r="BR126" i="1"/>
  <c r="BS126" i="1" s="1"/>
  <c r="BH23" i="1"/>
  <c r="BR26" i="1"/>
  <c r="BS26" i="1" s="1"/>
  <c r="BR47" i="1"/>
  <c r="BS47" i="1" s="1"/>
  <c r="BF69" i="1"/>
  <c r="BG69" i="1" s="1"/>
  <c r="BF99" i="1"/>
  <c r="BG99" i="1" s="1"/>
  <c r="BF114" i="1"/>
  <c r="BG114" i="1" s="1"/>
  <c r="BF150" i="1"/>
  <c r="BH150" i="1" s="1"/>
  <c r="BR161" i="1"/>
  <c r="BP161" i="1" s="1"/>
  <c r="BF165" i="1"/>
  <c r="BG165" i="1" s="1"/>
  <c r="BF31" i="1"/>
  <c r="BD31" i="1" s="1"/>
  <c r="BF35" i="1"/>
  <c r="BD35" i="1" s="1"/>
  <c r="BR39" i="1"/>
  <c r="BP39" i="1" s="1"/>
  <c r="BH109" i="1"/>
  <c r="BR112" i="1"/>
  <c r="BP112" i="1" s="1"/>
  <c r="BR113" i="1" s="1"/>
  <c r="BF127" i="1"/>
  <c r="BF144" i="1"/>
  <c r="BG151" i="1"/>
  <c r="BR24" i="1"/>
  <c r="BP24" i="1" s="1"/>
  <c r="BR25" i="1" s="1"/>
  <c r="BF91" i="1"/>
  <c r="BH91" i="1" s="1"/>
  <c r="BH151" i="1"/>
  <c r="BR167" i="1"/>
  <c r="BT167" i="1" s="1"/>
  <c r="BF133" i="1"/>
  <c r="BR140" i="1"/>
  <c r="BT140" i="1" s="1"/>
  <c r="BR78" i="1"/>
  <c r="BT78" i="1" s="1"/>
  <c r="BF85" i="1"/>
  <c r="BG85" i="1" s="1"/>
  <c r="BF125" i="1"/>
  <c r="BG125" i="1" s="1"/>
  <c r="BR129" i="1"/>
  <c r="BT129" i="1" s="1"/>
  <c r="BR152" i="1"/>
  <c r="BT152" i="1" s="1"/>
  <c r="BR154" i="1"/>
  <c r="BT154" i="1" s="1"/>
  <c r="BD161" i="1"/>
  <c r="BR27" i="1"/>
  <c r="BT27" i="1" s="1"/>
  <c r="BF38" i="1"/>
  <c r="BD38" i="1" s="1"/>
  <c r="BF48" i="1"/>
  <c r="BH48" i="1" s="1"/>
  <c r="BR108" i="1"/>
  <c r="BS108" i="1" s="1"/>
  <c r="BF115" i="1"/>
  <c r="BG115" i="1" s="1"/>
  <c r="BR133" i="1"/>
  <c r="BS133" i="1" s="1"/>
  <c r="BR158" i="1"/>
  <c r="BS158" i="1" s="1"/>
  <c r="BF81" i="1"/>
  <c r="BD81" i="1" s="1"/>
  <c r="BF141" i="1"/>
  <c r="BG141" i="1" s="1"/>
  <c r="BR156" i="1"/>
  <c r="BS156" i="1" s="1"/>
  <c r="BT164" i="1"/>
  <c r="BU164" i="1" s="1"/>
  <c r="BF36" i="1"/>
  <c r="BD36" i="1" s="1"/>
  <c r="BF24" i="1"/>
  <c r="BD24" i="1" s="1"/>
  <c r="BP41" i="1"/>
  <c r="BR42" i="1" s="1"/>
  <c r="BT42" i="1" s="1"/>
  <c r="BR160" i="1"/>
  <c r="BP160" i="1" s="1"/>
  <c r="BF28" i="1"/>
  <c r="BS37" i="1"/>
  <c r="BF77" i="1"/>
  <c r="BH77" i="1" s="1"/>
  <c r="BF107" i="1"/>
  <c r="BD107" i="1" s="1"/>
  <c r="BP134" i="1"/>
  <c r="BF159" i="1"/>
  <c r="BD159" i="1" s="1"/>
  <c r="BS80" i="1"/>
  <c r="BP80" i="1"/>
  <c r="BR81" i="1" s="1"/>
  <c r="BT80" i="1"/>
  <c r="BT22" i="1"/>
  <c r="BS22" i="1"/>
  <c r="BH34" i="1"/>
  <c r="BD34" i="1"/>
  <c r="BH82" i="1"/>
  <c r="BG82" i="1"/>
  <c r="BI82" i="1" s="1"/>
  <c r="BD82" i="1"/>
  <c r="BF83" i="1" s="1"/>
  <c r="BS129" i="1"/>
  <c r="BD108" i="1"/>
  <c r="BG108" i="1"/>
  <c r="BH108" i="1"/>
  <c r="BG34" i="1"/>
  <c r="BP40" i="1"/>
  <c r="BD53" i="1"/>
  <c r="BG53" i="1"/>
  <c r="BG106" i="1"/>
  <c r="BD106" i="1"/>
  <c r="BH106" i="1"/>
  <c r="BP30" i="1"/>
  <c r="BT30" i="1"/>
  <c r="BS30" i="1"/>
  <c r="BT35" i="1"/>
  <c r="BS35" i="1"/>
  <c r="BP35" i="1"/>
  <c r="BH53" i="1"/>
  <c r="BP31" i="1"/>
  <c r="BT31" i="1"/>
  <c r="BS31" i="1"/>
  <c r="BH39" i="1"/>
  <c r="BD39" i="1"/>
  <c r="BG39" i="1"/>
  <c r="BH41" i="1"/>
  <c r="BG41" i="1"/>
  <c r="BD41" i="1"/>
  <c r="BD73" i="1"/>
  <c r="BH73" i="1"/>
  <c r="BG73" i="1"/>
  <c r="BG139" i="1"/>
  <c r="BH139" i="1"/>
  <c r="BD139" i="1"/>
  <c r="BF140" i="1" s="1"/>
  <c r="BG22" i="1"/>
  <c r="BI22" i="1" s="1"/>
  <c r="BP55" i="1"/>
  <c r="BT55" i="1"/>
  <c r="BS55" i="1"/>
  <c r="BR92" i="1"/>
  <c r="BG155" i="1"/>
  <c r="BD155" i="1"/>
  <c r="BF156" i="1" s="1"/>
  <c r="BH155" i="1"/>
  <c r="BH49" i="1"/>
  <c r="BG49" i="1"/>
  <c r="BD49" i="1"/>
  <c r="BH33" i="1"/>
  <c r="BG33" i="1"/>
  <c r="BD33" i="1"/>
  <c r="BH51" i="1"/>
  <c r="BG51" i="1"/>
  <c r="BD51" i="1"/>
  <c r="BS91" i="1"/>
  <c r="BT91" i="1"/>
  <c r="BT29" i="1"/>
  <c r="BS29" i="1"/>
  <c r="BU29" i="1" s="1"/>
  <c r="BP29" i="1"/>
  <c r="BD68" i="1"/>
  <c r="BH68" i="1"/>
  <c r="BG68" i="1"/>
  <c r="BG111" i="1"/>
  <c r="BD111" i="1"/>
  <c r="BH111" i="1"/>
  <c r="BT34" i="1"/>
  <c r="BS34" i="1"/>
  <c r="BP34" i="1"/>
  <c r="BU41" i="1"/>
  <c r="BH64" i="1"/>
  <c r="BG64" i="1"/>
  <c r="BS74" i="1"/>
  <c r="BT74" i="1"/>
  <c r="BP74" i="1"/>
  <c r="BR75" i="1" s="1"/>
  <c r="BH97" i="1"/>
  <c r="BG97" i="1"/>
  <c r="BD97" i="1"/>
  <c r="BF98" i="1" s="1"/>
  <c r="BD42" i="1"/>
  <c r="BH42" i="1"/>
  <c r="BI42" i="1" s="1"/>
  <c r="BP60" i="1"/>
  <c r="BT60" i="1"/>
  <c r="BS60" i="1"/>
  <c r="BT132" i="1"/>
  <c r="BS132" i="1"/>
  <c r="BP132" i="1"/>
  <c r="BT45" i="1"/>
  <c r="BP45" i="1"/>
  <c r="BS57" i="1"/>
  <c r="BG102" i="1"/>
  <c r="BD102" i="1"/>
  <c r="BH102" i="1"/>
  <c r="BG92" i="1"/>
  <c r="BD92" i="1"/>
  <c r="BH92" i="1"/>
  <c r="BH144" i="1"/>
  <c r="BD144" i="1"/>
  <c r="BF145" i="1" s="1"/>
  <c r="BG144" i="1"/>
  <c r="BP23" i="1"/>
  <c r="BT23" i="1"/>
  <c r="BS23" i="1"/>
  <c r="BU23" i="1" s="1"/>
  <c r="BR28" i="1"/>
  <c r="BT38" i="1"/>
  <c r="BS38" i="1"/>
  <c r="BS45" i="1"/>
  <c r="BT57" i="1"/>
  <c r="BG52" i="1"/>
  <c r="BI52" i="1" s="1"/>
  <c r="BD52" i="1"/>
  <c r="BD87" i="1"/>
  <c r="BH87" i="1"/>
  <c r="BG87" i="1"/>
  <c r="BI87" i="1" s="1"/>
  <c r="BS111" i="1"/>
  <c r="BT111" i="1"/>
  <c r="BP111" i="1"/>
  <c r="BT126" i="1"/>
  <c r="BU126" i="1" s="1"/>
  <c r="BH130" i="1"/>
  <c r="BG130" i="1"/>
  <c r="BD130" i="1"/>
  <c r="BR97" i="1"/>
  <c r="BG113" i="1"/>
  <c r="BD113" i="1"/>
  <c r="BH113" i="1"/>
  <c r="BP33" i="1"/>
  <c r="BT37" i="1"/>
  <c r="BF63" i="1"/>
  <c r="BF93" i="1"/>
  <c r="BG95" i="1"/>
  <c r="BH95" i="1"/>
  <c r="BD95" i="1"/>
  <c r="BH116" i="1"/>
  <c r="BR61" i="1"/>
  <c r="BF88" i="1"/>
  <c r="BD90" i="1"/>
  <c r="BH90" i="1"/>
  <c r="BG90" i="1"/>
  <c r="BI90" i="1" s="1"/>
  <c r="BG120" i="1"/>
  <c r="BH120" i="1"/>
  <c r="BT26" i="1"/>
  <c r="BU26" i="1" s="1"/>
  <c r="BT33" i="1"/>
  <c r="BU33" i="1" s="1"/>
  <c r="BF43" i="1"/>
  <c r="BD44" i="1"/>
  <c r="BF45" i="1" s="1"/>
  <c r="BF75" i="1"/>
  <c r="BS79" i="1"/>
  <c r="BT79" i="1"/>
  <c r="BT139" i="1"/>
  <c r="BS139" i="1"/>
  <c r="BP139" i="1"/>
  <c r="BH149" i="1"/>
  <c r="BD149" i="1"/>
  <c r="BS32" i="1"/>
  <c r="BT32" i="1"/>
  <c r="BR52" i="1"/>
  <c r="BH57" i="1"/>
  <c r="BI57" i="1" s="1"/>
  <c r="BD57" i="1"/>
  <c r="BF58" i="1" s="1"/>
  <c r="BR59" i="1"/>
  <c r="BF70" i="1"/>
  <c r="BS96" i="1"/>
  <c r="BU96" i="1" s="1"/>
  <c r="BP96" i="1"/>
  <c r="BH105" i="1"/>
  <c r="BG105" i="1"/>
  <c r="BP138" i="1"/>
  <c r="BS138" i="1"/>
  <c r="BT138" i="1"/>
  <c r="BG143" i="1"/>
  <c r="BD143" i="1"/>
  <c r="BH143" i="1"/>
  <c r="BG149" i="1"/>
  <c r="BI154" i="1"/>
  <c r="BF40" i="1"/>
  <c r="BG132" i="1"/>
  <c r="BH132" i="1"/>
  <c r="BD132" i="1"/>
  <c r="BF37" i="1"/>
  <c r="BG44" i="1"/>
  <c r="BI44" i="1" s="1"/>
  <c r="BF62" i="1"/>
  <c r="BD101" i="1"/>
  <c r="BH101" i="1"/>
  <c r="BI101" i="1" s="1"/>
  <c r="BG109" i="1"/>
  <c r="BI109" i="1" s="1"/>
  <c r="BP98" i="1"/>
  <c r="BR99" i="1" s="1"/>
  <c r="BS98" i="1"/>
  <c r="BT98" i="1"/>
  <c r="BH104" i="1"/>
  <c r="BG104" i="1"/>
  <c r="BH137" i="1"/>
  <c r="BG137" i="1"/>
  <c r="BH25" i="1"/>
  <c r="BG25" i="1"/>
  <c r="BH32" i="1"/>
  <c r="BG32" i="1"/>
  <c r="BH56" i="1"/>
  <c r="BG56" i="1"/>
  <c r="BR70" i="1"/>
  <c r="BP110" i="1"/>
  <c r="BS110" i="1"/>
  <c r="BU110" i="1" s="1"/>
  <c r="BD61" i="1"/>
  <c r="BH61" i="1"/>
  <c r="BG61" i="1"/>
  <c r="BT107" i="1"/>
  <c r="BU107" i="1" s="1"/>
  <c r="BP107" i="1"/>
  <c r="BD123" i="1"/>
  <c r="BH123" i="1"/>
  <c r="BG123" i="1"/>
  <c r="BS136" i="1"/>
  <c r="BT136" i="1"/>
  <c r="BP136" i="1"/>
  <c r="BT163" i="1"/>
  <c r="BP163" i="1"/>
  <c r="BS163" i="1"/>
  <c r="BD25" i="1"/>
  <c r="BF26" i="1" s="1"/>
  <c r="BD32" i="1"/>
  <c r="BH36" i="1"/>
  <c r="BF54" i="1"/>
  <c r="BR56" i="1"/>
  <c r="BF67" i="1"/>
  <c r="BT130" i="1"/>
  <c r="BP130" i="1"/>
  <c r="BS130" i="1"/>
  <c r="BG160" i="1"/>
  <c r="BD160" i="1"/>
  <c r="BH160" i="1"/>
  <c r="BF89" i="1"/>
  <c r="BF96" i="1"/>
  <c r="BP117" i="1"/>
  <c r="BR118" i="1" s="1"/>
  <c r="BT117" i="1"/>
  <c r="BU117" i="1" s="1"/>
  <c r="BH166" i="1"/>
  <c r="BG166" i="1"/>
  <c r="BD166" i="1"/>
  <c r="BF167" i="1" s="1"/>
  <c r="BF50" i="1"/>
  <c r="BF65" i="1"/>
  <c r="BF79" i="1"/>
  <c r="BR83" i="1"/>
  <c r="BR85" i="1"/>
  <c r="BT134" i="1"/>
  <c r="BU134" i="1" s="1"/>
  <c r="BR67" i="1"/>
  <c r="BT121" i="1"/>
  <c r="BU121" i="1" s="1"/>
  <c r="BP121" i="1"/>
  <c r="BR122" i="1" s="1"/>
  <c r="BF148" i="1"/>
  <c r="BR58" i="1"/>
  <c r="BF118" i="1"/>
  <c r="BF119" i="1"/>
  <c r="BP128" i="1"/>
  <c r="BS128" i="1"/>
  <c r="BH138" i="1"/>
  <c r="BG138" i="1"/>
  <c r="BD138" i="1"/>
  <c r="BG153" i="1"/>
  <c r="BH153" i="1"/>
  <c r="BF74" i="1"/>
  <c r="BR95" i="1"/>
  <c r="BF100" i="1"/>
  <c r="BT109" i="1"/>
  <c r="BS109" i="1"/>
  <c r="BP109" i="1"/>
  <c r="BH112" i="1"/>
  <c r="BI112" i="1" s="1"/>
  <c r="BD112" i="1"/>
  <c r="BF122" i="1"/>
  <c r="BG127" i="1"/>
  <c r="BD127" i="1"/>
  <c r="BH127" i="1"/>
  <c r="BG134" i="1"/>
  <c r="BI134" i="1" s="1"/>
  <c r="BD134" i="1"/>
  <c r="BI161" i="1"/>
  <c r="BF129" i="1"/>
  <c r="BP154" i="1"/>
  <c r="BS154" i="1"/>
  <c r="BP131" i="1"/>
  <c r="BT131" i="1"/>
  <c r="BU131" i="1" s="1"/>
  <c r="BD135" i="1"/>
  <c r="BG152" i="1"/>
  <c r="BP157" i="1"/>
  <c r="BP164" i="1"/>
  <c r="BR165" i="1" s="1"/>
  <c r="BG136" i="1"/>
  <c r="BI136" i="1" s="1"/>
  <c r="BD136" i="1"/>
  <c r="BH128" i="1"/>
  <c r="BD128" i="1"/>
  <c r="BG128" i="1"/>
  <c r="BS145" i="1"/>
  <c r="BF72" i="1"/>
  <c r="BF76" i="1"/>
  <c r="BR106" i="1"/>
  <c r="BH124" i="1"/>
  <c r="BI124" i="1" s="1"/>
  <c r="BD124" i="1"/>
  <c r="BT153" i="1"/>
  <c r="BS153" i="1"/>
  <c r="BU153" i="1" s="1"/>
  <c r="BP153" i="1"/>
  <c r="BG162" i="1"/>
  <c r="BD162" i="1"/>
  <c r="BH162" i="1"/>
  <c r="BS167" i="1"/>
  <c r="BT137" i="1"/>
  <c r="BU137" i="1" s="1"/>
  <c r="BP137" i="1"/>
  <c r="BT155" i="1"/>
  <c r="BS155" i="1"/>
  <c r="BT162" i="1"/>
  <c r="BS162" i="1"/>
  <c r="BU162" i="1" s="1"/>
  <c r="BF84" i="1"/>
  <c r="BF103" i="1"/>
  <c r="BF146" i="1"/>
  <c r="BT161" i="1"/>
  <c r="BR151" i="1"/>
  <c r="BR135" i="1"/>
  <c r="BG163" i="1"/>
  <c r="BI163" i="1" s="1"/>
  <c r="BH131" i="1"/>
  <c r="BI131" i="1" s="1"/>
  <c r="BD131" i="1"/>
  <c r="BI137" i="1" l="1"/>
  <c r="BG107" i="1"/>
  <c r="BD165" i="1"/>
  <c r="BH165" i="1"/>
  <c r="BG77" i="1"/>
  <c r="BI77" i="1" s="1"/>
  <c r="BP26" i="1"/>
  <c r="BD77" i="1"/>
  <c r="BF78" i="1" s="1"/>
  <c r="BP66" i="1"/>
  <c r="BS112" i="1"/>
  <c r="BH107" i="1"/>
  <c r="BI116" i="1"/>
  <c r="BD69" i="1"/>
  <c r="BI73" i="1"/>
  <c r="BI142" i="1"/>
  <c r="BS152" i="1"/>
  <c r="BH164" i="1"/>
  <c r="BP156" i="1"/>
  <c r="BH125" i="1"/>
  <c r="BD110" i="1"/>
  <c r="BT156" i="1"/>
  <c r="BU156" i="1" s="1"/>
  <c r="BP152" i="1"/>
  <c r="BD125" i="1"/>
  <c r="BF126" i="1" s="1"/>
  <c r="BH126" i="1" s="1"/>
  <c r="BS39" i="1"/>
  <c r="BT39" i="1"/>
  <c r="BI123" i="1"/>
  <c r="BI130" i="1"/>
  <c r="BX130" i="1" s="1"/>
  <c r="BI68" i="1"/>
  <c r="BS27" i="1"/>
  <c r="BU27" i="1" s="1"/>
  <c r="BU109" i="1"/>
  <c r="BH110" i="1"/>
  <c r="BI110" i="1" s="1"/>
  <c r="BG164" i="1"/>
  <c r="BS24" i="1"/>
  <c r="BI165" i="1"/>
  <c r="BU157" i="1"/>
  <c r="BG36" i="1"/>
  <c r="BI36" i="1" s="1"/>
  <c r="BD115" i="1"/>
  <c r="BP129" i="1"/>
  <c r="BD85" i="1"/>
  <c r="BI164" i="1"/>
  <c r="BX164" i="1" s="1"/>
  <c r="BS161" i="1"/>
  <c r="BU161" i="1" s="1"/>
  <c r="BX161" i="1" s="1"/>
  <c r="BS66" i="1"/>
  <c r="BU66" i="1" s="1"/>
  <c r="BG35" i="1"/>
  <c r="BT112" i="1"/>
  <c r="BU112" i="1" s="1"/>
  <c r="BX112" i="1" s="1"/>
  <c r="BP78" i="1"/>
  <c r="BU155" i="1"/>
  <c r="BI56" i="1"/>
  <c r="BI105" i="1"/>
  <c r="BU139" i="1"/>
  <c r="BG81" i="1"/>
  <c r="BS78" i="1"/>
  <c r="BU78" i="1" s="1"/>
  <c r="BU37" i="1"/>
  <c r="BH85" i="1"/>
  <c r="BI85" i="1" s="1"/>
  <c r="BP126" i="1"/>
  <c r="BR127" i="1" s="1"/>
  <c r="BT127" i="1" s="1"/>
  <c r="BH81" i="1"/>
  <c r="BH159" i="1"/>
  <c r="BD152" i="1"/>
  <c r="BH69" i="1"/>
  <c r="BI69" i="1" s="1"/>
  <c r="BI102" i="1"/>
  <c r="BH35" i="1"/>
  <c r="BU55" i="1"/>
  <c r="BU35" i="1"/>
  <c r="BG159" i="1"/>
  <c r="BI159" i="1" s="1"/>
  <c r="BP105" i="1"/>
  <c r="BU167" i="1"/>
  <c r="BT133" i="1"/>
  <c r="BU133" i="1" s="1"/>
  <c r="BH141" i="1"/>
  <c r="BI141" i="1" s="1"/>
  <c r="BP167" i="1"/>
  <c r="BP133" i="1"/>
  <c r="BD141" i="1"/>
  <c r="BI97" i="1"/>
  <c r="BI111" i="1"/>
  <c r="BI33" i="1"/>
  <c r="BX33" i="1" s="1"/>
  <c r="BU22" i="1"/>
  <c r="BX22" i="1" s="1"/>
  <c r="BT158" i="1"/>
  <c r="BU158" i="1" s="1"/>
  <c r="BS105" i="1"/>
  <c r="BU105" i="1" s="1"/>
  <c r="BD71" i="1"/>
  <c r="BU145" i="1"/>
  <c r="BS140" i="1"/>
  <c r="BU140" i="1" s="1"/>
  <c r="BH71" i="1"/>
  <c r="BI71" i="1" s="1"/>
  <c r="BP140" i="1"/>
  <c r="BR141" i="1" s="1"/>
  <c r="BP141" i="1" s="1"/>
  <c r="BR142" i="1" s="1"/>
  <c r="BH115" i="1"/>
  <c r="BI115" i="1" s="1"/>
  <c r="BU132" i="1"/>
  <c r="BI49" i="1"/>
  <c r="BP36" i="1"/>
  <c r="BH147" i="1"/>
  <c r="BD147" i="1"/>
  <c r="BD150" i="1"/>
  <c r="BI160" i="1"/>
  <c r="BP108" i="1"/>
  <c r="BU138" i="1"/>
  <c r="BP42" i="1"/>
  <c r="BR43" i="1" s="1"/>
  <c r="BS43" i="1" s="1"/>
  <c r="BG24" i="1"/>
  <c r="BH24" i="1"/>
  <c r="BI151" i="1"/>
  <c r="BI61" i="1"/>
  <c r="BI25" i="1"/>
  <c r="BT108" i="1"/>
  <c r="BI95" i="1"/>
  <c r="BT65" i="1"/>
  <c r="BU65" i="1" s="1"/>
  <c r="BS42" i="1"/>
  <c r="BU42" i="1" s="1"/>
  <c r="BX42" i="1" s="1"/>
  <c r="BG38" i="1"/>
  <c r="BP65" i="1"/>
  <c r="BI23" i="1"/>
  <c r="BX23" i="1" s="1"/>
  <c r="BD114" i="1"/>
  <c r="BI120" i="1"/>
  <c r="BH38" i="1"/>
  <c r="BD28" i="1"/>
  <c r="BF29" i="1" s="1"/>
  <c r="BH28" i="1"/>
  <c r="BG28" i="1"/>
  <c r="BS160" i="1"/>
  <c r="BH114" i="1"/>
  <c r="BI114" i="1" s="1"/>
  <c r="BP47" i="1"/>
  <c r="BR48" i="1" s="1"/>
  <c r="BS48" i="1" s="1"/>
  <c r="BI53" i="1"/>
  <c r="BS46" i="1"/>
  <c r="BU46" i="1" s="1"/>
  <c r="BP46" i="1"/>
  <c r="BG150" i="1"/>
  <c r="BI150" i="1" s="1"/>
  <c r="BT160" i="1"/>
  <c r="BI138" i="1"/>
  <c r="BU130" i="1"/>
  <c r="BT47" i="1"/>
  <c r="BU47" i="1" s="1"/>
  <c r="BG147" i="1"/>
  <c r="BP158" i="1"/>
  <c r="BR159" i="1" s="1"/>
  <c r="BT159" i="1" s="1"/>
  <c r="BI125" i="1"/>
  <c r="BH99" i="1"/>
  <c r="BI99" i="1" s="1"/>
  <c r="BP27" i="1"/>
  <c r="BT40" i="1"/>
  <c r="BU40" i="1" s="1"/>
  <c r="BG48" i="1"/>
  <c r="BI48" i="1" s="1"/>
  <c r="BD48" i="1"/>
  <c r="BD99" i="1"/>
  <c r="BG31" i="1"/>
  <c r="BH31" i="1"/>
  <c r="BP94" i="1"/>
  <c r="BU79" i="1"/>
  <c r="BG91" i="1"/>
  <c r="BI91" i="1" s="1"/>
  <c r="BT24" i="1"/>
  <c r="BU24" i="1" s="1"/>
  <c r="BS36" i="1"/>
  <c r="BU36" i="1" s="1"/>
  <c r="BH133" i="1"/>
  <c r="BD133" i="1"/>
  <c r="BG133" i="1"/>
  <c r="BU111" i="1"/>
  <c r="BI113" i="1"/>
  <c r="BD91" i="1"/>
  <c r="BI92" i="1"/>
  <c r="BS94" i="1"/>
  <c r="BU94" i="1" s="1"/>
  <c r="BU136" i="1"/>
  <c r="BX136" i="1" s="1"/>
  <c r="BI107" i="1"/>
  <c r="BX107" i="1" s="1"/>
  <c r="BU38" i="1"/>
  <c r="BI155" i="1"/>
  <c r="BU30" i="1"/>
  <c r="BS75" i="1"/>
  <c r="BP75" i="1"/>
  <c r="BR76" i="1" s="1"/>
  <c r="BT75" i="1"/>
  <c r="BD45" i="1"/>
  <c r="BF46" i="1" s="1"/>
  <c r="BH45" i="1"/>
  <c r="BG45" i="1"/>
  <c r="BT165" i="1"/>
  <c r="BP165" i="1"/>
  <c r="BR166" i="1" s="1"/>
  <c r="BS165" i="1"/>
  <c r="BS113" i="1"/>
  <c r="BP113" i="1"/>
  <c r="BR114" i="1" s="1"/>
  <c r="BT113" i="1"/>
  <c r="BD126" i="1"/>
  <c r="BG126" i="1"/>
  <c r="BH103" i="1"/>
  <c r="BD103" i="1"/>
  <c r="BG103" i="1"/>
  <c r="BI162" i="1"/>
  <c r="BX162" i="1" s="1"/>
  <c r="BG72" i="1"/>
  <c r="BH72" i="1"/>
  <c r="BD72" i="1"/>
  <c r="BG167" i="1"/>
  <c r="BH167" i="1"/>
  <c r="BD167" i="1"/>
  <c r="BG54" i="1"/>
  <c r="BH54" i="1"/>
  <c r="BD54" i="1"/>
  <c r="BF55" i="1" s="1"/>
  <c r="BU108" i="1"/>
  <c r="BI143" i="1"/>
  <c r="BU57" i="1"/>
  <c r="BX57" i="1" s="1"/>
  <c r="BS122" i="1"/>
  <c r="BT122" i="1"/>
  <c r="BP122" i="1"/>
  <c r="BR123" i="1" s="1"/>
  <c r="BP25" i="1"/>
  <c r="BT25" i="1"/>
  <c r="BS25" i="1"/>
  <c r="BH98" i="1"/>
  <c r="BG98" i="1"/>
  <c r="BD98" i="1"/>
  <c r="BI152" i="1"/>
  <c r="BI166" i="1"/>
  <c r="BS70" i="1"/>
  <c r="BT70" i="1"/>
  <c r="BP70" i="1"/>
  <c r="BR71" i="1" s="1"/>
  <c r="BU32" i="1"/>
  <c r="BS61" i="1"/>
  <c r="BT61" i="1"/>
  <c r="BP61" i="1"/>
  <c r="BR62" i="1" s="1"/>
  <c r="BU60" i="1"/>
  <c r="BJ22" i="1"/>
  <c r="BI41" i="1"/>
  <c r="BX41" i="1" s="1"/>
  <c r="BH100" i="1"/>
  <c r="BG100" i="1"/>
  <c r="BD100" i="1"/>
  <c r="BH145" i="1"/>
  <c r="BG145" i="1"/>
  <c r="BD145" i="1"/>
  <c r="BH156" i="1"/>
  <c r="BD156" i="1"/>
  <c r="BF157" i="1" s="1"/>
  <c r="BG156" i="1"/>
  <c r="BH140" i="1"/>
  <c r="BD140" i="1"/>
  <c r="BG140" i="1"/>
  <c r="BI140" i="1" s="1"/>
  <c r="BT67" i="1"/>
  <c r="BS67" i="1"/>
  <c r="BU67" i="1" s="1"/>
  <c r="BP67" i="1"/>
  <c r="BR68" i="1" s="1"/>
  <c r="BS56" i="1"/>
  <c r="BP56" i="1"/>
  <c r="BT56" i="1"/>
  <c r="BG75" i="1"/>
  <c r="BH75" i="1"/>
  <c r="BD75" i="1"/>
  <c r="BI108" i="1"/>
  <c r="BH117" i="1"/>
  <c r="BD117" i="1"/>
  <c r="BG117" i="1"/>
  <c r="BT146" i="1"/>
  <c r="BS146" i="1"/>
  <c r="BP146" i="1"/>
  <c r="BR147" i="1" s="1"/>
  <c r="BT95" i="1"/>
  <c r="BP95" i="1"/>
  <c r="BS95" i="1"/>
  <c r="BU95" i="1" s="1"/>
  <c r="BX95" i="1" s="1"/>
  <c r="BH119" i="1"/>
  <c r="BG119" i="1"/>
  <c r="BD119" i="1"/>
  <c r="BX109" i="1"/>
  <c r="BD43" i="1"/>
  <c r="BG43" i="1"/>
  <c r="BH43" i="1"/>
  <c r="BU74" i="1"/>
  <c r="BU91" i="1"/>
  <c r="BI39" i="1"/>
  <c r="BU129" i="1"/>
  <c r="BD129" i="1"/>
  <c r="BH129" i="1"/>
  <c r="BG129" i="1"/>
  <c r="BD50" i="1"/>
  <c r="BG50" i="1"/>
  <c r="BH50" i="1"/>
  <c r="BD88" i="1"/>
  <c r="BH88" i="1"/>
  <c r="BG88" i="1"/>
  <c r="BD76" i="1"/>
  <c r="BH76" i="1"/>
  <c r="BG76" i="1"/>
  <c r="BP52" i="1"/>
  <c r="BR53" i="1" s="1"/>
  <c r="BT52" i="1"/>
  <c r="BS52" i="1"/>
  <c r="BH84" i="1"/>
  <c r="BG84" i="1"/>
  <c r="BD84" i="1"/>
  <c r="BX131" i="1"/>
  <c r="BI144" i="1"/>
  <c r="BI128" i="1"/>
  <c r="BX134" i="1"/>
  <c r="BH74" i="1"/>
  <c r="BD74" i="1"/>
  <c r="BG74" i="1"/>
  <c r="BG118" i="1"/>
  <c r="BH118" i="1"/>
  <c r="BD118" i="1"/>
  <c r="BS141" i="1"/>
  <c r="BI32" i="1"/>
  <c r="BI104" i="1"/>
  <c r="BI64" i="1"/>
  <c r="BI106" i="1"/>
  <c r="BG83" i="1"/>
  <c r="BH83" i="1"/>
  <c r="BD83" i="1"/>
  <c r="BT135" i="1"/>
  <c r="BP135" i="1"/>
  <c r="BS135" i="1"/>
  <c r="BU135" i="1" s="1"/>
  <c r="BX135" i="1" s="1"/>
  <c r="BS58" i="1"/>
  <c r="BT58" i="1"/>
  <c r="BP58" i="1"/>
  <c r="BS118" i="1"/>
  <c r="BP118" i="1"/>
  <c r="BR119" i="1" s="1"/>
  <c r="BT118" i="1"/>
  <c r="BH26" i="1"/>
  <c r="BG26" i="1"/>
  <c r="BI26" i="1" s="1"/>
  <c r="BX26" i="1" s="1"/>
  <c r="BD26" i="1"/>
  <c r="BF27" i="1" s="1"/>
  <c r="BS92" i="1"/>
  <c r="BP92" i="1"/>
  <c r="BR93" i="1" s="1"/>
  <c r="BT92" i="1"/>
  <c r="BH96" i="1"/>
  <c r="BD96" i="1"/>
  <c r="BG96" i="1"/>
  <c r="BD62" i="1"/>
  <c r="BH62" i="1"/>
  <c r="BG62" i="1"/>
  <c r="BU154" i="1"/>
  <c r="BX154" i="1" s="1"/>
  <c r="BI127" i="1"/>
  <c r="BI153" i="1"/>
  <c r="BX153" i="1" s="1"/>
  <c r="BG148" i="1"/>
  <c r="BI148" i="1" s="1"/>
  <c r="BD148" i="1"/>
  <c r="BH148" i="1"/>
  <c r="BU163" i="1"/>
  <c r="BX163" i="1" s="1"/>
  <c r="BU98" i="1"/>
  <c r="BH121" i="1"/>
  <c r="BG121" i="1"/>
  <c r="BI121" i="1" s="1"/>
  <c r="BX121" i="1" s="1"/>
  <c r="BD121" i="1"/>
  <c r="BX110" i="1"/>
  <c r="BU45" i="1"/>
  <c r="BI51" i="1"/>
  <c r="BG146" i="1"/>
  <c r="BD146" i="1"/>
  <c r="BH146" i="1"/>
  <c r="BS99" i="1"/>
  <c r="BP99" i="1"/>
  <c r="BR100" i="1" s="1"/>
  <c r="BT99" i="1"/>
  <c r="BS106" i="1"/>
  <c r="BT106" i="1"/>
  <c r="BP106" i="1"/>
  <c r="BS85" i="1"/>
  <c r="BT85" i="1"/>
  <c r="BP85" i="1"/>
  <c r="BR86" i="1" s="1"/>
  <c r="BH37" i="1"/>
  <c r="BG37" i="1"/>
  <c r="BD37" i="1"/>
  <c r="BS97" i="1"/>
  <c r="BT97" i="1"/>
  <c r="BP97" i="1"/>
  <c r="BT151" i="1"/>
  <c r="BP151" i="1"/>
  <c r="BS151" i="1"/>
  <c r="BD122" i="1"/>
  <c r="BG122" i="1"/>
  <c r="BH122" i="1"/>
  <c r="BS83" i="1"/>
  <c r="BT83" i="1"/>
  <c r="BP83" i="1"/>
  <c r="BR84" i="1" s="1"/>
  <c r="BH89" i="1"/>
  <c r="BD89" i="1"/>
  <c r="BG89" i="1"/>
  <c r="BD40" i="1"/>
  <c r="BH40" i="1"/>
  <c r="BG40" i="1"/>
  <c r="BD70" i="1"/>
  <c r="BH70" i="1"/>
  <c r="BG70" i="1"/>
  <c r="BI70" i="1" s="1"/>
  <c r="BH93" i="1"/>
  <c r="BD93" i="1"/>
  <c r="BF94" i="1" s="1"/>
  <c r="BG93" i="1"/>
  <c r="BI93" i="1" s="1"/>
  <c r="BI139" i="1"/>
  <c r="BP81" i="1"/>
  <c r="BR82" i="1" s="1"/>
  <c r="BT81" i="1"/>
  <c r="BS81" i="1"/>
  <c r="BG79" i="1"/>
  <c r="BH79" i="1"/>
  <c r="BD79" i="1"/>
  <c r="BF80" i="1" s="1"/>
  <c r="BG58" i="1"/>
  <c r="BH58" i="1"/>
  <c r="BD58" i="1"/>
  <c r="BF59" i="1" s="1"/>
  <c r="BU152" i="1"/>
  <c r="BX137" i="1"/>
  <c r="BP59" i="1"/>
  <c r="BT59" i="1"/>
  <c r="BS59" i="1"/>
  <c r="BD63" i="1"/>
  <c r="BG63" i="1"/>
  <c r="BH63" i="1"/>
  <c r="BH78" i="1"/>
  <c r="BD78" i="1"/>
  <c r="BG78" i="1"/>
  <c r="BI78" i="1" s="1"/>
  <c r="BU80" i="1"/>
  <c r="BU128" i="1"/>
  <c r="BG65" i="1"/>
  <c r="BD65" i="1"/>
  <c r="BF66" i="1" s="1"/>
  <c r="BH65" i="1"/>
  <c r="BH67" i="1"/>
  <c r="BD67" i="1"/>
  <c r="BG67" i="1"/>
  <c r="BI67" i="1" s="1"/>
  <c r="BI132" i="1"/>
  <c r="BI149" i="1"/>
  <c r="BT28" i="1"/>
  <c r="BS28" i="1"/>
  <c r="BP28" i="1"/>
  <c r="BU34" i="1"/>
  <c r="BU31" i="1"/>
  <c r="BI34" i="1"/>
  <c r="BX132" i="1" l="1"/>
  <c r="BU141" i="1"/>
  <c r="BP159" i="1"/>
  <c r="BT141" i="1"/>
  <c r="BI81" i="1"/>
  <c r="BX91" i="1"/>
  <c r="BX138" i="1"/>
  <c r="BS127" i="1"/>
  <c r="BI35" i="1"/>
  <c r="BX111" i="1"/>
  <c r="BI89" i="1"/>
  <c r="BI133" i="1"/>
  <c r="BX133" i="1" s="1"/>
  <c r="BI72" i="1"/>
  <c r="BV22" i="1"/>
  <c r="BV23" i="1" s="1"/>
  <c r="BV24" i="1" s="1"/>
  <c r="BI103" i="1"/>
  <c r="BX35" i="1"/>
  <c r="BU39" i="1"/>
  <c r="BX39" i="1" s="1"/>
  <c r="BI37" i="1"/>
  <c r="BX37" i="1" s="1"/>
  <c r="BI38" i="1"/>
  <c r="BX38" i="1" s="1"/>
  <c r="BI96" i="1"/>
  <c r="BX96" i="1" s="1"/>
  <c r="BX155" i="1"/>
  <c r="BX140" i="1"/>
  <c r="BX141" i="1"/>
  <c r="BX34" i="1"/>
  <c r="BI117" i="1"/>
  <c r="BX117" i="1" s="1"/>
  <c r="BI74" i="1"/>
  <c r="BX74" i="1" s="1"/>
  <c r="BI126" i="1"/>
  <c r="BX126" i="1" s="1"/>
  <c r="BX139" i="1"/>
  <c r="BT43" i="1"/>
  <c r="BU43" i="1" s="1"/>
  <c r="BP43" i="1"/>
  <c r="BR44" i="1" s="1"/>
  <c r="BI54" i="1"/>
  <c r="BS159" i="1"/>
  <c r="BU159" i="1" s="1"/>
  <c r="BX159" i="1" s="1"/>
  <c r="BI156" i="1"/>
  <c r="BX156" i="1" s="1"/>
  <c r="BP127" i="1"/>
  <c r="BI147" i="1"/>
  <c r="BU25" i="1"/>
  <c r="BX25" i="1" s="1"/>
  <c r="BI28" i="1"/>
  <c r="BX78" i="1"/>
  <c r="BI58" i="1"/>
  <c r="BI62" i="1"/>
  <c r="BI84" i="1"/>
  <c r="BI129" i="1"/>
  <c r="BX129" i="1" s="1"/>
  <c r="BI145" i="1"/>
  <c r="BX145" i="1" s="1"/>
  <c r="BX105" i="1"/>
  <c r="BI88" i="1"/>
  <c r="BU146" i="1"/>
  <c r="BI45" i="1"/>
  <c r="BX45" i="1" s="1"/>
  <c r="BI24" i="1"/>
  <c r="BX24" i="1" s="1"/>
  <c r="BJ23" i="1"/>
  <c r="BJ24" i="1" s="1"/>
  <c r="BJ25" i="1" s="1"/>
  <c r="BJ26" i="1" s="1"/>
  <c r="BX108" i="1"/>
  <c r="BU75" i="1"/>
  <c r="BU58" i="1"/>
  <c r="BX36" i="1"/>
  <c r="BI43" i="1"/>
  <c r="BU59" i="1"/>
  <c r="BT48" i="1"/>
  <c r="BU48" i="1" s="1"/>
  <c r="BX48" i="1" s="1"/>
  <c r="BI75" i="1"/>
  <c r="BP48" i="1"/>
  <c r="BR49" i="1" s="1"/>
  <c r="BT49" i="1" s="1"/>
  <c r="BU160" i="1"/>
  <c r="BX160" i="1" s="1"/>
  <c r="BU85" i="1"/>
  <c r="BX85" i="1" s="1"/>
  <c r="BU106" i="1"/>
  <c r="BX106" i="1" s="1"/>
  <c r="BU83" i="1"/>
  <c r="BU61" i="1"/>
  <c r="BX61" i="1" s="1"/>
  <c r="BX67" i="1"/>
  <c r="BI65" i="1"/>
  <c r="BX65" i="1" s="1"/>
  <c r="BU56" i="1"/>
  <c r="BX56" i="1" s="1"/>
  <c r="BU165" i="1"/>
  <c r="BX165" i="1" s="1"/>
  <c r="BI146" i="1"/>
  <c r="BI31" i="1"/>
  <c r="BX31" i="1" s="1"/>
  <c r="BD29" i="1"/>
  <c r="BF30" i="1" s="1"/>
  <c r="BH29" i="1"/>
  <c r="BG29" i="1"/>
  <c r="BI29" i="1" s="1"/>
  <c r="BX29" i="1" s="1"/>
  <c r="BD80" i="1"/>
  <c r="BH80" i="1"/>
  <c r="BG80" i="1"/>
  <c r="BI80" i="1" s="1"/>
  <c r="BX80" i="1" s="1"/>
  <c r="BU118" i="1"/>
  <c r="BS68" i="1"/>
  <c r="BP68" i="1"/>
  <c r="BR69" i="1" s="1"/>
  <c r="BT68" i="1"/>
  <c r="BU127" i="1"/>
  <c r="BX127" i="1" s="1"/>
  <c r="BP147" i="1"/>
  <c r="BR148" i="1" s="1"/>
  <c r="BS147" i="1"/>
  <c r="BT147" i="1"/>
  <c r="BI122" i="1"/>
  <c r="BI79" i="1"/>
  <c r="BX79" i="1" s="1"/>
  <c r="BU99" i="1"/>
  <c r="BX99" i="1" s="1"/>
  <c r="BT44" i="1"/>
  <c r="BS44" i="1"/>
  <c r="BU44" i="1" s="1"/>
  <c r="BX44" i="1" s="1"/>
  <c r="BP44" i="1"/>
  <c r="BT62" i="1"/>
  <c r="BS62" i="1"/>
  <c r="BP62" i="1"/>
  <c r="BR63" i="1" s="1"/>
  <c r="BH46" i="1"/>
  <c r="BG46" i="1"/>
  <c r="BD46" i="1"/>
  <c r="BF47" i="1" s="1"/>
  <c r="BX32" i="1"/>
  <c r="BT142" i="1"/>
  <c r="BP142" i="1"/>
  <c r="BR143" i="1" s="1"/>
  <c r="BS142" i="1"/>
  <c r="BI63" i="1"/>
  <c r="BU81" i="1"/>
  <c r="BX81" i="1" s="1"/>
  <c r="BI40" i="1"/>
  <c r="BX40" i="1" s="1"/>
  <c r="BU151" i="1"/>
  <c r="BX151" i="1" s="1"/>
  <c r="BI50" i="1"/>
  <c r="BG55" i="1"/>
  <c r="BH55" i="1"/>
  <c r="BD55" i="1"/>
  <c r="BP119" i="1"/>
  <c r="BR120" i="1" s="1"/>
  <c r="BS119" i="1"/>
  <c r="BT119" i="1"/>
  <c r="BT100" i="1"/>
  <c r="BP100" i="1"/>
  <c r="BR101" i="1" s="1"/>
  <c r="BS100" i="1"/>
  <c r="BH66" i="1"/>
  <c r="BG66" i="1"/>
  <c r="BI66" i="1" s="1"/>
  <c r="BX66" i="1" s="1"/>
  <c r="BD66" i="1"/>
  <c r="BU52" i="1"/>
  <c r="BX52" i="1" s="1"/>
  <c r="BI100" i="1"/>
  <c r="BS76" i="1"/>
  <c r="BP76" i="1"/>
  <c r="BR77" i="1" s="1"/>
  <c r="BT76" i="1"/>
  <c r="BT86" i="1"/>
  <c r="BP86" i="1"/>
  <c r="BR87" i="1" s="1"/>
  <c r="BS86" i="1"/>
  <c r="BI118" i="1"/>
  <c r="BT53" i="1"/>
  <c r="BS53" i="1"/>
  <c r="BP53" i="1"/>
  <c r="BR54" i="1" s="1"/>
  <c r="BT71" i="1"/>
  <c r="BP71" i="1"/>
  <c r="BR72" i="1" s="1"/>
  <c r="BS71" i="1"/>
  <c r="BU71" i="1" s="1"/>
  <c r="BX71" i="1" s="1"/>
  <c r="BS93" i="1"/>
  <c r="BP93" i="1"/>
  <c r="BT93" i="1"/>
  <c r="BU92" i="1"/>
  <c r="BX92" i="1" s="1"/>
  <c r="BI119" i="1"/>
  <c r="BG157" i="1"/>
  <c r="BD157" i="1"/>
  <c r="BF158" i="1" s="1"/>
  <c r="BH157" i="1"/>
  <c r="BY22" i="1"/>
  <c r="BY23" i="1" s="1"/>
  <c r="BU70" i="1"/>
  <c r="BX70" i="1" s="1"/>
  <c r="BT123" i="1"/>
  <c r="BS123" i="1"/>
  <c r="BP123" i="1"/>
  <c r="BR124" i="1" s="1"/>
  <c r="BI167" i="1"/>
  <c r="BX167" i="1" s="1"/>
  <c r="BT114" i="1"/>
  <c r="BS114" i="1"/>
  <c r="BP114" i="1"/>
  <c r="BR115" i="1" s="1"/>
  <c r="BU113" i="1"/>
  <c r="BX113" i="1" s="1"/>
  <c r="BU28" i="1"/>
  <c r="BD94" i="1"/>
  <c r="BH94" i="1"/>
  <c r="BG94" i="1"/>
  <c r="BI94" i="1" s="1"/>
  <c r="BX94" i="1" s="1"/>
  <c r="BU97" i="1"/>
  <c r="BX97" i="1" s="1"/>
  <c r="BH27" i="1"/>
  <c r="BD27" i="1"/>
  <c r="BG27" i="1"/>
  <c r="BI83" i="1"/>
  <c r="BI76" i="1"/>
  <c r="BX152" i="1"/>
  <c r="BU122" i="1"/>
  <c r="BS82" i="1"/>
  <c r="BP82" i="1"/>
  <c r="BT82" i="1"/>
  <c r="BT84" i="1"/>
  <c r="BS84" i="1"/>
  <c r="BP84" i="1"/>
  <c r="BG59" i="1"/>
  <c r="BH59" i="1"/>
  <c r="BD59" i="1"/>
  <c r="BF60" i="1" s="1"/>
  <c r="BX128" i="1"/>
  <c r="BP166" i="1"/>
  <c r="BS166" i="1"/>
  <c r="BT166" i="1"/>
  <c r="BI98" i="1"/>
  <c r="BX98" i="1" s="1"/>
  <c r="BX58" i="1" l="1"/>
  <c r="BU53" i="1"/>
  <c r="BX53" i="1" s="1"/>
  <c r="BU100" i="1"/>
  <c r="BX100" i="1" s="1"/>
  <c r="BU142" i="1"/>
  <c r="BX142" i="1" s="1"/>
  <c r="BU86" i="1"/>
  <c r="BX86" i="1" s="1"/>
  <c r="BU84" i="1"/>
  <c r="BP49" i="1"/>
  <c r="BR50" i="1" s="1"/>
  <c r="BX43" i="1"/>
  <c r="BU114" i="1"/>
  <c r="BX114" i="1" s="1"/>
  <c r="BV25" i="1"/>
  <c r="BV26" i="1" s="1"/>
  <c r="BV27" i="1" s="1"/>
  <c r="BU62" i="1"/>
  <c r="BX75" i="1"/>
  <c r="BX62" i="1"/>
  <c r="BX84" i="1"/>
  <c r="BX28" i="1"/>
  <c r="BS49" i="1"/>
  <c r="BU49" i="1" s="1"/>
  <c r="BX49" i="1" s="1"/>
  <c r="BX146" i="1"/>
  <c r="BI46" i="1"/>
  <c r="BX46" i="1" s="1"/>
  <c r="BY24" i="1"/>
  <c r="BY25" i="1" s="1"/>
  <c r="BY26" i="1" s="1"/>
  <c r="BI55" i="1"/>
  <c r="BX55" i="1" s="1"/>
  <c r="BX118" i="1"/>
  <c r="BD30" i="1"/>
  <c r="BH30" i="1"/>
  <c r="BG30" i="1"/>
  <c r="BI30" i="1" s="1"/>
  <c r="BX30" i="1" s="1"/>
  <c r="BX83" i="1"/>
  <c r="BI27" i="1"/>
  <c r="BJ27" i="1" s="1"/>
  <c r="BJ28" i="1" s="1"/>
  <c r="BJ29" i="1" s="1"/>
  <c r="BJ30" i="1" s="1"/>
  <c r="BJ31" i="1" s="1"/>
  <c r="BJ32" i="1" s="1"/>
  <c r="BJ33" i="1" s="1"/>
  <c r="BJ34" i="1" s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J45" i="1" s="1"/>
  <c r="BU123" i="1"/>
  <c r="BX123" i="1" s="1"/>
  <c r="BU147" i="1"/>
  <c r="BX147" i="1" s="1"/>
  <c r="BI59" i="1"/>
  <c r="BX59" i="1" s="1"/>
  <c r="BX27" i="1"/>
  <c r="BS143" i="1"/>
  <c r="BT143" i="1"/>
  <c r="BP143" i="1"/>
  <c r="BR144" i="1" s="1"/>
  <c r="BU93" i="1"/>
  <c r="BX93" i="1" s="1"/>
  <c r="BU119" i="1"/>
  <c r="BX119" i="1" s="1"/>
  <c r="BS63" i="1"/>
  <c r="BP63" i="1"/>
  <c r="BR64" i="1" s="1"/>
  <c r="BT63" i="1"/>
  <c r="BT69" i="1"/>
  <c r="BP69" i="1"/>
  <c r="BS69" i="1"/>
  <c r="BU69" i="1" s="1"/>
  <c r="BX69" i="1" s="1"/>
  <c r="BV28" i="1"/>
  <c r="BV29" i="1" s="1"/>
  <c r="BV30" i="1" s="1"/>
  <c r="BV31" i="1" s="1"/>
  <c r="BV32" i="1" s="1"/>
  <c r="BV33" i="1" s="1"/>
  <c r="BV34" i="1" s="1"/>
  <c r="BV35" i="1" s="1"/>
  <c r="BV36" i="1" s="1"/>
  <c r="BV37" i="1" s="1"/>
  <c r="BV38" i="1" s="1"/>
  <c r="BV39" i="1" s="1"/>
  <c r="BV40" i="1" s="1"/>
  <c r="BV41" i="1" s="1"/>
  <c r="BV42" i="1" s="1"/>
  <c r="BV43" i="1" s="1"/>
  <c r="BV44" i="1" s="1"/>
  <c r="BV45" i="1" s="1"/>
  <c r="BV46" i="1" s="1"/>
  <c r="BV47" i="1" s="1"/>
  <c r="BV48" i="1" s="1"/>
  <c r="BP50" i="1"/>
  <c r="BR51" i="1" s="1"/>
  <c r="BT50" i="1"/>
  <c r="BS50" i="1"/>
  <c r="BT148" i="1"/>
  <c r="BS148" i="1"/>
  <c r="BP148" i="1"/>
  <c r="BR149" i="1" s="1"/>
  <c r="BP124" i="1"/>
  <c r="BR125" i="1" s="1"/>
  <c r="BT124" i="1"/>
  <c r="BS124" i="1"/>
  <c r="BU124" i="1" s="1"/>
  <c r="BX124" i="1" s="1"/>
  <c r="BU166" i="1"/>
  <c r="BX166" i="1" s="1"/>
  <c r="BS101" i="1"/>
  <c r="BT101" i="1"/>
  <c r="BP101" i="1"/>
  <c r="BR102" i="1" s="1"/>
  <c r="BS87" i="1"/>
  <c r="BP87" i="1"/>
  <c r="BR88" i="1" s="1"/>
  <c r="BT87" i="1"/>
  <c r="BU68" i="1"/>
  <c r="BX68" i="1" s="1"/>
  <c r="BS77" i="1"/>
  <c r="BP77" i="1"/>
  <c r="BT77" i="1"/>
  <c r="BS120" i="1"/>
  <c r="BT120" i="1"/>
  <c r="BP120" i="1"/>
  <c r="BU82" i="1"/>
  <c r="BX82" i="1" s="1"/>
  <c r="BG158" i="1"/>
  <c r="BD158" i="1"/>
  <c r="BH158" i="1"/>
  <c r="BS72" i="1"/>
  <c r="BP72" i="1"/>
  <c r="BR73" i="1" s="1"/>
  <c r="BT72" i="1"/>
  <c r="BU76" i="1"/>
  <c r="BX76" i="1" s="1"/>
  <c r="BI157" i="1"/>
  <c r="BX157" i="1" s="1"/>
  <c r="BX122" i="1"/>
  <c r="BH60" i="1"/>
  <c r="BD60" i="1"/>
  <c r="BG60" i="1"/>
  <c r="BI60" i="1" s="1"/>
  <c r="BX60" i="1" s="1"/>
  <c r="BS115" i="1"/>
  <c r="BT115" i="1"/>
  <c r="BP115" i="1"/>
  <c r="BR116" i="1" s="1"/>
  <c r="BT54" i="1"/>
  <c r="BP54" i="1"/>
  <c r="BS54" i="1"/>
  <c r="BH47" i="1"/>
  <c r="BG47" i="1"/>
  <c r="BD47" i="1"/>
  <c r="BY27" i="1" l="1"/>
  <c r="BY28" i="1" s="1"/>
  <c r="BY29" i="1" s="1"/>
  <c r="BY30" i="1" s="1"/>
  <c r="BY31" i="1" s="1"/>
  <c r="BY32" i="1" s="1"/>
  <c r="BY33" i="1" s="1"/>
  <c r="BY34" i="1" s="1"/>
  <c r="BY35" i="1" s="1"/>
  <c r="BY36" i="1" s="1"/>
  <c r="BY37" i="1" s="1"/>
  <c r="BY38" i="1" s="1"/>
  <c r="BY39" i="1" s="1"/>
  <c r="BY40" i="1" s="1"/>
  <c r="BY41" i="1" s="1"/>
  <c r="BY42" i="1" s="1"/>
  <c r="BY43" i="1" s="1"/>
  <c r="BY44" i="1" s="1"/>
  <c r="BY45" i="1" s="1"/>
  <c r="BY46" i="1" s="1"/>
  <c r="BU54" i="1"/>
  <c r="BX54" i="1" s="1"/>
  <c r="BV49" i="1"/>
  <c r="BJ46" i="1"/>
  <c r="BU148" i="1"/>
  <c r="BX148" i="1" s="1"/>
  <c r="BU143" i="1"/>
  <c r="BX143" i="1" s="1"/>
  <c r="BU63" i="1"/>
  <c r="BX63" i="1" s="1"/>
  <c r="BI47" i="1"/>
  <c r="BJ47" i="1" s="1"/>
  <c r="BJ48" i="1" s="1"/>
  <c r="BJ49" i="1" s="1"/>
  <c r="BJ50" i="1" s="1"/>
  <c r="BJ51" i="1" s="1"/>
  <c r="BJ52" i="1" s="1"/>
  <c r="BJ53" i="1" s="1"/>
  <c r="BJ54" i="1" s="1"/>
  <c r="BJ55" i="1" s="1"/>
  <c r="BJ56" i="1" s="1"/>
  <c r="BJ57" i="1" s="1"/>
  <c r="BJ58" i="1" s="1"/>
  <c r="BJ59" i="1" s="1"/>
  <c r="BJ60" i="1" s="1"/>
  <c r="BJ61" i="1" s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J72" i="1" s="1"/>
  <c r="BJ73" i="1" s="1"/>
  <c r="BJ74" i="1" s="1"/>
  <c r="BJ75" i="1" s="1"/>
  <c r="BJ76" i="1" s="1"/>
  <c r="BJ77" i="1" s="1"/>
  <c r="BJ78" i="1" s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S125" i="1"/>
  <c r="BT125" i="1"/>
  <c r="BP125" i="1"/>
  <c r="BT149" i="1"/>
  <c r="BP149" i="1"/>
  <c r="BR150" i="1" s="1"/>
  <c r="BS149" i="1"/>
  <c r="BU149" i="1" s="1"/>
  <c r="BX149" i="1" s="1"/>
  <c r="BU77" i="1"/>
  <c r="BX77" i="1" s="1"/>
  <c r="BT144" i="1"/>
  <c r="BP144" i="1"/>
  <c r="BS144" i="1"/>
  <c r="BT73" i="1"/>
  <c r="BS73" i="1"/>
  <c r="BP73" i="1"/>
  <c r="BS88" i="1"/>
  <c r="BP88" i="1"/>
  <c r="BR89" i="1" s="1"/>
  <c r="BT88" i="1"/>
  <c r="BU50" i="1"/>
  <c r="BU72" i="1"/>
  <c r="BX72" i="1" s="1"/>
  <c r="BU87" i="1"/>
  <c r="BX87" i="1" s="1"/>
  <c r="BS51" i="1"/>
  <c r="BT51" i="1"/>
  <c r="BP51" i="1"/>
  <c r="BT116" i="1"/>
  <c r="BP116" i="1"/>
  <c r="BS116" i="1"/>
  <c r="BT102" i="1"/>
  <c r="BP102" i="1"/>
  <c r="BR103" i="1" s="1"/>
  <c r="BS102" i="1"/>
  <c r="BU102" i="1" s="1"/>
  <c r="BX102" i="1" s="1"/>
  <c r="BI158" i="1"/>
  <c r="BX158" i="1" s="1"/>
  <c r="BU115" i="1"/>
  <c r="BX115" i="1" s="1"/>
  <c r="BU101" i="1"/>
  <c r="BX101" i="1" s="1"/>
  <c r="BU120" i="1"/>
  <c r="BX120" i="1" s="1"/>
  <c r="BT64" i="1"/>
  <c r="BS64" i="1"/>
  <c r="BP64" i="1"/>
  <c r="BV50" i="1" l="1"/>
  <c r="BU144" i="1"/>
  <c r="BX144" i="1" s="1"/>
  <c r="BJ9" i="1"/>
  <c r="BX47" i="1"/>
  <c r="BY47" i="1" s="1"/>
  <c r="BY48" i="1" s="1"/>
  <c r="BY49" i="1" s="1"/>
  <c r="BJ10" i="1"/>
  <c r="BU73" i="1"/>
  <c r="BX73" i="1" s="1"/>
  <c r="BU64" i="1"/>
  <c r="BX64" i="1" s="1"/>
  <c r="BU51" i="1"/>
  <c r="BX51" i="1" s="1"/>
  <c r="BS150" i="1"/>
  <c r="BT150" i="1"/>
  <c r="BP150" i="1"/>
  <c r="BV51" i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X50" i="1"/>
  <c r="BS103" i="1"/>
  <c r="BT103" i="1"/>
  <c r="BP103" i="1"/>
  <c r="BR104" i="1" s="1"/>
  <c r="BT89" i="1"/>
  <c r="BS89" i="1"/>
  <c r="BP89" i="1"/>
  <c r="BR90" i="1" s="1"/>
  <c r="BU125" i="1"/>
  <c r="BX125" i="1" s="1"/>
  <c r="BU116" i="1"/>
  <c r="BX116" i="1" s="1"/>
  <c r="BU88" i="1"/>
  <c r="BX88" i="1" s="1"/>
  <c r="BJ158" i="1"/>
  <c r="BJ159" i="1" s="1"/>
  <c r="BJ160" i="1" s="1"/>
  <c r="BJ161" i="1" s="1"/>
  <c r="BJ162" i="1" s="1"/>
  <c r="BJ163" i="1" s="1"/>
  <c r="BJ164" i="1" s="1"/>
  <c r="BJ165" i="1" s="1"/>
  <c r="BJ166" i="1" s="1"/>
  <c r="BJ167" i="1" s="1"/>
  <c r="BJ1" i="1" s="1"/>
  <c r="BJ11" i="1" l="1"/>
  <c r="BS104" i="1"/>
  <c r="BT104" i="1"/>
  <c r="BP104" i="1"/>
  <c r="BU103" i="1"/>
  <c r="BX103" i="1" s="1"/>
  <c r="BU150" i="1"/>
  <c r="BS90" i="1"/>
  <c r="BP90" i="1"/>
  <c r="BT90" i="1"/>
  <c r="BU89" i="1"/>
  <c r="BY50" i="1"/>
  <c r="BY51" i="1" s="1"/>
  <c r="BY52" i="1" s="1"/>
  <c r="BY53" i="1" s="1"/>
  <c r="BY54" i="1" s="1"/>
  <c r="BY55" i="1" s="1"/>
  <c r="BY56" i="1" s="1"/>
  <c r="BY57" i="1" s="1"/>
  <c r="BY58" i="1" s="1"/>
  <c r="BY59" i="1" s="1"/>
  <c r="BY60" i="1" s="1"/>
  <c r="BY61" i="1" s="1"/>
  <c r="BY62" i="1" s="1"/>
  <c r="BY63" i="1" s="1"/>
  <c r="BY64" i="1" s="1"/>
  <c r="BY65" i="1" s="1"/>
  <c r="BY66" i="1" s="1"/>
  <c r="BY67" i="1" s="1"/>
  <c r="BY68" i="1" s="1"/>
  <c r="BY69" i="1" s="1"/>
  <c r="BY70" i="1" s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X89" i="1" l="1"/>
  <c r="BU90" i="1"/>
  <c r="BX90" i="1" s="1"/>
  <c r="BX150" i="1"/>
  <c r="BV89" i="1"/>
  <c r="BU104" i="1"/>
  <c r="BX104" i="1" s="1"/>
  <c r="BV90" i="1" l="1"/>
  <c r="BV91" i="1" s="1"/>
  <c r="BV92" i="1" s="1"/>
  <c r="BV93" i="1" s="1"/>
  <c r="BV94" i="1" s="1"/>
  <c r="BV95" i="1" s="1"/>
  <c r="BV96" i="1" s="1"/>
  <c r="BV97" i="1" s="1"/>
  <c r="BV98" i="1" s="1"/>
  <c r="BV99" i="1" s="1"/>
  <c r="BV100" i="1" s="1"/>
  <c r="BV101" i="1" s="1"/>
  <c r="BV102" i="1" s="1"/>
  <c r="BV103" i="1" s="1"/>
  <c r="BV104" i="1" s="1"/>
  <c r="BV105" i="1" s="1"/>
  <c r="BV106" i="1" s="1"/>
  <c r="BV107" i="1" s="1"/>
  <c r="BV108" i="1" s="1"/>
  <c r="BV109" i="1" s="1"/>
  <c r="BV110" i="1" s="1"/>
  <c r="BV111" i="1" s="1"/>
  <c r="BV112" i="1" s="1"/>
  <c r="BV113" i="1" s="1"/>
  <c r="BV114" i="1" s="1"/>
  <c r="BV115" i="1" s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" i="1" s="1"/>
  <c r="BV10" i="1"/>
  <c r="BV9" i="1"/>
  <c r="BY9" i="1"/>
  <c r="BY10" i="1"/>
  <c r="BY89" i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Y102" i="1" s="1"/>
  <c r="BY103" i="1" s="1"/>
  <c r="BY104" i="1" s="1"/>
  <c r="BY105" i="1" s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Y122" i="1" s="1"/>
  <c r="BY123" i="1" s="1"/>
  <c r="BY124" i="1" s="1"/>
  <c r="BY125" i="1" s="1"/>
  <c r="BY126" i="1" s="1"/>
  <c r="BY127" i="1" s="1"/>
  <c r="BY128" i="1" s="1"/>
  <c r="BY129" i="1" s="1"/>
  <c r="BY130" i="1" s="1"/>
  <c r="BY131" i="1" s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BY156" i="1" s="1"/>
  <c r="BY157" i="1" s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" i="1" s="1"/>
  <c r="BV11" i="1" l="1"/>
  <c r="BY11" i="1"/>
</calcChain>
</file>

<file path=xl/sharedStrings.xml><?xml version="1.0" encoding="utf-8"?>
<sst xmlns="http://schemas.openxmlformats.org/spreadsheetml/2006/main" count="53" uniqueCount="42">
  <si>
    <t>date</t>
  </si>
  <si>
    <t>log diff XLU* x 20 dma / IDU*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</si>
  <si>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</si>
  <si>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</si>
  <si>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</si>
  <si>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</si>
  <si>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</si>
  <si>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</si>
  <si>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</si>
  <si>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</si>
  <si>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</si>
  <si>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FENY</t>
  </si>
  <si>
    <t>VDE</t>
  </si>
  <si>
    <t>FENY log rtn</t>
  </si>
  <si>
    <t>VDE log rtn</t>
  </si>
  <si>
    <t>FENY div</t>
  </si>
  <si>
    <t>FENY div cumsum</t>
  </si>
  <si>
    <t>VDE div</t>
  </si>
  <si>
    <t>VDE div cumsum</t>
  </si>
  <si>
    <t>FENY div adjustment</t>
  </si>
  <si>
    <t>VDE div adjustment</t>
  </si>
  <si>
    <t>FENY*</t>
  </si>
  <si>
    <t>VDE*</t>
  </si>
  <si>
    <t>VDE/FENY</t>
  </si>
  <si>
    <t>VDE/FENY avg</t>
  </si>
  <si>
    <t>VDE/FENY 10 dma</t>
  </si>
  <si>
    <t>VDE/FENY 20 dma</t>
  </si>
  <si>
    <t>FENY x avg</t>
  </si>
  <si>
    <t>FENY x 10 dma</t>
  </si>
  <si>
    <t>FENY x 20 dma</t>
  </si>
  <si>
    <t>log diff FENY x avg / VDE</t>
  </si>
  <si>
    <t>log diff FENY x 10 dma / VDE</t>
  </si>
  <si>
    <t>log diff FENY x 20 dma / VDE</t>
  </si>
  <si>
    <t>VDE*/FENY*</t>
  </si>
  <si>
    <t>VDE*/FENY* avg</t>
  </si>
  <si>
    <t>VDE*/FENY* 10 dma</t>
  </si>
  <si>
    <t>VDE*/FENY* 20 dma</t>
  </si>
  <si>
    <t>FENY* x avg</t>
  </si>
  <si>
    <t>FENY* x 10 dma</t>
  </si>
  <si>
    <t>FENY* x 20 dma</t>
  </si>
  <si>
    <t>log diff FENY* x avg / VDE*</t>
  </si>
  <si>
    <t>log diff FENY* x 10 dma / VDE*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</si>
</sst>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VDE/FENY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5.0856511037897496</c:v>
                </c:pt>
                <c:pt idx="1">
                  <c:v>5.0856511037897496</c:v>
                </c:pt>
                <c:pt idx="2">
                  <c:v>5.0856511037897496</c:v>
                </c:pt>
                <c:pt idx="3">
                  <c:v>5.0856511037897496</c:v>
                </c:pt>
                <c:pt idx="4">
                  <c:v>5.0856511037897496</c:v>
                </c:pt>
                <c:pt idx="5">
                  <c:v>5.0856511037897496</c:v>
                </c:pt>
                <c:pt idx="6">
                  <c:v>5.0856511037897496</c:v>
                </c:pt>
                <c:pt idx="7">
                  <c:v>5.0856511037897496</c:v>
                </c:pt>
                <c:pt idx="8">
                  <c:v>5.0856511037897496</c:v>
                </c:pt>
                <c:pt idx="9">
                  <c:v>5.0856511037897496</c:v>
                </c:pt>
                <c:pt idx="10">
                  <c:v>5.0856511037897496</c:v>
                </c:pt>
                <c:pt idx="11">
                  <c:v>5.0856511037897496</c:v>
                </c:pt>
                <c:pt idx="12">
                  <c:v>5.0856511037897496</c:v>
                </c:pt>
                <c:pt idx="13">
                  <c:v>5.0856511037897496</c:v>
                </c:pt>
                <c:pt idx="14">
                  <c:v>5.0856511037897496</c:v>
                </c:pt>
                <c:pt idx="15">
                  <c:v>5.0856511037897496</c:v>
                </c:pt>
                <c:pt idx="16">
                  <c:v>5.0856511037897496</c:v>
                </c:pt>
                <c:pt idx="17">
                  <c:v>5.0856511037897496</c:v>
                </c:pt>
                <c:pt idx="18">
                  <c:v>5.0856511037897496</c:v>
                </c:pt>
                <c:pt idx="19">
                  <c:v>5.0856511037897496</c:v>
                </c:pt>
                <c:pt idx="20">
                  <c:v>5.0856511037897496</c:v>
                </c:pt>
                <c:pt idx="21">
                  <c:v>5.0856511037897496</c:v>
                </c:pt>
                <c:pt idx="22">
                  <c:v>5.0856511037897496</c:v>
                </c:pt>
                <c:pt idx="23">
                  <c:v>5.0856511037897496</c:v>
                </c:pt>
                <c:pt idx="24">
                  <c:v>5.0856511037897496</c:v>
                </c:pt>
                <c:pt idx="25">
                  <c:v>5.0856511037897496</c:v>
                </c:pt>
                <c:pt idx="26">
                  <c:v>5.0856511037897496</c:v>
                </c:pt>
                <c:pt idx="27">
                  <c:v>5.0856511037897496</c:v>
                </c:pt>
                <c:pt idx="28">
                  <c:v>5.0856511037897496</c:v>
                </c:pt>
                <c:pt idx="29">
                  <c:v>5.0856511037897496</c:v>
                </c:pt>
                <c:pt idx="30">
                  <c:v>5.0856511037897496</c:v>
                </c:pt>
                <c:pt idx="31">
                  <c:v>5.0856511037897496</c:v>
                </c:pt>
                <c:pt idx="32">
                  <c:v>5.0856511037897496</c:v>
                </c:pt>
                <c:pt idx="33">
                  <c:v>5.0856511037897496</c:v>
                </c:pt>
                <c:pt idx="34">
                  <c:v>5.0856511037897496</c:v>
                </c:pt>
                <c:pt idx="35">
                  <c:v>5.0856511037897496</c:v>
                </c:pt>
                <c:pt idx="36">
                  <c:v>5.0856511037897496</c:v>
                </c:pt>
                <c:pt idx="37">
                  <c:v>5.0856511037897496</c:v>
                </c:pt>
                <c:pt idx="38">
                  <c:v>5.0856511037897496</c:v>
                </c:pt>
                <c:pt idx="39">
                  <c:v>5.0856511037897496</c:v>
                </c:pt>
                <c:pt idx="40">
                  <c:v>5.0856511037897496</c:v>
                </c:pt>
                <c:pt idx="41">
                  <c:v>5.0856511037897496</c:v>
                </c:pt>
                <c:pt idx="42">
                  <c:v>5.0856511037897496</c:v>
                </c:pt>
                <c:pt idx="43">
                  <c:v>5.0856511037897496</c:v>
                </c:pt>
                <c:pt idx="44">
                  <c:v>5.0856511037897496</c:v>
                </c:pt>
                <c:pt idx="45">
                  <c:v>5.0856511037897496</c:v>
                </c:pt>
                <c:pt idx="46">
                  <c:v>5.0856511037897496</c:v>
                </c:pt>
                <c:pt idx="47">
                  <c:v>5.0856511037897496</c:v>
                </c:pt>
                <c:pt idx="48">
                  <c:v>5.0856511037897496</c:v>
                </c:pt>
                <c:pt idx="49">
                  <c:v>5.0856511037897496</c:v>
                </c:pt>
                <c:pt idx="50">
                  <c:v>5.0856511037897496</c:v>
                </c:pt>
                <c:pt idx="51">
                  <c:v>5.0856511037897496</c:v>
                </c:pt>
                <c:pt idx="52">
                  <c:v>5.0856511037897496</c:v>
                </c:pt>
                <c:pt idx="53">
                  <c:v>5.0856511037897496</c:v>
                </c:pt>
                <c:pt idx="54">
                  <c:v>5.0856511037897496</c:v>
                </c:pt>
                <c:pt idx="55">
                  <c:v>5.0856511037897496</c:v>
                </c:pt>
                <c:pt idx="56">
                  <c:v>5.0856511037897496</c:v>
                </c:pt>
                <c:pt idx="57">
                  <c:v>5.0856511037897496</c:v>
                </c:pt>
                <c:pt idx="58">
                  <c:v>5.0856511037897496</c:v>
                </c:pt>
                <c:pt idx="59">
                  <c:v>5.0856511037897496</c:v>
                </c:pt>
                <c:pt idx="60">
                  <c:v>5.0856511037897496</c:v>
                </c:pt>
                <c:pt idx="61">
                  <c:v>5.0856511037897496</c:v>
                </c:pt>
                <c:pt idx="62">
                  <c:v>5.0856511037897496</c:v>
                </c:pt>
                <c:pt idx="63">
                  <c:v>5.0856511037897496</c:v>
                </c:pt>
                <c:pt idx="64">
                  <c:v>5.0856511037897496</c:v>
                </c:pt>
                <c:pt idx="65">
                  <c:v>5.0856511037897496</c:v>
                </c:pt>
                <c:pt idx="66">
                  <c:v>5.0856511037897496</c:v>
                </c:pt>
                <c:pt idx="67">
                  <c:v>5.0856511037897496</c:v>
                </c:pt>
                <c:pt idx="68">
                  <c:v>5.0856511037897496</c:v>
                </c:pt>
                <c:pt idx="69">
                  <c:v>5.0856511037897496</c:v>
                </c:pt>
                <c:pt idx="70">
                  <c:v>5.0856511037897496</c:v>
                </c:pt>
                <c:pt idx="71">
                  <c:v>5.0856511037897496</c:v>
                </c:pt>
                <c:pt idx="72">
                  <c:v>5.0856511037897496</c:v>
                </c:pt>
                <c:pt idx="73">
                  <c:v>5.0856511037897496</c:v>
                </c:pt>
                <c:pt idx="74">
                  <c:v>5.0856511037897496</c:v>
                </c:pt>
                <c:pt idx="75">
                  <c:v>5.0856511037897496</c:v>
                </c:pt>
                <c:pt idx="76">
                  <c:v>5.0856511037897496</c:v>
                </c:pt>
                <c:pt idx="77">
                  <c:v>5.0856511037897496</c:v>
                </c:pt>
                <c:pt idx="78">
                  <c:v>5.0856511037897496</c:v>
                </c:pt>
                <c:pt idx="79">
                  <c:v>5.0856511037897496</c:v>
                </c:pt>
                <c:pt idx="80">
                  <c:v>5.0856511037897496</c:v>
                </c:pt>
                <c:pt idx="81">
                  <c:v>5.0856511037897496</c:v>
                </c:pt>
                <c:pt idx="82">
                  <c:v>5.0856511037897496</c:v>
                </c:pt>
                <c:pt idx="83">
                  <c:v>5.0856511037897496</c:v>
                </c:pt>
                <c:pt idx="84">
                  <c:v>5.0856511037897496</c:v>
                </c:pt>
                <c:pt idx="85">
                  <c:v>5.0856511037897496</c:v>
                </c:pt>
                <c:pt idx="86">
                  <c:v>5.0856511037897496</c:v>
                </c:pt>
                <c:pt idx="87">
                  <c:v>5.0856511037897496</c:v>
                </c:pt>
                <c:pt idx="88">
                  <c:v>5.0856511037897496</c:v>
                </c:pt>
                <c:pt idx="89">
                  <c:v>5.0856511037897496</c:v>
                </c:pt>
                <c:pt idx="90">
                  <c:v>5.0856511037897496</c:v>
                </c:pt>
                <c:pt idx="91">
                  <c:v>5.0856511037897496</c:v>
                </c:pt>
                <c:pt idx="92">
                  <c:v>5.0856511037897496</c:v>
                </c:pt>
                <c:pt idx="93">
                  <c:v>5.0856511037897496</c:v>
                </c:pt>
                <c:pt idx="94">
                  <c:v>5.0856511037897496</c:v>
                </c:pt>
                <c:pt idx="95">
                  <c:v>5.0856511037897496</c:v>
                </c:pt>
                <c:pt idx="96">
                  <c:v>5.0856511037897496</c:v>
                </c:pt>
                <c:pt idx="97">
                  <c:v>5.0856511037897496</c:v>
                </c:pt>
                <c:pt idx="98">
                  <c:v>5.0856511037897496</c:v>
                </c:pt>
                <c:pt idx="99">
                  <c:v>5.0856511037897496</c:v>
                </c:pt>
                <c:pt idx="100">
                  <c:v>5.0856511037897496</c:v>
                </c:pt>
                <c:pt idx="101">
                  <c:v>5.0856511037897496</c:v>
                </c:pt>
                <c:pt idx="102">
                  <c:v>5.0856511037897496</c:v>
                </c:pt>
                <c:pt idx="103">
                  <c:v>5.0856511037897496</c:v>
                </c:pt>
                <c:pt idx="104">
                  <c:v>5.0856511037897496</c:v>
                </c:pt>
                <c:pt idx="105">
                  <c:v>5.0856511037897496</c:v>
                </c:pt>
                <c:pt idx="106">
                  <c:v>5.0856511037897496</c:v>
                </c:pt>
                <c:pt idx="107">
                  <c:v>5.0856511037897496</c:v>
                </c:pt>
                <c:pt idx="108">
                  <c:v>5.0856511037897496</c:v>
                </c:pt>
                <c:pt idx="109">
                  <c:v>5.0856511037897496</c:v>
                </c:pt>
                <c:pt idx="110">
                  <c:v>5.0856511037897496</c:v>
                </c:pt>
                <c:pt idx="111">
                  <c:v>5.0856511037897496</c:v>
                </c:pt>
                <c:pt idx="112">
                  <c:v>5.0856511037897496</c:v>
                </c:pt>
                <c:pt idx="113">
                  <c:v>5.0856511037897496</c:v>
                </c:pt>
                <c:pt idx="114">
                  <c:v>5.0856511037897496</c:v>
                </c:pt>
                <c:pt idx="115">
                  <c:v>5.0856511037897496</c:v>
                </c:pt>
                <c:pt idx="116">
                  <c:v>5.0856511037897496</c:v>
                </c:pt>
                <c:pt idx="117">
                  <c:v>5.0856511037897496</c:v>
                </c:pt>
                <c:pt idx="118">
                  <c:v>5.0856511037897496</c:v>
                </c:pt>
                <c:pt idx="119">
                  <c:v>5.0856511037897496</c:v>
                </c:pt>
                <c:pt idx="120">
                  <c:v>5.0856511037897496</c:v>
                </c:pt>
                <c:pt idx="121">
                  <c:v>5.0856511037897496</c:v>
                </c:pt>
                <c:pt idx="122">
                  <c:v>5.0856511037897496</c:v>
                </c:pt>
                <c:pt idx="123">
                  <c:v>5.0856511037897496</c:v>
                </c:pt>
                <c:pt idx="124">
                  <c:v>5.0856511037897496</c:v>
                </c:pt>
                <c:pt idx="125">
                  <c:v>5.0856511037897496</c:v>
                </c:pt>
                <c:pt idx="126">
                  <c:v>5.0856511037897496</c:v>
                </c:pt>
                <c:pt idx="127">
                  <c:v>5.0856511037897496</c:v>
                </c:pt>
                <c:pt idx="128">
                  <c:v>5.0856511037897496</c:v>
                </c:pt>
                <c:pt idx="129">
                  <c:v>5.0856511037897496</c:v>
                </c:pt>
                <c:pt idx="130">
                  <c:v>5.0856511037897496</c:v>
                </c:pt>
                <c:pt idx="131">
                  <c:v>5.0856511037897496</c:v>
                </c:pt>
                <c:pt idx="132">
                  <c:v>5.0856511037897496</c:v>
                </c:pt>
                <c:pt idx="133">
                  <c:v>5.0856511037897496</c:v>
                </c:pt>
                <c:pt idx="134">
                  <c:v>5.0856511037897496</c:v>
                </c:pt>
                <c:pt idx="135">
                  <c:v>5.0856511037897496</c:v>
                </c:pt>
                <c:pt idx="136">
                  <c:v>5.0856511037897496</c:v>
                </c:pt>
                <c:pt idx="137">
                  <c:v>5.0856511037897496</c:v>
                </c:pt>
                <c:pt idx="138">
                  <c:v>5.0856511037897496</c:v>
                </c:pt>
                <c:pt idx="139">
                  <c:v>5.0856511037897496</c:v>
                </c:pt>
                <c:pt idx="140">
                  <c:v>5.0856511037897496</c:v>
                </c:pt>
                <c:pt idx="141">
                  <c:v>5.0856511037897496</c:v>
                </c:pt>
                <c:pt idx="142">
                  <c:v>5.0856511037897496</c:v>
                </c:pt>
                <c:pt idx="143">
                  <c:v>5.0856511037897496</c:v>
                </c:pt>
                <c:pt idx="144">
                  <c:v>5.0856511037897496</c:v>
                </c:pt>
                <c:pt idx="145">
                  <c:v>5.0856511037897496</c:v>
                </c:pt>
                <c:pt idx="146">
                  <c:v>5.0856511037897496</c:v>
                </c:pt>
                <c:pt idx="147">
                  <c:v>5.0856511037897496</c:v>
                </c:pt>
                <c:pt idx="148">
                  <c:v>5.0856511037897496</c:v>
                </c:pt>
                <c:pt idx="149">
                  <c:v>5.0856511037897496</c:v>
                </c:pt>
                <c:pt idx="150">
                  <c:v>5.0856511037897496</c:v>
                </c:pt>
                <c:pt idx="151">
                  <c:v>5.0856511037897496</c:v>
                </c:pt>
                <c:pt idx="152">
                  <c:v>5.0856511037897496</c:v>
                </c:pt>
                <c:pt idx="153">
                  <c:v>5.0856511037897496</c:v>
                </c:pt>
                <c:pt idx="154">
                  <c:v>5.0856511037897496</c:v>
                </c:pt>
                <c:pt idx="155">
                  <c:v>5.0856511037897496</c:v>
                </c:pt>
                <c:pt idx="156">
                  <c:v>5.0856511037897496</c:v>
                </c:pt>
                <c:pt idx="157">
                  <c:v>5.0856511037897496</c:v>
                </c:pt>
                <c:pt idx="158">
                  <c:v>5.0856511037897496</c:v>
                </c:pt>
                <c:pt idx="159">
                  <c:v>5.0856511037897496</c:v>
                </c:pt>
                <c:pt idx="160">
                  <c:v>5.0856511037897496</c:v>
                </c:pt>
                <c:pt idx="161">
                  <c:v>5.0856511037897496</c:v>
                </c:pt>
                <c:pt idx="162">
                  <c:v>5.0856511037897496</c:v>
                </c:pt>
                <c:pt idx="163">
                  <c:v>5.0856511037897496</c:v>
                </c:pt>
                <c:pt idx="164">
                  <c:v>5.0856511037897496</c:v>
                </c:pt>
                <c:pt idx="165">
                  <c:v>5.0856511037897496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VDE/FENY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5.0850709894024098</c:v>
                </c:pt>
                <c:pt idx="10">
                  <c:v>5.0851091861229802</c:v>
                </c:pt>
                <c:pt idx="11">
                  <c:v>5.0852185812323798</c:v>
                </c:pt>
                <c:pt idx="12">
                  <c:v>5.0853935915645296</c:v>
                </c:pt>
                <c:pt idx="13">
                  <c:v>5.0855659613974096</c:v>
                </c:pt>
                <c:pt idx="14">
                  <c:v>5.0858920292081704</c:v>
                </c:pt>
                <c:pt idx="15">
                  <c:v>5.0859457555110303</c:v>
                </c:pt>
                <c:pt idx="16">
                  <c:v>5.0859632321528299</c:v>
                </c:pt>
                <c:pt idx="17">
                  <c:v>5.08631234540516</c:v>
                </c:pt>
                <c:pt idx="18">
                  <c:v>5.08674339317436</c:v>
                </c:pt>
                <c:pt idx="19">
                  <c:v>5.0867476257404798</c:v>
                </c:pt>
                <c:pt idx="20">
                  <c:v>5.0869317930951201</c:v>
                </c:pt>
                <c:pt idx="21">
                  <c:v>5.0874826850153703</c:v>
                </c:pt>
                <c:pt idx="22">
                  <c:v>5.0874428826397402</c:v>
                </c:pt>
                <c:pt idx="23">
                  <c:v>5.0872722067529903</c:v>
                </c:pt>
                <c:pt idx="24">
                  <c:v>5.08710966011847</c:v>
                </c:pt>
                <c:pt idx="25">
                  <c:v>5.0873078131325498</c:v>
                </c:pt>
                <c:pt idx="26">
                  <c:v>5.08709267067717</c:v>
                </c:pt>
                <c:pt idx="27">
                  <c:v>5.0868995666202004</c:v>
                </c:pt>
                <c:pt idx="28">
                  <c:v>5.0865368580017103</c:v>
                </c:pt>
                <c:pt idx="29">
                  <c:v>5.0867321472584104</c:v>
                </c:pt>
                <c:pt idx="30">
                  <c:v>5.0863476121817301</c:v>
                </c:pt>
                <c:pt idx="31">
                  <c:v>5.0860772483142798</c:v>
                </c:pt>
                <c:pt idx="32">
                  <c:v>5.0860503122359901</c:v>
                </c:pt>
                <c:pt idx="33">
                  <c:v>5.0861565510092897</c:v>
                </c:pt>
                <c:pt idx="34">
                  <c:v>5.0859850937527797</c:v>
                </c:pt>
                <c:pt idx="35">
                  <c:v>5.0856567868782303</c:v>
                </c:pt>
                <c:pt idx="36">
                  <c:v>5.0860808379072999</c:v>
                </c:pt>
                <c:pt idx="37">
                  <c:v>5.0862519421062</c:v>
                </c:pt>
                <c:pt idx="38">
                  <c:v>5.0860861501550199</c:v>
                </c:pt>
                <c:pt idx="39">
                  <c:v>5.0861023206649598</c:v>
                </c:pt>
                <c:pt idx="40">
                  <c:v>5.0864406352053599</c:v>
                </c:pt>
                <c:pt idx="41">
                  <c:v>5.0866352299370998</c:v>
                </c:pt>
                <c:pt idx="42">
                  <c:v>5.0865713907958803</c:v>
                </c:pt>
                <c:pt idx="43">
                  <c:v>5.0866901091449002</c:v>
                </c:pt>
                <c:pt idx="44">
                  <c:v>5.0866377595316399</c:v>
                </c:pt>
                <c:pt idx="45">
                  <c:v>5.0869277480871196</c:v>
                </c:pt>
                <c:pt idx="46">
                  <c:v>5.0867332988960596</c:v>
                </c:pt>
                <c:pt idx="47">
                  <c:v>5.0865069377466696</c:v>
                </c:pt>
                <c:pt idx="48">
                  <c:v>5.0869986135727903</c:v>
                </c:pt>
                <c:pt idx="49">
                  <c:v>5.0870641310941904</c:v>
                </c:pt>
                <c:pt idx="50">
                  <c:v>5.0869121874551899</c:v>
                </c:pt>
                <c:pt idx="51">
                  <c:v>5.0865037313373103</c:v>
                </c:pt>
                <c:pt idx="52">
                  <c:v>5.0866304480612401</c:v>
                </c:pt>
                <c:pt idx="53">
                  <c:v>5.0892942580552498</c:v>
                </c:pt>
                <c:pt idx="54">
                  <c:v>5.0918275389261298</c:v>
                </c:pt>
                <c:pt idx="55">
                  <c:v>5.0915654281246097</c:v>
                </c:pt>
                <c:pt idx="56">
                  <c:v>5.09141265868735</c:v>
                </c:pt>
                <c:pt idx="57">
                  <c:v>5.0915215885737801</c:v>
                </c:pt>
                <c:pt idx="58">
                  <c:v>5.0912982416148802</c:v>
                </c:pt>
                <c:pt idx="59">
                  <c:v>5.0911431512820098</c:v>
                </c:pt>
                <c:pt idx="60">
                  <c:v>5.0912233772836002</c:v>
                </c:pt>
                <c:pt idx="61">
                  <c:v>5.0913599626494497</c:v>
                </c:pt>
                <c:pt idx="62">
                  <c:v>5.0914126834846503</c:v>
                </c:pt>
                <c:pt idx="63">
                  <c:v>5.0882746572103397</c:v>
                </c:pt>
                <c:pt idx="64">
                  <c:v>5.0856411028941597</c:v>
                </c:pt>
                <c:pt idx="65">
                  <c:v>5.0857427678284202</c:v>
                </c:pt>
                <c:pt idx="66">
                  <c:v>5.08585985981866</c:v>
                </c:pt>
                <c:pt idx="67">
                  <c:v>5.0855786347050804</c:v>
                </c:pt>
                <c:pt idx="68">
                  <c:v>5.0856047933582103</c:v>
                </c:pt>
                <c:pt idx="69">
                  <c:v>5.0856534990117499</c:v>
                </c:pt>
                <c:pt idx="70">
                  <c:v>5.0856792604607302</c:v>
                </c:pt>
                <c:pt idx="71">
                  <c:v>5.0856102896288498</c:v>
                </c:pt>
                <c:pt idx="72">
                  <c:v>5.0854910980252397</c:v>
                </c:pt>
                <c:pt idx="73">
                  <c:v>5.0855850106158096</c:v>
                </c:pt>
                <c:pt idx="74">
                  <c:v>5.0854134732506102</c:v>
                </c:pt>
                <c:pt idx="75">
                  <c:v>5.0852139980005298</c:v>
                </c:pt>
                <c:pt idx="76">
                  <c:v>5.08512390785741</c:v>
                </c:pt>
                <c:pt idx="77">
                  <c:v>5.08522356433705</c:v>
                </c:pt>
                <c:pt idx="78">
                  <c:v>5.0851824693354297</c:v>
                </c:pt>
                <c:pt idx="79">
                  <c:v>5.0853168625824496</c:v>
                </c:pt>
                <c:pt idx="80">
                  <c:v>5.0853631954163498</c:v>
                </c:pt>
                <c:pt idx="81">
                  <c:v>5.0856864599703</c:v>
                </c:pt>
                <c:pt idx="82">
                  <c:v>5.0860194650891</c:v>
                </c:pt>
                <c:pt idx="83">
                  <c:v>5.0865922327247901</c:v>
                </c:pt>
                <c:pt idx="84">
                  <c:v>5.0872586746142696</c:v>
                </c:pt>
                <c:pt idx="85">
                  <c:v>5.0874251790935299</c:v>
                </c:pt>
                <c:pt idx="86">
                  <c:v>5.0874776716796299</c:v>
                </c:pt>
                <c:pt idx="87">
                  <c:v>5.0873672302166399</c:v>
                </c:pt>
                <c:pt idx="88">
                  <c:v>5.0872410021181302</c:v>
                </c:pt>
                <c:pt idx="89">
                  <c:v>5.0870926449502196</c:v>
                </c:pt>
                <c:pt idx="90">
                  <c:v>5.0871161375477403</c:v>
                </c:pt>
                <c:pt idx="91">
                  <c:v>5.0866534509336203</c:v>
                </c:pt>
                <c:pt idx="92">
                  <c:v>5.0860237287045704</c:v>
                </c:pt>
                <c:pt idx="93">
                  <c:v>5.0856014095615096</c:v>
                </c:pt>
                <c:pt idx="94">
                  <c:v>5.0851508908373502</c:v>
                </c:pt>
                <c:pt idx="95">
                  <c:v>5.0847742365029296</c:v>
                </c:pt>
                <c:pt idx="96">
                  <c:v>5.0842625661196799</c:v>
                </c:pt>
                <c:pt idx="97">
                  <c:v>5.0840470136779397</c:v>
                </c:pt>
                <c:pt idx="98">
                  <c:v>5.0840122155169896</c:v>
                </c:pt>
                <c:pt idx="99">
                  <c:v>5.0837482530869504</c:v>
                </c:pt>
                <c:pt idx="100">
                  <c:v>5.0834573849820499</c:v>
                </c:pt>
                <c:pt idx="101">
                  <c:v>5.0837609060632598</c:v>
                </c:pt>
                <c:pt idx="102">
                  <c:v>5.0837806906942298</c:v>
                </c:pt>
                <c:pt idx="103">
                  <c:v>5.0833120487287404</c:v>
                </c:pt>
                <c:pt idx="104">
                  <c:v>5.0829953732242403</c:v>
                </c:pt>
                <c:pt idx="105">
                  <c:v>5.0829742612198103</c:v>
                </c:pt>
                <c:pt idx="106">
                  <c:v>5.0830023275521903</c:v>
                </c:pt>
                <c:pt idx="107">
                  <c:v>5.0832164207789896</c:v>
                </c:pt>
                <c:pt idx="108">
                  <c:v>5.0829793447814202</c:v>
                </c:pt>
                <c:pt idx="109">
                  <c:v>5.0829378306595698</c:v>
                </c:pt>
                <c:pt idx="110">
                  <c:v>5.0830138638481399</c:v>
                </c:pt>
                <c:pt idx="111">
                  <c:v>5.0828068292784296</c:v>
                </c:pt>
                <c:pt idx="112">
                  <c:v>5.0826829216527898</c:v>
                </c:pt>
                <c:pt idx="113">
                  <c:v>5.0825317823964102</c:v>
                </c:pt>
                <c:pt idx="114">
                  <c:v>5.0825052135612898</c:v>
                </c:pt>
                <c:pt idx="115">
                  <c:v>5.08622353922601</c:v>
                </c:pt>
                <c:pt idx="116">
                  <c:v>5.0900425371295199</c:v>
                </c:pt>
                <c:pt idx="117">
                  <c:v>5.0934474379864403</c:v>
                </c:pt>
                <c:pt idx="118">
                  <c:v>5.0935931041633102</c:v>
                </c:pt>
                <c:pt idx="119">
                  <c:v>5.0934186644878201</c:v>
                </c:pt>
                <c:pt idx="120">
                  <c:v>5.0933212130425796</c:v>
                </c:pt>
                <c:pt idx="121">
                  <c:v>5.0932298673906304</c:v>
                </c:pt>
                <c:pt idx="122">
                  <c:v>5.0929759981073799</c:v>
                </c:pt>
                <c:pt idx="123">
                  <c:v>5.0932664746885301</c:v>
                </c:pt>
                <c:pt idx="124">
                  <c:v>5.0929978992592302</c:v>
                </c:pt>
                <c:pt idx="125">
                  <c:v>5.0894239026531398</c:v>
                </c:pt>
                <c:pt idx="126">
                  <c:v>5.08560184390846</c:v>
                </c:pt>
                <c:pt idx="127">
                  <c:v>5.0819807732110203</c:v>
                </c:pt>
                <c:pt idx="128">
                  <c:v>5.0820322030217202</c:v>
                </c:pt>
                <c:pt idx="129">
                  <c:v>5.0820742229387301</c:v>
                </c:pt>
                <c:pt idx="130">
                  <c:v>5.0819002958894099</c:v>
                </c:pt>
                <c:pt idx="131">
                  <c:v>5.0819713859368001</c:v>
                </c:pt>
                <c:pt idx="132">
                  <c:v>5.0821197053286697</c:v>
                </c:pt>
                <c:pt idx="133">
                  <c:v>5.0821004325380903</c:v>
                </c:pt>
                <c:pt idx="134">
                  <c:v>5.08257013391058</c:v>
                </c:pt>
                <c:pt idx="135">
                  <c:v>5.08260962838136</c:v>
                </c:pt>
                <c:pt idx="136">
                  <c:v>5.0827974834918299</c:v>
                </c:pt>
                <c:pt idx="137">
                  <c:v>5.0828877246328297</c:v>
                </c:pt>
                <c:pt idx="138">
                  <c:v>5.0830078658668096</c:v>
                </c:pt>
                <c:pt idx="139">
                  <c:v>5.0830856653652603</c:v>
                </c:pt>
                <c:pt idx="140">
                  <c:v>5.0829257310404596</c:v>
                </c:pt>
                <c:pt idx="141">
                  <c:v>5.0825802603094603</c:v>
                </c:pt>
                <c:pt idx="142">
                  <c:v>5.0829856281663703</c:v>
                </c:pt>
                <c:pt idx="143">
                  <c:v>5.0830800398875002</c:v>
                </c:pt>
                <c:pt idx="144">
                  <c:v>5.0829402256072802</c:v>
                </c:pt>
                <c:pt idx="145">
                  <c:v>5.0829427794942896</c:v>
                </c:pt>
                <c:pt idx="146">
                  <c:v>5.0830505096020202</c:v>
                </c:pt>
                <c:pt idx="147">
                  <c:v>5.0829764652642098</c:v>
                </c:pt>
                <c:pt idx="148">
                  <c:v>5.0825605541796399</c:v>
                </c:pt>
                <c:pt idx="149">
                  <c:v>5.0825131330297104</c:v>
                </c:pt>
                <c:pt idx="150">
                  <c:v>5.0828522118498896</c:v>
                </c:pt>
                <c:pt idx="151">
                  <c:v>5.08324979379507</c:v>
                </c:pt>
                <c:pt idx="152">
                  <c:v>5.0831938863169501</c:v>
                </c:pt>
                <c:pt idx="153">
                  <c:v>5.0832573751214802</c:v>
                </c:pt>
                <c:pt idx="154">
                  <c:v>5.0832613454417901</c:v>
                </c:pt>
                <c:pt idx="155">
                  <c:v>5.0833307547096398</c:v>
                </c:pt>
                <c:pt idx="156">
                  <c:v>5.0834106464410604</c:v>
                </c:pt>
                <c:pt idx="157">
                  <c:v>5.0835733767665499</c:v>
                </c:pt>
                <c:pt idx="158">
                  <c:v>5.0838636189707804</c:v>
                </c:pt>
                <c:pt idx="159">
                  <c:v>5.0841004520746003</c:v>
                </c:pt>
                <c:pt idx="160">
                  <c:v>5.0835797246491401</c:v>
                </c:pt>
                <c:pt idx="161">
                  <c:v>5.0831881740983196</c:v>
                </c:pt>
                <c:pt idx="162">
                  <c:v>5.0831583087923002</c:v>
                </c:pt>
                <c:pt idx="163">
                  <c:v>5.0828146634543598</c:v>
                </c:pt>
                <c:pt idx="164">
                  <c:v>5.0829596616410404</c:v>
                </c:pt>
                <c:pt idx="165">
                  <c:v>5.0827913186084199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VDE/FENY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5.0859093075714403</c:v>
                </c:pt>
                <c:pt idx="20">
                  <c:v>5.0860204896090497</c:v>
                </c:pt>
                <c:pt idx="21">
                  <c:v>5.0863506331238799</c:v>
                </c:pt>
                <c:pt idx="22">
                  <c:v>5.08641823710213</c:v>
                </c:pt>
                <c:pt idx="23">
                  <c:v>5.0864190840752004</c:v>
                </c:pt>
                <c:pt idx="24">
                  <c:v>5.0865008446633198</c:v>
                </c:pt>
                <c:pt idx="25">
                  <c:v>5.0866267843217896</c:v>
                </c:pt>
                <c:pt idx="26">
                  <c:v>5.0865279514149897</c:v>
                </c:pt>
                <c:pt idx="27">
                  <c:v>5.0866059560126802</c:v>
                </c:pt>
                <c:pt idx="28">
                  <c:v>5.0866401255880396</c:v>
                </c:pt>
                <c:pt idx="29">
                  <c:v>5.0867398864994504</c:v>
                </c:pt>
                <c:pt idx="30">
                  <c:v>5.08663970263843</c:v>
                </c:pt>
                <c:pt idx="31">
                  <c:v>5.0867799666648299</c:v>
                </c:pt>
                <c:pt idx="32">
                  <c:v>5.0867465974378696</c:v>
                </c:pt>
                <c:pt idx="33">
                  <c:v>5.0867143788811404</c:v>
                </c:pt>
                <c:pt idx="34">
                  <c:v>5.08654737693562</c:v>
                </c:pt>
                <c:pt idx="35">
                  <c:v>5.0864823000053896</c:v>
                </c:pt>
                <c:pt idx="36">
                  <c:v>5.0865867542922301</c:v>
                </c:pt>
                <c:pt idx="37">
                  <c:v>5.0865757543632002</c:v>
                </c:pt>
                <c:pt idx="38">
                  <c:v>5.0863115040783704</c:v>
                </c:pt>
                <c:pt idx="39">
                  <c:v>5.0864172339616802</c:v>
                </c:pt>
                <c:pt idx="40">
                  <c:v>5.0863941236935499</c:v>
                </c:pt>
                <c:pt idx="41">
                  <c:v>5.0863562391256902</c:v>
                </c:pt>
                <c:pt idx="42">
                  <c:v>5.0863108515159396</c:v>
                </c:pt>
                <c:pt idx="43">
                  <c:v>5.0864233300770998</c:v>
                </c:pt>
                <c:pt idx="44">
                  <c:v>5.0863114266422098</c:v>
                </c:pt>
                <c:pt idx="45">
                  <c:v>5.0862922674826798</c:v>
                </c:pt>
                <c:pt idx="46">
                  <c:v>5.0864070684016802</c:v>
                </c:pt>
                <c:pt idx="47">
                  <c:v>5.0863794399264401</c:v>
                </c:pt>
                <c:pt idx="48">
                  <c:v>5.0865423818639099</c:v>
                </c:pt>
                <c:pt idx="49">
                  <c:v>5.0865832258795702</c:v>
                </c:pt>
                <c:pt idx="50">
                  <c:v>5.08667641133027</c:v>
                </c:pt>
                <c:pt idx="51">
                  <c:v>5.0865694806372002</c:v>
                </c:pt>
                <c:pt idx="52">
                  <c:v>5.0866009194285597</c:v>
                </c:pt>
                <c:pt idx="53">
                  <c:v>5.0879921836000799</c:v>
                </c:pt>
                <c:pt idx="54">
                  <c:v>5.0892326492288804</c:v>
                </c:pt>
                <c:pt idx="55">
                  <c:v>5.0892465881058699</c:v>
                </c:pt>
                <c:pt idx="56">
                  <c:v>5.0890729787917097</c:v>
                </c:pt>
                <c:pt idx="57">
                  <c:v>5.0890142631602302</c:v>
                </c:pt>
                <c:pt idx="58">
                  <c:v>5.0891484275938303</c:v>
                </c:pt>
                <c:pt idx="59">
                  <c:v>5.0891036411880997</c:v>
                </c:pt>
                <c:pt idx="60">
                  <c:v>5.0890677823693897</c:v>
                </c:pt>
                <c:pt idx="61">
                  <c:v>5.08893184699338</c:v>
                </c:pt>
                <c:pt idx="62">
                  <c:v>5.0890215657729403</c:v>
                </c:pt>
                <c:pt idx="63">
                  <c:v>5.0887844576327996</c:v>
                </c:pt>
                <c:pt idx="64">
                  <c:v>5.0887343209101399</c:v>
                </c:pt>
                <c:pt idx="65">
                  <c:v>5.0886540979765202</c:v>
                </c:pt>
                <c:pt idx="66">
                  <c:v>5.0886362592529997</c:v>
                </c:pt>
                <c:pt idx="67">
                  <c:v>5.0885501116394298</c:v>
                </c:pt>
                <c:pt idx="68">
                  <c:v>5.0884515174865399</c:v>
                </c:pt>
                <c:pt idx="69">
                  <c:v>5.0883983251468798</c:v>
                </c:pt>
                <c:pt idx="70">
                  <c:v>5.0884513188721696</c:v>
                </c:pt>
                <c:pt idx="71">
                  <c:v>5.0884851261391502</c:v>
                </c:pt>
                <c:pt idx="72">
                  <c:v>5.0884518907549401</c:v>
                </c:pt>
                <c:pt idx="73">
                  <c:v>5.0869298339130697</c:v>
                </c:pt>
                <c:pt idx="74">
                  <c:v>5.0855272880723801</c:v>
                </c:pt>
                <c:pt idx="75">
                  <c:v>5.0854783829144798</c:v>
                </c:pt>
                <c:pt idx="76">
                  <c:v>5.0854918838380296</c:v>
                </c:pt>
                <c:pt idx="77">
                  <c:v>5.0854010995210697</c:v>
                </c:pt>
                <c:pt idx="78">
                  <c:v>5.08539363134682</c:v>
                </c:pt>
                <c:pt idx="79">
                  <c:v>5.0854851807971002</c:v>
                </c:pt>
                <c:pt idx="80">
                  <c:v>5.08552122793854</c:v>
                </c:pt>
                <c:pt idx="81">
                  <c:v>5.08564837479957</c:v>
                </c:pt>
                <c:pt idx="82">
                  <c:v>5.0857552815571703</c:v>
                </c:pt>
                <c:pt idx="83">
                  <c:v>5.0860886216703003</c:v>
                </c:pt>
                <c:pt idx="84">
                  <c:v>5.0863360739324399</c:v>
                </c:pt>
                <c:pt idx="85">
                  <c:v>5.0863195885470303</c:v>
                </c:pt>
                <c:pt idx="86">
                  <c:v>5.0863007897685204</c:v>
                </c:pt>
                <c:pt idx="87">
                  <c:v>5.0862953972768397</c:v>
                </c:pt>
                <c:pt idx="88">
                  <c:v>5.0862117357267804</c:v>
                </c:pt>
                <c:pt idx="89">
                  <c:v>5.0862047537663297</c:v>
                </c:pt>
                <c:pt idx="90">
                  <c:v>5.0862396664820499</c:v>
                </c:pt>
                <c:pt idx="91">
                  <c:v>5.0861699554519602</c:v>
                </c:pt>
                <c:pt idx="92">
                  <c:v>5.0860215968968303</c:v>
                </c:pt>
                <c:pt idx="93">
                  <c:v>5.0860968211431503</c:v>
                </c:pt>
                <c:pt idx="94">
                  <c:v>5.0862047827258099</c:v>
                </c:pt>
                <c:pt idx="95">
                  <c:v>5.0860997077982297</c:v>
                </c:pt>
                <c:pt idx="96">
                  <c:v>5.0858701188996598</c:v>
                </c:pt>
                <c:pt idx="97">
                  <c:v>5.0857071219472898</c:v>
                </c:pt>
                <c:pt idx="98">
                  <c:v>5.0856266088175603</c:v>
                </c:pt>
                <c:pt idx="99">
                  <c:v>5.0854204490185797</c:v>
                </c:pt>
                <c:pt idx="100">
                  <c:v>5.0852867612649</c:v>
                </c:pt>
                <c:pt idx="101">
                  <c:v>5.0852071784984396</c:v>
                </c:pt>
                <c:pt idx="102">
                  <c:v>5.0849022096993997</c:v>
                </c:pt>
                <c:pt idx="103">
                  <c:v>5.0844567291451197</c:v>
                </c:pt>
                <c:pt idx="104">
                  <c:v>5.0840731320307899</c:v>
                </c:pt>
                <c:pt idx="105">
                  <c:v>5.0838742488613704</c:v>
                </c:pt>
                <c:pt idx="106">
                  <c:v>5.0836324468359297</c:v>
                </c:pt>
                <c:pt idx="107">
                  <c:v>5.0836317172284602</c:v>
                </c:pt>
                <c:pt idx="108">
                  <c:v>5.0834957801492102</c:v>
                </c:pt>
                <c:pt idx="109">
                  <c:v>5.0833430418732597</c:v>
                </c:pt>
                <c:pt idx="110">
                  <c:v>5.0832356244151002</c:v>
                </c:pt>
                <c:pt idx="111">
                  <c:v>5.0832838676708496</c:v>
                </c:pt>
                <c:pt idx="112">
                  <c:v>5.0832318061735098</c:v>
                </c:pt>
                <c:pt idx="113">
                  <c:v>5.0829219155625696</c:v>
                </c:pt>
                <c:pt idx="114">
                  <c:v>5.0827502933927597</c:v>
                </c:pt>
                <c:pt idx="115">
                  <c:v>5.0845989002229102</c:v>
                </c:pt>
                <c:pt idx="116">
                  <c:v>5.0865224323408498</c:v>
                </c:pt>
                <c:pt idx="117">
                  <c:v>5.0883319293827096</c:v>
                </c:pt>
                <c:pt idx="118">
                  <c:v>5.0882862244723599</c:v>
                </c:pt>
                <c:pt idx="119">
                  <c:v>5.0881782475736896</c:v>
                </c:pt>
                <c:pt idx="120">
                  <c:v>5.0881675384453597</c:v>
                </c:pt>
                <c:pt idx="121">
                  <c:v>5.08801834833453</c:v>
                </c:pt>
                <c:pt idx="122">
                  <c:v>5.08782945988008</c:v>
                </c:pt>
                <c:pt idx="123">
                  <c:v>5.0878991285424702</c:v>
                </c:pt>
                <c:pt idx="124">
                  <c:v>5.08775155641026</c:v>
                </c:pt>
                <c:pt idx="125">
                  <c:v>5.0878237209395802</c:v>
                </c:pt>
                <c:pt idx="126">
                  <c:v>5.08782219051899</c:v>
                </c:pt>
                <c:pt idx="127">
                  <c:v>5.0877141055987298</c:v>
                </c:pt>
                <c:pt idx="128">
                  <c:v>5.0878126535925201</c:v>
                </c:pt>
                <c:pt idx="129">
                  <c:v>5.0877464437132698</c:v>
                </c:pt>
                <c:pt idx="130">
                  <c:v>5.0876107544659899</c:v>
                </c:pt>
                <c:pt idx="131">
                  <c:v>5.0876006266637201</c:v>
                </c:pt>
                <c:pt idx="132">
                  <c:v>5.0875478517180301</c:v>
                </c:pt>
                <c:pt idx="133">
                  <c:v>5.0876834536133098</c:v>
                </c:pt>
                <c:pt idx="134">
                  <c:v>5.0877840165849104</c:v>
                </c:pt>
                <c:pt idx="135">
                  <c:v>5.0860167655172503</c:v>
                </c:pt>
                <c:pt idx="136">
                  <c:v>5.0841996637001499</c:v>
                </c:pt>
                <c:pt idx="137">
                  <c:v>5.0824342489219196</c:v>
                </c:pt>
                <c:pt idx="138">
                  <c:v>5.0825200344442596</c:v>
                </c:pt>
                <c:pt idx="139">
                  <c:v>5.0825799441519903</c:v>
                </c:pt>
                <c:pt idx="140">
                  <c:v>5.0824130134649304</c:v>
                </c:pt>
                <c:pt idx="141">
                  <c:v>5.0822758231231298</c:v>
                </c:pt>
                <c:pt idx="142">
                  <c:v>5.08255266674752</c:v>
                </c:pt>
                <c:pt idx="143">
                  <c:v>5.0825902362127904</c:v>
                </c:pt>
                <c:pt idx="144">
                  <c:v>5.0827551797589301</c:v>
                </c:pt>
                <c:pt idx="145">
                  <c:v>5.0827762039378301</c:v>
                </c:pt>
                <c:pt idx="146">
                  <c:v>5.0829239965469304</c:v>
                </c:pt>
                <c:pt idx="147">
                  <c:v>5.0829320949485197</c:v>
                </c:pt>
                <c:pt idx="148">
                  <c:v>5.0827842100232203</c:v>
                </c:pt>
                <c:pt idx="149">
                  <c:v>5.08279939919748</c:v>
                </c:pt>
                <c:pt idx="150">
                  <c:v>5.0828889714451702</c:v>
                </c:pt>
                <c:pt idx="151">
                  <c:v>5.0829150270522696</c:v>
                </c:pt>
                <c:pt idx="152">
                  <c:v>5.0830897572416598</c:v>
                </c:pt>
                <c:pt idx="153">
                  <c:v>5.0831687075044902</c:v>
                </c:pt>
                <c:pt idx="154">
                  <c:v>5.0831007855245298</c:v>
                </c:pt>
                <c:pt idx="155">
                  <c:v>5.08313676710197</c:v>
                </c:pt>
                <c:pt idx="156">
                  <c:v>5.0832305780215403</c:v>
                </c:pt>
                <c:pt idx="157">
                  <c:v>5.0832749210153798</c:v>
                </c:pt>
                <c:pt idx="158">
                  <c:v>5.0832120865752097</c:v>
                </c:pt>
                <c:pt idx="159">
                  <c:v>5.0833067925521496</c:v>
                </c:pt>
                <c:pt idx="160">
                  <c:v>5.0832159682495197</c:v>
                </c:pt>
                <c:pt idx="161">
                  <c:v>5.0832189839466997</c:v>
                </c:pt>
                <c:pt idx="162">
                  <c:v>5.0831760975546301</c:v>
                </c:pt>
                <c:pt idx="163">
                  <c:v>5.0830360192879196</c:v>
                </c:pt>
                <c:pt idx="164">
                  <c:v>5.0831105035414197</c:v>
                </c:pt>
                <c:pt idx="165">
                  <c:v>5.0830610366590303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FENY* x avg / VDE*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4.8854365507524798E-4</c:v>
                </c:pt>
                <c:pt idx="2">
                  <c:v>7.8639484280110199E-5</c:v>
                </c:pt>
                <c:pt idx="3">
                  <c:v>-2.5790196164786501E-4</c:v>
                </c:pt>
                <c:pt idx="4">
                  <c:v>-3.0630638683709101E-4</c:v>
                </c:pt>
                <c:pt idx="5">
                  <c:v>-1.07853195517391E-4</c:v>
                </c:pt>
                <c:pt idx="6">
                  <c:v>-4.3585530908028499E-4</c:v>
                </c:pt>
                <c:pt idx="7">
                  <c:v>-1.04340769432067E-4</c:v>
                </c:pt>
                <c:pt idx="8">
                  <c:v>3.93282935550245E-5</c:v>
                </c:pt>
                <c:pt idx="9">
                  <c:v>4.9795039625248097E-5</c:v>
                </c:pt>
                <c:pt idx="10">
                  <c:v>-2.03446956657868E-4</c:v>
                </c:pt>
                <c:pt idx="11">
                  <c:v>2.7331700158852502E-4</c:v>
                </c:pt>
                <c:pt idx="12">
                  <c:v>-2.6551689017468601E-4</c:v>
                </c:pt>
                <c:pt idx="13">
                  <c:v>-5.9675265886827296E-4</c:v>
                </c:pt>
                <c:pt idx="14">
                  <c:v>-9.4717417209125103E-4</c:v>
                </c:pt>
                <c:pt idx="15">
                  <c:v>-2.1349842384719501E-4</c:v>
                </c:pt>
                <c:pt idx="16">
                  <c:v>-4.7021062497447998E-4</c:v>
                </c:pt>
                <c:pt idx="17">
                  <c:v>-7.9062607143129296E-4</c:v>
                </c:pt>
                <c:pt idx="18">
                  <c:v>-8.0807699128857696E-4</c:v>
                </c:pt>
                <c:pt idx="19">
                  <c:v>4.14705756219124E-5</c:v>
                </c:pt>
                <c:pt idx="20">
                  <c:v>-5.6550515233061503E-4</c:v>
                </c:pt>
                <c:pt idx="21">
                  <c:v>-8.0981800617755295E-4</c:v>
                </c:pt>
                <c:pt idx="22">
                  <c:v>-1.87256251741003E-4</c:v>
                </c:pt>
                <c:pt idx="23">
                  <c:v>-2.6123253942871802E-4</c:v>
                </c:pt>
                <c:pt idx="24">
                  <c:v>-6.2774932112058502E-4</c:v>
                </c:pt>
                <c:pt idx="25">
                  <c:v>-6.0304203097758695E-4</c:v>
                </c:pt>
                <c:pt idx="26">
                  <c:v>-4.7204677815528298E-5</c:v>
                </c:pt>
                <c:pt idx="27">
                  <c:v>-4.1108117240074802E-4</c:v>
                </c:pt>
                <c:pt idx="28">
                  <c:v>-9.5068895047460401E-5</c:v>
                </c:pt>
                <c:pt idx="29">
                  <c:v>-3.4254220957513301E-4</c:v>
                </c:pt>
                <c:pt idx="30">
                  <c:v>1.90608804332141E-4</c:v>
                </c:pt>
                <c:pt idx="31">
                  <c:v>-2.7838924506334899E-4</c:v>
                </c:pt>
                <c:pt idx="32">
                  <c:v>-1.3429024230138901E-4</c:v>
                </c:pt>
                <c:pt idx="33">
                  <c:v>-4.70093346659096E-4</c:v>
                </c:pt>
                <c:pt idx="34">
                  <c:v>-2.9070335032546797E-4</c:v>
                </c:pt>
                <c:pt idx="35">
                  <c:v>4.24500953340927E-5</c:v>
                </c:pt>
                <c:pt idx="36">
                  <c:v>-8.8078855997699996E-4</c:v>
                </c:pt>
                <c:pt idx="37">
                  <c:v>-7.4739274885284599E-4</c:v>
                </c:pt>
                <c:pt idx="38">
                  <c:v>2.3101223806597801E-4</c:v>
                </c:pt>
                <c:pt idx="39">
                  <c:v>-3.7433295848662802E-4</c:v>
                </c:pt>
                <c:pt idx="40">
                  <c:v>-4.7465161860228298E-4</c:v>
                </c:pt>
                <c:pt idx="41">
                  <c:v>-6.6091424133964496E-4</c:v>
                </c:pt>
                <c:pt idx="42">
                  <c:v>-8.7483454199123403E-6</c:v>
                </c:pt>
                <c:pt idx="43">
                  <c:v>-7.0343685837663203E-4</c:v>
                </c:pt>
                <c:pt idx="44">
                  <c:v>-1.87773275480086E-4</c:v>
                </c:pt>
                <c:pt idx="45">
                  <c:v>-5.27724926186873E-4</c:v>
                </c:pt>
                <c:pt idx="46">
                  <c:v>-4.9863376660189303E-4</c:v>
                </c:pt>
                <c:pt idx="47">
                  <c:v>-3.02447444413258E-4</c:v>
                </c:pt>
                <c:pt idx="48">
                  <c:v>-7.3571055056924296E-4</c:v>
                </c:pt>
                <c:pt idx="49">
                  <c:v>-5.0312814479342902E-4</c:v>
                </c:pt>
                <c:pt idx="50">
                  <c:v>-1.7592497324287699E-4</c:v>
                </c:pt>
                <c:pt idx="51">
                  <c:v>1.4217805969188801E-4</c:v>
                </c:pt>
                <c:pt idx="52">
                  <c:v>-2.5792579630563698E-4</c:v>
                </c:pt>
                <c:pt idx="53">
                  <c:v>-2.3991793737629299E-4</c:v>
                </c:pt>
                <c:pt idx="54">
                  <c:v>4.6856048730980999E-4</c:v>
                </c:pt>
                <c:pt idx="55">
                  <c:v>-1.1663574433595E-4</c:v>
                </c:pt>
                <c:pt idx="56">
                  <c:v>-3.0193474492511098E-4</c:v>
                </c:pt>
                <c:pt idx="57">
                  <c:v>-6.1690635527725799E-4</c:v>
                </c:pt>
                <c:pt idx="58">
                  <c:v>-3.96594482985185E-4</c:v>
                </c:pt>
                <c:pt idx="59">
                  <c:v>-2.9977038945718198E-4</c:v>
                </c:pt>
                <c:pt idx="60">
                  <c:v>-4.3561445745522802E-4</c:v>
                </c:pt>
                <c:pt idx="61">
                  <c:v>-2.3336132054284001E-4</c:v>
                </c:pt>
                <c:pt idx="62">
                  <c:v>-4.6637641004778398E-4</c:v>
                </c:pt>
                <c:pt idx="63">
                  <c:v>1.21531034600759E-4</c:v>
                </c:pt>
                <c:pt idx="64">
                  <c:v>-9.5925393324421197E-5</c:v>
                </c:pt>
                <c:pt idx="65">
                  <c:v>-3.2002532086884401E-4</c:v>
                </c:pt>
                <c:pt idx="66">
                  <c:v>-5.3632174607822099E-4</c:v>
                </c:pt>
                <c:pt idx="67">
                  <c:v>-7.4804429016059898E-5</c:v>
                </c:pt>
                <c:pt idx="68">
                  <c:v>-4.5668237373802201E-4</c:v>
                </c:pt>
                <c:pt idx="69">
                  <c:v>-4.0533871811560202E-4</c:v>
                </c:pt>
                <c:pt idx="70">
                  <c:v>-4.9528954449230497E-4</c:v>
                </c:pt>
                <c:pt idx="71">
                  <c:v>-1.023995245612E-4</c:v>
                </c:pt>
                <c:pt idx="72">
                  <c:v>-2.41443793838689E-4</c:v>
                </c:pt>
                <c:pt idx="73">
                  <c:v>-7.0728825023605305E-5</c:v>
                </c:pt>
                <c:pt idx="74">
                  <c:v>2.31664838793938E-4</c:v>
                </c:pt>
                <c:pt idx="75">
                  <c:v>6.7279865423263303E-5</c:v>
                </c:pt>
                <c:pt idx="76">
                  <c:v>-3.6069391483865702E-4</c:v>
                </c:pt>
                <c:pt idx="77">
                  <c:v>-2.6968652826224601E-4</c:v>
                </c:pt>
                <c:pt idx="78">
                  <c:v>-3.7663862540372999E-4</c:v>
                </c:pt>
                <c:pt idx="79">
                  <c:v>-6.6414987730082796E-4</c:v>
                </c:pt>
                <c:pt idx="80">
                  <c:v>-5.7950626322050695E-4</c:v>
                </c:pt>
                <c:pt idx="81">
                  <c:v>-7.2875493352401305E-4</c:v>
                </c:pt>
                <c:pt idx="82">
                  <c:v>-8.8460047798412595E-4</c:v>
                </c:pt>
                <c:pt idx="83">
                  <c:v>-1.18165314228387E-3</c:v>
                </c:pt>
                <c:pt idx="84">
                  <c:v>-1.0641504733692299E-3</c:v>
                </c:pt>
                <c:pt idx="85">
                  <c:v>-2.5712098335122402E-4</c:v>
                </c:pt>
                <c:pt idx="86">
                  <c:v>-4.6514800161691301E-4</c:v>
                </c:pt>
                <c:pt idx="87">
                  <c:v>-5.6098376970586803E-5</c:v>
                </c:pt>
                <c:pt idx="88">
                  <c:v>-1.2948766262171099E-4</c:v>
                </c:pt>
                <c:pt idx="89">
                  <c:v>-3.7467419528157203E-4</c:v>
                </c:pt>
                <c:pt idx="90">
                  <c:v>-6.2827814521965002E-4</c:v>
                </c:pt>
                <c:pt idx="91">
                  <c:v>1.7287092136710399E-4</c:v>
                </c:pt>
                <c:pt idx="92">
                  <c:v>3.4722479864387199E-4</c:v>
                </c:pt>
                <c:pt idx="93">
                  <c:v>-3.5491622941097398E-4</c:v>
                </c:pt>
                <c:pt idx="94">
                  <c:v>-1.8109974024926599E-4</c:v>
                </c:pt>
                <c:pt idx="95">
                  <c:v>4.8400499563532501E-4</c:v>
                </c:pt>
                <c:pt idx="96">
                  <c:v>5.4084116021435298E-4</c:v>
                </c:pt>
                <c:pt idx="97">
                  <c:v>3.7203656163785001E-4</c:v>
                </c:pt>
                <c:pt idx="98">
                  <c:v>-6.0600547160361001E-5</c:v>
                </c:pt>
                <c:pt idx="99">
                  <c:v>1.39508240067163E-4</c:v>
                </c:pt>
                <c:pt idx="100">
                  <c:v>-6.1641486639978695E-5</c:v>
                </c:pt>
                <c:pt idx="101">
                  <c:v>-4.24438507014977E-4</c:v>
                </c:pt>
                <c:pt idx="102">
                  <c:v>3.0413164083763699E-4</c:v>
                </c:pt>
                <c:pt idx="103">
                  <c:v>5.5674058427715402E-4</c:v>
                </c:pt>
                <c:pt idx="104">
                  <c:v>4.3352699410133098E-4</c:v>
                </c:pt>
                <c:pt idx="105">
                  <c:v>5.2314258198058199E-4</c:v>
                </c:pt>
                <c:pt idx="106">
                  <c:v>4.8258649825195301E-4</c:v>
                </c:pt>
                <c:pt idx="107">
                  <c:v>-4.9086967730278599E-5</c:v>
                </c:pt>
                <c:pt idx="108">
                  <c:v>4.0159365112312802E-4</c:v>
                </c:pt>
                <c:pt idx="109">
                  <c:v>2.2292662510957901E-4</c:v>
                </c:pt>
                <c:pt idx="110">
                  <c:v>-2.1003048379167501E-4</c:v>
                </c:pt>
                <c:pt idx="111">
                  <c:v>-1.7483057355167099E-5</c:v>
                </c:pt>
                <c:pt idx="112">
                  <c:v>5.4283601426831796E-4</c:v>
                </c:pt>
                <c:pt idx="113">
                  <c:v>8.46803416966504E-4</c:v>
                </c:pt>
                <c:pt idx="114">
                  <c:v>4.7737706766141301E-4</c:v>
                </c:pt>
                <c:pt idx="115">
                  <c:v>2.7888021747429602E-4</c:v>
                </c:pt>
                <c:pt idx="116">
                  <c:v>-3.9018547369844598E-5</c:v>
                </c:pt>
                <c:pt idx="117">
                  <c:v>1.93111912098891E-4</c:v>
                </c:pt>
                <c:pt idx="118">
                  <c:v>3.4145046362060998E-4</c:v>
                </c:pt>
                <c:pt idx="119">
                  <c:v>7.8276072433260395E-4</c:v>
                </c:pt>
                <c:pt idx="120">
                  <c:v>2.0570519394489501E-4</c:v>
                </c:pt>
                <c:pt idx="121">
                  <c:v>3.8476187359505102E-4</c:v>
                </c:pt>
                <c:pt idx="122">
                  <c:v>1.2615597319963999E-3</c:v>
                </c:pt>
                <c:pt idx="123">
                  <c:v>5.0732406526481099E-4</c:v>
                </c:pt>
                <c:pt idx="124">
                  <c:v>1.2267832786352099E-3</c:v>
                </c:pt>
                <c:pt idx="125">
                  <c:v>4.6225617441606099E-4</c:v>
                </c:pt>
                <c:pt idx="126">
                  <c:v>7.07664111441608E-4</c:v>
                </c:pt>
                <c:pt idx="127">
                  <c:v>5.9047036152484397E-4</c:v>
                </c:pt>
                <c:pt idx="128">
                  <c:v>2.38773760222618E-4</c:v>
                </c:pt>
                <c:pt idx="129">
                  <c:v>6.9914954369199804E-4</c:v>
                </c:pt>
                <c:pt idx="130">
                  <c:v>5.3795297836401802E-4</c:v>
                </c:pt>
                <c:pt idx="131">
                  <c:v>2.4006721048353799E-4</c:v>
                </c:pt>
                <c:pt idx="132">
                  <c:v>9.67430150284842E-4</c:v>
                </c:pt>
                <c:pt idx="133">
                  <c:v>5.3696129935045596E-4</c:v>
                </c:pt>
                <c:pt idx="134">
                  <c:v>3.0618837414064998E-4</c:v>
                </c:pt>
                <c:pt idx="135">
                  <c:v>3.76546082873279E-4</c:v>
                </c:pt>
                <c:pt idx="136">
                  <c:v>3.3549632728107899E-4</c:v>
                </c:pt>
                <c:pt idx="137">
                  <c:v>4.0851661418952502E-4</c:v>
                </c:pt>
                <c:pt idx="138">
                  <c:v>-3.40375636461195E-6</c:v>
                </c:pt>
                <c:pt idx="139">
                  <c:v>5.4007575463171096E-4</c:v>
                </c:pt>
                <c:pt idx="140">
                  <c:v>8.4615370201428198E-4</c:v>
                </c:pt>
                <c:pt idx="141">
                  <c:v>9.1073541266555296E-4</c:v>
                </c:pt>
                <c:pt idx="142">
                  <c:v>1.7608897261566701E-4</c:v>
                </c:pt>
                <c:pt idx="143">
                  <c:v>3.5007059214681499E-4</c:v>
                </c:pt>
                <c:pt idx="144">
                  <c:v>5.7479357730365202E-4</c:v>
                </c:pt>
                <c:pt idx="145">
                  <c:v>3.7011283616703098E-4</c:v>
                </c:pt>
                <c:pt idx="146">
                  <c:v>1.2632152654211301E-4</c:v>
                </c:pt>
                <c:pt idx="147">
                  <c:v>5.5602886736031299E-4</c:v>
                </c:pt>
                <c:pt idx="148">
                  <c:v>8.0742347298649202E-4</c:v>
                </c:pt>
                <c:pt idx="149">
                  <c:v>6.3574429516459604E-4</c:v>
                </c:pt>
                <c:pt idx="150">
                  <c:v>1.8371818868866699E-4</c:v>
                </c:pt>
                <c:pt idx="151">
                  <c:v>1.3199181665437499E-4</c:v>
                </c:pt>
                <c:pt idx="152">
                  <c:v>2.8048888950917201E-4</c:v>
                </c:pt>
                <c:pt idx="153">
                  <c:v>2.2311522629967E-4</c:v>
                </c:pt>
                <c:pt idx="154">
                  <c:v>5.6334574476215303E-4</c:v>
                </c:pt>
                <c:pt idx="155">
                  <c:v>2.2899498956717099E-4</c:v>
                </c:pt>
                <c:pt idx="156">
                  <c:v>-3.7142805674365999E-5</c:v>
                </c:pt>
                <c:pt idx="157">
                  <c:v>2.29592291435902E-4</c:v>
                </c:pt>
                <c:pt idx="158">
                  <c:v>2.3433707418262501E-4</c:v>
                </c:pt>
                <c:pt idx="159">
                  <c:v>1.65462163081369E-4</c:v>
                </c:pt>
                <c:pt idx="160">
                  <c:v>1.1925349485052499E-3</c:v>
                </c:pt>
                <c:pt idx="161">
                  <c:v>8.9178271374023004E-4</c:v>
                </c:pt>
                <c:pt idx="162">
                  <c:v>3.3653820628257001E-4</c:v>
                </c:pt>
                <c:pt idx="163">
                  <c:v>8.8966081813856895E-4</c:v>
                </c:pt>
                <c:pt idx="164">
                  <c:v>2.8031738590943698E-4</c:v>
                </c:pt>
                <c:pt idx="165">
                  <c:v>5.5460651690173097E-4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FENY* x 10 dma / VDE*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-1.34988389368337E-4</c:v>
                </c:pt>
                <c:pt idx="11">
                  <c:v>3.4928708193259601E-4</c:v>
                </c:pt>
                <c:pt idx="12">
                  <c:v>-1.6803420730668699E-4</c:v>
                </c:pt>
                <c:pt idx="13">
                  <c:v>-4.6485506976044202E-4</c:v>
                </c:pt>
                <c:pt idx="14">
                  <c:v>-7.8138207538889397E-4</c:v>
                </c:pt>
                <c:pt idx="15">
                  <c:v>1.6407944607373499E-5</c:v>
                </c:pt>
                <c:pt idx="16">
                  <c:v>-2.29740520840981E-4</c:v>
                </c:pt>
                <c:pt idx="17">
                  <c:v>-5.4671971126798102E-4</c:v>
                </c:pt>
                <c:pt idx="18">
                  <c:v>-4.9553048275043695E-4</c:v>
                </c:pt>
                <c:pt idx="19">
                  <c:v>4.3876011133572401E-4</c:v>
                </c:pt>
                <c:pt idx="20">
                  <c:v>-1.6738353918968501E-4</c:v>
                </c:pt>
                <c:pt idx="21">
                  <c:v>-3.7549172271411602E-4</c:v>
                </c:pt>
                <c:pt idx="22">
                  <c:v>3.5535968750068298E-4</c:v>
                </c:pt>
                <c:pt idx="23">
                  <c:v>2.73559779803208E-4</c:v>
                </c:pt>
                <c:pt idx="24">
                  <c:v>-1.2650602714664401E-4</c:v>
                </c:pt>
                <c:pt idx="25">
                  <c:v>-1.3375087653770499E-4</c:v>
                </c:pt>
                <c:pt idx="26">
                  <c:v>4.6103770201616701E-4</c:v>
                </c:pt>
                <c:pt idx="27">
                  <c:v>5.4870272301322802E-5</c:v>
                </c:pt>
                <c:pt idx="28">
                  <c:v>3.32922218550858E-4</c:v>
                </c:pt>
                <c:pt idx="29">
                  <c:v>1.4143869321411601E-5</c:v>
                </c:pt>
                <c:pt idx="30">
                  <c:v>5.8568750936048304E-4</c:v>
                </c:pt>
                <c:pt idx="31">
                  <c:v>4.1090902603598201E-5</c:v>
                </c:pt>
                <c:pt idx="32">
                  <c:v>1.32033677382768E-4</c:v>
                </c:pt>
                <c:pt idx="33">
                  <c:v>-2.09065482913373E-4</c:v>
                </c:pt>
                <c:pt idx="34">
                  <c:v>-8.7874384443216193E-6</c:v>
                </c:pt>
                <c:pt idx="35">
                  <c:v>2.9065486505574199E-4</c:v>
                </c:pt>
                <c:pt idx="36">
                  <c:v>-6.9713715902584004E-4</c:v>
                </c:pt>
                <c:pt idx="37">
                  <c:v>-4.8036306093600698E-4</c:v>
                </c:pt>
                <c:pt idx="38">
                  <c:v>5.3168301944988498E-4</c:v>
                </c:pt>
                <c:pt idx="39">
                  <c:v>-1.06258803303047E-4</c:v>
                </c:pt>
                <c:pt idx="40">
                  <c:v>-2.03398106296355E-4</c:v>
                </c:pt>
                <c:pt idx="41">
                  <c:v>-3.23145494446053E-4</c:v>
                </c:pt>
                <c:pt idx="42">
                  <c:v>3.6727721472033201E-4</c:v>
                </c:pt>
                <c:pt idx="43">
                  <c:v>-3.3996174444179999E-4</c:v>
                </c:pt>
                <c:pt idx="44">
                  <c:v>1.99041128224629E-4</c:v>
                </c:pt>
                <c:pt idx="45">
                  <c:v>-1.51202064039128E-4</c:v>
                </c:pt>
                <c:pt idx="46">
                  <c:v>-6.5102659833473004E-5</c:v>
                </c:pt>
                <c:pt idx="47">
                  <c:v>9.2857660882819806E-5</c:v>
                </c:pt>
                <c:pt idx="48">
                  <c:v>-3.8490673378344798E-4</c:v>
                </c:pt>
                <c:pt idx="49">
                  <c:v>-5.5666234292173999E-5</c:v>
                </c:pt>
                <c:pt idx="50">
                  <c:v>2.8441626050383298E-4</c:v>
                </c:pt>
                <c:pt idx="51">
                  <c:v>5.7265021683391005E-4</c:v>
                </c:pt>
                <c:pt idx="52">
                  <c:v>9.2247644780240904E-5</c:v>
                </c:pt>
                <c:pt idx="53">
                  <c:v>1.35167536067662E-4</c:v>
                </c:pt>
                <c:pt idx="54">
                  <c:v>7.9728851631425204E-4</c:v>
                </c:pt>
                <c:pt idx="55">
                  <c:v>1.4648753808358401E-4</c:v>
                </c:pt>
                <c:pt idx="56">
                  <c:v>-7.9923653917991994E-5</c:v>
                </c:pt>
                <c:pt idx="57">
                  <c:v>-4.1456886692171701E-4</c:v>
                </c:pt>
                <c:pt idx="58">
                  <c:v>-1.6280350477179399E-4</c:v>
                </c:pt>
                <c:pt idx="59">
                  <c:v>-9.9902866345397595E-5</c:v>
                </c:pt>
                <c:pt idx="60">
                  <c:v>-2.5608701650466298E-4</c:v>
                </c:pt>
                <c:pt idx="61">
                  <c:v>-2.7861989784441599E-5</c:v>
                </c:pt>
                <c:pt idx="62">
                  <c:v>-2.23329850634994E-4</c:v>
                </c:pt>
                <c:pt idx="63">
                  <c:v>3.8542492100783298E-4</c:v>
                </c:pt>
                <c:pt idx="64">
                  <c:v>1.31830340832111E-4</c:v>
                </c:pt>
                <c:pt idx="65">
                  <c:v>-3.5845958756003503E-5</c:v>
                </c:pt>
                <c:pt idx="66">
                  <c:v>-2.3180497233607101E-4</c:v>
                </c:pt>
                <c:pt idx="67">
                  <c:v>2.5315345664772001E-4</c:v>
                </c:pt>
                <c:pt idx="68">
                  <c:v>-1.8293712107843199E-4</c:v>
                </c:pt>
                <c:pt idx="69">
                  <c:v>-1.25583775664709E-4</c:v>
                </c:pt>
                <c:pt idx="70">
                  <c:v>-2.04977056340569E-4</c:v>
                </c:pt>
                <c:pt idx="71">
                  <c:v>1.93881499721646E-4</c:v>
                </c:pt>
                <c:pt idx="72">
                  <c:v>4.1742646552235098E-5</c:v>
                </c:pt>
                <c:pt idx="73">
                  <c:v>1.8996250982400201E-4</c:v>
                </c:pt>
                <c:pt idx="74">
                  <c:v>5.1157647529971801E-4</c:v>
                </c:pt>
                <c:pt idx="75">
                  <c:v>3.14443333352074E-4</c:v>
                </c:pt>
                <c:pt idx="76">
                  <c:v>-1.5225703764005599E-4</c:v>
                </c:pt>
                <c:pt idx="77">
                  <c:v>-7.8816805332151198E-5</c:v>
                </c:pt>
                <c:pt idx="78">
                  <c:v>-1.66281245353519E-4</c:v>
                </c:pt>
                <c:pt idx="79">
                  <c:v>-4.6179855563272302E-4</c:v>
                </c:pt>
                <c:pt idx="80">
                  <c:v>-3.5126555656356901E-4</c:v>
                </c:pt>
                <c:pt idx="81">
                  <c:v>-4.920899864528E-4</c:v>
                </c:pt>
                <c:pt idx="82">
                  <c:v>-5.85290743948041E-4</c:v>
                </c:pt>
                <c:pt idx="83">
                  <c:v>-8.1801284490335302E-4</c:v>
                </c:pt>
                <c:pt idx="84">
                  <c:v>-5.8939474087366496E-4</c:v>
                </c:pt>
                <c:pt idx="85">
                  <c:v>3.47200313474705E-4</c:v>
                </c:pt>
                <c:pt idx="86">
                  <c:v>1.7159633380119999E-4</c:v>
                </c:pt>
                <c:pt idx="87">
                  <c:v>5.9108897493648802E-4</c:v>
                </c:pt>
                <c:pt idx="88">
                  <c:v>4.9635098769480702E-4</c:v>
                </c:pt>
                <c:pt idx="89">
                  <c:v>2.2645826496402101E-4</c:v>
                </c:pt>
                <c:pt idx="90">
                  <c:v>-5.60913066867603E-5</c:v>
                </c:pt>
                <c:pt idx="91">
                  <c:v>7.4993509084141595E-4</c:v>
                </c:pt>
                <c:pt idx="92">
                  <c:v>8.3414928271117496E-4</c:v>
                </c:pt>
                <c:pt idx="93">
                  <c:v>8.8450149350378095E-6</c:v>
                </c:pt>
                <c:pt idx="94">
                  <c:v>9.9950939817998805E-5</c:v>
                </c:pt>
                <c:pt idx="95">
                  <c:v>6.7671652982632903E-4</c:v>
                </c:pt>
                <c:pt idx="96">
                  <c:v>6.5946003637931802E-4</c:v>
                </c:pt>
                <c:pt idx="97">
                  <c:v>3.9006719757470298E-4</c:v>
                </c:pt>
                <c:pt idx="98">
                  <c:v>-8.5376787112308807E-5</c:v>
                </c:pt>
                <c:pt idx="99">
                  <c:v>1.07842439377748E-4</c:v>
                </c:pt>
                <c:pt idx="100">
                  <c:v>-1.4473452847160701E-4</c:v>
                </c:pt>
                <c:pt idx="101">
                  <c:v>-5.6422108252023799E-4</c:v>
                </c:pt>
                <c:pt idx="102">
                  <c:v>2.2409408892547301E-4</c:v>
                </c:pt>
                <c:pt idx="103">
                  <c:v>4.8101128045203301E-4</c:v>
                </c:pt>
                <c:pt idx="104">
                  <c:v>2.6663014590123002E-4</c:v>
                </c:pt>
                <c:pt idx="105">
                  <c:v>2.9477866976602898E-4</c:v>
                </c:pt>
                <c:pt idx="106">
                  <c:v>2.5030989670531199E-4</c:v>
                </c:pt>
                <c:pt idx="107">
                  <c:v>-2.7553974766343398E-4</c:v>
                </c:pt>
                <c:pt idx="108">
                  <c:v>2.1725507408701099E-4</c:v>
                </c:pt>
                <c:pt idx="109">
                  <c:v>-7.6330801206020707E-6</c:v>
                </c:pt>
                <c:pt idx="110">
                  <c:v>-4.4893247394079799E-4</c:v>
                </c:pt>
                <c:pt idx="111">
                  <c:v>-2.4154069621210001E-4</c:v>
                </c:pt>
                <c:pt idx="112">
                  <c:v>2.7806388704333098E-4</c:v>
                </c:pt>
                <c:pt idx="113">
                  <c:v>5.5816435574596696E-4</c:v>
                </c:pt>
                <c:pt idx="114">
                  <c:v>1.59743283703306E-4</c:v>
                </c:pt>
                <c:pt idx="115">
                  <c:v>-4.3137979159401398E-5</c:v>
                </c:pt>
                <c:pt idx="116">
                  <c:v>-3.3661273519107601E-4</c:v>
                </c:pt>
                <c:pt idx="117">
                  <c:v>-5.2319176637988902E-5</c:v>
                </c:pt>
                <c:pt idx="118">
                  <c:v>7.1794992889625495E-5</c:v>
                </c:pt>
                <c:pt idx="119">
                  <c:v>5.1911894164395503E-4</c:v>
                </c:pt>
                <c:pt idx="120">
                  <c:v>-1.13908176041213E-4</c:v>
                </c:pt>
                <c:pt idx="121">
                  <c:v>2.3560691245585099E-5</c:v>
                </c:pt>
                <c:pt idx="122">
                  <c:v>8.6012610400016103E-4</c:v>
                </c:pt>
                <c:pt idx="123">
                  <c:v>3.4051465695853397E-5</c:v>
                </c:pt>
                <c:pt idx="124">
                  <c:v>7.87451120832967E-4</c:v>
                </c:pt>
                <c:pt idx="125">
                  <c:v>-5.1988486897981302E-5</c:v>
                </c:pt>
                <c:pt idx="126">
                  <c:v>1.75079051353836E-4</c:v>
                </c:pt>
                <c:pt idx="127">
                  <c:v>-1.6800560467117502E-5</c:v>
                </c:pt>
                <c:pt idx="128">
                  <c:v>-4.0824235999712999E-4</c:v>
                </c:pt>
                <c:pt idx="129">
                  <c:v>6.2404706293352005E-5</c:v>
                </c:pt>
                <c:pt idx="130">
                  <c:v>-9.0431647184009998E-5</c:v>
                </c:pt>
                <c:pt idx="131">
                  <c:v>-4.2155127099206401E-4</c:v>
                </c:pt>
                <c:pt idx="132">
                  <c:v>3.2028608405511002E-4</c:v>
                </c:pt>
                <c:pt idx="133">
                  <c:v>-8.0783983710813398E-5</c:v>
                </c:pt>
                <c:pt idx="134">
                  <c:v>-3.1452092007519701E-4</c:v>
                </c:pt>
                <c:pt idx="135">
                  <c:v>-1.5212137275772E-4</c:v>
                </c:pt>
                <c:pt idx="136">
                  <c:v>-1.8459921935833E-4</c:v>
                </c:pt>
                <c:pt idx="137">
                  <c:v>-7.43629015986976E-5</c:v>
                </c:pt>
                <c:pt idx="138">
                  <c:v>-4.6808836521716301E-4</c:v>
                </c:pt>
                <c:pt idx="139">
                  <c:v>9.9617009056657095E-5</c:v>
                </c:pt>
                <c:pt idx="140">
                  <c:v>4.2159935927238998E-4</c:v>
                </c:pt>
                <c:pt idx="141">
                  <c:v>4.55368765978763E-4</c:v>
                </c:pt>
                <c:pt idx="142">
                  <c:v>-3.46338694226112E-4</c:v>
                </c:pt>
                <c:pt idx="143">
                  <c:v>-9.3229989233324905E-5</c:v>
                </c:pt>
                <c:pt idx="144">
                  <c:v>1.5018188800774599E-4</c:v>
                </c:pt>
                <c:pt idx="145">
                  <c:v>-8.1359307742112898E-5</c:v>
                </c:pt>
                <c:pt idx="146">
                  <c:v>-3.2450724263041698E-4</c:v>
                </c:pt>
                <c:pt idx="147">
                  <c:v>1.2612196011076301E-4</c:v>
                </c:pt>
                <c:pt idx="148">
                  <c:v>3.62766004057826E-4</c:v>
                </c:pt>
                <c:pt idx="149">
                  <c:v>1.09997355359188E-4</c:v>
                </c:pt>
                <c:pt idx="150">
                  <c:v>-3.5159505624399401E-4</c:v>
                </c:pt>
                <c:pt idx="151">
                  <c:v>-3.3707871995282201E-4</c:v>
                </c:pt>
                <c:pt idx="152">
                  <c:v>-1.1071438944631801E-4</c:v>
                </c:pt>
                <c:pt idx="153">
                  <c:v>-1.7852979982792001E-4</c:v>
                </c:pt>
                <c:pt idx="154">
                  <c:v>1.7439763535426E-4</c:v>
                </c:pt>
                <c:pt idx="155">
                  <c:v>-1.58808543423362E-4</c:v>
                </c:pt>
                <c:pt idx="156">
                  <c:v>-4.1083340816636598E-4</c:v>
                </c:pt>
                <c:pt idx="157">
                  <c:v>-1.2774663098883801E-4</c:v>
                </c:pt>
                <c:pt idx="158">
                  <c:v>-9.0359881164087504E-5</c:v>
                </c:pt>
                <c:pt idx="159">
                  <c:v>-1.0193903493031699E-4</c:v>
                </c:pt>
                <c:pt idx="160">
                  <c:v>9.7215459480168396E-4</c:v>
                </c:pt>
                <c:pt idx="161">
                  <c:v>5.7056277162671905E-4</c:v>
                </c:pt>
                <c:pt idx="162">
                  <c:v>-6.0649227474650398E-5</c:v>
                </c:pt>
                <c:pt idx="163">
                  <c:v>4.8686793995955402E-4</c:v>
                </c:pt>
                <c:pt idx="164">
                  <c:v>-1.8912203648816599E-4</c:v>
                </c:pt>
                <c:pt idx="165">
                  <c:v>1.13470877397224E-4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XLU* x 20 dma / IDU*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-8.6470371751363995E-4</c:v>
                </c:pt>
                <c:pt idx="21">
                  <c:v>-1.29187628918202E-4</c:v>
                </c:pt>
                <c:pt idx="22">
                  <c:v>4.9945213535797998E-4</c:v>
                </c:pt>
                <c:pt idx="23">
                  <c:v>-7.1253724057848905E-4</c:v>
                </c:pt>
                <c:pt idx="24">
                  <c:v>-5.7454753961585505E-4</c:v>
                </c:pt>
                <c:pt idx="25">
                  <c:v>-1.86795475129009E-3</c:v>
                </c:pt>
                <c:pt idx="26">
                  <c:v>-3.83393558096003E-4</c:v>
                </c:pt>
                <c:pt idx="27">
                  <c:v>-6.0517505846659997E-6</c:v>
                </c:pt>
                <c:pt idx="28">
                  <c:v>2.42480888711416E-3</c:v>
                </c:pt>
                <c:pt idx="29">
                  <c:v>3.8821152040305201E-3</c:v>
                </c:pt>
                <c:pt idx="30">
                  <c:v>4.2381007100616899E-3</c:v>
                </c:pt>
                <c:pt idx="31">
                  <c:v>3.1795069471789602E-3</c:v>
                </c:pt>
                <c:pt idx="32">
                  <c:v>3.8621657725742701E-3</c:v>
                </c:pt>
                <c:pt idx="33">
                  <c:v>5.0475542309980697E-3</c:v>
                </c:pt>
                <c:pt idx="34">
                  <c:v>6.0346221634655899E-3</c:v>
                </c:pt>
                <c:pt idx="35">
                  <c:v>6.7524062777996503E-3</c:v>
                </c:pt>
                <c:pt idx="36">
                  <c:v>6.1697243766382403E-3</c:v>
                </c:pt>
                <c:pt idx="37">
                  <c:v>3.5130612749272802E-3</c:v>
                </c:pt>
                <c:pt idx="38">
                  <c:v>2.6571590008589701E-3</c:v>
                </c:pt>
                <c:pt idx="39">
                  <c:v>1.04168215056573E-3</c:v>
                </c:pt>
                <c:pt idx="40">
                  <c:v>4.9534744919714805E-4</c:v>
                </c:pt>
                <c:pt idx="41">
                  <c:v>8.6544247525110205E-4</c:v>
                </c:pt>
                <c:pt idx="42">
                  <c:v>-3.86670664178491E-4</c:v>
                </c:pt>
                <c:pt idx="43">
                  <c:v>-2.91082356434071E-5</c:v>
                </c:pt>
                <c:pt idx="44">
                  <c:v>-3.13140196944128E-4</c:v>
                </c:pt>
                <c:pt idx="45">
                  <c:v>2.0956723334209898E-3</c:v>
                </c:pt>
                <c:pt idx="46">
                  <c:v>2.9837394332408502E-4</c:v>
                </c:pt>
                <c:pt idx="47">
                  <c:v>1.8016979388499999E-5</c:v>
                </c:pt>
                <c:pt idx="48">
                  <c:v>9.2476901720567101E-4</c:v>
                </c:pt>
                <c:pt idx="49">
                  <c:v>2.4240537846085398E-3</c:v>
                </c:pt>
                <c:pt idx="50">
                  <c:v>1.74873741453631E-3</c:v>
                </c:pt>
                <c:pt idx="51">
                  <c:v>4.3784409745834701E-4</c:v>
                </c:pt>
                <c:pt idx="52">
                  <c:v>-1.7735025605860601E-5</c:v>
                </c:pt>
                <c:pt idx="53">
                  <c:v>-2.46320224811026E-3</c:v>
                </c:pt>
                <c:pt idx="54">
                  <c:v>-1.43916326338029E-3</c:v>
                </c:pt>
                <c:pt idx="55">
                  <c:v>-4.4774603340949301E-4</c:v>
                </c:pt>
                <c:pt idx="56">
                  <c:v>-5.4365417357877898E-5</c:v>
                </c:pt>
                <c:pt idx="57">
                  <c:v>-9.1691116428777801E-4</c:v>
                </c:pt>
                <c:pt idx="58">
                  <c:v>2.9957462026690402E-4</c:v>
                </c:pt>
                <c:pt idx="59">
                  <c:v>1.9704231063864798E-5</c:v>
                </c:pt>
                <c:pt idx="60">
                  <c:v>1.9349657278497999E-4</c:v>
                </c:pt>
                <c:pt idx="61">
                  <c:v>6.1429270065756604E-4</c:v>
                </c:pt>
                <c:pt idx="62">
                  <c:v>-1.90431078769153E-3</c:v>
                </c:pt>
                <c:pt idx="63">
                  <c:v>-7.9312802665805796E-4</c:v>
                </c:pt>
                <c:pt idx="64">
                  <c:v>-1.6424945107508099E-3</c:v>
                </c:pt>
                <c:pt idx="65">
                  <c:v>9.2549240148967796E-4</c:v>
                </c:pt>
                <c:pt idx="66">
                  <c:v>1.48835824812377E-3</c:v>
                </c:pt>
                <c:pt idx="67">
                  <c:v>2.3314780711983299E-3</c:v>
                </c:pt>
                <c:pt idx="68">
                  <c:v>8.4373791429531904E-4</c:v>
                </c:pt>
                <c:pt idx="69">
                  <c:v>1.2802857225088101E-3</c:v>
                </c:pt>
                <c:pt idx="70">
                  <c:v>1.01515981970384E-3</c:v>
                </c:pt>
                <c:pt idx="71">
                  <c:v>2.2889950989909802E-3</c:v>
                </c:pt>
                <c:pt idx="72">
                  <c:v>1.7861779505842601E-3</c:v>
                </c:pt>
                <c:pt idx="73">
                  <c:v>9.7431509870035899E-4</c:v>
                </c:pt>
                <c:pt idx="74">
                  <c:v>1.0672219577337199E-3</c:v>
                </c:pt>
                <c:pt idx="75">
                  <c:v>-5.7333327518318102E-4</c:v>
                </c:pt>
                <c:pt idx="76">
                  <c:v>-1.3752879670371301E-3</c:v>
                </c:pt>
                <c:pt idx="77">
                  <c:v>-4.0716926204696998E-4</c:v>
                </c:pt>
                <c:pt idx="78">
                  <c:v>1.21279905084421E-3</c:v>
                </c:pt>
                <c:pt idx="79">
                  <c:v>7.1770995903040703E-4</c:v>
                </c:pt>
                <c:pt idx="80">
                  <c:v>-2.2609459390447701E-4</c:v>
                </c:pt>
                <c:pt idx="81">
                  <c:v>1.3497489309353299E-3</c:v>
                </c:pt>
                <c:pt idx="82">
                  <c:v>2.4008528197355002E-3</c:v>
                </c:pt>
                <c:pt idx="83">
                  <c:v>9.1441068047636096E-4</c:v>
                </c:pt>
                <c:pt idx="84">
                  <c:v>1.9714024534915799E-3</c:v>
                </c:pt>
                <c:pt idx="85">
                  <c:v>1.8634144582060201E-3</c:v>
                </c:pt>
                <c:pt idx="86">
                  <c:v>6.2035775261661203E-4</c:v>
                </c:pt>
                <c:pt idx="87">
                  <c:v>1.20562551199307E-3</c:v>
                </c:pt>
                <c:pt idx="88">
                  <c:v>2.32539652710903E-3</c:v>
                </c:pt>
                <c:pt idx="89">
                  <c:v>3.91190706649554E-4</c:v>
                </c:pt>
                <c:pt idx="90">
                  <c:v>6.8649721492334095E-4</c:v>
                </c:pt>
                <c:pt idx="91">
                  <c:v>-1.68213399896224E-4</c:v>
                </c:pt>
                <c:pt idx="92">
                  <c:v>-2.4928547519703801E-3</c:v>
                </c:pt>
                <c:pt idx="93">
                  <c:v>-2.9245500746250801E-3</c:v>
                </c:pt>
                <c:pt idx="94">
                  <c:v>-2.14754904964716E-3</c:v>
                </c:pt>
                <c:pt idx="95">
                  <c:v>-7.9762920908492603E-4</c:v>
                </c:pt>
                <c:pt idx="96">
                  <c:v>9.1792500601552195E-4</c:v>
                </c:pt>
                <c:pt idx="97">
                  <c:v>6.9837704210563302E-4</c:v>
                </c:pt>
                <c:pt idx="98">
                  <c:v>7.5542129293344501E-4</c:v>
                </c:pt>
                <c:pt idx="99">
                  <c:v>1.42350197654029E-3</c:v>
                </c:pt>
                <c:pt idx="100">
                  <c:v>9.1793478206157904E-4</c:v>
                </c:pt>
                <c:pt idx="101">
                  <c:v>5.3415595727416599E-4</c:v>
                </c:pt>
                <c:pt idx="102">
                  <c:v>-2.25778686760652E-3</c:v>
                </c:pt>
                <c:pt idx="103">
                  <c:v>-6.9380162112006095E-4</c:v>
                </c:pt>
                <c:pt idx="104">
                  <c:v>-2.1937519235330299E-3</c:v>
                </c:pt>
                <c:pt idx="105">
                  <c:v>-2.7168301871452402E-3</c:v>
                </c:pt>
                <c:pt idx="106">
                  <c:v>-1.53230683888111E-3</c:v>
                </c:pt>
                <c:pt idx="107">
                  <c:v>-1.6945522307900099E-3</c:v>
                </c:pt>
                <c:pt idx="108">
                  <c:v>-3.29209709127878E-3</c:v>
                </c:pt>
                <c:pt idx="109">
                  <c:v>-2.8034446859293502E-3</c:v>
                </c:pt>
                <c:pt idx="110">
                  <c:v>6.1743992113024406E-5</c:v>
                </c:pt>
                <c:pt idx="111">
                  <c:v>2.7070232068315798E-4</c:v>
                </c:pt>
                <c:pt idx="112">
                  <c:v>8.3817268955812001E-4</c:v>
                </c:pt>
                <c:pt idx="113">
                  <c:v>8.1140520839927002E-4</c:v>
                </c:pt>
                <c:pt idx="114">
                  <c:v>-2.6601212014804298E-4</c:v>
                </c:pt>
                <c:pt idx="115">
                  <c:v>3.75179984050135E-4</c:v>
                </c:pt>
                <c:pt idx="116">
                  <c:v>7.9448820249703302E-4</c:v>
                </c:pt>
                <c:pt idx="117">
                  <c:v>7.9176915203459406E-5</c:v>
                </c:pt>
                <c:pt idx="118">
                  <c:v>-9.0508916215530002E-4</c:v>
                </c:pt>
                <c:pt idx="119">
                  <c:v>4.4506336200082297E-5</c:v>
                </c:pt>
                <c:pt idx="120">
                  <c:v>2.1668189448789601E-4</c:v>
                </c:pt>
                <c:pt idx="121">
                  <c:v>1.3105828534465799E-3</c:v>
                </c:pt>
                <c:pt idx="122">
                  <c:v>6.7586208964386595E-4</c:v>
                </c:pt>
                <c:pt idx="123">
                  <c:v>-6.2853053308822599E-4</c:v>
                </c:pt>
                <c:pt idx="124">
                  <c:v>9.4594405075714992E-6</c:v>
                </c:pt>
                <c:pt idx="125">
                  <c:v>-1.4511446508487201E-3</c:v>
                </c:pt>
                <c:pt idx="126">
                  <c:v>-3.2333328234306E-3</c:v>
                </c:pt>
                <c:pt idx="127">
                  <c:v>-2.8569454311224902E-3</c:v>
                </c:pt>
                <c:pt idx="128">
                  <c:v>-3.03527888004389E-3</c:v>
                </c:pt>
                <c:pt idx="129">
                  <c:v>-2.5551510518867599E-3</c:v>
                </c:pt>
                <c:pt idx="130">
                  <c:v>-3.1614215724494301E-3</c:v>
                </c:pt>
                <c:pt idx="131">
                  <c:v>-2.6761255796605501E-3</c:v>
                </c:pt>
                <c:pt idx="132">
                  <c:v>-3.5595962480902401E-3</c:v>
                </c:pt>
                <c:pt idx="133">
                  <c:v>-4.7220389149693299E-3</c:v>
                </c:pt>
                <c:pt idx="134">
                  <c:v>-3.8003836992136198E-3</c:v>
                </c:pt>
                <c:pt idx="135">
                  <c:v>-3.4034602295595598E-3</c:v>
                </c:pt>
                <c:pt idx="136">
                  <c:v>-1.54187881875662E-3</c:v>
                </c:pt>
                <c:pt idx="137">
                  <c:v>-1.6160452349794899E-4</c:v>
                </c:pt>
                <c:pt idx="138">
                  <c:v>5.6896809248248997E-4</c:v>
                </c:pt>
                <c:pt idx="139">
                  <c:v>1.67903947077651E-3</c:v>
                </c:pt>
                <c:pt idx="140">
                  <c:v>1.0857202395779899E-3</c:v>
                </c:pt>
                <c:pt idx="141">
                  <c:v>4.2659324334834301E-4</c:v>
                </c:pt>
                <c:pt idx="142">
                  <c:v>-5.1419071606388601E-4</c:v>
                </c:pt>
                <c:pt idx="143">
                  <c:v>1.5783607686435199E-3</c:v>
                </c:pt>
                <c:pt idx="144">
                  <c:v>9.40432586550122E-4</c:v>
                </c:pt>
                <c:pt idx="145">
                  <c:v>1.01688574664222E-4</c:v>
                </c:pt>
                <c:pt idx="146">
                  <c:v>3.1068698516110402E-4</c:v>
                </c:pt>
                <c:pt idx="147">
                  <c:v>1.7978208282074499E-4</c:v>
                </c:pt>
                <c:pt idx="148">
                  <c:v>-2.19441788300073E-3</c:v>
                </c:pt>
                <c:pt idx="149">
                  <c:v>-2.78145902881035E-3</c:v>
                </c:pt>
                <c:pt idx="150">
                  <c:v>-3.2826991431648199E-3</c:v>
                </c:pt>
                <c:pt idx="151">
                  <c:v>-2.2979211864092301E-3</c:v>
                </c:pt>
                <c:pt idx="152">
                  <c:v>-1.96045418919511E-3</c:v>
                </c:pt>
                <c:pt idx="153">
                  <c:v>-6.6556287530304995E-4</c:v>
                </c:pt>
                <c:pt idx="154">
                  <c:v>-6.0230454073985395E-4</c:v>
                </c:pt>
                <c:pt idx="155">
                  <c:v>-3.0198887573076801E-4</c:v>
                </c:pt>
                <c:pt idx="156">
                  <c:v>4.7175668268405597E-4</c:v>
                </c:pt>
                <c:pt idx="157">
                  <c:v>-1.34721654915505E-3</c:v>
                </c:pt>
                <c:pt idx="158">
                  <c:v>-1.1874406120039301E-3</c:v>
                </c:pt>
                <c:pt idx="159">
                  <c:v>-3.7168816841461698E-3</c:v>
                </c:pt>
                <c:pt idx="160">
                  <c:v>-2.5997571306653399E-3</c:v>
                </c:pt>
                <c:pt idx="161">
                  <c:v>-4.41534571623822E-4</c:v>
                </c:pt>
                <c:pt idx="162">
                  <c:v>3.0331488899726198E-4</c:v>
                </c:pt>
                <c:pt idx="163">
                  <c:v>4.5440767409752703E-4</c:v>
                </c:pt>
                <c:pt idx="164">
                  <c:v>-1.0039690772219599E-3</c:v>
                </c:pt>
                <c:pt idx="165">
                  <c:v>-2.60882903280895E-3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VDE*/FENY*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5.08472288464342</c:v>
                </c:pt>
                <c:pt idx="1">
                  <c:v>5.08472288464342</c:v>
                </c:pt>
                <c:pt idx="2">
                  <c:v>5.08472288464342</c:v>
                </c:pt>
                <c:pt idx="3">
                  <c:v>5.08472288464342</c:v>
                </c:pt>
                <c:pt idx="4">
                  <c:v>5.08472288464342</c:v>
                </c:pt>
                <c:pt idx="5">
                  <c:v>5.08472288464342</c:v>
                </c:pt>
                <c:pt idx="6">
                  <c:v>5.08472288464342</c:v>
                </c:pt>
                <c:pt idx="7">
                  <c:v>5.08472288464342</c:v>
                </c:pt>
                <c:pt idx="8">
                  <c:v>5.08472288464342</c:v>
                </c:pt>
                <c:pt idx="9">
                  <c:v>5.08472288464342</c:v>
                </c:pt>
                <c:pt idx="10">
                  <c:v>5.08472288464342</c:v>
                </c:pt>
                <c:pt idx="11">
                  <c:v>5.08472288464342</c:v>
                </c:pt>
                <c:pt idx="12">
                  <c:v>5.08472288464342</c:v>
                </c:pt>
                <c:pt idx="13">
                  <c:v>5.08472288464342</c:v>
                </c:pt>
                <c:pt idx="14">
                  <c:v>5.08472288464342</c:v>
                </c:pt>
                <c:pt idx="15">
                  <c:v>5.08472288464342</c:v>
                </c:pt>
                <c:pt idx="16">
                  <c:v>5.08472288464342</c:v>
                </c:pt>
                <c:pt idx="17">
                  <c:v>5.08472288464342</c:v>
                </c:pt>
                <c:pt idx="18">
                  <c:v>5.08472288464342</c:v>
                </c:pt>
                <c:pt idx="19">
                  <c:v>5.08472288464342</c:v>
                </c:pt>
                <c:pt idx="20">
                  <c:v>5.08472288464342</c:v>
                </c:pt>
                <c:pt idx="21">
                  <c:v>5.08472288464342</c:v>
                </c:pt>
                <c:pt idx="22">
                  <c:v>5.08472288464342</c:v>
                </c:pt>
                <c:pt idx="23">
                  <c:v>5.08472288464342</c:v>
                </c:pt>
                <c:pt idx="24">
                  <c:v>5.08472288464342</c:v>
                </c:pt>
                <c:pt idx="25">
                  <c:v>5.08472288464342</c:v>
                </c:pt>
                <c:pt idx="26">
                  <c:v>5.08472288464342</c:v>
                </c:pt>
                <c:pt idx="27">
                  <c:v>5.08472288464342</c:v>
                </c:pt>
                <c:pt idx="28">
                  <c:v>5.08472288464342</c:v>
                </c:pt>
                <c:pt idx="29">
                  <c:v>5.08472288464342</c:v>
                </c:pt>
                <c:pt idx="30">
                  <c:v>5.08472288464342</c:v>
                </c:pt>
                <c:pt idx="31">
                  <c:v>5.08472288464342</c:v>
                </c:pt>
                <c:pt idx="32">
                  <c:v>5.08472288464342</c:v>
                </c:pt>
                <c:pt idx="33">
                  <c:v>5.08472288464342</c:v>
                </c:pt>
                <c:pt idx="34">
                  <c:v>5.08472288464342</c:v>
                </c:pt>
                <c:pt idx="35">
                  <c:v>5.08472288464342</c:v>
                </c:pt>
                <c:pt idx="36">
                  <c:v>5.08472288464342</c:v>
                </c:pt>
                <c:pt idx="37">
                  <c:v>5.08472288464342</c:v>
                </c:pt>
                <c:pt idx="38">
                  <c:v>5.08472288464342</c:v>
                </c:pt>
                <c:pt idx="39">
                  <c:v>5.08472288464342</c:v>
                </c:pt>
                <c:pt idx="40">
                  <c:v>5.08472288464342</c:v>
                </c:pt>
                <c:pt idx="41">
                  <c:v>5.08472288464342</c:v>
                </c:pt>
                <c:pt idx="42">
                  <c:v>5.08472288464342</c:v>
                </c:pt>
                <c:pt idx="43">
                  <c:v>5.08472288464342</c:v>
                </c:pt>
                <c:pt idx="44">
                  <c:v>5.08472288464342</c:v>
                </c:pt>
                <c:pt idx="45">
                  <c:v>5.08472288464342</c:v>
                </c:pt>
                <c:pt idx="46">
                  <c:v>5.08472288464342</c:v>
                </c:pt>
                <c:pt idx="47">
                  <c:v>5.08472288464342</c:v>
                </c:pt>
                <c:pt idx="48">
                  <c:v>5.08472288464342</c:v>
                </c:pt>
                <c:pt idx="49">
                  <c:v>5.08472288464342</c:v>
                </c:pt>
                <c:pt idx="50">
                  <c:v>5.08472288464342</c:v>
                </c:pt>
                <c:pt idx="51">
                  <c:v>5.08472288464342</c:v>
                </c:pt>
                <c:pt idx="52">
                  <c:v>5.08472288464342</c:v>
                </c:pt>
                <c:pt idx="53">
                  <c:v>5.08472288464342</c:v>
                </c:pt>
                <c:pt idx="54">
                  <c:v>5.08472288464342</c:v>
                </c:pt>
                <c:pt idx="55">
                  <c:v>5.08472288464342</c:v>
                </c:pt>
                <c:pt idx="56">
                  <c:v>5.08472288464342</c:v>
                </c:pt>
                <c:pt idx="57">
                  <c:v>5.08472288464342</c:v>
                </c:pt>
                <c:pt idx="58">
                  <c:v>5.08472288464342</c:v>
                </c:pt>
                <c:pt idx="59">
                  <c:v>5.08472288464342</c:v>
                </c:pt>
                <c:pt idx="60">
                  <c:v>5.08472288464342</c:v>
                </c:pt>
                <c:pt idx="61">
                  <c:v>5.08472288464342</c:v>
                </c:pt>
                <c:pt idx="62">
                  <c:v>5.08472288464342</c:v>
                </c:pt>
                <c:pt idx="63">
                  <c:v>5.08472288464342</c:v>
                </c:pt>
                <c:pt idx="64">
                  <c:v>5.08472288464342</c:v>
                </c:pt>
                <c:pt idx="65">
                  <c:v>5.08472288464342</c:v>
                </c:pt>
                <c:pt idx="66">
                  <c:v>5.08472288464342</c:v>
                </c:pt>
                <c:pt idx="67">
                  <c:v>5.08472288464342</c:v>
                </c:pt>
                <c:pt idx="68">
                  <c:v>5.08472288464342</c:v>
                </c:pt>
                <c:pt idx="69">
                  <c:v>5.08472288464342</c:v>
                </c:pt>
                <c:pt idx="70">
                  <c:v>5.08472288464342</c:v>
                </c:pt>
                <c:pt idx="71">
                  <c:v>5.08472288464342</c:v>
                </c:pt>
                <c:pt idx="72">
                  <c:v>5.08472288464342</c:v>
                </c:pt>
                <c:pt idx="73">
                  <c:v>5.08472288464342</c:v>
                </c:pt>
                <c:pt idx="74">
                  <c:v>5.08472288464342</c:v>
                </c:pt>
                <c:pt idx="75">
                  <c:v>5.08472288464342</c:v>
                </c:pt>
                <c:pt idx="76">
                  <c:v>5.08472288464342</c:v>
                </c:pt>
                <c:pt idx="77">
                  <c:v>5.08472288464342</c:v>
                </c:pt>
                <c:pt idx="78">
                  <c:v>5.08472288464342</c:v>
                </c:pt>
                <c:pt idx="79">
                  <c:v>5.08472288464342</c:v>
                </c:pt>
                <c:pt idx="80">
                  <c:v>5.08472288464342</c:v>
                </c:pt>
                <c:pt idx="81">
                  <c:v>5.08472288464342</c:v>
                </c:pt>
                <c:pt idx="82">
                  <c:v>5.08472288464342</c:v>
                </c:pt>
                <c:pt idx="83">
                  <c:v>5.08472288464342</c:v>
                </c:pt>
                <c:pt idx="84">
                  <c:v>5.08472288464342</c:v>
                </c:pt>
                <c:pt idx="85">
                  <c:v>5.08472288464342</c:v>
                </c:pt>
                <c:pt idx="86">
                  <c:v>5.08472288464342</c:v>
                </c:pt>
                <c:pt idx="87">
                  <c:v>5.08472288464342</c:v>
                </c:pt>
                <c:pt idx="88">
                  <c:v>5.08472288464342</c:v>
                </c:pt>
                <c:pt idx="89">
                  <c:v>5.08472288464342</c:v>
                </c:pt>
                <c:pt idx="90">
                  <c:v>5.08472288464342</c:v>
                </c:pt>
                <c:pt idx="91">
                  <c:v>5.08472288464342</c:v>
                </c:pt>
                <c:pt idx="92">
                  <c:v>5.08472288464342</c:v>
                </c:pt>
                <c:pt idx="93">
                  <c:v>5.08472288464342</c:v>
                </c:pt>
                <c:pt idx="94">
                  <c:v>5.08472288464342</c:v>
                </c:pt>
                <c:pt idx="95">
                  <c:v>5.08472288464342</c:v>
                </c:pt>
                <c:pt idx="96">
                  <c:v>5.08472288464342</c:v>
                </c:pt>
                <c:pt idx="97">
                  <c:v>5.08472288464342</c:v>
                </c:pt>
                <c:pt idx="98">
                  <c:v>5.08472288464342</c:v>
                </c:pt>
                <c:pt idx="99">
                  <c:v>5.08472288464342</c:v>
                </c:pt>
                <c:pt idx="100">
                  <c:v>5.08472288464342</c:v>
                </c:pt>
                <c:pt idx="101">
                  <c:v>5.08472288464342</c:v>
                </c:pt>
                <c:pt idx="102">
                  <c:v>5.08472288464342</c:v>
                </c:pt>
                <c:pt idx="103">
                  <c:v>5.08472288464342</c:v>
                </c:pt>
                <c:pt idx="104">
                  <c:v>5.08472288464342</c:v>
                </c:pt>
                <c:pt idx="105">
                  <c:v>5.08472288464342</c:v>
                </c:pt>
                <c:pt idx="106">
                  <c:v>5.08472288464342</c:v>
                </c:pt>
                <c:pt idx="107">
                  <c:v>5.08472288464342</c:v>
                </c:pt>
                <c:pt idx="108">
                  <c:v>5.08472288464342</c:v>
                </c:pt>
                <c:pt idx="109">
                  <c:v>5.08472288464342</c:v>
                </c:pt>
                <c:pt idx="110">
                  <c:v>5.08472288464342</c:v>
                </c:pt>
                <c:pt idx="111">
                  <c:v>5.08472288464342</c:v>
                </c:pt>
                <c:pt idx="112">
                  <c:v>5.08472288464342</c:v>
                </c:pt>
                <c:pt idx="113">
                  <c:v>5.08472288464342</c:v>
                </c:pt>
                <c:pt idx="114">
                  <c:v>5.08472288464342</c:v>
                </c:pt>
                <c:pt idx="115">
                  <c:v>5.08472288464342</c:v>
                </c:pt>
                <c:pt idx="116">
                  <c:v>5.08472288464342</c:v>
                </c:pt>
                <c:pt idx="117">
                  <c:v>5.08472288464342</c:v>
                </c:pt>
                <c:pt idx="118">
                  <c:v>5.08472288464342</c:v>
                </c:pt>
                <c:pt idx="119">
                  <c:v>5.08472288464342</c:v>
                </c:pt>
                <c:pt idx="120">
                  <c:v>5.08472288464342</c:v>
                </c:pt>
                <c:pt idx="121">
                  <c:v>5.08472288464342</c:v>
                </c:pt>
                <c:pt idx="122">
                  <c:v>5.08472288464342</c:v>
                </c:pt>
                <c:pt idx="123">
                  <c:v>5.08472288464342</c:v>
                </c:pt>
                <c:pt idx="124">
                  <c:v>5.08472288464342</c:v>
                </c:pt>
                <c:pt idx="125">
                  <c:v>5.08472288464342</c:v>
                </c:pt>
                <c:pt idx="126">
                  <c:v>5.08472288464342</c:v>
                </c:pt>
                <c:pt idx="127">
                  <c:v>5.08472288464342</c:v>
                </c:pt>
                <c:pt idx="128">
                  <c:v>5.08472288464342</c:v>
                </c:pt>
                <c:pt idx="129">
                  <c:v>5.08472288464342</c:v>
                </c:pt>
                <c:pt idx="130">
                  <c:v>5.08472288464342</c:v>
                </c:pt>
                <c:pt idx="131">
                  <c:v>5.08472288464342</c:v>
                </c:pt>
                <c:pt idx="132">
                  <c:v>5.08472288464342</c:v>
                </c:pt>
                <c:pt idx="133">
                  <c:v>5.08472288464342</c:v>
                </c:pt>
                <c:pt idx="134">
                  <c:v>5.08472288464342</c:v>
                </c:pt>
                <c:pt idx="135">
                  <c:v>5.08472288464342</c:v>
                </c:pt>
                <c:pt idx="136">
                  <c:v>5.08472288464342</c:v>
                </c:pt>
                <c:pt idx="137">
                  <c:v>5.08472288464342</c:v>
                </c:pt>
                <c:pt idx="138">
                  <c:v>5.08472288464342</c:v>
                </c:pt>
                <c:pt idx="139">
                  <c:v>5.08472288464342</c:v>
                </c:pt>
                <c:pt idx="140">
                  <c:v>5.08472288464342</c:v>
                </c:pt>
                <c:pt idx="141">
                  <c:v>5.08472288464342</c:v>
                </c:pt>
                <c:pt idx="142">
                  <c:v>5.08472288464342</c:v>
                </c:pt>
                <c:pt idx="143">
                  <c:v>5.08472288464342</c:v>
                </c:pt>
                <c:pt idx="144">
                  <c:v>5.08472288464342</c:v>
                </c:pt>
                <c:pt idx="145">
                  <c:v>5.08472288464342</c:v>
                </c:pt>
                <c:pt idx="146">
                  <c:v>5.08472288464342</c:v>
                </c:pt>
                <c:pt idx="147">
                  <c:v>5.08472288464342</c:v>
                </c:pt>
                <c:pt idx="148">
                  <c:v>5.08472288464342</c:v>
                </c:pt>
                <c:pt idx="149">
                  <c:v>5.08472288464342</c:v>
                </c:pt>
                <c:pt idx="150">
                  <c:v>5.08472288464342</c:v>
                </c:pt>
                <c:pt idx="151">
                  <c:v>5.08472288464342</c:v>
                </c:pt>
                <c:pt idx="152">
                  <c:v>5.08472288464342</c:v>
                </c:pt>
                <c:pt idx="153">
                  <c:v>5.08472288464342</c:v>
                </c:pt>
                <c:pt idx="154">
                  <c:v>5.08472288464342</c:v>
                </c:pt>
                <c:pt idx="155">
                  <c:v>5.08472288464342</c:v>
                </c:pt>
                <c:pt idx="156">
                  <c:v>5.08472288464342</c:v>
                </c:pt>
                <c:pt idx="157">
                  <c:v>5.08472288464342</c:v>
                </c:pt>
                <c:pt idx="158">
                  <c:v>5.08472288464342</c:v>
                </c:pt>
                <c:pt idx="159">
                  <c:v>5.08472288464342</c:v>
                </c:pt>
                <c:pt idx="160">
                  <c:v>5.08472288464342</c:v>
                </c:pt>
                <c:pt idx="161">
                  <c:v>5.08472288464342</c:v>
                </c:pt>
                <c:pt idx="162">
                  <c:v>5.08472288464342</c:v>
                </c:pt>
                <c:pt idx="163">
                  <c:v>5.08472288464342</c:v>
                </c:pt>
                <c:pt idx="164">
                  <c:v>5.08472288464342</c:v>
                </c:pt>
                <c:pt idx="165">
                  <c:v>5.08472288464342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VDE*/FENY*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5.0850709894024098</c:v>
                </c:pt>
                <c:pt idx="10">
                  <c:v>5.0851091861229802</c:v>
                </c:pt>
                <c:pt idx="11">
                  <c:v>5.0852185812323798</c:v>
                </c:pt>
                <c:pt idx="12">
                  <c:v>5.0853935915645296</c:v>
                </c:pt>
                <c:pt idx="13">
                  <c:v>5.0855659613974096</c:v>
                </c:pt>
                <c:pt idx="14">
                  <c:v>5.0858920292081704</c:v>
                </c:pt>
                <c:pt idx="15">
                  <c:v>5.0859457555110303</c:v>
                </c:pt>
                <c:pt idx="16">
                  <c:v>5.0859632321528299</c:v>
                </c:pt>
                <c:pt idx="17">
                  <c:v>5.08631234540516</c:v>
                </c:pt>
                <c:pt idx="18">
                  <c:v>5.08674339317436</c:v>
                </c:pt>
                <c:pt idx="19">
                  <c:v>5.0867476257404798</c:v>
                </c:pt>
                <c:pt idx="20">
                  <c:v>5.0869317930951201</c:v>
                </c:pt>
                <c:pt idx="21">
                  <c:v>5.0874826850153703</c:v>
                </c:pt>
                <c:pt idx="22">
                  <c:v>5.0874428826397402</c:v>
                </c:pt>
                <c:pt idx="23">
                  <c:v>5.0872722067529903</c:v>
                </c:pt>
                <c:pt idx="24">
                  <c:v>5.08710966011847</c:v>
                </c:pt>
                <c:pt idx="25">
                  <c:v>5.0873078131325498</c:v>
                </c:pt>
                <c:pt idx="26">
                  <c:v>5.08709267067717</c:v>
                </c:pt>
                <c:pt idx="27">
                  <c:v>5.0868995666202004</c:v>
                </c:pt>
                <c:pt idx="28">
                  <c:v>5.0865368580017103</c:v>
                </c:pt>
                <c:pt idx="29">
                  <c:v>5.0867321472584104</c:v>
                </c:pt>
                <c:pt idx="30">
                  <c:v>5.0863476121817301</c:v>
                </c:pt>
                <c:pt idx="31">
                  <c:v>5.0860772483142798</c:v>
                </c:pt>
                <c:pt idx="32">
                  <c:v>5.0860503122359901</c:v>
                </c:pt>
                <c:pt idx="33">
                  <c:v>5.0861565510092897</c:v>
                </c:pt>
                <c:pt idx="34">
                  <c:v>5.0859850937527797</c:v>
                </c:pt>
                <c:pt idx="35">
                  <c:v>5.0856567868782303</c:v>
                </c:pt>
                <c:pt idx="36">
                  <c:v>5.0860808379072999</c:v>
                </c:pt>
                <c:pt idx="37">
                  <c:v>5.0862519421062</c:v>
                </c:pt>
                <c:pt idx="38">
                  <c:v>5.0860861501550199</c:v>
                </c:pt>
                <c:pt idx="39">
                  <c:v>5.0861023206649598</c:v>
                </c:pt>
                <c:pt idx="40">
                  <c:v>5.0864406352053599</c:v>
                </c:pt>
                <c:pt idx="41">
                  <c:v>5.0866352299370998</c:v>
                </c:pt>
                <c:pt idx="42">
                  <c:v>5.0865713907958803</c:v>
                </c:pt>
                <c:pt idx="43">
                  <c:v>5.0866901091449002</c:v>
                </c:pt>
                <c:pt idx="44">
                  <c:v>5.0866377595316399</c:v>
                </c:pt>
                <c:pt idx="45">
                  <c:v>5.0869277480871196</c:v>
                </c:pt>
                <c:pt idx="46">
                  <c:v>5.0867332988960596</c:v>
                </c:pt>
                <c:pt idx="47">
                  <c:v>5.0865069377466696</c:v>
                </c:pt>
                <c:pt idx="48">
                  <c:v>5.0869986135727903</c:v>
                </c:pt>
                <c:pt idx="49">
                  <c:v>5.0870641310941904</c:v>
                </c:pt>
                <c:pt idx="50">
                  <c:v>5.0869121874551899</c:v>
                </c:pt>
                <c:pt idx="51">
                  <c:v>5.0865037313373103</c:v>
                </c:pt>
                <c:pt idx="52">
                  <c:v>5.0866304480612401</c:v>
                </c:pt>
                <c:pt idx="53">
                  <c:v>5.0863946503383897</c:v>
                </c:pt>
                <c:pt idx="54">
                  <c:v>5.0860609696519603</c:v>
                </c:pt>
                <c:pt idx="55">
                  <c:v>5.0858518748380401</c:v>
                </c:pt>
                <c:pt idx="56">
                  <c:v>5.0857518187933497</c:v>
                </c:pt>
                <c:pt idx="57">
                  <c:v>5.0859117859523497</c:v>
                </c:pt>
                <c:pt idx="58">
                  <c:v>5.0857392571786297</c:v>
                </c:pt>
                <c:pt idx="59">
                  <c:v>5.0856358138763103</c:v>
                </c:pt>
                <c:pt idx="60">
                  <c:v>5.0857678991645203</c:v>
                </c:pt>
                <c:pt idx="61">
                  <c:v>5.0859588592396996</c:v>
                </c:pt>
                <c:pt idx="62">
                  <c:v>5.0860648889923299</c:v>
                </c:pt>
                <c:pt idx="63">
                  <c:v>5.0858810913260903</c:v>
                </c:pt>
                <c:pt idx="64">
                  <c:v>5.0861680632845401</c:v>
                </c:pt>
                <c:pt idx="65">
                  <c:v>5.08627150382992</c:v>
                </c:pt>
                <c:pt idx="66">
                  <c:v>5.0863907330869296</c:v>
                </c:pt>
                <c:pt idx="67">
                  <c:v>5.0861149939271399</c:v>
                </c:pt>
                <c:pt idx="68">
                  <c:v>5.0861455599923397</c:v>
                </c:pt>
                <c:pt idx="69">
                  <c:v>5.0861992574899899</c:v>
                </c:pt>
                <c:pt idx="70">
                  <c:v>5.08622961474462</c:v>
                </c:pt>
                <c:pt idx="71">
                  <c:v>5.0861630131203004</c:v>
                </c:pt>
                <c:pt idx="72">
                  <c:v>5.0860486006333696</c:v>
                </c:pt>
                <c:pt idx="73">
                  <c:v>5.08614635696118</c:v>
                </c:pt>
                <c:pt idx="74">
                  <c:v>5.0859797977101397</c:v>
                </c:pt>
                <c:pt idx="75">
                  <c:v>5.0857828388658497</c:v>
                </c:pt>
                <c:pt idx="76">
                  <c:v>5.0856934969188901</c:v>
                </c:pt>
                <c:pt idx="77">
                  <c:v>5.0857926061356702</c:v>
                </c:pt>
                <c:pt idx="78">
                  <c:v>5.08575188914614</c:v>
                </c:pt>
                <c:pt idx="79">
                  <c:v>5.0858835578391597</c:v>
                </c:pt>
                <c:pt idx="80">
                  <c:v>5.0859264027254403</c:v>
                </c:pt>
                <c:pt idx="81">
                  <c:v>5.0862450194811899</c:v>
                </c:pt>
                <c:pt idx="82">
                  <c:v>5.0865722310133403</c:v>
                </c:pt>
                <c:pt idx="83">
                  <c:v>5.08713745910224</c:v>
                </c:pt>
                <c:pt idx="84">
                  <c:v>5.0877966196392803</c:v>
                </c:pt>
                <c:pt idx="85">
                  <c:v>5.0879615841397401</c:v>
                </c:pt>
                <c:pt idx="86">
                  <c:v>5.0880147180839002</c:v>
                </c:pt>
                <c:pt idx="87">
                  <c:v>5.0879060967354599</c:v>
                </c:pt>
                <c:pt idx="88">
                  <c:v>5.0877803955131702</c:v>
                </c:pt>
                <c:pt idx="89">
                  <c:v>5.0876331286778598</c:v>
                </c:pt>
                <c:pt idx="90">
                  <c:v>5.0876579428088604</c:v>
                </c:pt>
                <c:pt idx="91">
                  <c:v>5.0871993635908401</c:v>
                </c:pt>
                <c:pt idx="92">
                  <c:v>5.08657284621885</c:v>
                </c:pt>
                <c:pt idx="93">
                  <c:v>5.0861521503067397</c:v>
                </c:pt>
                <c:pt idx="94">
                  <c:v>5.0857028638150696</c:v>
                </c:pt>
                <c:pt idx="95">
                  <c:v>5.0853260645311602</c:v>
                </c:pt>
                <c:pt idx="96">
                  <c:v>5.0848145662571298</c:v>
                </c:pt>
                <c:pt idx="97">
                  <c:v>5.0845969058897902</c:v>
                </c:pt>
                <c:pt idx="98">
                  <c:v>5.08456187537125</c:v>
                </c:pt>
                <c:pt idx="99">
                  <c:v>5.0843003971051903</c:v>
                </c:pt>
                <c:pt idx="100">
                  <c:v>5.0840121786561898</c:v>
                </c:pt>
                <c:pt idx="101">
                  <c:v>5.0843159321575397</c:v>
                </c:pt>
                <c:pt idx="102">
                  <c:v>5.0843378366991097</c:v>
                </c:pt>
                <c:pt idx="103">
                  <c:v>5.0838743312324199</c:v>
                </c:pt>
                <c:pt idx="104">
                  <c:v>5.0835618500072099</c:v>
                </c:pt>
                <c:pt idx="105">
                  <c:v>5.0835419596479001</c:v>
                </c:pt>
                <c:pt idx="106">
                  <c:v>5.0835715653756504</c:v>
                </c:pt>
                <c:pt idx="107">
                  <c:v>5.0837856604481804</c:v>
                </c:pt>
                <c:pt idx="108">
                  <c:v>5.0835506875698604</c:v>
                </c:pt>
                <c:pt idx="109">
                  <c:v>5.0835082793185098</c:v>
                </c:pt>
                <c:pt idx="110">
                  <c:v>5.0835837412613003</c:v>
                </c:pt>
                <c:pt idx="111">
                  <c:v>5.0833767699635901</c:v>
                </c:pt>
                <c:pt idx="112">
                  <c:v>5.0832554467935598</c:v>
                </c:pt>
                <c:pt idx="113">
                  <c:v>5.08310806134799</c:v>
                </c:pt>
                <c:pt idx="114">
                  <c:v>5.0830857749534299</c:v>
                </c:pt>
                <c:pt idx="115">
                  <c:v>5.0832099258013104</c:v>
                </c:pt>
                <c:pt idx="116">
                  <c:v>5.0834750887001396</c:v>
                </c:pt>
                <c:pt idx="117">
                  <c:v>5.0833519461492598</c:v>
                </c:pt>
                <c:pt idx="118">
                  <c:v>5.0833825159339998</c:v>
                </c:pt>
                <c:pt idx="119">
                  <c:v>5.0830979989082499</c:v>
                </c:pt>
                <c:pt idx="120">
                  <c:v>5.0828866083781099</c:v>
                </c:pt>
                <c:pt idx="121">
                  <c:v>5.0826821155325597</c:v>
                </c:pt>
                <c:pt idx="122">
                  <c:v>5.0823169939916903</c:v>
                </c:pt>
                <c:pt idx="123">
                  <c:v>5.0824894930029902</c:v>
                </c:pt>
                <c:pt idx="124">
                  <c:v>5.0821087652518102</c:v>
                </c:pt>
                <c:pt idx="125">
                  <c:v>5.0820155582051703</c:v>
                </c:pt>
                <c:pt idx="126">
                  <c:v>5.0816360176663302</c:v>
                </c:pt>
                <c:pt idx="127">
                  <c:v>5.0814340510491096</c:v>
                </c:pt>
                <c:pt idx="128">
                  <c:v>5.0814862441634299</c:v>
                </c:pt>
                <c:pt idx="129">
                  <c:v>5.0815287266425297</c:v>
                </c:pt>
                <c:pt idx="130">
                  <c:v>5.0813598506551498</c:v>
                </c:pt>
                <c:pt idx="131">
                  <c:v>5.0814334008999396</c:v>
                </c:pt>
                <c:pt idx="132">
                  <c:v>5.0815827910546201</c:v>
                </c:pt>
                <c:pt idx="133">
                  <c:v>5.0815677292088601</c:v>
                </c:pt>
                <c:pt idx="134">
                  <c:v>5.0820354675709698</c:v>
                </c:pt>
                <c:pt idx="135">
                  <c:v>5.0820790305032002</c:v>
                </c:pt>
                <c:pt idx="136">
                  <c:v>5.0822681688326501</c:v>
                </c:pt>
                <c:pt idx="137">
                  <c:v>5.0823606410702702</c:v>
                </c:pt>
                <c:pt idx="138">
                  <c:v>5.0824837671356997</c:v>
                </c:pt>
                <c:pt idx="139">
                  <c:v>5.0825646016477304</c:v>
                </c:pt>
                <c:pt idx="140">
                  <c:v>5.0824079985350696</c:v>
                </c:pt>
                <c:pt idx="141">
                  <c:v>5.08206717849784</c:v>
                </c:pt>
                <c:pt idx="142">
                  <c:v>5.0824693235718703</c:v>
                </c:pt>
                <c:pt idx="143">
                  <c:v>5.0825643101801798</c:v>
                </c:pt>
                <c:pt idx="144">
                  <c:v>5.0824277920256797</c:v>
                </c:pt>
                <c:pt idx="145">
                  <c:v>5.0824310619323798</c:v>
                </c:pt>
                <c:pt idx="146">
                  <c:v>5.08253739696565</c:v>
                </c:pt>
                <c:pt idx="147">
                  <c:v>5.0824624272372096</c:v>
                </c:pt>
                <c:pt idx="148">
                  <c:v>5.0820503097576504</c:v>
                </c:pt>
                <c:pt idx="149">
                  <c:v>5.0820016935462604</c:v>
                </c:pt>
                <c:pt idx="150">
                  <c:v>5.0823383502525603</c:v>
                </c:pt>
                <c:pt idx="151">
                  <c:v>5.0827341134106403</c:v>
                </c:pt>
                <c:pt idx="152">
                  <c:v>5.0826810410631698</c:v>
                </c:pt>
                <c:pt idx="153">
                  <c:v>5.08274557585076</c:v>
                </c:pt>
                <c:pt idx="154">
                  <c:v>5.0827513934448101</c:v>
                </c:pt>
                <c:pt idx="155">
                  <c:v>5.08282312646815</c:v>
                </c:pt>
                <c:pt idx="156">
                  <c:v>5.0829062398452702</c:v>
                </c:pt>
                <c:pt idx="157">
                  <c:v>5.0830721586113601</c:v>
                </c:pt>
                <c:pt idx="158">
                  <c:v>5.0833634054237997</c:v>
                </c:pt>
                <c:pt idx="159">
                  <c:v>5.0836024350826898</c:v>
                </c:pt>
                <c:pt idx="160">
                  <c:v>5.0830898325512397</c:v>
                </c:pt>
                <c:pt idx="161">
                  <c:v>5.0827036976339004</c:v>
                </c:pt>
                <c:pt idx="162">
                  <c:v>5.0826752069006602</c:v>
                </c:pt>
                <c:pt idx="163">
                  <c:v>5.0823364754505</c:v>
                </c:pt>
                <c:pt idx="164">
                  <c:v>5.0824803268344496</c:v>
                </c:pt>
                <c:pt idx="165">
                  <c:v>5.0823148272508298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VDE*/FENY*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5.0859093075714403</c:v>
                </c:pt>
                <c:pt idx="20">
                  <c:v>5.0860204896090497</c:v>
                </c:pt>
                <c:pt idx="21">
                  <c:v>5.0863506331238799</c:v>
                </c:pt>
                <c:pt idx="22">
                  <c:v>5.08641823710213</c:v>
                </c:pt>
                <c:pt idx="23">
                  <c:v>5.0864190840752004</c:v>
                </c:pt>
                <c:pt idx="24">
                  <c:v>5.0865008446633198</c:v>
                </c:pt>
                <c:pt idx="25">
                  <c:v>5.0866267843217896</c:v>
                </c:pt>
                <c:pt idx="26">
                  <c:v>5.0865279514149897</c:v>
                </c:pt>
                <c:pt idx="27">
                  <c:v>5.0866059560126802</c:v>
                </c:pt>
                <c:pt idx="28">
                  <c:v>5.0866401255880396</c:v>
                </c:pt>
                <c:pt idx="29">
                  <c:v>5.0867398864994504</c:v>
                </c:pt>
                <c:pt idx="30">
                  <c:v>5.08663970263843</c:v>
                </c:pt>
                <c:pt idx="31">
                  <c:v>5.0867799666648299</c:v>
                </c:pt>
                <c:pt idx="32">
                  <c:v>5.0867465974378696</c:v>
                </c:pt>
                <c:pt idx="33">
                  <c:v>5.0867143788811404</c:v>
                </c:pt>
                <c:pt idx="34">
                  <c:v>5.08654737693562</c:v>
                </c:pt>
                <c:pt idx="35">
                  <c:v>5.0864823000053896</c:v>
                </c:pt>
                <c:pt idx="36">
                  <c:v>5.0865867542922301</c:v>
                </c:pt>
                <c:pt idx="37">
                  <c:v>5.0865757543632002</c:v>
                </c:pt>
                <c:pt idx="38">
                  <c:v>5.0863115040783704</c:v>
                </c:pt>
                <c:pt idx="39">
                  <c:v>5.0864172339616802</c:v>
                </c:pt>
                <c:pt idx="40">
                  <c:v>5.0863941236935499</c:v>
                </c:pt>
                <c:pt idx="41">
                  <c:v>5.0863562391256902</c:v>
                </c:pt>
                <c:pt idx="42">
                  <c:v>5.0863108515159396</c:v>
                </c:pt>
                <c:pt idx="43">
                  <c:v>5.0864233300770998</c:v>
                </c:pt>
                <c:pt idx="44">
                  <c:v>5.0863114266422098</c:v>
                </c:pt>
                <c:pt idx="45">
                  <c:v>5.0862922674826798</c:v>
                </c:pt>
                <c:pt idx="46">
                  <c:v>5.0864070684016802</c:v>
                </c:pt>
                <c:pt idx="47">
                  <c:v>5.0863794399264401</c:v>
                </c:pt>
                <c:pt idx="48">
                  <c:v>5.0865423818639099</c:v>
                </c:pt>
                <c:pt idx="49">
                  <c:v>5.0865832258795702</c:v>
                </c:pt>
                <c:pt idx="50">
                  <c:v>5.08667641133027</c:v>
                </c:pt>
                <c:pt idx="51">
                  <c:v>5.0865694806372002</c:v>
                </c:pt>
                <c:pt idx="52">
                  <c:v>5.0866009194285597</c:v>
                </c:pt>
                <c:pt idx="53">
                  <c:v>5.0865423797416502</c:v>
                </c:pt>
                <c:pt idx="54">
                  <c:v>5.0863493645917996</c:v>
                </c:pt>
                <c:pt idx="55">
                  <c:v>5.0863898114625803</c:v>
                </c:pt>
                <c:pt idx="56">
                  <c:v>5.0862425588447104</c:v>
                </c:pt>
                <c:pt idx="57">
                  <c:v>5.0862093618495097</c:v>
                </c:pt>
                <c:pt idx="58">
                  <c:v>5.0863689353757104</c:v>
                </c:pt>
                <c:pt idx="59">
                  <c:v>5.0863499724852499</c:v>
                </c:pt>
                <c:pt idx="60">
                  <c:v>5.0863400433098498</c:v>
                </c:pt>
                <c:pt idx="61">
                  <c:v>5.0862312952885098</c:v>
                </c:pt>
                <c:pt idx="62">
                  <c:v>5.0863476685267797</c:v>
                </c:pt>
                <c:pt idx="63">
                  <c:v>5.08613787083224</c:v>
                </c:pt>
                <c:pt idx="64">
                  <c:v>5.0861145164682497</c:v>
                </c:pt>
                <c:pt idx="65">
                  <c:v>5.0860616893339801</c:v>
                </c:pt>
                <c:pt idx="66">
                  <c:v>5.0860712759401396</c:v>
                </c:pt>
                <c:pt idx="67">
                  <c:v>5.0860133899397404</c:v>
                </c:pt>
                <c:pt idx="68">
                  <c:v>5.0859424085854901</c:v>
                </c:pt>
                <c:pt idx="69">
                  <c:v>5.0859175356831496</c:v>
                </c:pt>
                <c:pt idx="70">
                  <c:v>5.0859987569545702</c:v>
                </c:pt>
                <c:pt idx="71">
                  <c:v>5.08606093618</c:v>
                </c:pt>
                <c:pt idx="72">
                  <c:v>5.0860567448128498</c:v>
                </c:pt>
                <c:pt idx="73">
                  <c:v>5.0860137241436396</c:v>
                </c:pt>
                <c:pt idx="74">
                  <c:v>5.0860739304973404</c:v>
                </c:pt>
                <c:pt idx="75">
                  <c:v>5.0860271713478804</c:v>
                </c:pt>
                <c:pt idx="76">
                  <c:v>5.0860421150029103</c:v>
                </c:pt>
                <c:pt idx="77">
                  <c:v>5.08595380003141</c:v>
                </c:pt>
                <c:pt idx="78">
                  <c:v>5.0859487245692403</c:v>
                </c:pt>
                <c:pt idx="79">
                  <c:v>5.0860414076645801</c:v>
                </c:pt>
                <c:pt idx="80">
                  <c:v>5.0860780087350301</c:v>
                </c:pt>
                <c:pt idx="81">
                  <c:v>5.0862040163007496</c:v>
                </c:pt>
                <c:pt idx="82">
                  <c:v>5.0863104158233599</c:v>
                </c:pt>
                <c:pt idx="83">
                  <c:v>5.0866419080317096</c:v>
                </c:pt>
                <c:pt idx="84">
                  <c:v>5.0868882086747096</c:v>
                </c:pt>
                <c:pt idx="85">
                  <c:v>5.0868722115027998</c:v>
                </c:pt>
                <c:pt idx="86">
                  <c:v>5.0868541075013898</c:v>
                </c:pt>
                <c:pt idx="87">
                  <c:v>5.0868493514355704</c:v>
                </c:pt>
                <c:pt idx="88">
                  <c:v>5.08676614232966</c:v>
                </c:pt>
                <c:pt idx="89">
                  <c:v>5.0867583432585102</c:v>
                </c:pt>
                <c:pt idx="90">
                  <c:v>5.0867921727671499</c:v>
                </c:pt>
                <c:pt idx="91">
                  <c:v>5.0867221915360101</c:v>
                </c:pt>
                <c:pt idx="92">
                  <c:v>5.0865725386160996</c:v>
                </c:pt>
                <c:pt idx="93">
                  <c:v>5.0866448047044903</c:v>
                </c:pt>
                <c:pt idx="94">
                  <c:v>5.0867497417271696</c:v>
                </c:pt>
                <c:pt idx="95">
                  <c:v>5.0866438243354501</c:v>
                </c:pt>
                <c:pt idx="96">
                  <c:v>5.0864146421705101</c:v>
                </c:pt>
                <c:pt idx="97">
                  <c:v>5.0862515013126197</c:v>
                </c:pt>
                <c:pt idx="98">
                  <c:v>5.0861711354422097</c:v>
                </c:pt>
                <c:pt idx="99">
                  <c:v>5.0859667628915304</c:v>
                </c:pt>
                <c:pt idx="100">
                  <c:v>5.0858350607325198</c:v>
                </c:pt>
                <c:pt idx="101">
                  <c:v>5.0857576478741899</c:v>
                </c:pt>
                <c:pt idx="102">
                  <c:v>5.0854553414589798</c:v>
                </c:pt>
                <c:pt idx="103">
                  <c:v>5.0850132407695803</c:v>
                </c:pt>
                <c:pt idx="104">
                  <c:v>5.0846323569111398</c:v>
                </c:pt>
                <c:pt idx="105">
                  <c:v>5.0844340120895302</c:v>
                </c:pt>
                <c:pt idx="106">
                  <c:v>5.0841930658163896</c:v>
                </c:pt>
                <c:pt idx="107">
                  <c:v>5.0841912831689804</c:v>
                </c:pt>
                <c:pt idx="108">
                  <c:v>5.0840562814705503</c:v>
                </c:pt>
                <c:pt idx="109">
                  <c:v>5.0839043382118501</c:v>
                </c:pt>
                <c:pt idx="110">
                  <c:v>5.0837979599587397</c:v>
                </c:pt>
                <c:pt idx="111">
                  <c:v>5.0838463510605596</c:v>
                </c:pt>
                <c:pt idx="112">
                  <c:v>5.0837966417463401</c:v>
                </c:pt>
                <c:pt idx="113">
                  <c:v>5.0834911962901996</c:v>
                </c:pt>
                <c:pt idx="114">
                  <c:v>5.0833238124803204</c:v>
                </c:pt>
                <c:pt idx="115">
                  <c:v>5.0833759427246097</c:v>
                </c:pt>
                <c:pt idx="116">
                  <c:v>5.0835233270378897</c:v>
                </c:pt>
                <c:pt idx="117">
                  <c:v>5.0835688032987196</c:v>
                </c:pt>
                <c:pt idx="118">
                  <c:v>5.0834666017519297</c:v>
                </c:pt>
                <c:pt idx="119">
                  <c:v>5.0833031391133803</c:v>
                </c:pt>
                <c:pt idx="120">
                  <c:v>5.0832351748197002</c:v>
                </c:pt>
                <c:pt idx="121">
                  <c:v>5.0830294427480798</c:v>
                </c:pt>
                <c:pt idx="122">
                  <c:v>5.0827862203926202</c:v>
                </c:pt>
                <c:pt idx="123">
                  <c:v>5.0827987771754897</c:v>
                </c:pt>
                <c:pt idx="124">
                  <c:v>5.0825972701026201</c:v>
                </c:pt>
                <c:pt idx="125">
                  <c:v>5.0826127420032403</c:v>
                </c:pt>
                <c:pt idx="126">
                  <c:v>5.08255555318323</c:v>
                </c:pt>
                <c:pt idx="127">
                  <c:v>5.0823929985991896</c:v>
                </c:pt>
                <c:pt idx="128">
                  <c:v>5.0824343800487197</c:v>
                </c:pt>
                <c:pt idx="129">
                  <c:v>5.0823133627753903</c:v>
                </c:pt>
                <c:pt idx="130">
                  <c:v>5.0821232295166299</c:v>
                </c:pt>
                <c:pt idx="131">
                  <c:v>5.0820577582162496</c:v>
                </c:pt>
                <c:pt idx="132">
                  <c:v>5.0819498925231503</c:v>
                </c:pt>
                <c:pt idx="133">
                  <c:v>5.0820286111059296</c:v>
                </c:pt>
                <c:pt idx="134">
                  <c:v>5.08207211641139</c:v>
                </c:pt>
                <c:pt idx="135">
                  <c:v>5.0820472943541803</c:v>
                </c:pt>
                <c:pt idx="136">
                  <c:v>5.0819520932494902</c:v>
                </c:pt>
                <c:pt idx="137">
                  <c:v>5.0818973460596899</c:v>
                </c:pt>
                <c:pt idx="138">
                  <c:v>5.0819850056495603</c:v>
                </c:pt>
                <c:pt idx="139">
                  <c:v>5.0820466641451301</c:v>
                </c:pt>
                <c:pt idx="140">
                  <c:v>5.0818839245951102</c:v>
                </c:pt>
                <c:pt idx="141">
                  <c:v>5.0817502896988902</c:v>
                </c:pt>
                <c:pt idx="142">
                  <c:v>5.0820260573132403</c:v>
                </c:pt>
                <c:pt idx="143">
                  <c:v>5.08206601969452</c:v>
                </c:pt>
                <c:pt idx="144">
                  <c:v>5.0822316297983203</c:v>
                </c:pt>
                <c:pt idx="145">
                  <c:v>5.0822550462177896</c:v>
                </c:pt>
                <c:pt idx="146">
                  <c:v>5.08240278289915</c:v>
                </c:pt>
                <c:pt idx="147">
                  <c:v>5.0824115341537404</c:v>
                </c:pt>
                <c:pt idx="148">
                  <c:v>5.0822670384466697</c:v>
                </c:pt>
                <c:pt idx="149">
                  <c:v>5.0822831475969998</c:v>
                </c:pt>
                <c:pt idx="150">
                  <c:v>5.0823731743938101</c:v>
                </c:pt>
                <c:pt idx="151">
                  <c:v>5.0824006459542401</c:v>
                </c:pt>
                <c:pt idx="152">
                  <c:v>5.0825751823175196</c:v>
                </c:pt>
                <c:pt idx="153">
                  <c:v>5.0826549430154699</c:v>
                </c:pt>
                <c:pt idx="154">
                  <c:v>5.0825895927352498</c:v>
                </c:pt>
                <c:pt idx="155">
                  <c:v>5.0826270942002596</c:v>
                </c:pt>
                <c:pt idx="156">
                  <c:v>5.0827218184054601</c:v>
                </c:pt>
                <c:pt idx="157">
                  <c:v>5.08276729292428</c:v>
                </c:pt>
                <c:pt idx="158">
                  <c:v>5.0827068575907202</c:v>
                </c:pt>
                <c:pt idx="159">
                  <c:v>5.0828020643144702</c:v>
                </c:pt>
                <c:pt idx="160">
                  <c:v>5.0827140914018996</c:v>
                </c:pt>
                <c:pt idx="161">
                  <c:v>5.0827189055222703</c:v>
                </c:pt>
                <c:pt idx="162">
                  <c:v>5.0826781239819203</c:v>
                </c:pt>
                <c:pt idx="163">
                  <c:v>5.08254102565063</c:v>
                </c:pt>
                <c:pt idx="164">
                  <c:v>5.0826158601396303</c:v>
                </c:pt>
                <c:pt idx="165">
                  <c:v>5.0825689768594904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FENY x avg / VDE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6.7107758154836303E-4</c:v>
                </c:pt>
                <c:pt idx="2">
                  <c:v>2.6117341075326399E-4</c:v>
                </c:pt>
                <c:pt idx="3">
                  <c:v>-7.5368035174683398E-5</c:v>
                </c:pt>
                <c:pt idx="4">
                  <c:v>-1.23772460363688E-4</c:v>
                </c:pt>
                <c:pt idx="5">
                  <c:v>7.4680730955816894E-5</c:v>
                </c:pt>
                <c:pt idx="6">
                  <c:v>-2.5332138260716398E-4</c:v>
                </c:pt>
                <c:pt idx="7">
                  <c:v>7.8193157041207907E-5</c:v>
                </c:pt>
                <c:pt idx="8">
                  <c:v>2.2186222002829099E-4</c:v>
                </c:pt>
                <c:pt idx="9">
                  <c:v>2.32328966098475E-4</c:v>
                </c:pt>
                <c:pt idx="10">
                  <c:v>-2.0913030184624498E-5</c:v>
                </c:pt>
                <c:pt idx="11">
                  <c:v>4.5585092806185902E-4</c:v>
                </c:pt>
                <c:pt idx="12">
                  <c:v>-8.2982963701574893E-5</c:v>
                </c:pt>
                <c:pt idx="13">
                  <c:v>-4.14218732395121E-4</c:v>
                </c:pt>
                <c:pt idx="14">
                  <c:v>-7.6464024561791904E-4</c:v>
                </c:pt>
                <c:pt idx="15">
                  <c:v>-3.0964497373852503E-5</c:v>
                </c:pt>
                <c:pt idx="16">
                  <c:v>-2.8767669850106499E-4</c:v>
                </c:pt>
                <c:pt idx="17">
                  <c:v>-6.08092144957946E-4</c:v>
                </c:pt>
                <c:pt idx="18">
                  <c:v>-6.2554306481511996E-4</c:v>
                </c:pt>
                <c:pt idx="19">
                  <c:v>2.24004502095247E-4</c:v>
                </c:pt>
                <c:pt idx="20">
                  <c:v>-3.8297122585734201E-4</c:v>
                </c:pt>
                <c:pt idx="21">
                  <c:v>-6.2728407970433404E-4</c:v>
                </c:pt>
                <c:pt idx="22">
                  <c:v>-4.7223252677937596E-6</c:v>
                </c:pt>
                <c:pt idx="23">
                  <c:v>-7.8698612955292206E-5</c:v>
                </c:pt>
                <c:pt idx="24">
                  <c:v>-4.4521539464735798E-4</c:v>
                </c:pt>
                <c:pt idx="25">
                  <c:v>-4.2050810450433899E-4</c:v>
                </c:pt>
                <c:pt idx="26">
                  <c:v>1.3532924865774799E-4</c:v>
                </c:pt>
                <c:pt idx="27">
                  <c:v>-2.2854724592752499E-4</c:v>
                </c:pt>
                <c:pt idx="28">
                  <c:v>8.7465031425884305E-5</c:v>
                </c:pt>
                <c:pt idx="29">
                  <c:v>-1.6000828310195901E-4</c:v>
                </c:pt>
                <c:pt idx="30">
                  <c:v>3.7314273080528898E-4</c:v>
                </c:pt>
                <c:pt idx="31">
                  <c:v>-9.5855318590084404E-5</c:v>
                </c:pt>
                <c:pt idx="32">
                  <c:v>4.8243684171854802E-5</c:v>
                </c:pt>
                <c:pt idx="33">
                  <c:v>-2.8755942018596101E-4</c:v>
                </c:pt>
                <c:pt idx="34">
                  <c:v>-1.08169423852177E-4</c:v>
                </c:pt>
                <c:pt idx="35">
                  <c:v>2.2498402180720701E-4</c:v>
                </c:pt>
                <c:pt idx="36">
                  <c:v>-6.9825463350378495E-4</c:v>
                </c:pt>
                <c:pt idx="37">
                  <c:v>-5.6485882237976303E-4</c:v>
                </c:pt>
                <c:pt idx="38">
                  <c:v>4.1354616453905202E-4</c:v>
                </c:pt>
                <c:pt idx="39">
                  <c:v>-1.9179903201333901E-4</c:v>
                </c:pt>
                <c:pt idx="40">
                  <c:v>-2.9211769212904E-4</c:v>
                </c:pt>
                <c:pt idx="41">
                  <c:v>-4.78380314866455E-4</c:v>
                </c:pt>
                <c:pt idx="42">
                  <c:v>1.73785581053275E-4</c:v>
                </c:pt>
                <c:pt idx="43">
                  <c:v>-5.2090293190331499E-4</c:v>
                </c:pt>
                <c:pt idx="44">
                  <c:v>-5.2393490069910498E-6</c:v>
                </c:pt>
                <c:pt idx="45">
                  <c:v>-3.4519099971359901E-4</c:v>
                </c:pt>
                <c:pt idx="46">
                  <c:v>-3.16099840128699E-4</c:v>
                </c:pt>
                <c:pt idx="47">
                  <c:v>-1.19913517940005E-4</c:v>
                </c:pt>
                <c:pt idx="48">
                  <c:v>-5.5317662409599304E-4</c:v>
                </c:pt>
                <c:pt idx="49">
                  <c:v>-3.2059421832018501E-4</c:v>
                </c:pt>
                <c:pt idx="50">
                  <c:v>6.6089532302536302E-6</c:v>
                </c:pt>
                <c:pt idx="51">
                  <c:v>3.2471198616506702E-4</c:v>
                </c:pt>
                <c:pt idx="52">
                  <c:v>-7.5391869832289106E-5</c:v>
                </c:pt>
                <c:pt idx="53">
                  <c:v>-5.7424130788384601E-3</c:v>
                </c:pt>
                <c:pt idx="54">
                  <c:v>-4.9740802247707303E-3</c:v>
                </c:pt>
                <c:pt idx="55">
                  <c:v>1.701567012579E-4</c:v>
                </c:pt>
                <c:pt idx="56">
                  <c:v>-1.57566059793726E-5</c:v>
                </c:pt>
                <c:pt idx="57">
                  <c:v>-3.3405554500290499E-4</c:v>
                </c:pt>
                <c:pt idx="58">
                  <c:v>-1.14152314249017E-4</c:v>
                </c:pt>
                <c:pt idx="59">
                  <c:v>-1.5688800752458E-5</c:v>
                </c:pt>
                <c:pt idx="60">
                  <c:v>-1.51129363714833E-4</c:v>
                </c:pt>
                <c:pt idx="61">
                  <c:v>5.6090778824336599E-5</c:v>
                </c:pt>
                <c:pt idx="62">
                  <c:v>-1.79044533922278E-4</c:v>
                </c:pt>
                <c:pt idx="63">
                  <c:v>4.1150535780760299E-4</c:v>
                </c:pt>
                <c:pt idx="64">
                  <c:v>1.9194839453203199E-4</c:v>
                </c:pt>
                <c:pt idx="65">
                  <c:v>-2.9762775787562399E-5</c:v>
                </c:pt>
                <c:pt idx="66">
                  <c:v>-2.4596639772350102E-4</c:v>
                </c:pt>
                <c:pt idx="67">
                  <c:v>2.18890205768326E-4</c:v>
                </c:pt>
                <c:pt idx="68">
                  <c:v>-1.6558131345444601E-4</c:v>
                </c:pt>
                <c:pt idx="69">
                  <c:v>-1.11453445941496E-4</c:v>
                </c:pt>
                <c:pt idx="70">
                  <c:v>-2.01775590094794E-4</c:v>
                </c:pt>
                <c:pt idx="71">
                  <c:v>1.9172607315445301E-4</c:v>
                </c:pt>
                <c:pt idx="72">
                  <c:v>5.5309390555446397E-5</c:v>
                </c:pt>
                <c:pt idx="73">
                  <c:v>2.2678453243211999E-4</c:v>
                </c:pt>
                <c:pt idx="74">
                  <c:v>5.2936682590786605E-4</c:v>
                </c:pt>
                <c:pt idx="75">
                  <c:v>3.6253397696992901E-4</c:v>
                </c:pt>
                <c:pt idx="76">
                  <c:v>-6.88485392147215E-5</c:v>
                </c:pt>
                <c:pt idx="77">
                  <c:v>2.2910326933878501E-5</c:v>
                </c:pt>
                <c:pt idx="78">
                  <c:v>-8.4785646040235098E-5</c:v>
                </c:pt>
                <c:pt idx="79">
                  <c:v>-3.7564875986741798E-4</c:v>
                </c:pt>
                <c:pt idx="80">
                  <c:v>-2.9285807976896401E-4</c:v>
                </c:pt>
                <c:pt idx="81">
                  <c:v>-4.4383424283605898E-4</c:v>
                </c:pt>
                <c:pt idx="82">
                  <c:v>-5.9930599998494604E-4</c:v>
                </c:pt>
                <c:pt idx="83">
                  <c:v>-8.9907937714855501E-4</c:v>
                </c:pt>
                <c:pt idx="84">
                  <c:v>-7.8090400475858796E-4</c:v>
                </c:pt>
                <c:pt idx="85">
                  <c:v>3.5068368934656598E-5</c:v>
                </c:pt>
                <c:pt idx="86">
                  <c:v>-1.7205314882837299E-4</c:v>
                </c:pt>
                <c:pt idx="87">
                  <c:v>2.40101764568487E-4</c:v>
                </c:pt>
                <c:pt idx="88">
                  <c:v>1.63428514108608E-4</c:v>
                </c:pt>
                <c:pt idx="89">
                  <c:v>-8.3998640182650805E-5</c:v>
                </c:pt>
                <c:pt idx="90">
                  <c:v>-3.3903737084709098E-4</c:v>
                </c:pt>
                <c:pt idx="91">
                  <c:v>4.6596414553150099E-4</c:v>
                </c:pt>
                <c:pt idx="92">
                  <c:v>6.3895171565940697E-4</c:v>
                </c:pt>
                <c:pt idx="93">
                  <c:v>-6.9068158967312794E-5</c:v>
                </c:pt>
                <c:pt idx="94">
                  <c:v>1.04658916235363E-4</c:v>
                </c:pt>
                <c:pt idx="95">
                  <c:v>7.75990413105847E-4</c:v>
                </c:pt>
                <c:pt idx="96">
                  <c:v>8.3438600186366298E-4</c:v>
                </c:pt>
                <c:pt idx="97">
                  <c:v>6.64137769549708E-4</c:v>
                </c:pt>
                <c:pt idx="98">
                  <c:v>2.31866239533077E-4</c:v>
                </c:pt>
                <c:pt idx="99">
                  <c:v>4.3512618375264801E-4</c:v>
                </c:pt>
                <c:pt idx="100">
                  <c:v>2.3287103422006301E-4</c:v>
                </c:pt>
                <c:pt idx="101">
                  <c:v>-1.30954353258142E-4</c:v>
                </c:pt>
                <c:pt idx="102">
                  <c:v>6.0002476076074704E-4</c:v>
                </c:pt>
                <c:pt idx="103">
                  <c:v>8.5279143799881201E-4</c:v>
                </c:pt>
                <c:pt idx="104">
                  <c:v>7.2760236775220102E-4</c:v>
                </c:pt>
                <c:pt idx="105">
                  <c:v>8.1753638622111997E-4</c:v>
                </c:pt>
                <c:pt idx="106">
                  <c:v>7.7915416621952502E-4</c:v>
                </c:pt>
                <c:pt idx="107">
                  <c:v>2.4297173619891699E-4</c:v>
                </c:pt>
                <c:pt idx="108">
                  <c:v>6.9824954087176498E-4</c:v>
                </c:pt>
                <c:pt idx="109">
                  <c:v>5.1679495099561201E-4</c:v>
                </c:pt>
                <c:pt idx="110">
                  <c:v>8.3342076669096706E-5</c:v>
                </c:pt>
                <c:pt idx="111">
                  <c:v>2.7617070703369597E-4</c:v>
                </c:pt>
                <c:pt idx="112">
                  <c:v>8.4384233333905897E-4</c:v>
                </c:pt>
                <c:pt idx="113">
                  <c:v>1.15027685271207E-3</c:v>
                </c:pt>
                <c:pt idx="114">
                  <c:v>7.7988450077492099E-4</c:v>
                </c:pt>
                <c:pt idx="115">
                  <c:v>-6.4732065654634699E-3</c:v>
                </c:pt>
                <c:pt idx="116">
                  <c:v>-6.7079593780155801E-3</c:v>
                </c:pt>
                <c:pt idx="117">
                  <c:v>-6.4314445811302599E-3</c:v>
                </c:pt>
                <c:pt idx="118">
                  <c:v>4.1166472740522E-4</c:v>
                </c:pt>
                <c:pt idx="119">
                  <c:v>8.6003478259611798E-4</c:v>
                </c:pt>
                <c:pt idx="120">
                  <c:v>2.7499680286169901E-4</c:v>
                </c:pt>
                <c:pt idx="121">
                  <c:v>4.5585092806163697E-4</c:v>
                </c:pt>
                <c:pt idx="122">
                  <c:v>1.34357596916005E-3</c:v>
                </c:pt>
                <c:pt idx="123">
                  <c:v>5.7861398992646996E-4</c:v>
                </c:pt>
                <c:pt idx="124">
                  <c:v>1.3085405508899499E-3</c:v>
                </c:pt>
                <c:pt idx="125">
                  <c:v>5.3354798726705001E-4</c:v>
                </c:pt>
                <c:pt idx="126">
                  <c:v>7.85177458289816E-4</c:v>
                </c:pt>
                <c:pt idx="127">
                  <c:v>6.6822377062086499E-4</c:v>
                </c:pt>
                <c:pt idx="128">
                  <c:v>3.1050091690452102E-4</c:v>
                </c:pt>
                <c:pt idx="129">
                  <c:v>7.77342652418973E-4</c:v>
                </c:pt>
                <c:pt idx="130">
                  <c:v>6.1714502738894098E-4</c:v>
                </c:pt>
                <c:pt idx="131">
                  <c:v>3.1601143249920701E-4</c:v>
                </c:pt>
                <c:pt idx="132">
                  <c:v>1.05158361848217E-3</c:v>
                </c:pt>
                <c:pt idx="133">
                  <c:v>6.1653304992988103E-4</c:v>
                </c:pt>
                <c:pt idx="134">
                  <c:v>3.8417698304607398E-4</c:v>
                </c:pt>
                <c:pt idx="135">
                  <c:v>4.5585092806163697E-4</c:v>
                </c:pt>
                <c:pt idx="136">
                  <c:v>4.1557301042466002E-4</c:v>
                </c:pt>
                <c:pt idx="137">
                  <c:v>4.9067827151002099E-4</c:v>
                </c:pt>
                <c:pt idx="138">
                  <c:v>7.4219772415688501E-5</c:v>
                </c:pt>
                <c:pt idx="139">
                  <c:v>6.2425696532111504E-4</c:v>
                </c:pt>
                <c:pt idx="140">
                  <c:v>9.3187020063848099E-4</c:v>
                </c:pt>
                <c:pt idx="141">
                  <c:v>9.9576193299359401E-4</c:v>
                </c:pt>
                <c:pt idx="142">
                  <c:v>2.5398161756732201E-4</c:v>
                </c:pt>
                <c:pt idx="143">
                  <c:v>4.3079247922869199E-4</c:v>
                </c:pt>
                <c:pt idx="144">
                  <c:v>6.5923958215624405E-4</c:v>
                </c:pt>
                <c:pt idx="145">
                  <c:v>4.50826900650868E-4</c:v>
                </c:pt>
                <c:pt idx="146">
                  <c:v>2.0367591726878201E-4</c:v>
                </c:pt>
                <c:pt idx="147">
                  <c:v>6.3635494734487897E-4</c:v>
                </c:pt>
                <c:pt idx="148">
                  <c:v>8.9242796799820199E-4</c:v>
                </c:pt>
                <c:pt idx="149">
                  <c:v>7.17564537893419E-4</c:v>
                </c:pt>
                <c:pt idx="150">
                  <c:v>2.6473488328825599E-4</c:v>
                </c:pt>
                <c:pt idx="151">
                  <c:v>2.1351715572601301E-4</c:v>
                </c:pt>
                <c:pt idx="152">
                  <c:v>3.6394738801794302E-4</c:v>
                </c:pt>
                <c:pt idx="153">
                  <c:v>3.0590739844880001E-4</c:v>
                </c:pt>
                <c:pt idx="154">
                  <c:v>6.5142755775486995E-4</c:v>
                </c:pt>
                <c:pt idx="155">
                  <c:v>3.1429408567534698E-4</c:v>
                </c:pt>
                <c:pt idx="156">
                  <c:v>4.6563826054194097E-5</c:v>
                </c:pt>
                <c:pt idx="157">
                  <c:v>3.1622317542288902E-4</c:v>
                </c:pt>
                <c:pt idx="158">
                  <c:v>3.2137345399525698E-4</c:v>
                </c:pt>
                <c:pt idx="159">
                  <c:v>2.5164995646930898E-4</c:v>
                </c:pt>
                <c:pt idx="160">
                  <c:v>1.28944578369248E-3</c:v>
                </c:pt>
                <c:pt idx="161">
                  <c:v>9.8389055757375698E-4</c:v>
                </c:pt>
                <c:pt idx="162">
                  <c:v>4.22695136096964E-4</c:v>
                </c:pt>
                <c:pt idx="163">
                  <c:v>9.8205819475301499E-4</c:v>
                </c:pt>
                <c:pt idx="164">
                  <c:v>3.66170120874305E-4</c:v>
                </c:pt>
                <c:pt idx="165">
                  <c:v>6.4546866390053801E-4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FENY x 10 dma / VDE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-1.34988389368337E-4</c:v>
                </c:pt>
                <c:pt idx="11">
                  <c:v>3.4928708193259601E-4</c:v>
                </c:pt>
                <c:pt idx="12">
                  <c:v>-1.6803420730668699E-4</c:v>
                </c:pt>
                <c:pt idx="13">
                  <c:v>-4.6485506976044202E-4</c:v>
                </c:pt>
                <c:pt idx="14">
                  <c:v>-7.8138207538889397E-4</c:v>
                </c:pt>
                <c:pt idx="15">
                  <c:v>1.6407944607373499E-5</c:v>
                </c:pt>
                <c:pt idx="16">
                  <c:v>-2.29740520840981E-4</c:v>
                </c:pt>
                <c:pt idx="17">
                  <c:v>-5.4671971126798102E-4</c:v>
                </c:pt>
                <c:pt idx="18">
                  <c:v>-4.9553048275043695E-4</c:v>
                </c:pt>
                <c:pt idx="19">
                  <c:v>4.3876011133572401E-4</c:v>
                </c:pt>
                <c:pt idx="20">
                  <c:v>-1.6738353918968501E-4</c:v>
                </c:pt>
                <c:pt idx="21">
                  <c:v>-3.7549172271411602E-4</c:v>
                </c:pt>
                <c:pt idx="22">
                  <c:v>3.5535968750068298E-4</c:v>
                </c:pt>
                <c:pt idx="23">
                  <c:v>2.73559779803208E-4</c:v>
                </c:pt>
                <c:pt idx="24">
                  <c:v>-1.2650602714664401E-4</c:v>
                </c:pt>
                <c:pt idx="25">
                  <c:v>-1.3375087653770499E-4</c:v>
                </c:pt>
                <c:pt idx="26">
                  <c:v>4.6103770201616701E-4</c:v>
                </c:pt>
                <c:pt idx="27">
                  <c:v>5.4870272301322802E-5</c:v>
                </c:pt>
                <c:pt idx="28">
                  <c:v>3.32922218550858E-4</c:v>
                </c:pt>
                <c:pt idx="29">
                  <c:v>1.4143869321411601E-5</c:v>
                </c:pt>
                <c:pt idx="30">
                  <c:v>5.8568750936048304E-4</c:v>
                </c:pt>
                <c:pt idx="31">
                  <c:v>4.1090902603598201E-5</c:v>
                </c:pt>
                <c:pt idx="32">
                  <c:v>1.32033677382768E-4</c:v>
                </c:pt>
                <c:pt idx="33">
                  <c:v>-2.09065482913373E-4</c:v>
                </c:pt>
                <c:pt idx="34">
                  <c:v>-8.7874384443216193E-6</c:v>
                </c:pt>
                <c:pt idx="35">
                  <c:v>2.9065486505574199E-4</c:v>
                </c:pt>
                <c:pt idx="36">
                  <c:v>-6.9713715902584004E-4</c:v>
                </c:pt>
                <c:pt idx="37">
                  <c:v>-4.8036306093600698E-4</c:v>
                </c:pt>
                <c:pt idx="38">
                  <c:v>5.3168301944988498E-4</c:v>
                </c:pt>
                <c:pt idx="39">
                  <c:v>-1.06258803303047E-4</c:v>
                </c:pt>
                <c:pt idx="40">
                  <c:v>-2.03398106296355E-4</c:v>
                </c:pt>
                <c:pt idx="41">
                  <c:v>-3.23145494446053E-4</c:v>
                </c:pt>
                <c:pt idx="42">
                  <c:v>3.6727721472033201E-4</c:v>
                </c:pt>
                <c:pt idx="43">
                  <c:v>-3.3996174444179999E-4</c:v>
                </c:pt>
                <c:pt idx="44">
                  <c:v>1.99041128224629E-4</c:v>
                </c:pt>
                <c:pt idx="45">
                  <c:v>-1.51202064039128E-4</c:v>
                </c:pt>
                <c:pt idx="46">
                  <c:v>-6.5102659833473004E-5</c:v>
                </c:pt>
                <c:pt idx="47">
                  <c:v>9.2857660882819806E-5</c:v>
                </c:pt>
                <c:pt idx="48">
                  <c:v>-3.8490673378344798E-4</c:v>
                </c:pt>
                <c:pt idx="49">
                  <c:v>-5.5666234292173999E-5</c:v>
                </c:pt>
                <c:pt idx="50">
                  <c:v>2.8441626050383298E-4</c:v>
                </c:pt>
                <c:pt idx="51">
                  <c:v>5.7265021683391005E-4</c:v>
                </c:pt>
                <c:pt idx="52">
                  <c:v>9.2247644780240904E-5</c:v>
                </c:pt>
                <c:pt idx="53">
                  <c:v>-5.5498615318677301E-3</c:v>
                </c:pt>
                <c:pt idx="54">
                  <c:v>-4.2579772302819997E-3</c:v>
                </c:pt>
                <c:pt idx="55">
                  <c:v>1.3839024847578901E-3</c:v>
                </c:pt>
                <c:pt idx="56">
                  <c:v>1.1465110891424599E-3</c:v>
                </c:pt>
                <c:pt idx="57">
                  <c:v>7.9820728592959098E-4</c:v>
                </c:pt>
                <c:pt idx="58">
                  <c:v>1.03950511352371E-3</c:v>
                </c:pt>
                <c:pt idx="59">
                  <c:v>1.09410121845085E-3</c:v>
                </c:pt>
                <c:pt idx="60">
                  <c:v>9.2819834750209902E-4</c:v>
                </c:pt>
                <c:pt idx="61">
                  <c:v>1.1511763202792999E-3</c:v>
                </c:pt>
                <c:pt idx="62">
                  <c:v>9.4286825977390402E-4</c:v>
                </c:pt>
                <c:pt idx="63">
                  <c:v>1.5437730591566399E-3</c:v>
                </c:pt>
                <c:pt idx="64">
                  <c:v>7.0768903199673605E-4</c:v>
                </c:pt>
                <c:pt idx="65">
                  <c:v>-3.1729270384823201E-5</c:v>
                </c:pt>
                <c:pt idx="66">
                  <c:v>-2.27942508405466E-4</c:v>
                </c:pt>
                <c:pt idx="67">
                  <c:v>2.5993740705181902E-4</c:v>
                </c:pt>
                <c:pt idx="68">
                  <c:v>-1.7983113113328601E-4</c:v>
                </c:pt>
                <c:pt idx="69">
                  <c:v>-1.20559584260698E-4</c:v>
                </c:pt>
                <c:pt idx="70">
                  <c:v>-2.01304613735679E-4</c:v>
                </c:pt>
                <c:pt idx="71">
                  <c:v>1.9726255068043701E-4</c:v>
                </c:pt>
                <c:pt idx="72">
                  <c:v>4.7284002292858303E-5</c:v>
                </c:pt>
                <c:pt idx="73">
                  <c:v>1.95321838990456E-4</c:v>
                </c:pt>
                <c:pt idx="74">
                  <c:v>5.1637073119539399E-4</c:v>
                </c:pt>
                <c:pt idx="75">
                  <c:v>3.1580719878818397E-4</c:v>
                </c:pt>
                <c:pt idx="76">
                  <c:v>-1.5480106834753901E-4</c:v>
                </c:pt>
                <c:pt idx="77">
                  <c:v>-8.0758455869824706E-5</c:v>
                </c:pt>
                <c:pt idx="78">
                  <c:v>-1.6885697066006101E-4</c:v>
                </c:pt>
                <c:pt idx="79">
                  <c:v>-4.6780137474918302E-4</c:v>
                </c:pt>
                <c:pt idx="80">
                  <c:v>-3.5858264178159101E-4</c:v>
                </c:pt>
                <c:pt idx="81">
                  <c:v>-5.0044774567869598E-4</c:v>
                </c:pt>
                <c:pt idx="82">
                  <c:v>-5.9235387980826899E-4</c:v>
                </c:pt>
                <c:pt idx="83">
                  <c:v>-8.2665050776695897E-4</c:v>
                </c:pt>
                <c:pt idx="84">
                  <c:v>-5.9586538415171803E-4</c:v>
                </c:pt>
                <c:pt idx="85">
                  <c:v>3.5111773394864298E-4</c:v>
                </c:pt>
                <c:pt idx="86">
                  <c:v>1.7672538628533E-4</c:v>
                </c:pt>
                <c:pt idx="87">
                  <c:v>5.9919835123883197E-4</c:v>
                </c:pt>
                <c:pt idx="88">
                  <c:v>5.0081637419584202E-4</c:v>
                </c:pt>
                <c:pt idx="89">
                  <c:v>2.2857684469890899E-4</c:v>
                </c:pt>
                <c:pt idx="90">
                  <c:v>-5.5624909917402501E-5</c:v>
                </c:pt>
                <c:pt idx="91">
                  <c:v>7.5399467515400195E-4</c:v>
                </c:pt>
                <c:pt idx="92">
                  <c:v>8.3602547445622301E-4</c:v>
                </c:pt>
                <c:pt idx="93">
                  <c:v>4.1990111152353199E-6</c:v>
                </c:pt>
                <c:pt idx="94">
                  <c:v>9.4887410087574102E-5</c:v>
                </c:pt>
                <c:pt idx="95">
                  <c:v>6.7762787432753603E-4</c:v>
                </c:pt>
                <c:pt idx="96">
                  <c:v>6.6195126887083405E-4</c:v>
                </c:pt>
                <c:pt idx="97">
                  <c:v>3.9107002802075898E-4</c:v>
                </c:pt>
                <c:pt idx="98">
                  <c:v>-8.3598409776916401E-5</c:v>
                </c:pt>
                <c:pt idx="99">
                  <c:v>1.12816932112377E-4</c:v>
                </c:pt>
                <c:pt idx="100">
                  <c:v>-1.41359666773053E-4</c:v>
                </c:pt>
                <c:pt idx="101">
                  <c:v>-5.6240197605601197E-4</c:v>
                </c:pt>
                <c:pt idx="102">
                  <c:v>2.28282963609159E-4</c:v>
                </c:pt>
                <c:pt idx="103">
                  <c:v>4.8494136448220599E-4</c:v>
                </c:pt>
                <c:pt idx="104">
                  <c:v>2.6756429559466E-4</c:v>
                </c:pt>
                <c:pt idx="105">
                  <c:v>2.9519929211622802E-4</c:v>
                </c:pt>
                <c:pt idx="106">
                  <c:v>2.5266360615148098E-4</c:v>
                </c:pt>
                <c:pt idx="107">
                  <c:v>-2.7799720336672698E-4</c:v>
                </c:pt>
                <c:pt idx="108">
                  <c:v>2.19399157306434E-4</c:v>
                </c:pt>
                <c:pt idx="109">
                  <c:v>-8.6954940204342093E-6</c:v>
                </c:pt>
                <c:pt idx="110">
                  <c:v>-4.5031568294045599E-4</c:v>
                </c:pt>
                <c:pt idx="111">
                  <c:v>-2.4252865205156901E-4</c:v>
                </c:pt>
                <c:pt idx="112">
                  <c:v>2.8441147288536898E-4</c:v>
                </c:pt>
                <c:pt idx="113">
                  <c:v>5.6646789957611604E-4</c:v>
                </c:pt>
                <c:pt idx="114">
                  <c:v>1.6633898805090699E-4</c:v>
                </c:pt>
                <c:pt idx="115">
                  <c:v>-7.0919795722201497E-3</c:v>
                </c:pt>
                <c:pt idx="116">
                  <c:v>-6.5954067843272601E-3</c:v>
                </c:pt>
                <c:pt idx="117">
                  <c:v>-5.5683223670844797E-3</c:v>
                </c:pt>
                <c:pt idx="118">
                  <c:v>1.94349697938861E-3</c:v>
                </c:pt>
                <c:pt idx="119">
                  <c:v>2.4204653652294401E-3</c:v>
                </c:pt>
                <c:pt idx="120">
                  <c:v>1.8011799183340301E-3</c:v>
                </c:pt>
                <c:pt idx="121">
                  <c:v>1.9629010438857301E-3</c:v>
                </c:pt>
                <c:pt idx="122">
                  <c:v>2.8326915257347201E-3</c:v>
                </c:pt>
                <c:pt idx="123">
                  <c:v>2.0178838460196699E-3</c:v>
                </c:pt>
                <c:pt idx="124">
                  <c:v>2.8048435243495299E-3</c:v>
                </c:pt>
                <c:pt idx="125">
                  <c:v>1.9771181001785902E-3</c:v>
                </c:pt>
                <c:pt idx="126">
                  <c:v>1.52675411180948E-3</c:v>
                </c:pt>
                <c:pt idx="127">
                  <c:v>6.5853767166337601E-4</c:v>
                </c:pt>
                <c:pt idx="128">
                  <c:v>-4.11462817139387E-4</c:v>
                </c:pt>
                <c:pt idx="129">
                  <c:v>6.5498899690097896E-5</c:v>
                </c:pt>
                <c:pt idx="130">
                  <c:v>-8.6430429979055098E-5</c:v>
                </c:pt>
                <c:pt idx="131">
                  <c:v>-4.2178824473731302E-4</c:v>
                </c:pt>
                <c:pt idx="132">
                  <c:v>3.2777271434725501E-4</c:v>
                </c:pt>
                <c:pt idx="133">
                  <c:v>-7.8092875331968201E-5</c:v>
                </c:pt>
                <c:pt idx="134">
                  <c:v>-3.1424122343839999E-4</c:v>
                </c:pt>
                <c:pt idx="135">
                  <c:v>-1.5014886313612799E-4</c:v>
                </c:pt>
                <c:pt idx="136">
                  <c:v>-1.8265624022239499E-4</c:v>
                </c:pt>
                <c:pt idx="137">
                  <c:v>-7.0591296473740295E-5</c:v>
                </c:pt>
                <c:pt idx="138">
                  <c:v>-4.6929572603918998E-4</c:v>
                </c:pt>
                <c:pt idx="139">
                  <c:v>1.04377600625787E-4</c:v>
                </c:pt>
                <c:pt idx="140">
                  <c:v>4.2729651815281798E-4</c:v>
                </c:pt>
                <c:pt idx="141">
                  <c:v>4.5972373240437298E-4</c:v>
                </c:pt>
                <c:pt idx="142">
                  <c:v>-3.5002579801630198E-4</c:v>
                </c:pt>
                <c:pt idx="143">
                  <c:v>-9.3461804740218194E-5</c:v>
                </c:pt>
                <c:pt idx="144">
                  <c:v>1.5355919377538099E-4</c:v>
                </c:pt>
                <c:pt idx="145">
                  <c:v>-8.2359685156117594E-5</c:v>
                </c:pt>
                <c:pt idx="146">
                  <c:v>-3.2900822580554803E-4</c:v>
                </c:pt>
                <c:pt idx="147">
                  <c:v>1.2486501612357201E-4</c:v>
                </c:pt>
                <c:pt idx="148">
                  <c:v>3.6637102096983399E-4</c:v>
                </c:pt>
                <c:pt idx="149">
                  <c:v>1.09679924702275E-4</c:v>
                </c:pt>
                <c:pt idx="150">
                  <c:v>-3.5247994262688898E-4</c:v>
                </c:pt>
                <c:pt idx="151">
                  <c:v>-3.3698510083270502E-4</c:v>
                </c:pt>
                <c:pt idx="152">
                  <c:v>-1.08337682609963E-4</c:v>
                </c:pt>
                <c:pt idx="153">
                  <c:v>-1.77376105826278E-4</c:v>
                </c:pt>
                <c:pt idx="154">
                  <c:v>1.8063391899867499E-4</c:v>
                </c:pt>
                <c:pt idx="155">
                  <c:v>-1.55718495095349E-4</c:v>
                </c:pt>
                <c:pt idx="156">
                  <c:v>-4.0979437236997101E-4</c:v>
                </c:pt>
                <c:pt idx="157">
                  <c:v>-1.2441873234874E-4</c:v>
                </c:pt>
                <c:pt idx="158">
                  <c:v>-8.7256929979758396E-5</c:v>
                </c:pt>
                <c:pt idx="159">
                  <c:v>-9.9887926331724706E-5</c:v>
                </c:pt>
                <c:pt idx="160">
                  <c:v>9.8449207491256596E-4</c:v>
                </c:pt>
                <c:pt idx="161">
                  <c:v>5.7650887764189502E-4</c:v>
                </c:pt>
                <c:pt idx="162">
                  <c:v>-6.1712114775341895E-5</c:v>
                </c:pt>
                <c:pt idx="163">
                  <c:v>4.9177561667796896E-4</c:v>
                </c:pt>
                <c:pt idx="164">
                  <c:v>-1.9171943176511899E-4</c:v>
                </c:pt>
                <c:pt idx="165">
                  <c:v>1.1610584853827E-4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FENY x 20 dma / VDE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-3.3220147740022998E-4</c:v>
                </c:pt>
                <c:pt idx="21">
                  <c:v>-5.54653771878E-4</c:v>
                </c:pt>
                <c:pt idx="22">
                  <c:v>1.32817827265765E-4</c:v>
                </c:pt>
                <c:pt idx="23">
                  <c:v>7.2132705261628198E-5</c:v>
                </c:pt>
                <c:pt idx="24">
                  <c:v>-2.9421755984434302E-4</c:v>
                </c:pt>
                <c:pt idx="25">
                  <c:v>-2.5343610639599201E-4</c:v>
                </c:pt>
                <c:pt idx="26">
                  <c:v>3.2716052691622599E-4</c:v>
                </c:pt>
                <c:pt idx="27">
                  <c:v>-5.6146106965769298E-5</c:v>
                </c:pt>
                <c:pt idx="28">
                  <c:v>2.7520158195266898E-4</c:v>
                </c:pt>
                <c:pt idx="29">
                  <c:v>3.4445803810327699E-5</c:v>
                </c:pt>
                <c:pt idx="30">
                  <c:v>5.8720896457394999E-4</c:v>
                </c:pt>
                <c:pt idx="31">
                  <c:v>9.8515619206212198E-5</c:v>
                </c:pt>
                <c:pt idx="32">
                  <c:v>2.7018922932159697E-4</c:v>
                </c:pt>
                <c:pt idx="33">
                  <c:v>-7.2173886798037199E-5</c:v>
                </c:pt>
                <c:pt idx="34">
                  <c:v>1.008822656648E-4</c:v>
                </c:pt>
                <c:pt idx="35">
                  <c:v>4.0120416731343102E-4</c:v>
                </c:pt>
                <c:pt idx="36">
                  <c:v>-5.3482849967296598E-4</c:v>
                </c:pt>
                <c:pt idx="37">
                  <c:v>-3.8089723631026101E-4</c:v>
                </c:pt>
                <c:pt idx="38">
                  <c:v>5.9534521186555098E-4</c:v>
                </c:pt>
                <c:pt idx="39">
                  <c:v>-6.1951859937161807E-5</c:v>
                </c:pt>
                <c:pt idx="40">
                  <c:v>-1.41483593350508E-4</c:v>
                </c:pt>
                <c:pt idx="41">
                  <c:v>-3.3228975225039901E-4</c:v>
                </c:pt>
                <c:pt idx="42">
                  <c:v>3.1242789879842397E-4</c:v>
                </c:pt>
                <c:pt idx="43">
                  <c:v>-3.91184057606252E-4</c:v>
                </c:pt>
                <c:pt idx="44">
                  <c:v>1.4659325777462899E-4</c:v>
                </c:pt>
                <c:pt idx="45">
                  <c:v>-2.1535905206063801E-4</c:v>
                </c:pt>
                <c:pt idx="46">
                  <c:v>-1.9003470775867101E-4</c:v>
                </c:pt>
                <c:pt idx="47">
                  <c:v>2.8722009016357001E-5</c:v>
                </c:pt>
                <c:pt idx="48">
                  <c:v>-4.0997293731930001E-4</c:v>
                </c:pt>
                <c:pt idx="49">
                  <c:v>-1.45356089455145E-4</c:v>
                </c:pt>
                <c:pt idx="50">
                  <c:v>1.8987686905406201E-4</c:v>
                </c:pt>
                <c:pt idx="51">
                  <c:v>5.26299585950145E-4</c:v>
                </c:pt>
                <c:pt idx="52">
                  <c:v>1.05173787848876E-4</c:v>
                </c:pt>
                <c:pt idx="53">
                  <c:v>-5.5556666947723498E-3</c:v>
                </c:pt>
                <c:pt idx="54">
                  <c:v>-4.51385574362496E-3</c:v>
                </c:pt>
                <c:pt idx="55">
                  <c:v>8.7415404884315904E-4</c:v>
                </c:pt>
                <c:pt idx="56">
                  <c:v>6.90979633469591E-4</c:v>
                </c:pt>
                <c:pt idx="57">
                  <c:v>3.3856714298355898E-4</c:v>
                </c:pt>
                <c:pt idx="58">
                  <c:v>5.4693271836346396E-4</c:v>
                </c:pt>
                <c:pt idx="59">
                  <c:v>6.7175942484304504E-4</c:v>
                </c:pt>
                <c:pt idx="60">
                  <c:v>5.2751844989819296E-4</c:v>
                </c:pt>
                <c:pt idx="61">
                  <c:v>7.2769237220434899E-4</c:v>
                </c:pt>
                <c:pt idx="62">
                  <c:v>4.65845449914154E-4</c:v>
                </c:pt>
                <c:pt idx="63">
                  <c:v>1.0740253652697801E-3</c:v>
                </c:pt>
                <c:pt idx="64">
                  <c:v>8.0787522864296795E-4</c:v>
                </c:pt>
                <c:pt idx="65">
                  <c:v>5.7631161319523399E-4</c:v>
                </c:pt>
                <c:pt idx="66">
                  <c:v>3.44343056223584E-4</c:v>
                </c:pt>
                <c:pt idx="67">
                  <c:v>8.0569406581267099E-4</c:v>
                </c:pt>
                <c:pt idx="68">
                  <c:v>4.0429299249946E-4</c:v>
                </c:pt>
                <c:pt idx="69">
                  <c:v>4.39044985568865E-4</c:v>
                </c:pt>
                <c:pt idx="70">
                  <c:v>3.38269245167791E-4</c:v>
                </c:pt>
                <c:pt idx="71">
                  <c:v>7.4218547228325897E-4</c:v>
                </c:pt>
                <c:pt idx="72">
                  <c:v>6.1241268830035595E-4</c:v>
                </c:pt>
                <c:pt idx="73">
                  <c:v>7.7735631993014205E-4</c:v>
                </c:pt>
                <c:pt idx="74">
                  <c:v>7.8077404259989803E-4</c:v>
                </c:pt>
                <c:pt idx="75">
                  <c:v>3.3818759101576101E-4</c:v>
                </c:pt>
                <c:pt idx="76">
                  <c:v>-1.0281150773516601E-4</c:v>
                </c:pt>
                <c:pt idx="77">
                  <c:v>-8.3978459866238305E-6</c:v>
                </c:pt>
                <c:pt idx="78">
                  <c:v>-1.33945607809133E-4</c:v>
                </c:pt>
                <c:pt idx="79">
                  <c:v>-4.2627727437830098E-4</c:v>
                </c:pt>
                <c:pt idx="80">
                  <c:v>-3.2548432486452001E-4</c:v>
                </c:pt>
                <c:pt idx="81">
                  <c:v>-4.6937227266668498E-4</c:v>
                </c:pt>
                <c:pt idx="82">
                  <c:v>-5.9984260598726596E-4</c:v>
                </c:pt>
                <c:pt idx="83">
                  <c:v>-8.7859493999653602E-4</c:v>
                </c:pt>
                <c:pt idx="84">
                  <c:v>-6.9487783959270698E-4</c:v>
                </c:pt>
                <c:pt idx="85">
                  <c:v>1.69746113167039E-4</c:v>
                </c:pt>
                <c:pt idx="86">
                  <c:v>-4.0616521951095001E-5</c:v>
                </c:pt>
                <c:pt idx="87">
                  <c:v>3.6784243547480097E-4</c:v>
                </c:pt>
                <c:pt idx="88">
                  <c:v>2.9010898532265601E-4</c:v>
                </c:pt>
                <c:pt idx="89">
                  <c:v>2.6233270421232401E-5</c:v>
                </c:pt>
                <c:pt idx="90">
                  <c:v>-2.30178184306073E-4</c:v>
                </c:pt>
                <c:pt idx="91">
                  <c:v>5.81687506359778E-4</c:v>
                </c:pt>
                <c:pt idx="92">
                  <c:v>7.4096917342580395E-4</c:v>
                </c:pt>
                <c:pt idx="93">
                  <c:v>3.7798608522514001E-6</c:v>
                </c:pt>
                <c:pt idx="94">
                  <c:v>1.92297217337805E-4</c:v>
                </c:pt>
                <c:pt idx="95">
                  <c:v>8.8485529337679805E-4</c:v>
                </c:pt>
                <c:pt idx="96">
                  <c:v>9.2259186083254896E-4</c:v>
                </c:pt>
                <c:pt idx="97">
                  <c:v>7.07202146086817E-4</c:v>
                </c:pt>
                <c:pt idx="98">
                  <c:v>2.4288112197056E-4</c:v>
                </c:pt>
                <c:pt idx="99">
                  <c:v>4.30309685200717E-4</c:v>
                </c:pt>
                <c:pt idx="100">
                  <c:v>1.87515976003502E-4</c:v>
                </c:pt>
                <c:pt idx="101">
                  <c:v>-2.0259819374565899E-4</c:v>
                </c:pt>
                <c:pt idx="102">
                  <c:v>5.1273118547486105E-4</c:v>
                </c:pt>
                <c:pt idx="103">
                  <c:v>7.0552430933428802E-4</c:v>
                </c:pt>
                <c:pt idx="104">
                  <c:v>4.9272292109663399E-4</c:v>
                </c:pt>
                <c:pt idx="105">
                  <c:v>5.0720903908221099E-4</c:v>
                </c:pt>
                <c:pt idx="106">
                  <c:v>4.2970718912996298E-4</c:v>
                </c:pt>
                <c:pt idx="107">
                  <c:v>-1.5403892247273899E-4</c:v>
                </c:pt>
                <c:pt idx="108">
                  <c:v>3.0109536129626897E-4</c:v>
                </c:pt>
                <c:pt idx="109">
                  <c:v>9.2900262992026995E-5</c:v>
                </c:pt>
                <c:pt idx="110">
                  <c:v>-3.7059897650870103E-4</c:v>
                </c:pt>
                <c:pt idx="111">
                  <c:v>-1.98901832299756E-4</c:v>
                </c:pt>
                <c:pt idx="112">
                  <c:v>3.7826040793449299E-4</c:v>
                </c:pt>
                <c:pt idx="113">
                  <c:v>6.7445316916557802E-4</c:v>
                </c:pt>
                <c:pt idx="114">
                  <c:v>2.4309565390086399E-4</c:v>
                </c:pt>
                <c:pt idx="115">
                  <c:v>-7.0437604534085803E-3</c:v>
                </c:pt>
                <c:pt idx="116">
                  <c:v>-6.9148773141872802E-3</c:v>
                </c:pt>
                <c:pt idx="117">
                  <c:v>-6.260128480369E-3</c:v>
                </c:pt>
                <c:pt idx="118">
                  <c:v>9.3866101711161099E-4</c:v>
                </c:pt>
                <c:pt idx="119">
                  <c:v>1.37804873462274E-3</c:v>
                </c:pt>
                <c:pt idx="120">
                  <c:v>7.7178984875323701E-4</c:v>
                </c:pt>
                <c:pt idx="121">
                  <c:v>9.5053926396002802E-4</c:v>
                </c:pt>
                <c:pt idx="122">
                  <c:v>1.80894288493179E-3</c:v>
                </c:pt>
                <c:pt idx="123">
                  <c:v>1.00685604730181E-3</c:v>
                </c:pt>
                <c:pt idx="124">
                  <c:v>1.75047571373369E-3</c:v>
                </c:pt>
                <c:pt idx="125">
                  <c:v>9.4647819764308598E-4</c:v>
                </c:pt>
                <c:pt idx="126">
                  <c:v>1.2122915408013699E-3</c:v>
                </c:pt>
                <c:pt idx="127">
                  <c:v>1.0950370524559199E-3</c:v>
                </c:pt>
                <c:pt idx="128">
                  <c:v>7.1607012528339701E-4</c:v>
                </c:pt>
                <c:pt idx="129">
                  <c:v>1.2022814710641401E-3</c:v>
                </c:pt>
                <c:pt idx="130">
                  <c:v>1.0290703342239001E-3</c:v>
                </c:pt>
                <c:pt idx="131">
                  <c:v>7.0126657048492403E-4</c:v>
                </c:pt>
                <c:pt idx="132">
                  <c:v>1.4348480750170599E-3</c:v>
                </c:pt>
                <c:pt idx="133">
                  <c:v>9.8942420413846094E-4</c:v>
                </c:pt>
                <c:pt idx="134">
                  <c:v>7.8372146654511496E-4</c:v>
                </c:pt>
                <c:pt idx="135">
                  <c:v>8.7516118092572899E-4</c:v>
                </c:pt>
                <c:pt idx="136">
                  <c:v>4.8747109682678499E-4</c:v>
                </c:pt>
                <c:pt idx="137">
                  <c:v>2.05238468579361E-4</c:v>
                </c:pt>
                <c:pt idx="138">
                  <c:v>-5.5851586336223098E-4</c:v>
                </c:pt>
                <c:pt idx="139">
                  <c:v>8.4000128994948192E-6</c:v>
                </c:pt>
                <c:pt idx="140">
                  <c:v>3.2780058092498102E-4</c:v>
                </c:pt>
                <c:pt idx="141">
                  <c:v>3.5884808254254001E-4</c:v>
                </c:pt>
                <c:pt idx="142">
                  <c:v>-4.0992574818237299E-4</c:v>
                </c:pt>
                <c:pt idx="143">
                  <c:v>-1.78643997074647E-4</c:v>
                </c:pt>
                <c:pt idx="144">
                  <c:v>5.7194928206954903E-5</c:v>
                </c:pt>
                <c:pt idx="145">
                  <c:v>-1.18765625130986E-4</c:v>
                </c:pt>
                <c:pt idx="146">
                  <c:v>-3.6178024257170499E-4</c:v>
                </c:pt>
                <c:pt idx="147">
                  <c:v>9.9975507493718996E-5</c:v>
                </c:pt>
                <c:pt idx="148">
                  <c:v>3.5764178335684501E-4</c:v>
                </c:pt>
                <c:pt idx="149">
                  <c:v>1.5368351706558601E-4</c:v>
                </c:pt>
                <c:pt idx="150">
                  <c:v>-2.9615778490868798E-4</c:v>
                </c:pt>
                <c:pt idx="151">
                  <c:v>-3.2975304669679098E-4</c:v>
                </c:pt>
                <c:pt idx="152">
                  <c:v>-1.7419668624082599E-4</c:v>
                </c:pt>
                <c:pt idx="153">
                  <c:v>-1.9786128584756E-4</c:v>
                </c:pt>
                <c:pt idx="154">
                  <c:v>1.6319069632198099E-4</c:v>
                </c:pt>
                <c:pt idx="155">
                  <c:v>-1.8730499874414301E-4</c:v>
                </c:pt>
                <c:pt idx="156">
                  <c:v>-4.4795661648879697E-4</c:v>
                </c:pt>
                <c:pt idx="157">
                  <c:v>-1.5984211664336499E-4</c:v>
                </c:pt>
                <c:pt idx="158">
                  <c:v>-1.4596848788165799E-4</c:v>
                </c:pt>
                <c:pt idx="159">
                  <c:v>-2.28053077320915E-4</c:v>
                </c:pt>
                <c:pt idx="160">
                  <c:v>8.2837370472047705E-4</c:v>
                </c:pt>
                <c:pt idx="161">
                  <c:v>5.0495114976588905E-4</c:v>
                </c:pt>
                <c:pt idx="162">
                  <c:v>-5.5651006284650398E-5</c:v>
                </c:pt>
                <c:pt idx="163">
                  <c:v>4.9527515970141398E-4</c:v>
                </c:pt>
                <c:pt idx="164">
                  <c:v>-1.4817052661110199E-4</c:v>
                </c:pt>
                <c:pt idx="165">
                  <c:v>1.4578140614008699E-4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5.5583735316212975E-4</c:v>
                </c:pt>
                <c:pt idx="7">
                  <c:v>1.9196085857662963E-4</c:v>
                </c:pt>
                <c:pt idx="8">
                  <c:v>5.0797313592993061E-4</c:v>
                </c:pt>
                <c:pt idx="9">
                  <c:v>7.5544645045768147E-4</c:v>
                </c:pt>
                <c:pt idx="10">
                  <c:v>2.2229543655048062E-4</c:v>
                </c:pt>
                <c:pt idx="11">
                  <c:v>6.9129348594577922E-4</c:v>
                </c:pt>
                <c:pt idx="12">
                  <c:v>5.471944831838705E-4</c:v>
                </c:pt>
                <c:pt idx="13">
                  <c:v>8.8299758754164029E-4</c:v>
                </c:pt>
                <c:pt idx="14">
                  <c:v>7.0360759120806013E-4</c:v>
                </c:pt>
                <c:pt idx="15">
                  <c:v>3.7045414554857221E-4</c:v>
                </c:pt>
                <c:pt idx="16">
                  <c:v>1.293692800859722E-3</c:v>
                </c:pt>
                <c:pt idx="17">
                  <c:v>1.1602969897355016E-3</c:v>
                </c:pt>
                <c:pt idx="18">
                  <c:v>1.8189200281670099E-4</c:v>
                </c:pt>
                <c:pt idx="19">
                  <c:v>7.8723719936910053E-4</c:v>
                </c:pt>
                <c:pt idx="20">
                  <c:v>8.8755585948484066E-4</c:v>
                </c:pt>
                <c:pt idx="21">
                  <c:v>1.0738184822222505E-3</c:v>
                </c:pt>
                <c:pt idx="22">
                  <c:v>4.2165258630243066E-4</c:v>
                </c:pt>
                <c:pt idx="23">
                  <c:v>4.2165258630243066E-4</c:v>
                </c:pt>
                <c:pt idx="24">
                  <c:v>4.2165258630243066E-4</c:v>
                </c:pt>
                <c:pt idx="25">
                  <c:v>4.2165258630243066E-4</c:v>
                </c:pt>
                <c:pt idx="26">
                  <c:v>4.2165258630243066E-4</c:v>
                </c:pt>
                <c:pt idx="27">
                  <c:v>4.2165258630243066E-4</c:v>
                </c:pt>
                <c:pt idx="28">
                  <c:v>4.2165258630243066E-4</c:v>
                </c:pt>
                <c:pt idx="29">
                  <c:v>4.2165258630243066E-4</c:v>
                </c:pt>
                <c:pt idx="30">
                  <c:v>9.4449414752030168E-5</c:v>
                </c:pt>
                <c:pt idx="31">
                  <c:v>-2.2365361818285081E-4</c:v>
                </c:pt>
                <c:pt idx="32">
                  <c:v>1.7645023781474726E-4</c:v>
                </c:pt>
                <c:pt idx="33">
                  <c:v>1.7645023781474726E-4</c:v>
                </c:pt>
                <c:pt idx="34">
                  <c:v>9.4478309188250826E-4</c:v>
                </c:pt>
                <c:pt idx="35">
                  <c:v>9.4478309188250826E-4</c:v>
                </c:pt>
                <c:pt idx="36">
                  <c:v>9.4478309188250826E-4</c:v>
                </c:pt>
                <c:pt idx="37">
                  <c:v>9.4478309188250826E-4</c:v>
                </c:pt>
                <c:pt idx="38">
                  <c:v>9.4478309188250826E-4</c:v>
                </c:pt>
                <c:pt idx="39">
                  <c:v>9.4478309188250826E-4</c:v>
                </c:pt>
                <c:pt idx="40">
                  <c:v>9.4478309188250826E-4</c:v>
                </c:pt>
                <c:pt idx="41">
                  <c:v>9.4478309188250826E-4</c:v>
                </c:pt>
                <c:pt idx="42">
                  <c:v>9.4478309188250826E-4</c:v>
                </c:pt>
                <c:pt idx="43">
                  <c:v>1.5353329836123391E-3</c:v>
                </c:pt>
                <c:pt idx="44">
                  <c:v>1.3157760203366584E-3</c:v>
                </c:pt>
                <c:pt idx="45">
                  <c:v>1.0940648500171574E-3</c:v>
                </c:pt>
                <c:pt idx="46">
                  <c:v>1.0940648500171574E-3</c:v>
                </c:pt>
                <c:pt idx="47">
                  <c:v>1.0940648500171574E-3</c:v>
                </c:pt>
                <c:pt idx="48">
                  <c:v>1.4785363692396973E-3</c:v>
                </c:pt>
                <c:pt idx="49">
                  <c:v>1.4244085017269957E-3</c:v>
                </c:pt>
                <c:pt idx="50">
                  <c:v>1.5147306458802559E-3</c:v>
                </c:pt>
                <c:pt idx="51">
                  <c:v>1.1212289826310581E-3</c:v>
                </c:pt>
                <c:pt idx="52">
                  <c:v>1.2576456652299559E-3</c:v>
                </c:pt>
                <c:pt idx="53">
                  <c:v>1.0861705233533657E-3</c:v>
                </c:pt>
                <c:pt idx="54">
                  <c:v>7.8358822987776504E-4</c:v>
                </c:pt>
                <c:pt idx="55">
                  <c:v>9.5042107881566462E-4</c:v>
                </c:pt>
                <c:pt idx="56">
                  <c:v>9.5042107881566462E-4</c:v>
                </c:pt>
                <c:pt idx="57">
                  <c:v>1.0421799449641246E-3</c:v>
                </c:pt>
                <c:pt idx="58">
                  <c:v>9.3448397199004461E-4</c:v>
                </c:pt>
                <c:pt idx="59">
                  <c:v>9.3448397199004461E-4</c:v>
                </c:pt>
                <c:pt idx="60">
                  <c:v>9.3448397199004461E-4</c:v>
                </c:pt>
                <c:pt idx="61">
                  <c:v>9.3448397199004461E-4</c:v>
                </c:pt>
                <c:pt idx="62">
                  <c:v>9.3448397199004461E-4</c:v>
                </c:pt>
                <c:pt idx="63">
                  <c:v>1.2342573491534734E-3</c:v>
                </c:pt>
                <c:pt idx="64">
                  <c:v>1.1160819767634994E-3</c:v>
                </c:pt>
                <c:pt idx="65">
                  <c:v>3.0010960307019579E-4</c:v>
                </c:pt>
                <c:pt idx="66">
                  <c:v>5.0723112083329316E-4</c:v>
                </c:pt>
                <c:pt idx="67">
                  <c:v>9.5076207436372911E-5</c:v>
                </c:pt>
                <c:pt idx="68">
                  <c:v>1.7174945789607383E-4</c:v>
                </c:pt>
                <c:pt idx="69">
                  <c:v>4.191766121872532E-4</c:v>
                </c:pt>
                <c:pt idx="70">
                  <c:v>6.7421534285170811E-4</c:v>
                </c:pt>
                <c:pt idx="71">
                  <c:v>-1.3078617352679225E-4</c:v>
                </c:pt>
                <c:pt idx="72">
                  <c:v>-1.3078617352679225E-4</c:v>
                </c:pt>
                <c:pt idx="73">
                  <c:v>-8.3880604815349041E-4</c:v>
                </c:pt>
                <c:pt idx="74">
                  <c:v>-6.650789729508908E-4</c:v>
                </c:pt>
                <c:pt idx="75">
                  <c:v>6.2525239197101269E-6</c:v>
                </c:pt>
                <c:pt idx="76">
                  <c:v>6.46481126775106E-5</c:v>
                </c:pt>
                <c:pt idx="77">
                  <c:v>6.46481126775106E-5</c:v>
                </c:pt>
                <c:pt idx="78">
                  <c:v>6.46481126775106E-5</c:v>
                </c:pt>
                <c:pt idx="79">
                  <c:v>6.46481126775106E-5</c:v>
                </c:pt>
                <c:pt idx="80">
                  <c:v>6.46481126775106E-5</c:v>
                </c:pt>
                <c:pt idx="81">
                  <c:v>6.46481126775106E-5</c:v>
                </c:pt>
                <c:pt idx="82">
                  <c:v>6.46481126775106E-5</c:v>
                </c:pt>
                <c:pt idx="83">
                  <c:v>3.1741478991541153E-4</c:v>
                </c:pt>
                <c:pt idx="84">
                  <c:v>1.9222571966881182E-4</c:v>
                </c:pt>
                <c:pt idx="85">
                  <c:v>2.8215973813790186E-4</c:v>
                </c:pt>
                <c:pt idx="86">
                  <c:v>2.4377751813600321E-4</c:v>
                </c:pt>
                <c:pt idx="87">
                  <c:v>-2.9240491188459714E-4</c:v>
                </c:pt>
                <c:pt idx="88">
                  <c:v>1.628728927885023E-4</c:v>
                </c:pt>
                <c:pt idx="89">
                  <c:v>-1.8581697087896457E-5</c:v>
                </c:pt>
                <c:pt idx="90">
                  <c:v>-4.5203457141439391E-4</c:v>
                </c:pt>
                <c:pt idx="91">
                  <c:v>-4.5203457141439391E-4</c:v>
                </c:pt>
                <c:pt idx="92">
                  <c:v>-4.5203457141439391E-4</c:v>
                </c:pt>
                <c:pt idx="93">
                  <c:v>-4.5203457141439391E-4</c:v>
                </c:pt>
                <c:pt idx="94">
                  <c:v>-4.5203457141439391E-4</c:v>
                </c:pt>
                <c:pt idx="95">
                  <c:v>-4.5203457141439391E-4</c:v>
                </c:pt>
                <c:pt idx="96">
                  <c:v>-4.5203457141439391E-4</c:v>
                </c:pt>
                <c:pt idx="97">
                  <c:v>-4.5203457141439391E-4</c:v>
                </c:pt>
                <c:pt idx="98">
                  <c:v>-4.5203457141439391E-4</c:v>
                </c:pt>
                <c:pt idx="99">
                  <c:v>-4.5203457141439391E-4</c:v>
                </c:pt>
                <c:pt idx="100">
                  <c:v>-4.5203457141439391E-4</c:v>
                </c:pt>
                <c:pt idx="101">
                  <c:v>-4.5203457141439391E-4</c:v>
                </c:pt>
                <c:pt idx="102">
                  <c:v>-4.5203457141439391E-4</c:v>
                </c:pt>
                <c:pt idx="103">
                  <c:v>-4.5203457141439391E-4</c:v>
                </c:pt>
                <c:pt idx="104">
                  <c:v>-4.5203457141439391E-4</c:v>
                </c:pt>
                <c:pt idx="105">
                  <c:v>-4.5203457141439391E-4</c:v>
                </c:pt>
                <c:pt idx="106">
                  <c:v>-2.0040510039159355E-4</c:v>
                </c:pt>
                <c:pt idx="107">
                  <c:v>-3.1735878806039342E-4</c:v>
                </c:pt>
                <c:pt idx="108">
                  <c:v>-6.7508164177669376E-4</c:v>
                </c:pt>
                <c:pt idx="109">
                  <c:v>-2.0823990626220421E-4</c:v>
                </c:pt>
                <c:pt idx="110">
                  <c:v>-3.6843753129260398E-4</c:v>
                </c:pt>
                <c:pt idx="111">
                  <c:v>-6.6957112618242398E-4</c:v>
                </c:pt>
                <c:pt idx="112">
                  <c:v>6.6001059800655957E-5</c:v>
                </c:pt>
                <c:pt idx="113">
                  <c:v>-3.6904950875180369E-4</c:v>
                </c:pt>
                <c:pt idx="114">
                  <c:v>-6.0140557563570268E-4</c:v>
                </c:pt>
                <c:pt idx="115">
                  <c:v>-5.2973163062001245E-4</c:v>
                </c:pt>
                <c:pt idx="116">
                  <c:v>-5.7000954825711246E-4</c:v>
                </c:pt>
                <c:pt idx="117">
                  <c:v>-4.949042871716131E-4</c:v>
                </c:pt>
                <c:pt idx="118">
                  <c:v>-9.1136278626613291E-4</c:v>
                </c:pt>
                <c:pt idx="119">
                  <c:v>-9.1136278626613291E-4</c:v>
                </c:pt>
                <c:pt idx="120">
                  <c:v>-9.1136278626613291E-4</c:v>
                </c:pt>
                <c:pt idx="121">
                  <c:v>-9.1136278626613291E-4</c:v>
                </c:pt>
                <c:pt idx="122">
                  <c:v>-9.1136278626613291E-4</c:v>
                </c:pt>
                <c:pt idx="123">
                  <c:v>-9.1136278626613291E-4</c:v>
                </c:pt>
                <c:pt idx="124">
                  <c:v>-9.1136278626613291E-4</c:v>
                </c:pt>
                <c:pt idx="125">
                  <c:v>-9.1136278626613291E-4</c:v>
                </c:pt>
                <c:pt idx="126">
                  <c:v>-9.1136278626613291E-4</c:v>
                </c:pt>
                <c:pt idx="127">
                  <c:v>-9.1136278626613291E-4</c:v>
                </c:pt>
                <c:pt idx="128">
                  <c:v>-9.1136278626613291E-4</c:v>
                </c:pt>
                <c:pt idx="129">
                  <c:v>-1.0862262163708338E-3</c:v>
                </c:pt>
                <c:pt idx="130">
                  <c:v>-1.5390558709760321E-3</c:v>
                </c:pt>
                <c:pt idx="131">
                  <c:v>-1.5902735985383334E-3</c:v>
                </c:pt>
                <c:pt idx="132">
                  <c:v>-1.4398433662466234E-3</c:v>
                </c:pt>
                <c:pt idx="133">
                  <c:v>-1.4978833558158249E-3</c:v>
                </c:pt>
                <c:pt idx="134">
                  <c:v>-1.1523631965096263E-3</c:v>
                </c:pt>
                <c:pt idx="135">
                  <c:v>-1.4894966685892255E-3</c:v>
                </c:pt>
                <c:pt idx="136">
                  <c:v>-1.7572269282104241E-3</c:v>
                </c:pt>
                <c:pt idx="137">
                  <c:v>-1.7572269282104241E-3</c:v>
                </c:pt>
                <c:pt idx="138">
                  <c:v>-1.7520766496379242E-3</c:v>
                </c:pt>
                <c:pt idx="139">
                  <c:v>-1.8218001471638661E-3</c:v>
                </c:pt>
                <c:pt idx="140">
                  <c:v>-7.8400431994064628E-4</c:v>
                </c:pt>
                <c:pt idx="141">
                  <c:v>-1.0895595460595449E-3</c:v>
                </c:pt>
                <c:pt idx="142">
                  <c:v>-1.6507549675360744E-3</c:v>
                </c:pt>
                <c:pt idx="143">
                  <c:v>-1.6507549675360744E-3</c:v>
                </c:pt>
                <c:pt idx="144">
                  <c:v>-1.6507549675360744E-3</c:v>
                </c:pt>
                <c:pt idx="145">
                  <c:v>-1.6507549675360744E-3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5.5583735316212975E-4</c:v>
                </c:pt>
                <c:pt idx="7">
                  <c:v>1.9196085857662963E-4</c:v>
                </c:pt>
                <c:pt idx="8">
                  <c:v>5.0797313592993061E-4</c:v>
                </c:pt>
                <c:pt idx="9">
                  <c:v>5.0797313592993061E-4</c:v>
                </c:pt>
                <c:pt idx="10">
                  <c:v>5.0797313592993061E-4</c:v>
                </c:pt>
                <c:pt idx="11">
                  <c:v>5.0797313592993061E-4</c:v>
                </c:pt>
                <c:pt idx="12">
                  <c:v>5.0797313592993061E-4</c:v>
                </c:pt>
                <c:pt idx="13">
                  <c:v>5.0797313592993061E-4</c:v>
                </c:pt>
                <c:pt idx="14">
                  <c:v>5.0797313592993061E-4</c:v>
                </c:pt>
                <c:pt idx="15">
                  <c:v>5.0797313592993061E-4</c:v>
                </c:pt>
                <c:pt idx="16">
                  <c:v>5.0797313592993061E-4</c:v>
                </c:pt>
                <c:pt idx="17">
                  <c:v>5.0797313592993061E-4</c:v>
                </c:pt>
                <c:pt idx="18">
                  <c:v>5.0797313592993061E-4</c:v>
                </c:pt>
                <c:pt idx="19">
                  <c:v>5.0797313592993061E-4</c:v>
                </c:pt>
                <c:pt idx="20">
                  <c:v>5.0797313592993061E-4</c:v>
                </c:pt>
                <c:pt idx="21">
                  <c:v>5.0797313592993061E-4</c:v>
                </c:pt>
                <c:pt idx="22">
                  <c:v>5.0797313592993061E-4</c:v>
                </c:pt>
                <c:pt idx="23">
                  <c:v>5.0797313592993061E-4</c:v>
                </c:pt>
                <c:pt idx="24">
                  <c:v>5.0797313592993061E-4</c:v>
                </c:pt>
                <c:pt idx="25">
                  <c:v>5.0797313592993061E-4</c:v>
                </c:pt>
                <c:pt idx="26">
                  <c:v>5.0797313592993061E-4</c:v>
                </c:pt>
                <c:pt idx="27">
                  <c:v>5.0797313592993061E-4</c:v>
                </c:pt>
                <c:pt idx="28">
                  <c:v>5.0797313592993061E-4</c:v>
                </c:pt>
                <c:pt idx="29">
                  <c:v>5.0797313592993061E-4</c:v>
                </c:pt>
                <c:pt idx="30">
                  <c:v>5.0797313592993061E-4</c:v>
                </c:pt>
                <c:pt idx="31">
                  <c:v>5.0797313592993061E-4</c:v>
                </c:pt>
                <c:pt idx="32">
                  <c:v>5.0797313592993061E-4</c:v>
                </c:pt>
                <c:pt idx="33">
                  <c:v>5.0797313592993061E-4</c:v>
                </c:pt>
                <c:pt idx="34">
                  <c:v>1.2763059899976916E-3</c:v>
                </c:pt>
                <c:pt idx="35">
                  <c:v>1.2763059899976916E-3</c:v>
                </c:pt>
                <c:pt idx="36">
                  <c:v>1.2763059899976916E-3</c:v>
                </c:pt>
                <c:pt idx="37">
                  <c:v>1.2763059899976916E-3</c:v>
                </c:pt>
                <c:pt idx="38">
                  <c:v>1.2763059899976916E-3</c:v>
                </c:pt>
                <c:pt idx="39">
                  <c:v>1.2763059899976916E-3</c:v>
                </c:pt>
                <c:pt idx="40">
                  <c:v>1.2763059899976916E-3</c:v>
                </c:pt>
                <c:pt idx="41">
                  <c:v>1.2763059899976916E-3</c:v>
                </c:pt>
                <c:pt idx="42">
                  <c:v>1.2763059899976916E-3</c:v>
                </c:pt>
                <c:pt idx="43">
                  <c:v>1.8668558817275223E-3</c:v>
                </c:pt>
                <c:pt idx="44">
                  <c:v>1.6472989184518417E-3</c:v>
                </c:pt>
                <c:pt idx="45">
                  <c:v>1.4255877481323407E-3</c:v>
                </c:pt>
                <c:pt idx="46">
                  <c:v>1.4255877481323407E-3</c:v>
                </c:pt>
                <c:pt idx="47">
                  <c:v>1.4255877481323407E-3</c:v>
                </c:pt>
                <c:pt idx="48">
                  <c:v>1.4255877481323407E-3</c:v>
                </c:pt>
                <c:pt idx="49">
                  <c:v>1.4255877481323407E-3</c:v>
                </c:pt>
                <c:pt idx="50">
                  <c:v>1.4255877481323407E-3</c:v>
                </c:pt>
                <c:pt idx="51">
                  <c:v>1.4255877481323407E-3</c:v>
                </c:pt>
                <c:pt idx="52">
                  <c:v>1.4255877481323407E-3</c:v>
                </c:pt>
                <c:pt idx="53">
                  <c:v>1.4255877481323407E-3</c:v>
                </c:pt>
                <c:pt idx="54">
                  <c:v>1.4255877481323407E-3</c:v>
                </c:pt>
                <c:pt idx="55">
                  <c:v>1.4255877481323407E-3</c:v>
                </c:pt>
                <c:pt idx="56">
                  <c:v>1.4255877481323407E-3</c:v>
                </c:pt>
                <c:pt idx="57">
                  <c:v>1.5173466142808006E-3</c:v>
                </c:pt>
                <c:pt idx="58">
                  <c:v>1.4096506413067205E-3</c:v>
                </c:pt>
                <c:pt idx="59">
                  <c:v>1.4096506413067205E-3</c:v>
                </c:pt>
                <c:pt idx="60">
                  <c:v>1.4096506413067205E-3</c:v>
                </c:pt>
                <c:pt idx="61">
                  <c:v>1.4096506413067205E-3</c:v>
                </c:pt>
                <c:pt idx="62">
                  <c:v>1.4096506413067205E-3</c:v>
                </c:pt>
                <c:pt idx="63">
                  <c:v>1.4096506413067205E-3</c:v>
                </c:pt>
                <c:pt idx="64">
                  <c:v>1.4096506413067205E-3</c:v>
                </c:pt>
                <c:pt idx="65">
                  <c:v>1.4096506413067205E-3</c:v>
                </c:pt>
                <c:pt idx="66">
                  <c:v>1.4096506413067205E-3</c:v>
                </c:pt>
                <c:pt idx="67">
                  <c:v>1.4096506413067205E-3</c:v>
                </c:pt>
                <c:pt idx="68">
                  <c:v>1.4096506413067205E-3</c:v>
                </c:pt>
                <c:pt idx="69">
                  <c:v>1.4096506413067205E-3</c:v>
                </c:pt>
                <c:pt idx="70">
                  <c:v>1.4096506413067205E-3</c:v>
                </c:pt>
                <c:pt idx="71">
                  <c:v>1.4096506413067205E-3</c:v>
                </c:pt>
                <c:pt idx="72">
                  <c:v>1.4096506413067205E-3</c:v>
                </c:pt>
                <c:pt idx="73">
                  <c:v>7.0163076668002238E-4</c:v>
                </c:pt>
                <c:pt idx="74">
                  <c:v>8.7535784188262199E-4</c:v>
                </c:pt>
                <c:pt idx="75">
                  <c:v>1.5466893387532229E-3</c:v>
                </c:pt>
                <c:pt idx="76">
                  <c:v>1.6050849275110234E-3</c:v>
                </c:pt>
                <c:pt idx="77">
                  <c:v>1.6050849275110234E-3</c:v>
                </c:pt>
                <c:pt idx="78">
                  <c:v>1.6050849275110234E-3</c:v>
                </c:pt>
                <c:pt idx="79">
                  <c:v>1.6050849275110234E-3</c:v>
                </c:pt>
                <c:pt idx="80">
                  <c:v>1.6050849275110234E-3</c:v>
                </c:pt>
                <c:pt idx="81">
                  <c:v>1.6050849275110234E-3</c:v>
                </c:pt>
                <c:pt idx="82">
                  <c:v>1.6050849275110234E-3</c:v>
                </c:pt>
                <c:pt idx="83">
                  <c:v>1.8578516047489243E-3</c:v>
                </c:pt>
                <c:pt idx="84">
                  <c:v>1.7326625345023246E-3</c:v>
                </c:pt>
                <c:pt idx="85">
                  <c:v>1.8225965529714146E-3</c:v>
                </c:pt>
                <c:pt idx="86">
                  <c:v>1.784214332969516E-3</c:v>
                </c:pt>
                <c:pt idx="87">
                  <c:v>1.2480319029489156E-3</c:v>
                </c:pt>
                <c:pt idx="88">
                  <c:v>1.7033097076220151E-3</c:v>
                </c:pt>
                <c:pt idx="89">
                  <c:v>1.5218551177456163E-3</c:v>
                </c:pt>
                <c:pt idx="90">
                  <c:v>1.0884022434191189E-3</c:v>
                </c:pt>
                <c:pt idx="91">
                  <c:v>1.0884022434191189E-3</c:v>
                </c:pt>
                <c:pt idx="92">
                  <c:v>1.0884022434191189E-3</c:v>
                </c:pt>
                <c:pt idx="93">
                  <c:v>1.0884022434191189E-3</c:v>
                </c:pt>
                <c:pt idx="94">
                  <c:v>1.0884022434191189E-3</c:v>
                </c:pt>
                <c:pt idx="95">
                  <c:v>1.0884022434191189E-3</c:v>
                </c:pt>
                <c:pt idx="96">
                  <c:v>1.0884022434191189E-3</c:v>
                </c:pt>
                <c:pt idx="97">
                  <c:v>1.0884022434191189E-3</c:v>
                </c:pt>
                <c:pt idx="98">
                  <c:v>1.0884022434191189E-3</c:v>
                </c:pt>
                <c:pt idx="99">
                  <c:v>1.0884022434191189E-3</c:v>
                </c:pt>
                <c:pt idx="100">
                  <c:v>1.0884022434191189E-3</c:v>
                </c:pt>
                <c:pt idx="101">
                  <c:v>1.0884022434191189E-3</c:v>
                </c:pt>
                <c:pt idx="102">
                  <c:v>1.0884022434191189E-3</c:v>
                </c:pt>
                <c:pt idx="103">
                  <c:v>1.0884022434191189E-3</c:v>
                </c:pt>
                <c:pt idx="104">
                  <c:v>1.0884022434191189E-3</c:v>
                </c:pt>
                <c:pt idx="105">
                  <c:v>1.0884022434191189E-3</c:v>
                </c:pt>
                <c:pt idx="106">
                  <c:v>1.3400317144419192E-3</c:v>
                </c:pt>
                <c:pt idx="107">
                  <c:v>1.2230780267731194E-3</c:v>
                </c:pt>
                <c:pt idx="108">
                  <c:v>8.6535517305681904E-4</c:v>
                </c:pt>
                <c:pt idx="109">
                  <c:v>1.3321969085713086E-3</c:v>
                </c:pt>
                <c:pt idx="110">
                  <c:v>1.1719992835409088E-3</c:v>
                </c:pt>
                <c:pt idx="111">
                  <c:v>8.7086568865108881E-4</c:v>
                </c:pt>
                <c:pt idx="112">
                  <c:v>1.6064378746341687E-3</c:v>
                </c:pt>
                <c:pt idx="113">
                  <c:v>1.1713873060817091E-3</c:v>
                </c:pt>
                <c:pt idx="114">
                  <c:v>9.3903123919781011E-4</c:v>
                </c:pt>
                <c:pt idx="115">
                  <c:v>1.0107051842135003E-3</c:v>
                </c:pt>
                <c:pt idx="116">
                  <c:v>9.7042726657640033E-4</c:v>
                </c:pt>
                <c:pt idx="117">
                  <c:v>1.0455325276618997E-3</c:v>
                </c:pt>
                <c:pt idx="118">
                  <c:v>6.2907402856737988E-4</c:v>
                </c:pt>
                <c:pt idx="119">
                  <c:v>6.2907402856737988E-4</c:v>
                </c:pt>
                <c:pt idx="120">
                  <c:v>6.2907402856737988E-4</c:v>
                </c:pt>
                <c:pt idx="121">
                  <c:v>6.2907402856737988E-4</c:v>
                </c:pt>
                <c:pt idx="122">
                  <c:v>6.2907402856737988E-4</c:v>
                </c:pt>
                <c:pt idx="123">
                  <c:v>6.2907402856737988E-4</c:v>
                </c:pt>
                <c:pt idx="124">
                  <c:v>6.2907402856737988E-4</c:v>
                </c:pt>
                <c:pt idx="125">
                  <c:v>6.2907402856737988E-4</c:v>
                </c:pt>
                <c:pt idx="126">
                  <c:v>6.2907402856737988E-4</c:v>
                </c:pt>
                <c:pt idx="127">
                  <c:v>6.2907402856737988E-4</c:v>
                </c:pt>
                <c:pt idx="128">
                  <c:v>6.2907402856737988E-4</c:v>
                </c:pt>
                <c:pt idx="129">
                  <c:v>4.5421059846267897E-4</c:v>
                </c:pt>
                <c:pt idx="130">
                  <c:v>1.3809438574807157E-6</c:v>
                </c:pt>
                <c:pt idx="131">
                  <c:v>-4.9836783704820592E-5</c:v>
                </c:pt>
                <c:pt idx="132">
                  <c:v>1.0059344858688937E-4</c:v>
                </c:pt>
                <c:pt idx="133">
                  <c:v>4.2553459017687972E-5</c:v>
                </c:pt>
                <c:pt idx="134">
                  <c:v>3.8807361832388662E-4</c:v>
                </c:pt>
                <c:pt idx="135">
                  <c:v>5.0940146244287375E-5</c:v>
                </c:pt>
                <c:pt idx="136">
                  <c:v>-2.1679011337691117E-4</c:v>
                </c:pt>
                <c:pt idx="137">
                  <c:v>-2.1679011337691117E-4</c:v>
                </c:pt>
                <c:pt idx="138">
                  <c:v>-2.1163983480441126E-4</c:v>
                </c:pt>
                <c:pt idx="139">
                  <c:v>-2.813633323303532E-4</c:v>
                </c:pt>
                <c:pt idx="140">
                  <c:v>7.5643249489286662E-4</c:v>
                </c:pt>
                <c:pt idx="141">
                  <c:v>4.5087726877396795E-4</c:v>
                </c:pt>
                <c:pt idx="142">
                  <c:v>-1.1031815270256152E-4</c:v>
                </c:pt>
                <c:pt idx="143">
                  <c:v>-1.1031815270256152E-4</c:v>
                </c:pt>
                <c:pt idx="144">
                  <c:v>-1.1031815270256152E-4</c:v>
                </c:pt>
                <c:pt idx="145">
                  <c:v>-1.1031815270256152E-4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2.4747331452775086E-4</c:v>
                </c:pt>
                <c:pt idx="10">
                  <c:v>-2.8567769937944999E-4</c:v>
                </c:pt>
                <c:pt idx="11">
                  <c:v>1.8332035001584861E-4</c:v>
                </c:pt>
                <c:pt idx="12">
                  <c:v>3.9221347253939887E-5</c:v>
                </c:pt>
                <c:pt idx="13">
                  <c:v>3.7502445161170968E-4</c:v>
                </c:pt>
                <c:pt idx="14">
                  <c:v>1.9563445527812952E-4</c:v>
                </c:pt>
                <c:pt idx="15">
                  <c:v>-1.3751899038135841E-4</c:v>
                </c:pt>
                <c:pt idx="16">
                  <c:v>7.8571966492979139E-4</c:v>
                </c:pt>
                <c:pt idx="17">
                  <c:v>6.5232385380557096E-4</c:v>
                </c:pt>
                <c:pt idx="18">
                  <c:v>-3.2608113311322962E-4</c:v>
                </c:pt>
                <c:pt idx="19">
                  <c:v>2.7926406343916992E-4</c:v>
                </c:pt>
                <c:pt idx="20">
                  <c:v>3.7958272355491005E-4</c:v>
                </c:pt>
                <c:pt idx="21">
                  <c:v>5.6584534629231984E-4</c:v>
                </c:pt>
                <c:pt idx="22">
                  <c:v>-8.6320549627499953E-5</c:v>
                </c:pt>
                <c:pt idx="23">
                  <c:v>-8.6320549627499953E-5</c:v>
                </c:pt>
                <c:pt idx="24">
                  <c:v>-8.6320549627499953E-5</c:v>
                </c:pt>
                <c:pt idx="25">
                  <c:v>-8.6320549627499953E-5</c:v>
                </c:pt>
                <c:pt idx="26">
                  <c:v>-8.6320549627499953E-5</c:v>
                </c:pt>
                <c:pt idx="27">
                  <c:v>-8.6320549627499953E-5</c:v>
                </c:pt>
                <c:pt idx="28">
                  <c:v>-8.6320549627499953E-5</c:v>
                </c:pt>
                <c:pt idx="29">
                  <c:v>-8.6320549627499953E-5</c:v>
                </c:pt>
                <c:pt idx="30">
                  <c:v>-4.1352372117790044E-4</c:v>
                </c:pt>
                <c:pt idx="31">
                  <c:v>-7.3162675411278142E-4</c:v>
                </c:pt>
                <c:pt idx="32">
                  <c:v>-3.3152289811518335E-4</c:v>
                </c:pt>
                <c:pt idx="33">
                  <c:v>-3.3152289811518335E-4</c:v>
                </c:pt>
                <c:pt idx="34">
                  <c:v>-3.3152289811518335E-4</c:v>
                </c:pt>
                <c:pt idx="35">
                  <c:v>-3.3152289811518335E-4</c:v>
                </c:pt>
                <c:pt idx="36">
                  <c:v>-3.3152289811518335E-4</c:v>
                </c:pt>
                <c:pt idx="37">
                  <c:v>-3.3152289811518335E-4</c:v>
                </c:pt>
                <c:pt idx="38">
                  <c:v>-3.3152289811518335E-4</c:v>
                </c:pt>
                <c:pt idx="39">
                  <c:v>-3.3152289811518335E-4</c:v>
                </c:pt>
                <c:pt idx="40">
                  <c:v>-3.3152289811518335E-4</c:v>
                </c:pt>
                <c:pt idx="41">
                  <c:v>-3.3152289811518335E-4</c:v>
                </c:pt>
                <c:pt idx="42">
                  <c:v>-3.3152289811518335E-4</c:v>
                </c:pt>
                <c:pt idx="43">
                  <c:v>-3.3152289811518335E-4</c:v>
                </c:pt>
                <c:pt idx="44">
                  <c:v>-3.3152289811518335E-4</c:v>
                </c:pt>
                <c:pt idx="45">
                  <c:v>-3.3152289811518335E-4</c:v>
                </c:pt>
                <c:pt idx="46">
                  <c:v>-3.3152289811518335E-4</c:v>
                </c:pt>
                <c:pt idx="47">
                  <c:v>-3.3152289811518335E-4</c:v>
                </c:pt>
                <c:pt idx="48">
                  <c:v>5.2948621107356555E-5</c:v>
                </c:pt>
                <c:pt idx="49">
                  <c:v>-1.179246405345045E-6</c:v>
                </c:pt>
                <c:pt idx="50">
                  <c:v>8.9142897747915132E-5</c:v>
                </c:pt>
                <c:pt idx="51">
                  <c:v>-3.0435876550128271E-4</c:v>
                </c:pt>
                <c:pt idx="52">
                  <c:v>-1.6794208290238485E-4</c:v>
                </c:pt>
                <c:pt idx="53">
                  <c:v>-3.3941722477897512E-4</c:v>
                </c:pt>
                <c:pt idx="54">
                  <c:v>-6.4199951825457573E-4</c:v>
                </c:pt>
                <c:pt idx="55">
                  <c:v>-4.7516666931667615E-4</c:v>
                </c:pt>
                <c:pt idx="56">
                  <c:v>-4.7516666931667615E-4</c:v>
                </c:pt>
                <c:pt idx="57">
                  <c:v>-4.7516666931667615E-4</c:v>
                </c:pt>
                <c:pt idx="58">
                  <c:v>-4.7516666931667615E-4</c:v>
                </c:pt>
                <c:pt idx="59">
                  <c:v>-4.7516666931667615E-4</c:v>
                </c:pt>
                <c:pt idx="60">
                  <c:v>-4.7516666931667615E-4</c:v>
                </c:pt>
                <c:pt idx="61">
                  <c:v>-4.7516666931667615E-4</c:v>
                </c:pt>
                <c:pt idx="62">
                  <c:v>-4.7516666931667615E-4</c:v>
                </c:pt>
                <c:pt idx="63">
                  <c:v>-1.7539329215324748E-4</c:v>
                </c:pt>
                <c:pt idx="64">
                  <c:v>-2.9356866454322147E-4</c:v>
                </c:pt>
                <c:pt idx="65">
                  <c:v>-1.109541038236525E-3</c:v>
                </c:pt>
                <c:pt idx="66">
                  <c:v>-9.024195204734276E-4</c:v>
                </c:pt>
                <c:pt idx="67">
                  <c:v>-1.3145744338703478E-3</c:v>
                </c:pt>
                <c:pt idx="68">
                  <c:v>-1.2379011834106469E-3</c:v>
                </c:pt>
                <c:pt idx="69">
                  <c:v>-9.9047402911946756E-4</c:v>
                </c:pt>
                <c:pt idx="70">
                  <c:v>-7.3543529845501265E-4</c:v>
                </c:pt>
                <c:pt idx="71">
                  <c:v>-1.540436814833513E-3</c:v>
                </c:pt>
                <c:pt idx="72">
                  <c:v>-1.540436814833513E-3</c:v>
                </c:pt>
                <c:pt idx="73">
                  <c:v>-1.540436814833513E-3</c:v>
                </c:pt>
                <c:pt idx="74">
                  <c:v>-1.540436814833513E-3</c:v>
                </c:pt>
                <c:pt idx="75">
                  <c:v>-1.540436814833513E-3</c:v>
                </c:pt>
                <c:pt idx="76">
                  <c:v>-1.540436814833513E-3</c:v>
                </c:pt>
                <c:pt idx="77">
                  <c:v>-1.540436814833513E-3</c:v>
                </c:pt>
                <c:pt idx="78">
                  <c:v>-1.540436814833513E-3</c:v>
                </c:pt>
                <c:pt idx="79">
                  <c:v>-1.540436814833513E-3</c:v>
                </c:pt>
                <c:pt idx="80">
                  <c:v>-1.540436814833513E-3</c:v>
                </c:pt>
                <c:pt idx="81">
                  <c:v>-1.540436814833513E-3</c:v>
                </c:pt>
                <c:pt idx="82">
                  <c:v>-1.540436814833513E-3</c:v>
                </c:pt>
                <c:pt idx="83">
                  <c:v>-1.540436814833513E-3</c:v>
                </c:pt>
                <c:pt idx="84">
                  <c:v>-1.540436814833513E-3</c:v>
                </c:pt>
                <c:pt idx="85">
                  <c:v>-1.540436814833513E-3</c:v>
                </c:pt>
                <c:pt idx="86">
                  <c:v>-1.540436814833513E-3</c:v>
                </c:pt>
                <c:pt idx="87">
                  <c:v>-1.540436814833513E-3</c:v>
                </c:pt>
                <c:pt idx="88">
                  <c:v>-1.540436814833513E-3</c:v>
                </c:pt>
                <c:pt idx="89">
                  <c:v>-1.540436814833513E-3</c:v>
                </c:pt>
                <c:pt idx="90">
                  <c:v>-1.540436814833513E-3</c:v>
                </c:pt>
                <c:pt idx="91">
                  <c:v>-1.540436814833513E-3</c:v>
                </c:pt>
                <c:pt idx="92">
                  <c:v>-1.540436814833513E-3</c:v>
                </c:pt>
                <c:pt idx="93">
                  <c:v>-1.540436814833513E-3</c:v>
                </c:pt>
                <c:pt idx="94">
                  <c:v>-1.540436814833513E-3</c:v>
                </c:pt>
                <c:pt idx="95">
                  <c:v>-1.540436814833513E-3</c:v>
                </c:pt>
                <c:pt idx="96">
                  <c:v>-1.540436814833513E-3</c:v>
                </c:pt>
                <c:pt idx="97">
                  <c:v>-1.540436814833513E-3</c:v>
                </c:pt>
                <c:pt idx="98">
                  <c:v>-1.540436814833513E-3</c:v>
                </c:pt>
                <c:pt idx="99">
                  <c:v>-1.540436814833513E-3</c:v>
                </c:pt>
                <c:pt idx="100">
                  <c:v>-1.540436814833513E-3</c:v>
                </c:pt>
                <c:pt idx="101">
                  <c:v>-1.540436814833513E-3</c:v>
                </c:pt>
                <c:pt idx="102">
                  <c:v>-1.540436814833513E-3</c:v>
                </c:pt>
                <c:pt idx="103">
                  <c:v>-1.540436814833513E-3</c:v>
                </c:pt>
                <c:pt idx="104">
                  <c:v>-1.540436814833513E-3</c:v>
                </c:pt>
                <c:pt idx="105">
                  <c:v>-1.540436814833513E-3</c:v>
                </c:pt>
                <c:pt idx="106">
                  <c:v>-1.540436814833513E-3</c:v>
                </c:pt>
                <c:pt idx="107">
                  <c:v>-1.540436814833513E-3</c:v>
                </c:pt>
                <c:pt idx="108">
                  <c:v>-1.540436814833513E-3</c:v>
                </c:pt>
                <c:pt idx="109">
                  <c:v>-1.540436814833513E-3</c:v>
                </c:pt>
                <c:pt idx="110">
                  <c:v>-1.540436814833513E-3</c:v>
                </c:pt>
                <c:pt idx="111">
                  <c:v>-1.540436814833513E-3</c:v>
                </c:pt>
                <c:pt idx="112">
                  <c:v>-1.540436814833513E-3</c:v>
                </c:pt>
                <c:pt idx="113">
                  <c:v>-1.540436814833513E-3</c:v>
                </c:pt>
                <c:pt idx="114">
                  <c:v>-1.540436814833513E-3</c:v>
                </c:pt>
                <c:pt idx="115">
                  <c:v>-1.540436814833513E-3</c:v>
                </c:pt>
                <c:pt idx="116">
                  <c:v>-1.540436814833513E-3</c:v>
                </c:pt>
                <c:pt idx="117">
                  <c:v>-1.540436814833513E-3</c:v>
                </c:pt>
                <c:pt idx="118">
                  <c:v>-1.540436814833513E-3</c:v>
                </c:pt>
                <c:pt idx="119">
                  <c:v>-1.540436814833513E-3</c:v>
                </c:pt>
                <c:pt idx="120">
                  <c:v>-1.540436814833513E-3</c:v>
                </c:pt>
                <c:pt idx="121">
                  <c:v>-1.540436814833513E-3</c:v>
                </c:pt>
                <c:pt idx="122">
                  <c:v>-1.540436814833513E-3</c:v>
                </c:pt>
                <c:pt idx="123">
                  <c:v>-1.540436814833513E-3</c:v>
                </c:pt>
                <c:pt idx="124">
                  <c:v>-1.540436814833513E-3</c:v>
                </c:pt>
                <c:pt idx="125">
                  <c:v>-1.540436814833513E-3</c:v>
                </c:pt>
                <c:pt idx="126">
                  <c:v>-1.540436814833513E-3</c:v>
                </c:pt>
                <c:pt idx="127">
                  <c:v>-1.540436814833513E-3</c:v>
                </c:pt>
                <c:pt idx="128">
                  <c:v>-1.540436814833513E-3</c:v>
                </c:pt>
                <c:pt idx="129">
                  <c:v>-1.540436814833513E-3</c:v>
                </c:pt>
                <c:pt idx="130">
                  <c:v>-1.540436814833513E-3</c:v>
                </c:pt>
                <c:pt idx="131">
                  <c:v>-1.540436814833513E-3</c:v>
                </c:pt>
                <c:pt idx="132">
                  <c:v>-1.540436814833513E-3</c:v>
                </c:pt>
                <c:pt idx="133">
                  <c:v>-1.540436814833513E-3</c:v>
                </c:pt>
                <c:pt idx="134">
                  <c:v>-1.540436814833513E-3</c:v>
                </c:pt>
                <c:pt idx="135">
                  <c:v>-1.540436814833513E-3</c:v>
                </c:pt>
                <c:pt idx="136">
                  <c:v>-1.540436814833513E-3</c:v>
                </c:pt>
                <c:pt idx="137">
                  <c:v>-1.540436814833513E-3</c:v>
                </c:pt>
                <c:pt idx="138">
                  <c:v>-1.540436814833513E-3</c:v>
                </c:pt>
                <c:pt idx="139">
                  <c:v>-1.540436814833513E-3</c:v>
                </c:pt>
                <c:pt idx="140">
                  <c:v>-1.540436814833513E-3</c:v>
                </c:pt>
                <c:pt idx="141">
                  <c:v>-1.540436814833513E-3</c:v>
                </c:pt>
                <c:pt idx="142">
                  <c:v>-1.540436814833513E-3</c:v>
                </c:pt>
                <c:pt idx="143">
                  <c:v>-1.540436814833513E-3</c:v>
                </c:pt>
                <c:pt idx="144">
                  <c:v>-1.540436814833513E-3</c:v>
                </c:pt>
                <c:pt idx="145">
                  <c:v>-1.540436814833513E-3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workbookViewId="0">
      <selection sqref="A1:AF1048576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11</v>
      </c>
      <c r="C1" s="3" t="s">
        <v>12</v>
      </c>
      <c r="D1" s="4" t="s">
        <v>13</v>
      </c>
      <c r="E1" s="4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5" t="s">
        <v>23</v>
      </c>
      <c r="O1" s="5" t="s">
        <v>24</v>
      </c>
      <c r="P1" s="5" t="s">
        <v>25</v>
      </c>
      <c r="Q1" s="5" t="s">
        <v>26</v>
      </c>
      <c r="R1" s="3" t="s">
        <v>27</v>
      </c>
      <c r="S1" s="3" t="s">
        <v>28</v>
      </c>
      <c r="T1" s="3" t="s">
        <v>29</v>
      </c>
      <c r="U1" s="4" t="s">
        <v>30</v>
      </c>
      <c r="V1" s="4" t="s">
        <v>31</v>
      </c>
      <c r="W1" s="4" t="s">
        <v>32</v>
      </c>
      <c r="X1" s="5" t="s">
        <v>33</v>
      </c>
      <c r="Y1" s="5" t="s">
        <v>34</v>
      </c>
      <c r="Z1" s="5" t="s">
        <v>35</v>
      </c>
      <c r="AA1" s="5" t="s">
        <v>36</v>
      </c>
      <c r="AB1" s="3" t="s">
        <v>37</v>
      </c>
      <c r="AC1" s="3" t="s">
        <v>38</v>
      </c>
      <c r="AD1" s="3" t="s">
        <v>39</v>
      </c>
      <c r="AE1" s="4" t="s">
        <v>40</v>
      </c>
      <c r="AF1" s="4" t="s">
        <v>41</v>
      </c>
      <c r="AG1" s="4" t="s">
        <v>1</v>
      </c>
      <c r="BG1" s="6"/>
      <c r="BH1" s="6"/>
      <c r="BI1" s="6"/>
      <c r="BJ1" s="7">
        <f>BJ167</f>
        <v>-1.1031815270256152E-4</v>
      </c>
      <c r="BS1" s="6"/>
      <c r="BT1" s="6"/>
      <c r="BU1" s="6"/>
      <c r="BV1" s="7">
        <f>BV167</f>
        <v>-1.540436814833513E-3</v>
      </c>
      <c r="BY1" s="7">
        <f>BY167</f>
        <v>-1.6507549675360744E-3</v>
      </c>
    </row>
    <row r="2" spans="1:77" x14ac:dyDescent="0.3">
      <c r="A2" s="1">
        <v>46024</v>
      </c>
      <c r="B2" s="8">
        <v>25.3</v>
      </c>
      <c r="C2" s="8">
        <v>128.66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25.3</v>
      </c>
      <c r="M2" s="8">
        <v>128.66</v>
      </c>
      <c r="N2" s="10">
        <v>5.0853754940711404</v>
      </c>
      <c r="O2" s="10">
        <v>5.0856511037897496</v>
      </c>
      <c r="X2" s="10">
        <v>5.0853754940711404</v>
      </c>
      <c r="Y2" s="10">
        <v>5.08472288464342</v>
      </c>
    </row>
    <row r="3" spans="1:77" x14ac:dyDescent="0.3">
      <c r="A3" s="1">
        <v>46027</v>
      </c>
      <c r="B3" s="8">
        <v>25.9</v>
      </c>
      <c r="C3" s="8">
        <v>131.63</v>
      </c>
      <c r="D3" s="9">
        <v>2.3438572972017301E-2</v>
      </c>
      <c r="E3" s="9">
        <v>2.2821690454462001E-2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25.9</v>
      </c>
      <c r="M3" s="8">
        <v>131.63</v>
      </c>
      <c r="N3" s="10">
        <v>5.0822393822393801</v>
      </c>
      <c r="O3" s="10">
        <v>5.0856511037897496</v>
      </c>
      <c r="R3" s="8">
        <v>131.71836358815401</v>
      </c>
      <c r="U3" s="9">
        <v>6.7107758154836303E-4</v>
      </c>
      <c r="X3" s="10">
        <v>5.0822393822393801</v>
      </c>
      <c r="Y3" s="10">
        <v>5.08472288464342</v>
      </c>
      <c r="AB3" s="8">
        <v>131.69432271226401</v>
      </c>
      <c r="AE3" s="9">
        <v>4.8854365507524798E-4</v>
      </c>
    </row>
    <row r="4" spans="1:77" x14ac:dyDescent="0.3">
      <c r="A4" s="1">
        <v>46028</v>
      </c>
      <c r="B4" s="8">
        <v>25.26</v>
      </c>
      <c r="C4" s="8">
        <v>128.43</v>
      </c>
      <c r="D4" s="9">
        <v>-2.5020851783146902E-2</v>
      </c>
      <c r="E4" s="9">
        <v>-2.4610947612351799E-2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25.26</v>
      </c>
      <c r="M4" s="8">
        <v>128.43</v>
      </c>
      <c r="N4" s="10">
        <v>5.0843230403800401</v>
      </c>
      <c r="O4" s="10">
        <v>5.0856511037897496</v>
      </c>
      <c r="R4" s="8">
        <v>128.463546881729</v>
      </c>
      <c r="U4" s="9">
        <v>2.6117341075326399E-4</v>
      </c>
      <c r="X4" s="10">
        <v>5.0843230403800401</v>
      </c>
      <c r="Y4" s="10">
        <v>5.08472288464342</v>
      </c>
      <c r="AB4" s="8">
        <v>128.44010006609199</v>
      </c>
      <c r="AE4" s="9">
        <v>7.8639484280110199E-5</v>
      </c>
    </row>
    <row r="5" spans="1:77" x14ac:dyDescent="0.3">
      <c r="A5" s="1">
        <v>46029</v>
      </c>
      <c r="B5" s="8">
        <v>24.99</v>
      </c>
      <c r="C5" s="8">
        <v>127.1</v>
      </c>
      <c r="D5" s="9">
        <v>-1.07463720754841E-2</v>
      </c>
      <c r="E5" s="9">
        <v>-1.0409830629556201E-2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24.99</v>
      </c>
      <c r="M5" s="8">
        <v>127.1</v>
      </c>
      <c r="N5" s="10">
        <v>5.0860344137654998</v>
      </c>
      <c r="O5" s="10">
        <v>5.0856511037897496</v>
      </c>
      <c r="R5" s="8">
        <v>127.090421083705</v>
      </c>
      <c r="U5" s="9">
        <v>-7.5368035174683398E-5</v>
      </c>
      <c r="X5" s="10">
        <v>5.0860344137654998</v>
      </c>
      <c r="Y5" s="10">
        <v>5.08472288464342</v>
      </c>
      <c r="AB5" s="8">
        <v>127.06722488723901</v>
      </c>
      <c r="AE5" s="9">
        <v>-2.5790196164786501E-4</v>
      </c>
    </row>
    <row r="6" spans="1:77" x14ac:dyDescent="0.3">
      <c r="A6" s="1">
        <v>46030</v>
      </c>
      <c r="B6" s="8">
        <v>25.73</v>
      </c>
      <c r="C6" s="8">
        <v>130.87</v>
      </c>
      <c r="D6" s="9">
        <v>2.9181881446791801E-2</v>
      </c>
      <c r="E6" s="9">
        <v>2.9230285871980899E-2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25.73</v>
      </c>
      <c r="M6" s="8">
        <v>130.87</v>
      </c>
      <c r="N6" s="10">
        <v>5.0862806062961496</v>
      </c>
      <c r="O6" s="10">
        <v>5.0856511037897496</v>
      </c>
      <c r="R6" s="8">
        <v>130.85380290051</v>
      </c>
      <c r="U6" s="9">
        <v>-1.23772460363688E-4</v>
      </c>
      <c r="X6" s="10">
        <v>5.0862806062961496</v>
      </c>
      <c r="Y6" s="10">
        <v>5.08472288464342</v>
      </c>
      <c r="AB6" s="8">
        <v>130.829919821875</v>
      </c>
      <c r="AE6" s="9">
        <v>-3.0630638683709101E-4</v>
      </c>
    </row>
    <row r="7" spans="1:77" x14ac:dyDescent="0.3">
      <c r="A7" s="1">
        <v>46031</v>
      </c>
      <c r="B7" s="8">
        <v>25.8</v>
      </c>
      <c r="C7" s="8">
        <v>131.19999999999999</v>
      </c>
      <c r="D7" s="9">
        <v>2.7168656339190498E-3</v>
      </c>
      <c r="E7" s="9">
        <v>2.5184124425992201E-3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25.8</v>
      </c>
      <c r="M7" s="8">
        <v>131.19999999999999</v>
      </c>
      <c r="N7" s="10">
        <v>5.0852713178294504</v>
      </c>
      <c r="O7" s="10">
        <v>5.0856511037897496</v>
      </c>
      <c r="R7" s="8">
        <v>131.209798477775</v>
      </c>
      <c r="U7" s="9">
        <v>7.4680730955816894E-5</v>
      </c>
      <c r="X7" s="10">
        <v>5.0852713178294504</v>
      </c>
      <c r="Y7" s="10">
        <v>5.08472288464342</v>
      </c>
      <c r="AB7" s="8">
        <v>131.18585042379999</v>
      </c>
      <c r="AE7" s="9">
        <v>-1.07853195517391E-4</v>
      </c>
    </row>
    <row r="8" spans="1:77" x14ac:dyDescent="0.3">
      <c r="A8" s="1">
        <v>46034</v>
      </c>
      <c r="B8" s="8">
        <v>25.65</v>
      </c>
      <c r="C8" s="8">
        <v>130.47999999999999</v>
      </c>
      <c r="D8" s="9">
        <v>-5.8309203107933198E-3</v>
      </c>
      <c r="E8" s="9">
        <v>-5.5029181972302398E-3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25.65</v>
      </c>
      <c r="M8" s="8">
        <v>130.47999999999999</v>
      </c>
      <c r="N8" s="10">
        <v>5.08693957115009</v>
      </c>
      <c r="O8" s="10">
        <v>5.0856511037897496</v>
      </c>
      <c r="R8" s="8">
        <v>130.44695081220701</v>
      </c>
      <c r="U8" s="9">
        <v>-2.5332138260716398E-4</v>
      </c>
      <c r="X8" s="10">
        <v>5.08693957115009</v>
      </c>
      <c r="Y8" s="10">
        <v>5.08472288464342</v>
      </c>
      <c r="AB8" s="8">
        <v>130.42314199110299</v>
      </c>
      <c r="AE8" s="9">
        <v>-4.3585530908028499E-4</v>
      </c>
    </row>
    <row r="9" spans="1:77" x14ac:dyDescent="0.3">
      <c r="A9" s="1">
        <v>46035</v>
      </c>
      <c r="B9" s="8">
        <v>26.04</v>
      </c>
      <c r="C9" s="8">
        <v>132.41999999999999</v>
      </c>
      <c r="D9" s="9">
        <v>1.5090245723590001E-2</v>
      </c>
      <c r="E9" s="9">
        <v>1.47587311839416E-2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26.04</v>
      </c>
      <c r="M9" s="8">
        <v>132.41999999999999</v>
      </c>
      <c r="N9" s="10">
        <v>5.0852534562211904</v>
      </c>
      <c r="O9" s="10">
        <v>5.0856511037897496</v>
      </c>
      <c r="R9" s="8">
        <v>132.43035474268501</v>
      </c>
      <c r="U9" s="9">
        <v>7.8193157041207907E-5</v>
      </c>
      <c r="X9" s="10">
        <v>5.0852534562211904</v>
      </c>
      <c r="Y9" s="10">
        <v>5.08472288464342</v>
      </c>
      <c r="AB9" s="8">
        <v>132.406183916114</v>
      </c>
      <c r="AE9" s="9">
        <v>-1.04340769432067E-4</v>
      </c>
      <c r="BJ9" s="12">
        <f>AVERAGE(BI22:BI200)</f>
        <v>-7.5560378563398297E-7</v>
      </c>
      <c r="BV9" s="12">
        <f>AVERAGE(BU22:BU200)</f>
        <v>-1.0550937087900773E-5</v>
      </c>
      <c r="BY9" s="12">
        <f>AVERAGE(BX22:BX200)</f>
        <v>-1.1306540873534757E-5</v>
      </c>
    </row>
    <row r="10" spans="1:77" x14ac:dyDescent="0.3">
      <c r="A10" s="1">
        <v>46036</v>
      </c>
      <c r="B10" s="8">
        <v>26.62</v>
      </c>
      <c r="C10" s="8">
        <v>135.35</v>
      </c>
      <c r="D10" s="9">
        <v>2.20289956265971E-2</v>
      </c>
      <c r="E10" s="9">
        <v>2.18853265636101E-2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26.62</v>
      </c>
      <c r="M10" s="8">
        <v>135.35</v>
      </c>
      <c r="N10" s="10">
        <v>5.0845229151014202</v>
      </c>
      <c r="O10" s="10">
        <v>5.0856511037897496</v>
      </c>
      <c r="R10" s="8">
        <v>135.380032382883</v>
      </c>
      <c r="U10" s="9">
        <v>2.2186222002829099E-4</v>
      </c>
      <c r="X10" s="10">
        <v>5.0845229151014202</v>
      </c>
      <c r="Y10" s="10">
        <v>5.08472288464342</v>
      </c>
      <c r="AB10" s="8">
        <v>135.35532318920701</v>
      </c>
      <c r="AE10" s="9">
        <v>3.93282935550245E-5</v>
      </c>
      <c r="AZ10" s="13"/>
      <c r="BJ10" s="12">
        <f>STDEV(BI22:BI200)</f>
        <v>2.1903351797335698E-4</v>
      </c>
      <c r="BL10" s="13"/>
      <c r="BV10" s="12">
        <f>STDEV(BU22:BU200)</f>
        <v>2.0513964926586792E-4</v>
      </c>
      <c r="BY10" s="12">
        <f>STDEV(BX22:BX200)</f>
        <v>3.0006983033546063E-4</v>
      </c>
    </row>
    <row r="11" spans="1:77" x14ac:dyDescent="0.3">
      <c r="A11" s="1">
        <v>46037</v>
      </c>
      <c r="B11" s="8">
        <v>26.4</v>
      </c>
      <c r="C11" s="8">
        <v>134.22999999999999</v>
      </c>
      <c r="D11" s="9">
        <v>-8.2988028146951699E-3</v>
      </c>
      <c r="E11" s="9">
        <v>-8.3092695607655392E-3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26.4</v>
      </c>
      <c r="M11" s="8">
        <v>134.22999999999999</v>
      </c>
      <c r="N11" s="10">
        <v>5.0844696969696903</v>
      </c>
      <c r="O11" s="10">
        <v>5.0856511037897496</v>
      </c>
      <c r="P11" s="10">
        <v>5.0850709894024098</v>
      </c>
      <c r="R11" s="8">
        <v>134.261189140049</v>
      </c>
      <c r="U11" s="9">
        <v>2.32328966098475E-4</v>
      </c>
      <c r="X11" s="10">
        <v>5.0844696969696903</v>
      </c>
      <c r="Y11" s="10">
        <v>5.08472288464342</v>
      </c>
      <c r="Z11" s="10">
        <v>5.0850709894024098</v>
      </c>
      <c r="AB11" s="8">
        <v>134.23668415458599</v>
      </c>
      <c r="AE11" s="9">
        <v>4.9795039625248097E-5</v>
      </c>
      <c r="BJ11">
        <f>SQRT(252)*BJ9/BJ10</f>
        <v>-5.4762569445549011E-2</v>
      </c>
      <c r="BV11">
        <f>SQRT(252)*BV9/BV10</f>
        <v>-0.81647275111876105</v>
      </c>
      <c r="BY11">
        <f>SQRT(252)*BY9/BY10</f>
        <v>-0.59814667751804684</v>
      </c>
    </row>
    <row r="12" spans="1:77" x14ac:dyDescent="0.3">
      <c r="A12" s="1">
        <v>46038</v>
      </c>
      <c r="B12" s="8">
        <v>26.47</v>
      </c>
      <c r="C12" s="8">
        <v>134.62</v>
      </c>
      <c r="D12" s="9">
        <v>2.6480060867394499E-3</v>
      </c>
      <c r="E12" s="9">
        <v>2.9012480830225302E-3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26.47</v>
      </c>
      <c r="M12" s="8">
        <v>134.62</v>
      </c>
      <c r="N12" s="10">
        <v>5.0857574612769101</v>
      </c>
      <c r="O12" s="10">
        <v>5.0856511037897496</v>
      </c>
      <c r="P12" s="10">
        <v>5.0851091861229802</v>
      </c>
      <c r="R12" s="8">
        <v>134.61718471731399</v>
      </c>
      <c r="S12" s="8">
        <v>134.60182908948099</v>
      </c>
      <c r="U12" s="9">
        <v>-2.0913030184624498E-5</v>
      </c>
      <c r="V12" s="9">
        <v>-1.34988389368337E-4</v>
      </c>
      <c r="X12" s="10">
        <v>5.0857574612769101</v>
      </c>
      <c r="Y12" s="10">
        <v>5.08472288464342</v>
      </c>
      <c r="Z12" s="10">
        <v>5.0851091861229802</v>
      </c>
      <c r="AB12" s="8">
        <v>134.59261475651101</v>
      </c>
      <c r="AC12" s="8">
        <v>134.60182908948099</v>
      </c>
      <c r="AE12" s="9">
        <v>-2.03446956657868E-4</v>
      </c>
      <c r="AF12" s="9">
        <v>-1.34988389368337E-4</v>
      </c>
    </row>
    <row r="13" spans="1:77" x14ac:dyDescent="0.3">
      <c r="A13" s="1">
        <v>46042</v>
      </c>
      <c r="B13" s="8">
        <v>26.4</v>
      </c>
      <c r="C13" s="8">
        <v>134.19999999999999</v>
      </c>
      <c r="D13" s="9">
        <v>-2.6480060867394299E-3</v>
      </c>
      <c r="E13" s="9">
        <v>-3.1247700449857601E-3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26.4</v>
      </c>
      <c r="M13" s="8">
        <v>134.19999999999999</v>
      </c>
      <c r="N13" s="10">
        <v>5.0833333333333304</v>
      </c>
      <c r="O13" s="10">
        <v>5.0856511037897496</v>
      </c>
      <c r="P13" s="10">
        <v>5.0852185812323798</v>
      </c>
      <c r="R13" s="8">
        <v>134.261189140049</v>
      </c>
      <c r="S13" s="8">
        <v>134.246882513646</v>
      </c>
      <c r="U13" s="9">
        <v>4.5585092806185902E-4</v>
      </c>
      <c r="V13" s="9">
        <v>3.4928708193259601E-4</v>
      </c>
      <c r="X13" s="10">
        <v>5.0833333333333304</v>
      </c>
      <c r="Y13" s="10">
        <v>5.08472288464342</v>
      </c>
      <c r="Z13" s="10">
        <v>5.0852185812323798</v>
      </c>
      <c r="AB13" s="8">
        <v>134.23668415458599</v>
      </c>
      <c r="AC13" s="8">
        <v>134.246882513646</v>
      </c>
      <c r="AE13" s="9">
        <v>2.7331700158852502E-4</v>
      </c>
      <c r="AF13" s="9">
        <v>3.4928708193259601E-4</v>
      </c>
    </row>
    <row r="14" spans="1:77" x14ac:dyDescent="0.3">
      <c r="A14" s="1">
        <v>46043</v>
      </c>
      <c r="B14" s="8">
        <v>27.07</v>
      </c>
      <c r="C14" s="8">
        <v>137.68</v>
      </c>
      <c r="D14" s="9">
        <v>2.5062093473939302E-2</v>
      </c>
      <c r="E14" s="9">
        <v>2.5600927365702599E-2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27.07</v>
      </c>
      <c r="M14" s="8">
        <v>137.68</v>
      </c>
      <c r="N14" s="10">
        <v>5.0860731437015101</v>
      </c>
      <c r="O14" s="10">
        <v>5.0856511037897496</v>
      </c>
      <c r="P14" s="10">
        <v>5.0853935915645296</v>
      </c>
      <c r="R14" s="8">
        <v>137.66857537958799</v>
      </c>
      <c r="S14" s="8">
        <v>137.65686699395999</v>
      </c>
      <c r="U14" s="9">
        <v>-8.2982963701574893E-5</v>
      </c>
      <c r="V14" s="9">
        <v>-1.6803420730668699E-4</v>
      </c>
      <c r="X14" s="10">
        <v>5.0860731437015101</v>
      </c>
      <c r="Y14" s="10">
        <v>5.08472288464342</v>
      </c>
      <c r="Z14" s="10">
        <v>5.0853935915645296</v>
      </c>
      <c r="AB14" s="8">
        <v>137.64344848729701</v>
      </c>
      <c r="AC14" s="8">
        <v>137.65686699395999</v>
      </c>
      <c r="AE14" s="9">
        <v>-2.6551689017468601E-4</v>
      </c>
      <c r="AF14" s="9">
        <v>-1.6803420730668699E-4</v>
      </c>
    </row>
    <row r="15" spans="1:77" x14ac:dyDescent="0.3">
      <c r="A15" s="1">
        <v>46044</v>
      </c>
      <c r="B15" s="8">
        <v>27.12</v>
      </c>
      <c r="C15" s="8">
        <v>137.97999999999999</v>
      </c>
      <c r="D15" s="9">
        <v>1.845359445985E-3</v>
      </c>
      <c r="E15" s="9">
        <v>2.1765952146785002E-3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27.12</v>
      </c>
      <c r="M15" s="8">
        <v>137.97999999999999</v>
      </c>
      <c r="N15" s="10">
        <v>5.0877581120943898</v>
      </c>
      <c r="O15" s="10">
        <v>5.0856511037897496</v>
      </c>
      <c r="P15" s="10">
        <v>5.0855659613974096</v>
      </c>
      <c r="R15" s="8">
        <v>137.92285793477799</v>
      </c>
      <c r="S15" s="8">
        <v>137.91587420323</v>
      </c>
      <c r="U15" s="9">
        <v>-4.14218732395121E-4</v>
      </c>
      <c r="V15" s="9">
        <v>-4.6485506976044202E-4</v>
      </c>
      <c r="X15" s="10">
        <v>5.0877581120943898</v>
      </c>
      <c r="Y15" s="10">
        <v>5.08472288464342</v>
      </c>
      <c r="Z15" s="10">
        <v>5.0855659613974096</v>
      </c>
      <c r="AB15" s="8">
        <v>137.89768463152899</v>
      </c>
      <c r="AC15" s="8">
        <v>137.91587420323</v>
      </c>
      <c r="AE15" s="9">
        <v>-5.9675265886827296E-4</v>
      </c>
      <c r="AF15" s="9">
        <v>-4.6485506976044202E-4</v>
      </c>
    </row>
    <row r="16" spans="1:77" x14ac:dyDescent="0.3">
      <c r="A16" s="1">
        <v>46045</v>
      </c>
      <c r="B16" s="8">
        <v>27.25</v>
      </c>
      <c r="C16" s="8">
        <v>138.69</v>
      </c>
      <c r="D16" s="9">
        <v>4.78205803705831E-3</v>
      </c>
      <c r="E16" s="9">
        <v>5.1324795502812404E-3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27.25</v>
      </c>
      <c r="M16" s="8">
        <v>138.69</v>
      </c>
      <c r="N16" s="10">
        <v>5.08954128440367</v>
      </c>
      <c r="O16" s="10">
        <v>5.0856511037897496</v>
      </c>
      <c r="P16" s="10">
        <v>5.0858920292081704</v>
      </c>
      <c r="R16" s="8">
        <v>138.58399257827</v>
      </c>
      <c r="S16" s="8">
        <v>138.58167244807899</v>
      </c>
      <c r="U16" s="9">
        <v>-7.6464024561791904E-4</v>
      </c>
      <c r="V16" s="9">
        <v>-7.8138207538889397E-4</v>
      </c>
      <c r="X16" s="10">
        <v>5.08954128440367</v>
      </c>
      <c r="Y16" s="10">
        <v>5.08472288464342</v>
      </c>
      <c r="Z16" s="10">
        <v>5.0858920292081704</v>
      </c>
      <c r="AB16" s="8">
        <v>138.558698606533</v>
      </c>
      <c r="AC16" s="8">
        <v>138.58167244807899</v>
      </c>
      <c r="AE16" s="9">
        <v>-9.4717417209125103E-4</v>
      </c>
      <c r="AF16" s="9">
        <v>-7.8138207538889397E-4</v>
      </c>
    </row>
    <row r="17" spans="1:77" x14ac:dyDescent="0.3">
      <c r="A17" s="1">
        <v>46048</v>
      </c>
      <c r="B17" s="8">
        <v>27.27</v>
      </c>
      <c r="C17" s="8">
        <v>138.69</v>
      </c>
      <c r="D17" s="9">
        <v>7.33675748244009E-4</v>
      </c>
      <c r="E17" s="9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27.27</v>
      </c>
      <c r="M17" s="8">
        <v>138.69</v>
      </c>
      <c r="N17" s="10">
        <v>5.08580858085808</v>
      </c>
      <c r="O17" s="10">
        <v>5.0856511037897496</v>
      </c>
      <c r="P17" s="10">
        <v>5.0859457555110303</v>
      </c>
      <c r="R17" s="8">
        <v>138.68570560034601</v>
      </c>
      <c r="S17" s="8">
        <v>138.692275636506</v>
      </c>
      <c r="U17" s="9">
        <v>-3.0964497373852503E-5</v>
      </c>
      <c r="V17" s="9">
        <v>1.6407944607373499E-5</v>
      </c>
      <c r="X17" s="10">
        <v>5.08580858085808</v>
      </c>
      <c r="Y17" s="10">
        <v>5.08472288464342</v>
      </c>
      <c r="Z17" s="10">
        <v>5.0859457555110303</v>
      </c>
      <c r="AB17" s="8">
        <v>138.66039306422601</v>
      </c>
      <c r="AC17" s="8">
        <v>138.692275636506</v>
      </c>
      <c r="AE17" s="9">
        <v>-2.1349842384719501E-4</v>
      </c>
      <c r="AF17" s="9">
        <v>1.6407944607373499E-5</v>
      </c>
    </row>
    <row r="18" spans="1:77" x14ac:dyDescent="0.3">
      <c r="A18" s="1">
        <v>46049</v>
      </c>
      <c r="B18" s="8">
        <v>27.55</v>
      </c>
      <c r="C18" s="8">
        <v>140.15</v>
      </c>
      <c r="D18" s="9">
        <v>1.02153387414264E-2</v>
      </c>
      <c r="E18" s="9">
        <v>1.0472050942553501E-2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27.55</v>
      </c>
      <c r="M18" s="8">
        <v>140.15</v>
      </c>
      <c r="N18" s="10">
        <v>5.0871143375680496</v>
      </c>
      <c r="O18" s="10">
        <v>5.0856511037897496</v>
      </c>
      <c r="P18" s="10">
        <v>5.0859632321528299</v>
      </c>
      <c r="R18" s="8">
        <v>140.109687909407</v>
      </c>
      <c r="S18" s="8">
        <v>140.11780556432799</v>
      </c>
      <c r="U18" s="9">
        <v>-2.8767669850106499E-4</v>
      </c>
      <c r="V18" s="9">
        <v>-2.29740520840981E-4</v>
      </c>
      <c r="X18" s="10">
        <v>5.0871143375680496</v>
      </c>
      <c r="Y18" s="10">
        <v>5.08472288464342</v>
      </c>
      <c r="Z18" s="10">
        <v>5.0859632321528299</v>
      </c>
      <c r="AB18" s="8">
        <v>140.084115471926</v>
      </c>
      <c r="AC18" s="8">
        <v>140.11780556432799</v>
      </c>
      <c r="AE18" s="9">
        <v>-4.7021062497447998E-4</v>
      </c>
      <c r="AF18" s="9">
        <v>-2.29740520840981E-4</v>
      </c>
    </row>
    <row r="19" spans="1:77" x14ac:dyDescent="0.3">
      <c r="A19" s="1">
        <v>46050</v>
      </c>
      <c r="B19" s="8">
        <v>27.72</v>
      </c>
      <c r="C19" s="8">
        <v>141.06</v>
      </c>
      <c r="D19" s="9">
        <v>6.1516387227789496E-3</v>
      </c>
      <c r="E19" s="9">
        <v>6.4720541692357197E-3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27.72</v>
      </c>
      <c r="M19" s="8">
        <v>141.06</v>
      </c>
      <c r="N19" s="10">
        <v>5.0887445887445804</v>
      </c>
      <c r="O19" s="10">
        <v>5.0856511037897496</v>
      </c>
      <c r="P19" s="10">
        <v>5.08631234540516</v>
      </c>
      <c r="R19" s="8">
        <v>140.974248597051</v>
      </c>
      <c r="S19" s="8">
        <v>140.98290079527601</v>
      </c>
      <c r="U19" s="9">
        <v>-6.08092144957946E-4</v>
      </c>
      <c r="V19" s="9">
        <v>-5.4671971126798102E-4</v>
      </c>
      <c r="X19" s="10">
        <v>5.0887445887445804</v>
      </c>
      <c r="Y19" s="10">
        <v>5.08472288464342</v>
      </c>
      <c r="Z19" s="10">
        <v>5.08631234540516</v>
      </c>
      <c r="AB19" s="8">
        <v>140.94851836231501</v>
      </c>
      <c r="AC19" s="8">
        <v>140.98290079527601</v>
      </c>
      <c r="AE19" s="9">
        <v>-7.9062607143129296E-4</v>
      </c>
      <c r="AF19" s="9">
        <v>-5.4671971126798102E-4</v>
      </c>
      <c r="BX19" s="6" t="s">
        <v>2</v>
      </c>
      <c r="BY19" s="6" t="s">
        <v>2</v>
      </c>
    </row>
    <row r="20" spans="1:77" x14ac:dyDescent="0.3">
      <c r="A20" s="1">
        <v>46051</v>
      </c>
      <c r="B20" s="8">
        <v>28.03</v>
      </c>
      <c r="C20" s="8">
        <v>142.63999999999999</v>
      </c>
      <c r="D20" s="9">
        <v>1.1121190854994399E-2</v>
      </c>
      <c r="E20" s="9">
        <v>1.1138641774851601E-2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28.03</v>
      </c>
      <c r="M20" s="8">
        <v>142.63999999999999</v>
      </c>
      <c r="N20" s="10">
        <v>5.0888333927934299</v>
      </c>
      <c r="O20" s="10">
        <v>5.0856511037897496</v>
      </c>
      <c r="P20" s="10">
        <v>5.08674339317436</v>
      </c>
      <c r="R20" s="8">
        <v>142.55080043922601</v>
      </c>
      <c r="S20" s="8">
        <v>142.56933504170601</v>
      </c>
      <c r="U20" s="9">
        <v>-6.2554306481511996E-4</v>
      </c>
      <c r="V20" s="9">
        <v>-4.9553048275043695E-4</v>
      </c>
      <c r="X20" s="10">
        <v>5.0888333927934299</v>
      </c>
      <c r="Y20" s="10">
        <v>5.08472288464342</v>
      </c>
      <c r="Z20" s="10">
        <v>5.08674339317436</v>
      </c>
      <c r="AB20" s="8">
        <v>142.52478245655499</v>
      </c>
      <c r="AC20" s="8">
        <v>142.56933504170601</v>
      </c>
      <c r="AE20" s="9">
        <v>-8.0807699128857696E-4</v>
      </c>
      <c r="AF20" s="9">
        <v>-4.9553048275043695E-4</v>
      </c>
      <c r="AZ20" s="14" t="s">
        <v>3</v>
      </c>
      <c r="BA20" s="15">
        <v>-1.1209599027042093E-3</v>
      </c>
      <c r="BB20" s="6" t="s">
        <v>4</v>
      </c>
      <c r="BC20" s="6" t="s">
        <v>5</v>
      </c>
      <c r="BD20" s="6" t="s">
        <v>6</v>
      </c>
      <c r="BE20" s="6" t="s">
        <v>7</v>
      </c>
      <c r="BF20" s="6" t="s">
        <v>8</v>
      </c>
      <c r="BG20" s="6" t="str">
        <f>D1</f>
        <v>FENY log rtn</v>
      </c>
      <c r="BH20" s="6" t="str">
        <f>E1</f>
        <v>VDE log rtn</v>
      </c>
      <c r="BI20" s="6" t="s">
        <v>9</v>
      </c>
      <c r="BJ20" s="6" t="s">
        <v>10</v>
      </c>
      <c r="BL20" s="14" t="s">
        <v>3</v>
      </c>
      <c r="BM20" s="15">
        <v>2.2260370323622628E-3</v>
      </c>
      <c r="BN20" s="6" t="s">
        <v>5</v>
      </c>
      <c r="BO20" s="6" t="s">
        <v>4</v>
      </c>
      <c r="BP20" s="6" t="s">
        <v>6</v>
      </c>
      <c r="BQ20" s="6" t="s">
        <v>7</v>
      </c>
      <c r="BR20" s="6" t="s">
        <v>8</v>
      </c>
      <c r="BS20" s="7" t="str">
        <f>D1</f>
        <v>FENY log rtn</v>
      </c>
      <c r="BT20" s="7" t="str">
        <f>E1</f>
        <v>VDE log rtn</v>
      </c>
      <c r="BU20" s="6" t="s">
        <v>9</v>
      </c>
      <c r="BV20" s="6" t="s">
        <v>10</v>
      </c>
      <c r="BX20" s="6" t="s">
        <v>9</v>
      </c>
      <c r="BY20" s="6" t="s">
        <v>10</v>
      </c>
    </row>
    <row r="21" spans="1:77" x14ac:dyDescent="0.3">
      <c r="A21" s="1">
        <v>46052</v>
      </c>
      <c r="B21" s="8">
        <v>28.28</v>
      </c>
      <c r="C21" s="8">
        <v>143.79</v>
      </c>
      <c r="D21" s="9">
        <v>8.8794758516750893E-3</v>
      </c>
      <c r="E21" s="9">
        <v>8.02992828476457E-3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28.28</v>
      </c>
      <c r="M21" s="8">
        <v>143.79</v>
      </c>
      <c r="N21" s="10">
        <v>5.0845120226308298</v>
      </c>
      <c r="O21" s="10">
        <v>5.0856511037897496</v>
      </c>
      <c r="P21" s="10">
        <v>5.0867476257404798</v>
      </c>
      <c r="Q21" s="10">
        <v>5.0859093075714403</v>
      </c>
      <c r="R21" s="8">
        <v>143.822213215174</v>
      </c>
      <c r="S21" s="8">
        <v>143.85310315897101</v>
      </c>
      <c r="U21" s="9">
        <v>2.24004502095247E-4</v>
      </c>
      <c r="V21" s="9">
        <v>4.3876011133572401E-4</v>
      </c>
      <c r="X21" s="10">
        <v>5.0845120226308298</v>
      </c>
      <c r="Y21" s="10">
        <v>5.08472288464342</v>
      </c>
      <c r="Z21" s="10">
        <v>5.0867476257404798</v>
      </c>
      <c r="AA21" s="10">
        <v>5.0859093075714403</v>
      </c>
      <c r="AB21" s="8">
        <v>143.795963177716</v>
      </c>
      <c r="AC21" s="8">
        <v>143.85310315897101</v>
      </c>
      <c r="AE21" s="9">
        <v>4.14705756219124E-5</v>
      </c>
      <c r="AF21" s="9">
        <v>4.3876011133572401E-4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27.74</v>
      </c>
      <c r="C22" s="8">
        <v>141.13</v>
      </c>
      <c r="D22" s="9">
        <v>-1.9279426141686502E-2</v>
      </c>
      <c r="E22" s="9">
        <v>-1.8672450413733901E-2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27.74</v>
      </c>
      <c r="M22" s="8">
        <v>141.13</v>
      </c>
      <c r="N22" s="10">
        <v>5.0875991348233596</v>
      </c>
      <c r="O22" s="10">
        <v>5.0856511037897496</v>
      </c>
      <c r="P22" s="10">
        <v>5.0869317930951201</v>
      </c>
      <c r="Q22" s="10">
        <v>5.0860204896090497</v>
      </c>
      <c r="R22" s="8">
        <v>141.07596161912701</v>
      </c>
      <c r="S22" s="8">
        <v>141.10637913804101</v>
      </c>
      <c r="T22" s="8">
        <v>141.08312419203099</v>
      </c>
      <c r="U22" s="9">
        <v>-3.8297122585734201E-4</v>
      </c>
      <c r="V22" s="9">
        <v>-1.6738353918968501E-4</v>
      </c>
      <c r="W22" s="9">
        <v>-3.3220147740022998E-4</v>
      </c>
      <c r="X22" s="10">
        <v>5.0875991348233596</v>
      </c>
      <c r="Y22" s="10">
        <v>5.08472288464342</v>
      </c>
      <c r="Z22" s="10">
        <v>5.0869317930951201</v>
      </c>
      <c r="AA22" s="10">
        <v>5.0860204896090497</v>
      </c>
      <c r="AB22" s="8">
        <v>141.050212820008</v>
      </c>
      <c r="AC22" s="8">
        <v>141.10637913804101</v>
      </c>
      <c r="AD22" s="8">
        <v>141.08312419203099</v>
      </c>
      <c r="AE22" s="9">
        <v>-5.6550515233061503E-4</v>
      </c>
      <c r="AF22" s="9">
        <v>-1.6738353918968501E-4</v>
      </c>
      <c r="AG22" s="9">
        <v>-8.6470371751363995E-4</v>
      </c>
      <c r="AZ22" s="9"/>
      <c r="BB22">
        <f>IF($AG22&lt;BA$20,1,0)</f>
        <v>0</v>
      </c>
      <c r="BC22">
        <f>IF($AG22&gt;BA$21,1,0)</f>
        <v>0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28.59</v>
      </c>
      <c r="C23" s="8">
        <v>145.49</v>
      </c>
      <c r="D23" s="9">
        <v>3.0181591447534802E-2</v>
      </c>
      <c r="E23" s="9">
        <v>3.0425904301381701E-2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28.59</v>
      </c>
      <c r="M23" s="8">
        <v>145.49</v>
      </c>
      <c r="N23" s="10">
        <v>5.0888422525358497</v>
      </c>
      <c r="O23" s="10">
        <v>5.0856511037897496</v>
      </c>
      <c r="P23" s="10">
        <v>5.0874826850153703</v>
      </c>
      <c r="Q23" s="10">
        <v>5.0863506331238799</v>
      </c>
      <c r="R23" s="8">
        <v>145.39876505734799</v>
      </c>
      <c r="S23" s="8">
        <v>145.435379964589</v>
      </c>
      <c r="T23" s="8">
        <v>145.40932579792201</v>
      </c>
      <c r="U23" s="9">
        <v>-6.2728407970433404E-4</v>
      </c>
      <c r="V23" s="9">
        <v>-3.7549172271411602E-4</v>
      </c>
      <c r="W23" s="9">
        <v>-5.54653771878E-4</v>
      </c>
      <c r="X23" s="10">
        <v>5.0888422525358497</v>
      </c>
      <c r="Y23" s="10">
        <v>5.08472288464342</v>
      </c>
      <c r="Z23" s="10">
        <v>5.0874826850153703</v>
      </c>
      <c r="AA23" s="10">
        <v>5.0863506331238799</v>
      </c>
      <c r="AB23" s="8">
        <v>145.37222727195501</v>
      </c>
      <c r="AC23" s="8">
        <v>145.435379964589</v>
      </c>
      <c r="AD23" s="8">
        <v>145.40932579792201</v>
      </c>
      <c r="AE23" s="9">
        <v>-8.0981800617755295E-4</v>
      </c>
      <c r="AF23" s="9">
        <v>-3.7549172271411602E-4</v>
      </c>
      <c r="AG23" s="9">
        <v>-1.29187628918202E-4</v>
      </c>
      <c r="AZ23" s="9"/>
      <c r="BB23">
        <f t="shared" ref="BB23:BB86" si="2">IF($AG23&lt;BA$20,1,0)</f>
        <v>0</v>
      </c>
      <c r="BC23">
        <f t="shared" ref="BC23:BC86" si="3">IF($AG23&gt;BA$21,1,0)</f>
        <v>0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1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0</v>
      </c>
      <c r="BY23" s="12">
        <f t="shared" ref="BY23:BY86" si="19">BY22+BX23</f>
        <v>0</v>
      </c>
    </row>
    <row r="24" spans="1:77" x14ac:dyDescent="0.3">
      <c r="A24" s="1">
        <v>46057</v>
      </c>
      <c r="B24" s="8">
        <v>29.18</v>
      </c>
      <c r="C24" s="8">
        <v>148.4</v>
      </c>
      <c r="D24" s="9">
        <v>2.0426536760419101E-2</v>
      </c>
      <c r="E24" s="9">
        <v>1.9803975005982698E-2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29.18</v>
      </c>
      <c r="M24" s="8">
        <v>148.4</v>
      </c>
      <c r="N24" s="10">
        <v>5.0856751199451598</v>
      </c>
      <c r="O24" s="10">
        <v>5.0856511037897496</v>
      </c>
      <c r="P24" s="10">
        <v>5.0874428826397402</v>
      </c>
      <c r="Q24" s="10">
        <v>5.08641823710213</v>
      </c>
      <c r="R24" s="8">
        <v>148.39929920858401</v>
      </c>
      <c r="S24" s="8">
        <v>148.45274474874799</v>
      </c>
      <c r="T24" s="8">
        <v>148.41971147455399</v>
      </c>
      <c r="U24" s="9">
        <v>-4.7223252677937596E-6</v>
      </c>
      <c r="V24" s="9">
        <v>3.5535968750068298E-4</v>
      </c>
      <c r="W24" s="9">
        <v>1.32817827265765E-4</v>
      </c>
      <c r="X24" s="10">
        <v>5.0856751199451598</v>
      </c>
      <c r="Y24" s="10">
        <v>5.08472288464342</v>
      </c>
      <c r="Z24" s="10">
        <v>5.0874428826397402</v>
      </c>
      <c r="AA24" s="10">
        <v>5.08641823710213</v>
      </c>
      <c r="AB24" s="8">
        <v>148.372213773895</v>
      </c>
      <c r="AC24" s="8">
        <v>148.45274474874799</v>
      </c>
      <c r="AD24" s="8">
        <v>148.41971147455399</v>
      </c>
      <c r="AE24" s="9">
        <v>-1.87256251741003E-4</v>
      </c>
      <c r="AF24" s="9">
        <v>3.5535968750068298E-4</v>
      </c>
      <c r="AG24" s="9">
        <v>4.9945213535797998E-4</v>
      </c>
      <c r="AZ24" s="9"/>
      <c r="BB24">
        <f t="shared" si="2"/>
        <v>0</v>
      </c>
      <c r="BC24">
        <f t="shared" si="3"/>
        <v>1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0</v>
      </c>
      <c r="BO24">
        <f t="shared" si="11"/>
        <v>0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0</v>
      </c>
      <c r="BY24" s="12">
        <f t="shared" si="19"/>
        <v>0</v>
      </c>
    </row>
    <row r="25" spans="1:77" x14ac:dyDescent="0.3">
      <c r="A25" s="1">
        <v>46058</v>
      </c>
      <c r="B25" s="8">
        <v>28.82</v>
      </c>
      <c r="C25" s="8">
        <v>146.58000000000001</v>
      </c>
      <c r="D25" s="9">
        <v>-1.2413952523263499E-2</v>
      </c>
      <c r="E25" s="9">
        <v>-1.23399762355759E-2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28.82</v>
      </c>
      <c r="M25" s="8">
        <v>146.58000000000001</v>
      </c>
      <c r="N25" s="10">
        <v>5.08605135322692</v>
      </c>
      <c r="O25" s="10">
        <v>5.0856511037897496</v>
      </c>
      <c r="P25" s="10">
        <v>5.0872722067529903</v>
      </c>
      <c r="Q25" s="10">
        <v>5.0864190840752004</v>
      </c>
      <c r="R25" s="8">
        <v>146.56846481122</v>
      </c>
      <c r="S25" s="8">
        <v>146.620103877677</v>
      </c>
      <c r="T25" s="8">
        <v>146.59057359328301</v>
      </c>
      <c r="U25" s="9">
        <v>-7.8698612955292206E-5</v>
      </c>
      <c r="V25" s="9">
        <v>2.73559779803208E-4</v>
      </c>
      <c r="W25" s="9">
        <v>7.2132705261628198E-5</v>
      </c>
      <c r="X25" s="10">
        <v>5.08605135322692</v>
      </c>
      <c r="Y25" s="10">
        <v>5.08472288464342</v>
      </c>
      <c r="Z25" s="10">
        <v>5.0872722067529903</v>
      </c>
      <c r="AA25" s="10">
        <v>5.0864190840752004</v>
      </c>
      <c r="AB25" s="8">
        <v>146.54171353542301</v>
      </c>
      <c r="AC25" s="8">
        <v>146.620103877677</v>
      </c>
      <c r="AD25" s="8">
        <v>146.59057359328301</v>
      </c>
      <c r="AE25" s="9">
        <v>-2.6123253942871802E-4</v>
      </c>
      <c r="AF25" s="9">
        <v>2.73559779803208E-4</v>
      </c>
      <c r="AG25" s="9">
        <v>-7.1253724057848905E-4</v>
      </c>
      <c r="AZ25" s="9"/>
      <c r="BB25">
        <f t="shared" si="2"/>
        <v>0</v>
      </c>
      <c r="BC25">
        <f t="shared" si="3"/>
        <v>0</v>
      </c>
      <c r="BD25">
        <f t="shared" si="4"/>
        <v>0</v>
      </c>
      <c r="BE25">
        <f t="shared" si="0"/>
        <v>1</v>
      </c>
      <c r="BF25">
        <f t="shared" si="5"/>
        <v>0</v>
      </c>
      <c r="BG25" s="9">
        <f t="shared" si="6"/>
        <v>0</v>
      </c>
      <c r="BH25" s="9">
        <f t="shared" si="7"/>
        <v>0</v>
      </c>
      <c r="BI25" s="9">
        <f t="shared" si="8"/>
        <v>0</v>
      </c>
      <c r="BJ25" s="12">
        <f t="shared" si="9"/>
        <v>0</v>
      </c>
      <c r="BL25" s="9"/>
      <c r="BN25">
        <f t="shared" si="10"/>
        <v>0</v>
      </c>
      <c r="BO25">
        <f t="shared" si="11"/>
        <v>1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0</v>
      </c>
      <c r="BY25" s="12">
        <f t="shared" si="19"/>
        <v>0</v>
      </c>
    </row>
    <row r="26" spans="1:77" x14ac:dyDescent="0.3">
      <c r="A26" s="1">
        <v>46059</v>
      </c>
      <c r="B26" s="8">
        <v>29.46</v>
      </c>
      <c r="C26" s="8">
        <v>149.88999999999999</v>
      </c>
      <c r="D26" s="9">
        <v>2.1963820463108099E-2</v>
      </c>
      <c r="E26" s="9">
        <v>2.23303372448002E-2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29.46</v>
      </c>
      <c r="M26" s="8">
        <v>149.88999999999999</v>
      </c>
      <c r="N26" s="10">
        <v>5.0879158180583799</v>
      </c>
      <c r="O26" s="10">
        <v>5.0856511037897496</v>
      </c>
      <c r="P26" s="10">
        <v>5.08710966011847</v>
      </c>
      <c r="Q26" s="10">
        <v>5.0865008446633198</v>
      </c>
      <c r="R26" s="8">
        <v>149.823281517646</v>
      </c>
      <c r="S26" s="8">
        <v>149.871039210943</v>
      </c>
      <c r="T26" s="8">
        <v>149.84590621685501</v>
      </c>
      <c r="U26" s="9">
        <v>-4.4521539464735798E-4</v>
      </c>
      <c r="V26" s="9">
        <v>-1.2650602714664401E-4</v>
      </c>
      <c r="W26" s="9">
        <v>-2.9421755984434302E-4</v>
      </c>
      <c r="X26" s="10">
        <v>5.0879158180583799</v>
      </c>
      <c r="Y26" s="10">
        <v>5.08472288464342</v>
      </c>
      <c r="Z26" s="10">
        <v>5.08710966011847</v>
      </c>
      <c r="AA26" s="10">
        <v>5.0865008446633198</v>
      </c>
      <c r="AB26" s="8">
        <v>149.79593618159501</v>
      </c>
      <c r="AC26" s="8">
        <v>149.871039210943</v>
      </c>
      <c r="AD26" s="8">
        <v>149.84590621685501</v>
      </c>
      <c r="AE26" s="9">
        <v>-6.2774932112058502E-4</v>
      </c>
      <c r="AF26" s="9">
        <v>-1.2650602714664401E-4</v>
      </c>
      <c r="AG26" s="9">
        <v>-5.7454753961585505E-4</v>
      </c>
      <c r="AZ26" s="9"/>
      <c r="BB26">
        <f t="shared" si="2"/>
        <v>0</v>
      </c>
      <c r="BC26">
        <f t="shared" si="3"/>
        <v>0</v>
      </c>
      <c r="BD26">
        <f t="shared" si="4"/>
        <v>0</v>
      </c>
      <c r="BE26">
        <f t="shared" si="0"/>
        <v>1</v>
      </c>
      <c r="BF26">
        <f t="shared" si="5"/>
        <v>0</v>
      </c>
      <c r="BG26" s="9">
        <f t="shared" si="6"/>
        <v>0</v>
      </c>
      <c r="BH26" s="9">
        <f t="shared" si="7"/>
        <v>0</v>
      </c>
      <c r="BI26" s="9">
        <f t="shared" si="8"/>
        <v>0</v>
      </c>
      <c r="BJ26" s="12">
        <f t="shared" si="9"/>
        <v>0</v>
      </c>
      <c r="BL26" s="9"/>
      <c r="BN26">
        <f t="shared" si="10"/>
        <v>0</v>
      </c>
      <c r="BO26">
        <f t="shared" si="11"/>
        <v>1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0</v>
      </c>
      <c r="BY26" s="12">
        <f t="shared" si="19"/>
        <v>0</v>
      </c>
    </row>
    <row r="27" spans="1:77" x14ac:dyDescent="0.3">
      <c r="A27" s="1">
        <v>46062</v>
      </c>
      <c r="B27" s="8">
        <v>29.73</v>
      </c>
      <c r="C27" s="8">
        <v>151.26</v>
      </c>
      <c r="D27" s="9">
        <v>9.1232259755221895E-3</v>
      </c>
      <c r="E27" s="9">
        <v>9.0985186853790104E-3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29.73</v>
      </c>
      <c r="M27" s="8">
        <v>151.26</v>
      </c>
      <c r="N27" s="10">
        <v>5.0877901109989896</v>
      </c>
      <c r="O27" s="10">
        <v>5.0856511037897496</v>
      </c>
      <c r="P27" s="10">
        <v>5.0873078131325498</v>
      </c>
      <c r="Q27" s="10">
        <v>5.0866267843217896</v>
      </c>
      <c r="R27" s="8">
        <v>151.19640731566901</v>
      </c>
      <c r="S27" s="8">
        <v>151.239770195322</v>
      </c>
      <c r="T27" s="8">
        <v>151.22167011184001</v>
      </c>
      <c r="U27" s="9">
        <v>-4.2050810450433899E-4</v>
      </c>
      <c r="V27" s="9">
        <v>-1.3375087653770499E-4</v>
      </c>
      <c r="W27" s="9">
        <v>-2.5343610639599201E-4</v>
      </c>
      <c r="X27" s="10">
        <v>5.0877901109989896</v>
      </c>
      <c r="Y27" s="10">
        <v>5.08472288464342</v>
      </c>
      <c r="Z27" s="10">
        <v>5.0873078131325498</v>
      </c>
      <c r="AA27" s="10">
        <v>5.0866267843217896</v>
      </c>
      <c r="AB27" s="8">
        <v>151.16881136044799</v>
      </c>
      <c r="AC27" s="8">
        <v>151.239770195322</v>
      </c>
      <c r="AD27" s="8">
        <v>151.22167011184001</v>
      </c>
      <c r="AE27" s="9">
        <v>-6.0304203097758695E-4</v>
      </c>
      <c r="AF27" s="9">
        <v>-1.3375087653770499E-4</v>
      </c>
      <c r="AG27" s="9">
        <v>-1.86795475129009E-3</v>
      </c>
      <c r="AZ27" s="9"/>
      <c r="BB27">
        <f t="shared" si="2"/>
        <v>1</v>
      </c>
      <c r="BC27">
        <f t="shared" si="3"/>
        <v>0</v>
      </c>
      <c r="BD27">
        <f t="shared" si="4"/>
        <v>0</v>
      </c>
      <c r="BE27">
        <f t="shared" si="0"/>
        <v>1</v>
      </c>
      <c r="BF27">
        <f t="shared" si="5"/>
        <v>0</v>
      </c>
      <c r="BG27" s="9">
        <f t="shared" si="6"/>
        <v>0</v>
      </c>
      <c r="BH27" s="9">
        <f t="shared" si="7"/>
        <v>0</v>
      </c>
      <c r="BI27" s="9">
        <f t="shared" si="8"/>
        <v>0</v>
      </c>
      <c r="BJ27" s="12">
        <f t="shared" si="9"/>
        <v>0</v>
      </c>
      <c r="BL27" s="9"/>
      <c r="BN27">
        <f t="shared" si="10"/>
        <v>0</v>
      </c>
      <c r="BO27">
        <f t="shared" si="11"/>
        <v>1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0</v>
      </c>
      <c r="BY27" s="12">
        <f t="shared" si="19"/>
        <v>0</v>
      </c>
    </row>
    <row r="28" spans="1:77" x14ac:dyDescent="0.3">
      <c r="A28" s="1">
        <v>46063</v>
      </c>
      <c r="B28" s="8">
        <v>29.66</v>
      </c>
      <c r="C28" s="8">
        <v>150.82</v>
      </c>
      <c r="D28" s="9">
        <v>-2.35730030022033E-3</v>
      </c>
      <c r="E28" s="9">
        <v>-2.9131376533824598E-3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29.66</v>
      </c>
      <c r="M28" s="8">
        <v>150.82</v>
      </c>
      <c r="N28" s="10">
        <v>5.0849629130141603</v>
      </c>
      <c r="O28" s="10">
        <v>5.0856511037897496</v>
      </c>
      <c r="P28" s="10">
        <v>5.08709267067717</v>
      </c>
      <c r="Q28" s="10">
        <v>5.0865279514149897</v>
      </c>
      <c r="R28" s="8">
        <v>150.84041173840399</v>
      </c>
      <c r="S28" s="8">
        <v>150.889549737511</v>
      </c>
      <c r="T28" s="8">
        <v>150.86935042298401</v>
      </c>
      <c r="U28" s="9">
        <v>1.3532924865774799E-4</v>
      </c>
      <c r="V28" s="9">
        <v>4.6103770201616701E-4</v>
      </c>
      <c r="W28" s="9">
        <v>3.2716052691622599E-4</v>
      </c>
      <c r="X28" s="10">
        <v>5.0849629130141603</v>
      </c>
      <c r="Y28" s="10">
        <v>5.08472288464342</v>
      </c>
      <c r="Z28" s="10">
        <v>5.08709267067717</v>
      </c>
      <c r="AA28" s="10">
        <v>5.0865279514149897</v>
      </c>
      <c r="AB28" s="8">
        <v>150.81288075852299</v>
      </c>
      <c r="AC28" s="8">
        <v>150.889549737511</v>
      </c>
      <c r="AD28" s="8">
        <v>150.86935042298401</v>
      </c>
      <c r="AE28" s="9">
        <v>-4.7204677815528298E-5</v>
      </c>
      <c r="AF28" s="9">
        <v>4.6103770201616701E-4</v>
      </c>
      <c r="AG28" s="9">
        <v>-3.83393558096003E-4</v>
      </c>
      <c r="AZ28" s="9"/>
      <c r="BB28">
        <f t="shared" si="2"/>
        <v>0</v>
      </c>
      <c r="BC28">
        <f t="shared" si="3"/>
        <v>0</v>
      </c>
      <c r="BD28">
        <f t="shared" si="4"/>
        <v>1</v>
      </c>
      <c r="BE28">
        <f t="shared" si="0"/>
        <v>1</v>
      </c>
      <c r="BF28">
        <f t="shared" si="5"/>
        <v>1</v>
      </c>
      <c r="BG28" s="9">
        <f t="shared" si="6"/>
        <v>-2.35730030022033E-3</v>
      </c>
      <c r="BH28" s="9">
        <f t="shared" si="7"/>
        <v>2.9131376533824598E-3</v>
      </c>
      <c r="BI28" s="9">
        <f t="shared" si="8"/>
        <v>5.5583735316212975E-4</v>
      </c>
      <c r="BJ28" s="12">
        <f t="shared" si="9"/>
        <v>5.5583735316212975E-4</v>
      </c>
      <c r="BL28" s="9"/>
      <c r="BN28">
        <f t="shared" si="10"/>
        <v>0</v>
      </c>
      <c r="BO28">
        <f t="shared" si="11"/>
        <v>1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5.5583735316212975E-4</v>
      </c>
      <c r="BY28" s="12">
        <f t="shared" si="19"/>
        <v>5.5583735316212975E-4</v>
      </c>
    </row>
    <row r="29" spans="1:77" x14ac:dyDescent="0.3">
      <c r="A29" s="1">
        <v>46064</v>
      </c>
      <c r="B29" s="8">
        <v>30.41</v>
      </c>
      <c r="C29" s="8">
        <v>154.69</v>
      </c>
      <c r="D29" s="9">
        <v>2.4972164979487201E-2</v>
      </c>
      <c r="E29" s="9">
        <v>2.5336041474072701E-2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30.41</v>
      </c>
      <c r="M29" s="8">
        <v>154.69</v>
      </c>
      <c r="N29" s="10">
        <v>5.0868135481749404</v>
      </c>
      <c r="O29" s="10">
        <v>5.0856511037897496</v>
      </c>
      <c r="P29" s="10">
        <v>5.0868995666202004</v>
      </c>
      <c r="Q29" s="10">
        <v>5.0866059560126802</v>
      </c>
      <c r="R29" s="8">
        <v>154.65465006624601</v>
      </c>
      <c r="S29" s="8">
        <v>154.69848811529201</v>
      </c>
      <c r="T29" s="8">
        <v>154.68131500253</v>
      </c>
      <c r="U29" s="9">
        <v>-2.2854724592752499E-4</v>
      </c>
      <c r="V29" s="9">
        <v>5.4870272301322802E-5</v>
      </c>
      <c r="W29" s="9">
        <v>-5.6146106965769298E-5</v>
      </c>
      <c r="X29" s="10">
        <v>5.0868135481749404</v>
      </c>
      <c r="Y29" s="10">
        <v>5.08472288464342</v>
      </c>
      <c r="Z29" s="10">
        <v>5.0868995666202004</v>
      </c>
      <c r="AA29" s="10">
        <v>5.0866059560126802</v>
      </c>
      <c r="AB29" s="8">
        <v>154.62642292200599</v>
      </c>
      <c r="AC29" s="8">
        <v>154.69848811529201</v>
      </c>
      <c r="AD29" s="8">
        <v>154.68131500253</v>
      </c>
      <c r="AE29" s="9">
        <v>-4.1108117240074802E-4</v>
      </c>
      <c r="AF29" s="9">
        <v>5.4870272301322802E-5</v>
      </c>
      <c r="AG29" s="9">
        <v>-6.0517505846659997E-6</v>
      </c>
      <c r="AZ29" s="9"/>
      <c r="BB29">
        <f t="shared" si="2"/>
        <v>0</v>
      </c>
      <c r="BC29">
        <f t="shared" si="3"/>
        <v>0</v>
      </c>
      <c r="BD29">
        <f t="shared" si="4"/>
        <v>1</v>
      </c>
      <c r="BE29">
        <f t="shared" si="0"/>
        <v>1</v>
      </c>
      <c r="BF29">
        <f t="shared" si="5"/>
        <v>1</v>
      </c>
      <c r="BG29" s="9">
        <f t="shared" si="6"/>
        <v>2.4972164979487201E-2</v>
      </c>
      <c r="BH29" s="9">
        <f t="shared" si="7"/>
        <v>-2.5336041474072701E-2</v>
      </c>
      <c r="BI29" s="9">
        <f t="shared" si="8"/>
        <v>-3.6387649458550012E-4</v>
      </c>
      <c r="BJ29" s="12">
        <f t="shared" si="9"/>
        <v>1.9196085857662963E-4</v>
      </c>
      <c r="BL29" s="9"/>
      <c r="BN29">
        <f t="shared" si="10"/>
        <v>0</v>
      </c>
      <c r="BO29">
        <f t="shared" si="11"/>
        <v>1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-3.6387649458550012E-4</v>
      </c>
      <c r="BY29" s="12">
        <f t="shared" si="19"/>
        <v>1.9196085857662963E-4</v>
      </c>
    </row>
    <row r="30" spans="1:77" x14ac:dyDescent="0.3">
      <c r="A30" s="1">
        <v>46065</v>
      </c>
      <c r="B30" s="8">
        <v>29.81</v>
      </c>
      <c r="C30" s="8">
        <v>151.59</v>
      </c>
      <c r="D30" s="9">
        <v>-1.9927593999293201E-2</v>
      </c>
      <c r="E30" s="9">
        <v>-2.0243606276646502E-2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29.81</v>
      </c>
      <c r="M30" s="8">
        <v>151.59</v>
      </c>
      <c r="N30" s="10">
        <v>5.0852063066085202</v>
      </c>
      <c r="O30" s="10">
        <v>5.0856511037897496</v>
      </c>
      <c r="P30" s="10">
        <v>5.0865368580017103</v>
      </c>
      <c r="Q30" s="10">
        <v>5.0866401255880396</v>
      </c>
      <c r="R30" s="8">
        <v>151.603259403972</v>
      </c>
      <c r="S30" s="8">
        <v>151.64047608094799</v>
      </c>
      <c r="T30" s="8">
        <v>151.63172354873799</v>
      </c>
      <c r="U30" s="9">
        <v>8.7465031425884305E-5</v>
      </c>
      <c r="V30" s="9">
        <v>3.32922218550858E-4</v>
      </c>
      <c r="W30" s="9">
        <v>2.7520158195266898E-4</v>
      </c>
      <c r="X30" s="10">
        <v>5.0852063066085202</v>
      </c>
      <c r="Y30" s="10">
        <v>5.08472288464342</v>
      </c>
      <c r="Z30" s="10">
        <v>5.0865368580017103</v>
      </c>
      <c r="AA30" s="10">
        <v>5.0866401255880396</v>
      </c>
      <c r="AB30" s="8">
        <v>151.57558919121999</v>
      </c>
      <c r="AC30" s="8">
        <v>151.64047608094799</v>
      </c>
      <c r="AD30" s="8">
        <v>151.63172354873799</v>
      </c>
      <c r="AE30" s="9">
        <v>-9.5068895047460401E-5</v>
      </c>
      <c r="AF30" s="9">
        <v>3.32922218550858E-4</v>
      </c>
      <c r="AG30" s="9">
        <v>2.42480888711416E-3</v>
      </c>
      <c r="AZ30" s="9"/>
      <c r="BB30">
        <f t="shared" si="2"/>
        <v>0</v>
      </c>
      <c r="BC30">
        <f t="shared" si="3"/>
        <v>1</v>
      </c>
      <c r="BD30">
        <f t="shared" si="4"/>
        <v>1</v>
      </c>
      <c r="BE30">
        <f t="shared" si="0"/>
        <v>1</v>
      </c>
      <c r="BF30">
        <f t="shared" si="5"/>
        <v>1</v>
      </c>
      <c r="BG30" s="9">
        <f t="shared" si="6"/>
        <v>-1.9927593999293201E-2</v>
      </c>
      <c r="BH30" s="9">
        <f t="shared" si="7"/>
        <v>2.0243606276646502E-2</v>
      </c>
      <c r="BI30" s="9">
        <f t="shared" si="8"/>
        <v>3.1601227735330098E-4</v>
      </c>
      <c r="BJ30" s="12">
        <f t="shared" si="9"/>
        <v>5.0797313592993061E-4</v>
      </c>
      <c r="BL30" s="9"/>
      <c r="BN30">
        <f t="shared" si="10"/>
        <v>1</v>
      </c>
      <c r="BO30">
        <f t="shared" si="11"/>
        <v>0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3.1601227735330098E-4</v>
      </c>
      <c r="BY30" s="12">
        <f t="shared" si="19"/>
        <v>5.0797313592993061E-4</v>
      </c>
    </row>
    <row r="31" spans="1:77" x14ac:dyDescent="0.3">
      <c r="A31" s="1">
        <v>46066</v>
      </c>
      <c r="B31" s="8">
        <v>30.07</v>
      </c>
      <c r="C31" s="8">
        <v>152.94999999999999</v>
      </c>
      <c r="D31" s="9">
        <v>8.6840893104576794E-3</v>
      </c>
      <c r="E31" s="9">
        <v>8.9315626249854303E-3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30.07</v>
      </c>
      <c r="M31" s="8">
        <v>152.94999999999999</v>
      </c>
      <c r="N31" s="10">
        <v>5.0864649151978698</v>
      </c>
      <c r="O31" s="10">
        <v>5.0856511037897496</v>
      </c>
      <c r="P31" s="10">
        <v>5.0867321472584104</v>
      </c>
      <c r="Q31" s="10">
        <v>5.0867398864994504</v>
      </c>
      <c r="R31" s="8">
        <v>152.92552869095701</v>
      </c>
      <c r="S31" s="8">
        <v>152.952163320111</v>
      </c>
      <c r="T31" s="8">
        <v>152.95526857643199</v>
      </c>
      <c r="U31" s="9">
        <v>-1.6000828310195901E-4</v>
      </c>
      <c r="V31" s="9">
        <v>1.4143869321411601E-5</v>
      </c>
      <c r="W31" s="9">
        <v>3.4445803810327699E-5</v>
      </c>
      <c r="X31" s="10">
        <v>5.0864649151978698</v>
      </c>
      <c r="Y31" s="10">
        <v>5.08472288464342</v>
      </c>
      <c r="Z31" s="10">
        <v>5.0867321472584104</v>
      </c>
      <c r="AA31" s="10">
        <v>5.0867398864994504</v>
      </c>
      <c r="AB31" s="8">
        <v>152.89761714122699</v>
      </c>
      <c r="AC31" s="8">
        <v>152.952163320111</v>
      </c>
      <c r="AD31" s="8">
        <v>152.95526857643199</v>
      </c>
      <c r="AE31" s="9">
        <v>-3.4254220957513301E-4</v>
      </c>
      <c r="AF31" s="9">
        <v>1.4143869321411601E-5</v>
      </c>
      <c r="AG31" s="9">
        <v>3.8821152040305201E-3</v>
      </c>
      <c r="AZ31" s="9"/>
      <c r="BB31">
        <f t="shared" si="2"/>
        <v>0</v>
      </c>
      <c r="BC31">
        <f t="shared" si="3"/>
        <v>1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5.0797313592993061E-4</v>
      </c>
      <c r="BL31" s="9"/>
      <c r="BN31">
        <f t="shared" si="10"/>
        <v>1</v>
      </c>
      <c r="BO31">
        <f t="shared" si="11"/>
        <v>0</v>
      </c>
      <c r="BP31">
        <f t="shared" si="12"/>
        <v>1</v>
      </c>
      <c r="BQ31">
        <f t="shared" si="1"/>
        <v>1</v>
      </c>
      <c r="BR31">
        <f t="shared" si="13"/>
        <v>1</v>
      </c>
      <c r="BS31" s="9">
        <f t="shared" si="14"/>
        <v>-8.6840893104576794E-3</v>
      </c>
      <c r="BT31" s="9">
        <f t="shared" si="15"/>
        <v>8.9315626249854303E-3</v>
      </c>
      <c r="BU31" s="9">
        <f t="shared" si="16"/>
        <v>2.4747331452775086E-4</v>
      </c>
      <c r="BV31" s="12">
        <f t="shared" si="17"/>
        <v>2.4747331452775086E-4</v>
      </c>
      <c r="BX31" s="12">
        <f t="shared" si="18"/>
        <v>2.4747331452775086E-4</v>
      </c>
      <c r="BY31" s="12">
        <f t="shared" si="19"/>
        <v>7.5544645045768147E-4</v>
      </c>
    </row>
    <row r="32" spans="1:77" x14ac:dyDescent="0.3">
      <c r="A32" s="1">
        <v>46070</v>
      </c>
      <c r="B32" s="8">
        <v>29.73</v>
      </c>
      <c r="C32" s="8">
        <v>151.13999999999999</v>
      </c>
      <c r="D32" s="9">
        <v>-1.1371359990431399E-2</v>
      </c>
      <c r="E32" s="9">
        <v>-1.19045110043386E-2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29.73</v>
      </c>
      <c r="M32" s="8">
        <v>151.13999999999999</v>
      </c>
      <c r="N32" s="10">
        <v>5.0837537840565004</v>
      </c>
      <c r="O32" s="10">
        <v>5.0856511037897496</v>
      </c>
      <c r="P32" s="10">
        <v>5.0863476121817301</v>
      </c>
      <c r="Q32" s="10">
        <v>5.08663970263843</v>
      </c>
      <c r="R32" s="8">
        <v>151.19640731566901</v>
      </c>
      <c r="S32" s="8">
        <v>151.22854673799199</v>
      </c>
      <c r="T32" s="8">
        <v>151.22877682562799</v>
      </c>
      <c r="U32" s="9">
        <v>3.7314273080528898E-4</v>
      </c>
      <c r="V32" s="9">
        <v>5.8568750936048304E-4</v>
      </c>
      <c r="W32" s="9">
        <v>5.8720896457394999E-4</v>
      </c>
      <c r="X32" s="10">
        <v>5.0837537840565004</v>
      </c>
      <c r="Y32" s="10">
        <v>5.08472288464342</v>
      </c>
      <c r="Z32" s="10">
        <v>5.0863476121817301</v>
      </c>
      <c r="AA32" s="10">
        <v>5.08663970263843</v>
      </c>
      <c r="AB32" s="8">
        <v>151.16881136044799</v>
      </c>
      <c r="AC32" s="8">
        <v>151.22854673799199</v>
      </c>
      <c r="AD32" s="8">
        <v>151.22877682562799</v>
      </c>
      <c r="AE32" s="9">
        <v>1.90608804332141E-4</v>
      </c>
      <c r="AF32" s="9">
        <v>5.8568750936048304E-4</v>
      </c>
      <c r="AG32" s="9">
        <v>4.2381007100616899E-3</v>
      </c>
      <c r="AZ32" s="9"/>
      <c r="BB32">
        <f t="shared" si="2"/>
        <v>0</v>
      </c>
      <c r="BC32">
        <f t="shared" si="3"/>
        <v>1</v>
      </c>
      <c r="BD32">
        <f t="shared" si="4"/>
        <v>0</v>
      </c>
      <c r="BE32">
        <f t="shared" si="0"/>
        <v>1</v>
      </c>
      <c r="BF32">
        <f t="shared" si="5"/>
        <v>0</v>
      </c>
      <c r="BG32" s="9">
        <f t="shared" si="6"/>
        <v>0</v>
      </c>
      <c r="BH32" s="9">
        <f t="shared" si="7"/>
        <v>0</v>
      </c>
      <c r="BI32" s="9">
        <f t="shared" si="8"/>
        <v>0</v>
      </c>
      <c r="BJ32" s="12">
        <f t="shared" si="9"/>
        <v>5.0797313592993061E-4</v>
      </c>
      <c r="BL32" s="9"/>
      <c r="BN32">
        <f t="shared" si="10"/>
        <v>1</v>
      </c>
      <c r="BO32">
        <f t="shared" si="11"/>
        <v>0</v>
      </c>
      <c r="BP32">
        <f t="shared" si="12"/>
        <v>1</v>
      </c>
      <c r="BQ32">
        <f t="shared" si="1"/>
        <v>1</v>
      </c>
      <c r="BR32">
        <f t="shared" si="13"/>
        <v>1</v>
      </c>
      <c r="BS32" s="9">
        <f t="shared" si="14"/>
        <v>1.1371359990431399E-2</v>
      </c>
      <c r="BT32" s="9">
        <f t="shared" si="15"/>
        <v>-1.19045110043386E-2</v>
      </c>
      <c r="BU32" s="9">
        <f t="shared" si="16"/>
        <v>-5.3315101390720085E-4</v>
      </c>
      <c r="BV32" s="12">
        <f t="shared" si="17"/>
        <v>-2.8567769937944999E-4</v>
      </c>
      <c r="BX32" s="12">
        <f t="shared" si="18"/>
        <v>-5.3315101390720085E-4</v>
      </c>
      <c r="BY32" s="12">
        <f t="shared" si="19"/>
        <v>2.2229543655048062E-4</v>
      </c>
    </row>
    <row r="33" spans="1:77" x14ac:dyDescent="0.3">
      <c r="A33" s="1">
        <v>46071</v>
      </c>
      <c r="B33" s="8">
        <v>30.3</v>
      </c>
      <c r="C33" s="8">
        <v>154.11000000000001</v>
      </c>
      <c r="D33" s="9">
        <v>1.8991075505317201E-2</v>
      </c>
      <c r="E33" s="9">
        <v>1.9460073554712499E-2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30.3</v>
      </c>
      <c r="M33" s="8">
        <v>154.11000000000001</v>
      </c>
      <c r="N33" s="10">
        <v>5.0861386138613804</v>
      </c>
      <c r="O33" s="10">
        <v>5.0856511037897496</v>
      </c>
      <c r="P33" s="10">
        <v>5.0860772483142798</v>
      </c>
      <c r="Q33" s="10">
        <v>5.0867799666648299</v>
      </c>
      <c r="R33" s="8">
        <v>154.09522844482899</v>
      </c>
      <c r="S33" s="8">
        <v>154.116332649106</v>
      </c>
      <c r="T33" s="8">
        <v>154.12518298994399</v>
      </c>
      <c r="U33" s="9">
        <v>-9.5855318590084404E-5</v>
      </c>
      <c r="V33" s="9">
        <v>4.1090902603598201E-5</v>
      </c>
      <c r="W33" s="9">
        <v>9.8515619206212198E-5</v>
      </c>
      <c r="X33" s="10">
        <v>5.0861386138613804</v>
      </c>
      <c r="Y33" s="10">
        <v>5.08472288464342</v>
      </c>
      <c r="Z33" s="10">
        <v>5.0860772483142798</v>
      </c>
      <c r="AA33" s="10">
        <v>5.0867799666648299</v>
      </c>
      <c r="AB33" s="8">
        <v>154.06710340469499</v>
      </c>
      <c r="AC33" s="8">
        <v>154.116332649106</v>
      </c>
      <c r="AD33" s="8">
        <v>154.12518298994399</v>
      </c>
      <c r="AE33" s="9">
        <v>-2.7838924506334899E-4</v>
      </c>
      <c r="AF33" s="9">
        <v>4.1090902603598201E-5</v>
      </c>
      <c r="AG33" s="9">
        <v>3.1795069471789602E-3</v>
      </c>
      <c r="AZ33" s="9"/>
      <c r="BB33">
        <f t="shared" si="2"/>
        <v>0</v>
      </c>
      <c r="BC33">
        <f t="shared" si="3"/>
        <v>1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5.0797313592993061E-4</v>
      </c>
      <c r="BL33" s="9"/>
      <c r="BN33">
        <f t="shared" si="10"/>
        <v>1</v>
      </c>
      <c r="BO33">
        <f t="shared" si="11"/>
        <v>0</v>
      </c>
      <c r="BP33">
        <f t="shared" si="12"/>
        <v>1</v>
      </c>
      <c r="BQ33">
        <f t="shared" si="1"/>
        <v>1</v>
      </c>
      <c r="BR33">
        <f t="shared" si="13"/>
        <v>1</v>
      </c>
      <c r="BS33" s="9">
        <f t="shared" si="14"/>
        <v>-1.8991075505317201E-2</v>
      </c>
      <c r="BT33" s="9">
        <f t="shared" si="15"/>
        <v>1.9460073554712499E-2</v>
      </c>
      <c r="BU33" s="9">
        <f t="shared" si="16"/>
        <v>4.689980493952986E-4</v>
      </c>
      <c r="BV33" s="12">
        <f t="shared" si="17"/>
        <v>1.8332035001584861E-4</v>
      </c>
      <c r="BX33" s="12">
        <f t="shared" si="18"/>
        <v>4.689980493952986E-4</v>
      </c>
      <c r="BY33" s="12">
        <f t="shared" si="19"/>
        <v>6.9129348594577922E-4</v>
      </c>
    </row>
    <row r="34" spans="1:77" x14ac:dyDescent="0.3">
      <c r="A34" s="1">
        <v>46072</v>
      </c>
      <c r="B34" s="8">
        <v>30.56</v>
      </c>
      <c r="C34" s="8">
        <v>155.41</v>
      </c>
      <c r="D34" s="9">
        <v>8.5442517829961394E-3</v>
      </c>
      <c r="E34" s="9">
        <v>8.4001527802342307E-3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30.56</v>
      </c>
      <c r="M34" s="8">
        <v>155.41</v>
      </c>
      <c r="N34" s="10">
        <v>5.0854057591622999</v>
      </c>
      <c r="O34" s="10">
        <v>5.0856511037897496</v>
      </c>
      <c r="P34" s="10">
        <v>5.0860503122359901</v>
      </c>
      <c r="Q34" s="10">
        <v>5.0867465974378696</v>
      </c>
      <c r="R34" s="8">
        <v>155.417497731814</v>
      </c>
      <c r="S34" s="8">
        <v>155.43052070848401</v>
      </c>
      <c r="T34" s="8">
        <v>155.45199578127699</v>
      </c>
      <c r="U34" s="9">
        <v>4.8243684171854802E-5</v>
      </c>
      <c r="V34" s="9">
        <v>1.32033677382768E-4</v>
      </c>
      <c r="W34" s="9">
        <v>2.7018922932159697E-4</v>
      </c>
      <c r="X34" s="10">
        <v>5.0854057591622999</v>
      </c>
      <c r="Y34" s="10">
        <v>5.08472288464342</v>
      </c>
      <c r="Z34" s="10">
        <v>5.0860503122359901</v>
      </c>
      <c r="AA34" s="10">
        <v>5.0867465974378696</v>
      </c>
      <c r="AB34" s="8">
        <v>155.38913135470301</v>
      </c>
      <c r="AC34" s="8">
        <v>155.43052070848401</v>
      </c>
      <c r="AD34" s="8">
        <v>155.45199578127699</v>
      </c>
      <c r="AE34" s="9">
        <v>-1.3429024230138901E-4</v>
      </c>
      <c r="AF34" s="9">
        <v>1.32033677382768E-4</v>
      </c>
      <c r="AG34" s="9">
        <v>3.8621657725742701E-3</v>
      </c>
      <c r="AZ34" s="9"/>
      <c r="BB34">
        <f t="shared" si="2"/>
        <v>0</v>
      </c>
      <c r="BC34">
        <f t="shared" si="3"/>
        <v>1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5.0797313592993061E-4</v>
      </c>
      <c r="BL34" s="9"/>
      <c r="BN34">
        <f t="shared" si="10"/>
        <v>1</v>
      </c>
      <c r="BO34">
        <f t="shared" si="11"/>
        <v>0</v>
      </c>
      <c r="BP34">
        <f t="shared" si="12"/>
        <v>1</v>
      </c>
      <c r="BQ34">
        <f t="shared" si="1"/>
        <v>1</v>
      </c>
      <c r="BR34">
        <f t="shared" si="13"/>
        <v>1</v>
      </c>
      <c r="BS34" s="9">
        <f t="shared" si="14"/>
        <v>-8.5442517829961394E-3</v>
      </c>
      <c r="BT34" s="9">
        <f t="shared" si="15"/>
        <v>8.4001527802342307E-3</v>
      </c>
      <c r="BU34" s="9">
        <f t="shared" si="16"/>
        <v>-1.4409900276190872E-4</v>
      </c>
      <c r="BV34" s="12">
        <f t="shared" si="17"/>
        <v>3.9221347253939887E-5</v>
      </c>
      <c r="BX34" s="12">
        <f t="shared" si="18"/>
        <v>-1.4409900276190872E-4</v>
      </c>
      <c r="BY34" s="12">
        <f t="shared" si="19"/>
        <v>5.471944831838705E-4</v>
      </c>
    </row>
    <row r="35" spans="1:77" x14ac:dyDescent="0.3">
      <c r="A35" s="1">
        <v>46073</v>
      </c>
      <c r="B35" s="8">
        <v>30.42</v>
      </c>
      <c r="C35" s="8">
        <v>154.75</v>
      </c>
      <c r="D35" s="9">
        <v>-4.5916774671728696E-3</v>
      </c>
      <c r="E35" s="9">
        <v>-4.2558743628150998E-3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30.42</v>
      </c>
      <c r="M35" s="8">
        <v>154.75</v>
      </c>
      <c r="N35" s="10">
        <v>5.0871137409598903</v>
      </c>
      <c r="O35" s="10">
        <v>5.0856511037897496</v>
      </c>
      <c r="P35" s="10">
        <v>5.0861565510092897</v>
      </c>
      <c r="Q35" s="10">
        <v>5.0867143788811404</v>
      </c>
      <c r="R35" s="8">
        <v>154.70550657728401</v>
      </c>
      <c r="S35" s="8">
        <v>154.717650498219</v>
      </c>
      <c r="T35" s="8">
        <v>154.73883149406001</v>
      </c>
      <c r="U35" s="9">
        <v>-2.8755942018596101E-4</v>
      </c>
      <c r="V35" s="9">
        <v>-2.09065482913373E-4</v>
      </c>
      <c r="W35" s="9">
        <v>-7.2173886798037199E-5</v>
      </c>
      <c r="X35" s="10">
        <v>5.0871137409598903</v>
      </c>
      <c r="Y35" s="10">
        <v>5.08472288464342</v>
      </c>
      <c r="Z35" s="10">
        <v>5.0861565510092897</v>
      </c>
      <c r="AA35" s="10">
        <v>5.0867143788811404</v>
      </c>
      <c r="AB35" s="8">
        <v>154.677270150852</v>
      </c>
      <c r="AC35" s="8">
        <v>154.717650498219</v>
      </c>
      <c r="AD35" s="8">
        <v>154.73883149406001</v>
      </c>
      <c r="AE35" s="9">
        <v>-4.70093346659096E-4</v>
      </c>
      <c r="AF35" s="9">
        <v>-2.09065482913373E-4</v>
      </c>
      <c r="AG35" s="9">
        <v>5.0475542309980697E-3</v>
      </c>
      <c r="AZ35" s="9"/>
      <c r="BB35">
        <f t="shared" si="2"/>
        <v>0</v>
      </c>
      <c r="BC35">
        <f t="shared" si="3"/>
        <v>1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5.0797313592993061E-4</v>
      </c>
      <c r="BL35" s="9"/>
      <c r="BN35">
        <f t="shared" si="10"/>
        <v>1</v>
      </c>
      <c r="BO35">
        <f t="shared" si="11"/>
        <v>0</v>
      </c>
      <c r="BP35">
        <f t="shared" si="12"/>
        <v>1</v>
      </c>
      <c r="BQ35">
        <f t="shared" si="1"/>
        <v>1</v>
      </c>
      <c r="BR35">
        <f t="shared" si="13"/>
        <v>1</v>
      </c>
      <c r="BS35" s="9">
        <f t="shared" si="14"/>
        <v>4.5916774671728696E-3</v>
      </c>
      <c r="BT35" s="9">
        <f t="shared" si="15"/>
        <v>-4.2558743628150998E-3</v>
      </c>
      <c r="BU35" s="9">
        <f t="shared" si="16"/>
        <v>3.3580310435776979E-4</v>
      </c>
      <c r="BV35" s="12">
        <f t="shared" si="17"/>
        <v>3.7502445161170968E-4</v>
      </c>
      <c r="BX35" s="12">
        <f t="shared" si="18"/>
        <v>3.3580310435776979E-4</v>
      </c>
      <c r="BY35" s="12">
        <f t="shared" si="19"/>
        <v>8.8299758754164029E-4</v>
      </c>
    </row>
    <row r="36" spans="1:77" x14ac:dyDescent="0.3">
      <c r="A36" s="1">
        <v>46076</v>
      </c>
      <c r="B36" s="8">
        <v>30.51</v>
      </c>
      <c r="C36" s="8">
        <v>155.18</v>
      </c>
      <c r="D36" s="9">
        <v>2.9542118974313801E-3</v>
      </c>
      <c r="E36" s="9">
        <v>2.7748219010977999E-3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30.51</v>
      </c>
      <c r="M36" s="8">
        <v>155.18</v>
      </c>
      <c r="N36" s="10">
        <v>5.0862012454932799</v>
      </c>
      <c r="O36" s="10">
        <v>5.0856511037897496</v>
      </c>
      <c r="P36" s="10">
        <v>5.0859850937527797</v>
      </c>
      <c r="Q36" s="10">
        <v>5.08654737693562</v>
      </c>
      <c r="R36" s="8">
        <v>155.16321517662499</v>
      </c>
      <c r="S36" s="8">
        <v>155.17863637129301</v>
      </c>
      <c r="T36" s="8">
        <v>155.19565569966301</v>
      </c>
      <c r="U36" s="9">
        <v>-1.08169423852177E-4</v>
      </c>
      <c r="V36" s="9">
        <v>-8.7874384443216193E-6</v>
      </c>
      <c r="W36" s="9">
        <v>1.008822656648E-4</v>
      </c>
      <c r="X36" s="10">
        <v>5.0862012454932799</v>
      </c>
      <c r="Y36" s="10">
        <v>5.08472288464342</v>
      </c>
      <c r="Z36" s="10">
        <v>5.0859850937527797</v>
      </c>
      <c r="AA36" s="10">
        <v>5.08654737693562</v>
      </c>
      <c r="AB36" s="8">
        <v>155.13489521047001</v>
      </c>
      <c r="AC36" s="8">
        <v>155.17863637129301</v>
      </c>
      <c r="AD36" s="8">
        <v>155.19565569966301</v>
      </c>
      <c r="AE36" s="9">
        <v>-2.9070335032546797E-4</v>
      </c>
      <c r="AF36" s="9">
        <v>-8.7874384443216193E-6</v>
      </c>
      <c r="AG36" s="9">
        <v>6.0346221634655899E-3</v>
      </c>
      <c r="AZ36" s="9"/>
      <c r="BB36">
        <f t="shared" si="2"/>
        <v>0</v>
      </c>
      <c r="BC36">
        <f t="shared" si="3"/>
        <v>1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5.0797313592993061E-4</v>
      </c>
      <c r="BL36" s="9"/>
      <c r="BN36">
        <f t="shared" si="10"/>
        <v>1</v>
      </c>
      <c r="BO36">
        <f t="shared" si="11"/>
        <v>0</v>
      </c>
      <c r="BP36">
        <f t="shared" si="12"/>
        <v>1</v>
      </c>
      <c r="BQ36">
        <f t="shared" si="1"/>
        <v>1</v>
      </c>
      <c r="BR36">
        <f t="shared" si="13"/>
        <v>1</v>
      </c>
      <c r="BS36" s="9">
        <f t="shared" si="14"/>
        <v>-2.9542118974313801E-3</v>
      </c>
      <c r="BT36" s="9">
        <f t="shared" si="15"/>
        <v>2.7748219010977999E-3</v>
      </c>
      <c r="BU36" s="9">
        <f t="shared" si="16"/>
        <v>-1.7938999633358016E-4</v>
      </c>
      <c r="BV36" s="12">
        <f t="shared" si="17"/>
        <v>1.9563445527812952E-4</v>
      </c>
      <c r="BX36" s="12">
        <f t="shared" si="18"/>
        <v>-1.7938999633358016E-4</v>
      </c>
      <c r="BY36" s="12">
        <f t="shared" si="19"/>
        <v>7.0360759120806013E-4</v>
      </c>
    </row>
    <row r="37" spans="1:77" x14ac:dyDescent="0.3">
      <c r="A37" s="1">
        <v>46077</v>
      </c>
      <c r="B37" s="8">
        <v>30.53</v>
      </c>
      <c r="C37" s="8">
        <v>155.22999999999999</v>
      </c>
      <c r="D37" s="9">
        <v>6.5530801820811195E-4</v>
      </c>
      <c r="E37" s="9">
        <v>3.2215457254862402E-4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30.53</v>
      </c>
      <c r="M37" s="8">
        <v>155.22999999999999</v>
      </c>
      <c r="N37" s="10">
        <v>5.0845070422535201</v>
      </c>
      <c r="O37" s="10">
        <v>5.0856511037897496</v>
      </c>
      <c r="P37" s="10">
        <v>5.0856567868782303</v>
      </c>
      <c r="Q37" s="10">
        <v>5.0864823000053896</v>
      </c>
      <c r="R37" s="8">
        <v>155.264928198701</v>
      </c>
      <c r="S37" s="8">
        <v>155.27512491227199</v>
      </c>
      <c r="T37" s="8">
        <v>155.29229141784401</v>
      </c>
      <c r="U37" s="9">
        <v>2.2498402180720701E-4</v>
      </c>
      <c r="V37" s="9">
        <v>2.9065486505574199E-4</v>
      </c>
      <c r="W37" s="9">
        <v>4.0120416731343102E-4</v>
      </c>
      <c r="X37" s="10">
        <v>5.0845070422535201</v>
      </c>
      <c r="Y37" s="10">
        <v>5.08472288464342</v>
      </c>
      <c r="Z37" s="10">
        <v>5.0856567868782303</v>
      </c>
      <c r="AA37" s="10">
        <v>5.0864823000053896</v>
      </c>
      <c r="AB37" s="8">
        <v>155.23658966816299</v>
      </c>
      <c r="AC37" s="8">
        <v>155.27512491227199</v>
      </c>
      <c r="AD37" s="8">
        <v>155.29229141784401</v>
      </c>
      <c r="AE37" s="9">
        <v>4.24500953340927E-5</v>
      </c>
      <c r="AF37" s="9">
        <v>2.9065486505574199E-4</v>
      </c>
      <c r="AG37" s="9">
        <v>6.7524062777996503E-3</v>
      </c>
      <c r="AZ37" s="9"/>
      <c r="BB37">
        <f t="shared" si="2"/>
        <v>0</v>
      </c>
      <c r="BC37">
        <f t="shared" si="3"/>
        <v>1</v>
      </c>
      <c r="BD37">
        <f t="shared" si="4"/>
        <v>0</v>
      </c>
      <c r="BE37">
        <f t="shared" si="0"/>
        <v>1</v>
      </c>
      <c r="BF37">
        <f t="shared" si="5"/>
        <v>0</v>
      </c>
      <c r="BG37" s="9">
        <f t="shared" si="6"/>
        <v>0</v>
      </c>
      <c r="BH37" s="9">
        <f t="shared" si="7"/>
        <v>0</v>
      </c>
      <c r="BI37" s="9">
        <f t="shared" si="8"/>
        <v>0</v>
      </c>
      <c r="BJ37" s="12">
        <f t="shared" si="9"/>
        <v>5.0797313592993061E-4</v>
      </c>
      <c r="BL37" s="9"/>
      <c r="BN37">
        <f t="shared" si="10"/>
        <v>1</v>
      </c>
      <c r="BO37">
        <f t="shared" si="11"/>
        <v>0</v>
      </c>
      <c r="BP37">
        <f t="shared" si="12"/>
        <v>1</v>
      </c>
      <c r="BQ37">
        <f t="shared" si="1"/>
        <v>1</v>
      </c>
      <c r="BR37">
        <f t="shared" si="13"/>
        <v>1</v>
      </c>
      <c r="BS37" s="9">
        <f t="shared" si="14"/>
        <v>-6.5530801820811195E-4</v>
      </c>
      <c r="BT37" s="9">
        <f t="shared" si="15"/>
        <v>3.2215457254862402E-4</v>
      </c>
      <c r="BU37" s="9">
        <f t="shared" si="16"/>
        <v>-3.3315344565948792E-4</v>
      </c>
      <c r="BV37" s="12">
        <f t="shared" si="17"/>
        <v>-1.3751899038135841E-4</v>
      </c>
      <c r="BX37" s="12">
        <f t="shared" si="18"/>
        <v>-3.3315344565948792E-4</v>
      </c>
      <c r="BY37" s="12">
        <f t="shared" si="19"/>
        <v>3.7045414554857221E-4</v>
      </c>
    </row>
    <row r="38" spans="1:77" x14ac:dyDescent="0.3">
      <c r="A38" s="1">
        <v>46078</v>
      </c>
      <c r="B38" s="8">
        <v>30.38</v>
      </c>
      <c r="C38" s="8">
        <v>154.61000000000001</v>
      </c>
      <c r="D38" s="9">
        <v>-4.9253095791597099E-3</v>
      </c>
      <c r="E38" s="9">
        <v>-4.0020709238485601E-3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30.38</v>
      </c>
      <c r="M38" s="8">
        <v>154.61000000000001</v>
      </c>
      <c r="N38" s="10">
        <v>5.0892034233047996</v>
      </c>
      <c r="O38" s="10">
        <v>5.0856511037897496</v>
      </c>
      <c r="P38" s="10">
        <v>5.0860808379072999</v>
      </c>
      <c r="Q38" s="10">
        <v>5.0865867542922301</v>
      </c>
      <c r="R38" s="8">
        <v>154.50208053313199</v>
      </c>
      <c r="S38" s="8">
        <v>154.50225318535999</v>
      </c>
      <c r="T38" s="8">
        <v>154.527332274164</v>
      </c>
      <c r="U38" s="9">
        <v>-6.9825463350378495E-4</v>
      </c>
      <c r="V38" s="9">
        <v>-6.9713715902584004E-4</v>
      </c>
      <c r="W38" s="9">
        <v>-5.3482849967296598E-4</v>
      </c>
      <c r="X38" s="10">
        <v>5.0892034233047996</v>
      </c>
      <c r="Y38" s="10">
        <v>5.08472288464342</v>
      </c>
      <c r="Z38" s="10">
        <v>5.0860808379072999</v>
      </c>
      <c r="AA38" s="10">
        <v>5.0865867542922301</v>
      </c>
      <c r="AB38" s="8">
        <v>154.47388123546699</v>
      </c>
      <c r="AC38" s="8">
        <v>154.50225318535999</v>
      </c>
      <c r="AD38" s="8">
        <v>154.527332274164</v>
      </c>
      <c r="AE38" s="9">
        <v>-8.8078855997699996E-4</v>
      </c>
      <c r="AF38" s="9">
        <v>-6.9713715902584004E-4</v>
      </c>
      <c r="AG38" s="9">
        <v>6.1697243766382403E-3</v>
      </c>
      <c r="AZ38" s="9"/>
      <c r="BB38">
        <f t="shared" si="2"/>
        <v>0</v>
      </c>
      <c r="BC38">
        <f t="shared" si="3"/>
        <v>1</v>
      </c>
      <c r="BD38">
        <f t="shared" si="4"/>
        <v>0</v>
      </c>
      <c r="BE38">
        <f t="shared" si="0"/>
        <v>1</v>
      </c>
      <c r="BF38">
        <f t="shared" si="5"/>
        <v>0</v>
      </c>
      <c r="BG38" s="9">
        <f t="shared" si="6"/>
        <v>0</v>
      </c>
      <c r="BH38" s="9">
        <f t="shared" si="7"/>
        <v>0</v>
      </c>
      <c r="BI38" s="9">
        <f t="shared" si="8"/>
        <v>0</v>
      </c>
      <c r="BJ38" s="12">
        <f t="shared" si="9"/>
        <v>5.0797313592993061E-4</v>
      </c>
      <c r="BL38" s="9"/>
      <c r="BN38">
        <f t="shared" si="10"/>
        <v>1</v>
      </c>
      <c r="BO38">
        <f t="shared" si="11"/>
        <v>0</v>
      </c>
      <c r="BP38">
        <f t="shared" si="12"/>
        <v>1</v>
      </c>
      <c r="BQ38">
        <f t="shared" si="1"/>
        <v>1</v>
      </c>
      <c r="BR38">
        <f t="shared" si="13"/>
        <v>1</v>
      </c>
      <c r="BS38" s="9">
        <f t="shared" si="14"/>
        <v>4.9253095791597099E-3</v>
      </c>
      <c r="BT38" s="9">
        <f t="shared" si="15"/>
        <v>-4.0020709238485601E-3</v>
      </c>
      <c r="BU38" s="9">
        <f t="shared" si="16"/>
        <v>9.232386553111498E-4</v>
      </c>
      <c r="BV38" s="12">
        <f t="shared" si="17"/>
        <v>7.8571966492979139E-4</v>
      </c>
      <c r="BX38" s="12">
        <f t="shared" si="18"/>
        <v>9.232386553111498E-4</v>
      </c>
      <c r="BY38" s="12">
        <f t="shared" si="19"/>
        <v>1.293692800859722E-3</v>
      </c>
    </row>
    <row r="39" spans="1:77" x14ac:dyDescent="0.3">
      <c r="A39" s="1">
        <v>46079</v>
      </c>
      <c r="B39" s="8">
        <v>30.5</v>
      </c>
      <c r="C39" s="8">
        <v>155.19999999999999</v>
      </c>
      <c r="D39" s="9">
        <v>3.9421864457391204E-3</v>
      </c>
      <c r="E39" s="9">
        <v>3.8087906346149E-3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30.5</v>
      </c>
      <c r="M39" s="8">
        <v>155.19999999999999</v>
      </c>
      <c r="N39" s="10">
        <v>5.0885245901639298</v>
      </c>
      <c r="O39" s="10">
        <v>5.0856511037897496</v>
      </c>
      <c r="P39" s="10">
        <v>5.0862519421062</v>
      </c>
      <c r="Q39" s="10">
        <v>5.0865757543632002</v>
      </c>
      <c r="R39" s="8">
        <v>155.11235866558701</v>
      </c>
      <c r="S39" s="8">
        <v>155.125465556172</v>
      </c>
      <c r="T39" s="8">
        <v>155.14089600591299</v>
      </c>
      <c r="U39" s="9">
        <v>-5.6485882237976303E-4</v>
      </c>
      <c r="V39" s="9">
        <v>-4.8036306093600698E-4</v>
      </c>
      <c r="W39" s="9">
        <v>-3.8089723631026101E-4</v>
      </c>
      <c r="X39" s="10">
        <v>5.0885245901639298</v>
      </c>
      <c r="Y39" s="10">
        <v>5.08472288464342</v>
      </c>
      <c r="Z39" s="10">
        <v>5.0862519421062</v>
      </c>
      <c r="AA39" s="10">
        <v>5.0865757543632002</v>
      </c>
      <c r="AB39" s="8">
        <v>155.084047981624</v>
      </c>
      <c r="AC39" s="8">
        <v>155.125465556172</v>
      </c>
      <c r="AD39" s="8">
        <v>155.14089600591299</v>
      </c>
      <c r="AE39" s="9">
        <v>-7.4739274885284599E-4</v>
      </c>
      <c r="AF39" s="9">
        <v>-4.8036306093600698E-4</v>
      </c>
      <c r="AG39" s="9">
        <v>3.5130612749272802E-3</v>
      </c>
      <c r="AZ39" s="9"/>
      <c r="BB39">
        <f t="shared" si="2"/>
        <v>0</v>
      </c>
      <c r="BC39">
        <f t="shared" si="3"/>
        <v>1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5.0797313592993061E-4</v>
      </c>
      <c r="BL39" s="9"/>
      <c r="BN39">
        <f t="shared" si="10"/>
        <v>1</v>
      </c>
      <c r="BO39">
        <f t="shared" si="11"/>
        <v>0</v>
      </c>
      <c r="BP39">
        <f t="shared" si="12"/>
        <v>1</v>
      </c>
      <c r="BQ39">
        <f t="shared" si="1"/>
        <v>1</v>
      </c>
      <c r="BR39">
        <f t="shared" si="13"/>
        <v>1</v>
      </c>
      <c r="BS39" s="9">
        <f t="shared" si="14"/>
        <v>-3.9421864457391204E-3</v>
      </c>
      <c r="BT39" s="9">
        <f t="shared" si="15"/>
        <v>3.8087906346149E-3</v>
      </c>
      <c r="BU39" s="9">
        <f t="shared" si="16"/>
        <v>-1.3339581112422044E-4</v>
      </c>
      <c r="BV39" s="12">
        <f t="shared" si="17"/>
        <v>6.5232385380557096E-4</v>
      </c>
      <c r="BX39" s="12">
        <f t="shared" si="18"/>
        <v>-1.3339581112422044E-4</v>
      </c>
      <c r="BY39" s="12">
        <f t="shared" si="19"/>
        <v>1.1602969897355016E-3</v>
      </c>
    </row>
    <row r="40" spans="1:77" x14ac:dyDescent="0.3">
      <c r="A40" s="1">
        <v>46080</v>
      </c>
      <c r="B40" s="8">
        <v>31</v>
      </c>
      <c r="C40" s="8">
        <v>157.59</v>
      </c>
      <c r="D40" s="9">
        <v>1.6260520871780301E-2</v>
      </c>
      <c r="E40" s="9">
        <v>1.5282115884861501E-2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31</v>
      </c>
      <c r="M40" s="8">
        <v>157.59</v>
      </c>
      <c r="N40" s="10">
        <v>5.0835483870967701</v>
      </c>
      <c r="O40" s="10">
        <v>5.0856511037897496</v>
      </c>
      <c r="P40" s="10">
        <v>5.0860861501550199</v>
      </c>
      <c r="Q40" s="10">
        <v>5.0863115040783704</v>
      </c>
      <c r="R40" s="8">
        <v>157.655184217482</v>
      </c>
      <c r="S40" s="8">
        <v>157.673810205292</v>
      </c>
      <c r="T40" s="8">
        <v>157.68384838525901</v>
      </c>
      <c r="U40" s="9">
        <v>4.1354616453905202E-4</v>
      </c>
      <c r="V40" s="9">
        <v>5.3168301944988498E-4</v>
      </c>
      <c r="W40" s="9">
        <v>5.9534521186555098E-4</v>
      </c>
      <c r="X40" s="10">
        <v>5.0835483870967701</v>
      </c>
      <c r="Y40" s="10">
        <v>5.08472288464342</v>
      </c>
      <c r="Z40" s="10">
        <v>5.0860861501550199</v>
      </c>
      <c r="AA40" s="10">
        <v>5.0863115040783704</v>
      </c>
      <c r="AB40" s="8">
        <v>157.626409423946</v>
      </c>
      <c r="AC40" s="8">
        <v>157.673810205292</v>
      </c>
      <c r="AD40" s="8">
        <v>157.68384838525901</v>
      </c>
      <c r="AE40" s="9">
        <v>2.3101223806597801E-4</v>
      </c>
      <c r="AF40" s="9">
        <v>5.3168301944988498E-4</v>
      </c>
      <c r="AG40" s="9">
        <v>2.6571590008589701E-3</v>
      </c>
      <c r="AZ40" s="9"/>
      <c r="BB40">
        <f t="shared" si="2"/>
        <v>0</v>
      </c>
      <c r="BC40">
        <f t="shared" si="3"/>
        <v>1</v>
      </c>
      <c r="BD40">
        <f t="shared" si="4"/>
        <v>0</v>
      </c>
      <c r="BE40">
        <f t="shared" si="0"/>
        <v>1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5.0797313592993061E-4</v>
      </c>
      <c r="BL40" s="9"/>
      <c r="BN40">
        <f t="shared" si="10"/>
        <v>1</v>
      </c>
      <c r="BO40">
        <f t="shared" si="11"/>
        <v>0</v>
      </c>
      <c r="BP40">
        <f t="shared" si="12"/>
        <v>1</v>
      </c>
      <c r="BQ40">
        <f t="shared" si="1"/>
        <v>1</v>
      </c>
      <c r="BR40">
        <f t="shared" si="13"/>
        <v>1</v>
      </c>
      <c r="BS40" s="9">
        <f t="shared" si="14"/>
        <v>-1.6260520871780301E-2</v>
      </c>
      <c r="BT40" s="9">
        <f t="shared" si="15"/>
        <v>1.5282115884861501E-2</v>
      </c>
      <c r="BU40" s="9">
        <f t="shared" si="16"/>
        <v>-9.7840498691880058E-4</v>
      </c>
      <c r="BV40" s="12">
        <f t="shared" si="17"/>
        <v>-3.2608113311322962E-4</v>
      </c>
      <c r="BX40" s="12">
        <f t="shared" si="18"/>
        <v>-9.7840498691880058E-4</v>
      </c>
      <c r="BY40" s="12">
        <f t="shared" si="19"/>
        <v>1.8189200281670099E-4</v>
      </c>
    </row>
    <row r="41" spans="1:77" x14ac:dyDescent="0.3">
      <c r="A41" s="1">
        <v>46083</v>
      </c>
      <c r="B41" s="8">
        <v>31.63</v>
      </c>
      <c r="C41" s="8">
        <v>160.88999999999999</v>
      </c>
      <c r="D41" s="9">
        <v>2.0118832832411102E-2</v>
      </c>
      <c r="E41" s="9">
        <v>2.0724178028963501E-2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31.63</v>
      </c>
      <c r="M41" s="8">
        <v>160.88999999999999</v>
      </c>
      <c r="N41" s="10">
        <v>5.0866266202971797</v>
      </c>
      <c r="O41" s="10">
        <v>5.0856511037897496</v>
      </c>
      <c r="P41" s="10">
        <v>5.0861023206649598</v>
      </c>
      <c r="Q41" s="10">
        <v>5.0864172339616802</v>
      </c>
      <c r="R41" s="8">
        <v>160.859144412869</v>
      </c>
      <c r="S41" s="8">
        <v>160.87290492940301</v>
      </c>
      <c r="T41" s="8">
        <v>160.880032873998</v>
      </c>
      <c r="U41" s="9">
        <v>-1.9179903201333901E-4</v>
      </c>
      <c r="V41" s="9">
        <v>-1.06258803303047E-4</v>
      </c>
      <c r="W41" s="9">
        <v>-6.1951859937161807E-5</v>
      </c>
      <c r="X41" s="10">
        <v>5.0866266202971797</v>
      </c>
      <c r="Y41" s="10">
        <v>5.08472288464342</v>
      </c>
      <c r="Z41" s="10">
        <v>5.0861023206649598</v>
      </c>
      <c r="AA41" s="10">
        <v>5.0864172339616802</v>
      </c>
      <c r="AB41" s="8">
        <v>160.82978484127099</v>
      </c>
      <c r="AC41" s="8">
        <v>160.87290492940301</v>
      </c>
      <c r="AD41" s="8">
        <v>160.880032873998</v>
      </c>
      <c r="AE41" s="9">
        <v>-3.7433295848662802E-4</v>
      </c>
      <c r="AF41" s="9">
        <v>-1.06258803303047E-4</v>
      </c>
      <c r="AG41" s="9">
        <v>1.04168215056573E-3</v>
      </c>
      <c r="AZ41" s="9"/>
      <c r="BB41">
        <f t="shared" si="2"/>
        <v>0</v>
      </c>
      <c r="BC41">
        <f t="shared" si="3"/>
        <v>1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5.0797313592993061E-4</v>
      </c>
      <c r="BL41" s="9"/>
      <c r="BN41">
        <f t="shared" si="10"/>
        <v>0</v>
      </c>
      <c r="BO41">
        <f t="shared" si="11"/>
        <v>0</v>
      </c>
      <c r="BP41">
        <f t="shared" si="12"/>
        <v>1</v>
      </c>
      <c r="BQ41">
        <f t="shared" si="1"/>
        <v>1</v>
      </c>
      <c r="BR41">
        <f t="shared" si="13"/>
        <v>1</v>
      </c>
      <c r="BS41" s="9">
        <f t="shared" si="14"/>
        <v>-2.0118832832411102E-2</v>
      </c>
      <c r="BT41" s="9">
        <f t="shared" si="15"/>
        <v>2.0724178028963501E-2</v>
      </c>
      <c r="BU41" s="9">
        <f t="shared" si="16"/>
        <v>6.0534519655239954E-4</v>
      </c>
      <c r="BV41" s="12">
        <f t="shared" si="17"/>
        <v>2.7926406343916992E-4</v>
      </c>
      <c r="BX41" s="12">
        <f t="shared" si="18"/>
        <v>6.0534519655239954E-4</v>
      </c>
      <c r="BY41" s="12">
        <f t="shared" si="19"/>
        <v>7.8723719936910053E-4</v>
      </c>
    </row>
    <row r="42" spans="1:77" x14ac:dyDescent="0.3">
      <c r="A42" s="1">
        <v>46084</v>
      </c>
      <c r="B42" s="8">
        <v>31.33</v>
      </c>
      <c r="C42" s="8">
        <v>159.38</v>
      </c>
      <c r="D42" s="9">
        <v>-9.5299323534571E-3</v>
      </c>
      <c r="E42" s="9">
        <v>-9.4296136933413599E-3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31.33</v>
      </c>
      <c r="M42" s="8">
        <v>159.38</v>
      </c>
      <c r="N42" s="10">
        <v>5.0871369294605797</v>
      </c>
      <c r="O42" s="10">
        <v>5.0856511037897496</v>
      </c>
      <c r="P42" s="10">
        <v>5.0864406352053599</v>
      </c>
      <c r="Q42" s="10">
        <v>5.0863941236935499</v>
      </c>
      <c r="R42" s="8">
        <v>159.333449081732</v>
      </c>
      <c r="S42" s="8">
        <v>159.34758570643299</v>
      </c>
      <c r="T42" s="8">
        <v>159.35745194001899</v>
      </c>
      <c r="U42" s="9">
        <v>-2.9211769212904E-4</v>
      </c>
      <c r="V42" s="9">
        <v>-2.03398106296355E-4</v>
      </c>
      <c r="W42" s="9">
        <v>-1.41483593350508E-4</v>
      </c>
      <c r="X42" s="10">
        <v>5.0871369294605797</v>
      </c>
      <c r="Y42" s="10">
        <v>5.08472288464342</v>
      </c>
      <c r="Z42" s="10">
        <v>5.0864406352053599</v>
      </c>
      <c r="AA42" s="10">
        <v>5.0863941236935499</v>
      </c>
      <c r="AB42" s="8">
        <v>159.30436797587799</v>
      </c>
      <c r="AC42" s="8">
        <v>159.34758570643299</v>
      </c>
      <c r="AD42" s="8">
        <v>159.35745194001899</v>
      </c>
      <c r="AE42" s="9">
        <v>-4.7465161860228298E-4</v>
      </c>
      <c r="AF42" s="9">
        <v>-2.03398106296355E-4</v>
      </c>
      <c r="AG42" s="9">
        <v>4.9534744919714805E-4</v>
      </c>
      <c r="AZ42" s="9"/>
      <c r="BB42">
        <f t="shared" si="2"/>
        <v>0</v>
      </c>
      <c r="BC42">
        <f t="shared" si="3"/>
        <v>1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5.0797313592993061E-4</v>
      </c>
      <c r="BL42" s="9"/>
      <c r="BN42">
        <f t="shared" si="10"/>
        <v>0</v>
      </c>
      <c r="BO42">
        <f t="shared" si="11"/>
        <v>0</v>
      </c>
      <c r="BP42">
        <f t="shared" si="12"/>
        <v>1</v>
      </c>
      <c r="BQ42">
        <f t="shared" si="1"/>
        <v>1</v>
      </c>
      <c r="BR42">
        <f t="shared" si="13"/>
        <v>1</v>
      </c>
      <c r="BS42" s="9">
        <f t="shared" si="14"/>
        <v>9.5299323534571E-3</v>
      </c>
      <c r="BT42" s="9">
        <f t="shared" si="15"/>
        <v>-9.4296136933413599E-3</v>
      </c>
      <c r="BU42" s="9">
        <f t="shared" si="16"/>
        <v>1.0031866011574013E-4</v>
      </c>
      <c r="BV42" s="12">
        <f t="shared" si="17"/>
        <v>3.7958272355491005E-4</v>
      </c>
      <c r="BX42" s="12">
        <f t="shared" si="18"/>
        <v>1.0031866011574013E-4</v>
      </c>
      <c r="BY42" s="12">
        <f t="shared" si="19"/>
        <v>8.8755585948484066E-4</v>
      </c>
    </row>
    <row r="43" spans="1:77" x14ac:dyDescent="0.3">
      <c r="A43" s="1">
        <v>46085</v>
      </c>
      <c r="B43" s="8">
        <v>31.22</v>
      </c>
      <c r="C43" s="8">
        <v>158.85</v>
      </c>
      <c r="D43" s="9">
        <v>-3.5171898768143399E-3</v>
      </c>
      <c r="E43" s="9">
        <v>-3.3309272540769301E-3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31.22</v>
      </c>
      <c r="M43" s="8">
        <v>158.85</v>
      </c>
      <c r="N43" s="10">
        <v>5.0880845611787304</v>
      </c>
      <c r="O43" s="10">
        <v>5.0856511037897496</v>
      </c>
      <c r="P43" s="10">
        <v>5.0866352299370998</v>
      </c>
      <c r="Q43" s="10">
        <v>5.0863562391256902</v>
      </c>
      <c r="R43" s="8">
        <v>158.77402746031601</v>
      </c>
      <c r="S43" s="8">
        <v>158.79867663111099</v>
      </c>
      <c r="T43" s="8">
        <v>158.79722454171201</v>
      </c>
      <c r="U43" s="9">
        <v>-4.78380314866455E-4</v>
      </c>
      <c r="V43" s="9">
        <v>-3.23145494446053E-4</v>
      </c>
      <c r="W43" s="9">
        <v>-3.3228975225039901E-4</v>
      </c>
      <c r="X43" s="10">
        <v>5.0880845611787304</v>
      </c>
      <c r="Y43" s="10">
        <v>5.08472288464342</v>
      </c>
      <c r="Z43" s="10">
        <v>5.0866352299370998</v>
      </c>
      <c r="AA43" s="10">
        <v>5.0863562391256902</v>
      </c>
      <c r="AB43" s="8">
        <v>158.745048458567</v>
      </c>
      <c r="AC43" s="8">
        <v>158.79867663111099</v>
      </c>
      <c r="AD43" s="8">
        <v>158.79722454171201</v>
      </c>
      <c r="AE43" s="9">
        <v>-6.6091424133964496E-4</v>
      </c>
      <c r="AF43" s="9">
        <v>-3.23145494446053E-4</v>
      </c>
      <c r="AG43" s="9">
        <v>8.6544247525110205E-4</v>
      </c>
      <c r="AZ43" s="9"/>
      <c r="BB43">
        <f t="shared" si="2"/>
        <v>0</v>
      </c>
      <c r="BC43">
        <f t="shared" si="3"/>
        <v>1</v>
      </c>
      <c r="BD43">
        <f t="shared" si="4"/>
        <v>0</v>
      </c>
      <c r="BE43">
        <f t="shared" si="0"/>
        <v>1</v>
      </c>
      <c r="BF43">
        <f t="shared" si="5"/>
        <v>0</v>
      </c>
      <c r="BG43" s="9">
        <f t="shared" si="6"/>
        <v>0</v>
      </c>
      <c r="BH43" s="9">
        <f t="shared" si="7"/>
        <v>0</v>
      </c>
      <c r="BI43" s="9">
        <f t="shared" si="8"/>
        <v>0</v>
      </c>
      <c r="BJ43" s="12">
        <f t="shared" si="9"/>
        <v>5.0797313592993061E-4</v>
      </c>
      <c r="BL43" s="9"/>
      <c r="BN43">
        <f t="shared" si="10"/>
        <v>0</v>
      </c>
      <c r="BO43">
        <f t="shared" si="11"/>
        <v>0</v>
      </c>
      <c r="BP43">
        <f t="shared" si="12"/>
        <v>1</v>
      </c>
      <c r="BQ43">
        <f t="shared" si="1"/>
        <v>1</v>
      </c>
      <c r="BR43">
        <f t="shared" si="13"/>
        <v>1</v>
      </c>
      <c r="BS43" s="9">
        <f t="shared" si="14"/>
        <v>3.5171898768143399E-3</v>
      </c>
      <c r="BT43" s="9">
        <f t="shared" si="15"/>
        <v>-3.3309272540769301E-3</v>
      </c>
      <c r="BU43" s="9">
        <f t="shared" si="16"/>
        <v>1.8626262273740979E-4</v>
      </c>
      <c r="BV43" s="12">
        <f t="shared" si="17"/>
        <v>5.6584534629231984E-4</v>
      </c>
      <c r="BX43" s="12">
        <f t="shared" si="18"/>
        <v>1.8626262273740979E-4</v>
      </c>
      <c r="BY43" s="12">
        <f t="shared" si="19"/>
        <v>1.0738184822222505E-3</v>
      </c>
    </row>
    <row r="44" spans="1:77" x14ac:dyDescent="0.3">
      <c r="A44" s="1">
        <v>46086</v>
      </c>
      <c r="B44" s="8">
        <v>31.38</v>
      </c>
      <c r="C44" s="8">
        <v>159.56</v>
      </c>
      <c r="D44" s="9">
        <v>5.1118322176005697E-3</v>
      </c>
      <c r="E44" s="9">
        <v>4.4596663216807499E-3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31.38</v>
      </c>
      <c r="M44" s="8">
        <v>159.56</v>
      </c>
      <c r="N44" s="10">
        <v>5.0847673677501497</v>
      </c>
      <c r="O44" s="10">
        <v>5.0856511037897496</v>
      </c>
      <c r="P44" s="10">
        <v>5.0865713907958803</v>
      </c>
      <c r="Q44" s="10">
        <v>5.0863108515159396</v>
      </c>
      <c r="R44" s="8">
        <v>159.587731636922</v>
      </c>
      <c r="S44" s="8">
        <v>159.61861351542601</v>
      </c>
      <c r="T44" s="8">
        <v>159.609858783764</v>
      </c>
      <c r="U44" s="9">
        <v>1.73785581053275E-4</v>
      </c>
      <c r="V44" s="9">
        <v>3.6727721472033201E-4</v>
      </c>
      <c r="W44" s="9">
        <v>3.1242789879842397E-4</v>
      </c>
      <c r="X44" s="10">
        <v>5.0847673677501497</v>
      </c>
      <c r="Y44" s="10">
        <v>5.08472288464342</v>
      </c>
      <c r="Z44" s="10">
        <v>5.0865713907958803</v>
      </c>
      <c r="AA44" s="10">
        <v>5.0863108515159396</v>
      </c>
      <c r="AB44" s="8">
        <v>159.55860412011</v>
      </c>
      <c r="AC44" s="8">
        <v>159.61861351542601</v>
      </c>
      <c r="AD44" s="8">
        <v>159.609858783764</v>
      </c>
      <c r="AE44" s="9">
        <v>-8.7483454199123403E-6</v>
      </c>
      <c r="AF44" s="9">
        <v>3.6727721472033201E-4</v>
      </c>
      <c r="AG44" s="9">
        <v>-3.86670664178491E-4</v>
      </c>
      <c r="AZ44" s="9"/>
      <c r="BB44">
        <f t="shared" si="2"/>
        <v>0</v>
      </c>
      <c r="BC44">
        <f t="shared" si="3"/>
        <v>0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5.0797313592993061E-4</v>
      </c>
      <c r="BL44" s="9"/>
      <c r="BN44">
        <f t="shared" si="10"/>
        <v>0</v>
      </c>
      <c r="BO44">
        <f t="shared" si="11"/>
        <v>1</v>
      </c>
      <c r="BP44">
        <f t="shared" si="12"/>
        <v>1</v>
      </c>
      <c r="BQ44">
        <f t="shared" si="1"/>
        <v>1</v>
      </c>
      <c r="BR44">
        <f t="shared" si="13"/>
        <v>1</v>
      </c>
      <c r="BS44" s="9">
        <f t="shared" si="14"/>
        <v>-5.1118322176005697E-3</v>
      </c>
      <c r="BT44" s="9">
        <f t="shared" si="15"/>
        <v>4.4596663216807499E-3</v>
      </c>
      <c r="BU44" s="9">
        <f t="shared" si="16"/>
        <v>-6.5216589591981979E-4</v>
      </c>
      <c r="BV44" s="12">
        <f t="shared" si="17"/>
        <v>-8.6320549627499953E-5</v>
      </c>
      <c r="BX44" s="12">
        <f t="shared" si="18"/>
        <v>-6.5216589591981979E-4</v>
      </c>
      <c r="BY44" s="12">
        <f t="shared" si="19"/>
        <v>4.2165258630243066E-4</v>
      </c>
    </row>
    <row r="45" spans="1:77" x14ac:dyDescent="0.3">
      <c r="A45" s="1">
        <v>46087</v>
      </c>
      <c r="B45" s="8">
        <v>31.37</v>
      </c>
      <c r="C45" s="8">
        <v>159.62</v>
      </c>
      <c r="D45" s="9">
        <v>-3.1872510229963801E-4</v>
      </c>
      <c r="E45" s="9">
        <v>3.75963410656863E-4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31.37</v>
      </c>
      <c r="M45" s="8">
        <v>159.62</v>
      </c>
      <c r="N45" s="10">
        <v>5.0883009244501096</v>
      </c>
      <c r="O45" s="10">
        <v>5.0856511037897496</v>
      </c>
      <c r="P45" s="10">
        <v>5.0866901091449002</v>
      </c>
      <c r="Q45" s="10">
        <v>5.0864233300770998</v>
      </c>
      <c r="R45" s="8">
        <v>159.53687512588399</v>
      </c>
      <c r="S45" s="8">
        <v>159.56574452926699</v>
      </c>
      <c r="T45" s="8">
        <v>159.55757141205501</v>
      </c>
      <c r="U45" s="9">
        <v>-5.2090293190331499E-4</v>
      </c>
      <c r="V45" s="9">
        <v>-3.3996174444179999E-4</v>
      </c>
      <c r="W45" s="9">
        <v>-3.91184057606252E-4</v>
      </c>
      <c r="X45" s="10">
        <v>5.0883009244501096</v>
      </c>
      <c r="Y45" s="10">
        <v>5.08472288464342</v>
      </c>
      <c r="Z45" s="10">
        <v>5.0866901091449002</v>
      </c>
      <c r="AA45" s="10">
        <v>5.0864233300770998</v>
      </c>
      <c r="AB45" s="8">
        <v>159.50775689126399</v>
      </c>
      <c r="AC45" s="8">
        <v>159.56574452926699</v>
      </c>
      <c r="AD45" s="8">
        <v>159.55757141205501</v>
      </c>
      <c r="AE45" s="9">
        <v>-7.0343685837663203E-4</v>
      </c>
      <c r="AF45" s="9">
        <v>-3.3996174444179999E-4</v>
      </c>
      <c r="AG45" s="9">
        <v>-2.91082356434071E-5</v>
      </c>
      <c r="AZ45" s="9"/>
      <c r="BB45">
        <f t="shared" si="2"/>
        <v>0</v>
      </c>
      <c r="BC45">
        <f t="shared" si="3"/>
        <v>0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5.0797313592993061E-4</v>
      </c>
      <c r="BL45" s="9"/>
      <c r="BN45">
        <f t="shared" si="10"/>
        <v>0</v>
      </c>
      <c r="BO45">
        <f t="shared" si="11"/>
        <v>1</v>
      </c>
      <c r="BP45">
        <f t="shared" si="12"/>
        <v>0</v>
      </c>
      <c r="BQ45">
        <f t="shared" si="1"/>
        <v>1</v>
      </c>
      <c r="BR45">
        <f t="shared" si="13"/>
        <v>0</v>
      </c>
      <c r="BS45" s="9">
        <f t="shared" si="14"/>
        <v>0</v>
      </c>
      <c r="BT45" s="9">
        <f t="shared" si="15"/>
        <v>0</v>
      </c>
      <c r="BU45" s="9">
        <f t="shared" si="16"/>
        <v>0</v>
      </c>
      <c r="BV45" s="12">
        <f t="shared" si="17"/>
        <v>-8.6320549627499953E-5</v>
      </c>
      <c r="BX45" s="12">
        <f t="shared" si="18"/>
        <v>0</v>
      </c>
      <c r="BY45" s="12">
        <f t="shared" si="19"/>
        <v>4.2165258630243066E-4</v>
      </c>
    </row>
    <row r="46" spans="1:77" x14ac:dyDescent="0.3">
      <c r="A46" s="1">
        <v>46090</v>
      </c>
      <c r="B46" s="8">
        <v>31.28</v>
      </c>
      <c r="C46" s="8">
        <v>159.08000000000001</v>
      </c>
      <c r="D46" s="9">
        <v>-2.87310652547644E-3</v>
      </c>
      <c r="E46" s="9">
        <v>-3.3887701083728599E-3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31.28</v>
      </c>
      <c r="M46" s="8">
        <v>159.08000000000001</v>
      </c>
      <c r="N46" s="10">
        <v>5.0856777493606096</v>
      </c>
      <c r="O46" s="10">
        <v>5.0856511037897496</v>
      </c>
      <c r="P46" s="10">
        <v>5.0866377595316399</v>
      </c>
      <c r="Q46" s="10">
        <v>5.0863114266422098</v>
      </c>
      <c r="R46" s="8">
        <v>159.07916652654299</v>
      </c>
      <c r="S46" s="8">
        <v>159.11166661405201</v>
      </c>
      <c r="T46" s="8">
        <v>159.103321764811</v>
      </c>
      <c r="U46" s="9">
        <v>-5.2393490069910498E-6</v>
      </c>
      <c r="V46" s="9">
        <v>1.99041128224629E-4</v>
      </c>
      <c r="W46" s="9">
        <v>1.4659325777462899E-4</v>
      </c>
      <c r="X46" s="10">
        <v>5.0856777493606096</v>
      </c>
      <c r="Y46" s="10">
        <v>5.08472288464342</v>
      </c>
      <c r="Z46" s="10">
        <v>5.0866377595316399</v>
      </c>
      <c r="AA46" s="10">
        <v>5.0863114266422098</v>
      </c>
      <c r="AB46" s="8">
        <v>159.05013183164601</v>
      </c>
      <c r="AC46" s="8">
        <v>159.11166661405201</v>
      </c>
      <c r="AD46" s="8">
        <v>159.103321764811</v>
      </c>
      <c r="AE46" s="9">
        <v>-1.87773275480086E-4</v>
      </c>
      <c r="AF46" s="9">
        <v>1.99041128224629E-4</v>
      </c>
      <c r="AG46" s="9">
        <v>-3.13140196944128E-4</v>
      </c>
      <c r="AZ46" s="9"/>
      <c r="BB46">
        <f t="shared" si="2"/>
        <v>0</v>
      </c>
      <c r="BC46">
        <f t="shared" si="3"/>
        <v>0</v>
      </c>
      <c r="BD46">
        <f t="shared" si="4"/>
        <v>0</v>
      </c>
      <c r="BE46">
        <f t="shared" si="0"/>
        <v>1</v>
      </c>
      <c r="BF46">
        <f t="shared" si="5"/>
        <v>0</v>
      </c>
      <c r="BG46" s="9">
        <f t="shared" si="6"/>
        <v>0</v>
      </c>
      <c r="BH46" s="9">
        <f t="shared" si="7"/>
        <v>0</v>
      </c>
      <c r="BI46" s="9">
        <f t="shared" si="8"/>
        <v>0</v>
      </c>
      <c r="BJ46" s="12">
        <f t="shared" si="9"/>
        <v>5.0797313592993061E-4</v>
      </c>
      <c r="BL46" s="9"/>
      <c r="BN46">
        <f t="shared" si="10"/>
        <v>0</v>
      </c>
      <c r="BO46">
        <f t="shared" si="11"/>
        <v>1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-8.6320549627499953E-5</v>
      </c>
      <c r="BX46" s="12">
        <f t="shared" si="18"/>
        <v>0</v>
      </c>
      <c r="BY46" s="12">
        <f t="shared" si="19"/>
        <v>4.2165258630243066E-4</v>
      </c>
    </row>
    <row r="47" spans="1:77" x14ac:dyDescent="0.3">
      <c r="A47" s="1">
        <v>46091</v>
      </c>
      <c r="B47" s="8">
        <v>30.89</v>
      </c>
      <c r="C47" s="8">
        <v>157.15</v>
      </c>
      <c r="D47" s="9">
        <v>-1.254640874662E-2</v>
      </c>
      <c r="E47" s="9">
        <v>-1.22064570959133E-2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30.89</v>
      </c>
      <c r="M47" s="8">
        <v>157.15</v>
      </c>
      <c r="N47" s="10">
        <v>5.0874069278083498</v>
      </c>
      <c r="O47" s="10">
        <v>5.0856511037897496</v>
      </c>
      <c r="P47" s="10">
        <v>5.0869277480871196</v>
      </c>
      <c r="Q47" s="10">
        <v>5.0862922674826798</v>
      </c>
      <c r="R47" s="8">
        <v>157.09576259606499</v>
      </c>
      <c r="S47" s="8">
        <v>157.12624039193199</v>
      </c>
      <c r="T47" s="8">
        <v>157.116159968977</v>
      </c>
      <c r="U47" s="9">
        <v>-3.4519099971359901E-4</v>
      </c>
      <c r="V47" s="9">
        <v>-1.51202064039128E-4</v>
      </c>
      <c r="W47" s="9">
        <v>-2.1535905206063801E-4</v>
      </c>
      <c r="X47" s="10">
        <v>5.0874069278083498</v>
      </c>
      <c r="Y47" s="10">
        <v>5.08472288464342</v>
      </c>
      <c r="Z47" s="10">
        <v>5.0869277480871196</v>
      </c>
      <c r="AA47" s="10">
        <v>5.0862922674826798</v>
      </c>
      <c r="AB47" s="8">
        <v>157.067089906635</v>
      </c>
      <c r="AC47" s="8">
        <v>157.12624039193199</v>
      </c>
      <c r="AD47" s="8">
        <v>157.116159968977</v>
      </c>
      <c r="AE47" s="9">
        <v>-5.27724926186873E-4</v>
      </c>
      <c r="AF47" s="9">
        <v>-1.51202064039128E-4</v>
      </c>
      <c r="AG47" s="9">
        <v>2.0956723334209898E-3</v>
      </c>
      <c r="AZ47" s="9"/>
      <c r="BB47">
        <f t="shared" si="2"/>
        <v>0</v>
      </c>
      <c r="BC47">
        <f t="shared" si="3"/>
        <v>1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5.0797313592993061E-4</v>
      </c>
      <c r="BL47" s="9"/>
      <c r="BN47">
        <f t="shared" si="10"/>
        <v>0</v>
      </c>
      <c r="BO47">
        <f t="shared" si="11"/>
        <v>0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-8.6320549627499953E-5</v>
      </c>
      <c r="BX47" s="12">
        <f t="shared" si="18"/>
        <v>0</v>
      </c>
      <c r="BY47" s="12">
        <f t="shared" si="19"/>
        <v>4.2165258630243066E-4</v>
      </c>
    </row>
    <row r="48" spans="1:77" x14ac:dyDescent="0.3">
      <c r="A48" s="1">
        <v>46092</v>
      </c>
      <c r="B48" s="8">
        <v>31.63</v>
      </c>
      <c r="C48" s="8">
        <v>160.91</v>
      </c>
      <c r="D48" s="9">
        <v>2.3673530387067099E-2</v>
      </c>
      <c r="E48" s="9">
        <v>2.3644439227482099E-2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31.63</v>
      </c>
      <c r="M48" s="8">
        <v>160.91</v>
      </c>
      <c r="N48" s="10">
        <v>5.0872589313942402</v>
      </c>
      <c r="O48" s="10">
        <v>5.0856511037897496</v>
      </c>
      <c r="P48" s="10">
        <v>5.0867332988960596</v>
      </c>
      <c r="Q48" s="10">
        <v>5.0864070684016802</v>
      </c>
      <c r="R48" s="8">
        <v>160.859144412869</v>
      </c>
      <c r="S48" s="8">
        <v>160.89952467199501</v>
      </c>
      <c r="T48" s="8">
        <v>160.87942442047699</v>
      </c>
      <c r="U48" s="9">
        <v>-3.16099840128699E-4</v>
      </c>
      <c r="V48" s="9">
        <v>-6.5102659833473004E-5</v>
      </c>
      <c r="W48" s="9">
        <v>-1.9003470775867101E-4</v>
      </c>
      <c r="X48" s="10">
        <v>5.0872589313942402</v>
      </c>
      <c r="Y48" s="10">
        <v>5.08472288464342</v>
      </c>
      <c r="Z48" s="10">
        <v>5.0867332988960596</v>
      </c>
      <c r="AA48" s="10">
        <v>5.0864070684016802</v>
      </c>
      <c r="AB48" s="8">
        <v>160.82978484127099</v>
      </c>
      <c r="AC48" s="8">
        <v>160.89952467199501</v>
      </c>
      <c r="AD48" s="8">
        <v>160.87942442047699</v>
      </c>
      <c r="AE48" s="9">
        <v>-4.9863376660189303E-4</v>
      </c>
      <c r="AF48" s="9">
        <v>-6.5102659833473004E-5</v>
      </c>
      <c r="AG48" s="9">
        <v>2.9837394332408502E-4</v>
      </c>
      <c r="AZ48" s="9"/>
      <c r="BB48">
        <f t="shared" si="2"/>
        <v>0</v>
      </c>
      <c r="BC48">
        <f t="shared" si="3"/>
        <v>1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5.0797313592993061E-4</v>
      </c>
      <c r="BL48" s="9"/>
      <c r="BN48">
        <f t="shared" si="10"/>
        <v>0</v>
      </c>
      <c r="BO48">
        <f t="shared" si="11"/>
        <v>0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-8.6320549627499953E-5</v>
      </c>
      <c r="BX48" s="12">
        <f t="shared" si="18"/>
        <v>0</v>
      </c>
      <c r="BY48" s="12">
        <f t="shared" si="19"/>
        <v>4.2165258630243066E-4</v>
      </c>
    </row>
    <row r="49" spans="1:77" x14ac:dyDescent="0.3">
      <c r="A49" s="1">
        <v>46093</v>
      </c>
      <c r="B49" s="8">
        <v>31.88</v>
      </c>
      <c r="C49" s="8">
        <v>162.15</v>
      </c>
      <c r="D49" s="9">
        <v>7.8728166044568799E-3</v>
      </c>
      <c r="E49" s="9">
        <v>7.6766302822683097E-3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31.88</v>
      </c>
      <c r="M49" s="8">
        <v>162.15</v>
      </c>
      <c r="N49" s="10">
        <v>5.0862609786700101</v>
      </c>
      <c r="O49" s="10">
        <v>5.0856511037897496</v>
      </c>
      <c r="P49" s="10">
        <v>5.0865069377466696</v>
      </c>
      <c r="Q49" s="10">
        <v>5.0863794399264401</v>
      </c>
      <c r="R49" s="8">
        <v>162.13055718881699</v>
      </c>
      <c r="S49" s="8">
        <v>162.16505756880599</v>
      </c>
      <c r="T49" s="8">
        <v>162.154657340645</v>
      </c>
      <c r="U49" s="9">
        <v>-1.19913517940005E-4</v>
      </c>
      <c r="V49" s="9">
        <v>9.2857660882819806E-5</v>
      </c>
      <c r="W49" s="9">
        <v>2.8722009016357001E-5</v>
      </c>
      <c r="X49" s="10">
        <v>5.0862609786700101</v>
      </c>
      <c r="Y49" s="10">
        <v>5.08472288464342</v>
      </c>
      <c r="Z49" s="10">
        <v>5.0865069377466696</v>
      </c>
      <c r="AA49" s="10">
        <v>5.0863794399264401</v>
      </c>
      <c r="AB49" s="8">
        <v>162.10096556243201</v>
      </c>
      <c r="AC49" s="8">
        <v>162.16505756880599</v>
      </c>
      <c r="AD49" s="8">
        <v>162.154657340645</v>
      </c>
      <c r="AE49" s="9">
        <v>-3.02447444413258E-4</v>
      </c>
      <c r="AF49" s="9">
        <v>9.2857660882819806E-5</v>
      </c>
      <c r="AG49" s="9">
        <v>1.8016979388499999E-5</v>
      </c>
      <c r="AZ49" s="9"/>
      <c r="BB49">
        <f t="shared" si="2"/>
        <v>0</v>
      </c>
      <c r="BC49">
        <f t="shared" si="3"/>
        <v>1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5.0797313592993061E-4</v>
      </c>
      <c r="BL49" s="9"/>
      <c r="BN49">
        <f t="shared" si="10"/>
        <v>0</v>
      </c>
      <c r="BO49">
        <f t="shared" si="11"/>
        <v>0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-8.6320549627499953E-5</v>
      </c>
      <c r="BX49" s="12">
        <f t="shared" si="18"/>
        <v>0</v>
      </c>
      <c r="BY49" s="12">
        <f t="shared" si="19"/>
        <v>4.2165258630243066E-4</v>
      </c>
    </row>
    <row r="50" spans="1:77" x14ac:dyDescent="0.3">
      <c r="A50" s="1">
        <v>46094</v>
      </c>
      <c r="B50" s="8">
        <v>31.99</v>
      </c>
      <c r="C50" s="8">
        <v>162.78</v>
      </c>
      <c r="D50" s="9">
        <v>3.44450003941227E-3</v>
      </c>
      <c r="E50" s="9">
        <v>3.8777631455684199E-3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31.99</v>
      </c>
      <c r="M50" s="8">
        <v>162.78</v>
      </c>
      <c r="N50" s="10">
        <v>5.0884651453579197</v>
      </c>
      <c r="O50" s="10">
        <v>5.0856511037897496</v>
      </c>
      <c r="P50" s="10">
        <v>5.0869986135727903</v>
      </c>
      <c r="Q50" s="10">
        <v>5.0865423818639099</v>
      </c>
      <c r="R50" s="8">
        <v>162.68997881023401</v>
      </c>
      <c r="S50" s="8">
        <v>162.71735693851599</v>
      </c>
      <c r="T50" s="8">
        <v>162.71327828324601</v>
      </c>
      <c r="U50" s="9">
        <v>-5.5317662409599304E-4</v>
      </c>
      <c r="V50" s="9">
        <v>-3.8490673378344798E-4</v>
      </c>
      <c r="W50" s="9">
        <v>-4.0997293731930001E-4</v>
      </c>
      <c r="X50" s="10">
        <v>5.0884651453579197</v>
      </c>
      <c r="Y50" s="10">
        <v>5.08472288464342</v>
      </c>
      <c r="Z50" s="10">
        <v>5.0869986135727903</v>
      </c>
      <c r="AA50" s="10">
        <v>5.0865423818639099</v>
      </c>
      <c r="AB50" s="8">
        <v>162.66028507974301</v>
      </c>
      <c r="AC50" s="8">
        <v>162.71735693851599</v>
      </c>
      <c r="AD50" s="8">
        <v>162.71327828324601</v>
      </c>
      <c r="AE50" s="9">
        <v>-7.3571055056924296E-4</v>
      </c>
      <c r="AF50" s="9">
        <v>-3.8490673378344798E-4</v>
      </c>
      <c r="AG50" s="9">
        <v>9.2476901720567101E-4</v>
      </c>
      <c r="AZ50" s="9"/>
      <c r="BB50">
        <f t="shared" si="2"/>
        <v>0</v>
      </c>
      <c r="BC50">
        <f t="shared" si="3"/>
        <v>1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5.0797313592993061E-4</v>
      </c>
      <c r="BL50" s="9"/>
      <c r="BN50">
        <f t="shared" si="10"/>
        <v>0</v>
      </c>
      <c r="BO50">
        <f t="shared" si="11"/>
        <v>0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-8.6320549627499953E-5</v>
      </c>
      <c r="BX50" s="12">
        <f t="shared" si="18"/>
        <v>0</v>
      </c>
      <c r="BY50" s="12">
        <f t="shared" si="19"/>
        <v>4.2165258630243066E-4</v>
      </c>
    </row>
    <row r="51" spans="1:77" x14ac:dyDescent="0.3">
      <c r="A51" s="1">
        <v>46097</v>
      </c>
      <c r="B51" s="8">
        <v>32.08</v>
      </c>
      <c r="C51" s="8">
        <v>163.19999999999999</v>
      </c>
      <c r="D51" s="9">
        <v>2.80942903688716E-3</v>
      </c>
      <c r="E51" s="9">
        <v>2.5768466311110799E-3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32.08</v>
      </c>
      <c r="M51" s="8">
        <v>163.19999999999999</v>
      </c>
      <c r="N51" s="10">
        <v>5.0872817955112204</v>
      </c>
      <c r="O51" s="10">
        <v>5.0856511037897496</v>
      </c>
      <c r="P51" s="10">
        <v>5.0870641310941904</v>
      </c>
      <c r="Q51" s="10">
        <v>5.0865832258795702</v>
      </c>
      <c r="R51" s="8">
        <v>163.14768740957501</v>
      </c>
      <c r="S51" s="8">
        <v>163.19091552341499</v>
      </c>
      <c r="T51" s="8">
        <v>163.176279610194</v>
      </c>
      <c r="U51" s="9">
        <v>-3.2059421832018501E-4</v>
      </c>
      <c r="V51" s="9">
        <v>-5.5666234292173999E-5</v>
      </c>
      <c r="W51" s="9">
        <v>-1.45356089455145E-4</v>
      </c>
      <c r="X51" s="10">
        <v>5.0872817955112204</v>
      </c>
      <c r="Y51" s="10">
        <v>5.08472288464342</v>
      </c>
      <c r="Z51" s="10">
        <v>5.0870641310941904</v>
      </c>
      <c r="AA51" s="10">
        <v>5.0865832258795702</v>
      </c>
      <c r="AB51" s="8">
        <v>163.11791013936099</v>
      </c>
      <c r="AC51" s="8">
        <v>163.19091552341499</v>
      </c>
      <c r="AD51" s="8">
        <v>163.176279610194</v>
      </c>
      <c r="AE51" s="9">
        <v>-5.0312814479342902E-4</v>
      </c>
      <c r="AF51" s="9">
        <v>-5.5666234292173999E-5</v>
      </c>
      <c r="AG51" s="9">
        <v>2.4240537846085398E-3</v>
      </c>
      <c r="AZ51" s="9"/>
      <c r="BB51">
        <f t="shared" si="2"/>
        <v>0</v>
      </c>
      <c r="BC51">
        <f t="shared" si="3"/>
        <v>1</v>
      </c>
      <c r="BD51">
        <f t="shared" si="4"/>
        <v>0</v>
      </c>
      <c r="BE51">
        <f t="shared" si="0"/>
        <v>1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5.0797313592993061E-4</v>
      </c>
      <c r="BL51" s="9"/>
      <c r="BN51">
        <f t="shared" si="10"/>
        <v>1</v>
      </c>
      <c r="BO51">
        <f t="shared" si="11"/>
        <v>0</v>
      </c>
      <c r="BP51">
        <f t="shared" si="12"/>
        <v>0</v>
      </c>
      <c r="BQ51">
        <f t="shared" si="1"/>
        <v>1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-8.6320549627499953E-5</v>
      </c>
      <c r="BX51" s="12">
        <f t="shared" si="18"/>
        <v>0</v>
      </c>
      <c r="BY51" s="12">
        <f t="shared" si="19"/>
        <v>4.2165258630243066E-4</v>
      </c>
    </row>
    <row r="52" spans="1:77" x14ac:dyDescent="0.3">
      <c r="A52" s="1">
        <v>46098</v>
      </c>
      <c r="B52" s="8">
        <v>32.47</v>
      </c>
      <c r="C52" s="8">
        <v>165.13</v>
      </c>
      <c r="D52" s="9">
        <v>1.20838031164408E-2</v>
      </c>
      <c r="E52" s="9">
        <v>1.17565999448904E-2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32.47</v>
      </c>
      <c r="M52" s="8">
        <v>165.13</v>
      </c>
      <c r="N52" s="10">
        <v>5.0856174930705196</v>
      </c>
      <c r="O52" s="10">
        <v>5.0856511037897496</v>
      </c>
      <c r="P52" s="10">
        <v>5.0869121874551899</v>
      </c>
      <c r="Q52" s="10">
        <v>5.08667641133027</v>
      </c>
      <c r="R52" s="8">
        <v>165.13109134005299</v>
      </c>
      <c r="S52" s="8">
        <v>165.17697233662801</v>
      </c>
      <c r="T52" s="8">
        <v>165.16135734430901</v>
      </c>
      <c r="U52" s="9">
        <v>6.6089532302536302E-6</v>
      </c>
      <c r="V52" s="9">
        <v>2.8441626050383298E-4</v>
      </c>
      <c r="W52" s="9">
        <v>1.8987686905406201E-4</v>
      </c>
      <c r="X52" s="10">
        <v>5.0856174930705196</v>
      </c>
      <c r="Y52" s="10">
        <v>5.08472288464342</v>
      </c>
      <c r="Z52" s="10">
        <v>5.0869121874551899</v>
      </c>
      <c r="AA52" s="10">
        <v>5.08667641133027</v>
      </c>
      <c r="AB52" s="8">
        <v>165.100952064371</v>
      </c>
      <c r="AC52" s="8">
        <v>165.17697233662801</v>
      </c>
      <c r="AD52" s="8">
        <v>165.16135734430901</v>
      </c>
      <c r="AE52" s="9">
        <v>-1.7592497324287699E-4</v>
      </c>
      <c r="AF52" s="9">
        <v>2.8441626050383298E-4</v>
      </c>
      <c r="AG52" s="9">
        <v>1.74873741453631E-3</v>
      </c>
      <c r="AZ52" s="9"/>
      <c r="BB52">
        <f t="shared" si="2"/>
        <v>0</v>
      </c>
      <c r="BC52">
        <f t="shared" si="3"/>
        <v>1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5.0797313592993061E-4</v>
      </c>
      <c r="BL52" s="9"/>
      <c r="BN52">
        <f t="shared" si="10"/>
        <v>0</v>
      </c>
      <c r="BO52">
        <f t="shared" si="11"/>
        <v>0</v>
      </c>
      <c r="BP52">
        <f t="shared" si="12"/>
        <v>1</v>
      </c>
      <c r="BQ52">
        <f t="shared" si="1"/>
        <v>1</v>
      </c>
      <c r="BR52">
        <f t="shared" si="13"/>
        <v>1</v>
      </c>
      <c r="BS52" s="9">
        <f t="shared" si="14"/>
        <v>-1.20838031164408E-2</v>
      </c>
      <c r="BT52" s="9">
        <f t="shared" si="15"/>
        <v>1.17565999448904E-2</v>
      </c>
      <c r="BU52" s="9">
        <f t="shared" si="16"/>
        <v>-3.2720317155040049E-4</v>
      </c>
      <c r="BV52" s="12">
        <f t="shared" si="17"/>
        <v>-4.1352372117790044E-4</v>
      </c>
      <c r="BX52" s="12">
        <f t="shared" si="18"/>
        <v>-3.2720317155040049E-4</v>
      </c>
      <c r="BY52" s="12">
        <f t="shared" si="19"/>
        <v>9.4449414752030168E-5</v>
      </c>
    </row>
    <row r="53" spans="1:77" x14ac:dyDescent="0.3">
      <c r="A53" s="1">
        <v>46099</v>
      </c>
      <c r="B53" s="8">
        <v>32.5</v>
      </c>
      <c r="C53" s="8">
        <v>165.23</v>
      </c>
      <c r="D53" s="9">
        <v>9.2350322093719399E-4</v>
      </c>
      <c r="E53" s="9">
        <v>6.0540018800231301E-4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32.5</v>
      </c>
      <c r="M53" s="8">
        <v>165.23</v>
      </c>
      <c r="N53" s="10">
        <v>5.0839999999999996</v>
      </c>
      <c r="O53" s="10">
        <v>5.0856511037897496</v>
      </c>
      <c r="P53" s="10">
        <v>5.0865037313373103</v>
      </c>
      <c r="Q53" s="10">
        <v>5.0865694806372002</v>
      </c>
      <c r="R53" s="8">
        <v>165.28366087316601</v>
      </c>
      <c r="S53" s="8">
        <v>165.32464609229299</v>
      </c>
      <c r="T53" s="8">
        <v>165.31698336823399</v>
      </c>
      <c r="U53" s="9">
        <v>3.2471198616506702E-4</v>
      </c>
      <c r="V53" s="9">
        <v>5.7265021683391005E-4</v>
      </c>
      <c r="W53" s="9">
        <v>5.26299585950145E-4</v>
      </c>
      <c r="X53" s="10">
        <v>5.0839999999999996</v>
      </c>
      <c r="Y53" s="10">
        <v>5.08472288464342</v>
      </c>
      <c r="Z53" s="10">
        <v>5.0865037313373103</v>
      </c>
      <c r="AA53" s="10">
        <v>5.0865694806372002</v>
      </c>
      <c r="AB53" s="8">
        <v>165.25349375091099</v>
      </c>
      <c r="AC53" s="8">
        <v>165.32464609229299</v>
      </c>
      <c r="AD53" s="8">
        <v>165.31698336823399</v>
      </c>
      <c r="AE53" s="9">
        <v>1.4217805969188801E-4</v>
      </c>
      <c r="AF53" s="9">
        <v>5.7265021683391005E-4</v>
      </c>
      <c r="AG53" s="9">
        <v>4.3784409745834701E-4</v>
      </c>
      <c r="AZ53" s="9"/>
      <c r="BB53">
        <f t="shared" si="2"/>
        <v>0</v>
      </c>
      <c r="BC53">
        <f t="shared" si="3"/>
        <v>1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5.0797313592993061E-4</v>
      </c>
      <c r="BL53" s="9"/>
      <c r="BN53">
        <f t="shared" si="10"/>
        <v>0</v>
      </c>
      <c r="BO53">
        <f t="shared" si="11"/>
        <v>0</v>
      </c>
      <c r="BP53">
        <f t="shared" si="12"/>
        <v>1</v>
      </c>
      <c r="BQ53">
        <f t="shared" si="1"/>
        <v>1</v>
      </c>
      <c r="BR53">
        <f t="shared" si="13"/>
        <v>1</v>
      </c>
      <c r="BS53" s="9">
        <f t="shared" si="14"/>
        <v>-9.2350322093719399E-4</v>
      </c>
      <c r="BT53" s="9">
        <f t="shared" si="15"/>
        <v>6.0540018800231301E-4</v>
      </c>
      <c r="BU53" s="9">
        <f t="shared" si="16"/>
        <v>-3.1810303293488098E-4</v>
      </c>
      <c r="BV53" s="12">
        <f t="shared" si="17"/>
        <v>-7.3162675411278142E-4</v>
      </c>
      <c r="BX53" s="12">
        <f t="shared" si="18"/>
        <v>-3.1810303293488098E-4</v>
      </c>
      <c r="BY53" s="12">
        <f t="shared" si="19"/>
        <v>-2.2365361818285081E-4</v>
      </c>
    </row>
    <row r="54" spans="1:77" x14ac:dyDescent="0.3">
      <c r="A54" s="1">
        <v>46100</v>
      </c>
      <c r="B54" s="8">
        <v>33.01</v>
      </c>
      <c r="C54" s="8">
        <v>167.89</v>
      </c>
      <c r="D54" s="9">
        <v>1.5570456529409801E-2</v>
      </c>
      <c r="E54" s="9">
        <v>1.5970560385407399E-2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33.01</v>
      </c>
      <c r="M54" s="8">
        <v>167.89</v>
      </c>
      <c r="N54" s="10">
        <v>5.0860345349893903</v>
      </c>
      <c r="O54" s="10">
        <v>5.0856511037897496</v>
      </c>
      <c r="P54" s="10">
        <v>5.0866304480612401</v>
      </c>
      <c r="Q54" s="10">
        <v>5.0866009194285597</v>
      </c>
      <c r="R54" s="8">
        <v>167.87734293609901</v>
      </c>
      <c r="S54" s="8">
        <v>167.90548817144401</v>
      </c>
      <c r="T54" s="8">
        <v>167.90765855583399</v>
      </c>
      <c r="U54" s="9">
        <v>-7.5391869832289106E-5</v>
      </c>
      <c r="V54" s="9">
        <v>9.2247644780240904E-5</v>
      </c>
      <c r="W54" s="9">
        <v>1.05173787848876E-4</v>
      </c>
      <c r="X54" s="10">
        <v>5.0860345349893903</v>
      </c>
      <c r="Y54" s="10">
        <v>5.08472288464342</v>
      </c>
      <c r="Z54" s="10">
        <v>5.0866304480612401</v>
      </c>
      <c r="AA54" s="10">
        <v>5.0866009194285597</v>
      </c>
      <c r="AB54" s="8">
        <v>167.84670242207901</v>
      </c>
      <c r="AC54" s="8">
        <v>167.90548817144401</v>
      </c>
      <c r="AD54" s="8">
        <v>167.90765855583399</v>
      </c>
      <c r="AE54" s="9">
        <v>-2.5792579630563698E-4</v>
      </c>
      <c r="AF54" s="9">
        <v>9.2247644780240904E-5</v>
      </c>
      <c r="AG54" s="9">
        <v>-1.7735025605860601E-5</v>
      </c>
      <c r="AZ54" s="9"/>
      <c r="BB54">
        <f t="shared" si="2"/>
        <v>0</v>
      </c>
      <c r="BC54">
        <f t="shared" si="3"/>
        <v>0</v>
      </c>
      <c r="BD54">
        <f t="shared" si="4"/>
        <v>0</v>
      </c>
      <c r="BE54">
        <f t="shared" si="0"/>
        <v>0</v>
      </c>
      <c r="BF54">
        <f t="shared" si="5"/>
        <v>0</v>
      </c>
      <c r="BG54" s="9">
        <f t="shared" si="6"/>
        <v>0</v>
      </c>
      <c r="BH54" s="9">
        <f t="shared" si="7"/>
        <v>0</v>
      </c>
      <c r="BI54" s="9">
        <f t="shared" si="8"/>
        <v>0</v>
      </c>
      <c r="BJ54" s="12">
        <f t="shared" si="9"/>
        <v>5.0797313592993061E-4</v>
      </c>
      <c r="BL54" s="9"/>
      <c r="BN54">
        <f t="shared" si="10"/>
        <v>0</v>
      </c>
      <c r="BO54">
        <f t="shared" si="11"/>
        <v>1</v>
      </c>
      <c r="BP54">
        <f t="shared" si="12"/>
        <v>1</v>
      </c>
      <c r="BQ54">
        <f t="shared" si="1"/>
        <v>0</v>
      </c>
      <c r="BR54">
        <f t="shared" si="13"/>
        <v>1</v>
      </c>
      <c r="BS54" s="9">
        <f t="shared" si="14"/>
        <v>-1.5570456529409801E-2</v>
      </c>
      <c r="BT54" s="9">
        <f t="shared" si="15"/>
        <v>1.5970560385407399E-2</v>
      </c>
      <c r="BU54" s="9">
        <f t="shared" si="16"/>
        <v>4.0010385599759807E-4</v>
      </c>
      <c r="BV54" s="12">
        <f t="shared" si="17"/>
        <v>-3.3152289811518335E-4</v>
      </c>
      <c r="BX54" s="12">
        <f t="shared" si="18"/>
        <v>4.0010385599759807E-4</v>
      </c>
      <c r="BY54" s="12">
        <f t="shared" si="19"/>
        <v>1.7645023781474726E-4</v>
      </c>
    </row>
    <row r="55" spans="1:77" x14ac:dyDescent="0.3">
      <c r="A55" s="1">
        <v>46101</v>
      </c>
      <c r="B55" s="8">
        <v>32.799999999999997</v>
      </c>
      <c r="C55" s="8">
        <v>167.77</v>
      </c>
      <c r="D55" s="9">
        <v>-6.3820304750036002E-3</v>
      </c>
      <c r="E55" s="9">
        <v>-7.1500926599750404E-4</v>
      </c>
      <c r="F55" s="8">
        <v>0.187</v>
      </c>
      <c r="G55" s="8">
        <v>0.187</v>
      </c>
      <c r="H55" s="8">
        <v>0</v>
      </c>
      <c r="I55" s="8">
        <v>0</v>
      </c>
      <c r="J55" s="8">
        <v>0.187</v>
      </c>
      <c r="K55" s="8">
        <v>0</v>
      </c>
      <c r="L55" s="8">
        <v>32.986999999999902</v>
      </c>
      <c r="M55" s="8">
        <v>167.77</v>
      </c>
      <c r="N55" s="10">
        <v>5.1149390243902397</v>
      </c>
      <c r="O55" s="10">
        <v>5.0856511037897496</v>
      </c>
      <c r="P55" s="10">
        <v>5.0892942580552498</v>
      </c>
      <c r="Q55" s="10">
        <v>5.0879921836000799</v>
      </c>
      <c r="R55" s="8">
        <v>166.80935620430299</v>
      </c>
      <c r="S55" s="8">
        <v>166.84147869640799</v>
      </c>
      <c r="T55" s="8">
        <v>166.84051015725601</v>
      </c>
      <c r="U55" s="9">
        <v>-5.7424130788384601E-3</v>
      </c>
      <c r="V55" s="9">
        <v>-5.5498615318677301E-3</v>
      </c>
      <c r="W55" s="9">
        <v>-5.5556666947723498E-3</v>
      </c>
      <c r="X55" s="10">
        <v>5.0859429472216302</v>
      </c>
      <c r="Y55" s="10">
        <v>5.08472288464342</v>
      </c>
      <c r="Z55" s="10">
        <v>5.0863946503383897</v>
      </c>
      <c r="AA55" s="10">
        <v>5.0865423797416502</v>
      </c>
      <c r="AB55" s="8">
        <v>167.72975379573199</v>
      </c>
      <c r="AC55" s="8">
        <v>167.792678590196</v>
      </c>
      <c r="AD55" s="8">
        <v>167.79170452919001</v>
      </c>
      <c r="AE55" s="9">
        <v>-2.3991793737629299E-4</v>
      </c>
      <c r="AF55" s="9">
        <v>1.35167536067662E-4</v>
      </c>
      <c r="AG55" s="9">
        <v>-2.46320224811026E-3</v>
      </c>
      <c r="AZ55" s="9"/>
      <c r="BB55">
        <f t="shared" si="2"/>
        <v>1</v>
      </c>
      <c r="BC55">
        <f t="shared" si="3"/>
        <v>0</v>
      </c>
      <c r="BD55">
        <f t="shared" si="4"/>
        <v>0</v>
      </c>
      <c r="BE55">
        <f t="shared" si="0"/>
        <v>1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5.0797313592993061E-4</v>
      </c>
      <c r="BL55" s="9"/>
      <c r="BN55">
        <f t="shared" si="10"/>
        <v>0</v>
      </c>
      <c r="BO55">
        <f t="shared" si="11"/>
        <v>1</v>
      </c>
      <c r="BP55">
        <f t="shared" si="12"/>
        <v>0</v>
      </c>
      <c r="BQ55">
        <f t="shared" si="1"/>
        <v>1</v>
      </c>
      <c r="BR55">
        <f t="shared" si="13"/>
        <v>0</v>
      </c>
      <c r="BS55" s="9">
        <f t="shared" si="14"/>
        <v>0</v>
      </c>
      <c r="BT55" s="9">
        <f t="shared" si="15"/>
        <v>0</v>
      </c>
      <c r="BU55" s="9">
        <f t="shared" si="16"/>
        <v>0</v>
      </c>
      <c r="BV55" s="12">
        <f t="shared" si="17"/>
        <v>-3.3152289811518335E-4</v>
      </c>
      <c r="BX55" s="12">
        <f t="shared" si="18"/>
        <v>0</v>
      </c>
      <c r="BY55" s="12">
        <f t="shared" si="19"/>
        <v>1.7645023781474726E-4</v>
      </c>
    </row>
    <row r="56" spans="1:77" x14ac:dyDescent="0.3">
      <c r="A56" s="1">
        <v>46104</v>
      </c>
      <c r="B56" s="8">
        <v>33.15</v>
      </c>
      <c r="C56" s="8">
        <v>169.43</v>
      </c>
      <c r="D56" s="9">
        <v>1.0614201241773501E-2</v>
      </c>
      <c r="E56" s="9">
        <v>9.8458683877057397E-3</v>
      </c>
      <c r="F56" s="8">
        <v>0</v>
      </c>
      <c r="G56" s="8">
        <v>0.187</v>
      </c>
      <c r="H56" s="8">
        <v>0</v>
      </c>
      <c r="I56" s="8">
        <v>0</v>
      </c>
      <c r="J56" s="8">
        <v>0.187</v>
      </c>
      <c r="K56" s="8">
        <v>0</v>
      </c>
      <c r="L56" s="8">
        <v>33.336999999999897</v>
      </c>
      <c r="M56" s="8">
        <v>169.43</v>
      </c>
      <c r="N56" s="10">
        <v>5.1110105580693803</v>
      </c>
      <c r="O56" s="10">
        <v>5.0856511037897496</v>
      </c>
      <c r="P56" s="10">
        <v>5.0918275389261298</v>
      </c>
      <c r="Q56" s="10">
        <v>5.0892326492288804</v>
      </c>
      <c r="R56" s="8">
        <v>168.58933409062999</v>
      </c>
      <c r="S56" s="8">
        <v>168.71010465453099</v>
      </c>
      <c r="T56" s="8">
        <v>168.66694088634199</v>
      </c>
      <c r="U56" s="9">
        <v>-4.9740802247707303E-3</v>
      </c>
      <c r="V56" s="9">
        <v>-4.2579772302819997E-3</v>
      </c>
      <c r="W56" s="9">
        <v>-4.51385574362496E-3</v>
      </c>
      <c r="X56" s="10">
        <v>5.0823409424963204</v>
      </c>
      <c r="Y56" s="10">
        <v>5.08472288464342</v>
      </c>
      <c r="Z56" s="10">
        <v>5.0860609696519603</v>
      </c>
      <c r="AA56" s="10">
        <v>5.0863493645917996</v>
      </c>
      <c r="AB56" s="8">
        <v>169.509406805357</v>
      </c>
      <c r="AC56" s="8">
        <v>169.56513845833101</v>
      </c>
      <c r="AD56" s="8">
        <v>169.57006331344701</v>
      </c>
      <c r="AE56" s="9">
        <v>4.6856048730980999E-4</v>
      </c>
      <c r="AF56" s="9">
        <v>7.9728851631425204E-4</v>
      </c>
      <c r="AG56" s="9">
        <v>-1.43916326338029E-3</v>
      </c>
      <c r="AZ56" s="9"/>
      <c r="BB56">
        <f t="shared" si="2"/>
        <v>1</v>
      </c>
      <c r="BC56">
        <f t="shared" si="3"/>
        <v>0</v>
      </c>
      <c r="BD56">
        <f t="shared" si="4"/>
        <v>1</v>
      </c>
      <c r="BE56">
        <f t="shared" si="0"/>
        <v>0</v>
      </c>
      <c r="BF56">
        <f t="shared" si="5"/>
        <v>1</v>
      </c>
      <c r="BG56" s="9">
        <f t="shared" si="6"/>
        <v>1.0614201241773501E-2</v>
      </c>
      <c r="BH56" s="9">
        <f t="shared" si="7"/>
        <v>-9.8458683877057397E-3</v>
      </c>
      <c r="BI56" s="9">
        <f t="shared" si="8"/>
        <v>7.68332854067761E-4</v>
      </c>
      <c r="BJ56" s="12">
        <f t="shared" si="9"/>
        <v>1.2763059899976916E-3</v>
      </c>
      <c r="BL56" s="9"/>
      <c r="BN56">
        <f t="shared" si="10"/>
        <v>0</v>
      </c>
      <c r="BO56">
        <f t="shared" si="11"/>
        <v>1</v>
      </c>
      <c r="BP56">
        <f t="shared" si="12"/>
        <v>0</v>
      </c>
      <c r="BQ56">
        <f t="shared" si="1"/>
        <v>0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-3.3152289811518335E-4</v>
      </c>
      <c r="BX56" s="12">
        <f t="shared" si="18"/>
        <v>7.68332854067761E-4</v>
      </c>
      <c r="BY56" s="12">
        <f t="shared" si="19"/>
        <v>9.4478309188250826E-4</v>
      </c>
    </row>
    <row r="57" spans="1:77" x14ac:dyDescent="0.3">
      <c r="A57" s="1">
        <v>46105</v>
      </c>
      <c r="B57" s="8">
        <v>33.85</v>
      </c>
      <c r="C57" s="8">
        <v>172.12</v>
      </c>
      <c r="D57" s="9">
        <v>2.0896282726412599E-2</v>
      </c>
      <c r="E57" s="9">
        <v>1.5752045800383901E-2</v>
      </c>
      <c r="F57" s="8">
        <v>0</v>
      </c>
      <c r="G57" s="8">
        <v>0.187</v>
      </c>
      <c r="H57" s="8">
        <v>0.96889999999999998</v>
      </c>
      <c r="I57" s="8">
        <v>0.96889999999999998</v>
      </c>
      <c r="J57" s="8">
        <v>0.187</v>
      </c>
      <c r="K57" s="8">
        <v>0.96889999999999998</v>
      </c>
      <c r="L57" s="8">
        <v>34.036999999999999</v>
      </c>
      <c r="M57" s="8">
        <v>173.0889</v>
      </c>
      <c r="N57" s="10">
        <v>5.0847858197931997</v>
      </c>
      <c r="O57" s="10">
        <v>5.0856511037897496</v>
      </c>
      <c r="P57" s="10">
        <v>5.0915654281246097</v>
      </c>
      <c r="Q57" s="10">
        <v>5.0892465881058699</v>
      </c>
      <c r="R57" s="8">
        <v>172.149289863283</v>
      </c>
      <c r="S57" s="8">
        <v>172.358362192649</v>
      </c>
      <c r="T57" s="8">
        <v>172.270525176397</v>
      </c>
      <c r="U57" s="9">
        <v>1.701567012579E-4</v>
      </c>
      <c r="V57" s="9">
        <v>1.3839024847578901E-3</v>
      </c>
      <c r="W57" s="9">
        <v>8.7415404884315904E-4</v>
      </c>
      <c r="X57" s="10">
        <v>5.08531597966918</v>
      </c>
      <c r="Y57" s="10">
        <v>5.08472288464342</v>
      </c>
      <c r="Z57" s="10">
        <v>5.0858518748380401</v>
      </c>
      <c r="AA57" s="10">
        <v>5.0863898114625803</v>
      </c>
      <c r="AB57" s="8">
        <v>173.06871282460801</v>
      </c>
      <c r="AC57" s="8">
        <v>173.114257224043</v>
      </c>
      <c r="AD57" s="8">
        <v>173.124073322611</v>
      </c>
      <c r="AE57" s="9">
        <v>-1.1663574433595E-4</v>
      </c>
      <c r="AF57" s="9">
        <v>1.4648753808358401E-4</v>
      </c>
      <c r="AG57" s="9">
        <v>-4.4774603340949301E-4</v>
      </c>
      <c r="AZ57" s="9"/>
      <c r="BB57">
        <f t="shared" si="2"/>
        <v>0</v>
      </c>
      <c r="BC57">
        <f t="shared" si="3"/>
        <v>0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1.2763059899976916E-3</v>
      </c>
      <c r="BL57" s="9"/>
      <c r="BN57">
        <f t="shared" si="10"/>
        <v>0</v>
      </c>
      <c r="BO57">
        <f t="shared" si="11"/>
        <v>1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-3.3152289811518335E-4</v>
      </c>
      <c r="BX57" s="12">
        <f t="shared" si="18"/>
        <v>0</v>
      </c>
      <c r="BY57" s="12">
        <f t="shared" si="19"/>
        <v>9.4478309188250826E-4</v>
      </c>
    </row>
    <row r="58" spans="1:77" x14ac:dyDescent="0.3">
      <c r="A58" s="1">
        <v>46106</v>
      </c>
      <c r="B58" s="8">
        <v>33.71</v>
      </c>
      <c r="C58" s="8">
        <v>171.44</v>
      </c>
      <c r="D58" s="9">
        <v>-4.1444701123146202E-3</v>
      </c>
      <c r="E58" s="9">
        <v>-3.9585568050773297E-3</v>
      </c>
      <c r="F58" s="8">
        <v>0</v>
      </c>
      <c r="G58" s="8">
        <v>0.187</v>
      </c>
      <c r="H58" s="8">
        <v>0</v>
      </c>
      <c r="I58" s="8">
        <v>0.96889999999999998</v>
      </c>
      <c r="J58" s="8">
        <v>0.187</v>
      </c>
      <c r="K58" s="8">
        <v>0.96889999999999998</v>
      </c>
      <c r="L58" s="8">
        <v>33.896999999999998</v>
      </c>
      <c r="M58" s="8">
        <v>172.40889999999999</v>
      </c>
      <c r="N58" s="10">
        <v>5.0857312370216503</v>
      </c>
      <c r="O58" s="10">
        <v>5.0856511037897496</v>
      </c>
      <c r="P58" s="10">
        <v>5.09141265868735</v>
      </c>
      <c r="Q58" s="10">
        <v>5.0890729787917097</v>
      </c>
      <c r="R58" s="8">
        <v>171.437298708752</v>
      </c>
      <c r="S58" s="8">
        <v>171.63667058208</v>
      </c>
      <c r="T58" s="8">
        <v>171.558502485048</v>
      </c>
      <c r="U58" s="9">
        <v>-1.57566059793726E-5</v>
      </c>
      <c r="V58" s="9">
        <v>1.1465110891424599E-3</v>
      </c>
      <c r="W58" s="9">
        <v>6.90979633469591E-4</v>
      </c>
      <c r="X58" s="10">
        <v>5.0862583709472799</v>
      </c>
      <c r="Y58" s="10">
        <v>5.08472288464342</v>
      </c>
      <c r="Z58" s="10">
        <v>5.0857518187933497</v>
      </c>
      <c r="AA58" s="10">
        <v>5.0862425588447104</v>
      </c>
      <c r="AB58" s="8">
        <v>172.35685162075799</v>
      </c>
      <c r="AC58" s="8">
        <v>172.39512100138501</v>
      </c>
      <c r="AD58" s="8">
        <v>172.41335543914701</v>
      </c>
      <c r="AE58" s="9">
        <v>-3.0193474492511098E-4</v>
      </c>
      <c r="AF58" s="9">
        <v>-7.9923653917991994E-5</v>
      </c>
      <c r="AG58" s="9">
        <v>-5.4365417357877898E-5</v>
      </c>
      <c r="AZ58" s="9"/>
      <c r="BB58">
        <f t="shared" si="2"/>
        <v>0</v>
      </c>
      <c r="BC58">
        <f t="shared" si="3"/>
        <v>0</v>
      </c>
      <c r="BD58">
        <f t="shared" si="4"/>
        <v>0</v>
      </c>
      <c r="BE58">
        <f t="shared" si="0"/>
        <v>1</v>
      </c>
      <c r="BF58">
        <f t="shared" si="5"/>
        <v>0</v>
      </c>
      <c r="BG58" s="9">
        <f t="shared" si="6"/>
        <v>0</v>
      </c>
      <c r="BH58" s="9">
        <f t="shared" si="7"/>
        <v>0</v>
      </c>
      <c r="BI58" s="9">
        <f t="shared" si="8"/>
        <v>0</v>
      </c>
      <c r="BJ58" s="12">
        <f t="shared" si="9"/>
        <v>1.2763059899976916E-3</v>
      </c>
      <c r="BL58" s="9"/>
      <c r="BN58">
        <f t="shared" si="10"/>
        <v>0</v>
      </c>
      <c r="BO58">
        <f t="shared" si="11"/>
        <v>1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-3.3152289811518335E-4</v>
      </c>
      <c r="BX58" s="12">
        <f t="shared" si="18"/>
        <v>0</v>
      </c>
      <c r="BY58" s="12">
        <f t="shared" si="19"/>
        <v>9.4478309188250826E-4</v>
      </c>
    </row>
    <row r="59" spans="1:77" x14ac:dyDescent="0.3">
      <c r="A59" s="1">
        <v>46107</v>
      </c>
      <c r="B59" s="8">
        <v>34.229999999999997</v>
      </c>
      <c r="C59" s="8">
        <v>174.14</v>
      </c>
      <c r="D59" s="9">
        <v>1.5307923296124499E-2</v>
      </c>
      <c r="E59" s="9">
        <v>1.5626222235147799E-2</v>
      </c>
      <c r="F59" s="8">
        <v>0</v>
      </c>
      <c r="G59" s="8">
        <v>0.187</v>
      </c>
      <c r="H59" s="8">
        <v>0</v>
      </c>
      <c r="I59" s="8">
        <v>0.96889999999999998</v>
      </c>
      <c r="J59" s="8">
        <v>0.187</v>
      </c>
      <c r="K59" s="8">
        <v>0.96889999999999998</v>
      </c>
      <c r="L59" s="8">
        <v>34.416999999999902</v>
      </c>
      <c r="M59" s="8">
        <v>175.10889999999901</v>
      </c>
      <c r="N59" s="10">
        <v>5.0873502775343198</v>
      </c>
      <c r="O59" s="10">
        <v>5.0856511037897496</v>
      </c>
      <c r="P59" s="10">
        <v>5.0915215885737801</v>
      </c>
      <c r="Q59" s="10">
        <v>5.0890142631602302</v>
      </c>
      <c r="R59" s="8">
        <v>174.081837282723</v>
      </c>
      <c r="S59" s="8">
        <v>174.279055306868</v>
      </c>
      <c r="T59" s="8">
        <v>174.19896806404</v>
      </c>
      <c r="U59" s="9">
        <v>-3.3405554500290499E-4</v>
      </c>
      <c r="V59" s="9">
        <v>7.9820728592959098E-4</v>
      </c>
      <c r="W59" s="9">
        <v>3.3856714298355898E-4</v>
      </c>
      <c r="X59" s="10">
        <v>5.0878606502600396</v>
      </c>
      <c r="Y59" s="10">
        <v>5.08472288464342</v>
      </c>
      <c r="Z59" s="10">
        <v>5.0859117859523497</v>
      </c>
      <c r="AA59" s="10">
        <v>5.0862093618495097</v>
      </c>
      <c r="AB59" s="8">
        <v>175.00090752077199</v>
      </c>
      <c r="AC59" s="8">
        <v>175.03632034741</v>
      </c>
      <c r="AD59" s="8">
        <v>175.05321014775799</v>
      </c>
      <c r="AE59" s="9">
        <v>-6.1690635527725799E-4</v>
      </c>
      <c r="AF59" s="9">
        <v>-4.1456886692171701E-4</v>
      </c>
      <c r="AG59" s="9">
        <v>-9.1691116428777801E-4</v>
      </c>
      <c r="AZ59" s="9"/>
      <c r="BB59">
        <f t="shared" si="2"/>
        <v>0</v>
      </c>
      <c r="BC59">
        <f t="shared" si="3"/>
        <v>0</v>
      </c>
      <c r="BD59">
        <f t="shared" si="4"/>
        <v>0</v>
      </c>
      <c r="BE59">
        <f t="shared" si="0"/>
        <v>1</v>
      </c>
      <c r="BF59">
        <f t="shared" si="5"/>
        <v>0</v>
      </c>
      <c r="BG59" s="9">
        <f t="shared" si="6"/>
        <v>0</v>
      </c>
      <c r="BH59" s="9">
        <f t="shared" si="7"/>
        <v>0</v>
      </c>
      <c r="BI59" s="9">
        <f t="shared" si="8"/>
        <v>0</v>
      </c>
      <c r="BJ59" s="12">
        <f t="shared" si="9"/>
        <v>1.2763059899976916E-3</v>
      </c>
      <c r="BL59" s="9"/>
      <c r="BN59">
        <f t="shared" si="10"/>
        <v>0</v>
      </c>
      <c r="BO59">
        <f t="shared" si="11"/>
        <v>1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-3.3152289811518335E-4</v>
      </c>
      <c r="BX59" s="12">
        <f t="shared" si="18"/>
        <v>0</v>
      </c>
      <c r="BY59" s="12">
        <f t="shared" si="19"/>
        <v>9.4478309188250826E-4</v>
      </c>
    </row>
    <row r="60" spans="1:77" x14ac:dyDescent="0.3">
      <c r="A60" s="1">
        <v>46108</v>
      </c>
      <c r="B60" s="8">
        <v>34.79</v>
      </c>
      <c r="C60" s="8">
        <v>176.95</v>
      </c>
      <c r="D60" s="9">
        <v>1.6227536621756699E-2</v>
      </c>
      <c r="E60" s="9">
        <v>1.60076333910029E-2</v>
      </c>
      <c r="F60" s="8">
        <v>0</v>
      </c>
      <c r="G60" s="8">
        <v>0.187</v>
      </c>
      <c r="H60" s="8">
        <v>0</v>
      </c>
      <c r="I60" s="8">
        <v>0.96889999999999998</v>
      </c>
      <c r="J60" s="8">
        <v>0.187</v>
      </c>
      <c r="K60" s="8">
        <v>0.96889999999999998</v>
      </c>
      <c r="L60" s="8">
        <v>34.976999999999997</v>
      </c>
      <c r="M60" s="8">
        <v>177.91889999999901</v>
      </c>
      <c r="N60" s="10">
        <v>5.0862316757688903</v>
      </c>
      <c r="O60" s="10">
        <v>5.0856511037897496</v>
      </c>
      <c r="P60" s="10">
        <v>5.0912982416148802</v>
      </c>
      <c r="Q60" s="10">
        <v>5.0891484275938303</v>
      </c>
      <c r="R60" s="8">
        <v>176.92980190084501</v>
      </c>
      <c r="S60" s="8">
        <v>177.134036066482</v>
      </c>
      <c r="T60" s="8">
        <v>177.04680621534399</v>
      </c>
      <c r="U60" s="9">
        <v>-1.14152314249017E-4</v>
      </c>
      <c r="V60" s="9">
        <v>1.03950511352371E-3</v>
      </c>
      <c r="W60" s="9">
        <v>5.4693271836346396E-4</v>
      </c>
      <c r="X60" s="10">
        <v>5.0867398576207199</v>
      </c>
      <c r="Y60" s="10">
        <v>5.08472288464342</v>
      </c>
      <c r="Z60" s="10">
        <v>5.0857392571786297</v>
      </c>
      <c r="AA60" s="10">
        <v>5.0863689353757104</v>
      </c>
      <c r="AB60" s="8">
        <v>177.84835233617301</v>
      </c>
      <c r="AC60" s="8">
        <v>177.88993653725501</v>
      </c>
      <c r="AD60" s="8">
        <v>177.90034484941</v>
      </c>
      <c r="AE60" s="9">
        <v>-3.96594482985185E-4</v>
      </c>
      <c r="AF60" s="9">
        <v>-1.6280350477179399E-4</v>
      </c>
      <c r="AG60" s="9">
        <v>2.9957462026690402E-4</v>
      </c>
      <c r="AZ60" s="9"/>
      <c r="BB60">
        <f t="shared" si="2"/>
        <v>0</v>
      </c>
      <c r="BC60">
        <f t="shared" si="3"/>
        <v>1</v>
      </c>
      <c r="BD60">
        <f t="shared" si="4"/>
        <v>0</v>
      </c>
      <c r="BE60">
        <f t="shared" si="0"/>
        <v>1</v>
      </c>
      <c r="BF60">
        <f t="shared" si="5"/>
        <v>0</v>
      </c>
      <c r="BG60" s="9">
        <f t="shared" si="6"/>
        <v>0</v>
      </c>
      <c r="BH60" s="9">
        <f t="shared" si="7"/>
        <v>0</v>
      </c>
      <c r="BI60" s="9">
        <f t="shared" si="8"/>
        <v>0</v>
      </c>
      <c r="BJ60" s="12">
        <f t="shared" si="9"/>
        <v>1.2763059899976916E-3</v>
      </c>
      <c r="BL60" s="9"/>
      <c r="BN60">
        <f t="shared" si="10"/>
        <v>0</v>
      </c>
      <c r="BO60">
        <f t="shared" si="11"/>
        <v>0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-3.3152289811518335E-4</v>
      </c>
      <c r="BX60" s="12">
        <f t="shared" si="18"/>
        <v>0</v>
      </c>
      <c r="BY60" s="12">
        <f t="shared" si="19"/>
        <v>9.4478309188250826E-4</v>
      </c>
    </row>
    <row r="61" spans="1:77" x14ac:dyDescent="0.3">
      <c r="A61" s="1">
        <v>46111</v>
      </c>
      <c r="B61" s="8">
        <v>34.409999999999997</v>
      </c>
      <c r="C61" s="8">
        <v>175</v>
      </c>
      <c r="D61" s="9">
        <v>-1.0982769354461699E-2</v>
      </c>
      <c r="E61" s="9">
        <v>-1.10812328679582E-2</v>
      </c>
      <c r="F61" s="8">
        <v>0</v>
      </c>
      <c r="G61" s="8">
        <v>0.187</v>
      </c>
      <c r="H61" s="8">
        <v>0</v>
      </c>
      <c r="I61" s="8">
        <v>0.96889999999999998</v>
      </c>
      <c r="J61" s="8">
        <v>0.187</v>
      </c>
      <c r="K61" s="8">
        <v>0.96889999999999998</v>
      </c>
      <c r="L61" s="8">
        <v>34.596999999999902</v>
      </c>
      <c r="M61" s="8">
        <v>175.96889999999999</v>
      </c>
      <c r="N61" s="10">
        <v>5.0857308921825002</v>
      </c>
      <c r="O61" s="10">
        <v>5.0856511037897496</v>
      </c>
      <c r="P61" s="10">
        <v>5.0911431512820098</v>
      </c>
      <c r="Q61" s="10">
        <v>5.0891036411880997</v>
      </c>
      <c r="R61" s="8">
        <v>174.99725448140501</v>
      </c>
      <c r="S61" s="8">
        <v>175.19157249396801</v>
      </c>
      <c r="T61" s="8">
        <v>175.11759739350299</v>
      </c>
      <c r="U61" s="9">
        <v>-1.5688800752458E-5</v>
      </c>
      <c r="V61" s="9">
        <v>1.09410121845085E-3</v>
      </c>
      <c r="W61" s="9">
        <v>6.7175942484304504E-4</v>
      </c>
      <c r="X61" s="10">
        <v>5.08624736248807</v>
      </c>
      <c r="Y61" s="10">
        <v>5.08472288464342</v>
      </c>
      <c r="Z61" s="10">
        <v>5.0856358138763103</v>
      </c>
      <c r="AA61" s="10">
        <v>5.0863499724852499</v>
      </c>
      <c r="AB61" s="8">
        <v>175.91615764000801</v>
      </c>
      <c r="AC61" s="8">
        <v>175.95132108060901</v>
      </c>
      <c r="AD61" s="8">
        <v>175.97310605719301</v>
      </c>
      <c r="AE61" s="9">
        <v>-2.9977038945718198E-4</v>
      </c>
      <c r="AF61" s="9">
        <v>-9.9902866345397595E-5</v>
      </c>
      <c r="AG61" s="9">
        <v>1.9704231063864798E-5</v>
      </c>
      <c r="AZ61" s="9"/>
      <c r="BB61">
        <f t="shared" si="2"/>
        <v>0</v>
      </c>
      <c r="BC61">
        <f t="shared" si="3"/>
        <v>1</v>
      </c>
      <c r="BD61">
        <f t="shared" si="4"/>
        <v>0</v>
      </c>
      <c r="BE61">
        <f t="shared" si="0"/>
        <v>1</v>
      </c>
      <c r="BF61">
        <f t="shared" si="5"/>
        <v>0</v>
      </c>
      <c r="BG61" s="9">
        <f t="shared" si="6"/>
        <v>0</v>
      </c>
      <c r="BH61" s="9">
        <f t="shared" si="7"/>
        <v>0</v>
      </c>
      <c r="BI61" s="9">
        <f t="shared" si="8"/>
        <v>0</v>
      </c>
      <c r="BJ61" s="12">
        <f t="shared" si="9"/>
        <v>1.2763059899976916E-3</v>
      </c>
      <c r="BL61" s="9"/>
      <c r="BN61">
        <f t="shared" si="10"/>
        <v>0</v>
      </c>
      <c r="BO61">
        <f t="shared" si="11"/>
        <v>0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-3.3152289811518335E-4</v>
      </c>
      <c r="BX61" s="12">
        <f t="shared" si="18"/>
        <v>0</v>
      </c>
      <c r="BY61" s="12">
        <f t="shared" si="19"/>
        <v>9.4478309188250826E-4</v>
      </c>
    </row>
    <row r="62" spans="1:77" x14ac:dyDescent="0.3">
      <c r="A62" s="1">
        <v>46112</v>
      </c>
      <c r="B62" s="8">
        <v>34.020000000000003</v>
      </c>
      <c r="C62" s="8">
        <v>173.04</v>
      </c>
      <c r="D62" s="9">
        <v>-1.1398632841672999E-2</v>
      </c>
      <c r="E62" s="9">
        <v>-1.1263192278710799E-2</v>
      </c>
      <c r="F62" s="8">
        <v>0</v>
      </c>
      <c r="G62" s="8">
        <v>0.187</v>
      </c>
      <c r="H62" s="8">
        <v>0</v>
      </c>
      <c r="I62" s="8">
        <v>0.96889999999999998</v>
      </c>
      <c r="J62" s="8">
        <v>0.187</v>
      </c>
      <c r="K62" s="8">
        <v>0.96889999999999998</v>
      </c>
      <c r="L62" s="8">
        <v>34.207000000000001</v>
      </c>
      <c r="M62" s="8">
        <v>174.00889999999899</v>
      </c>
      <c r="N62" s="10">
        <v>5.0864197530864104</v>
      </c>
      <c r="O62" s="10">
        <v>5.0856511037897496</v>
      </c>
      <c r="P62" s="10">
        <v>5.0912233772836002</v>
      </c>
      <c r="Q62" s="10">
        <v>5.0890677823693897</v>
      </c>
      <c r="R62" s="8">
        <v>173.013850550927</v>
      </c>
      <c r="S62" s="8">
        <v>173.200690006614</v>
      </c>
      <c r="T62" s="8">
        <v>173.13130587321899</v>
      </c>
      <c r="U62" s="9">
        <v>-1.51129363714833E-4</v>
      </c>
      <c r="V62" s="9">
        <v>9.2819834750209902E-4</v>
      </c>
      <c r="W62" s="9">
        <v>5.2751844989819296E-4</v>
      </c>
      <c r="X62" s="10">
        <v>5.0869383459525803</v>
      </c>
      <c r="Y62" s="10">
        <v>5.08472288464342</v>
      </c>
      <c r="Z62" s="10">
        <v>5.0857678991645203</v>
      </c>
      <c r="AA62" s="10">
        <v>5.0863400433098498</v>
      </c>
      <c r="AB62" s="8">
        <v>173.933115714997</v>
      </c>
      <c r="AC62" s="8">
        <v>173.964344285267</v>
      </c>
      <c r="AD62" s="8">
        <v>173.98877350880301</v>
      </c>
      <c r="AE62" s="9">
        <v>-4.3561445745522802E-4</v>
      </c>
      <c r="AF62" s="9">
        <v>-2.5608701650466298E-4</v>
      </c>
      <c r="AG62" s="9">
        <v>1.9349657278497999E-4</v>
      </c>
      <c r="AZ62" s="9"/>
      <c r="BB62">
        <f t="shared" si="2"/>
        <v>0</v>
      </c>
      <c r="BC62">
        <f t="shared" si="3"/>
        <v>1</v>
      </c>
      <c r="BD62">
        <f t="shared" si="4"/>
        <v>0</v>
      </c>
      <c r="BE62">
        <f t="shared" si="0"/>
        <v>1</v>
      </c>
      <c r="BF62">
        <f t="shared" si="5"/>
        <v>0</v>
      </c>
      <c r="BG62" s="9">
        <f t="shared" si="6"/>
        <v>0</v>
      </c>
      <c r="BH62" s="9">
        <f t="shared" si="7"/>
        <v>0</v>
      </c>
      <c r="BI62" s="9">
        <f t="shared" si="8"/>
        <v>0</v>
      </c>
      <c r="BJ62" s="12">
        <f t="shared" si="9"/>
        <v>1.2763059899976916E-3</v>
      </c>
      <c r="BL62" s="9"/>
      <c r="BN62">
        <f t="shared" si="10"/>
        <v>0</v>
      </c>
      <c r="BO62">
        <f t="shared" si="11"/>
        <v>0</v>
      </c>
      <c r="BP62">
        <f t="shared" si="12"/>
        <v>0</v>
      </c>
      <c r="BQ62">
        <f t="shared" si="1"/>
        <v>1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-3.3152289811518335E-4</v>
      </c>
      <c r="BX62" s="12">
        <f t="shared" si="18"/>
        <v>0</v>
      </c>
      <c r="BY62" s="12">
        <f t="shared" si="19"/>
        <v>9.4478309188250826E-4</v>
      </c>
    </row>
    <row r="63" spans="1:77" x14ac:dyDescent="0.3">
      <c r="A63" s="1">
        <v>46113</v>
      </c>
      <c r="B63" s="8">
        <v>32.799999999999997</v>
      </c>
      <c r="C63" s="8">
        <v>166.8</v>
      </c>
      <c r="D63" s="9">
        <v>-3.6520071577617802E-2</v>
      </c>
      <c r="E63" s="9">
        <v>-3.6727291720156797E-2</v>
      </c>
      <c r="F63" s="8">
        <v>0</v>
      </c>
      <c r="G63" s="8">
        <v>0.187</v>
      </c>
      <c r="H63" s="8">
        <v>0</v>
      </c>
      <c r="I63" s="8">
        <v>0.96889999999999998</v>
      </c>
      <c r="J63" s="8">
        <v>0.187</v>
      </c>
      <c r="K63" s="8">
        <v>0.96889999999999998</v>
      </c>
      <c r="L63" s="8">
        <v>32.986999999999902</v>
      </c>
      <c r="M63" s="8">
        <v>167.7689</v>
      </c>
      <c r="N63" s="10">
        <v>5.08536585365853</v>
      </c>
      <c r="O63" s="10">
        <v>5.0856511037897496</v>
      </c>
      <c r="P63" s="10">
        <v>5.0913599626494497</v>
      </c>
      <c r="Q63" s="10">
        <v>5.08893184699338</v>
      </c>
      <c r="R63" s="8">
        <v>166.80935620430299</v>
      </c>
      <c r="S63" s="8">
        <v>166.992126774902</v>
      </c>
      <c r="T63" s="8">
        <v>166.921423261716</v>
      </c>
      <c r="U63" s="9">
        <v>5.6090778824336599E-5</v>
      </c>
      <c r="V63" s="9">
        <v>1.1511763202792999E-3</v>
      </c>
      <c r="W63" s="9">
        <v>7.2769237220434899E-4</v>
      </c>
      <c r="X63" s="10">
        <v>5.0859096007518101</v>
      </c>
      <c r="Y63" s="10">
        <v>5.08472288464342</v>
      </c>
      <c r="Z63" s="10">
        <v>5.0859588592396996</v>
      </c>
      <c r="AA63" s="10">
        <v>5.0862312952885098</v>
      </c>
      <c r="AB63" s="8">
        <v>167.72975379573199</v>
      </c>
      <c r="AC63" s="8">
        <v>167.76422568973999</v>
      </c>
      <c r="AD63" s="8">
        <v>167.78309900866199</v>
      </c>
      <c r="AE63" s="9">
        <v>-2.3336132054284001E-4</v>
      </c>
      <c r="AF63" s="9">
        <v>-2.7861989784441599E-5</v>
      </c>
      <c r="AG63" s="9">
        <v>6.1429270065756604E-4</v>
      </c>
      <c r="AZ63" s="9"/>
      <c r="BB63">
        <f t="shared" si="2"/>
        <v>0</v>
      </c>
      <c r="BC63">
        <f t="shared" si="3"/>
        <v>1</v>
      </c>
      <c r="BD63">
        <f t="shared" si="4"/>
        <v>0</v>
      </c>
      <c r="BE63">
        <f t="shared" si="0"/>
        <v>1</v>
      </c>
      <c r="BF63">
        <f t="shared" si="5"/>
        <v>0</v>
      </c>
      <c r="BG63" s="9">
        <f t="shared" si="6"/>
        <v>0</v>
      </c>
      <c r="BH63" s="9">
        <f t="shared" si="7"/>
        <v>0</v>
      </c>
      <c r="BI63" s="9">
        <f t="shared" si="8"/>
        <v>0</v>
      </c>
      <c r="BJ63" s="12">
        <f t="shared" si="9"/>
        <v>1.2763059899976916E-3</v>
      </c>
      <c r="BL63" s="9"/>
      <c r="BN63">
        <f t="shared" si="10"/>
        <v>0</v>
      </c>
      <c r="BO63">
        <f t="shared" si="11"/>
        <v>0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-3.3152289811518335E-4</v>
      </c>
      <c r="BX63" s="12">
        <f t="shared" si="18"/>
        <v>0</v>
      </c>
      <c r="BY63" s="12">
        <f t="shared" si="19"/>
        <v>9.4478309188250826E-4</v>
      </c>
    </row>
    <row r="64" spans="1:77" x14ac:dyDescent="0.3">
      <c r="A64" s="1">
        <v>46114</v>
      </c>
      <c r="B64" s="8">
        <v>33.04</v>
      </c>
      <c r="C64" s="8">
        <v>168.06</v>
      </c>
      <c r="D64" s="9">
        <v>7.2904332626792696E-3</v>
      </c>
      <c r="E64" s="9">
        <v>7.5255685754258101E-3</v>
      </c>
      <c r="F64" s="8">
        <v>0</v>
      </c>
      <c r="G64" s="8">
        <v>0.187</v>
      </c>
      <c r="H64" s="8">
        <v>0</v>
      </c>
      <c r="I64" s="8">
        <v>0.96889999999999998</v>
      </c>
      <c r="J64" s="8">
        <v>0.187</v>
      </c>
      <c r="K64" s="8">
        <v>0.96889999999999998</v>
      </c>
      <c r="L64" s="8">
        <v>33.226999999999997</v>
      </c>
      <c r="M64" s="8">
        <v>169.02889999999999</v>
      </c>
      <c r="N64" s="10">
        <v>5.0865617433413997</v>
      </c>
      <c r="O64" s="10">
        <v>5.0856511037897496</v>
      </c>
      <c r="P64" s="10">
        <v>5.0914126834846503</v>
      </c>
      <c r="Q64" s="10">
        <v>5.0890215657729403</v>
      </c>
      <c r="R64" s="8">
        <v>168.029912469213</v>
      </c>
      <c r="S64" s="8">
        <v>168.218533165938</v>
      </c>
      <c r="T64" s="8">
        <v>168.13830822466099</v>
      </c>
      <c r="U64" s="9">
        <v>-1.79044533922278E-4</v>
      </c>
      <c r="V64" s="9">
        <v>9.4286825977390402E-4</v>
      </c>
      <c r="W64" s="9">
        <v>4.65845449914154E-4</v>
      </c>
      <c r="X64" s="10">
        <v>5.0870948325157199</v>
      </c>
      <c r="Y64" s="10">
        <v>5.08472288464342</v>
      </c>
      <c r="Z64" s="10">
        <v>5.0860648889923299</v>
      </c>
      <c r="AA64" s="10">
        <v>5.0863476685267797</v>
      </c>
      <c r="AB64" s="8">
        <v>168.950087288047</v>
      </c>
      <c r="AC64" s="8">
        <v>168.99115501595699</v>
      </c>
      <c r="AD64" s="8">
        <v>169.00020724855099</v>
      </c>
      <c r="AE64" s="9">
        <v>-4.6637641004778398E-4</v>
      </c>
      <c r="AF64" s="9">
        <v>-2.23329850634994E-4</v>
      </c>
      <c r="AG64" s="9">
        <v>-1.90431078769153E-3</v>
      </c>
      <c r="AZ64" s="9"/>
      <c r="BB64">
        <f t="shared" si="2"/>
        <v>1</v>
      </c>
      <c r="BC64">
        <f t="shared" si="3"/>
        <v>0</v>
      </c>
      <c r="BD64">
        <f t="shared" si="4"/>
        <v>0</v>
      </c>
      <c r="BE64">
        <f t="shared" si="0"/>
        <v>1</v>
      </c>
      <c r="BF64">
        <f t="shared" si="5"/>
        <v>0</v>
      </c>
      <c r="BG64" s="9">
        <f t="shared" si="6"/>
        <v>0</v>
      </c>
      <c r="BH64" s="9">
        <f t="shared" si="7"/>
        <v>0</v>
      </c>
      <c r="BI64" s="9">
        <f t="shared" si="8"/>
        <v>0</v>
      </c>
      <c r="BJ64" s="12">
        <f t="shared" si="9"/>
        <v>1.2763059899976916E-3</v>
      </c>
      <c r="BL64" s="9"/>
      <c r="BN64">
        <f t="shared" si="10"/>
        <v>0</v>
      </c>
      <c r="BO64">
        <f t="shared" si="11"/>
        <v>1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-3.3152289811518335E-4</v>
      </c>
      <c r="BX64" s="12">
        <f t="shared" si="18"/>
        <v>0</v>
      </c>
      <c r="BY64" s="12">
        <f t="shared" si="19"/>
        <v>9.4478309188250826E-4</v>
      </c>
    </row>
    <row r="65" spans="1:77" x14ac:dyDescent="0.3">
      <c r="A65" s="1">
        <v>46118</v>
      </c>
      <c r="B65" s="8">
        <v>33.270000000000003</v>
      </c>
      <c r="C65" s="8">
        <v>169.13</v>
      </c>
      <c r="D65" s="9">
        <v>6.9371413776081903E-3</v>
      </c>
      <c r="E65" s="9">
        <v>6.3465914858783596E-3</v>
      </c>
      <c r="F65" s="8">
        <v>0</v>
      </c>
      <c r="G65" s="8">
        <v>0.187</v>
      </c>
      <c r="H65" s="8">
        <v>0</v>
      </c>
      <c r="I65" s="8">
        <v>0.96889999999999998</v>
      </c>
      <c r="J65" s="8">
        <v>0.187</v>
      </c>
      <c r="K65" s="8">
        <v>0.96889999999999998</v>
      </c>
      <c r="L65" s="8">
        <v>33.457000000000001</v>
      </c>
      <c r="M65" s="8">
        <v>170.09889999999999</v>
      </c>
      <c r="N65" s="10">
        <v>5.0835587616471196</v>
      </c>
      <c r="O65" s="10">
        <v>5.0856511037897496</v>
      </c>
      <c r="P65" s="10">
        <v>5.0882746572103397</v>
      </c>
      <c r="Q65" s="10">
        <v>5.0887844576327996</v>
      </c>
      <c r="R65" s="8">
        <v>169.19961222308501</v>
      </c>
      <c r="S65" s="8">
        <v>169.39129997953401</v>
      </c>
      <c r="T65" s="8">
        <v>169.31174749326601</v>
      </c>
      <c r="U65" s="9">
        <v>4.1150535780760299E-4</v>
      </c>
      <c r="V65" s="9">
        <v>1.5437730591566399E-3</v>
      </c>
      <c r="W65" s="9">
        <v>1.0740253652697801E-3</v>
      </c>
      <c r="X65" s="10">
        <v>5.0841049705592196</v>
      </c>
      <c r="Y65" s="10">
        <v>5.08472288464342</v>
      </c>
      <c r="Z65" s="10">
        <v>5.0858810913260903</v>
      </c>
      <c r="AA65" s="10">
        <v>5.08613787083224</v>
      </c>
      <c r="AB65" s="8">
        <v>170.119573551515</v>
      </c>
      <c r="AC65" s="8">
        <v>170.164472991016</v>
      </c>
      <c r="AD65" s="8">
        <v>170.17393394589999</v>
      </c>
      <c r="AE65" s="9">
        <v>1.21531034600759E-4</v>
      </c>
      <c r="AF65" s="9">
        <v>3.8542492100783298E-4</v>
      </c>
      <c r="AG65" s="9">
        <v>-7.9312802665805796E-4</v>
      </c>
      <c r="AZ65" s="9"/>
      <c r="BB65">
        <f t="shared" si="2"/>
        <v>0</v>
      </c>
      <c r="BC65">
        <f t="shared" si="3"/>
        <v>0</v>
      </c>
      <c r="BD65">
        <f t="shared" si="4"/>
        <v>1</v>
      </c>
      <c r="BE65">
        <f t="shared" si="0"/>
        <v>1</v>
      </c>
      <c r="BF65">
        <f t="shared" si="5"/>
        <v>1</v>
      </c>
      <c r="BG65" s="9">
        <f t="shared" si="6"/>
        <v>6.9371413776081903E-3</v>
      </c>
      <c r="BH65" s="9">
        <f t="shared" si="7"/>
        <v>-6.3465914858783596E-3</v>
      </c>
      <c r="BI65" s="9">
        <f t="shared" si="8"/>
        <v>5.9054989172983071E-4</v>
      </c>
      <c r="BJ65" s="12">
        <f t="shared" si="9"/>
        <v>1.8668558817275223E-3</v>
      </c>
      <c r="BL65" s="9"/>
      <c r="BN65">
        <f t="shared" si="10"/>
        <v>0</v>
      </c>
      <c r="BO65">
        <f t="shared" si="11"/>
        <v>1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-3.3152289811518335E-4</v>
      </c>
      <c r="BX65" s="12">
        <f t="shared" si="18"/>
        <v>5.9054989172983071E-4</v>
      </c>
      <c r="BY65" s="12">
        <f t="shared" si="19"/>
        <v>1.5353329836123391E-3</v>
      </c>
    </row>
    <row r="66" spans="1:77" x14ac:dyDescent="0.3">
      <c r="A66" s="1">
        <v>46119</v>
      </c>
      <c r="B66" s="8">
        <v>33.54</v>
      </c>
      <c r="C66" s="8">
        <v>170.54</v>
      </c>
      <c r="D66" s="9">
        <v>8.0826663646772594E-3</v>
      </c>
      <c r="E66" s="9">
        <v>8.30222332795294E-3</v>
      </c>
      <c r="F66" s="8">
        <v>0</v>
      </c>
      <c r="G66" s="8">
        <v>0.187</v>
      </c>
      <c r="H66" s="8">
        <v>0</v>
      </c>
      <c r="I66" s="8">
        <v>0.96889999999999998</v>
      </c>
      <c r="J66" s="8">
        <v>0.187</v>
      </c>
      <c r="K66" s="8">
        <v>0.96889999999999998</v>
      </c>
      <c r="L66" s="8">
        <v>33.726999999999997</v>
      </c>
      <c r="M66" s="8">
        <v>171.50889999999899</v>
      </c>
      <c r="N66" s="10">
        <v>5.0846750149075701</v>
      </c>
      <c r="O66" s="10">
        <v>5.0856511037897496</v>
      </c>
      <c r="P66" s="10">
        <v>5.0856411028941597</v>
      </c>
      <c r="Q66" s="10">
        <v>5.0887343209101399</v>
      </c>
      <c r="R66" s="8">
        <v>170.57273802110799</v>
      </c>
      <c r="S66" s="8">
        <v>170.660732002835</v>
      </c>
      <c r="T66" s="8">
        <v>170.67783070900401</v>
      </c>
      <c r="U66" s="9">
        <v>1.9194839453203199E-4</v>
      </c>
      <c r="V66" s="9">
        <v>7.0768903199673605E-4</v>
      </c>
      <c r="W66" s="9">
        <v>8.0787522864296795E-4</v>
      </c>
      <c r="X66" s="10">
        <v>5.0852106620808204</v>
      </c>
      <c r="Y66" s="10">
        <v>5.08472288464342</v>
      </c>
      <c r="Z66" s="10">
        <v>5.0861680632845401</v>
      </c>
      <c r="AA66" s="10">
        <v>5.0861145164682497</v>
      </c>
      <c r="AB66" s="8">
        <v>171.49244873036801</v>
      </c>
      <c r="AC66" s="8">
        <v>171.53151156715501</v>
      </c>
      <c r="AD66" s="8">
        <v>171.540171969559</v>
      </c>
      <c r="AE66" s="9">
        <v>-9.5925393324421197E-5</v>
      </c>
      <c r="AF66" s="9">
        <v>1.31830340832111E-4</v>
      </c>
      <c r="AG66" s="9">
        <v>-1.6424945107508099E-3</v>
      </c>
      <c r="AZ66" s="9"/>
      <c r="BB66">
        <f t="shared" si="2"/>
        <v>1</v>
      </c>
      <c r="BC66">
        <f t="shared" si="3"/>
        <v>0</v>
      </c>
      <c r="BD66">
        <f t="shared" si="4"/>
        <v>1</v>
      </c>
      <c r="BE66">
        <f t="shared" si="0"/>
        <v>1</v>
      </c>
      <c r="BF66">
        <f t="shared" si="5"/>
        <v>1</v>
      </c>
      <c r="BG66" s="9">
        <f t="shared" si="6"/>
        <v>8.0826663646772594E-3</v>
      </c>
      <c r="BH66" s="9">
        <f t="shared" si="7"/>
        <v>-8.30222332795294E-3</v>
      </c>
      <c r="BI66" s="9">
        <f t="shared" si="8"/>
        <v>-2.1955696327568067E-4</v>
      </c>
      <c r="BJ66" s="12">
        <f t="shared" si="9"/>
        <v>1.6472989184518417E-3</v>
      </c>
      <c r="BL66" s="9"/>
      <c r="BN66">
        <f t="shared" si="10"/>
        <v>0</v>
      </c>
      <c r="BO66">
        <f t="shared" si="11"/>
        <v>1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-3.3152289811518335E-4</v>
      </c>
      <c r="BX66" s="12">
        <f t="shared" si="18"/>
        <v>-2.1955696327568067E-4</v>
      </c>
      <c r="BY66" s="12">
        <f t="shared" si="19"/>
        <v>1.3157760203366584E-3</v>
      </c>
    </row>
    <row r="67" spans="1:77" x14ac:dyDescent="0.3">
      <c r="A67" s="1">
        <v>46120</v>
      </c>
      <c r="B67" s="8">
        <v>32.4</v>
      </c>
      <c r="C67" s="8">
        <v>164.78</v>
      </c>
      <c r="D67" s="9">
        <v>-3.4580333596778999E-2</v>
      </c>
      <c r="E67" s="9">
        <v>-3.4358622426459498E-2</v>
      </c>
      <c r="F67" s="8">
        <v>0</v>
      </c>
      <c r="G67" s="8">
        <v>0.187</v>
      </c>
      <c r="H67" s="8">
        <v>0</v>
      </c>
      <c r="I67" s="8">
        <v>0.96889999999999998</v>
      </c>
      <c r="J67" s="8">
        <v>0.187</v>
      </c>
      <c r="K67" s="8">
        <v>0.96889999999999998</v>
      </c>
      <c r="L67" s="8">
        <v>32.586999999999897</v>
      </c>
      <c r="M67" s="8">
        <v>165.74889999999999</v>
      </c>
      <c r="N67" s="10">
        <v>5.0858024691357997</v>
      </c>
      <c r="O67" s="10">
        <v>5.0856511037897496</v>
      </c>
      <c r="P67" s="10">
        <v>5.0857427678284202</v>
      </c>
      <c r="Q67" s="10">
        <v>5.0886540979765202</v>
      </c>
      <c r="R67" s="8">
        <v>164.775095762787</v>
      </c>
      <c r="S67" s="8">
        <v>164.77477173377</v>
      </c>
      <c r="T67" s="8">
        <v>164.874991997488</v>
      </c>
      <c r="U67" s="9">
        <v>-2.9762775787562399E-5</v>
      </c>
      <c r="V67" s="9">
        <v>-3.1729270384823201E-5</v>
      </c>
      <c r="W67" s="9">
        <v>5.7631161319523399E-4</v>
      </c>
      <c r="X67" s="10">
        <v>5.0863503851229002</v>
      </c>
      <c r="Y67" s="10">
        <v>5.08472288464342</v>
      </c>
      <c r="Z67" s="10">
        <v>5.08627150382992</v>
      </c>
      <c r="AA67" s="10">
        <v>5.0860616893339801</v>
      </c>
      <c r="AB67" s="8">
        <v>165.695864641875</v>
      </c>
      <c r="AC67" s="8">
        <v>165.74295867825299</v>
      </c>
      <c r="AD67" s="8">
        <v>165.74121374815101</v>
      </c>
      <c r="AE67" s="9">
        <v>-3.2002532086884401E-4</v>
      </c>
      <c r="AF67" s="9">
        <v>-3.5845958756003503E-5</v>
      </c>
      <c r="AG67" s="9">
        <v>9.2549240148967796E-4</v>
      </c>
      <c r="AZ67" s="9"/>
      <c r="BB67">
        <f t="shared" si="2"/>
        <v>0</v>
      </c>
      <c r="BC67">
        <f t="shared" si="3"/>
        <v>1</v>
      </c>
      <c r="BD67">
        <f t="shared" si="4"/>
        <v>1</v>
      </c>
      <c r="BE67">
        <f t="shared" si="0"/>
        <v>1</v>
      </c>
      <c r="BF67">
        <f t="shared" si="5"/>
        <v>1</v>
      </c>
      <c r="BG67" s="9">
        <f t="shared" si="6"/>
        <v>-3.4580333596778999E-2</v>
      </c>
      <c r="BH67" s="9">
        <f t="shared" si="7"/>
        <v>3.4358622426459498E-2</v>
      </c>
      <c r="BI67" s="9">
        <f t="shared" si="8"/>
        <v>-2.2171117031950099E-4</v>
      </c>
      <c r="BJ67" s="12">
        <f t="shared" si="9"/>
        <v>1.4255877481323407E-3</v>
      </c>
      <c r="BL67" s="9"/>
      <c r="BN67">
        <f t="shared" si="10"/>
        <v>0</v>
      </c>
      <c r="BO67">
        <f t="shared" si="11"/>
        <v>0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-3.3152289811518335E-4</v>
      </c>
      <c r="BX67" s="12">
        <f t="shared" si="18"/>
        <v>-2.2171117031950099E-4</v>
      </c>
      <c r="BY67" s="12">
        <f t="shared" si="19"/>
        <v>1.0940648500171574E-3</v>
      </c>
    </row>
    <row r="68" spans="1:77" x14ac:dyDescent="0.3">
      <c r="A68" s="1">
        <v>46121</v>
      </c>
      <c r="B68" s="8">
        <v>31.99</v>
      </c>
      <c r="C68" s="8">
        <v>162.72999999999999</v>
      </c>
      <c r="D68" s="9">
        <v>-1.2735068836857001E-2</v>
      </c>
      <c r="E68" s="9">
        <v>-1.2518865214921E-2</v>
      </c>
      <c r="F68" s="8">
        <v>0</v>
      </c>
      <c r="G68" s="8">
        <v>0.187</v>
      </c>
      <c r="H68" s="8">
        <v>0</v>
      </c>
      <c r="I68" s="8">
        <v>0.96889999999999998</v>
      </c>
      <c r="J68" s="8">
        <v>0.187</v>
      </c>
      <c r="K68" s="8">
        <v>0.96889999999999998</v>
      </c>
      <c r="L68" s="8">
        <v>32.177</v>
      </c>
      <c r="M68" s="8">
        <v>163.69889999999901</v>
      </c>
      <c r="N68" s="10">
        <v>5.0869021569240296</v>
      </c>
      <c r="O68" s="10">
        <v>5.0856511037897496</v>
      </c>
      <c r="P68" s="10">
        <v>5.08585985981866</v>
      </c>
      <c r="Q68" s="10">
        <v>5.0886362592529997</v>
      </c>
      <c r="R68" s="8">
        <v>162.68997881023401</v>
      </c>
      <c r="S68" s="8">
        <v>162.69291114283101</v>
      </c>
      <c r="T68" s="8">
        <v>162.78604459426799</v>
      </c>
      <c r="U68" s="9">
        <v>-2.4596639772350102E-4</v>
      </c>
      <c r="V68" s="9">
        <v>-2.27942508405466E-4</v>
      </c>
      <c r="W68" s="9">
        <v>3.44343056223584E-4</v>
      </c>
      <c r="X68" s="10">
        <v>5.0874506635174104</v>
      </c>
      <c r="Y68" s="10">
        <v>5.08472288464342</v>
      </c>
      <c r="Z68" s="10">
        <v>5.0863907330869296</v>
      </c>
      <c r="AA68" s="10">
        <v>5.0860712759401396</v>
      </c>
      <c r="AB68" s="8">
        <v>163.61112825917101</v>
      </c>
      <c r="AC68" s="8">
        <v>163.660958178735</v>
      </c>
      <c r="AD68" s="8">
        <v>163.654206977699</v>
      </c>
      <c r="AE68" s="9">
        <v>-5.3632174607822099E-4</v>
      </c>
      <c r="AF68" s="9">
        <v>-2.3180497233607101E-4</v>
      </c>
      <c r="AG68" s="9">
        <v>1.48835824812377E-3</v>
      </c>
      <c r="AZ68" s="9"/>
      <c r="BB68">
        <f t="shared" si="2"/>
        <v>0</v>
      </c>
      <c r="BC68">
        <f t="shared" si="3"/>
        <v>1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1.4255877481323407E-3</v>
      </c>
      <c r="BL68" s="9"/>
      <c r="BN68">
        <f t="shared" si="10"/>
        <v>0</v>
      </c>
      <c r="BO68">
        <f t="shared" si="11"/>
        <v>0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-3.3152289811518335E-4</v>
      </c>
      <c r="BX68" s="12">
        <f t="shared" si="18"/>
        <v>0</v>
      </c>
      <c r="BY68" s="12">
        <f t="shared" si="19"/>
        <v>1.0940648500171574E-3</v>
      </c>
    </row>
    <row r="69" spans="1:77" x14ac:dyDescent="0.3">
      <c r="A69" s="1">
        <v>46122</v>
      </c>
      <c r="B69" s="8">
        <v>31.82</v>
      </c>
      <c r="C69" s="8">
        <v>161.79</v>
      </c>
      <c r="D69" s="9">
        <v>-5.3283310517857696E-3</v>
      </c>
      <c r="E69" s="9">
        <v>-5.79318765527759E-3</v>
      </c>
      <c r="F69" s="8">
        <v>0</v>
      </c>
      <c r="G69" s="8">
        <v>0.187</v>
      </c>
      <c r="H69" s="8">
        <v>0</v>
      </c>
      <c r="I69" s="8">
        <v>0.96889999999999998</v>
      </c>
      <c r="J69" s="8">
        <v>0.187</v>
      </c>
      <c r="K69" s="8">
        <v>0.96889999999999998</v>
      </c>
      <c r="L69" s="8">
        <v>32.006999999999998</v>
      </c>
      <c r="M69" s="8">
        <v>162.75889999999899</v>
      </c>
      <c r="N69" s="10">
        <v>5.0845380263984898</v>
      </c>
      <c r="O69" s="10">
        <v>5.0856511037897496</v>
      </c>
      <c r="P69" s="10">
        <v>5.0855786347050804</v>
      </c>
      <c r="Q69" s="10">
        <v>5.0885501116394298</v>
      </c>
      <c r="R69" s="8">
        <v>161.82541812258901</v>
      </c>
      <c r="S69" s="8">
        <v>161.83206073942901</v>
      </c>
      <c r="T69" s="8">
        <v>161.92040576943</v>
      </c>
      <c r="U69" s="9">
        <v>2.18890205768326E-4</v>
      </c>
      <c r="V69" s="9">
        <v>2.5993740705181902E-4</v>
      </c>
      <c r="W69" s="9">
        <v>8.0569406581267099E-4</v>
      </c>
      <c r="X69" s="10">
        <v>5.0851032586621603</v>
      </c>
      <c r="Y69" s="10">
        <v>5.08472288464342</v>
      </c>
      <c r="Z69" s="10">
        <v>5.0861149939271399</v>
      </c>
      <c r="AA69" s="10">
        <v>5.0860133899397404</v>
      </c>
      <c r="AB69" s="8">
        <v>162.74672536878199</v>
      </c>
      <c r="AC69" s="8">
        <v>162.80010819391299</v>
      </c>
      <c r="AD69" s="8">
        <v>162.78988332901599</v>
      </c>
      <c r="AE69" s="9">
        <v>-7.4804429016059898E-5</v>
      </c>
      <c r="AF69" s="9">
        <v>2.5315345664772001E-4</v>
      </c>
      <c r="AG69" s="9">
        <v>2.3314780711983299E-3</v>
      </c>
      <c r="AZ69" s="9"/>
      <c r="BB69">
        <f t="shared" si="2"/>
        <v>0</v>
      </c>
      <c r="BC69">
        <f t="shared" si="3"/>
        <v>1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1.4255877481323407E-3</v>
      </c>
      <c r="BL69" s="9"/>
      <c r="BN69">
        <f t="shared" si="10"/>
        <v>1</v>
      </c>
      <c r="BO69">
        <f t="shared" si="11"/>
        <v>0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-3.3152289811518335E-4</v>
      </c>
      <c r="BX69" s="12">
        <f t="shared" si="18"/>
        <v>0</v>
      </c>
      <c r="BY69" s="12">
        <f t="shared" si="19"/>
        <v>1.0940648500171574E-3</v>
      </c>
    </row>
    <row r="70" spans="1:77" x14ac:dyDescent="0.3">
      <c r="A70" s="1">
        <v>46125</v>
      </c>
      <c r="B70" s="8">
        <v>31.91</v>
      </c>
      <c r="C70" s="8">
        <v>162.31</v>
      </c>
      <c r="D70" s="9">
        <v>2.8244173805114202E-3</v>
      </c>
      <c r="E70" s="9">
        <v>3.2088888997339601E-3</v>
      </c>
      <c r="F70" s="8">
        <v>0</v>
      </c>
      <c r="G70" s="8">
        <v>0.187</v>
      </c>
      <c r="H70" s="8">
        <v>0</v>
      </c>
      <c r="I70" s="8">
        <v>0.96889999999999998</v>
      </c>
      <c r="J70" s="8">
        <v>0.187</v>
      </c>
      <c r="K70" s="8">
        <v>0.96889999999999998</v>
      </c>
      <c r="L70" s="8">
        <v>32.097000000000001</v>
      </c>
      <c r="M70" s="8">
        <v>163.27889999999999</v>
      </c>
      <c r="N70" s="10">
        <v>5.0864932623002197</v>
      </c>
      <c r="O70" s="10">
        <v>5.0856511037897496</v>
      </c>
      <c r="P70" s="10">
        <v>5.0856047933582103</v>
      </c>
      <c r="Q70" s="10">
        <v>5.0884515174865399</v>
      </c>
      <c r="R70" s="8">
        <v>162.28312672192999</v>
      </c>
      <c r="S70" s="8">
        <v>162.280814233439</v>
      </c>
      <c r="T70" s="8">
        <v>162.37563406241401</v>
      </c>
      <c r="U70" s="9">
        <v>-1.6558131345444601E-4</v>
      </c>
      <c r="V70" s="9">
        <v>-1.7983113113328601E-4</v>
      </c>
      <c r="W70" s="9">
        <v>4.0429299249946E-4</v>
      </c>
      <c r="X70" s="10">
        <v>5.0870455182727303</v>
      </c>
      <c r="Y70" s="10">
        <v>5.08472288464342</v>
      </c>
      <c r="Z70" s="10">
        <v>5.0861455599923397</v>
      </c>
      <c r="AA70" s="10">
        <v>5.0859424085854901</v>
      </c>
      <c r="AB70" s="8">
        <v>163.20435042839901</v>
      </c>
      <c r="AC70" s="8">
        <v>163.24903296007901</v>
      </c>
      <c r="AD70" s="8">
        <v>163.24577177689599</v>
      </c>
      <c r="AE70" s="9">
        <v>-4.5668237373802201E-4</v>
      </c>
      <c r="AF70" s="9">
        <v>-1.8293712107843199E-4</v>
      </c>
      <c r="AG70" s="9">
        <v>8.4373791429531904E-4</v>
      </c>
      <c r="AZ70" s="9"/>
      <c r="BB70">
        <f t="shared" si="2"/>
        <v>0</v>
      </c>
      <c r="BC70">
        <f t="shared" si="3"/>
        <v>1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1.4255877481323407E-3</v>
      </c>
      <c r="BL70" s="9"/>
      <c r="BN70">
        <f t="shared" si="10"/>
        <v>0</v>
      </c>
      <c r="BO70">
        <f t="shared" si="11"/>
        <v>0</v>
      </c>
      <c r="BP70">
        <f t="shared" si="12"/>
        <v>1</v>
      </c>
      <c r="BQ70">
        <f t="shared" si="1"/>
        <v>1</v>
      </c>
      <c r="BR70">
        <f t="shared" si="13"/>
        <v>1</v>
      </c>
      <c r="BS70" s="9">
        <f t="shared" si="14"/>
        <v>-2.8244173805114202E-3</v>
      </c>
      <c r="BT70" s="9">
        <f t="shared" si="15"/>
        <v>3.2088888997339601E-3</v>
      </c>
      <c r="BU70" s="9">
        <f t="shared" si="16"/>
        <v>3.8447151922253991E-4</v>
      </c>
      <c r="BV70" s="12">
        <f t="shared" si="17"/>
        <v>5.2948621107356555E-5</v>
      </c>
      <c r="BX70" s="12">
        <f t="shared" si="18"/>
        <v>3.8447151922253991E-4</v>
      </c>
      <c r="BY70" s="12">
        <f t="shared" si="19"/>
        <v>1.4785363692396973E-3</v>
      </c>
    </row>
    <row r="71" spans="1:77" x14ac:dyDescent="0.3">
      <c r="A71" s="1">
        <v>46126</v>
      </c>
      <c r="B71" s="8">
        <v>31.2</v>
      </c>
      <c r="C71" s="8">
        <v>158.69</v>
      </c>
      <c r="D71" s="9">
        <v>-2.2501345474715499E-2</v>
      </c>
      <c r="E71" s="9">
        <v>-2.25554733422282E-2</v>
      </c>
      <c r="F71" s="8">
        <v>0</v>
      </c>
      <c r="G71" s="8">
        <v>0.187</v>
      </c>
      <c r="H71" s="8">
        <v>0</v>
      </c>
      <c r="I71" s="8">
        <v>0.96889999999999998</v>
      </c>
      <c r="J71" s="8">
        <v>0.187</v>
      </c>
      <c r="K71" s="8">
        <v>0.96889999999999998</v>
      </c>
      <c r="L71" s="8">
        <v>31.387</v>
      </c>
      <c r="M71" s="8">
        <v>159.65889999999999</v>
      </c>
      <c r="N71" s="10">
        <v>5.0862179487179402</v>
      </c>
      <c r="O71" s="10">
        <v>5.0856511037897496</v>
      </c>
      <c r="P71" s="10">
        <v>5.0856534990117499</v>
      </c>
      <c r="Q71" s="10">
        <v>5.0883983251468798</v>
      </c>
      <c r="R71" s="8">
        <v>158.67231443823999</v>
      </c>
      <c r="S71" s="8">
        <v>158.670869552776</v>
      </c>
      <c r="T71" s="8">
        <v>158.75968734558001</v>
      </c>
      <c r="U71" s="9">
        <v>-1.11453445941496E-4</v>
      </c>
      <c r="V71" s="9">
        <v>-1.20559584260698E-4</v>
      </c>
      <c r="W71" s="9">
        <v>4.39044985568865E-4</v>
      </c>
      <c r="X71" s="10">
        <v>5.0867843374645503</v>
      </c>
      <c r="Y71" s="10">
        <v>5.08472288464342</v>
      </c>
      <c r="Z71" s="10">
        <v>5.0861992574899899</v>
      </c>
      <c r="AA71" s="10">
        <v>5.0859175356831496</v>
      </c>
      <c r="AB71" s="8">
        <v>159.59419718030301</v>
      </c>
      <c r="AC71" s="8">
        <v>159.63885069147901</v>
      </c>
      <c r="AD71" s="8">
        <v>159.63247437827201</v>
      </c>
      <c r="AE71" s="9">
        <v>-4.0533871811560202E-4</v>
      </c>
      <c r="AF71" s="9">
        <v>-1.25583775664709E-4</v>
      </c>
      <c r="AG71" s="9">
        <v>1.2802857225088101E-3</v>
      </c>
      <c r="AZ71" s="9"/>
      <c r="BB71">
        <f t="shared" si="2"/>
        <v>0</v>
      </c>
      <c r="BC71">
        <f t="shared" si="3"/>
        <v>1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1.4255877481323407E-3</v>
      </c>
      <c r="BL71" s="9"/>
      <c r="BN71">
        <f t="shared" si="10"/>
        <v>0</v>
      </c>
      <c r="BO71">
        <f t="shared" si="11"/>
        <v>0</v>
      </c>
      <c r="BP71">
        <f t="shared" si="12"/>
        <v>1</v>
      </c>
      <c r="BQ71">
        <f t="shared" si="1"/>
        <v>1</v>
      </c>
      <c r="BR71">
        <f t="shared" si="13"/>
        <v>1</v>
      </c>
      <c r="BS71" s="9">
        <f t="shared" si="14"/>
        <v>2.2501345474715499E-2</v>
      </c>
      <c r="BT71" s="9">
        <f t="shared" si="15"/>
        <v>-2.25554733422282E-2</v>
      </c>
      <c r="BU71" s="9">
        <f t="shared" si="16"/>
        <v>-5.41278675127016E-5</v>
      </c>
      <c r="BV71" s="12">
        <f t="shared" si="17"/>
        <v>-1.179246405345045E-6</v>
      </c>
      <c r="BX71" s="12">
        <f t="shared" si="18"/>
        <v>-5.41278675127016E-5</v>
      </c>
      <c r="BY71" s="12">
        <f t="shared" si="19"/>
        <v>1.4244085017269957E-3</v>
      </c>
    </row>
    <row r="72" spans="1:77" x14ac:dyDescent="0.3">
      <c r="A72" s="1">
        <v>46127</v>
      </c>
      <c r="B72" s="8">
        <v>31.15</v>
      </c>
      <c r="C72" s="8">
        <v>158.44999999999999</v>
      </c>
      <c r="D72" s="9">
        <v>-1.6038495819745101E-3</v>
      </c>
      <c r="E72" s="9">
        <v>-1.5135274378212499E-3</v>
      </c>
      <c r="F72" s="8">
        <v>0</v>
      </c>
      <c r="G72" s="8">
        <v>0.187</v>
      </c>
      <c r="H72" s="8">
        <v>0</v>
      </c>
      <c r="I72" s="8">
        <v>0.96889999999999998</v>
      </c>
      <c r="J72" s="8">
        <v>0.187</v>
      </c>
      <c r="K72" s="8">
        <v>0.96889999999999998</v>
      </c>
      <c r="L72" s="8">
        <v>31.337</v>
      </c>
      <c r="M72" s="8">
        <v>159.41889999999901</v>
      </c>
      <c r="N72" s="10">
        <v>5.0866773675762396</v>
      </c>
      <c r="O72" s="10">
        <v>5.0856511037897496</v>
      </c>
      <c r="P72" s="10">
        <v>5.0856792604607302</v>
      </c>
      <c r="Q72" s="10">
        <v>5.0884513188721696</v>
      </c>
      <c r="R72" s="8">
        <v>158.41803188304999</v>
      </c>
      <c r="S72" s="8">
        <v>158.418106494216</v>
      </c>
      <c r="T72" s="8">
        <v>158.50360782832499</v>
      </c>
      <c r="U72" s="9">
        <v>-2.01775590094794E-4</v>
      </c>
      <c r="V72" s="9">
        <v>-2.01304613735679E-4</v>
      </c>
      <c r="W72" s="9">
        <v>3.38269245167791E-4</v>
      </c>
      <c r="X72" s="10">
        <v>5.08724191849889</v>
      </c>
      <c r="Y72" s="10">
        <v>5.08472288464342</v>
      </c>
      <c r="Z72" s="10">
        <v>5.08622961474462</v>
      </c>
      <c r="AA72" s="10">
        <v>5.0859987569545702</v>
      </c>
      <c r="AB72" s="8">
        <v>159.33996103607001</v>
      </c>
      <c r="AC72" s="8">
        <v>159.38622613196301</v>
      </c>
      <c r="AD72" s="8">
        <v>159.37739781570301</v>
      </c>
      <c r="AE72" s="9">
        <v>-4.9528954449230497E-4</v>
      </c>
      <c r="AF72" s="9">
        <v>-2.04977056340569E-4</v>
      </c>
      <c r="AG72" s="9">
        <v>1.01515981970384E-3</v>
      </c>
      <c r="AZ72" s="9"/>
      <c r="BB72">
        <f t="shared" si="2"/>
        <v>0</v>
      </c>
      <c r="BC72">
        <f t="shared" si="3"/>
        <v>1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1.4255877481323407E-3</v>
      </c>
      <c r="BL72" s="9"/>
      <c r="BN72">
        <f t="shared" si="10"/>
        <v>0</v>
      </c>
      <c r="BO72">
        <f t="shared" si="11"/>
        <v>0</v>
      </c>
      <c r="BP72">
        <f t="shared" si="12"/>
        <v>1</v>
      </c>
      <c r="BQ72">
        <f t="shared" si="1"/>
        <v>1</v>
      </c>
      <c r="BR72">
        <f t="shared" si="13"/>
        <v>1</v>
      </c>
      <c r="BS72" s="9">
        <f t="shared" si="14"/>
        <v>1.6038495819745101E-3</v>
      </c>
      <c r="BT72" s="9">
        <f t="shared" si="15"/>
        <v>-1.5135274378212499E-3</v>
      </c>
      <c r="BU72" s="9">
        <f t="shared" si="16"/>
        <v>9.0322144153260177E-5</v>
      </c>
      <c r="BV72" s="12">
        <f t="shared" si="17"/>
        <v>8.9142897747915132E-5</v>
      </c>
      <c r="BX72" s="12">
        <f t="shared" si="18"/>
        <v>9.0322144153260177E-5</v>
      </c>
      <c r="BY72" s="12">
        <f t="shared" si="19"/>
        <v>1.5147306458802559E-3</v>
      </c>
    </row>
    <row r="73" spans="1:77" x14ac:dyDescent="0.3">
      <c r="A73" s="1">
        <v>46128</v>
      </c>
      <c r="B73" s="8">
        <v>31.65</v>
      </c>
      <c r="C73" s="8">
        <v>160.93</v>
      </c>
      <c r="D73" s="9">
        <v>1.5923903356723099E-2</v>
      </c>
      <c r="E73" s="9">
        <v>1.5530401693473901E-2</v>
      </c>
      <c r="F73" s="8">
        <v>0</v>
      </c>
      <c r="G73" s="8">
        <v>0.187</v>
      </c>
      <c r="H73" s="8">
        <v>0</v>
      </c>
      <c r="I73" s="8">
        <v>0.96889999999999998</v>
      </c>
      <c r="J73" s="8">
        <v>0.187</v>
      </c>
      <c r="K73" s="8">
        <v>0.96889999999999998</v>
      </c>
      <c r="L73" s="8">
        <v>31.837</v>
      </c>
      <c r="M73" s="8">
        <v>161.8989</v>
      </c>
      <c r="N73" s="10">
        <v>5.0846761453396496</v>
      </c>
      <c r="O73" s="10">
        <v>5.0856511037897496</v>
      </c>
      <c r="P73" s="10">
        <v>5.0856102896288498</v>
      </c>
      <c r="Q73" s="10">
        <v>5.0884851261391502</v>
      </c>
      <c r="R73" s="8">
        <v>160.96085743494501</v>
      </c>
      <c r="S73" s="8">
        <v>160.961748593582</v>
      </c>
      <c r="T73" s="8">
        <v>161.049484242304</v>
      </c>
      <c r="U73" s="9">
        <v>1.9172607315445301E-4</v>
      </c>
      <c r="V73" s="9">
        <v>1.9726255068043701E-4</v>
      </c>
      <c r="W73" s="9">
        <v>7.4218547228325897E-4</v>
      </c>
      <c r="X73" s="10">
        <v>5.0852435845085902</v>
      </c>
      <c r="Y73" s="10">
        <v>5.08472288464342</v>
      </c>
      <c r="Z73" s="10">
        <v>5.0861630131203004</v>
      </c>
      <c r="AA73" s="10">
        <v>5.08606093618</v>
      </c>
      <c r="AB73" s="8">
        <v>161.88232247839201</v>
      </c>
      <c r="AC73" s="8">
        <v>161.93029224462401</v>
      </c>
      <c r="AD73" s="8">
        <v>161.92294242516201</v>
      </c>
      <c r="AE73" s="9">
        <v>-1.023995245612E-4</v>
      </c>
      <c r="AF73" s="9">
        <v>1.93881499721646E-4</v>
      </c>
      <c r="AG73" s="9">
        <v>2.2889950989909802E-3</v>
      </c>
      <c r="AZ73" s="9"/>
      <c r="BB73">
        <f t="shared" si="2"/>
        <v>0</v>
      </c>
      <c r="BC73">
        <f t="shared" si="3"/>
        <v>1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1.4255877481323407E-3</v>
      </c>
      <c r="BL73" s="9"/>
      <c r="BN73">
        <f t="shared" si="10"/>
        <v>1</v>
      </c>
      <c r="BO73">
        <f t="shared" si="11"/>
        <v>0</v>
      </c>
      <c r="BP73">
        <f t="shared" si="12"/>
        <v>1</v>
      </c>
      <c r="BQ73">
        <f t="shared" si="1"/>
        <v>1</v>
      </c>
      <c r="BR73">
        <f t="shared" si="13"/>
        <v>1</v>
      </c>
      <c r="BS73" s="9">
        <f t="shared" si="14"/>
        <v>-1.5923903356723099E-2</v>
      </c>
      <c r="BT73" s="9">
        <f t="shared" si="15"/>
        <v>1.5530401693473901E-2</v>
      </c>
      <c r="BU73" s="9">
        <f t="shared" si="16"/>
        <v>-3.9350166324919784E-4</v>
      </c>
      <c r="BV73" s="12">
        <f t="shared" si="17"/>
        <v>-3.0435876550128271E-4</v>
      </c>
      <c r="BX73" s="12">
        <f t="shared" si="18"/>
        <v>-3.9350166324919784E-4</v>
      </c>
      <c r="BY73" s="12">
        <f t="shared" si="19"/>
        <v>1.1212289826310581E-3</v>
      </c>
    </row>
    <row r="74" spans="1:77" x14ac:dyDescent="0.3">
      <c r="A74" s="1">
        <v>46129</v>
      </c>
      <c r="B74" s="8">
        <v>30.69</v>
      </c>
      <c r="C74" s="8">
        <v>156.07</v>
      </c>
      <c r="D74" s="9">
        <v>-3.0801279958540199E-2</v>
      </c>
      <c r="E74" s="9">
        <v>-3.0664863275941302E-2</v>
      </c>
      <c r="F74" s="8">
        <v>0</v>
      </c>
      <c r="G74" s="8">
        <v>0.187</v>
      </c>
      <c r="H74" s="8">
        <v>0</v>
      </c>
      <c r="I74" s="8">
        <v>0.96889999999999998</v>
      </c>
      <c r="J74" s="8">
        <v>0.187</v>
      </c>
      <c r="K74" s="8">
        <v>0.96889999999999998</v>
      </c>
      <c r="L74" s="8">
        <v>30.876999999999999</v>
      </c>
      <c r="M74" s="8">
        <v>157.03889999999899</v>
      </c>
      <c r="N74" s="10">
        <v>5.0853698273053096</v>
      </c>
      <c r="O74" s="10">
        <v>5.0856511037897496</v>
      </c>
      <c r="P74" s="10">
        <v>5.0854910980252397</v>
      </c>
      <c r="Q74" s="10">
        <v>5.0884518907549401</v>
      </c>
      <c r="R74" s="8">
        <v>156.078632375307</v>
      </c>
      <c r="S74" s="8">
        <v>156.07737978870901</v>
      </c>
      <c r="T74" s="8">
        <v>156.16560852121</v>
      </c>
      <c r="U74" s="9">
        <v>5.5309390555446397E-5</v>
      </c>
      <c r="V74" s="9">
        <v>4.7284002292858303E-5</v>
      </c>
      <c r="W74" s="9">
        <v>6.1241268830035595E-4</v>
      </c>
      <c r="X74" s="10">
        <v>5.0859507076464601</v>
      </c>
      <c r="Y74" s="10">
        <v>5.08472288464342</v>
      </c>
      <c r="Z74" s="10">
        <v>5.0860486006333696</v>
      </c>
      <c r="AA74" s="10">
        <v>5.0860567448128498</v>
      </c>
      <c r="AB74" s="8">
        <v>157.000988509135</v>
      </c>
      <c r="AC74" s="8">
        <v>157.04545535611501</v>
      </c>
      <c r="AD74" s="8">
        <v>157.04230352643</v>
      </c>
      <c r="AE74" s="9">
        <v>-2.41443793838689E-4</v>
      </c>
      <c r="AF74" s="9">
        <v>4.1742646552235098E-5</v>
      </c>
      <c r="AG74" s="9">
        <v>1.7861779505842601E-3</v>
      </c>
      <c r="AZ74" s="9"/>
      <c r="BB74">
        <f t="shared" si="2"/>
        <v>0</v>
      </c>
      <c r="BC74">
        <f t="shared" si="3"/>
        <v>1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1.4255877481323407E-3</v>
      </c>
      <c r="BL74" s="9"/>
      <c r="BN74">
        <f t="shared" si="10"/>
        <v>0</v>
      </c>
      <c r="BO74">
        <f t="shared" si="11"/>
        <v>0</v>
      </c>
      <c r="BP74">
        <f t="shared" si="12"/>
        <v>1</v>
      </c>
      <c r="BQ74">
        <f t="shared" si="1"/>
        <v>1</v>
      </c>
      <c r="BR74">
        <f t="shared" si="13"/>
        <v>1</v>
      </c>
      <c r="BS74" s="9">
        <f t="shared" si="14"/>
        <v>3.0801279958540199E-2</v>
      </c>
      <c r="BT74" s="9">
        <f t="shared" si="15"/>
        <v>-3.0664863275941302E-2</v>
      </c>
      <c r="BU74" s="9">
        <f t="shared" si="16"/>
        <v>1.3641668259889786E-4</v>
      </c>
      <c r="BV74" s="12">
        <f t="shared" si="17"/>
        <v>-1.6794208290238485E-4</v>
      </c>
      <c r="BX74" s="12">
        <f t="shared" si="18"/>
        <v>1.3641668259889786E-4</v>
      </c>
      <c r="BY74" s="12">
        <f t="shared" si="19"/>
        <v>1.2576456652299559E-3</v>
      </c>
    </row>
    <row r="75" spans="1:77" x14ac:dyDescent="0.3">
      <c r="A75" s="1">
        <v>46132</v>
      </c>
      <c r="B75" s="8">
        <v>30.77</v>
      </c>
      <c r="C75" s="8">
        <v>156.44999999999999</v>
      </c>
      <c r="D75" s="9">
        <v>2.6033207023055701E-3</v>
      </c>
      <c r="E75" s="9">
        <v>2.4318455604289799E-3</v>
      </c>
      <c r="F75" s="8">
        <v>0</v>
      </c>
      <c r="G75" s="8">
        <v>0.187</v>
      </c>
      <c r="H75" s="8">
        <v>0</v>
      </c>
      <c r="I75" s="8">
        <v>0.96889999999999998</v>
      </c>
      <c r="J75" s="8">
        <v>0.187</v>
      </c>
      <c r="K75" s="8">
        <v>0.96889999999999998</v>
      </c>
      <c r="L75" s="8">
        <v>30.957000000000001</v>
      </c>
      <c r="M75" s="8">
        <v>157.41889999999901</v>
      </c>
      <c r="N75" s="10">
        <v>5.0844978875528097</v>
      </c>
      <c r="O75" s="10">
        <v>5.0856511037897496</v>
      </c>
      <c r="P75" s="10">
        <v>5.0855850106158096</v>
      </c>
      <c r="Q75" s="10">
        <v>5.0869298339130697</v>
      </c>
      <c r="R75" s="8">
        <v>156.48548446360999</v>
      </c>
      <c r="S75" s="8">
        <v>156.48056108623601</v>
      </c>
      <c r="T75" s="8">
        <v>156.571664678529</v>
      </c>
      <c r="U75" s="9">
        <v>2.2678453243211999E-4</v>
      </c>
      <c r="V75" s="9">
        <v>1.95321838990456E-4</v>
      </c>
      <c r="W75" s="9">
        <v>7.7735631993014205E-4</v>
      </c>
      <c r="X75" s="10">
        <v>5.0850825338372498</v>
      </c>
      <c r="Y75" s="10">
        <v>5.08472288464342</v>
      </c>
      <c r="Z75" s="10">
        <v>5.08614635696118</v>
      </c>
      <c r="AA75" s="10">
        <v>5.0860137241436396</v>
      </c>
      <c r="AB75" s="8">
        <v>157.407766339906</v>
      </c>
      <c r="AC75" s="8">
        <v>157.448806529807</v>
      </c>
      <c r="AD75" s="8">
        <v>157.44905864917101</v>
      </c>
      <c r="AE75" s="9">
        <v>-7.0728825023605305E-5</v>
      </c>
      <c r="AF75" s="9">
        <v>1.8996250982400201E-4</v>
      </c>
      <c r="AG75" s="9">
        <v>9.7431509870035899E-4</v>
      </c>
      <c r="AZ75" s="9"/>
      <c r="BB75">
        <f t="shared" si="2"/>
        <v>0</v>
      </c>
      <c r="BC75">
        <f t="shared" si="3"/>
        <v>1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1.4255877481323407E-3</v>
      </c>
      <c r="BL75" s="9"/>
      <c r="BN75">
        <f t="shared" si="10"/>
        <v>0</v>
      </c>
      <c r="BO75">
        <f t="shared" si="11"/>
        <v>0</v>
      </c>
      <c r="BP75">
        <f t="shared" si="12"/>
        <v>1</v>
      </c>
      <c r="BQ75">
        <f t="shared" si="1"/>
        <v>1</v>
      </c>
      <c r="BR75">
        <f t="shared" si="13"/>
        <v>1</v>
      </c>
      <c r="BS75" s="9">
        <f t="shared" si="14"/>
        <v>-2.6033207023055701E-3</v>
      </c>
      <c r="BT75" s="9">
        <f t="shared" si="15"/>
        <v>2.4318455604289799E-3</v>
      </c>
      <c r="BU75" s="9">
        <f t="shared" si="16"/>
        <v>-1.7147514187659026E-4</v>
      </c>
      <c r="BV75" s="12">
        <f t="shared" si="17"/>
        <v>-3.3941722477897512E-4</v>
      </c>
      <c r="BX75" s="12">
        <f t="shared" si="18"/>
        <v>-1.7147514187659026E-4</v>
      </c>
      <c r="BY75" s="12">
        <f t="shared" si="19"/>
        <v>1.0861705233533657E-3</v>
      </c>
    </row>
    <row r="76" spans="1:77" x14ac:dyDescent="0.3">
      <c r="A76" s="1">
        <v>46133</v>
      </c>
      <c r="B76" s="8">
        <v>31.22</v>
      </c>
      <c r="C76" s="8">
        <v>158.69</v>
      </c>
      <c r="D76" s="9">
        <v>1.4518725753335401E-2</v>
      </c>
      <c r="E76" s="9">
        <v>1.42161434598598E-2</v>
      </c>
      <c r="F76" s="8">
        <v>0</v>
      </c>
      <c r="G76" s="8">
        <v>0.187</v>
      </c>
      <c r="H76" s="8">
        <v>0</v>
      </c>
      <c r="I76" s="8">
        <v>0.96889999999999998</v>
      </c>
      <c r="J76" s="8">
        <v>0.187</v>
      </c>
      <c r="K76" s="8">
        <v>0.96889999999999998</v>
      </c>
      <c r="L76" s="8">
        <v>31.407</v>
      </c>
      <c r="M76" s="8">
        <v>159.65889999999999</v>
      </c>
      <c r="N76" s="10">
        <v>5.0829596412556004</v>
      </c>
      <c r="O76" s="10">
        <v>5.0856511037897496</v>
      </c>
      <c r="P76" s="10">
        <v>5.0854134732506102</v>
      </c>
      <c r="Q76" s="10">
        <v>5.0855272880723801</v>
      </c>
      <c r="R76" s="8">
        <v>158.77402746031601</v>
      </c>
      <c r="S76" s="8">
        <v>158.771964031425</v>
      </c>
      <c r="T76" s="8">
        <v>158.813949414766</v>
      </c>
      <c r="U76" s="9">
        <v>5.2936682590786605E-4</v>
      </c>
      <c r="V76" s="9">
        <v>5.1637073119539399E-4</v>
      </c>
      <c r="W76" s="9">
        <v>7.8077404259989803E-4</v>
      </c>
      <c r="X76" s="10">
        <v>5.0835450695704703</v>
      </c>
      <c r="Y76" s="10">
        <v>5.08472288464342</v>
      </c>
      <c r="Z76" s="10">
        <v>5.0859797977101397</v>
      </c>
      <c r="AA76" s="10">
        <v>5.0860739304973404</v>
      </c>
      <c r="AB76" s="8">
        <v>159.695891637996</v>
      </c>
      <c r="AC76" s="8">
        <v>159.740598633079</v>
      </c>
      <c r="AD76" s="8">
        <v>159.73643303417899</v>
      </c>
      <c r="AE76" s="9">
        <v>2.31664838793938E-4</v>
      </c>
      <c r="AF76" s="9">
        <v>5.1157647529971801E-4</v>
      </c>
      <c r="AG76" s="9">
        <v>1.0672219577337199E-3</v>
      </c>
      <c r="AZ76" s="9"/>
      <c r="BB76">
        <f t="shared" si="2"/>
        <v>0</v>
      </c>
      <c r="BC76">
        <f t="shared" si="3"/>
        <v>1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1.4255877481323407E-3</v>
      </c>
      <c r="BL76" s="9"/>
      <c r="BN76">
        <f t="shared" si="10"/>
        <v>0</v>
      </c>
      <c r="BO76">
        <f t="shared" si="11"/>
        <v>0</v>
      </c>
      <c r="BP76">
        <f t="shared" si="12"/>
        <v>1</v>
      </c>
      <c r="BQ76">
        <f t="shared" si="1"/>
        <v>1</v>
      </c>
      <c r="BR76">
        <f t="shared" si="13"/>
        <v>1</v>
      </c>
      <c r="BS76" s="9">
        <f t="shared" si="14"/>
        <v>-1.4518725753335401E-2</v>
      </c>
      <c r="BT76" s="9">
        <f t="shared" si="15"/>
        <v>1.42161434598598E-2</v>
      </c>
      <c r="BU76" s="9">
        <f t="shared" si="16"/>
        <v>-3.0258229347560062E-4</v>
      </c>
      <c r="BV76" s="12">
        <f t="shared" si="17"/>
        <v>-6.4199951825457573E-4</v>
      </c>
      <c r="BX76" s="12">
        <f t="shared" si="18"/>
        <v>-3.0258229347560062E-4</v>
      </c>
      <c r="BY76" s="12">
        <f t="shared" si="19"/>
        <v>7.8358822987776504E-4</v>
      </c>
    </row>
    <row r="77" spans="1:77" x14ac:dyDescent="0.3">
      <c r="A77" s="1">
        <v>46134</v>
      </c>
      <c r="B77" s="8">
        <v>31.62</v>
      </c>
      <c r="C77" s="8">
        <v>160.75</v>
      </c>
      <c r="D77" s="9">
        <v>1.27309166940399E-2</v>
      </c>
      <c r="E77" s="9">
        <v>1.28977495429778E-2</v>
      </c>
      <c r="F77" s="8">
        <v>0</v>
      </c>
      <c r="G77" s="8">
        <v>0.187</v>
      </c>
      <c r="H77" s="8">
        <v>0</v>
      </c>
      <c r="I77" s="8">
        <v>0.96889999999999998</v>
      </c>
      <c r="J77" s="8">
        <v>0.187</v>
      </c>
      <c r="K77" s="8">
        <v>0.96889999999999998</v>
      </c>
      <c r="L77" s="8">
        <v>31.806999999999999</v>
      </c>
      <c r="M77" s="8">
        <v>161.71889999999999</v>
      </c>
      <c r="N77" s="10">
        <v>5.0838077166350404</v>
      </c>
      <c r="O77" s="10">
        <v>5.0856511037897496</v>
      </c>
      <c r="P77" s="10">
        <v>5.0852139980005298</v>
      </c>
      <c r="Q77" s="10">
        <v>5.0854783829144798</v>
      </c>
      <c r="R77" s="8">
        <v>160.80828790183099</v>
      </c>
      <c r="S77" s="8">
        <v>160.80077402418399</v>
      </c>
      <c r="T77" s="8">
        <v>160.804372848848</v>
      </c>
      <c r="U77" s="9">
        <v>3.6253397696992901E-4</v>
      </c>
      <c r="V77" s="9">
        <v>3.1580719878818397E-4</v>
      </c>
      <c r="W77" s="9">
        <v>3.3818759101576101E-4</v>
      </c>
      <c r="X77" s="10">
        <v>5.0843807966799703</v>
      </c>
      <c r="Y77" s="10">
        <v>5.08472288464342</v>
      </c>
      <c r="Z77" s="10">
        <v>5.0857828388658497</v>
      </c>
      <c r="AA77" s="10">
        <v>5.0860271713478804</v>
      </c>
      <c r="AB77" s="8">
        <v>161.72978079185299</v>
      </c>
      <c r="AC77" s="8">
        <v>161.76975942576601</v>
      </c>
      <c r="AD77" s="8">
        <v>161.77275350732901</v>
      </c>
      <c r="AE77" s="9">
        <v>6.7279865423263303E-5</v>
      </c>
      <c r="AF77" s="9">
        <v>3.14443333352074E-4</v>
      </c>
      <c r="AG77" s="9">
        <v>-5.7333327518318102E-4</v>
      </c>
      <c r="AZ77" s="9"/>
      <c r="BB77">
        <f t="shared" si="2"/>
        <v>0</v>
      </c>
      <c r="BC77">
        <f t="shared" si="3"/>
        <v>0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1.4255877481323407E-3</v>
      </c>
      <c r="BL77" s="9"/>
      <c r="BN77">
        <f t="shared" si="10"/>
        <v>0</v>
      </c>
      <c r="BO77">
        <f t="shared" si="11"/>
        <v>1</v>
      </c>
      <c r="BP77">
        <f t="shared" si="12"/>
        <v>1</v>
      </c>
      <c r="BQ77">
        <f t="shared" si="1"/>
        <v>1</v>
      </c>
      <c r="BR77">
        <f t="shared" si="13"/>
        <v>1</v>
      </c>
      <c r="BS77" s="9">
        <f t="shared" si="14"/>
        <v>-1.27309166940399E-2</v>
      </c>
      <c r="BT77" s="9">
        <f t="shared" si="15"/>
        <v>1.28977495429778E-2</v>
      </c>
      <c r="BU77" s="9">
        <f t="shared" si="16"/>
        <v>1.6683284893789958E-4</v>
      </c>
      <c r="BV77" s="12">
        <f t="shared" si="17"/>
        <v>-4.7516666931667615E-4</v>
      </c>
      <c r="BX77" s="12">
        <f t="shared" si="18"/>
        <v>1.6683284893789958E-4</v>
      </c>
      <c r="BY77" s="12">
        <f t="shared" si="19"/>
        <v>9.5042107881566462E-4</v>
      </c>
    </row>
    <row r="78" spans="1:77" x14ac:dyDescent="0.3">
      <c r="A78" s="1">
        <v>46135</v>
      </c>
      <c r="B78" s="8">
        <v>31.86</v>
      </c>
      <c r="C78" s="8">
        <v>162.04</v>
      </c>
      <c r="D78" s="9">
        <v>7.5614727005764801E-3</v>
      </c>
      <c r="E78" s="9">
        <v>7.9928552167610901E-3</v>
      </c>
      <c r="F78" s="8">
        <v>0</v>
      </c>
      <c r="G78" s="8">
        <v>0.187</v>
      </c>
      <c r="H78" s="8">
        <v>0</v>
      </c>
      <c r="I78" s="8">
        <v>0.96889999999999998</v>
      </c>
      <c r="J78" s="8">
        <v>0.187</v>
      </c>
      <c r="K78" s="8">
        <v>0.96889999999999998</v>
      </c>
      <c r="L78" s="8">
        <v>32.046999999999997</v>
      </c>
      <c r="M78" s="8">
        <v>163.00889999999899</v>
      </c>
      <c r="N78" s="10">
        <v>5.0860012554927803</v>
      </c>
      <c r="O78" s="10">
        <v>5.0856511037897496</v>
      </c>
      <c r="P78" s="10">
        <v>5.08512390785741</v>
      </c>
      <c r="Q78" s="10">
        <v>5.0854918838380296</v>
      </c>
      <c r="R78" s="8">
        <v>162.02884416674101</v>
      </c>
      <c r="S78" s="8">
        <v>162.014917976297</v>
      </c>
      <c r="T78" s="8">
        <v>162.023341279655</v>
      </c>
      <c r="U78" s="9">
        <v>-6.88485392147215E-5</v>
      </c>
      <c r="V78" s="9">
        <v>-1.5480106834753901E-4</v>
      </c>
      <c r="W78" s="9">
        <v>-1.0281150773516601E-4</v>
      </c>
      <c r="X78" s="10">
        <v>5.0865572440477997</v>
      </c>
      <c r="Y78" s="10">
        <v>5.08472288464342</v>
      </c>
      <c r="Z78" s="10">
        <v>5.0856934969188901</v>
      </c>
      <c r="AA78" s="10">
        <v>5.0860421150029103</v>
      </c>
      <c r="AB78" s="8">
        <v>162.950114284167</v>
      </c>
      <c r="AC78" s="8">
        <v>162.98408263713401</v>
      </c>
      <c r="AD78" s="8">
        <v>162.99191276018499</v>
      </c>
      <c r="AE78" s="9">
        <v>-3.6069391483865702E-4</v>
      </c>
      <c r="AF78" s="9">
        <v>-1.5225703764005599E-4</v>
      </c>
      <c r="AG78" s="9">
        <v>-1.3752879670371301E-3</v>
      </c>
      <c r="AZ78" s="9"/>
      <c r="BB78">
        <f t="shared" si="2"/>
        <v>1</v>
      </c>
      <c r="BC78">
        <f t="shared" si="3"/>
        <v>0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1.4255877481323407E-3</v>
      </c>
      <c r="BL78" s="9"/>
      <c r="BN78">
        <f t="shared" si="10"/>
        <v>0</v>
      </c>
      <c r="BO78">
        <f t="shared" si="11"/>
        <v>1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-4.7516666931667615E-4</v>
      </c>
      <c r="BX78" s="12">
        <f t="shared" si="18"/>
        <v>0</v>
      </c>
      <c r="BY78" s="12">
        <f t="shared" si="19"/>
        <v>9.5042107881566462E-4</v>
      </c>
    </row>
    <row r="79" spans="1:77" x14ac:dyDescent="0.3">
      <c r="A79" s="1">
        <v>46136</v>
      </c>
      <c r="B79" s="8">
        <v>31.8</v>
      </c>
      <c r="C79" s="8">
        <v>161.72</v>
      </c>
      <c r="D79" s="9">
        <v>-1.8850146957712199E-3</v>
      </c>
      <c r="E79" s="9">
        <v>-1.9767735619196799E-3</v>
      </c>
      <c r="F79" s="8">
        <v>0</v>
      </c>
      <c r="G79" s="8">
        <v>0.187</v>
      </c>
      <c r="H79" s="8">
        <v>0</v>
      </c>
      <c r="I79" s="8">
        <v>0.96889999999999998</v>
      </c>
      <c r="J79" s="8">
        <v>0.187</v>
      </c>
      <c r="K79" s="8">
        <v>0.96889999999999998</v>
      </c>
      <c r="L79" s="8">
        <v>31.986999999999998</v>
      </c>
      <c r="M79" s="8">
        <v>162.68889999999999</v>
      </c>
      <c r="N79" s="10">
        <v>5.0855345911949597</v>
      </c>
      <c r="O79" s="10">
        <v>5.0856511037897496</v>
      </c>
      <c r="P79" s="10">
        <v>5.08522356433705</v>
      </c>
      <c r="Q79" s="10">
        <v>5.0854010995210697</v>
      </c>
      <c r="R79" s="8">
        <v>161.723705100514</v>
      </c>
      <c r="S79" s="8">
        <v>161.70694026986499</v>
      </c>
      <c r="T79" s="8">
        <v>161.71864190604899</v>
      </c>
      <c r="U79" s="9">
        <v>2.2910326933878501E-5</v>
      </c>
      <c r="V79" s="9">
        <v>-8.0758455869824706E-5</v>
      </c>
      <c r="W79" s="9">
        <v>-8.3978459866238305E-6</v>
      </c>
      <c r="X79" s="10">
        <v>5.0860943508300203</v>
      </c>
      <c r="Y79" s="10">
        <v>5.08472288464342</v>
      </c>
      <c r="Z79" s="10">
        <v>5.0857926061356702</v>
      </c>
      <c r="AA79" s="10">
        <v>5.08595380003141</v>
      </c>
      <c r="AB79" s="8">
        <v>162.64503091108901</v>
      </c>
      <c r="AC79" s="8">
        <v>162.67607788594401</v>
      </c>
      <c r="AD79" s="8">
        <v>162.68722913259799</v>
      </c>
      <c r="AE79" s="9">
        <v>-2.6968652826224601E-4</v>
      </c>
      <c r="AF79" s="9">
        <v>-7.8816805332151198E-5</v>
      </c>
      <c r="AG79" s="9">
        <v>-4.0716926204696998E-4</v>
      </c>
      <c r="AZ79" s="9"/>
      <c r="BB79">
        <f t="shared" si="2"/>
        <v>0</v>
      </c>
      <c r="BC79">
        <f t="shared" si="3"/>
        <v>0</v>
      </c>
      <c r="BD79">
        <f t="shared" si="4"/>
        <v>1</v>
      </c>
      <c r="BE79">
        <f t="shared" si="0"/>
        <v>1</v>
      </c>
      <c r="BF79">
        <f t="shared" si="5"/>
        <v>1</v>
      </c>
      <c r="BG79" s="9">
        <f t="shared" si="6"/>
        <v>-1.8850146957712199E-3</v>
      </c>
      <c r="BH79" s="9">
        <f t="shared" si="7"/>
        <v>1.9767735619196799E-3</v>
      </c>
      <c r="BI79" s="9">
        <f t="shared" si="8"/>
        <v>9.1758866148459973E-5</v>
      </c>
      <c r="BJ79" s="12">
        <f t="shared" si="9"/>
        <v>1.5173466142808006E-3</v>
      </c>
      <c r="BL79" s="9"/>
      <c r="BN79">
        <f t="shared" si="10"/>
        <v>0</v>
      </c>
      <c r="BO79">
        <f t="shared" si="11"/>
        <v>1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-4.7516666931667615E-4</v>
      </c>
      <c r="BX79" s="12">
        <f t="shared" si="18"/>
        <v>9.1758866148459973E-5</v>
      </c>
      <c r="BY79" s="12">
        <f t="shared" si="19"/>
        <v>1.0421799449641246E-3</v>
      </c>
    </row>
    <row r="80" spans="1:77" x14ac:dyDescent="0.3">
      <c r="A80" s="1">
        <v>46139</v>
      </c>
      <c r="B80" s="8">
        <v>31.83</v>
      </c>
      <c r="C80" s="8">
        <v>161.88999999999999</v>
      </c>
      <c r="D80" s="9">
        <v>9.4295150787013996E-4</v>
      </c>
      <c r="E80" s="9">
        <v>1.0506474808442199E-3</v>
      </c>
      <c r="F80" s="8">
        <v>0</v>
      </c>
      <c r="G80" s="8">
        <v>0.187</v>
      </c>
      <c r="H80" s="8">
        <v>0</v>
      </c>
      <c r="I80" s="8">
        <v>0.96889999999999998</v>
      </c>
      <c r="J80" s="8">
        <v>0.187</v>
      </c>
      <c r="K80" s="8">
        <v>0.96889999999999998</v>
      </c>
      <c r="L80" s="8">
        <v>32.016999999999904</v>
      </c>
      <c r="M80" s="8">
        <v>162.85889999999901</v>
      </c>
      <c r="N80" s="10">
        <v>5.0860823122839998</v>
      </c>
      <c r="O80" s="10">
        <v>5.0856511037897496</v>
      </c>
      <c r="P80" s="10">
        <v>5.0851824693354297</v>
      </c>
      <c r="Q80" s="10">
        <v>5.08539363134682</v>
      </c>
      <c r="R80" s="8">
        <v>161.87627463362699</v>
      </c>
      <c r="S80" s="8">
        <v>161.862666052848</v>
      </c>
      <c r="T80" s="8">
        <v>161.86831699775499</v>
      </c>
      <c r="U80" s="9">
        <v>-8.4785646040235098E-5</v>
      </c>
      <c r="V80" s="9">
        <v>-1.6885697066006101E-4</v>
      </c>
      <c r="W80" s="9">
        <v>-1.33945607809133E-4</v>
      </c>
      <c r="X80" s="10">
        <v>5.08663834837742</v>
      </c>
      <c r="Y80" s="10">
        <v>5.08472288464342</v>
      </c>
      <c r="Z80" s="10">
        <v>5.08575188914614</v>
      </c>
      <c r="AA80" s="10">
        <v>5.0859487245692403</v>
      </c>
      <c r="AB80" s="8">
        <v>162.797572597628</v>
      </c>
      <c r="AC80" s="8">
        <v>162.831821870646</v>
      </c>
      <c r="AD80" s="8">
        <v>162.83698281560501</v>
      </c>
      <c r="AE80" s="9">
        <v>-3.7663862540372999E-4</v>
      </c>
      <c r="AF80" s="9">
        <v>-1.66281245353519E-4</v>
      </c>
      <c r="AG80" s="9">
        <v>1.21279905084421E-3</v>
      </c>
      <c r="AZ80" s="9"/>
      <c r="BB80">
        <f t="shared" si="2"/>
        <v>0</v>
      </c>
      <c r="BC80">
        <f t="shared" si="3"/>
        <v>1</v>
      </c>
      <c r="BD80">
        <f t="shared" si="4"/>
        <v>1</v>
      </c>
      <c r="BE80">
        <f t="shared" si="0"/>
        <v>1</v>
      </c>
      <c r="BF80">
        <f t="shared" si="5"/>
        <v>1</v>
      </c>
      <c r="BG80" s="9">
        <f t="shared" si="6"/>
        <v>9.4295150787013996E-4</v>
      </c>
      <c r="BH80" s="9">
        <f t="shared" si="7"/>
        <v>-1.0506474808442199E-3</v>
      </c>
      <c r="BI80" s="9">
        <f t="shared" si="8"/>
        <v>-1.0769597297407999E-4</v>
      </c>
      <c r="BJ80" s="12">
        <f t="shared" si="9"/>
        <v>1.4096506413067205E-3</v>
      </c>
      <c r="BL80" s="9"/>
      <c r="BN80">
        <f t="shared" si="10"/>
        <v>0</v>
      </c>
      <c r="BO80">
        <f t="shared" si="11"/>
        <v>0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-4.7516666931667615E-4</v>
      </c>
      <c r="BX80" s="12">
        <f t="shared" si="18"/>
        <v>-1.0769597297407999E-4</v>
      </c>
      <c r="BY80" s="12">
        <f t="shared" si="19"/>
        <v>9.3448397199004461E-4</v>
      </c>
    </row>
    <row r="81" spans="1:77" x14ac:dyDescent="0.3">
      <c r="A81" s="1">
        <v>46140</v>
      </c>
      <c r="B81" s="8">
        <v>32.32</v>
      </c>
      <c r="C81" s="8">
        <v>164.43</v>
      </c>
      <c r="D81" s="9">
        <v>1.52769923588932E-2</v>
      </c>
      <c r="E81" s="9">
        <v>1.5567855472720301E-2</v>
      </c>
      <c r="F81" s="8">
        <v>0</v>
      </c>
      <c r="G81" s="8">
        <v>0.187</v>
      </c>
      <c r="H81" s="8">
        <v>0</v>
      </c>
      <c r="I81" s="8">
        <v>0.96889999999999998</v>
      </c>
      <c r="J81" s="8">
        <v>0.187</v>
      </c>
      <c r="K81" s="8">
        <v>0.96889999999999998</v>
      </c>
      <c r="L81" s="8">
        <v>32.506999999999998</v>
      </c>
      <c r="M81" s="8">
        <v>165.3989</v>
      </c>
      <c r="N81" s="10">
        <v>5.08756188118811</v>
      </c>
      <c r="O81" s="10">
        <v>5.0856511037897496</v>
      </c>
      <c r="P81" s="10">
        <v>5.0853168625824496</v>
      </c>
      <c r="Q81" s="10">
        <v>5.0854851807971002</v>
      </c>
      <c r="R81" s="8">
        <v>164.36824367448401</v>
      </c>
      <c r="S81" s="8">
        <v>164.353097408921</v>
      </c>
      <c r="T81" s="8">
        <v>164.35992216512901</v>
      </c>
      <c r="U81" s="9">
        <v>-3.7564875986741798E-4</v>
      </c>
      <c r="V81" s="9">
        <v>-4.6780137474918302E-4</v>
      </c>
      <c r="W81" s="9">
        <v>-4.2627727437830098E-4</v>
      </c>
      <c r="X81" s="10">
        <v>5.0881010243947404</v>
      </c>
      <c r="Y81" s="10">
        <v>5.08472288464342</v>
      </c>
      <c r="Z81" s="10">
        <v>5.0858835578391597</v>
      </c>
      <c r="AA81" s="10">
        <v>5.0860414076645801</v>
      </c>
      <c r="AB81" s="8">
        <v>165.289086811103</v>
      </c>
      <c r="AC81" s="8">
        <v>165.32253666047299</v>
      </c>
      <c r="AD81" s="8">
        <v>165.32893518957201</v>
      </c>
      <c r="AE81" s="9">
        <v>-6.6414987730082796E-4</v>
      </c>
      <c r="AF81" s="9">
        <v>-4.6179855563272302E-4</v>
      </c>
      <c r="AG81" s="9">
        <v>7.1770995903040703E-4</v>
      </c>
      <c r="AZ81" s="9"/>
      <c r="BB81">
        <f t="shared" si="2"/>
        <v>0</v>
      </c>
      <c r="BC81">
        <f t="shared" si="3"/>
        <v>1</v>
      </c>
      <c r="BD81">
        <f t="shared" si="4"/>
        <v>0</v>
      </c>
      <c r="BE81">
        <f t="shared" si="0"/>
        <v>1</v>
      </c>
      <c r="BF81">
        <f t="shared" si="5"/>
        <v>0</v>
      </c>
      <c r="BG81" s="9">
        <f t="shared" si="6"/>
        <v>0</v>
      </c>
      <c r="BH81" s="9">
        <f t="shared" si="7"/>
        <v>0</v>
      </c>
      <c r="BI81" s="9">
        <f t="shared" si="8"/>
        <v>0</v>
      </c>
      <c r="BJ81" s="12">
        <f t="shared" si="9"/>
        <v>1.4096506413067205E-3</v>
      </c>
      <c r="BL81" s="9"/>
      <c r="BN81">
        <f t="shared" si="10"/>
        <v>0</v>
      </c>
      <c r="BO81">
        <f t="shared" si="11"/>
        <v>0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-4.7516666931667615E-4</v>
      </c>
      <c r="BX81" s="12">
        <f t="shared" si="18"/>
        <v>0</v>
      </c>
      <c r="BY81" s="12">
        <f t="shared" si="19"/>
        <v>9.3448397199004461E-4</v>
      </c>
    </row>
    <row r="82" spans="1:77" x14ac:dyDescent="0.3">
      <c r="A82" s="1">
        <v>46141</v>
      </c>
      <c r="B82" s="8">
        <v>33.049999999999997</v>
      </c>
      <c r="C82" s="8">
        <v>168.13</v>
      </c>
      <c r="D82" s="9">
        <v>2.2335332644800501E-2</v>
      </c>
      <c r="E82" s="9">
        <v>2.2252541964702E-2</v>
      </c>
      <c r="F82" s="8">
        <v>0</v>
      </c>
      <c r="G82" s="8">
        <v>0.187</v>
      </c>
      <c r="H82" s="8">
        <v>0</v>
      </c>
      <c r="I82" s="8">
        <v>0.96889999999999998</v>
      </c>
      <c r="J82" s="8">
        <v>0.187</v>
      </c>
      <c r="K82" s="8">
        <v>0.96889999999999998</v>
      </c>
      <c r="L82" s="8">
        <v>33.236999999999902</v>
      </c>
      <c r="M82" s="8">
        <v>169.09889999999999</v>
      </c>
      <c r="N82" s="10">
        <v>5.0871406959152798</v>
      </c>
      <c r="O82" s="10">
        <v>5.0856511037897496</v>
      </c>
      <c r="P82" s="10">
        <v>5.0853631954163498</v>
      </c>
      <c r="Q82" s="10">
        <v>5.08552122793854</v>
      </c>
      <c r="R82" s="8">
        <v>168.08076898025101</v>
      </c>
      <c r="S82" s="8">
        <v>168.06972230835001</v>
      </c>
      <c r="T82" s="8">
        <v>168.075285225344</v>
      </c>
      <c r="U82" s="9">
        <v>-2.9285807976896401E-4</v>
      </c>
      <c r="V82" s="9">
        <v>-3.5858264178159101E-4</v>
      </c>
      <c r="W82" s="9">
        <v>-3.2548432486452001E-4</v>
      </c>
      <c r="X82" s="10">
        <v>5.0876703673616701</v>
      </c>
      <c r="Y82" s="10">
        <v>5.08472288464342</v>
      </c>
      <c r="Z82" s="10">
        <v>5.0859264027254403</v>
      </c>
      <c r="AA82" s="10">
        <v>5.0860780087350301</v>
      </c>
      <c r="AB82" s="8">
        <v>169.00093451689301</v>
      </c>
      <c r="AC82" s="8">
        <v>169.03951181190001</v>
      </c>
      <c r="AD82" s="8">
        <v>169.04475826654701</v>
      </c>
      <c r="AE82" s="9">
        <v>-5.7950626322050695E-4</v>
      </c>
      <c r="AF82" s="9">
        <v>-3.5126555656356901E-4</v>
      </c>
      <c r="AG82" s="9">
        <v>-2.2609459390447701E-4</v>
      </c>
      <c r="AZ82" s="9"/>
      <c r="BB82">
        <f t="shared" si="2"/>
        <v>0</v>
      </c>
      <c r="BC82">
        <f t="shared" si="3"/>
        <v>0</v>
      </c>
      <c r="BD82">
        <f t="shared" si="4"/>
        <v>0</v>
      </c>
      <c r="BE82">
        <f t="shared" si="0"/>
        <v>1</v>
      </c>
      <c r="BF82">
        <f t="shared" si="5"/>
        <v>0</v>
      </c>
      <c r="BG82" s="9">
        <f t="shared" si="6"/>
        <v>0</v>
      </c>
      <c r="BH82" s="9">
        <f t="shared" si="7"/>
        <v>0</v>
      </c>
      <c r="BI82" s="9">
        <f t="shared" si="8"/>
        <v>0</v>
      </c>
      <c r="BJ82" s="12">
        <f t="shared" si="9"/>
        <v>1.4096506413067205E-3</v>
      </c>
      <c r="BL82" s="9"/>
      <c r="BN82">
        <f t="shared" si="10"/>
        <v>0</v>
      </c>
      <c r="BO82">
        <f t="shared" si="11"/>
        <v>1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-4.7516666931667615E-4</v>
      </c>
      <c r="BX82" s="12">
        <f t="shared" si="18"/>
        <v>0</v>
      </c>
      <c r="BY82" s="12">
        <f t="shared" si="19"/>
        <v>9.3448397199004461E-4</v>
      </c>
    </row>
    <row r="83" spans="1:77" x14ac:dyDescent="0.3">
      <c r="A83" s="1">
        <v>46142</v>
      </c>
      <c r="B83" s="8">
        <v>33.33</v>
      </c>
      <c r="C83" s="8">
        <v>169.58</v>
      </c>
      <c r="D83" s="9">
        <v>8.4363260219531E-3</v>
      </c>
      <c r="E83" s="9">
        <v>8.5873021850202697E-3</v>
      </c>
      <c r="F83" s="8">
        <v>0</v>
      </c>
      <c r="G83" s="8">
        <v>0.187</v>
      </c>
      <c r="H83" s="8">
        <v>0</v>
      </c>
      <c r="I83" s="8">
        <v>0.96889999999999998</v>
      </c>
      <c r="J83" s="8">
        <v>0.187</v>
      </c>
      <c r="K83" s="8">
        <v>0.96889999999999998</v>
      </c>
      <c r="L83" s="8">
        <v>33.516999999999904</v>
      </c>
      <c r="M83" s="8">
        <v>170.5489</v>
      </c>
      <c r="N83" s="10">
        <v>5.0879087908790801</v>
      </c>
      <c r="O83" s="10">
        <v>5.0856511037897496</v>
      </c>
      <c r="P83" s="10">
        <v>5.0856864599703</v>
      </c>
      <c r="Q83" s="10">
        <v>5.08564837479957</v>
      </c>
      <c r="R83" s="8">
        <v>169.504751289312</v>
      </c>
      <c r="S83" s="8">
        <v>169.49515530322699</v>
      </c>
      <c r="T83" s="8">
        <v>169.50042252719101</v>
      </c>
      <c r="U83" s="9">
        <v>-4.4383424283605898E-4</v>
      </c>
      <c r="V83" s="9">
        <v>-5.0044774567869598E-4</v>
      </c>
      <c r="W83" s="9">
        <v>-4.6937227266668498E-4</v>
      </c>
      <c r="X83" s="10">
        <v>5.0884297520661104</v>
      </c>
      <c r="Y83" s="10">
        <v>5.08472288464342</v>
      </c>
      <c r="Z83" s="10">
        <v>5.0862450194811899</v>
      </c>
      <c r="AA83" s="10">
        <v>5.0862040163007496</v>
      </c>
      <c r="AB83" s="8">
        <v>170.42465692459299</v>
      </c>
      <c r="AC83" s="8">
        <v>170.464995240148</v>
      </c>
      <c r="AD83" s="8">
        <v>170.470076618772</v>
      </c>
      <c r="AE83" s="9">
        <v>-7.2875493352401305E-4</v>
      </c>
      <c r="AF83" s="9">
        <v>-4.920899864528E-4</v>
      </c>
      <c r="AG83" s="9">
        <v>1.3497489309353299E-3</v>
      </c>
      <c r="AZ83" s="9"/>
      <c r="BB83">
        <f t="shared" si="2"/>
        <v>0</v>
      </c>
      <c r="BC83">
        <f t="shared" si="3"/>
        <v>1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1.4096506413067205E-3</v>
      </c>
      <c r="BL83" s="9"/>
      <c r="BN83">
        <f t="shared" si="10"/>
        <v>0</v>
      </c>
      <c r="BO83">
        <f t="shared" si="11"/>
        <v>0</v>
      </c>
      <c r="BP83">
        <f t="shared" si="12"/>
        <v>0</v>
      </c>
      <c r="BQ83">
        <f t="shared" si="1"/>
        <v>1</v>
      </c>
      <c r="BR83">
        <f t="shared" si="13"/>
        <v>0</v>
      </c>
      <c r="BS83" s="9">
        <f t="shared" si="14"/>
        <v>0</v>
      </c>
      <c r="BT83" s="9">
        <f t="shared" si="15"/>
        <v>0</v>
      </c>
      <c r="BU83" s="9">
        <f t="shared" si="16"/>
        <v>0</v>
      </c>
      <c r="BV83" s="12">
        <f t="shared" si="17"/>
        <v>-4.7516666931667615E-4</v>
      </c>
      <c r="BX83" s="12">
        <f t="shared" si="18"/>
        <v>0</v>
      </c>
      <c r="BY83" s="12">
        <f t="shared" si="19"/>
        <v>9.3448397199004461E-4</v>
      </c>
    </row>
    <row r="84" spans="1:77" x14ac:dyDescent="0.3">
      <c r="A84" s="1">
        <v>46143</v>
      </c>
      <c r="B84" s="8">
        <v>32.92</v>
      </c>
      <c r="C84" s="8">
        <v>167.52</v>
      </c>
      <c r="D84" s="9">
        <v>-1.2377516510779099E-2</v>
      </c>
      <c r="E84" s="9">
        <v>-1.22220447536302E-2</v>
      </c>
      <c r="F84" s="8">
        <v>0</v>
      </c>
      <c r="G84" s="8">
        <v>0.187</v>
      </c>
      <c r="H84" s="8">
        <v>0</v>
      </c>
      <c r="I84" s="8">
        <v>0.96889999999999998</v>
      </c>
      <c r="J84" s="8">
        <v>0.187</v>
      </c>
      <c r="K84" s="8">
        <v>0.96889999999999998</v>
      </c>
      <c r="L84" s="8">
        <v>33.106999999999999</v>
      </c>
      <c r="M84" s="8">
        <v>168.4889</v>
      </c>
      <c r="N84" s="10">
        <v>5.0886998784933102</v>
      </c>
      <c r="O84" s="10">
        <v>5.0856511037897496</v>
      </c>
      <c r="P84" s="10">
        <v>5.0860194650891</v>
      </c>
      <c r="Q84" s="10">
        <v>5.0857552815571703</v>
      </c>
      <c r="R84" s="8">
        <v>167.41963433675801</v>
      </c>
      <c r="S84" s="8">
        <v>167.42079826222201</v>
      </c>
      <c r="T84" s="8">
        <v>167.41954449840199</v>
      </c>
      <c r="U84" s="9">
        <v>-5.9930599998494604E-4</v>
      </c>
      <c r="V84" s="9">
        <v>-5.9235387980826899E-4</v>
      </c>
      <c r="W84" s="9">
        <v>-5.9984260598726596E-4</v>
      </c>
      <c r="X84" s="10">
        <v>5.0892228229679501</v>
      </c>
      <c r="Y84" s="10">
        <v>5.08472288464342</v>
      </c>
      <c r="Z84" s="10">
        <v>5.0865722310133403</v>
      </c>
      <c r="AA84" s="10">
        <v>5.0863104158233599</v>
      </c>
      <c r="AB84" s="8">
        <v>168.339920541889</v>
      </c>
      <c r="AC84" s="8">
        <v>168.39031385996299</v>
      </c>
      <c r="AD84" s="8">
        <v>168.38895636766799</v>
      </c>
      <c r="AE84" s="9">
        <v>-8.8460047798412595E-4</v>
      </c>
      <c r="AF84" s="9">
        <v>-5.85290743948041E-4</v>
      </c>
      <c r="AG84" s="9">
        <v>2.4008528197355002E-3</v>
      </c>
      <c r="AZ84" s="9"/>
      <c r="BB84">
        <f t="shared" si="2"/>
        <v>0</v>
      </c>
      <c r="BC84">
        <f t="shared" si="3"/>
        <v>1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1.4096506413067205E-3</v>
      </c>
      <c r="BL84" s="9"/>
      <c r="BN84">
        <f t="shared" si="10"/>
        <v>1</v>
      </c>
      <c r="BO84">
        <f t="shared" si="11"/>
        <v>0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-4.7516666931667615E-4</v>
      </c>
      <c r="BX84" s="12">
        <f t="shared" si="18"/>
        <v>0</v>
      </c>
      <c r="BY84" s="12">
        <f t="shared" si="19"/>
        <v>9.3448397199004461E-4</v>
      </c>
    </row>
    <row r="85" spans="1:77" x14ac:dyDescent="0.3">
      <c r="A85" s="1">
        <v>46146</v>
      </c>
      <c r="B85" s="8">
        <v>33.25</v>
      </c>
      <c r="C85" s="8">
        <v>169.25</v>
      </c>
      <c r="D85" s="9">
        <v>9.9743912929940708E-3</v>
      </c>
      <c r="E85" s="9">
        <v>1.0274164670157499E-2</v>
      </c>
      <c r="F85" s="8">
        <v>0</v>
      </c>
      <c r="G85" s="8">
        <v>0.187</v>
      </c>
      <c r="H85" s="8">
        <v>0</v>
      </c>
      <c r="I85" s="8">
        <v>0.96889999999999998</v>
      </c>
      <c r="J85" s="8">
        <v>0.187</v>
      </c>
      <c r="K85" s="8">
        <v>0.96889999999999998</v>
      </c>
      <c r="L85" s="8">
        <v>33.436999999999998</v>
      </c>
      <c r="M85" s="8">
        <v>170.21889999999999</v>
      </c>
      <c r="N85" s="10">
        <v>5.0902255639097698</v>
      </c>
      <c r="O85" s="10">
        <v>5.0856511037897496</v>
      </c>
      <c r="P85" s="10">
        <v>5.0865922327247901</v>
      </c>
      <c r="Q85" s="10">
        <v>5.0860886216703003</v>
      </c>
      <c r="R85" s="8">
        <v>169.097899201009</v>
      </c>
      <c r="S85" s="8">
        <v>169.11014721421199</v>
      </c>
      <c r="T85" s="8">
        <v>169.10136311177499</v>
      </c>
      <c r="U85" s="9">
        <v>-8.9907937714855501E-4</v>
      </c>
      <c r="V85" s="9">
        <v>-8.2665050776695897E-4</v>
      </c>
      <c r="W85" s="9">
        <v>-8.7859493999653602E-4</v>
      </c>
      <c r="X85" s="10">
        <v>5.0907348147261997</v>
      </c>
      <c r="Y85" s="10">
        <v>5.08472288464342</v>
      </c>
      <c r="Z85" s="10">
        <v>5.08713745910224</v>
      </c>
      <c r="AA85" s="10">
        <v>5.0866419080317096</v>
      </c>
      <c r="AB85" s="8">
        <v>170.01787909382199</v>
      </c>
      <c r="AC85" s="8">
        <v>170.07971568839301</v>
      </c>
      <c r="AD85" s="8">
        <v>170.07096137388501</v>
      </c>
      <c r="AE85" s="9">
        <v>-1.18165314228387E-3</v>
      </c>
      <c r="AF85" s="9">
        <v>-8.1801284490335302E-4</v>
      </c>
      <c r="AG85" s="9">
        <v>9.1441068047636096E-4</v>
      </c>
      <c r="AZ85" s="9"/>
      <c r="BB85">
        <f t="shared" si="2"/>
        <v>0</v>
      </c>
      <c r="BC85">
        <f t="shared" si="3"/>
        <v>1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1.4096506413067205E-3</v>
      </c>
      <c r="BL85" s="9"/>
      <c r="BN85">
        <f t="shared" si="10"/>
        <v>0</v>
      </c>
      <c r="BO85">
        <f t="shared" si="11"/>
        <v>0</v>
      </c>
      <c r="BP85">
        <f t="shared" si="12"/>
        <v>1</v>
      </c>
      <c r="BQ85">
        <f t="shared" si="1"/>
        <v>1</v>
      </c>
      <c r="BR85">
        <f t="shared" si="13"/>
        <v>1</v>
      </c>
      <c r="BS85" s="9">
        <f t="shared" si="14"/>
        <v>-9.9743912929940708E-3</v>
      </c>
      <c r="BT85" s="9">
        <f t="shared" si="15"/>
        <v>1.0274164670157499E-2</v>
      </c>
      <c r="BU85" s="9">
        <f t="shared" si="16"/>
        <v>2.9977337716342867E-4</v>
      </c>
      <c r="BV85" s="12">
        <f t="shared" si="17"/>
        <v>-1.7539329215324748E-4</v>
      </c>
      <c r="BX85" s="12">
        <f t="shared" si="18"/>
        <v>2.9977337716342867E-4</v>
      </c>
      <c r="BY85" s="12">
        <f t="shared" si="19"/>
        <v>1.2342573491534734E-3</v>
      </c>
    </row>
    <row r="86" spans="1:77" x14ac:dyDescent="0.3">
      <c r="A86" s="1">
        <v>46147</v>
      </c>
      <c r="B86" s="8">
        <v>33.25</v>
      </c>
      <c r="C86" s="8">
        <v>169.23</v>
      </c>
      <c r="D86" s="9">
        <v>0</v>
      </c>
      <c r="E86" s="9">
        <v>-1.18175372389974E-4</v>
      </c>
      <c r="F86" s="8">
        <v>0</v>
      </c>
      <c r="G86" s="8">
        <v>0.187</v>
      </c>
      <c r="H86" s="8">
        <v>0</v>
      </c>
      <c r="I86" s="8">
        <v>0.96889999999999998</v>
      </c>
      <c r="J86" s="8">
        <v>0.187</v>
      </c>
      <c r="K86" s="8">
        <v>0.96889999999999998</v>
      </c>
      <c r="L86" s="8">
        <v>33.436999999999998</v>
      </c>
      <c r="M86" s="8">
        <v>170.19889999999901</v>
      </c>
      <c r="N86" s="10">
        <v>5.0896240601503697</v>
      </c>
      <c r="O86" s="10">
        <v>5.0856511037897496</v>
      </c>
      <c r="P86" s="10">
        <v>5.0872586746142696</v>
      </c>
      <c r="Q86" s="10">
        <v>5.0863360739324399</v>
      </c>
      <c r="R86" s="8">
        <v>169.097899201009</v>
      </c>
      <c r="S86" s="8">
        <v>169.129191738099</v>
      </c>
      <c r="T86" s="8">
        <v>169.112446670537</v>
      </c>
      <c r="U86" s="9">
        <v>-7.8090400475858796E-4</v>
      </c>
      <c r="V86" s="9">
        <v>-5.9586538415171803E-4</v>
      </c>
      <c r="W86" s="9">
        <v>-6.9487783959270698E-4</v>
      </c>
      <c r="X86" s="10">
        <v>5.09013667494093</v>
      </c>
      <c r="Y86" s="10">
        <v>5.08472288464342</v>
      </c>
      <c r="Z86" s="10">
        <v>5.0877966196392803</v>
      </c>
      <c r="AA86" s="10">
        <v>5.0868882086747096</v>
      </c>
      <c r="AB86" s="8">
        <v>170.01787909382199</v>
      </c>
      <c r="AC86" s="8">
        <v>170.09861522000099</v>
      </c>
      <c r="AD86" s="8">
        <v>170.082045478856</v>
      </c>
      <c r="AE86" s="9">
        <v>-1.0641504733692299E-3</v>
      </c>
      <c r="AF86" s="9">
        <v>-5.8939474087366496E-4</v>
      </c>
      <c r="AG86" s="9">
        <v>1.9714024534915799E-3</v>
      </c>
      <c r="AZ86" s="9"/>
      <c r="BB86">
        <f t="shared" si="2"/>
        <v>0</v>
      </c>
      <c r="BC86">
        <f t="shared" si="3"/>
        <v>1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1.4096506413067205E-3</v>
      </c>
      <c r="BL86" s="9"/>
      <c r="BN86">
        <f t="shared" si="10"/>
        <v>0</v>
      </c>
      <c r="BO86">
        <f t="shared" si="11"/>
        <v>0</v>
      </c>
      <c r="BP86">
        <f t="shared" si="12"/>
        <v>1</v>
      </c>
      <c r="BQ86">
        <f t="shared" ref="BQ86:BQ149" si="21">IF(F87+H87&gt;0,0,1)</f>
        <v>1</v>
      </c>
      <c r="BR86">
        <f t="shared" si="13"/>
        <v>1</v>
      </c>
      <c r="BS86" s="9">
        <f t="shared" si="14"/>
        <v>0</v>
      </c>
      <c r="BT86" s="9">
        <f t="shared" si="15"/>
        <v>-1.18175372389974E-4</v>
      </c>
      <c r="BU86" s="9">
        <f t="shared" si="16"/>
        <v>-1.18175372389974E-4</v>
      </c>
      <c r="BV86" s="12">
        <f t="shared" si="17"/>
        <v>-2.9356866454322147E-4</v>
      </c>
      <c r="BX86" s="12">
        <f t="shared" si="18"/>
        <v>-1.18175372389974E-4</v>
      </c>
      <c r="BY86" s="12">
        <f t="shared" si="19"/>
        <v>1.1160819767634994E-3</v>
      </c>
    </row>
    <row r="87" spans="1:77" x14ac:dyDescent="0.3">
      <c r="A87" s="1">
        <v>46148</v>
      </c>
      <c r="B87" s="8">
        <v>31.94</v>
      </c>
      <c r="C87" s="8">
        <v>162.43</v>
      </c>
      <c r="D87" s="9">
        <v>-4.0195624314996597E-2</v>
      </c>
      <c r="E87" s="9">
        <v>-4.1011596688689901E-2</v>
      </c>
      <c r="F87" s="8">
        <v>0</v>
      </c>
      <c r="G87" s="8">
        <v>0.187</v>
      </c>
      <c r="H87" s="8">
        <v>0</v>
      </c>
      <c r="I87" s="8">
        <v>0.96889999999999998</v>
      </c>
      <c r="J87" s="8">
        <v>0.187</v>
      </c>
      <c r="K87" s="8">
        <v>0.96889999999999998</v>
      </c>
      <c r="L87" s="8">
        <v>32.127000000000002</v>
      </c>
      <c r="M87" s="8">
        <v>163.3989</v>
      </c>
      <c r="N87" s="10">
        <v>5.0854727614276696</v>
      </c>
      <c r="O87" s="10">
        <v>5.0856511037897496</v>
      </c>
      <c r="P87" s="10">
        <v>5.0874251790935299</v>
      </c>
      <c r="Q87" s="10">
        <v>5.0863195885470303</v>
      </c>
      <c r="R87" s="8">
        <v>162.43569625504401</v>
      </c>
      <c r="S87" s="8">
        <v>162.487042067179</v>
      </c>
      <c r="T87" s="8">
        <v>162.457574201402</v>
      </c>
      <c r="U87" s="9">
        <v>3.5068368934656598E-5</v>
      </c>
      <c r="V87" s="9">
        <v>3.5111773394864298E-4</v>
      </c>
      <c r="W87" s="9">
        <v>1.69746113167039E-4</v>
      </c>
      <c r="X87" s="10">
        <v>5.0860304416845601</v>
      </c>
      <c r="Y87" s="10">
        <v>5.08472288464342</v>
      </c>
      <c r="Z87" s="10">
        <v>5.0879615841397401</v>
      </c>
      <c r="AA87" s="10">
        <v>5.0868722115027998</v>
      </c>
      <c r="AB87" s="8">
        <v>163.356892114939</v>
      </c>
      <c r="AC87" s="8">
        <v>163.455641999151</v>
      </c>
      <c r="AD87" s="8">
        <v>163.42645748009201</v>
      </c>
      <c r="AE87" s="9">
        <v>-2.5712098335122402E-4</v>
      </c>
      <c r="AF87" s="9">
        <v>3.47200313474705E-4</v>
      </c>
      <c r="AG87" s="9">
        <v>1.8634144582060201E-3</v>
      </c>
      <c r="AZ87" s="9"/>
      <c r="BB87">
        <f t="shared" ref="BB87:BB150" si="22">IF($AG87&lt;BA$20,1,0)</f>
        <v>0</v>
      </c>
      <c r="BC87">
        <f t="shared" ref="BC87:BC150" si="23">IF($AG87&gt;BA$21,1,0)</f>
        <v>1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1.4096506413067205E-3</v>
      </c>
      <c r="BL87" s="9"/>
      <c r="BN87">
        <f t="shared" ref="BN87:BN150" si="30">IF($AG87&gt;BM$20,1,0)</f>
        <v>0</v>
      </c>
      <c r="BO87">
        <f t="shared" ref="BO87:BO150" si="31">IF($AG87&lt;BM$21,1,0)</f>
        <v>0</v>
      </c>
      <c r="BP87">
        <f t="shared" ref="BP87:BP150" si="32">BR87</f>
        <v>1</v>
      </c>
      <c r="BQ87">
        <f t="shared" si="21"/>
        <v>1</v>
      </c>
      <c r="BR87">
        <f t="shared" ref="BR87:BR150" si="33">IF(BN86,1,IF(BO86,0,BP86))*BQ86</f>
        <v>1</v>
      </c>
      <c r="BS87" s="9">
        <f t="shared" ref="BS87:BS150" si="34">-BR87*D87</f>
        <v>4.0195624314996597E-2</v>
      </c>
      <c r="BT87" s="9">
        <f t="shared" ref="BT87:BT150" si="35">BR87*$E87</f>
        <v>-4.1011596688689901E-2</v>
      </c>
      <c r="BU87" s="9">
        <f t="shared" ref="BU87:BU150" si="36">BS87+BT87</f>
        <v>-8.1597237369330361E-4</v>
      </c>
      <c r="BV87" s="12">
        <f t="shared" ref="BV87:BV150" si="37">BV86+BU87</f>
        <v>-1.109541038236525E-3</v>
      </c>
      <c r="BX87" s="12">
        <f t="shared" ref="BX87:BX150" si="38">BI87+BU87</f>
        <v>-8.1597237369330361E-4</v>
      </c>
      <c r="BY87" s="12">
        <f t="shared" ref="BY87:BY150" si="39">BY86+BX87</f>
        <v>3.0010960307019579E-4</v>
      </c>
    </row>
    <row r="88" spans="1:77" x14ac:dyDescent="0.3">
      <c r="A88" s="1">
        <v>46149</v>
      </c>
      <c r="B88" s="8">
        <v>31.32</v>
      </c>
      <c r="C88" s="8">
        <v>159.31</v>
      </c>
      <c r="D88" s="9">
        <v>-1.9602271664263999E-2</v>
      </c>
      <c r="E88" s="9">
        <v>-1.9395150146500902E-2</v>
      </c>
      <c r="F88" s="8">
        <v>0</v>
      </c>
      <c r="G88" s="8">
        <v>0.187</v>
      </c>
      <c r="H88" s="8">
        <v>0</v>
      </c>
      <c r="I88" s="8">
        <v>0.96889999999999998</v>
      </c>
      <c r="J88" s="8">
        <v>0.187</v>
      </c>
      <c r="K88" s="8">
        <v>0.96889999999999998</v>
      </c>
      <c r="L88" s="8">
        <v>31.507000000000001</v>
      </c>
      <c r="M88" s="8">
        <v>160.27889999999999</v>
      </c>
      <c r="N88" s="10">
        <v>5.0865261813537597</v>
      </c>
      <c r="O88" s="10">
        <v>5.0856511037897496</v>
      </c>
      <c r="P88" s="10">
        <v>5.0874776716796299</v>
      </c>
      <c r="Q88" s="10">
        <v>5.0863007897685204</v>
      </c>
      <c r="R88" s="8">
        <v>159.28259257069499</v>
      </c>
      <c r="S88" s="8">
        <v>159.33815660920899</v>
      </c>
      <c r="T88" s="8">
        <v>159.303529513293</v>
      </c>
      <c r="U88" s="9">
        <v>-1.7205314882837299E-4</v>
      </c>
      <c r="V88" s="9">
        <v>1.7672538628533E-4</v>
      </c>
      <c r="W88" s="9">
        <v>-4.0616521951095001E-5</v>
      </c>
      <c r="X88" s="10">
        <v>5.08708858348938</v>
      </c>
      <c r="Y88" s="10">
        <v>5.08472288464342</v>
      </c>
      <c r="Z88" s="10">
        <v>5.0880147180839002</v>
      </c>
      <c r="AA88" s="10">
        <v>5.0868541075013898</v>
      </c>
      <c r="AB88" s="8">
        <v>160.20436392645999</v>
      </c>
      <c r="AC88" s="8">
        <v>160.30640563149001</v>
      </c>
      <c r="AD88" s="8">
        <v>160.27208276781801</v>
      </c>
      <c r="AE88" s="9">
        <v>-4.6514800161691301E-4</v>
      </c>
      <c r="AF88" s="9">
        <v>1.7159633380119999E-4</v>
      </c>
      <c r="AG88" s="9">
        <v>6.2035775261661203E-4</v>
      </c>
      <c r="AZ88" s="9"/>
      <c r="BB88">
        <f t="shared" si="22"/>
        <v>0</v>
      </c>
      <c r="BC88">
        <f t="shared" si="23"/>
        <v>1</v>
      </c>
      <c r="BD88">
        <f t="shared" si="24"/>
        <v>0</v>
      </c>
      <c r="BE88">
        <f t="shared" si="20"/>
        <v>1</v>
      </c>
      <c r="BF88">
        <f t="shared" si="25"/>
        <v>0</v>
      </c>
      <c r="BG88" s="9">
        <f t="shared" si="26"/>
        <v>0</v>
      </c>
      <c r="BH88" s="9">
        <f t="shared" si="27"/>
        <v>0</v>
      </c>
      <c r="BI88" s="9">
        <f t="shared" si="28"/>
        <v>0</v>
      </c>
      <c r="BJ88" s="12">
        <f t="shared" si="29"/>
        <v>1.4096506413067205E-3</v>
      </c>
      <c r="BL88" s="9"/>
      <c r="BN88">
        <f t="shared" si="30"/>
        <v>0</v>
      </c>
      <c r="BO88">
        <f t="shared" si="31"/>
        <v>0</v>
      </c>
      <c r="BP88">
        <f t="shared" si="32"/>
        <v>1</v>
      </c>
      <c r="BQ88">
        <f t="shared" si="21"/>
        <v>1</v>
      </c>
      <c r="BR88">
        <f t="shared" si="33"/>
        <v>1</v>
      </c>
      <c r="BS88" s="9">
        <f t="shared" si="34"/>
        <v>1.9602271664263999E-2</v>
      </c>
      <c r="BT88" s="9">
        <f t="shared" si="35"/>
        <v>-1.9395150146500902E-2</v>
      </c>
      <c r="BU88" s="9">
        <f t="shared" si="36"/>
        <v>2.0712151776309737E-4</v>
      </c>
      <c r="BV88" s="12">
        <f t="shared" si="37"/>
        <v>-9.024195204734276E-4</v>
      </c>
      <c r="BX88" s="12">
        <f t="shared" si="38"/>
        <v>2.0712151776309737E-4</v>
      </c>
      <c r="BY88" s="12">
        <f t="shared" si="39"/>
        <v>5.0723112083329316E-4</v>
      </c>
    </row>
    <row r="89" spans="1:77" x14ac:dyDescent="0.3">
      <c r="A89" s="1">
        <v>46150</v>
      </c>
      <c r="B89" s="8">
        <v>31.15</v>
      </c>
      <c r="C89" s="8">
        <v>158.38</v>
      </c>
      <c r="D89" s="9">
        <v>-5.4426258891402098E-3</v>
      </c>
      <c r="E89" s="9">
        <v>-5.85478080253713E-3</v>
      </c>
      <c r="F89" s="8">
        <v>0</v>
      </c>
      <c r="G89" s="8">
        <v>0.187</v>
      </c>
      <c r="H89" s="8">
        <v>0</v>
      </c>
      <c r="I89" s="8">
        <v>0.96889999999999998</v>
      </c>
      <c r="J89" s="8">
        <v>0.187</v>
      </c>
      <c r="K89" s="8">
        <v>0.96889999999999998</v>
      </c>
      <c r="L89" s="8">
        <v>31.337</v>
      </c>
      <c r="M89" s="8">
        <v>159.34889999999999</v>
      </c>
      <c r="N89" s="10">
        <v>5.0844301765650002</v>
      </c>
      <c r="O89" s="10">
        <v>5.0856511037897496</v>
      </c>
      <c r="P89" s="10">
        <v>5.0873672302166399</v>
      </c>
      <c r="Q89" s="10">
        <v>5.0862953972768397</v>
      </c>
      <c r="R89" s="8">
        <v>158.41803188304999</v>
      </c>
      <c r="S89" s="8">
        <v>158.47492947282001</v>
      </c>
      <c r="T89" s="8">
        <v>158.43826960128899</v>
      </c>
      <c r="U89" s="9">
        <v>2.40101764568487E-4</v>
      </c>
      <c r="V89" s="9">
        <v>5.9919835123883197E-4</v>
      </c>
      <c r="W89" s="9">
        <v>3.6784243547480097E-4</v>
      </c>
      <c r="X89" s="10">
        <v>5.0850081373456204</v>
      </c>
      <c r="Y89" s="10">
        <v>5.08472288464342</v>
      </c>
      <c r="Z89" s="10">
        <v>5.0879060967354599</v>
      </c>
      <c r="AA89" s="10">
        <v>5.0868493514355704</v>
      </c>
      <c r="AB89" s="8">
        <v>159.33996103607001</v>
      </c>
      <c r="AC89" s="8">
        <v>159.44311722059501</v>
      </c>
      <c r="AD89" s="8">
        <v>159.406747166771</v>
      </c>
      <c r="AE89" s="9">
        <v>-5.6098376970586803E-5</v>
      </c>
      <c r="AF89" s="9">
        <v>5.9108897493648802E-4</v>
      </c>
      <c r="AG89" s="9">
        <v>1.20562551199307E-3</v>
      </c>
      <c r="AZ89" s="9"/>
      <c r="BB89">
        <f t="shared" si="22"/>
        <v>0</v>
      </c>
      <c r="BC89">
        <f t="shared" si="23"/>
        <v>1</v>
      </c>
      <c r="BD89">
        <f t="shared" si="24"/>
        <v>0</v>
      </c>
      <c r="BE89">
        <f t="shared" si="20"/>
        <v>1</v>
      </c>
      <c r="BF89">
        <f t="shared" si="25"/>
        <v>0</v>
      </c>
      <c r="BG89" s="9">
        <f t="shared" si="26"/>
        <v>0</v>
      </c>
      <c r="BH89" s="9">
        <f t="shared" si="27"/>
        <v>0</v>
      </c>
      <c r="BI89" s="9">
        <f t="shared" si="28"/>
        <v>0</v>
      </c>
      <c r="BJ89" s="12">
        <f t="shared" si="29"/>
        <v>1.4096506413067205E-3</v>
      </c>
      <c r="BL89" s="9"/>
      <c r="BN89">
        <f t="shared" si="30"/>
        <v>0</v>
      </c>
      <c r="BO89">
        <f t="shared" si="31"/>
        <v>0</v>
      </c>
      <c r="BP89">
        <f t="shared" si="32"/>
        <v>1</v>
      </c>
      <c r="BQ89">
        <f t="shared" si="21"/>
        <v>1</v>
      </c>
      <c r="BR89">
        <f t="shared" si="33"/>
        <v>1</v>
      </c>
      <c r="BS89" s="9">
        <f t="shared" si="34"/>
        <v>5.4426258891402098E-3</v>
      </c>
      <c r="BT89" s="9">
        <f t="shared" si="35"/>
        <v>-5.85478080253713E-3</v>
      </c>
      <c r="BU89" s="9">
        <f t="shared" si="36"/>
        <v>-4.1215491339692024E-4</v>
      </c>
      <c r="BV89" s="12">
        <f t="shared" si="37"/>
        <v>-1.3145744338703478E-3</v>
      </c>
      <c r="BX89" s="12">
        <f t="shared" si="38"/>
        <v>-4.1215491339692024E-4</v>
      </c>
      <c r="BY89" s="12">
        <f t="shared" si="39"/>
        <v>9.5076207436372911E-5</v>
      </c>
    </row>
    <row r="90" spans="1:77" x14ac:dyDescent="0.3">
      <c r="A90" s="1">
        <v>46153</v>
      </c>
      <c r="B90" s="8">
        <v>31.95</v>
      </c>
      <c r="C90" s="8">
        <v>162.46</v>
      </c>
      <c r="D90" s="9">
        <v>2.53579355900816E-2</v>
      </c>
      <c r="E90" s="9">
        <v>2.5434608840541301E-2</v>
      </c>
      <c r="F90" s="8">
        <v>0</v>
      </c>
      <c r="G90" s="8">
        <v>0.187</v>
      </c>
      <c r="H90" s="8">
        <v>0</v>
      </c>
      <c r="I90" s="8">
        <v>0.96889999999999998</v>
      </c>
      <c r="J90" s="8">
        <v>0.187</v>
      </c>
      <c r="K90" s="8">
        <v>0.96889999999999998</v>
      </c>
      <c r="L90" s="8">
        <v>32.137</v>
      </c>
      <c r="M90" s="8">
        <v>163.4289</v>
      </c>
      <c r="N90" s="10">
        <v>5.0848200312989</v>
      </c>
      <c r="O90" s="10">
        <v>5.0856511037897496</v>
      </c>
      <c r="P90" s="10">
        <v>5.0872410021181302</v>
      </c>
      <c r="Q90" s="10">
        <v>5.0862117357267804</v>
      </c>
      <c r="R90" s="8">
        <v>162.48655276608201</v>
      </c>
      <c r="S90" s="8">
        <v>162.54138300542101</v>
      </c>
      <c r="T90" s="8">
        <v>162.507137942995</v>
      </c>
      <c r="U90" s="9">
        <v>1.63428514108608E-4</v>
      </c>
      <c r="V90" s="9">
        <v>5.0081637419584202E-4</v>
      </c>
      <c r="W90" s="9">
        <v>2.9010898532265601E-4</v>
      </c>
      <c r="X90" s="10">
        <v>5.0853813361545797</v>
      </c>
      <c r="Y90" s="10">
        <v>5.08472288464342</v>
      </c>
      <c r="Z90" s="10">
        <v>5.0877803955131702</v>
      </c>
      <c r="AA90" s="10">
        <v>5.08676614232966</v>
      </c>
      <c r="AB90" s="8">
        <v>163.40773934378501</v>
      </c>
      <c r="AC90" s="8">
        <v>163.51003823078699</v>
      </c>
      <c r="AD90" s="8">
        <v>163.47607760708399</v>
      </c>
      <c r="AE90" s="9">
        <v>-1.2948766262171099E-4</v>
      </c>
      <c r="AF90" s="9">
        <v>4.9635098769480702E-4</v>
      </c>
      <c r="AG90" s="9">
        <v>2.32539652710903E-3</v>
      </c>
      <c r="AZ90" s="9"/>
      <c r="BB90">
        <f t="shared" si="22"/>
        <v>0</v>
      </c>
      <c r="BC90">
        <f t="shared" si="23"/>
        <v>1</v>
      </c>
      <c r="BD90">
        <f t="shared" si="24"/>
        <v>0</v>
      </c>
      <c r="BE90">
        <f t="shared" si="20"/>
        <v>1</v>
      </c>
      <c r="BF90">
        <f t="shared" si="25"/>
        <v>0</v>
      </c>
      <c r="BG90" s="9">
        <f t="shared" si="26"/>
        <v>0</v>
      </c>
      <c r="BH90" s="9">
        <f t="shared" si="27"/>
        <v>0</v>
      </c>
      <c r="BI90" s="9">
        <f t="shared" si="28"/>
        <v>0</v>
      </c>
      <c r="BJ90" s="12">
        <f t="shared" si="29"/>
        <v>1.4096506413067205E-3</v>
      </c>
      <c r="BL90" s="9"/>
      <c r="BN90">
        <f t="shared" si="30"/>
        <v>1</v>
      </c>
      <c r="BO90">
        <f t="shared" si="31"/>
        <v>0</v>
      </c>
      <c r="BP90">
        <f t="shared" si="32"/>
        <v>1</v>
      </c>
      <c r="BQ90">
        <f t="shared" si="21"/>
        <v>1</v>
      </c>
      <c r="BR90">
        <f t="shared" si="33"/>
        <v>1</v>
      </c>
      <c r="BS90" s="9">
        <f t="shared" si="34"/>
        <v>-2.53579355900816E-2</v>
      </c>
      <c r="BT90" s="9">
        <f t="shared" si="35"/>
        <v>2.5434608840541301E-2</v>
      </c>
      <c r="BU90" s="9">
        <f t="shared" si="36"/>
        <v>7.6673250459700915E-5</v>
      </c>
      <c r="BV90" s="12">
        <f t="shared" si="37"/>
        <v>-1.2379011834106469E-3</v>
      </c>
      <c r="BX90" s="12">
        <f t="shared" si="38"/>
        <v>7.6673250459700915E-5</v>
      </c>
      <c r="BY90" s="12">
        <f t="shared" si="39"/>
        <v>1.7174945789607383E-4</v>
      </c>
    </row>
    <row r="91" spans="1:77" x14ac:dyDescent="0.3">
      <c r="A91" s="1">
        <v>46154</v>
      </c>
      <c r="B91" s="8">
        <v>32.18</v>
      </c>
      <c r="C91" s="8">
        <v>163.66999999999999</v>
      </c>
      <c r="D91" s="9">
        <v>7.1729607406933503E-3</v>
      </c>
      <c r="E91" s="9">
        <v>7.4203878949845297E-3</v>
      </c>
      <c r="F91" s="8">
        <v>0</v>
      </c>
      <c r="G91" s="8">
        <v>0.187</v>
      </c>
      <c r="H91" s="8">
        <v>0</v>
      </c>
      <c r="I91" s="8">
        <v>0.96889999999999998</v>
      </c>
      <c r="J91" s="8">
        <v>0.187</v>
      </c>
      <c r="K91" s="8">
        <v>0.96889999999999998</v>
      </c>
      <c r="L91" s="8">
        <v>32.366999999999997</v>
      </c>
      <c r="M91" s="8">
        <v>164.63889999999901</v>
      </c>
      <c r="N91" s="10">
        <v>5.0860783095090101</v>
      </c>
      <c r="O91" s="10">
        <v>5.0856511037897496</v>
      </c>
      <c r="P91" s="10">
        <v>5.0870926449502196</v>
      </c>
      <c r="Q91" s="10">
        <v>5.0862047537663297</v>
      </c>
      <c r="R91" s="8">
        <v>163.65625251995399</v>
      </c>
      <c r="S91" s="8">
        <v>163.70741544816099</v>
      </c>
      <c r="T91" s="8">
        <v>163.67429365568699</v>
      </c>
      <c r="U91" s="9">
        <v>-8.3998640182650805E-5</v>
      </c>
      <c r="V91" s="9">
        <v>2.2857684469890899E-4</v>
      </c>
      <c r="W91" s="9">
        <v>2.6233270421232401E-5</v>
      </c>
      <c r="X91" s="10">
        <v>5.0866283560416399</v>
      </c>
      <c r="Y91" s="10">
        <v>5.08472288464342</v>
      </c>
      <c r="Z91" s="10">
        <v>5.0876331286778598</v>
      </c>
      <c r="AA91" s="10">
        <v>5.0867583432585102</v>
      </c>
      <c r="AB91" s="8">
        <v>164.57722560725301</v>
      </c>
      <c r="AC91" s="8">
        <v>164.676188061575</v>
      </c>
      <c r="AD91" s="8">
        <v>164.64335972878399</v>
      </c>
      <c r="AE91" s="9">
        <v>-3.7467419528157203E-4</v>
      </c>
      <c r="AF91" s="9">
        <v>2.2645826496402101E-4</v>
      </c>
      <c r="AG91" s="9">
        <v>3.91190706649554E-4</v>
      </c>
      <c r="AZ91" s="9"/>
      <c r="BB91">
        <f t="shared" si="22"/>
        <v>0</v>
      </c>
      <c r="BC91">
        <f t="shared" si="23"/>
        <v>1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1.4096506413067205E-3</v>
      </c>
      <c r="BL91" s="9"/>
      <c r="BN91">
        <f t="shared" si="30"/>
        <v>0</v>
      </c>
      <c r="BO91">
        <f t="shared" si="31"/>
        <v>0</v>
      </c>
      <c r="BP91">
        <f t="shared" si="32"/>
        <v>1</v>
      </c>
      <c r="BQ91">
        <f t="shared" si="21"/>
        <v>1</v>
      </c>
      <c r="BR91">
        <f t="shared" si="33"/>
        <v>1</v>
      </c>
      <c r="BS91" s="9">
        <f t="shared" si="34"/>
        <v>-7.1729607406933503E-3</v>
      </c>
      <c r="BT91" s="9">
        <f t="shared" si="35"/>
        <v>7.4203878949845297E-3</v>
      </c>
      <c r="BU91" s="9">
        <f t="shared" si="36"/>
        <v>2.4742715429117938E-4</v>
      </c>
      <c r="BV91" s="12">
        <f t="shared" si="37"/>
        <v>-9.9047402911946756E-4</v>
      </c>
      <c r="BX91" s="12">
        <f t="shared" si="38"/>
        <v>2.4742715429117938E-4</v>
      </c>
      <c r="BY91" s="12">
        <f t="shared" si="39"/>
        <v>4.191766121872532E-4</v>
      </c>
    </row>
    <row r="92" spans="1:77" x14ac:dyDescent="0.3">
      <c r="A92" s="1">
        <v>46155</v>
      </c>
      <c r="B92" s="8">
        <v>32.159999999999997</v>
      </c>
      <c r="C92" s="8">
        <v>163.61000000000001</v>
      </c>
      <c r="D92" s="9">
        <v>-6.2169725347161495E-4</v>
      </c>
      <c r="E92" s="9">
        <v>-3.6665852280715999E-4</v>
      </c>
      <c r="F92" s="8">
        <v>0</v>
      </c>
      <c r="G92" s="8">
        <v>0.187</v>
      </c>
      <c r="H92" s="8">
        <v>0</v>
      </c>
      <c r="I92" s="8">
        <v>0.96889999999999998</v>
      </c>
      <c r="J92" s="8">
        <v>0.187</v>
      </c>
      <c r="K92" s="8">
        <v>0.96889999999999998</v>
      </c>
      <c r="L92" s="8">
        <v>32.346999999999902</v>
      </c>
      <c r="M92" s="8">
        <v>164.5789</v>
      </c>
      <c r="N92" s="10">
        <v>5.0873756218905397</v>
      </c>
      <c r="O92" s="10">
        <v>5.0856511037897496</v>
      </c>
      <c r="P92" s="10">
        <v>5.0871161375477403</v>
      </c>
      <c r="Q92" s="10">
        <v>5.0862396664820499</v>
      </c>
      <c r="R92" s="8">
        <v>163.55453949787801</v>
      </c>
      <c r="S92" s="8">
        <v>163.600899461599</v>
      </c>
      <c r="T92" s="8">
        <v>163.57234488112499</v>
      </c>
      <c r="U92" s="9">
        <v>-3.3903737084709098E-4</v>
      </c>
      <c r="V92" s="9">
        <v>-5.5624909917402501E-5</v>
      </c>
      <c r="W92" s="9">
        <v>-2.30178184306073E-4</v>
      </c>
      <c r="X92" s="10">
        <v>5.0879185086715903</v>
      </c>
      <c r="Y92" s="10">
        <v>5.08472288464342</v>
      </c>
      <c r="Z92" s="10">
        <v>5.0876579428088604</v>
      </c>
      <c r="AA92" s="10">
        <v>5.0867921727671499</v>
      </c>
      <c r="AB92" s="8">
        <v>164.47553114956</v>
      </c>
      <c r="AC92" s="8">
        <v>164.56966881334299</v>
      </c>
      <c r="AD92" s="8">
        <v>164.54137212938301</v>
      </c>
      <c r="AE92" s="9">
        <v>-6.2827814521965002E-4</v>
      </c>
      <c r="AF92" s="9">
        <v>-5.60913066867603E-5</v>
      </c>
      <c r="AG92" s="9">
        <v>6.8649721492334095E-4</v>
      </c>
      <c r="AZ92" s="9"/>
      <c r="BB92">
        <f t="shared" si="22"/>
        <v>0</v>
      </c>
      <c r="BC92">
        <f t="shared" si="23"/>
        <v>1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1.4096506413067205E-3</v>
      </c>
      <c r="BL92" s="9"/>
      <c r="BN92">
        <f t="shared" si="30"/>
        <v>0</v>
      </c>
      <c r="BO92">
        <f t="shared" si="31"/>
        <v>0</v>
      </c>
      <c r="BP92">
        <f t="shared" si="32"/>
        <v>1</v>
      </c>
      <c r="BQ92">
        <f t="shared" si="21"/>
        <v>1</v>
      </c>
      <c r="BR92">
        <f t="shared" si="33"/>
        <v>1</v>
      </c>
      <c r="BS92" s="9">
        <f t="shared" si="34"/>
        <v>6.2169725347161495E-4</v>
      </c>
      <c r="BT92" s="9">
        <f t="shared" si="35"/>
        <v>-3.6665852280715999E-4</v>
      </c>
      <c r="BU92" s="9">
        <f t="shared" si="36"/>
        <v>2.5503873066445496E-4</v>
      </c>
      <c r="BV92" s="12">
        <f t="shared" si="37"/>
        <v>-7.3543529845501265E-4</v>
      </c>
      <c r="BX92" s="12">
        <f t="shared" si="38"/>
        <v>2.5503873066445496E-4</v>
      </c>
      <c r="BY92" s="12">
        <f t="shared" si="39"/>
        <v>6.7421534285170811E-4</v>
      </c>
    </row>
    <row r="93" spans="1:77" x14ac:dyDescent="0.3">
      <c r="A93" s="1">
        <v>46156</v>
      </c>
      <c r="B93" s="8">
        <v>32.42</v>
      </c>
      <c r="C93" s="8">
        <v>164.8</v>
      </c>
      <c r="D93" s="9">
        <v>8.0520719967645607E-3</v>
      </c>
      <c r="E93" s="9">
        <v>7.2470704803860603E-3</v>
      </c>
      <c r="F93" s="8">
        <v>0</v>
      </c>
      <c r="G93" s="8">
        <v>0.187</v>
      </c>
      <c r="H93" s="8">
        <v>0</v>
      </c>
      <c r="I93" s="8">
        <v>0.96889999999999998</v>
      </c>
      <c r="J93" s="8">
        <v>0.187</v>
      </c>
      <c r="K93" s="8">
        <v>0.96889999999999998</v>
      </c>
      <c r="L93" s="8">
        <v>32.606999999999999</v>
      </c>
      <c r="M93" s="8">
        <v>165.7689</v>
      </c>
      <c r="N93" s="10">
        <v>5.0832819247378103</v>
      </c>
      <c r="O93" s="10">
        <v>5.0856511037897496</v>
      </c>
      <c r="P93" s="10">
        <v>5.0866534509336203</v>
      </c>
      <c r="Q93" s="10">
        <v>5.0861699554519602</v>
      </c>
      <c r="R93" s="8">
        <v>164.87680878486299</v>
      </c>
      <c r="S93" s="8">
        <v>164.92430517929799</v>
      </c>
      <c r="T93" s="8">
        <v>164.895889987348</v>
      </c>
      <c r="U93" s="9">
        <v>4.6596414553150099E-4</v>
      </c>
      <c r="V93" s="9">
        <v>7.5399467515400195E-4</v>
      </c>
      <c r="W93" s="9">
        <v>5.81687506359778E-4</v>
      </c>
      <c r="X93" s="10">
        <v>5.0838439598859102</v>
      </c>
      <c r="Y93" s="10">
        <v>5.08472288464342</v>
      </c>
      <c r="Z93" s="10">
        <v>5.0871993635908401</v>
      </c>
      <c r="AA93" s="10">
        <v>5.0867221915360101</v>
      </c>
      <c r="AB93" s="8">
        <v>165.79755909956799</v>
      </c>
      <c r="AC93" s="8">
        <v>165.89326254116801</v>
      </c>
      <c r="AD93" s="8">
        <v>165.865032377418</v>
      </c>
      <c r="AE93" s="9">
        <v>1.7287092136710399E-4</v>
      </c>
      <c r="AF93" s="9">
        <v>7.4993509084141595E-4</v>
      </c>
      <c r="AG93" s="9">
        <v>-1.68213399896224E-4</v>
      </c>
      <c r="AZ93" s="9"/>
      <c r="BB93">
        <f t="shared" si="22"/>
        <v>0</v>
      </c>
      <c r="BC93">
        <f t="shared" si="23"/>
        <v>0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1.4096506413067205E-3</v>
      </c>
      <c r="BL93" s="9"/>
      <c r="BN93">
        <f t="shared" si="30"/>
        <v>0</v>
      </c>
      <c r="BO93">
        <f t="shared" si="31"/>
        <v>1</v>
      </c>
      <c r="BP93">
        <f t="shared" si="32"/>
        <v>1</v>
      </c>
      <c r="BQ93">
        <f t="shared" si="21"/>
        <v>1</v>
      </c>
      <c r="BR93">
        <f t="shared" si="33"/>
        <v>1</v>
      </c>
      <c r="BS93" s="9">
        <f t="shared" si="34"/>
        <v>-8.0520719967645607E-3</v>
      </c>
      <c r="BT93" s="9">
        <f t="shared" si="35"/>
        <v>7.2470704803860603E-3</v>
      </c>
      <c r="BU93" s="9">
        <f t="shared" si="36"/>
        <v>-8.0500151637850036E-4</v>
      </c>
      <c r="BV93" s="12">
        <f t="shared" si="37"/>
        <v>-1.540436814833513E-3</v>
      </c>
      <c r="BX93" s="12">
        <f t="shared" si="38"/>
        <v>-8.0500151637850036E-4</v>
      </c>
      <c r="BY93" s="12">
        <f t="shared" si="39"/>
        <v>-1.3078617352679225E-4</v>
      </c>
    </row>
    <row r="94" spans="1:77" x14ac:dyDescent="0.3">
      <c r="A94" s="1">
        <v>46157</v>
      </c>
      <c r="B94" s="8">
        <v>33.130000000000003</v>
      </c>
      <c r="C94" s="8">
        <v>168.38</v>
      </c>
      <c r="D94" s="9">
        <v>2.1663700004274401E-2</v>
      </c>
      <c r="E94" s="9">
        <v>2.1490712434146499E-2</v>
      </c>
      <c r="F94" s="8">
        <v>0</v>
      </c>
      <c r="G94" s="8">
        <v>0.187</v>
      </c>
      <c r="H94" s="8">
        <v>0</v>
      </c>
      <c r="I94" s="8">
        <v>0.96889999999999998</v>
      </c>
      <c r="J94" s="8">
        <v>0.187</v>
      </c>
      <c r="K94" s="8">
        <v>0.96889999999999998</v>
      </c>
      <c r="L94" s="8">
        <v>33.317</v>
      </c>
      <c r="M94" s="8">
        <v>169.34889999999999</v>
      </c>
      <c r="N94" s="10">
        <v>5.0824026562028299</v>
      </c>
      <c r="O94" s="10">
        <v>5.0856511037897496</v>
      </c>
      <c r="P94" s="10">
        <v>5.0860237287045704</v>
      </c>
      <c r="Q94" s="10">
        <v>5.0860215968968303</v>
      </c>
      <c r="R94" s="8">
        <v>168.48762106855401</v>
      </c>
      <c r="S94" s="8">
        <v>168.52082882943</v>
      </c>
      <c r="T94" s="8">
        <v>168.504810624123</v>
      </c>
      <c r="U94" s="9">
        <v>6.3895171565940697E-4</v>
      </c>
      <c r="V94" s="9">
        <v>8.3602547445622301E-4</v>
      </c>
      <c r="W94" s="9">
        <v>7.4096917342580395E-4</v>
      </c>
      <c r="X94" s="10">
        <v>5.0829576492481303</v>
      </c>
      <c r="Y94" s="10">
        <v>5.08472288464342</v>
      </c>
      <c r="Z94" s="10">
        <v>5.08657284621885</v>
      </c>
      <c r="AA94" s="10">
        <v>5.0865725386160996</v>
      </c>
      <c r="AB94" s="8">
        <v>169.40771234766399</v>
      </c>
      <c r="AC94" s="8">
        <v>169.49022119675601</v>
      </c>
      <c r="AD94" s="8">
        <v>169.47432325540501</v>
      </c>
      <c r="AE94" s="9">
        <v>3.4722479864387199E-4</v>
      </c>
      <c r="AF94" s="9">
        <v>8.3414928271117496E-4</v>
      </c>
      <c r="AG94" s="9">
        <v>-2.4928547519703801E-3</v>
      </c>
      <c r="AZ94" s="9"/>
      <c r="BB94">
        <f t="shared" si="22"/>
        <v>1</v>
      </c>
      <c r="BC94">
        <f t="shared" si="23"/>
        <v>0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1.4096506413067205E-3</v>
      </c>
      <c r="BL94" s="9"/>
      <c r="BN94">
        <f t="shared" si="30"/>
        <v>0</v>
      </c>
      <c r="BO94">
        <f t="shared" si="31"/>
        <v>1</v>
      </c>
      <c r="BP94">
        <f t="shared" si="32"/>
        <v>0</v>
      </c>
      <c r="BQ94">
        <f t="shared" si="21"/>
        <v>1</v>
      </c>
      <c r="BR94">
        <f t="shared" si="33"/>
        <v>0</v>
      </c>
      <c r="BS94" s="9">
        <f t="shared" si="34"/>
        <v>0</v>
      </c>
      <c r="BT94" s="9">
        <f t="shared" si="35"/>
        <v>0</v>
      </c>
      <c r="BU94" s="9">
        <f t="shared" si="36"/>
        <v>0</v>
      </c>
      <c r="BV94" s="12">
        <f t="shared" si="37"/>
        <v>-1.540436814833513E-3</v>
      </c>
      <c r="BX94" s="12">
        <f t="shared" si="38"/>
        <v>0</v>
      </c>
      <c r="BY94" s="12">
        <f t="shared" si="39"/>
        <v>-1.3078617352679225E-4</v>
      </c>
    </row>
    <row r="95" spans="1:77" x14ac:dyDescent="0.3">
      <c r="A95" s="1">
        <v>46160</v>
      </c>
      <c r="B95" s="8">
        <v>33.72</v>
      </c>
      <c r="C95" s="8">
        <v>171.5</v>
      </c>
      <c r="D95" s="9">
        <v>1.7651916821850001E-2</v>
      </c>
      <c r="E95" s="9">
        <v>1.83599366964767E-2</v>
      </c>
      <c r="F95" s="8">
        <v>0</v>
      </c>
      <c r="G95" s="8">
        <v>0.187</v>
      </c>
      <c r="H95" s="8">
        <v>0</v>
      </c>
      <c r="I95" s="8">
        <v>0.96889999999999998</v>
      </c>
      <c r="J95" s="8">
        <v>0.187</v>
      </c>
      <c r="K95" s="8">
        <v>0.96889999999999998</v>
      </c>
      <c r="L95" s="8">
        <v>33.906999999999996</v>
      </c>
      <c r="M95" s="8">
        <v>172.46889999999999</v>
      </c>
      <c r="N95" s="10">
        <v>5.08600237247924</v>
      </c>
      <c r="O95" s="10">
        <v>5.0856511037897496</v>
      </c>
      <c r="P95" s="10">
        <v>5.0856014095615096</v>
      </c>
      <c r="Q95" s="10">
        <v>5.0860968211431503</v>
      </c>
      <c r="R95" s="8">
        <v>171.48815521979</v>
      </c>
      <c r="S95" s="8">
        <v>171.500720131918</v>
      </c>
      <c r="T95" s="8">
        <v>171.500648247361</v>
      </c>
      <c r="U95" s="9">
        <v>-6.9068158967312794E-5</v>
      </c>
      <c r="V95" s="9">
        <v>4.1990111152353199E-6</v>
      </c>
      <c r="W95" s="9">
        <v>3.7798608522514001E-6</v>
      </c>
      <c r="X95" s="10">
        <v>5.0865278556050297</v>
      </c>
      <c r="Y95" s="10">
        <v>5.08472288464342</v>
      </c>
      <c r="Z95" s="10">
        <v>5.0861521503067397</v>
      </c>
      <c r="AA95" s="10">
        <v>5.0866448047044903</v>
      </c>
      <c r="AB95" s="8">
        <v>172.407698849604</v>
      </c>
      <c r="AC95" s="8">
        <v>172.470425496742</v>
      </c>
      <c r="AD95" s="8">
        <v>172.47041506685599</v>
      </c>
      <c r="AE95" s="9">
        <v>-3.5491622941097398E-4</v>
      </c>
      <c r="AF95" s="9">
        <v>8.8450149350378095E-6</v>
      </c>
      <c r="AG95" s="9">
        <v>-2.9245500746250801E-3</v>
      </c>
      <c r="AZ95" s="9"/>
      <c r="BB95">
        <f t="shared" si="22"/>
        <v>1</v>
      </c>
      <c r="BC95">
        <f t="shared" si="23"/>
        <v>0</v>
      </c>
      <c r="BD95">
        <f t="shared" si="24"/>
        <v>1</v>
      </c>
      <c r="BE95">
        <f t="shared" si="20"/>
        <v>1</v>
      </c>
      <c r="BF95">
        <f t="shared" si="25"/>
        <v>1</v>
      </c>
      <c r="BG95" s="9">
        <f t="shared" si="26"/>
        <v>1.7651916821850001E-2</v>
      </c>
      <c r="BH95" s="9">
        <f t="shared" si="27"/>
        <v>-1.83599366964767E-2</v>
      </c>
      <c r="BI95" s="9">
        <f t="shared" si="28"/>
        <v>-7.0801987462669816E-4</v>
      </c>
      <c r="BJ95" s="12">
        <f t="shared" si="29"/>
        <v>7.0163076668002238E-4</v>
      </c>
      <c r="BL95" s="9"/>
      <c r="BN95">
        <f t="shared" si="30"/>
        <v>0</v>
      </c>
      <c r="BO95">
        <f t="shared" si="31"/>
        <v>1</v>
      </c>
      <c r="BP95">
        <f t="shared" si="32"/>
        <v>0</v>
      </c>
      <c r="BQ95">
        <f t="shared" si="21"/>
        <v>1</v>
      </c>
      <c r="BR95">
        <f t="shared" si="33"/>
        <v>0</v>
      </c>
      <c r="BS95" s="9">
        <f t="shared" si="34"/>
        <v>0</v>
      </c>
      <c r="BT95" s="9">
        <f t="shared" si="35"/>
        <v>0</v>
      </c>
      <c r="BU95" s="9">
        <f t="shared" si="36"/>
        <v>0</v>
      </c>
      <c r="BV95" s="12">
        <f t="shared" si="37"/>
        <v>-1.540436814833513E-3</v>
      </c>
      <c r="BX95" s="12">
        <f t="shared" si="38"/>
        <v>-7.0801987462669816E-4</v>
      </c>
      <c r="BY95" s="12">
        <f t="shared" si="39"/>
        <v>-8.3880604815349041E-4</v>
      </c>
    </row>
    <row r="96" spans="1:77" x14ac:dyDescent="0.3">
      <c r="A96" s="1">
        <v>46161</v>
      </c>
      <c r="B96" s="8">
        <v>34.07</v>
      </c>
      <c r="C96" s="8">
        <v>173.25</v>
      </c>
      <c r="D96" s="9">
        <v>1.03260985392205E-2</v>
      </c>
      <c r="E96" s="9">
        <v>1.0152371464017901E-2</v>
      </c>
      <c r="F96" s="8">
        <v>0</v>
      </c>
      <c r="G96" s="8">
        <v>0.187</v>
      </c>
      <c r="H96" s="8">
        <v>0</v>
      </c>
      <c r="I96" s="8">
        <v>0.96889999999999998</v>
      </c>
      <c r="J96" s="8">
        <v>0.187</v>
      </c>
      <c r="K96" s="8">
        <v>0.96889999999999998</v>
      </c>
      <c r="L96" s="8">
        <v>34.256999999999998</v>
      </c>
      <c r="M96" s="8">
        <v>174.21889999999999</v>
      </c>
      <c r="N96" s="10">
        <v>5.0851188729087102</v>
      </c>
      <c r="O96" s="10">
        <v>5.0856511037897496</v>
      </c>
      <c r="P96" s="10">
        <v>5.0851508908373502</v>
      </c>
      <c r="Q96" s="10">
        <v>5.0862047827258099</v>
      </c>
      <c r="R96" s="8">
        <v>173.26813310611601</v>
      </c>
      <c r="S96" s="8">
        <v>173.26644002376</v>
      </c>
      <c r="T96" s="8">
        <v>173.28331869634701</v>
      </c>
      <c r="U96" s="9">
        <v>1.04658916235363E-4</v>
      </c>
      <c r="V96" s="9">
        <v>9.4887410087574102E-5</v>
      </c>
      <c r="W96" s="9">
        <v>1.92297217337805E-4</v>
      </c>
      <c r="X96" s="10">
        <v>5.0856438100242203</v>
      </c>
      <c r="Y96" s="10">
        <v>5.08472288464342</v>
      </c>
      <c r="Z96" s="10">
        <v>5.0857028638150696</v>
      </c>
      <c r="AA96" s="10">
        <v>5.0867497417271696</v>
      </c>
      <c r="AB96" s="8">
        <v>174.18735185922901</v>
      </c>
      <c r="AC96" s="8">
        <v>174.23631421305799</v>
      </c>
      <c r="AD96" s="8">
        <v>174.25319107476099</v>
      </c>
      <c r="AE96" s="9">
        <v>-1.8109974024926599E-4</v>
      </c>
      <c r="AF96" s="9">
        <v>9.9950939817998805E-5</v>
      </c>
      <c r="AG96" s="9">
        <v>-2.14754904964716E-3</v>
      </c>
      <c r="AZ96" s="9"/>
      <c r="BB96">
        <f t="shared" si="22"/>
        <v>1</v>
      </c>
      <c r="BC96">
        <f t="shared" si="23"/>
        <v>0</v>
      </c>
      <c r="BD96">
        <f t="shared" si="24"/>
        <v>1</v>
      </c>
      <c r="BE96">
        <f t="shared" si="20"/>
        <v>1</v>
      </c>
      <c r="BF96">
        <f t="shared" si="25"/>
        <v>1</v>
      </c>
      <c r="BG96" s="9">
        <f t="shared" si="26"/>
        <v>1.03260985392205E-2</v>
      </c>
      <c r="BH96" s="9">
        <f t="shared" si="27"/>
        <v>-1.0152371464017901E-2</v>
      </c>
      <c r="BI96" s="9">
        <f t="shared" si="28"/>
        <v>1.7372707520259961E-4</v>
      </c>
      <c r="BJ96" s="12">
        <f t="shared" si="29"/>
        <v>8.7535784188262199E-4</v>
      </c>
      <c r="BL96" s="9"/>
      <c r="BN96">
        <f t="shared" si="30"/>
        <v>0</v>
      </c>
      <c r="BO96">
        <f t="shared" si="31"/>
        <v>1</v>
      </c>
      <c r="BP96">
        <f t="shared" si="32"/>
        <v>0</v>
      </c>
      <c r="BQ96">
        <f t="shared" si="21"/>
        <v>1</v>
      </c>
      <c r="BR96">
        <f t="shared" si="33"/>
        <v>0</v>
      </c>
      <c r="BS96" s="9">
        <f t="shared" si="34"/>
        <v>0</v>
      </c>
      <c r="BT96" s="9">
        <f t="shared" si="35"/>
        <v>0</v>
      </c>
      <c r="BU96" s="9">
        <f t="shared" si="36"/>
        <v>0</v>
      </c>
      <c r="BV96" s="12">
        <f t="shared" si="37"/>
        <v>-1.540436814833513E-3</v>
      </c>
      <c r="BX96" s="12">
        <f t="shared" si="38"/>
        <v>1.7372707520259961E-4</v>
      </c>
      <c r="BY96" s="12">
        <f t="shared" si="39"/>
        <v>-6.650789729508908E-4</v>
      </c>
    </row>
    <row r="97" spans="1:77" x14ac:dyDescent="0.3">
      <c r="A97" s="1">
        <v>46162</v>
      </c>
      <c r="B97" s="8">
        <v>33.29</v>
      </c>
      <c r="C97" s="8">
        <v>169.17</v>
      </c>
      <c r="D97" s="9">
        <v>-2.31601800859416E-2</v>
      </c>
      <c r="E97" s="9">
        <v>-2.3831511582812201E-2</v>
      </c>
      <c r="F97" s="8">
        <v>0</v>
      </c>
      <c r="G97" s="8">
        <v>0.187</v>
      </c>
      <c r="H97" s="8">
        <v>0</v>
      </c>
      <c r="I97" s="8">
        <v>0.96889999999999998</v>
      </c>
      <c r="J97" s="8">
        <v>0.187</v>
      </c>
      <c r="K97" s="8">
        <v>0.96889999999999998</v>
      </c>
      <c r="L97" s="8">
        <v>33.476999999999997</v>
      </c>
      <c r="M97" s="8">
        <v>170.13889999999901</v>
      </c>
      <c r="N97" s="10">
        <v>5.0817062180835002</v>
      </c>
      <c r="O97" s="10">
        <v>5.0856511037897496</v>
      </c>
      <c r="P97" s="10">
        <v>5.0847742365029296</v>
      </c>
      <c r="Q97" s="10">
        <v>5.0860997077982297</v>
      </c>
      <c r="R97" s="8">
        <v>169.30132524516</v>
      </c>
      <c r="S97" s="8">
        <v>169.28467315597501</v>
      </c>
      <c r="T97" s="8">
        <v>169.31975721694201</v>
      </c>
      <c r="U97" s="9">
        <v>7.75990413105847E-4</v>
      </c>
      <c r="V97" s="9">
        <v>6.7762787432753603E-4</v>
      </c>
      <c r="W97" s="9">
        <v>8.8485529337679805E-4</v>
      </c>
      <c r="X97" s="10">
        <v>5.0822624488454702</v>
      </c>
      <c r="Y97" s="10">
        <v>5.08472288464342</v>
      </c>
      <c r="Z97" s="10">
        <v>5.0853260645311602</v>
      </c>
      <c r="AA97" s="10">
        <v>5.0866438243354501</v>
      </c>
      <c r="AB97" s="8">
        <v>170.22126800920699</v>
      </c>
      <c r="AC97" s="8">
        <v>170.25407477193701</v>
      </c>
      <c r="AD97" s="8">
        <v>170.2891211038</v>
      </c>
      <c r="AE97" s="9">
        <v>4.8400499563532501E-4</v>
      </c>
      <c r="AF97" s="9">
        <v>6.7671652982632903E-4</v>
      </c>
      <c r="AG97" s="9">
        <v>-7.9762920908492603E-4</v>
      </c>
      <c r="AZ97" s="9"/>
      <c r="BB97">
        <f t="shared" si="22"/>
        <v>0</v>
      </c>
      <c r="BC97">
        <f t="shared" si="23"/>
        <v>0</v>
      </c>
      <c r="BD97">
        <f t="shared" si="24"/>
        <v>1</v>
      </c>
      <c r="BE97">
        <f t="shared" si="20"/>
        <v>1</v>
      </c>
      <c r="BF97">
        <f t="shared" si="25"/>
        <v>1</v>
      </c>
      <c r="BG97" s="9">
        <f t="shared" si="26"/>
        <v>-2.31601800859416E-2</v>
      </c>
      <c r="BH97" s="9">
        <f t="shared" si="27"/>
        <v>2.3831511582812201E-2</v>
      </c>
      <c r="BI97" s="9">
        <f t="shared" si="28"/>
        <v>6.7133149687060092E-4</v>
      </c>
      <c r="BJ97" s="12">
        <f t="shared" si="29"/>
        <v>1.5466893387532229E-3</v>
      </c>
      <c r="BL97" s="9"/>
      <c r="BN97">
        <f t="shared" si="30"/>
        <v>0</v>
      </c>
      <c r="BO97">
        <f t="shared" si="31"/>
        <v>1</v>
      </c>
      <c r="BP97">
        <f t="shared" si="32"/>
        <v>0</v>
      </c>
      <c r="BQ97">
        <f t="shared" si="21"/>
        <v>1</v>
      </c>
      <c r="BR97">
        <f t="shared" si="33"/>
        <v>0</v>
      </c>
      <c r="BS97" s="9">
        <f t="shared" si="34"/>
        <v>0</v>
      </c>
      <c r="BT97" s="9">
        <f t="shared" si="35"/>
        <v>0</v>
      </c>
      <c r="BU97" s="9">
        <f t="shared" si="36"/>
        <v>0</v>
      </c>
      <c r="BV97" s="12">
        <f t="shared" si="37"/>
        <v>-1.540436814833513E-3</v>
      </c>
      <c r="BX97" s="12">
        <f t="shared" si="38"/>
        <v>6.7133149687060092E-4</v>
      </c>
      <c r="BY97" s="12">
        <f t="shared" si="39"/>
        <v>6.2525239197101269E-6</v>
      </c>
    </row>
    <row r="98" spans="1:77" x14ac:dyDescent="0.3">
      <c r="A98" s="1">
        <v>46163</v>
      </c>
      <c r="B98" s="8">
        <v>32.92</v>
      </c>
      <c r="C98" s="8">
        <v>167.28</v>
      </c>
      <c r="D98" s="9">
        <v>-1.11766757780644E-2</v>
      </c>
      <c r="E98" s="9">
        <v>-1.12350713668222E-2</v>
      </c>
      <c r="F98" s="8">
        <v>0</v>
      </c>
      <c r="G98" s="8">
        <v>0.187</v>
      </c>
      <c r="H98" s="8">
        <v>0</v>
      </c>
      <c r="I98" s="8">
        <v>0.96889999999999998</v>
      </c>
      <c r="J98" s="8">
        <v>0.187</v>
      </c>
      <c r="K98" s="8">
        <v>0.96889999999999998</v>
      </c>
      <c r="L98" s="8">
        <v>33.106999999999999</v>
      </c>
      <c r="M98" s="8">
        <v>168.24889999999999</v>
      </c>
      <c r="N98" s="10">
        <v>5.0814094775212597</v>
      </c>
      <c r="O98" s="10">
        <v>5.0856511037897496</v>
      </c>
      <c r="P98" s="10">
        <v>5.0842625661196799</v>
      </c>
      <c r="Q98" s="10">
        <v>5.0858701188996598</v>
      </c>
      <c r="R98" s="8">
        <v>167.41963433675801</v>
      </c>
      <c r="S98" s="8">
        <v>167.390767865676</v>
      </c>
      <c r="T98" s="8">
        <v>167.43440238071699</v>
      </c>
      <c r="U98" s="9">
        <v>8.3438600186366298E-4</v>
      </c>
      <c r="V98" s="9">
        <v>6.6195126887083405E-4</v>
      </c>
      <c r="W98" s="9">
        <v>9.2259186083254896E-4</v>
      </c>
      <c r="X98" s="10">
        <v>5.0819736007490803</v>
      </c>
      <c r="Y98" s="10">
        <v>5.08472288464342</v>
      </c>
      <c r="Z98" s="10">
        <v>5.0848145662571298</v>
      </c>
      <c r="AA98" s="10">
        <v>5.0864146421705101</v>
      </c>
      <c r="AB98" s="8">
        <v>168.339920541889</v>
      </c>
      <c r="AC98" s="8">
        <v>168.35989001843299</v>
      </c>
      <c r="AD98" s="8">
        <v>168.40351709227301</v>
      </c>
      <c r="AE98" s="9">
        <v>5.4084116021435298E-4</v>
      </c>
      <c r="AF98" s="9">
        <v>6.5946003637931802E-4</v>
      </c>
      <c r="AG98" s="9">
        <v>9.1792500601552195E-4</v>
      </c>
      <c r="AZ98" s="9"/>
      <c r="BB98">
        <f t="shared" si="22"/>
        <v>0</v>
      </c>
      <c r="BC98">
        <f t="shared" si="23"/>
        <v>1</v>
      </c>
      <c r="BD98">
        <f t="shared" si="24"/>
        <v>1</v>
      </c>
      <c r="BE98">
        <f t="shared" si="20"/>
        <v>1</v>
      </c>
      <c r="BF98">
        <f t="shared" si="25"/>
        <v>1</v>
      </c>
      <c r="BG98" s="9">
        <f t="shared" si="26"/>
        <v>-1.11766757780644E-2</v>
      </c>
      <c r="BH98" s="9">
        <f t="shared" si="27"/>
        <v>1.12350713668222E-2</v>
      </c>
      <c r="BI98" s="9">
        <f t="shared" si="28"/>
        <v>5.8395588757800473E-5</v>
      </c>
      <c r="BJ98" s="12">
        <f t="shared" si="29"/>
        <v>1.6050849275110234E-3</v>
      </c>
      <c r="BL98" s="9"/>
      <c r="BN98">
        <f t="shared" si="30"/>
        <v>0</v>
      </c>
      <c r="BO98">
        <f t="shared" si="31"/>
        <v>0</v>
      </c>
      <c r="BP98">
        <f t="shared" si="32"/>
        <v>0</v>
      </c>
      <c r="BQ98">
        <f t="shared" si="21"/>
        <v>1</v>
      </c>
      <c r="BR98">
        <f t="shared" si="33"/>
        <v>0</v>
      </c>
      <c r="BS98" s="9">
        <f t="shared" si="34"/>
        <v>0</v>
      </c>
      <c r="BT98" s="9">
        <f t="shared" si="35"/>
        <v>0</v>
      </c>
      <c r="BU98" s="9">
        <f t="shared" si="36"/>
        <v>0</v>
      </c>
      <c r="BV98" s="12">
        <f t="shared" si="37"/>
        <v>-1.540436814833513E-3</v>
      </c>
      <c r="BX98" s="12">
        <f t="shared" si="38"/>
        <v>5.8395588757800473E-5</v>
      </c>
      <c r="BY98" s="12">
        <f t="shared" si="39"/>
        <v>6.46481126775106E-5</v>
      </c>
    </row>
    <row r="99" spans="1:77" x14ac:dyDescent="0.3">
      <c r="A99" s="1">
        <v>46164</v>
      </c>
      <c r="B99" s="8">
        <v>33.06</v>
      </c>
      <c r="C99" s="8">
        <v>168.02</v>
      </c>
      <c r="D99" s="9">
        <v>4.2437165840091603E-3</v>
      </c>
      <c r="E99" s="9">
        <v>4.4139648163229201E-3</v>
      </c>
      <c r="F99" s="8">
        <v>0</v>
      </c>
      <c r="G99" s="8">
        <v>0.187</v>
      </c>
      <c r="H99" s="8">
        <v>0</v>
      </c>
      <c r="I99" s="8">
        <v>0.96889999999999998</v>
      </c>
      <c r="J99" s="8">
        <v>0.187</v>
      </c>
      <c r="K99" s="8">
        <v>0.96889999999999998</v>
      </c>
      <c r="L99" s="8">
        <v>33.247</v>
      </c>
      <c r="M99" s="8">
        <v>168.9889</v>
      </c>
      <c r="N99" s="10">
        <v>5.0822746521476097</v>
      </c>
      <c r="O99" s="10">
        <v>5.0856511037897496</v>
      </c>
      <c r="P99" s="10">
        <v>5.0840470136779397</v>
      </c>
      <c r="Q99" s="10">
        <v>5.0857071219472898</v>
      </c>
      <c r="R99" s="8">
        <v>168.13162549128899</v>
      </c>
      <c r="S99" s="8">
        <v>168.08572043591599</v>
      </c>
      <c r="T99" s="8">
        <v>168.13886613082201</v>
      </c>
      <c r="U99" s="9">
        <v>6.64137769549708E-4</v>
      </c>
      <c r="V99" s="9">
        <v>3.9107002802075898E-4</v>
      </c>
      <c r="W99" s="9">
        <v>7.07202146086817E-4</v>
      </c>
      <c r="X99" s="10">
        <v>5.0828315336722101</v>
      </c>
      <c r="Y99" s="10">
        <v>5.08472288464342</v>
      </c>
      <c r="Z99" s="10">
        <v>5.0845969058897902</v>
      </c>
      <c r="AA99" s="10">
        <v>5.0862515013126197</v>
      </c>
      <c r="AB99" s="8">
        <v>169.05178174573899</v>
      </c>
      <c r="AC99" s="8">
        <v>169.05482988435</v>
      </c>
      <c r="AD99" s="8">
        <v>169.10802760824299</v>
      </c>
      <c r="AE99" s="9">
        <v>3.7203656163785001E-4</v>
      </c>
      <c r="AF99" s="9">
        <v>3.9006719757470298E-4</v>
      </c>
      <c r="AG99" s="9">
        <v>6.9837704210563302E-4</v>
      </c>
      <c r="AZ99" s="9"/>
      <c r="BB99">
        <f t="shared" si="22"/>
        <v>0</v>
      </c>
      <c r="BC99">
        <f t="shared" si="23"/>
        <v>1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1.6050849275110234E-3</v>
      </c>
      <c r="BL99" s="9"/>
      <c r="BN99">
        <f t="shared" si="30"/>
        <v>0</v>
      </c>
      <c r="BO99">
        <f t="shared" si="31"/>
        <v>0</v>
      </c>
      <c r="BP99">
        <f t="shared" si="32"/>
        <v>0</v>
      </c>
      <c r="BQ99">
        <f t="shared" si="21"/>
        <v>1</v>
      </c>
      <c r="BR99">
        <f t="shared" si="33"/>
        <v>0</v>
      </c>
      <c r="BS99" s="9">
        <f t="shared" si="34"/>
        <v>0</v>
      </c>
      <c r="BT99" s="9">
        <f t="shared" si="35"/>
        <v>0</v>
      </c>
      <c r="BU99" s="9">
        <f t="shared" si="36"/>
        <v>0</v>
      </c>
      <c r="BV99" s="12">
        <f t="shared" si="37"/>
        <v>-1.540436814833513E-3</v>
      </c>
      <c r="BX99" s="12">
        <f t="shared" si="38"/>
        <v>0</v>
      </c>
      <c r="BY99" s="12">
        <f t="shared" si="39"/>
        <v>6.46481126775106E-5</v>
      </c>
    </row>
    <row r="100" spans="1:77" x14ac:dyDescent="0.3">
      <c r="A100" s="1">
        <v>46168</v>
      </c>
      <c r="B100" s="8">
        <v>32.200000000000003</v>
      </c>
      <c r="C100" s="8">
        <v>163.72</v>
      </c>
      <c r="D100" s="9">
        <v>-2.63576398425154E-2</v>
      </c>
      <c r="E100" s="9">
        <v>-2.5925368312498798E-2</v>
      </c>
      <c r="F100" s="8">
        <v>0</v>
      </c>
      <c r="G100" s="8">
        <v>0.187</v>
      </c>
      <c r="H100" s="8">
        <v>0</v>
      </c>
      <c r="I100" s="8">
        <v>0.96889999999999998</v>
      </c>
      <c r="J100" s="8">
        <v>0.187</v>
      </c>
      <c r="K100" s="8">
        <v>0.96889999999999998</v>
      </c>
      <c r="L100" s="8">
        <v>32.387</v>
      </c>
      <c r="M100" s="8">
        <v>164.68889999999999</v>
      </c>
      <c r="N100" s="10">
        <v>5.08447204968944</v>
      </c>
      <c r="O100" s="10">
        <v>5.0856511037897496</v>
      </c>
      <c r="P100" s="10">
        <v>5.0840122155169896</v>
      </c>
      <c r="Q100" s="10">
        <v>5.0856266088175603</v>
      </c>
      <c r="R100" s="8">
        <v>163.75796554203001</v>
      </c>
      <c r="S100" s="8">
        <v>163.706313840429</v>
      </c>
      <c r="T100" s="8">
        <v>163.75976932670201</v>
      </c>
      <c r="U100" s="9">
        <v>2.31866239533077E-4</v>
      </c>
      <c r="V100" s="9">
        <v>-8.3598409776916401E-5</v>
      </c>
      <c r="W100" s="9">
        <v>2.4288112197056E-4</v>
      </c>
      <c r="X100" s="10">
        <v>5.0850310309692102</v>
      </c>
      <c r="Y100" s="10">
        <v>5.08472288464342</v>
      </c>
      <c r="Z100" s="10">
        <v>5.08456187537125</v>
      </c>
      <c r="AA100" s="10">
        <v>5.0861711354422097</v>
      </c>
      <c r="AB100" s="8">
        <v>164.678920064946</v>
      </c>
      <c r="AC100" s="8">
        <v>164.67483999105201</v>
      </c>
      <c r="AD100" s="8">
        <v>164.72842737301201</v>
      </c>
      <c r="AE100" s="9">
        <v>-6.0600547160361001E-5</v>
      </c>
      <c r="AF100" s="9">
        <v>-8.5376787112308807E-5</v>
      </c>
      <c r="AG100" s="9">
        <v>7.5542129293344501E-4</v>
      </c>
      <c r="AZ100" s="9"/>
      <c r="BB100">
        <f t="shared" si="22"/>
        <v>0</v>
      </c>
      <c r="BC100">
        <f t="shared" si="23"/>
        <v>1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1.6050849275110234E-3</v>
      </c>
      <c r="BL100" s="9"/>
      <c r="BN100">
        <f t="shared" si="30"/>
        <v>0</v>
      </c>
      <c r="BO100">
        <f t="shared" si="31"/>
        <v>0</v>
      </c>
      <c r="BP100">
        <f t="shared" si="32"/>
        <v>0</v>
      </c>
      <c r="BQ100">
        <f t="shared" si="21"/>
        <v>1</v>
      </c>
      <c r="BR100">
        <f t="shared" si="33"/>
        <v>0</v>
      </c>
      <c r="BS100" s="9">
        <f t="shared" si="34"/>
        <v>0</v>
      </c>
      <c r="BT100" s="9">
        <f t="shared" si="35"/>
        <v>0</v>
      </c>
      <c r="BU100" s="9">
        <f t="shared" si="36"/>
        <v>0</v>
      </c>
      <c r="BV100" s="12">
        <f t="shared" si="37"/>
        <v>-1.540436814833513E-3</v>
      </c>
      <c r="BX100" s="12">
        <f t="shared" si="38"/>
        <v>0</v>
      </c>
      <c r="BY100" s="12">
        <f t="shared" si="39"/>
        <v>6.46481126775106E-5</v>
      </c>
    </row>
    <row r="101" spans="1:77" x14ac:dyDescent="0.3">
      <c r="A101" s="1">
        <v>46169</v>
      </c>
      <c r="B101" s="8">
        <v>31.64</v>
      </c>
      <c r="C101" s="8">
        <v>160.84</v>
      </c>
      <c r="D101" s="9">
        <v>-1.7544309650909602E-2</v>
      </c>
      <c r="E101" s="9">
        <v>-1.7747569595128899E-2</v>
      </c>
      <c r="F101" s="8">
        <v>0</v>
      </c>
      <c r="G101" s="8">
        <v>0.187</v>
      </c>
      <c r="H101" s="8">
        <v>0</v>
      </c>
      <c r="I101" s="8">
        <v>0.96889999999999998</v>
      </c>
      <c r="J101" s="8">
        <v>0.187</v>
      </c>
      <c r="K101" s="8">
        <v>0.96889999999999998</v>
      </c>
      <c r="L101" s="8">
        <v>31.827000000000002</v>
      </c>
      <c r="M101" s="8">
        <v>161.80889999999999</v>
      </c>
      <c r="N101" s="10">
        <v>5.0834386852085904</v>
      </c>
      <c r="O101" s="10">
        <v>5.0856511037897496</v>
      </c>
      <c r="P101" s="10">
        <v>5.0837482530869504</v>
      </c>
      <c r="Q101" s="10">
        <v>5.0854204490185797</v>
      </c>
      <c r="R101" s="8">
        <v>160.91000092390701</v>
      </c>
      <c r="S101" s="8">
        <v>160.85814649895701</v>
      </c>
      <c r="T101" s="8">
        <v>160.909225902987</v>
      </c>
      <c r="U101" s="9">
        <v>4.3512618375264801E-4</v>
      </c>
      <c r="V101" s="9">
        <v>1.12816932112377E-4</v>
      </c>
      <c r="W101" s="9">
        <v>4.30309685200717E-4</v>
      </c>
      <c r="X101" s="10">
        <v>5.0840135733810898</v>
      </c>
      <c r="Y101" s="10">
        <v>5.08472288464342</v>
      </c>
      <c r="Z101" s="10">
        <v>5.0843003971051903</v>
      </c>
      <c r="AA101" s="10">
        <v>5.0859667628915304</v>
      </c>
      <c r="AB101" s="8">
        <v>161.831475249546</v>
      </c>
      <c r="AC101" s="8">
        <v>161.82635080744001</v>
      </c>
      <c r="AD101" s="8">
        <v>161.87756872771899</v>
      </c>
      <c r="AE101" s="9">
        <v>1.39508240067163E-4</v>
      </c>
      <c r="AF101" s="9">
        <v>1.07842439377748E-4</v>
      </c>
      <c r="AG101" s="9">
        <v>1.42350197654029E-3</v>
      </c>
      <c r="AZ101" s="9"/>
      <c r="BB101">
        <f t="shared" si="22"/>
        <v>0</v>
      </c>
      <c r="BC101">
        <f t="shared" si="23"/>
        <v>1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1.6050849275110234E-3</v>
      </c>
      <c r="BL101" s="9"/>
      <c r="BN101">
        <f t="shared" si="30"/>
        <v>0</v>
      </c>
      <c r="BO101">
        <f t="shared" si="31"/>
        <v>0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-1.540436814833513E-3</v>
      </c>
      <c r="BX101" s="12">
        <f t="shared" si="38"/>
        <v>0</v>
      </c>
      <c r="BY101" s="12">
        <f t="shared" si="39"/>
        <v>6.46481126775106E-5</v>
      </c>
    </row>
    <row r="102" spans="1:77" x14ac:dyDescent="0.3">
      <c r="A102" s="1">
        <v>46170</v>
      </c>
      <c r="B102" s="8">
        <v>31.61</v>
      </c>
      <c r="C102" s="8">
        <v>160.72</v>
      </c>
      <c r="D102" s="9">
        <v>-9.4861667192677399E-4</v>
      </c>
      <c r="E102" s="9">
        <v>-7.46361522394286E-4</v>
      </c>
      <c r="F102" s="8">
        <v>0</v>
      </c>
      <c r="G102" s="8">
        <v>0.187</v>
      </c>
      <c r="H102" s="8">
        <v>0</v>
      </c>
      <c r="I102" s="8">
        <v>0.96889999999999998</v>
      </c>
      <c r="J102" s="8">
        <v>0.187</v>
      </c>
      <c r="K102" s="8">
        <v>0.96889999999999998</v>
      </c>
      <c r="L102" s="8">
        <v>31.797000000000001</v>
      </c>
      <c r="M102" s="8">
        <v>161.68889999999999</v>
      </c>
      <c r="N102" s="10">
        <v>5.0844669408414997</v>
      </c>
      <c r="O102" s="10">
        <v>5.0856511037897496</v>
      </c>
      <c r="P102" s="10">
        <v>5.0834573849820499</v>
      </c>
      <c r="Q102" s="10">
        <v>5.0852867612649</v>
      </c>
      <c r="R102" s="8">
        <v>160.75743139079401</v>
      </c>
      <c r="S102" s="8">
        <v>160.69728228007801</v>
      </c>
      <c r="T102" s="8">
        <v>160.75014039347701</v>
      </c>
      <c r="U102" s="9">
        <v>2.3287103422006301E-4</v>
      </c>
      <c r="V102" s="9">
        <v>-1.41359666773053E-4</v>
      </c>
      <c r="W102" s="9">
        <v>1.87515976003502E-4</v>
      </c>
      <c r="X102" s="10">
        <v>5.0850363241815204</v>
      </c>
      <c r="Y102" s="10">
        <v>5.08472288464342</v>
      </c>
      <c r="Z102" s="10">
        <v>5.0840121786561898</v>
      </c>
      <c r="AA102" s="10">
        <v>5.0858350607325198</v>
      </c>
      <c r="AB102" s="8">
        <v>161.67893356300601</v>
      </c>
      <c r="AC102" s="8">
        <v>161.66549972675401</v>
      </c>
      <c r="AD102" s="8">
        <v>161.71848515966201</v>
      </c>
      <c r="AE102" s="9">
        <v>-6.1641486639978695E-5</v>
      </c>
      <c r="AF102" s="9">
        <v>-1.4473452847160701E-4</v>
      </c>
      <c r="AG102" s="9">
        <v>9.1793478206157904E-4</v>
      </c>
      <c r="AZ102" s="9"/>
      <c r="BB102">
        <f t="shared" si="22"/>
        <v>0</v>
      </c>
      <c r="BC102">
        <f t="shared" si="23"/>
        <v>1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1.6050849275110234E-3</v>
      </c>
      <c r="BL102" s="9"/>
      <c r="BN102">
        <f t="shared" si="30"/>
        <v>0</v>
      </c>
      <c r="BO102">
        <f t="shared" si="31"/>
        <v>0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-1.540436814833513E-3</v>
      </c>
      <c r="BX102" s="12">
        <f t="shared" si="38"/>
        <v>0</v>
      </c>
      <c r="BY102" s="12">
        <f t="shared" si="39"/>
        <v>6.46481126775106E-5</v>
      </c>
    </row>
    <row r="103" spans="1:77" x14ac:dyDescent="0.3">
      <c r="A103" s="1">
        <v>46171</v>
      </c>
      <c r="B103" s="8">
        <v>31.28</v>
      </c>
      <c r="C103" s="8">
        <v>159.1</v>
      </c>
      <c r="D103" s="9">
        <v>-1.04946105504159E-2</v>
      </c>
      <c r="E103" s="9">
        <v>-1.01307851629377E-2</v>
      </c>
      <c r="F103" s="8">
        <v>0</v>
      </c>
      <c r="G103" s="8">
        <v>0.187</v>
      </c>
      <c r="H103" s="8">
        <v>0</v>
      </c>
      <c r="I103" s="8">
        <v>0.96889999999999998</v>
      </c>
      <c r="J103" s="8">
        <v>0.187</v>
      </c>
      <c r="K103" s="8">
        <v>0.96889999999999998</v>
      </c>
      <c r="L103" s="8">
        <v>31.466999999999999</v>
      </c>
      <c r="M103" s="8">
        <v>160.06889999999899</v>
      </c>
      <c r="N103" s="10">
        <v>5.0863171355498702</v>
      </c>
      <c r="O103" s="10">
        <v>5.0856511037897496</v>
      </c>
      <c r="P103" s="10">
        <v>5.0837609060632598</v>
      </c>
      <c r="Q103" s="10">
        <v>5.0852071784984396</v>
      </c>
      <c r="R103" s="8">
        <v>159.07916652654299</v>
      </c>
      <c r="S103" s="8">
        <v>159.01054700223801</v>
      </c>
      <c r="T103" s="8">
        <v>159.06776989236599</v>
      </c>
      <c r="U103" s="9">
        <v>-1.30954353258142E-4</v>
      </c>
      <c r="V103" s="9">
        <v>-5.6240197605601197E-4</v>
      </c>
      <c r="W103" s="9">
        <v>-2.0259819374565899E-4</v>
      </c>
      <c r="X103" s="10">
        <v>5.0868814948994103</v>
      </c>
      <c r="Y103" s="10">
        <v>5.08472288464342</v>
      </c>
      <c r="Z103" s="10">
        <v>5.0843159321575397</v>
      </c>
      <c r="AA103" s="10">
        <v>5.0857576478741899</v>
      </c>
      <c r="AB103" s="8">
        <v>160.00097501107399</v>
      </c>
      <c r="AC103" s="8">
        <v>159.97861122577399</v>
      </c>
      <c r="AD103" s="8">
        <v>160.03597185607001</v>
      </c>
      <c r="AE103" s="9">
        <v>-4.24438507014977E-4</v>
      </c>
      <c r="AF103" s="9">
        <v>-5.6422108252023799E-4</v>
      </c>
      <c r="AG103" s="9">
        <v>5.3415595727416599E-4</v>
      </c>
      <c r="AZ103" s="9"/>
      <c r="BB103">
        <f t="shared" si="22"/>
        <v>0</v>
      </c>
      <c r="BC103">
        <f t="shared" si="23"/>
        <v>1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1.6050849275110234E-3</v>
      </c>
      <c r="BL103" s="9"/>
      <c r="BN103">
        <f t="shared" si="30"/>
        <v>0</v>
      </c>
      <c r="BO103">
        <f t="shared" si="31"/>
        <v>0</v>
      </c>
      <c r="BP103">
        <f t="shared" si="32"/>
        <v>0</v>
      </c>
      <c r="BQ103">
        <f t="shared" si="21"/>
        <v>1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-1.540436814833513E-3</v>
      </c>
      <c r="BX103" s="12">
        <f t="shared" si="38"/>
        <v>0</v>
      </c>
      <c r="BY103" s="12">
        <f t="shared" si="39"/>
        <v>6.46481126775106E-5</v>
      </c>
    </row>
    <row r="104" spans="1:77" x14ac:dyDescent="0.3">
      <c r="A104" s="1">
        <v>46174</v>
      </c>
      <c r="B104" s="8">
        <v>31.84</v>
      </c>
      <c r="C104" s="8">
        <v>161.83000000000001</v>
      </c>
      <c r="D104" s="9">
        <v>1.77444452990719E-2</v>
      </c>
      <c r="E104" s="9">
        <v>1.7013466185052901E-2</v>
      </c>
      <c r="F104" s="8">
        <v>0</v>
      </c>
      <c r="G104" s="8">
        <v>0.187</v>
      </c>
      <c r="H104" s="8">
        <v>0</v>
      </c>
      <c r="I104" s="8">
        <v>0.96889999999999998</v>
      </c>
      <c r="J104" s="8">
        <v>0.187</v>
      </c>
      <c r="K104" s="8">
        <v>0.96889999999999998</v>
      </c>
      <c r="L104" s="8">
        <v>32.027000000000001</v>
      </c>
      <c r="M104" s="8">
        <v>162.7989</v>
      </c>
      <c r="N104" s="10">
        <v>5.0826005025125598</v>
      </c>
      <c r="O104" s="10">
        <v>5.0856511037897496</v>
      </c>
      <c r="P104" s="10">
        <v>5.0837806906942298</v>
      </c>
      <c r="Q104" s="10">
        <v>5.0849022096993997</v>
      </c>
      <c r="R104" s="8">
        <v>161.927131144665</v>
      </c>
      <c r="S104" s="8">
        <v>161.86694724905399</v>
      </c>
      <c r="T104" s="8">
        <v>161.91299656339001</v>
      </c>
      <c r="U104" s="9">
        <v>6.0002476076074704E-4</v>
      </c>
      <c r="V104" s="9">
        <v>2.28282963609159E-4</v>
      </c>
      <c r="W104" s="9">
        <v>5.1273118547486105E-4</v>
      </c>
      <c r="X104" s="10">
        <v>5.0831766946638703</v>
      </c>
      <c r="Y104" s="10">
        <v>5.08472288464342</v>
      </c>
      <c r="Z104" s="10">
        <v>5.0843378366991097</v>
      </c>
      <c r="AA104" s="10">
        <v>5.0854553414589798</v>
      </c>
      <c r="AB104" s="8">
        <v>162.84841982647399</v>
      </c>
      <c r="AC104" s="8">
        <v>162.835386359209</v>
      </c>
      <c r="AD104" s="8">
        <v>162.88156018846601</v>
      </c>
      <c r="AE104" s="9">
        <v>3.0413164083763699E-4</v>
      </c>
      <c r="AF104" s="9">
        <v>2.2409408892547301E-4</v>
      </c>
      <c r="AG104" s="9">
        <v>-2.25778686760652E-3</v>
      </c>
      <c r="AZ104" s="9"/>
      <c r="BB104">
        <f t="shared" si="22"/>
        <v>1</v>
      </c>
      <c r="BC104">
        <f t="shared" si="23"/>
        <v>0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1.6050849275110234E-3</v>
      </c>
      <c r="BL104" s="9"/>
      <c r="BN104">
        <f t="shared" si="30"/>
        <v>0</v>
      </c>
      <c r="BO104">
        <f t="shared" si="31"/>
        <v>1</v>
      </c>
      <c r="BP104">
        <f t="shared" si="32"/>
        <v>0</v>
      </c>
      <c r="BQ104">
        <f t="shared" si="21"/>
        <v>1</v>
      </c>
      <c r="BR104">
        <f t="shared" si="33"/>
        <v>0</v>
      </c>
      <c r="BS104" s="9">
        <f t="shared" si="34"/>
        <v>0</v>
      </c>
      <c r="BT104" s="9">
        <f t="shared" si="35"/>
        <v>0</v>
      </c>
      <c r="BU104" s="9">
        <f t="shared" si="36"/>
        <v>0</v>
      </c>
      <c r="BV104" s="12">
        <f t="shared" si="37"/>
        <v>-1.540436814833513E-3</v>
      </c>
      <c r="BX104" s="12">
        <f t="shared" si="38"/>
        <v>0</v>
      </c>
      <c r="BY104" s="12">
        <f t="shared" si="39"/>
        <v>6.46481126775106E-5</v>
      </c>
    </row>
    <row r="105" spans="1:77" x14ac:dyDescent="0.3">
      <c r="A105" s="1">
        <v>46175</v>
      </c>
      <c r="B105" s="8">
        <v>32.22</v>
      </c>
      <c r="C105" s="8">
        <v>163.72</v>
      </c>
      <c r="D105" s="9">
        <v>1.1864016772646001E-2</v>
      </c>
      <c r="E105" s="9">
        <v>1.16112500954081E-2</v>
      </c>
      <c r="F105" s="8">
        <v>0</v>
      </c>
      <c r="G105" s="8">
        <v>0.187</v>
      </c>
      <c r="H105" s="8">
        <v>0</v>
      </c>
      <c r="I105" s="8">
        <v>0.96889999999999998</v>
      </c>
      <c r="J105" s="8">
        <v>0.187</v>
      </c>
      <c r="K105" s="8">
        <v>0.96889999999999998</v>
      </c>
      <c r="L105" s="8">
        <v>32.406999999999996</v>
      </c>
      <c r="M105" s="8">
        <v>164.68889999999999</v>
      </c>
      <c r="N105" s="10">
        <v>5.0813159528243297</v>
      </c>
      <c r="O105" s="10">
        <v>5.0856511037897496</v>
      </c>
      <c r="P105" s="10">
        <v>5.0833120487287404</v>
      </c>
      <c r="Q105" s="10">
        <v>5.0844567291451197</v>
      </c>
      <c r="R105" s="8">
        <v>163.859678564105</v>
      </c>
      <c r="S105" s="8">
        <v>163.79941385416799</v>
      </c>
      <c r="T105" s="8">
        <v>163.83554919651399</v>
      </c>
      <c r="U105" s="9">
        <v>8.5279143799881201E-4</v>
      </c>
      <c r="V105" s="9">
        <v>4.8494136448220599E-4</v>
      </c>
      <c r="W105" s="9">
        <v>7.0552430933428802E-4</v>
      </c>
      <c r="X105" s="10">
        <v>5.0818928009380597</v>
      </c>
      <c r="Y105" s="10">
        <v>5.08472288464342</v>
      </c>
      <c r="Z105" s="10">
        <v>5.0838743312324199</v>
      </c>
      <c r="AA105" s="10">
        <v>5.0850132407695803</v>
      </c>
      <c r="AB105" s="8">
        <v>164.78061452263901</v>
      </c>
      <c r="AC105" s="8">
        <v>164.768136273908</v>
      </c>
      <c r="AD105" s="8">
        <v>164.804351250661</v>
      </c>
      <c r="AE105" s="9">
        <v>5.5674058427715402E-4</v>
      </c>
      <c r="AF105" s="9">
        <v>4.8101128045203301E-4</v>
      </c>
      <c r="AG105" s="9">
        <v>-6.9380162112006095E-4</v>
      </c>
      <c r="AZ105" s="9"/>
      <c r="BB105">
        <f t="shared" si="22"/>
        <v>0</v>
      </c>
      <c r="BC105">
        <f t="shared" si="23"/>
        <v>0</v>
      </c>
      <c r="BD105">
        <f t="shared" si="24"/>
        <v>1</v>
      </c>
      <c r="BE105">
        <f t="shared" si="20"/>
        <v>1</v>
      </c>
      <c r="BF105">
        <f t="shared" si="25"/>
        <v>1</v>
      </c>
      <c r="BG105" s="9">
        <f t="shared" si="26"/>
        <v>1.1864016772646001E-2</v>
      </c>
      <c r="BH105" s="9">
        <f t="shared" si="27"/>
        <v>-1.16112500954081E-2</v>
      </c>
      <c r="BI105" s="9">
        <f t="shared" si="28"/>
        <v>2.5276667723790093E-4</v>
      </c>
      <c r="BJ105" s="12">
        <f t="shared" si="29"/>
        <v>1.8578516047489243E-3</v>
      </c>
      <c r="BL105" s="9"/>
      <c r="BN105">
        <f t="shared" si="30"/>
        <v>0</v>
      </c>
      <c r="BO105">
        <f t="shared" si="31"/>
        <v>1</v>
      </c>
      <c r="BP105">
        <f t="shared" si="32"/>
        <v>0</v>
      </c>
      <c r="BQ105">
        <f t="shared" si="21"/>
        <v>1</v>
      </c>
      <c r="BR105">
        <f t="shared" si="33"/>
        <v>0</v>
      </c>
      <c r="BS105" s="9">
        <f t="shared" si="34"/>
        <v>0</v>
      </c>
      <c r="BT105" s="9">
        <f t="shared" si="35"/>
        <v>0</v>
      </c>
      <c r="BU105" s="9">
        <f t="shared" si="36"/>
        <v>0</v>
      </c>
      <c r="BV105" s="12">
        <f t="shared" si="37"/>
        <v>-1.540436814833513E-3</v>
      </c>
      <c r="BX105" s="12">
        <f t="shared" si="38"/>
        <v>2.5276667723790093E-4</v>
      </c>
      <c r="BY105" s="12">
        <f t="shared" si="39"/>
        <v>3.1741478991541153E-4</v>
      </c>
    </row>
    <row r="106" spans="1:77" x14ac:dyDescent="0.3">
      <c r="A106" s="1">
        <v>46176</v>
      </c>
      <c r="B106" s="8">
        <v>32.58</v>
      </c>
      <c r="C106" s="8">
        <v>165.57</v>
      </c>
      <c r="D106" s="9">
        <v>1.1111225425070601E-2</v>
      </c>
      <c r="E106" s="9">
        <v>1.1236414495317201E-2</v>
      </c>
      <c r="F106" s="8">
        <v>0</v>
      </c>
      <c r="G106" s="8">
        <v>0.187</v>
      </c>
      <c r="H106" s="8">
        <v>0</v>
      </c>
      <c r="I106" s="8">
        <v>0.96889999999999998</v>
      </c>
      <c r="J106" s="8">
        <v>0.187</v>
      </c>
      <c r="K106" s="8">
        <v>0.96889999999999998</v>
      </c>
      <c r="L106" s="8">
        <v>32.766999999999904</v>
      </c>
      <c r="M106" s="8">
        <v>166.53889999999899</v>
      </c>
      <c r="N106" s="10">
        <v>5.0819521178637199</v>
      </c>
      <c r="O106" s="10">
        <v>5.0856511037897496</v>
      </c>
      <c r="P106" s="10">
        <v>5.0829953732242403</v>
      </c>
      <c r="Q106" s="10">
        <v>5.0840731320307899</v>
      </c>
      <c r="R106" s="8">
        <v>165.69051296147001</v>
      </c>
      <c r="S106" s="8">
        <v>165.614306547582</v>
      </c>
      <c r="T106" s="8">
        <v>165.65160023554799</v>
      </c>
      <c r="U106" s="9">
        <v>7.2760236775220102E-4</v>
      </c>
      <c r="V106" s="9">
        <v>2.6756429559466E-4</v>
      </c>
      <c r="W106" s="9">
        <v>4.9272292109663399E-4</v>
      </c>
      <c r="X106" s="10">
        <v>5.0825189977721399</v>
      </c>
      <c r="Y106" s="10">
        <v>5.08472288464342</v>
      </c>
      <c r="Z106" s="10">
        <v>5.0835618500072099</v>
      </c>
      <c r="AA106" s="10">
        <v>5.0846323569111398</v>
      </c>
      <c r="AB106" s="8">
        <v>166.611114761111</v>
      </c>
      <c r="AC106" s="8">
        <v>166.58331021149201</v>
      </c>
      <c r="AD106" s="8">
        <v>166.62062886029599</v>
      </c>
      <c r="AE106" s="9">
        <v>4.3352699410133098E-4</v>
      </c>
      <c r="AF106" s="9">
        <v>2.6663014590123002E-4</v>
      </c>
      <c r="AG106" s="9">
        <v>-2.1937519235330299E-3</v>
      </c>
      <c r="AZ106" s="9"/>
      <c r="BB106">
        <f t="shared" si="22"/>
        <v>1</v>
      </c>
      <c r="BC106">
        <f t="shared" si="23"/>
        <v>0</v>
      </c>
      <c r="BD106">
        <f t="shared" si="24"/>
        <v>1</v>
      </c>
      <c r="BE106">
        <f t="shared" si="20"/>
        <v>1</v>
      </c>
      <c r="BF106">
        <f t="shared" si="25"/>
        <v>1</v>
      </c>
      <c r="BG106" s="9">
        <f t="shared" si="26"/>
        <v>1.1111225425070601E-2</v>
      </c>
      <c r="BH106" s="9">
        <f t="shared" si="27"/>
        <v>-1.1236414495317201E-2</v>
      </c>
      <c r="BI106" s="9">
        <f t="shared" si="28"/>
        <v>-1.2518907024659971E-4</v>
      </c>
      <c r="BJ106" s="12">
        <f t="shared" si="29"/>
        <v>1.7326625345023246E-3</v>
      </c>
      <c r="BL106" s="9"/>
      <c r="BN106">
        <f t="shared" si="30"/>
        <v>0</v>
      </c>
      <c r="BO106">
        <f t="shared" si="31"/>
        <v>1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-1.540436814833513E-3</v>
      </c>
      <c r="BX106" s="12">
        <f t="shared" si="38"/>
        <v>-1.2518907024659971E-4</v>
      </c>
      <c r="BY106" s="12">
        <f t="shared" si="39"/>
        <v>1.9222571966881182E-4</v>
      </c>
    </row>
    <row r="107" spans="1:77" x14ac:dyDescent="0.3">
      <c r="A107" s="1">
        <v>46177</v>
      </c>
      <c r="B107" s="8">
        <v>32.64</v>
      </c>
      <c r="C107" s="8">
        <v>165.86</v>
      </c>
      <c r="D107" s="9">
        <v>1.8399269220072899E-3</v>
      </c>
      <c r="E107" s="9">
        <v>1.7499929035381999E-3</v>
      </c>
      <c r="F107" s="8">
        <v>0</v>
      </c>
      <c r="G107" s="8">
        <v>0.187</v>
      </c>
      <c r="H107" s="8">
        <v>0</v>
      </c>
      <c r="I107" s="8">
        <v>0.96889999999999998</v>
      </c>
      <c r="J107" s="8">
        <v>0.187</v>
      </c>
      <c r="K107" s="8">
        <v>0.96889999999999998</v>
      </c>
      <c r="L107" s="8">
        <v>32.826999999999998</v>
      </c>
      <c r="M107" s="8">
        <v>166.8289</v>
      </c>
      <c r="N107" s="10">
        <v>5.08149509803921</v>
      </c>
      <c r="O107" s="10">
        <v>5.0856511037897496</v>
      </c>
      <c r="P107" s="10">
        <v>5.0829742612198103</v>
      </c>
      <c r="Q107" s="10">
        <v>5.0838742488613704</v>
      </c>
      <c r="R107" s="8">
        <v>165.99565202769699</v>
      </c>
      <c r="S107" s="8">
        <v>165.908968982039</v>
      </c>
      <c r="T107" s="8">
        <v>165.94414702948501</v>
      </c>
      <c r="U107" s="9">
        <v>8.1753638622111997E-4</v>
      </c>
      <c r="V107" s="9">
        <v>2.9519929211622802E-4</v>
      </c>
      <c r="W107" s="9">
        <v>5.0720903908221099E-4</v>
      </c>
      <c r="X107" s="10">
        <v>5.0820635452523799</v>
      </c>
      <c r="Y107" s="10">
        <v>5.08472288464342</v>
      </c>
      <c r="Z107" s="10">
        <v>5.0835419596479001</v>
      </c>
      <c r="AA107" s="10">
        <v>5.0844340120895302</v>
      </c>
      <c r="AB107" s="8">
        <v>166.91619813418899</v>
      </c>
      <c r="AC107" s="8">
        <v>166.87808485018601</v>
      </c>
      <c r="AD107" s="8">
        <v>166.91322638032199</v>
      </c>
      <c r="AE107" s="9">
        <v>5.2314258198058199E-4</v>
      </c>
      <c r="AF107" s="9">
        <v>2.9477866976602898E-4</v>
      </c>
      <c r="AG107" s="9">
        <v>-2.7168301871452402E-3</v>
      </c>
      <c r="AZ107" s="9"/>
      <c r="BB107">
        <f t="shared" si="22"/>
        <v>1</v>
      </c>
      <c r="BC107">
        <f t="shared" si="23"/>
        <v>0</v>
      </c>
      <c r="BD107">
        <f t="shared" si="24"/>
        <v>1</v>
      </c>
      <c r="BE107">
        <f t="shared" si="20"/>
        <v>1</v>
      </c>
      <c r="BF107">
        <f t="shared" si="25"/>
        <v>1</v>
      </c>
      <c r="BG107" s="9">
        <f t="shared" si="26"/>
        <v>1.8399269220072899E-3</v>
      </c>
      <c r="BH107" s="9">
        <f t="shared" si="27"/>
        <v>-1.7499929035381999E-3</v>
      </c>
      <c r="BI107" s="9">
        <f t="shared" si="28"/>
        <v>8.9934018469090037E-5</v>
      </c>
      <c r="BJ107" s="12">
        <f t="shared" si="29"/>
        <v>1.8225965529714146E-3</v>
      </c>
      <c r="BL107" s="9"/>
      <c r="BN107">
        <f t="shared" si="30"/>
        <v>0</v>
      </c>
      <c r="BO107">
        <f t="shared" si="31"/>
        <v>1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-1.540436814833513E-3</v>
      </c>
      <c r="BX107" s="12">
        <f t="shared" si="38"/>
        <v>8.9934018469090037E-5</v>
      </c>
      <c r="BY107" s="12">
        <f t="shared" si="39"/>
        <v>2.8215973813790186E-4</v>
      </c>
    </row>
    <row r="108" spans="1:77" x14ac:dyDescent="0.3">
      <c r="A108" s="1">
        <v>46178</v>
      </c>
      <c r="B108" s="8">
        <v>31.95</v>
      </c>
      <c r="C108" s="8">
        <v>162.36000000000001</v>
      </c>
      <c r="D108" s="9">
        <v>-2.13663492723625E-2</v>
      </c>
      <c r="E108" s="9">
        <v>-2.1327967052360602E-2</v>
      </c>
      <c r="F108" s="8">
        <v>0</v>
      </c>
      <c r="G108" s="8">
        <v>0.187</v>
      </c>
      <c r="H108" s="8">
        <v>0</v>
      </c>
      <c r="I108" s="8">
        <v>0.96889999999999998</v>
      </c>
      <c r="J108" s="8">
        <v>0.187</v>
      </c>
      <c r="K108" s="8">
        <v>0.96889999999999998</v>
      </c>
      <c r="L108" s="8">
        <v>32.137</v>
      </c>
      <c r="M108" s="8">
        <v>163.3289</v>
      </c>
      <c r="N108" s="10">
        <v>5.0816901408450699</v>
      </c>
      <c r="O108" s="10">
        <v>5.0856511037897496</v>
      </c>
      <c r="P108" s="10">
        <v>5.0830023275521903</v>
      </c>
      <c r="Q108" s="10">
        <v>5.0836324468359297</v>
      </c>
      <c r="R108" s="8">
        <v>162.48655276608201</v>
      </c>
      <c r="S108" s="8">
        <v>162.40102764597299</v>
      </c>
      <c r="T108" s="8">
        <v>162.42978225112</v>
      </c>
      <c r="U108" s="9">
        <v>7.7915416621952502E-4</v>
      </c>
      <c r="V108" s="9">
        <v>2.5266360615148098E-4</v>
      </c>
      <c r="W108" s="9">
        <v>4.2970718912996298E-4</v>
      </c>
      <c r="X108" s="10">
        <v>5.0822696580265703</v>
      </c>
      <c r="Y108" s="10">
        <v>5.08472288464342</v>
      </c>
      <c r="Z108" s="10">
        <v>5.0835715653756504</v>
      </c>
      <c r="AA108" s="10">
        <v>5.0841930658163896</v>
      </c>
      <c r="AB108" s="8">
        <v>163.40773934378501</v>
      </c>
      <c r="AC108" s="8">
        <v>163.36978795720401</v>
      </c>
      <c r="AD108" s="8">
        <v>163.39845584652099</v>
      </c>
      <c r="AE108" s="9">
        <v>4.8258649825195301E-4</v>
      </c>
      <c r="AF108" s="9">
        <v>2.5030989670531199E-4</v>
      </c>
      <c r="AG108" s="9">
        <v>-1.53230683888111E-3</v>
      </c>
      <c r="AZ108" s="9"/>
      <c r="BB108">
        <f t="shared" si="22"/>
        <v>1</v>
      </c>
      <c r="BC108">
        <f t="shared" si="23"/>
        <v>0</v>
      </c>
      <c r="BD108">
        <f t="shared" si="24"/>
        <v>1</v>
      </c>
      <c r="BE108">
        <f t="shared" si="20"/>
        <v>1</v>
      </c>
      <c r="BF108">
        <f t="shared" si="25"/>
        <v>1</v>
      </c>
      <c r="BG108" s="9">
        <f t="shared" si="26"/>
        <v>-2.13663492723625E-2</v>
      </c>
      <c r="BH108" s="9">
        <f t="shared" si="27"/>
        <v>2.1327967052360602E-2</v>
      </c>
      <c r="BI108" s="9">
        <f t="shared" si="28"/>
        <v>-3.8382220001898643E-5</v>
      </c>
      <c r="BJ108" s="12">
        <f t="shared" si="29"/>
        <v>1.784214332969516E-3</v>
      </c>
      <c r="BL108" s="9"/>
      <c r="BN108">
        <f t="shared" si="30"/>
        <v>0</v>
      </c>
      <c r="BO108">
        <f t="shared" si="31"/>
        <v>1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-1.540436814833513E-3</v>
      </c>
      <c r="BX108" s="12">
        <f t="shared" si="38"/>
        <v>-3.8382220001898643E-5</v>
      </c>
      <c r="BY108" s="12">
        <f t="shared" si="39"/>
        <v>2.4377751813600321E-4</v>
      </c>
    </row>
    <row r="109" spans="1:77" x14ac:dyDescent="0.3">
      <c r="A109" s="1">
        <v>46181</v>
      </c>
      <c r="B109" s="8">
        <v>32.340000000000003</v>
      </c>
      <c r="C109" s="8">
        <v>164.43</v>
      </c>
      <c r="D109" s="9">
        <v>1.21326733254171E-2</v>
      </c>
      <c r="E109" s="9">
        <v>1.26688557554377E-2</v>
      </c>
      <c r="F109" s="8">
        <v>0</v>
      </c>
      <c r="G109" s="8">
        <v>0.187</v>
      </c>
      <c r="H109" s="8">
        <v>0</v>
      </c>
      <c r="I109" s="8">
        <v>0.96889999999999998</v>
      </c>
      <c r="J109" s="8">
        <v>0.187</v>
      </c>
      <c r="K109" s="8">
        <v>0.96889999999999998</v>
      </c>
      <c r="L109" s="8">
        <v>32.527000000000001</v>
      </c>
      <c r="M109" s="8">
        <v>165.3989</v>
      </c>
      <c r="N109" s="10">
        <v>5.0844155844155798</v>
      </c>
      <c r="O109" s="10">
        <v>5.0856511037897496</v>
      </c>
      <c r="P109" s="10">
        <v>5.0832164207789896</v>
      </c>
      <c r="Q109" s="10">
        <v>5.0836317172284602</v>
      </c>
      <c r="R109" s="8">
        <v>164.46995669655999</v>
      </c>
      <c r="S109" s="8">
        <v>164.384295273037</v>
      </c>
      <c r="T109" s="8">
        <v>164.404673330674</v>
      </c>
      <c r="U109" s="9">
        <v>2.4297173619891699E-4</v>
      </c>
      <c r="V109" s="9">
        <v>-2.7799720336672698E-4</v>
      </c>
      <c r="W109" s="9">
        <v>-1.5403892247273899E-4</v>
      </c>
      <c r="X109" s="10">
        <v>5.0849724843975697</v>
      </c>
      <c r="Y109" s="10">
        <v>5.08472288464342</v>
      </c>
      <c r="Z109" s="10">
        <v>5.0837856604481804</v>
      </c>
      <c r="AA109" s="10">
        <v>5.0841912831689804</v>
      </c>
      <c r="AB109" s="8">
        <v>165.39078126879599</v>
      </c>
      <c r="AC109" s="8">
        <v>165.35333230697299</v>
      </c>
      <c r="AD109" s="8">
        <v>165.37354785180901</v>
      </c>
      <c r="AE109" s="9">
        <v>-4.9086967730278599E-5</v>
      </c>
      <c r="AF109" s="9">
        <v>-2.7553974766343398E-4</v>
      </c>
      <c r="AG109" s="9">
        <v>-1.6945522307900099E-3</v>
      </c>
      <c r="AZ109" s="9"/>
      <c r="BB109">
        <f t="shared" si="22"/>
        <v>1</v>
      </c>
      <c r="BC109">
        <f t="shared" si="23"/>
        <v>0</v>
      </c>
      <c r="BD109">
        <f t="shared" si="24"/>
        <v>1</v>
      </c>
      <c r="BE109">
        <f t="shared" si="20"/>
        <v>1</v>
      </c>
      <c r="BF109">
        <f t="shared" si="25"/>
        <v>1</v>
      </c>
      <c r="BG109" s="9">
        <f t="shared" si="26"/>
        <v>1.21326733254171E-2</v>
      </c>
      <c r="BH109" s="9">
        <f t="shared" si="27"/>
        <v>-1.26688557554377E-2</v>
      </c>
      <c r="BI109" s="9">
        <f t="shared" si="28"/>
        <v>-5.3618243002060036E-4</v>
      </c>
      <c r="BJ109" s="12">
        <f t="shared" si="29"/>
        <v>1.2480319029489156E-3</v>
      </c>
      <c r="BL109" s="9"/>
      <c r="BN109">
        <f t="shared" si="30"/>
        <v>0</v>
      </c>
      <c r="BO109">
        <f t="shared" si="31"/>
        <v>1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-1.540436814833513E-3</v>
      </c>
      <c r="BX109" s="12">
        <f t="shared" si="38"/>
        <v>-5.3618243002060036E-4</v>
      </c>
      <c r="BY109" s="12">
        <f t="shared" si="39"/>
        <v>-2.9240491188459714E-4</v>
      </c>
    </row>
    <row r="110" spans="1:77" x14ac:dyDescent="0.3">
      <c r="A110" s="1">
        <v>46182</v>
      </c>
      <c r="B110" s="8">
        <v>31.79</v>
      </c>
      <c r="C110" s="8">
        <v>161.56</v>
      </c>
      <c r="D110" s="9">
        <v>-1.71530792262495E-2</v>
      </c>
      <c r="E110" s="9">
        <v>-1.7608357030922599E-2</v>
      </c>
      <c r="F110" s="8">
        <v>0</v>
      </c>
      <c r="G110" s="8">
        <v>0.187</v>
      </c>
      <c r="H110" s="8">
        <v>0</v>
      </c>
      <c r="I110" s="8">
        <v>0.96889999999999998</v>
      </c>
      <c r="J110" s="8">
        <v>0.187</v>
      </c>
      <c r="K110" s="8">
        <v>0.96889999999999998</v>
      </c>
      <c r="L110" s="8">
        <v>31.977</v>
      </c>
      <c r="M110" s="8">
        <v>162.52889999999999</v>
      </c>
      <c r="N110" s="10">
        <v>5.0821012897137399</v>
      </c>
      <c r="O110" s="10">
        <v>5.0856511037897496</v>
      </c>
      <c r="P110" s="10">
        <v>5.0829793447814202</v>
      </c>
      <c r="Q110" s="10">
        <v>5.0834957801492102</v>
      </c>
      <c r="R110" s="8">
        <v>161.67284858947599</v>
      </c>
      <c r="S110" s="8">
        <v>161.595450016564</v>
      </c>
      <c r="T110" s="8">
        <v>161.60865229069299</v>
      </c>
      <c r="U110" s="9">
        <v>6.9824954087176498E-4</v>
      </c>
      <c r="V110" s="9">
        <v>2.19399157306434E-4</v>
      </c>
      <c r="W110" s="9">
        <v>3.0109536129626897E-4</v>
      </c>
      <c r="X110" s="10">
        <v>5.0826813021859403</v>
      </c>
      <c r="Y110" s="10">
        <v>5.08472288464342</v>
      </c>
      <c r="Z110" s="10">
        <v>5.0835506875698604</v>
      </c>
      <c r="AA110" s="10">
        <v>5.0840562814705503</v>
      </c>
      <c r="AB110" s="8">
        <v>162.594183682242</v>
      </c>
      <c r="AC110" s="8">
        <v>162.564214064151</v>
      </c>
      <c r="AD110" s="8">
        <v>162.57718466189399</v>
      </c>
      <c r="AE110" s="9">
        <v>4.0159365112312802E-4</v>
      </c>
      <c r="AF110" s="9">
        <v>2.1725507408701099E-4</v>
      </c>
      <c r="AG110" s="9">
        <v>-3.29209709127878E-3</v>
      </c>
      <c r="AZ110" s="9"/>
      <c r="BB110">
        <f t="shared" si="22"/>
        <v>1</v>
      </c>
      <c r="BC110">
        <f t="shared" si="23"/>
        <v>0</v>
      </c>
      <c r="BD110">
        <f t="shared" si="24"/>
        <v>1</v>
      </c>
      <c r="BE110">
        <f t="shared" si="20"/>
        <v>1</v>
      </c>
      <c r="BF110">
        <f t="shared" si="25"/>
        <v>1</v>
      </c>
      <c r="BG110" s="9">
        <f t="shared" si="26"/>
        <v>-1.71530792262495E-2</v>
      </c>
      <c r="BH110" s="9">
        <f t="shared" si="27"/>
        <v>1.7608357030922599E-2</v>
      </c>
      <c r="BI110" s="9">
        <f t="shared" si="28"/>
        <v>4.5527780467309945E-4</v>
      </c>
      <c r="BJ110" s="12">
        <f t="shared" si="29"/>
        <v>1.7033097076220151E-3</v>
      </c>
      <c r="BL110" s="9"/>
      <c r="BN110">
        <f t="shared" si="30"/>
        <v>0</v>
      </c>
      <c r="BO110">
        <f t="shared" si="31"/>
        <v>1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-1.540436814833513E-3</v>
      </c>
      <c r="BX110" s="12">
        <f t="shared" si="38"/>
        <v>4.5527780467309945E-4</v>
      </c>
      <c r="BY110" s="12">
        <f t="shared" si="39"/>
        <v>1.628728927885023E-4</v>
      </c>
    </row>
    <row r="111" spans="1:77" x14ac:dyDescent="0.3">
      <c r="A111" s="1">
        <v>46183</v>
      </c>
      <c r="B111" s="8">
        <v>32.28</v>
      </c>
      <c r="C111" s="8">
        <v>164.08</v>
      </c>
      <c r="D111" s="9">
        <v>1.52960684790367E-2</v>
      </c>
      <c r="E111" s="9">
        <v>1.5477523068913099E-2</v>
      </c>
      <c r="F111" s="8">
        <v>0</v>
      </c>
      <c r="G111" s="8">
        <v>0.187</v>
      </c>
      <c r="H111" s="8">
        <v>0</v>
      </c>
      <c r="I111" s="8">
        <v>0.96889999999999998</v>
      </c>
      <c r="J111" s="8">
        <v>0.187</v>
      </c>
      <c r="K111" s="8">
        <v>0.96889999999999998</v>
      </c>
      <c r="L111" s="8">
        <v>32.466999999999999</v>
      </c>
      <c r="M111" s="8">
        <v>165.0489</v>
      </c>
      <c r="N111" s="10">
        <v>5.0830235439900804</v>
      </c>
      <c r="O111" s="10">
        <v>5.0856511037897496</v>
      </c>
      <c r="P111" s="10">
        <v>5.0829378306595698</v>
      </c>
      <c r="Q111" s="10">
        <v>5.0833430418732597</v>
      </c>
      <c r="R111" s="8">
        <v>164.164817630333</v>
      </c>
      <c r="S111" s="8">
        <v>164.07857324954401</v>
      </c>
      <c r="T111" s="8">
        <v>164.09524378321601</v>
      </c>
      <c r="U111" s="9">
        <v>5.1679495099561201E-4</v>
      </c>
      <c r="V111" s="9">
        <v>-8.6954940204342093E-6</v>
      </c>
      <c r="W111" s="9">
        <v>9.2900262992026995E-5</v>
      </c>
      <c r="X111" s="10">
        <v>5.0835894908676504</v>
      </c>
      <c r="Y111" s="10">
        <v>5.08472288464342</v>
      </c>
      <c r="Z111" s="10">
        <v>5.0835082793185098</v>
      </c>
      <c r="AA111" s="10">
        <v>5.0839043382118501</v>
      </c>
      <c r="AB111" s="8">
        <v>165.085697895718</v>
      </c>
      <c r="AC111" s="8">
        <v>165.04764017333</v>
      </c>
      <c r="AD111" s="8">
        <v>165.064055290504</v>
      </c>
      <c r="AE111" s="9">
        <v>2.2292662510957901E-4</v>
      </c>
      <c r="AF111" s="9">
        <v>-7.6330801206020707E-6</v>
      </c>
      <c r="AG111" s="9">
        <v>-2.8034446859293502E-3</v>
      </c>
      <c r="AZ111" s="9"/>
      <c r="BB111">
        <f t="shared" si="22"/>
        <v>1</v>
      </c>
      <c r="BC111">
        <f t="shared" si="23"/>
        <v>0</v>
      </c>
      <c r="BD111">
        <f t="shared" si="24"/>
        <v>1</v>
      </c>
      <c r="BE111">
        <f t="shared" si="20"/>
        <v>1</v>
      </c>
      <c r="BF111">
        <f t="shared" si="25"/>
        <v>1</v>
      </c>
      <c r="BG111" s="9">
        <f t="shared" si="26"/>
        <v>1.52960684790367E-2</v>
      </c>
      <c r="BH111" s="9">
        <f t="shared" si="27"/>
        <v>-1.5477523068913099E-2</v>
      </c>
      <c r="BI111" s="9">
        <f t="shared" si="28"/>
        <v>-1.8145458987639876E-4</v>
      </c>
      <c r="BJ111" s="12">
        <f t="shared" si="29"/>
        <v>1.5218551177456163E-3</v>
      </c>
      <c r="BL111" s="9"/>
      <c r="BN111">
        <f t="shared" si="30"/>
        <v>0</v>
      </c>
      <c r="BO111">
        <f t="shared" si="31"/>
        <v>1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-1.540436814833513E-3</v>
      </c>
      <c r="BX111" s="12">
        <f t="shared" si="38"/>
        <v>-1.8145458987639876E-4</v>
      </c>
      <c r="BY111" s="12">
        <f t="shared" si="39"/>
        <v>-1.8581697087896457E-5</v>
      </c>
    </row>
    <row r="112" spans="1:77" x14ac:dyDescent="0.3">
      <c r="A112" s="1">
        <v>46184</v>
      </c>
      <c r="B112" s="8">
        <v>31.68</v>
      </c>
      <c r="C112" s="8">
        <v>161.1</v>
      </c>
      <c r="D112" s="9">
        <v>-1.8762276455522999E-2</v>
      </c>
      <c r="E112" s="9">
        <v>-1.8328823581196502E-2</v>
      </c>
      <c r="F112" s="8">
        <v>0</v>
      </c>
      <c r="G112" s="8">
        <v>0.187</v>
      </c>
      <c r="H112" s="8">
        <v>0</v>
      </c>
      <c r="I112" s="8">
        <v>0.96889999999999998</v>
      </c>
      <c r="J112" s="8">
        <v>0.187</v>
      </c>
      <c r="K112" s="8">
        <v>0.96889999999999998</v>
      </c>
      <c r="L112" s="8">
        <v>31.867000000000001</v>
      </c>
      <c r="M112" s="8">
        <v>162.06889999999899</v>
      </c>
      <c r="N112" s="10">
        <v>5.0852272727272698</v>
      </c>
      <c r="O112" s="10">
        <v>5.0856511037897496</v>
      </c>
      <c r="P112" s="10">
        <v>5.0830138638481399</v>
      </c>
      <c r="Q112" s="10">
        <v>5.0832356244151002</v>
      </c>
      <c r="R112" s="8">
        <v>161.113426968059</v>
      </c>
      <c r="S112" s="8">
        <v>161.02747047529499</v>
      </c>
      <c r="T112" s="8">
        <v>161.04030756654501</v>
      </c>
      <c r="U112" s="9">
        <v>8.3342076669096706E-5</v>
      </c>
      <c r="V112" s="9">
        <v>-4.5031568294045599E-4</v>
      </c>
      <c r="W112" s="9">
        <v>-3.7059897650870103E-4</v>
      </c>
      <c r="X112" s="10">
        <v>5.0857909436093696</v>
      </c>
      <c r="Y112" s="10">
        <v>5.08472288464342</v>
      </c>
      <c r="Z112" s="10">
        <v>5.0835837412613003</v>
      </c>
      <c r="AA112" s="10">
        <v>5.0837979599587397</v>
      </c>
      <c r="AB112" s="8">
        <v>162.03486416493101</v>
      </c>
      <c r="AC112" s="8">
        <v>161.996158337043</v>
      </c>
      <c r="AD112" s="8">
        <v>162.00877954579701</v>
      </c>
      <c r="AE112" s="9">
        <v>-2.1003048379167501E-4</v>
      </c>
      <c r="AF112" s="9">
        <v>-4.4893247394079799E-4</v>
      </c>
      <c r="AG112" s="9">
        <v>6.1743992113024406E-5</v>
      </c>
      <c r="AZ112" s="9"/>
      <c r="BB112">
        <f t="shared" si="22"/>
        <v>0</v>
      </c>
      <c r="BC112">
        <f t="shared" si="23"/>
        <v>1</v>
      </c>
      <c r="BD112">
        <f t="shared" si="24"/>
        <v>1</v>
      </c>
      <c r="BE112">
        <f t="shared" si="20"/>
        <v>1</v>
      </c>
      <c r="BF112">
        <f t="shared" si="25"/>
        <v>1</v>
      </c>
      <c r="BG112" s="9">
        <f t="shared" si="26"/>
        <v>-1.8762276455522999E-2</v>
      </c>
      <c r="BH112" s="9">
        <f t="shared" si="27"/>
        <v>1.8328823581196502E-2</v>
      </c>
      <c r="BI112" s="9">
        <f t="shared" si="28"/>
        <v>-4.3345287432649746E-4</v>
      </c>
      <c r="BJ112" s="12">
        <f t="shared" si="29"/>
        <v>1.0884022434191189E-3</v>
      </c>
      <c r="BL112" s="9"/>
      <c r="BN112">
        <f t="shared" si="30"/>
        <v>0</v>
      </c>
      <c r="BO112">
        <f t="shared" si="31"/>
        <v>0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-1.540436814833513E-3</v>
      </c>
      <c r="BX112" s="12">
        <f t="shared" si="38"/>
        <v>-4.3345287432649746E-4</v>
      </c>
      <c r="BY112" s="12">
        <f t="shared" si="39"/>
        <v>-4.5203457141439391E-4</v>
      </c>
    </row>
    <row r="113" spans="1:77" x14ac:dyDescent="0.3">
      <c r="A113" s="1">
        <v>46185</v>
      </c>
      <c r="B113" s="8">
        <v>31.93</v>
      </c>
      <c r="C113" s="8">
        <v>162.34</v>
      </c>
      <c r="D113" s="9">
        <v>7.8604397804655397E-3</v>
      </c>
      <c r="E113" s="9">
        <v>7.6676111501010396E-3</v>
      </c>
      <c r="F113" s="8">
        <v>0</v>
      </c>
      <c r="G113" s="8">
        <v>0.187</v>
      </c>
      <c r="H113" s="8">
        <v>0</v>
      </c>
      <c r="I113" s="8">
        <v>0.96889999999999998</v>
      </c>
      <c r="J113" s="8">
        <v>0.187</v>
      </c>
      <c r="K113" s="8">
        <v>0.96889999999999998</v>
      </c>
      <c r="L113" s="8">
        <v>32.116999999999997</v>
      </c>
      <c r="M113" s="8">
        <v>163.30889999999999</v>
      </c>
      <c r="N113" s="10">
        <v>5.0842467898528003</v>
      </c>
      <c r="O113" s="10">
        <v>5.0856511037897496</v>
      </c>
      <c r="P113" s="10">
        <v>5.0828068292784296</v>
      </c>
      <c r="Q113" s="10">
        <v>5.0832838676708496</v>
      </c>
      <c r="R113" s="8">
        <v>162.384839744006</v>
      </c>
      <c r="S113" s="8">
        <v>162.30063267267099</v>
      </c>
      <c r="T113" s="8">
        <v>162.30771348757401</v>
      </c>
      <c r="U113" s="9">
        <v>2.7617070703369597E-4</v>
      </c>
      <c r="V113" s="9">
        <v>-2.4252865205156901E-4</v>
      </c>
      <c r="W113" s="9">
        <v>-1.98901832299756E-4</v>
      </c>
      <c r="X113" s="10">
        <v>5.0848117819223404</v>
      </c>
      <c r="Y113" s="10">
        <v>5.08472288464342</v>
      </c>
      <c r="Z113" s="10">
        <v>5.0833767699635901</v>
      </c>
      <c r="AA113" s="10">
        <v>5.0838463510605596</v>
      </c>
      <c r="AB113" s="8">
        <v>163.306044886092</v>
      </c>
      <c r="AC113" s="8">
        <v>163.26945901808901</v>
      </c>
      <c r="AD113" s="8">
        <v>163.27633907999501</v>
      </c>
      <c r="AE113" s="9">
        <v>-1.7483057355167099E-5</v>
      </c>
      <c r="AF113" s="9">
        <v>-2.4154069621210001E-4</v>
      </c>
      <c r="AG113" s="9">
        <v>2.7070232068315798E-4</v>
      </c>
      <c r="AZ113" s="9"/>
      <c r="BB113">
        <f t="shared" si="22"/>
        <v>0</v>
      </c>
      <c r="BC113">
        <f t="shared" si="23"/>
        <v>1</v>
      </c>
      <c r="BD113">
        <f t="shared" si="24"/>
        <v>0</v>
      </c>
      <c r="BE113">
        <f t="shared" si="20"/>
        <v>1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1.0884022434191189E-3</v>
      </c>
      <c r="BL113" s="9"/>
      <c r="BN113">
        <f t="shared" si="30"/>
        <v>0</v>
      </c>
      <c r="BO113">
        <f t="shared" si="31"/>
        <v>0</v>
      </c>
      <c r="BP113">
        <f t="shared" si="32"/>
        <v>0</v>
      </c>
      <c r="BQ113">
        <f t="shared" si="21"/>
        <v>1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-1.540436814833513E-3</v>
      </c>
      <c r="BX113" s="12">
        <f t="shared" si="38"/>
        <v>0</v>
      </c>
      <c r="BY113" s="12">
        <f t="shared" si="39"/>
        <v>-4.5203457141439391E-4</v>
      </c>
    </row>
    <row r="114" spans="1:77" x14ac:dyDescent="0.3">
      <c r="A114" s="1">
        <v>46188</v>
      </c>
      <c r="B114" s="8">
        <v>30.85</v>
      </c>
      <c r="C114" s="8">
        <v>156.76</v>
      </c>
      <c r="D114" s="9">
        <v>-3.4409256375293698E-2</v>
      </c>
      <c r="E114" s="9">
        <v>-3.4976928001598899E-2</v>
      </c>
      <c r="F114" s="8">
        <v>0</v>
      </c>
      <c r="G114" s="8">
        <v>0.187</v>
      </c>
      <c r="H114" s="8">
        <v>0</v>
      </c>
      <c r="I114" s="8">
        <v>0.96889999999999998</v>
      </c>
      <c r="J114" s="8">
        <v>0.187</v>
      </c>
      <c r="K114" s="8">
        <v>0.96889999999999998</v>
      </c>
      <c r="L114" s="8">
        <v>31.036999999999999</v>
      </c>
      <c r="M114" s="8">
        <v>157.72889999999899</v>
      </c>
      <c r="N114" s="10">
        <v>5.0813614262560698</v>
      </c>
      <c r="O114" s="10">
        <v>5.0856511037897496</v>
      </c>
      <c r="P114" s="10">
        <v>5.0826829216527898</v>
      </c>
      <c r="Q114" s="10">
        <v>5.0832318061735098</v>
      </c>
      <c r="R114" s="8">
        <v>156.89233655191299</v>
      </c>
      <c r="S114" s="8">
        <v>156.80459068323901</v>
      </c>
      <c r="T114" s="8">
        <v>156.81930731764501</v>
      </c>
      <c r="U114" s="9">
        <v>8.4384233333905897E-4</v>
      </c>
      <c r="V114" s="9">
        <v>2.8441147288536898E-4</v>
      </c>
      <c r="W114" s="9">
        <v>3.7826040793449299E-4</v>
      </c>
      <c r="X114" s="10">
        <v>5.0819634629635502</v>
      </c>
      <c r="Y114" s="10">
        <v>5.08472288464342</v>
      </c>
      <c r="Z114" s="10">
        <v>5.0832554467935598</v>
      </c>
      <c r="AA114" s="10">
        <v>5.0837966417463401</v>
      </c>
      <c r="AB114" s="8">
        <v>157.81454417067701</v>
      </c>
      <c r="AC114" s="8">
        <v>157.77276480936001</v>
      </c>
      <c r="AD114" s="8">
        <v>157.787339197866</v>
      </c>
      <c r="AE114" s="9">
        <v>5.4283601426831796E-4</v>
      </c>
      <c r="AF114" s="9">
        <v>2.7806388704333098E-4</v>
      </c>
      <c r="AG114" s="9">
        <v>8.3817268955812001E-4</v>
      </c>
      <c r="AZ114" s="9"/>
      <c r="BB114">
        <f t="shared" si="22"/>
        <v>0</v>
      </c>
      <c r="BC114">
        <f t="shared" si="23"/>
        <v>1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1.0884022434191189E-3</v>
      </c>
      <c r="BL114" s="9"/>
      <c r="BN114">
        <f t="shared" si="30"/>
        <v>0</v>
      </c>
      <c r="BO114">
        <f t="shared" si="31"/>
        <v>0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-1.540436814833513E-3</v>
      </c>
      <c r="BX114" s="12">
        <f t="shared" si="38"/>
        <v>0</v>
      </c>
      <c r="BY114" s="12">
        <f t="shared" si="39"/>
        <v>-4.5203457141439391E-4</v>
      </c>
    </row>
    <row r="115" spans="1:77" x14ac:dyDescent="0.3">
      <c r="A115" s="1">
        <v>46189</v>
      </c>
      <c r="B115" s="8">
        <v>30.7</v>
      </c>
      <c r="C115" s="8">
        <v>155.94999999999999</v>
      </c>
      <c r="D115" s="9">
        <v>-4.8740957582453998E-3</v>
      </c>
      <c r="E115" s="9">
        <v>-5.1805302776185003E-3</v>
      </c>
      <c r="F115" s="8">
        <v>0</v>
      </c>
      <c r="G115" s="8">
        <v>0.187</v>
      </c>
      <c r="H115" s="8">
        <v>0</v>
      </c>
      <c r="I115" s="8">
        <v>0.96889999999999998</v>
      </c>
      <c r="J115" s="8">
        <v>0.187</v>
      </c>
      <c r="K115" s="8">
        <v>0.96889999999999998</v>
      </c>
      <c r="L115" s="8">
        <v>30.887</v>
      </c>
      <c r="M115" s="8">
        <v>156.91889999999901</v>
      </c>
      <c r="N115" s="10">
        <v>5.0798045602605804</v>
      </c>
      <c r="O115" s="10">
        <v>5.0856511037897496</v>
      </c>
      <c r="P115" s="10">
        <v>5.0825317823964102</v>
      </c>
      <c r="Q115" s="10">
        <v>5.0829219155625696</v>
      </c>
      <c r="R115" s="8">
        <v>156.129488886345</v>
      </c>
      <c r="S115" s="8">
        <v>156.03836569474001</v>
      </c>
      <c r="T115" s="8">
        <v>156.055216449526</v>
      </c>
      <c r="U115" s="9">
        <v>1.15027685271207E-3</v>
      </c>
      <c r="V115" s="9">
        <v>5.6646789957611604E-4</v>
      </c>
      <c r="W115" s="9">
        <v>6.7445316916557802E-4</v>
      </c>
      <c r="X115" s="10">
        <v>5.0804189464823297</v>
      </c>
      <c r="Y115" s="10">
        <v>5.08472288464342</v>
      </c>
      <c r="Z115" s="10">
        <v>5.08310806134799</v>
      </c>
      <c r="AA115" s="10">
        <v>5.0834911962901996</v>
      </c>
      <c r="AB115" s="8">
        <v>157.05183573798101</v>
      </c>
      <c r="AC115" s="8">
        <v>157.00651098511199</v>
      </c>
      <c r="AD115" s="8">
        <v>157.023226873619</v>
      </c>
      <c r="AE115" s="9">
        <v>8.46803416966504E-4</v>
      </c>
      <c r="AF115" s="9">
        <v>5.5816435574596696E-4</v>
      </c>
      <c r="AG115" s="9">
        <v>8.1140520839927002E-4</v>
      </c>
      <c r="AZ115" s="9"/>
      <c r="BB115">
        <f t="shared" si="22"/>
        <v>0</v>
      </c>
      <c r="BC115">
        <f t="shared" si="23"/>
        <v>1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1.0884022434191189E-3</v>
      </c>
      <c r="BL115" s="9"/>
      <c r="BN115">
        <f t="shared" si="30"/>
        <v>0</v>
      </c>
      <c r="BO115">
        <f t="shared" si="31"/>
        <v>0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-1.540436814833513E-3</v>
      </c>
      <c r="BX115" s="12">
        <f t="shared" si="38"/>
        <v>0</v>
      </c>
      <c r="BY115" s="12">
        <f t="shared" si="39"/>
        <v>-4.5203457141439391E-4</v>
      </c>
    </row>
    <row r="116" spans="1:77" x14ac:dyDescent="0.3">
      <c r="A116" s="1">
        <v>46190</v>
      </c>
      <c r="B116" s="8">
        <v>30.36</v>
      </c>
      <c r="C116" s="8">
        <v>154.28</v>
      </c>
      <c r="D116" s="9">
        <v>-1.11367020657222E-2</v>
      </c>
      <c r="E116" s="9">
        <v>-1.07663097137851E-2</v>
      </c>
      <c r="F116" s="8">
        <v>0</v>
      </c>
      <c r="G116" s="8">
        <v>0.187</v>
      </c>
      <c r="H116" s="8">
        <v>0</v>
      </c>
      <c r="I116" s="8">
        <v>0.96889999999999998</v>
      </c>
      <c r="J116" s="8">
        <v>0.187</v>
      </c>
      <c r="K116" s="8">
        <v>0.96889999999999998</v>
      </c>
      <c r="L116" s="8">
        <v>30.547000000000001</v>
      </c>
      <c r="M116" s="8">
        <v>155.24889999999999</v>
      </c>
      <c r="N116" s="10">
        <v>5.0816864295125104</v>
      </c>
      <c r="O116" s="10">
        <v>5.0856511037897496</v>
      </c>
      <c r="P116" s="10">
        <v>5.0825052135612898</v>
      </c>
      <c r="Q116" s="10">
        <v>5.0827502933927597</v>
      </c>
      <c r="R116" s="8">
        <v>154.400367511056</v>
      </c>
      <c r="S116" s="8">
        <v>154.30566491355501</v>
      </c>
      <c r="T116" s="8">
        <v>154.31750935647901</v>
      </c>
      <c r="U116" s="9">
        <v>7.7988450077492099E-4</v>
      </c>
      <c r="V116" s="9">
        <v>1.6633898805090699E-4</v>
      </c>
      <c r="W116" s="9">
        <v>2.4309565390086399E-4</v>
      </c>
      <c r="X116" s="10">
        <v>5.08229613382656</v>
      </c>
      <c r="Y116" s="10">
        <v>5.08472288464342</v>
      </c>
      <c r="Z116" s="10">
        <v>5.0830857749534299</v>
      </c>
      <c r="AA116" s="10">
        <v>5.0833238124803204</v>
      </c>
      <c r="AB116" s="8">
        <v>155.32302995720201</v>
      </c>
      <c r="AC116" s="8">
        <v>155.27370194999699</v>
      </c>
      <c r="AD116" s="8">
        <v>155.28540557307599</v>
      </c>
      <c r="AE116" s="9">
        <v>4.7737706766141301E-4</v>
      </c>
      <c r="AF116" s="9">
        <v>1.59743283703306E-4</v>
      </c>
      <c r="AG116" s="9">
        <v>-2.6601212014804298E-4</v>
      </c>
      <c r="AZ116" s="9"/>
      <c r="BB116">
        <f t="shared" si="22"/>
        <v>0</v>
      </c>
      <c r="BC116">
        <f t="shared" si="23"/>
        <v>0</v>
      </c>
      <c r="BD116">
        <f t="shared" si="24"/>
        <v>0</v>
      </c>
      <c r="BE116">
        <f t="shared" si="20"/>
        <v>0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1.0884022434191189E-3</v>
      </c>
      <c r="BL116" s="9"/>
      <c r="BN116">
        <f t="shared" si="30"/>
        <v>0</v>
      </c>
      <c r="BO116">
        <f t="shared" si="31"/>
        <v>1</v>
      </c>
      <c r="BP116">
        <f t="shared" si="32"/>
        <v>0</v>
      </c>
      <c r="BQ116">
        <f t="shared" si="21"/>
        <v>0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-1.540436814833513E-3</v>
      </c>
      <c r="BX116" s="12">
        <f t="shared" si="38"/>
        <v>0</v>
      </c>
      <c r="BY116" s="12">
        <f t="shared" si="39"/>
        <v>-4.5203457141439391E-4</v>
      </c>
    </row>
    <row r="117" spans="1:77" x14ac:dyDescent="0.3">
      <c r="A117" s="1">
        <v>46191</v>
      </c>
      <c r="B117" s="8">
        <v>29.66</v>
      </c>
      <c r="C117" s="8">
        <v>151.82</v>
      </c>
      <c r="D117" s="9">
        <v>-2.3326615817643E-2</v>
      </c>
      <c r="E117" s="9">
        <v>-1.6073524751404899E-2</v>
      </c>
      <c r="F117" s="8">
        <v>0.21</v>
      </c>
      <c r="G117" s="8">
        <v>0.39700000000000002</v>
      </c>
      <c r="H117" s="8">
        <v>0</v>
      </c>
      <c r="I117" s="8">
        <v>0.96889999999999998</v>
      </c>
      <c r="J117" s="8">
        <v>0.39700000000000002</v>
      </c>
      <c r="K117" s="8">
        <v>0.96889999999999998</v>
      </c>
      <c r="L117" s="8">
        <v>30.056999999999999</v>
      </c>
      <c r="M117" s="8">
        <v>152.78889999999899</v>
      </c>
      <c r="N117" s="10">
        <v>5.1186783546864403</v>
      </c>
      <c r="O117" s="10">
        <v>5.0856511037897496</v>
      </c>
      <c r="P117" s="10">
        <v>5.08622353922601</v>
      </c>
      <c r="Q117" s="10">
        <v>5.0845989002229102</v>
      </c>
      <c r="R117" s="8">
        <v>150.84041173840399</v>
      </c>
      <c r="S117" s="8">
        <v>150.74710463422801</v>
      </c>
      <c r="T117" s="8">
        <v>150.754373702029</v>
      </c>
      <c r="U117" s="9">
        <v>-6.4732065654634699E-3</v>
      </c>
      <c r="V117" s="9">
        <v>-7.0919795722201497E-3</v>
      </c>
      <c r="W117" s="9">
        <v>-7.0437604534085803E-3</v>
      </c>
      <c r="X117" s="10">
        <v>5.0833050537312401</v>
      </c>
      <c r="Y117" s="10">
        <v>5.08472288464342</v>
      </c>
      <c r="Z117" s="10">
        <v>5.0832099258013104</v>
      </c>
      <c r="AA117" s="10">
        <v>5.0833759427246097</v>
      </c>
      <c r="AB117" s="8">
        <v>152.83151574372701</v>
      </c>
      <c r="AC117" s="8">
        <v>152.782309137775</v>
      </c>
      <c r="AD117" s="8">
        <v>152.78946383172101</v>
      </c>
      <c r="AE117" s="9">
        <v>2.7888021747429602E-4</v>
      </c>
      <c r="AF117" s="9">
        <v>-4.3137979159401398E-5</v>
      </c>
      <c r="AG117" s="9">
        <v>3.75179984050135E-4</v>
      </c>
      <c r="AZ117" s="9"/>
      <c r="BB117">
        <f t="shared" si="22"/>
        <v>0</v>
      </c>
      <c r="BC117">
        <f t="shared" si="23"/>
        <v>1</v>
      </c>
      <c r="BD117">
        <f t="shared" si="24"/>
        <v>0</v>
      </c>
      <c r="BE117">
        <f t="shared" si="20"/>
        <v>1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1.0884022434191189E-3</v>
      </c>
      <c r="BL117" s="9"/>
      <c r="BN117">
        <f t="shared" si="30"/>
        <v>0</v>
      </c>
      <c r="BO117">
        <f t="shared" si="31"/>
        <v>0</v>
      </c>
      <c r="BP117">
        <f t="shared" si="32"/>
        <v>0</v>
      </c>
      <c r="BQ117">
        <f t="shared" si="21"/>
        <v>1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-1.540436814833513E-3</v>
      </c>
      <c r="BX117" s="12">
        <f t="shared" si="38"/>
        <v>0</v>
      </c>
      <c r="BY117" s="12">
        <f t="shared" si="39"/>
        <v>-4.5203457141439391E-4</v>
      </c>
    </row>
    <row r="118" spans="1:77" x14ac:dyDescent="0.3">
      <c r="A118" s="1">
        <v>46195</v>
      </c>
      <c r="B118" s="8">
        <v>30.03</v>
      </c>
      <c r="C118" s="8">
        <v>153.75</v>
      </c>
      <c r="D118" s="9">
        <v>1.23975452854528E-2</v>
      </c>
      <c r="E118" s="9">
        <v>1.2632298098005101E-2</v>
      </c>
      <c r="F118" s="8">
        <v>0</v>
      </c>
      <c r="G118" s="8">
        <v>0.39700000000000002</v>
      </c>
      <c r="H118" s="8">
        <v>0</v>
      </c>
      <c r="I118" s="8">
        <v>0.96889999999999998</v>
      </c>
      <c r="J118" s="8">
        <v>0.39700000000000002</v>
      </c>
      <c r="K118" s="8">
        <v>0.96889999999999998</v>
      </c>
      <c r="L118" s="8">
        <v>30.427</v>
      </c>
      <c r="M118" s="8">
        <v>154.71889999999999</v>
      </c>
      <c r="N118" s="10">
        <v>5.1198801198801096</v>
      </c>
      <c r="O118" s="10">
        <v>5.0856511037897496</v>
      </c>
      <c r="P118" s="10">
        <v>5.0900425371295199</v>
      </c>
      <c r="Q118" s="10">
        <v>5.0865224323408498</v>
      </c>
      <c r="R118" s="8">
        <v>152.72210264680601</v>
      </c>
      <c r="S118" s="8">
        <v>152.73929288295699</v>
      </c>
      <c r="T118" s="8">
        <v>152.690504973694</v>
      </c>
      <c r="U118" s="9">
        <v>-6.7079593780155801E-3</v>
      </c>
      <c r="V118" s="9">
        <v>-6.5954067843272601E-3</v>
      </c>
      <c r="W118" s="9">
        <v>-6.9148773141872802E-3</v>
      </c>
      <c r="X118" s="10">
        <v>5.0849212870148204</v>
      </c>
      <c r="Y118" s="10">
        <v>5.08472288464342</v>
      </c>
      <c r="Z118" s="10">
        <v>5.0834750887001396</v>
      </c>
      <c r="AA118" s="10">
        <v>5.0835233270378897</v>
      </c>
      <c r="AB118" s="8">
        <v>154.712863211045</v>
      </c>
      <c r="AC118" s="8">
        <v>154.66682841235601</v>
      </c>
      <c r="AD118" s="8">
        <v>154.67187980928099</v>
      </c>
      <c r="AE118" s="9">
        <v>-3.9018547369844598E-5</v>
      </c>
      <c r="AF118" s="9">
        <v>-3.3661273519107601E-4</v>
      </c>
      <c r="AG118" s="9">
        <v>7.9448820249703302E-4</v>
      </c>
      <c r="AZ118" s="9"/>
      <c r="BB118">
        <f t="shared" si="22"/>
        <v>0</v>
      </c>
      <c r="BC118">
        <f t="shared" si="23"/>
        <v>1</v>
      </c>
      <c r="BD118">
        <f t="shared" si="24"/>
        <v>0</v>
      </c>
      <c r="BE118">
        <f t="shared" si="20"/>
        <v>1</v>
      </c>
      <c r="BF118">
        <f t="shared" si="25"/>
        <v>0</v>
      </c>
      <c r="BG118" s="9">
        <f t="shared" si="26"/>
        <v>0</v>
      </c>
      <c r="BH118" s="9">
        <f t="shared" si="27"/>
        <v>0</v>
      </c>
      <c r="BI118" s="9">
        <f t="shared" si="28"/>
        <v>0</v>
      </c>
      <c r="BJ118" s="12">
        <f t="shared" si="29"/>
        <v>1.0884022434191189E-3</v>
      </c>
      <c r="BL118" s="9"/>
      <c r="BN118">
        <f t="shared" si="30"/>
        <v>0</v>
      </c>
      <c r="BO118">
        <f t="shared" si="31"/>
        <v>0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-1.540436814833513E-3</v>
      </c>
      <c r="BX118" s="12">
        <f t="shared" si="38"/>
        <v>0</v>
      </c>
      <c r="BY118" s="12">
        <f t="shared" si="39"/>
        <v>-4.5203457141439391E-4</v>
      </c>
    </row>
    <row r="119" spans="1:77" x14ac:dyDescent="0.3">
      <c r="A119" s="1">
        <v>46196</v>
      </c>
      <c r="B119" s="8">
        <v>30.22</v>
      </c>
      <c r="C119" s="8">
        <v>154.68</v>
      </c>
      <c r="D119" s="9">
        <v>6.3070748493544897E-3</v>
      </c>
      <c r="E119" s="9">
        <v>6.0305600524690802E-3</v>
      </c>
      <c r="F119" s="8">
        <v>0</v>
      </c>
      <c r="G119" s="8">
        <v>0.39700000000000002</v>
      </c>
      <c r="H119" s="8">
        <v>0</v>
      </c>
      <c r="I119" s="8">
        <v>0.96889999999999998</v>
      </c>
      <c r="J119" s="8">
        <v>0.39700000000000002</v>
      </c>
      <c r="K119" s="8">
        <v>0.96889999999999998</v>
      </c>
      <c r="L119" s="8">
        <v>30.616999999999901</v>
      </c>
      <c r="M119" s="8">
        <v>155.6489</v>
      </c>
      <c r="N119" s="10">
        <v>5.1184645929847701</v>
      </c>
      <c r="O119" s="10">
        <v>5.0856511037897496</v>
      </c>
      <c r="P119" s="10">
        <v>5.0934474379864403</v>
      </c>
      <c r="Q119" s="10">
        <v>5.0883319293827096</v>
      </c>
      <c r="R119" s="8">
        <v>153.68837635652599</v>
      </c>
      <c r="S119" s="8">
        <v>153.82108547205399</v>
      </c>
      <c r="T119" s="8">
        <v>153.71470790533999</v>
      </c>
      <c r="U119" s="9">
        <v>-6.4314445811302599E-3</v>
      </c>
      <c r="V119" s="9">
        <v>-5.5683223670844797E-3</v>
      </c>
      <c r="W119" s="9">
        <v>-6.260128480369E-3</v>
      </c>
      <c r="X119" s="10">
        <v>5.0837410588888501</v>
      </c>
      <c r="Y119" s="10">
        <v>5.08472288464342</v>
      </c>
      <c r="Z119" s="10">
        <v>5.0833519461492598</v>
      </c>
      <c r="AA119" s="10">
        <v>5.0835688032987196</v>
      </c>
      <c r="AB119" s="8">
        <v>155.67896055912701</v>
      </c>
      <c r="AC119" s="8">
        <v>155.64075679073201</v>
      </c>
      <c r="AD119" s="8">
        <v>155.642233703919</v>
      </c>
      <c r="AE119" s="9">
        <v>1.93111912098891E-4</v>
      </c>
      <c r="AF119" s="9">
        <v>-5.2319176637988902E-5</v>
      </c>
      <c r="AG119" s="9">
        <v>7.9176915203459406E-5</v>
      </c>
      <c r="AZ119" s="9"/>
      <c r="BB119">
        <f t="shared" si="22"/>
        <v>0</v>
      </c>
      <c r="BC119">
        <f t="shared" si="23"/>
        <v>1</v>
      </c>
      <c r="BD119">
        <f t="shared" si="24"/>
        <v>0</v>
      </c>
      <c r="BE119">
        <f t="shared" si="20"/>
        <v>0</v>
      </c>
      <c r="BF119">
        <f t="shared" si="25"/>
        <v>0</v>
      </c>
      <c r="BG119" s="9">
        <f t="shared" si="26"/>
        <v>0</v>
      </c>
      <c r="BH119" s="9">
        <f t="shared" si="27"/>
        <v>0</v>
      </c>
      <c r="BI119" s="9">
        <f t="shared" si="28"/>
        <v>0</v>
      </c>
      <c r="BJ119" s="12">
        <f t="shared" si="29"/>
        <v>1.0884022434191189E-3</v>
      </c>
      <c r="BL119" s="9"/>
      <c r="BN119">
        <f t="shared" si="30"/>
        <v>0</v>
      </c>
      <c r="BO119">
        <f t="shared" si="31"/>
        <v>0</v>
      </c>
      <c r="BP119">
        <f t="shared" si="32"/>
        <v>0</v>
      </c>
      <c r="BQ119">
        <f t="shared" si="21"/>
        <v>0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-1.540436814833513E-3</v>
      </c>
      <c r="BX119" s="12">
        <f t="shared" si="38"/>
        <v>0</v>
      </c>
      <c r="BY119" s="12">
        <f t="shared" si="39"/>
        <v>-4.5203457141439391E-4</v>
      </c>
    </row>
    <row r="120" spans="1:77" x14ac:dyDescent="0.3">
      <c r="A120" s="1">
        <v>46197</v>
      </c>
      <c r="B120" s="8">
        <v>29.68</v>
      </c>
      <c r="C120" s="8">
        <v>150.88</v>
      </c>
      <c r="D120" s="9">
        <v>-1.80305385454138E-2</v>
      </c>
      <c r="E120" s="9">
        <v>-2.4873647853949001E-2</v>
      </c>
      <c r="F120" s="8">
        <v>0</v>
      </c>
      <c r="G120" s="8">
        <v>0.39700000000000002</v>
      </c>
      <c r="H120" s="8">
        <v>1.0321</v>
      </c>
      <c r="I120" s="8">
        <v>2.0009999999999999</v>
      </c>
      <c r="J120" s="8">
        <v>0.39700000000000002</v>
      </c>
      <c r="K120" s="8">
        <v>2.0009999999999999</v>
      </c>
      <c r="L120" s="8">
        <v>30.076999999999899</v>
      </c>
      <c r="M120" s="8">
        <v>152.881</v>
      </c>
      <c r="N120" s="10">
        <v>5.0835579514824696</v>
      </c>
      <c r="O120" s="10">
        <v>5.0856511037897496</v>
      </c>
      <c r="P120" s="10">
        <v>5.0935931041633102</v>
      </c>
      <c r="Q120" s="10">
        <v>5.0882862244723599</v>
      </c>
      <c r="R120" s="8">
        <v>150.942124760479</v>
      </c>
      <c r="S120" s="8">
        <v>151.17351995943699</v>
      </c>
      <c r="T120" s="8">
        <v>151.02169166407899</v>
      </c>
      <c r="U120" s="9">
        <v>4.1166472740522E-4</v>
      </c>
      <c r="V120" s="9">
        <v>1.94349697938861E-3</v>
      </c>
      <c r="W120" s="9">
        <v>9.3866101711161099E-4</v>
      </c>
      <c r="X120" s="10">
        <v>5.0829870000332402</v>
      </c>
      <c r="Y120" s="10">
        <v>5.08472288464342</v>
      </c>
      <c r="Z120" s="10">
        <v>5.0833825159339998</v>
      </c>
      <c r="AA120" s="10">
        <v>5.0834666017519297</v>
      </c>
      <c r="AB120" s="8">
        <v>152.93321020142</v>
      </c>
      <c r="AC120" s="8">
        <v>152.891976484331</v>
      </c>
      <c r="AD120" s="8">
        <v>152.898498896815</v>
      </c>
      <c r="AE120" s="9">
        <v>3.4145046362060998E-4</v>
      </c>
      <c r="AF120" s="9">
        <v>7.1794992889625495E-5</v>
      </c>
      <c r="AG120" s="9">
        <v>-9.0508916215530002E-4</v>
      </c>
      <c r="AZ120" s="9"/>
      <c r="BB120">
        <f t="shared" si="22"/>
        <v>0</v>
      </c>
      <c r="BC120">
        <f t="shared" si="23"/>
        <v>0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1.0884022434191189E-3</v>
      </c>
      <c r="BL120" s="9"/>
      <c r="BN120">
        <f t="shared" si="30"/>
        <v>0</v>
      </c>
      <c r="BO120">
        <f t="shared" si="31"/>
        <v>1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-1.540436814833513E-3</v>
      </c>
      <c r="BX120" s="12">
        <f t="shared" si="38"/>
        <v>0</v>
      </c>
      <c r="BY120" s="12">
        <f t="shared" si="39"/>
        <v>-4.5203457141439391E-4</v>
      </c>
    </row>
    <row r="121" spans="1:77" x14ac:dyDescent="0.3">
      <c r="A121" s="1">
        <v>46198</v>
      </c>
      <c r="B121" s="8">
        <v>30.02</v>
      </c>
      <c r="C121" s="8">
        <v>152.54</v>
      </c>
      <c r="D121" s="9">
        <v>1.1390407906136201E-2</v>
      </c>
      <c r="E121" s="9">
        <v>1.0942037850945E-2</v>
      </c>
      <c r="F121" s="8">
        <v>0</v>
      </c>
      <c r="G121" s="8">
        <v>0.39700000000000002</v>
      </c>
      <c r="H121" s="8">
        <v>0</v>
      </c>
      <c r="I121" s="8">
        <v>2.0009999999999999</v>
      </c>
      <c r="J121" s="8">
        <v>0.39700000000000002</v>
      </c>
      <c r="K121" s="8">
        <v>2.0009999999999999</v>
      </c>
      <c r="L121" s="8">
        <v>30.416999999999899</v>
      </c>
      <c r="M121" s="8">
        <v>154.541</v>
      </c>
      <c r="N121" s="10">
        <v>5.0812791472351702</v>
      </c>
      <c r="O121" s="10">
        <v>5.0856511037897496</v>
      </c>
      <c r="P121" s="10">
        <v>5.0934186644878201</v>
      </c>
      <c r="Q121" s="10">
        <v>5.0881782475736896</v>
      </c>
      <c r="R121" s="8">
        <v>152.671246135768</v>
      </c>
      <c r="S121" s="8">
        <v>152.90966498698199</v>
      </c>
      <c r="T121" s="8">
        <v>152.75035245865999</v>
      </c>
      <c r="U121" s="9">
        <v>8.6003478259611798E-4</v>
      </c>
      <c r="V121" s="9">
        <v>2.4204653652294401E-3</v>
      </c>
      <c r="W121" s="9">
        <v>1.37804873462274E-3</v>
      </c>
      <c r="X121" s="10">
        <v>5.0807443206101803</v>
      </c>
      <c r="Y121" s="10">
        <v>5.08472288464342</v>
      </c>
      <c r="Z121" s="10">
        <v>5.0830979989082499</v>
      </c>
      <c r="AA121" s="10">
        <v>5.0833031391133803</v>
      </c>
      <c r="AB121" s="8">
        <v>154.66201598219899</v>
      </c>
      <c r="AC121" s="8">
        <v>154.621245987164</v>
      </c>
      <c r="AD121" s="8">
        <v>154.62380362548799</v>
      </c>
      <c r="AE121" s="9">
        <v>7.8276072433260395E-4</v>
      </c>
      <c r="AF121" s="9">
        <v>5.1911894164395503E-4</v>
      </c>
      <c r="AG121" s="9">
        <v>4.4506336200082297E-5</v>
      </c>
      <c r="AZ121" s="9"/>
      <c r="BB121">
        <f t="shared" si="22"/>
        <v>0</v>
      </c>
      <c r="BC121">
        <f t="shared" si="23"/>
        <v>1</v>
      </c>
      <c r="BD121">
        <f t="shared" si="24"/>
        <v>0</v>
      </c>
      <c r="BE121">
        <f t="shared" si="20"/>
        <v>1</v>
      </c>
      <c r="BF121">
        <f t="shared" si="25"/>
        <v>0</v>
      </c>
      <c r="BG121" s="9">
        <f t="shared" si="26"/>
        <v>0</v>
      </c>
      <c r="BH121" s="9">
        <f t="shared" si="27"/>
        <v>0</v>
      </c>
      <c r="BI121" s="9">
        <f t="shared" si="28"/>
        <v>0</v>
      </c>
      <c r="BJ121" s="12">
        <f t="shared" si="29"/>
        <v>1.0884022434191189E-3</v>
      </c>
      <c r="BL121" s="9"/>
      <c r="BN121">
        <f t="shared" si="30"/>
        <v>0</v>
      </c>
      <c r="BO121">
        <f t="shared" si="31"/>
        <v>0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-1.540436814833513E-3</v>
      </c>
      <c r="BX121" s="12">
        <f t="shared" si="38"/>
        <v>0</v>
      </c>
      <c r="BY121" s="12">
        <f t="shared" si="39"/>
        <v>-4.5203457141439391E-4</v>
      </c>
    </row>
    <row r="122" spans="1:77" x14ac:dyDescent="0.3">
      <c r="A122" s="1">
        <v>46199</v>
      </c>
      <c r="B122" s="8">
        <v>29.91</v>
      </c>
      <c r="C122" s="8">
        <v>152.07</v>
      </c>
      <c r="D122" s="9">
        <v>-3.67095356345923E-3</v>
      </c>
      <c r="E122" s="9">
        <v>-3.08591558372484E-3</v>
      </c>
      <c r="F122" s="8">
        <v>0</v>
      </c>
      <c r="G122" s="8">
        <v>0.39700000000000002</v>
      </c>
      <c r="H122" s="8">
        <v>0</v>
      </c>
      <c r="I122" s="8">
        <v>2.0009999999999999</v>
      </c>
      <c r="J122" s="8">
        <v>0.39700000000000002</v>
      </c>
      <c r="K122" s="8">
        <v>2.0009999999999999</v>
      </c>
      <c r="L122" s="8">
        <v>30.306999999999999</v>
      </c>
      <c r="M122" s="8">
        <v>154.071</v>
      </c>
      <c r="N122" s="10">
        <v>5.08425275827482</v>
      </c>
      <c r="O122" s="10">
        <v>5.0856511037897496</v>
      </c>
      <c r="P122" s="10">
        <v>5.0933212130425796</v>
      </c>
      <c r="Q122" s="10">
        <v>5.0881675384453597</v>
      </c>
      <c r="R122" s="8">
        <v>152.11182451435101</v>
      </c>
      <c r="S122" s="8">
        <v>152.34415225482999</v>
      </c>
      <c r="T122" s="8">
        <v>152.18741138492899</v>
      </c>
      <c r="U122" s="9">
        <v>2.7499680286169901E-4</v>
      </c>
      <c r="V122" s="9">
        <v>1.8011799183340301E-3</v>
      </c>
      <c r="W122" s="9">
        <v>7.7178984875323701E-4</v>
      </c>
      <c r="X122" s="10">
        <v>5.0836770383079797</v>
      </c>
      <c r="Y122" s="10">
        <v>5.08472288464342</v>
      </c>
      <c r="Z122" s="10">
        <v>5.0828866083781099</v>
      </c>
      <c r="AA122" s="10">
        <v>5.0832351748197002</v>
      </c>
      <c r="AB122" s="8">
        <v>154.102696464888</v>
      </c>
      <c r="AC122" s="8">
        <v>154.05345105291201</v>
      </c>
      <c r="AD122" s="8">
        <v>154.05966823710901</v>
      </c>
      <c r="AE122" s="9">
        <v>2.0570519394489501E-4</v>
      </c>
      <c r="AF122" s="9">
        <v>-1.13908176041213E-4</v>
      </c>
      <c r="AG122" s="9">
        <v>2.1668189448789601E-4</v>
      </c>
      <c r="AZ122" s="9"/>
      <c r="BB122">
        <f t="shared" si="22"/>
        <v>0</v>
      </c>
      <c r="BC122">
        <f t="shared" si="23"/>
        <v>1</v>
      </c>
      <c r="BD122">
        <f t="shared" si="24"/>
        <v>0</v>
      </c>
      <c r="BE122">
        <f t="shared" si="20"/>
        <v>1</v>
      </c>
      <c r="BF122">
        <f t="shared" si="25"/>
        <v>0</v>
      </c>
      <c r="BG122" s="9">
        <f t="shared" si="26"/>
        <v>0</v>
      </c>
      <c r="BH122" s="9">
        <f t="shared" si="27"/>
        <v>0</v>
      </c>
      <c r="BI122" s="9">
        <f t="shared" si="28"/>
        <v>0</v>
      </c>
      <c r="BJ122" s="12">
        <f t="shared" si="29"/>
        <v>1.0884022434191189E-3</v>
      </c>
      <c r="BL122" s="9"/>
      <c r="BN122">
        <f t="shared" si="30"/>
        <v>0</v>
      </c>
      <c r="BO122">
        <f t="shared" si="31"/>
        <v>0</v>
      </c>
      <c r="BP122">
        <f t="shared" si="32"/>
        <v>0</v>
      </c>
      <c r="BQ122">
        <f t="shared" si="21"/>
        <v>1</v>
      </c>
      <c r="BR122">
        <f t="shared" si="33"/>
        <v>0</v>
      </c>
      <c r="BS122" s="9">
        <f t="shared" si="34"/>
        <v>0</v>
      </c>
      <c r="BT122" s="9">
        <f t="shared" si="35"/>
        <v>0</v>
      </c>
      <c r="BU122" s="9">
        <f t="shared" si="36"/>
        <v>0</v>
      </c>
      <c r="BV122" s="12">
        <f t="shared" si="37"/>
        <v>-1.540436814833513E-3</v>
      </c>
      <c r="BX122" s="12">
        <f t="shared" si="38"/>
        <v>0</v>
      </c>
      <c r="BY122" s="12">
        <f t="shared" si="39"/>
        <v>-4.5203457141439391E-4</v>
      </c>
    </row>
    <row r="123" spans="1:77" x14ac:dyDescent="0.3">
      <c r="A123" s="1">
        <v>46202</v>
      </c>
      <c r="B123" s="8">
        <v>29.76</v>
      </c>
      <c r="C123" s="8">
        <v>151.28</v>
      </c>
      <c r="D123" s="9">
        <v>-5.0276626769654997E-3</v>
      </c>
      <c r="E123" s="9">
        <v>-5.2085168021655604E-3</v>
      </c>
      <c r="F123" s="8">
        <v>0</v>
      </c>
      <c r="G123" s="8">
        <v>0.39700000000000002</v>
      </c>
      <c r="H123" s="8">
        <v>0</v>
      </c>
      <c r="I123" s="8">
        <v>2.0009999999999999</v>
      </c>
      <c r="J123" s="8">
        <v>0.39700000000000002</v>
      </c>
      <c r="K123" s="8">
        <v>2.0009999999999999</v>
      </c>
      <c r="L123" s="8">
        <v>30.157</v>
      </c>
      <c r="M123" s="8">
        <v>153.28100000000001</v>
      </c>
      <c r="N123" s="10">
        <v>5.0833333333333304</v>
      </c>
      <c r="O123" s="10">
        <v>5.0856511037897496</v>
      </c>
      <c r="P123" s="10">
        <v>5.0932298673906304</v>
      </c>
      <c r="Q123" s="10">
        <v>5.08801834833453</v>
      </c>
      <c r="R123" s="8">
        <v>151.348976848783</v>
      </c>
      <c r="S123" s="8">
        <v>151.577239300147</v>
      </c>
      <c r="T123" s="8">
        <v>151.42386594413401</v>
      </c>
      <c r="U123" s="9">
        <v>4.5585092806163697E-4</v>
      </c>
      <c r="V123" s="9">
        <v>1.9629010438857301E-3</v>
      </c>
      <c r="W123" s="9">
        <v>9.5053926396002802E-4</v>
      </c>
      <c r="X123" s="10">
        <v>5.0827668534668504</v>
      </c>
      <c r="Y123" s="10">
        <v>5.08472288464342</v>
      </c>
      <c r="Z123" s="10">
        <v>5.0826821155325597</v>
      </c>
      <c r="AA123" s="10">
        <v>5.0830294427480798</v>
      </c>
      <c r="AB123" s="8">
        <v>153.339988032191</v>
      </c>
      <c r="AC123" s="8">
        <v>153.28461144885799</v>
      </c>
      <c r="AD123" s="8">
        <v>153.29512316703699</v>
      </c>
      <c r="AE123" s="9">
        <v>3.8476187359505102E-4</v>
      </c>
      <c r="AF123" s="9">
        <v>2.3560691245585099E-5</v>
      </c>
      <c r="AG123" s="9">
        <v>1.3105828534465799E-3</v>
      </c>
      <c r="AZ123" s="9"/>
      <c r="BB123">
        <f t="shared" si="22"/>
        <v>0</v>
      </c>
      <c r="BC123">
        <f t="shared" si="23"/>
        <v>1</v>
      </c>
      <c r="BD123">
        <f t="shared" si="24"/>
        <v>0</v>
      </c>
      <c r="BE123">
        <f t="shared" si="20"/>
        <v>1</v>
      </c>
      <c r="BF123">
        <f t="shared" si="25"/>
        <v>0</v>
      </c>
      <c r="BG123" s="9">
        <f t="shared" si="26"/>
        <v>0</v>
      </c>
      <c r="BH123" s="9">
        <f t="shared" si="27"/>
        <v>0</v>
      </c>
      <c r="BI123" s="9">
        <f t="shared" si="28"/>
        <v>0</v>
      </c>
      <c r="BJ123" s="12">
        <f t="shared" si="29"/>
        <v>1.0884022434191189E-3</v>
      </c>
      <c r="BL123" s="9"/>
      <c r="BN123">
        <f t="shared" si="30"/>
        <v>0</v>
      </c>
      <c r="BO123">
        <f t="shared" si="31"/>
        <v>0</v>
      </c>
      <c r="BP123">
        <f t="shared" si="32"/>
        <v>0</v>
      </c>
      <c r="BQ123">
        <f t="shared" si="21"/>
        <v>1</v>
      </c>
      <c r="BR123">
        <f t="shared" si="33"/>
        <v>0</v>
      </c>
      <c r="BS123" s="9">
        <f t="shared" si="34"/>
        <v>0</v>
      </c>
      <c r="BT123" s="9">
        <f t="shared" si="35"/>
        <v>0</v>
      </c>
      <c r="BU123" s="9">
        <f t="shared" si="36"/>
        <v>0</v>
      </c>
      <c r="BV123" s="12">
        <f t="shared" si="37"/>
        <v>-1.540436814833513E-3</v>
      </c>
      <c r="BX123" s="12">
        <f t="shared" si="38"/>
        <v>0</v>
      </c>
      <c r="BY123" s="12">
        <f t="shared" si="39"/>
        <v>-4.5203457141439391E-4</v>
      </c>
    </row>
    <row r="124" spans="1:77" x14ac:dyDescent="0.3">
      <c r="A124" s="1">
        <v>46203</v>
      </c>
      <c r="B124" s="8">
        <v>29.56</v>
      </c>
      <c r="C124" s="8">
        <v>150.13</v>
      </c>
      <c r="D124" s="9">
        <v>-6.74311388489019E-3</v>
      </c>
      <c r="E124" s="9">
        <v>-7.63083892598847E-3</v>
      </c>
      <c r="F124" s="8">
        <v>0</v>
      </c>
      <c r="G124" s="8">
        <v>0.39700000000000002</v>
      </c>
      <c r="H124" s="8">
        <v>0</v>
      </c>
      <c r="I124" s="8">
        <v>2.0009999999999999</v>
      </c>
      <c r="J124" s="8">
        <v>0.39700000000000002</v>
      </c>
      <c r="K124" s="8">
        <v>2.0009999999999999</v>
      </c>
      <c r="L124" s="8">
        <v>29.956999999999901</v>
      </c>
      <c r="M124" s="8">
        <v>152.131</v>
      </c>
      <c r="N124" s="10">
        <v>5.0788227334235403</v>
      </c>
      <c r="O124" s="10">
        <v>5.0856511037897496</v>
      </c>
      <c r="P124" s="10">
        <v>5.0929759981073799</v>
      </c>
      <c r="Q124" s="10">
        <v>5.08782945988008</v>
      </c>
      <c r="R124" s="8">
        <v>150.331846628025</v>
      </c>
      <c r="S124" s="8">
        <v>150.55587488006699</v>
      </c>
      <c r="T124" s="8">
        <v>150.401822376768</v>
      </c>
      <c r="U124" s="9">
        <v>1.34357596916005E-3</v>
      </c>
      <c r="V124" s="9">
        <v>2.8326915257347201E-3</v>
      </c>
      <c r="W124" s="9">
        <v>1.80894288493179E-3</v>
      </c>
      <c r="X124" s="10">
        <v>5.0783122475548197</v>
      </c>
      <c r="Y124" s="10">
        <v>5.08472288464342</v>
      </c>
      <c r="Z124" s="10">
        <v>5.0823169939916903</v>
      </c>
      <c r="AA124" s="10">
        <v>5.0827862203926202</v>
      </c>
      <c r="AB124" s="8">
        <v>152.32304345526299</v>
      </c>
      <c r="AC124" s="8">
        <v>152.26190813500901</v>
      </c>
      <c r="AD124" s="8">
        <v>152.27231301640401</v>
      </c>
      <c r="AE124" s="9">
        <v>1.2615597319963999E-3</v>
      </c>
      <c r="AF124" s="9">
        <v>8.6012610400016103E-4</v>
      </c>
      <c r="AG124" s="9">
        <v>6.7586208964386595E-4</v>
      </c>
      <c r="AZ124" s="9"/>
      <c r="BB124">
        <f t="shared" si="22"/>
        <v>0</v>
      </c>
      <c r="BC124">
        <f t="shared" si="23"/>
        <v>1</v>
      </c>
      <c r="BD124">
        <f t="shared" si="24"/>
        <v>0</v>
      </c>
      <c r="BE124">
        <f t="shared" si="20"/>
        <v>1</v>
      </c>
      <c r="BF124">
        <f t="shared" si="25"/>
        <v>0</v>
      </c>
      <c r="BG124" s="9">
        <f t="shared" si="26"/>
        <v>0</v>
      </c>
      <c r="BH124" s="9">
        <f t="shared" si="27"/>
        <v>0</v>
      </c>
      <c r="BI124" s="9">
        <f t="shared" si="28"/>
        <v>0</v>
      </c>
      <c r="BJ124" s="12">
        <f t="shared" si="29"/>
        <v>1.0884022434191189E-3</v>
      </c>
      <c r="BL124" s="9"/>
      <c r="BN124">
        <f t="shared" si="30"/>
        <v>0</v>
      </c>
      <c r="BO124">
        <f t="shared" si="31"/>
        <v>0</v>
      </c>
      <c r="BP124">
        <f t="shared" si="32"/>
        <v>0</v>
      </c>
      <c r="BQ124">
        <f t="shared" si="21"/>
        <v>1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-1.540436814833513E-3</v>
      </c>
      <c r="BX124" s="12">
        <f t="shared" si="38"/>
        <v>0</v>
      </c>
      <c r="BY124" s="12">
        <f t="shared" si="39"/>
        <v>-4.5203457141439391E-4</v>
      </c>
    </row>
    <row r="125" spans="1:77" x14ac:dyDescent="0.3">
      <c r="A125" s="1">
        <v>46204</v>
      </c>
      <c r="B125" s="8">
        <v>29.38</v>
      </c>
      <c r="C125" s="8">
        <v>149.33000000000001</v>
      </c>
      <c r="D125" s="9">
        <v>-6.1079253342697397E-3</v>
      </c>
      <c r="E125" s="9">
        <v>-5.3429633550362201E-3</v>
      </c>
      <c r="F125" s="8">
        <v>0</v>
      </c>
      <c r="G125" s="8">
        <v>0.39700000000000002</v>
      </c>
      <c r="H125" s="8">
        <v>0</v>
      </c>
      <c r="I125" s="8">
        <v>2.0009999999999999</v>
      </c>
      <c r="J125" s="8">
        <v>0.39700000000000002</v>
      </c>
      <c r="K125" s="8">
        <v>2.0009999999999999</v>
      </c>
      <c r="L125" s="8">
        <v>29.776999999999902</v>
      </c>
      <c r="M125" s="8">
        <v>151.33099999999999</v>
      </c>
      <c r="N125" s="10">
        <v>5.0827093260721501</v>
      </c>
      <c r="O125" s="10">
        <v>5.0856511037897496</v>
      </c>
      <c r="P125" s="10">
        <v>5.0932664746885301</v>
      </c>
      <c r="Q125" s="10">
        <v>5.0878991285424702</v>
      </c>
      <c r="R125" s="8">
        <v>149.416429429342</v>
      </c>
      <c r="S125" s="8">
        <v>149.63163482439401</v>
      </c>
      <c r="T125" s="8">
        <v>149.480429531276</v>
      </c>
      <c r="U125" s="9">
        <v>5.7861398992646996E-4</v>
      </c>
      <c r="V125" s="9">
        <v>2.0178838460196699E-3</v>
      </c>
      <c r="W125" s="9">
        <v>1.00685604730181E-3</v>
      </c>
      <c r="X125" s="10">
        <v>5.0821439365953598</v>
      </c>
      <c r="Y125" s="10">
        <v>5.08472288464342</v>
      </c>
      <c r="Z125" s="10">
        <v>5.0824894930029902</v>
      </c>
      <c r="AA125" s="10">
        <v>5.0827987771754897</v>
      </c>
      <c r="AB125" s="8">
        <v>151.407793336027</v>
      </c>
      <c r="AC125" s="8">
        <v>151.33615313009</v>
      </c>
      <c r="AD125" s="8">
        <v>151.35012528463099</v>
      </c>
      <c r="AE125" s="9">
        <v>5.0732406526481099E-4</v>
      </c>
      <c r="AF125" s="9">
        <v>3.4051465695853397E-5</v>
      </c>
      <c r="AG125" s="9">
        <v>-6.2853053308822599E-4</v>
      </c>
      <c r="AZ125" s="9"/>
      <c r="BB125">
        <f t="shared" si="22"/>
        <v>0</v>
      </c>
      <c r="BC125">
        <f t="shared" si="23"/>
        <v>0</v>
      </c>
      <c r="BD125">
        <f t="shared" si="24"/>
        <v>0</v>
      </c>
      <c r="BE125">
        <f t="shared" si="20"/>
        <v>1</v>
      </c>
      <c r="BF125">
        <f t="shared" si="25"/>
        <v>0</v>
      </c>
      <c r="BG125" s="9">
        <f t="shared" si="26"/>
        <v>0</v>
      </c>
      <c r="BH125" s="9">
        <f t="shared" si="27"/>
        <v>0</v>
      </c>
      <c r="BI125" s="9">
        <f t="shared" si="28"/>
        <v>0</v>
      </c>
      <c r="BJ125" s="12">
        <f t="shared" si="29"/>
        <v>1.0884022434191189E-3</v>
      </c>
      <c r="BL125" s="9"/>
      <c r="BN125">
        <f t="shared" si="30"/>
        <v>0</v>
      </c>
      <c r="BO125">
        <f t="shared" si="31"/>
        <v>1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-1.540436814833513E-3</v>
      </c>
      <c r="BX125" s="12">
        <f t="shared" si="38"/>
        <v>0</v>
      </c>
      <c r="BY125" s="12">
        <f t="shared" si="39"/>
        <v>-4.5203457141439391E-4</v>
      </c>
    </row>
    <row r="126" spans="1:77" x14ac:dyDescent="0.3">
      <c r="A126" s="1">
        <v>46205</v>
      </c>
      <c r="B126" s="8">
        <v>29.62</v>
      </c>
      <c r="C126" s="8">
        <v>150.44</v>
      </c>
      <c r="D126" s="9">
        <v>8.1356380939215499E-3</v>
      </c>
      <c r="E126" s="9">
        <v>7.4057115329582302E-3</v>
      </c>
      <c r="F126" s="8">
        <v>0</v>
      </c>
      <c r="G126" s="8">
        <v>0.39700000000000002</v>
      </c>
      <c r="H126" s="8">
        <v>0</v>
      </c>
      <c r="I126" s="8">
        <v>2.0009999999999999</v>
      </c>
      <c r="J126" s="8">
        <v>0.39700000000000002</v>
      </c>
      <c r="K126" s="8">
        <v>2.0009999999999999</v>
      </c>
      <c r="L126" s="8">
        <v>30.016999999999999</v>
      </c>
      <c r="M126" s="8">
        <v>152.441</v>
      </c>
      <c r="N126" s="10">
        <v>5.0790006752194401</v>
      </c>
      <c r="O126" s="10">
        <v>5.0856511037897496</v>
      </c>
      <c r="P126" s="10">
        <v>5.0929978992592302</v>
      </c>
      <c r="Q126" s="10">
        <v>5.08775155641026</v>
      </c>
      <c r="R126" s="8">
        <v>150.63698569425199</v>
      </c>
      <c r="S126" s="8">
        <v>150.86255298027399</v>
      </c>
      <c r="T126" s="8">
        <v>150.70357218742799</v>
      </c>
      <c r="U126" s="9">
        <v>1.3085405508899499E-3</v>
      </c>
      <c r="V126" s="9">
        <v>2.8048435243495299E-3</v>
      </c>
      <c r="W126" s="9">
        <v>1.75047571373369E-3</v>
      </c>
      <c r="X126" s="10">
        <v>5.0784888563147499</v>
      </c>
      <c r="Y126" s="10">
        <v>5.08472288464342</v>
      </c>
      <c r="Z126" s="10">
        <v>5.0821087652518102</v>
      </c>
      <c r="AA126" s="10">
        <v>5.0825972701026201</v>
      </c>
      <c r="AB126" s="8">
        <v>152.62812682834101</v>
      </c>
      <c r="AC126" s="8">
        <v>152.56108711146999</v>
      </c>
      <c r="AD126" s="8">
        <v>152.57037089447601</v>
      </c>
      <c r="AE126" s="9">
        <v>1.2267832786352099E-3</v>
      </c>
      <c r="AF126" s="9">
        <v>7.87451120832967E-4</v>
      </c>
      <c r="AG126" s="9">
        <v>9.4594405075714992E-6</v>
      </c>
      <c r="AZ126" s="9"/>
      <c r="BB126">
        <f t="shared" si="22"/>
        <v>0</v>
      </c>
      <c r="BC126">
        <f t="shared" si="23"/>
        <v>1</v>
      </c>
      <c r="BD126">
        <f t="shared" si="24"/>
        <v>0</v>
      </c>
      <c r="BE126">
        <f t="shared" si="20"/>
        <v>1</v>
      </c>
      <c r="BF126">
        <f t="shared" si="25"/>
        <v>0</v>
      </c>
      <c r="BG126" s="9">
        <f t="shared" si="26"/>
        <v>0</v>
      </c>
      <c r="BH126" s="9">
        <f t="shared" si="27"/>
        <v>0</v>
      </c>
      <c r="BI126" s="9">
        <f t="shared" si="28"/>
        <v>0</v>
      </c>
      <c r="BJ126" s="12">
        <f t="shared" si="29"/>
        <v>1.0884022434191189E-3</v>
      </c>
      <c r="BL126" s="9"/>
      <c r="BN126">
        <f t="shared" si="30"/>
        <v>0</v>
      </c>
      <c r="BO126">
        <f t="shared" si="31"/>
        <v>0</v>
      </c>
      <c r="BP126">
        <f t="shared" si="32"/>
        <v>0</v>
      </c>
      <c r="BQ126">
        <f t="shared" si="21"/>
        <v>1</v>
      </c>
      <c r="BR126">
        <f t="shared" si="33"/>
        <v>0</v>
      </c>
      <c r="BS126" s="9">
        <f t="shared" si="34"/>
        <v>0</v>
      </c>
      <c r="BT126" s="9">
        <f t="shared" si="35"/>
        <v>0</v>
      </c>
      <c r="BU126" s="9">
        <f t="shared" si="36"/>
        <v>0</v>
      </c>
      <c r="BV126" s="12">
        <f t="shared" si="37"/>
        <v>-1.540436814833513E-3</v>
      </c>
      <c r="BX126" s="12">
        <f t="shared" si="38"/>
        <v>0</v>
      </c>
      <c r="BY126" s="12">
        <f t="shared" si="39"/>
        <v>-4.5203457141439391E-4</v>
      </c>
    </row>
    <row r="127" spans="1:77" x14ac:dyDescent="0.3">
      <c r="A127" s="1">
        <v>46209</v>
      </c>
      <c r="B127" s="8">
        <v>29.54</v>
      </c>
      <c r="C127" s="8">
        <v>150.15</v>
      </c>
      <c r="D127" s="9">
        <v>-2.7045317364190399E-3</v>
      </c>
      <c r="E127" s="9">
        <v>-1.9295391727962999E-3</v>
      </c>
      <c r="F127" s="8">
        <v>0</v>
      </c>
      <c r="G127" s="8">
        <v>0.39700000000000002</v>
      </c>
      <c r="H127" s="8">
        <v>0</v>
      </c>
      <c r="I127" s="8">
        <v>2.0009999999999999</v>
      </c>
      <c r="J127" s="8">
        <v>0.39700000000000002</v>
      </c>
      <c r="K127" s="8">
        <v>2.0009999999999999</v>
      </c>
      <c r="L127" s="8">
        <v>29.936999999999902</v>
      </c>
      <c r="M127" s="8">
        <v>152.15100000000001</v>
      </c>
      <c r="N127" s="10">
        <v>5.0829383886255899</v>
      </c>
      <c r="O127" s="10">
        <v>5.0856511037897496</v>
      </c>
      <c r="P127" s="10">
        <v>5.0894239026531398</v>
      </c>
      <c r="Q127" s="10">
        <v>5.0878237209395802</v>
      </c>
      <c r="R127" s="8">
        <v>150.23013360594899</v>
      </c>
      <c r="S127" s="8">
        <v>150.44715794411701</v>
      </c>
      <c r="T127" s="8">
        <v>150.29218097635899</v>
      </c>
      <c r="U127" s="9">
        <v>5.3354798726705001E-4</v>
      </c>
      <c r="V127" s="9">
        <v>1.9771181001785902E-3</v>
      </c>
      <c r="W127" s="9">
        <v>9.4647819764308598E-4</v>
      </c>
      <c r="X127" s="10">
        <v>5.0823729832648503</v>
      </c>
      <c r="Y127" s="10">
        <v>5.08472288464342</v>
      </c>
      <c r="Z127" s="10">
        <v>5.0820155582051703</v>
      </c>
      <c r="AA127" s="10">
        <v>5.0826127420032403</v>
      </c>
      <c r="AB127" s="8">
        <v>152.22134899757</v>
      </c>
      <c r="AC127" s="8">
        <v>152.14309010534299</v>
      </c>
      <c r="AD127" s="8">
        <v>152.15771447506199</v>
      </c>
      <c r="AE127" s="9">
        <v>4.6225617441606099E-4</v>
      </c>
      <c r="AF127" s="9">
        <v>-5.1988486897981302E-5</v>
      </c>
      <c r="AG127" s="9">
        <v>-1.4511446508487201E-3</v>
      </c>
      <c r="AZ127" s="9"/>
      <c r="BB127">
        <f t="shared" si="22"/>
        <v>1</v>
      </c>
      <c r="BC127">
        <f t="shared" si="23"/>
        <v>0</v>
      </c>
      <c r="BD127">
        <f t="shared" si="24"/>
        <v>0</v>
      </c>
      <c r="BE127">
        <f t="shared" si="20"/>
        <v>1</v>
      </c>
      <c r="BF127">
        <f t="shared" si="25"/>
        <v>0</v>
      </c>
      <c r="BG127" s="9">
        <f t="shared" si="26"/>
        <v>0</v>
      </c>
      <c r="BH127" s="9">
        <f t="shared" si="27"/>
        <v>0</v>
      </c>
      <c r="BI127" s="9">
        <f t="shared" si="28"/>
        <v>0</v>
      </c>
      <c r="BJ127" s="12">
        <f t="shared" si="29"/>
        <v>1.0884022434191189E-3</v>
      </c>
      <c r="BL127" s="9"/>
      <c r="BN127">
        <f t="shared" si="30"/>
        <v>0</v>
      </c>
      <c r="BO127">
        <f t="shared" si="31"/>
        <v>1</v>
      </c>
      <c r="BP127">
        <f t="shared" si="32"/>
        <v>0</v>
      </c>
      <c r="BQ127">
        <f t="shared" si="21"/>
        <v>1</v>
      </c>
      <c r="BR127">
        <f t="shared" si="33"/>
        <v>0</v>
      </c>
      <c r="BS127" s="9">
        <f t="shared" si="34"/>
        <v>0</v>
      </c>
      <c r="BT127" s="9">
        <f t="shared" si="35"/>
        <v>0</v>
      </c>
      <c r="BU127" s="9">
        <f t="shared" si="36"/>
        <v>0</v>
      </c>
      <c r="BV127" s="12">
        <f t="shared" si="37"/>
        <v>-1.540436814833513E-3</v>
      </c>
      <c r="BX127" s="12">
        <f t="shared" si="38"/>
        <v>0</v>
      </c>
      <c r="BY127" s="12">
        <f t="shared" si="39"/>
        <v>-4.5203457141439391E-4</v>
      </c>
    </row>
    <row r="128" spans="1:77" x14ac:dyDescent="0.3">
      <c r="A128" s="1">
        <v>46210</v>
      </c>
      <c r="B128" s="8">
        <v>30.37</v>
      </c>
      <c r="C128" s="8">
        <v>154.33000000000001</v>
      </c>
      <c r="D128" s="9">
        <v>2.7710001954423701E-2</v>
      </c>
      <c r="E128" s="9">
        <v>2.7458372483400901E-2</v>
      </c>
      <c r="F128" s="8">
        <v>0</v>
      </c>
      <c r="G128" s="8">
        <v>0.39700000000000002</v>
      </c>
      <c r="H128" s="8">
        <v>0</v>
      </c>
      <c r="I128" s="8">
        <v>2.0009999999999999</v>
      </c>
      <c r="J128" s="8">
        <v>0.39700000000000002</v>
      </c>
      <c r="K128" s="8">
        <v>2.0009999999999999</v>
      </c>
      <c r="L128" s="8">
        <v>30.766999999999999</v>
      </c>
      <c r="M128" s="8">
        <v>156.33099999999999</v>
      </c>
      <c r="N128" s="10">
        <v>5.0816595324333198</v>
      </c>
      <c r="O128" s="10">
        <v>5.0856511037897496</v>
      </c>
      <c r="P128" s="10">
        <v>5.08560184390846</v>
      </c>
      <c r="Q128" s="10">
        <v>5.08782219051899</v>
      </c>
      <c r="R128" s="8">
        <v>154.45122402209401</v>
      </c>
      <c r="S128" s="8">
        <v>154.565803923576</v>
      </c>
      <c r="T128" s="8">
        <v>154.517206404935</v>
      </c>
      <c r="U128" s="9">
        <v>7.85177458289816E-4</v>
      </c>
      <c r="V128" s="9">
        <v>1.52675411180948E-3</v>
      </c>
      <c r="W128" s="9">
        <v>1.2122915408013699E-3</v>
      </c>
      <c r="X128" s="10">
        <v>5.0811258816264102</v>
      </c>
      <c r="Y128" s="10">
        <v>5.08472288464342</v>
      </c>
      <c r="Z128" s="10">
        <v>5.0816360176663302</v>
      </c>
      <c r="AA128" s="10">
        <v>5.08255555318323</v>
      </c>
      <c r="AB128" s="8">
        <v>156.441668991824</v>
      </c>
      <c r="AC128" s="8">
        <v>156.35837267929799</v>
      </c>
      <c r="AD128" s="8">
        <v>156.376746233213</v>
      </c>
      <c r="AE128" s="9">
        <v>7.07664111441608E-4</v>
      </c>
      <c r="AF128" s="9">
        <v>1.75079051353836E-4</v>
      </c>
      <c r="AG128" s="9">
        <v>-3.2333328234306E-3</v>
      </c>
      <c r="AZ128" s="9"/>
      <c r="BB128">
        <f t="shared" si="22"/>
        <v>1</v>
      </c>
      <c r="BC128">
        <f t="shared" si="23"/>
        <v>0</v>
      </c>
      <c r="BD128">
        <f t="shared" si="24"/>
        <v>1</v>
      </c>
      <c r="BE128">
        <f t="shared" si="20"/>
        <v>1</v>
      </c>
      <c r="BF128">
        <f t="shared" si="25"/>
        <v>1</v>
      </c>
      <c r="BG128" s="9">
        <f t="shared" si="26"/>
        <v>2.7710001954423701E-2</v>
      </c>
      <c r="BH128" s="9">
        <f t="shared" si="27"/>
        <v>-2.7458372483400901E-2</v>
      </c>
      <c r="BI128" s="9">
        <f t="shared" si="28"/>
        <v>2.5162947102280037E-4</v>
      </c>
      <c r="BJ128" s="12">
        <f t="shared" si="29"/>
        <v>1.3400317144419192E-3</v>
      </c>
      <c r="BL128" s="9"/>
      <c r="BN128">
        <f t="shared" si="30"/>
        <v>0</v>
      </c>
      <c r="BO128">
        <f t="shared" si="31"/>
        <v>1</v>
      </c>
      <c r="BP128">
        <f t="shared" si="32"/>
        <v>0</v>
      </c>
      <c r="BQ128">
        <f t="shared" si="21"/>
        <v>1</v>
      </c>
      <c r="BR128">
        <f t="shared" si="33"/>
        <v>0</v>
      </c>
      <c r="BS128" s="9">
        <f t="shared" si="34"/>
        <v>0</v>
      </c>
      <c r="BT128" s="9">
        <f t="shared" si="35"/>
        <v>0</v>
      </c>
      <c r="BU128" s="9">
        <f t="shared" si="36"/>
        <v>0</v>
      </c>
      <c r="BV128" s="12">
        <f t="shared" si="37"/>
        <v>-1.540436814833513E-3</v>
      </c>
      <c r="BX128" s="12">
        <f t="shared" si="38"/>
        <v>2.5162947102280037E-4</v>
      </c>
      <c r="BY128" s="12">
        <f t="shared" si="39"/>
        <v>-2.0040510039159355E-4</v>
      </c>
    </row>
    <row r="129" spans="1:77" x14ac:dyDescent="0.3">
      <c r="A129" s="1">
        <v>46211</v>
      </c>
      <c r="B129" s="8">
        <v>30.88</v>
      </c>
      <c r="C129" s="8">
        <v>156.94</v>
      </c>
      <c r="D129" s="9">
        <v>1.6653446098918001E-2</v>
      </c>
      <c r="E129" s="9">
        <v>1.6770399786586801E-2</v>
      </c>
      <c r="F129" s="8">
        <v>0</v>
      </c>
      <c r="G129" s="8">
        <v>0.39700000000000002</v>
      </c>
      <c r="H129" s="8">
        <v>0</v>
      </c>
      <c r="I129" s="8">
        <v>2.0009999999999999</v>
      </c>
      <c r="J129" s="8">
        <v>0.39700000000000002</v>
      </c>
      <c r="K129" s="8">
        <v>2.0009999999999999</v>
      </c>
      <c r="L129" s="8">
        <v>31.276999999999902</v>
      </c>
      <c r="M129" s="8">
        <v>158.941</v>
      </c>
      <c r="N129" s="10">
        <v>5.0822538860103599</v>
      </c>
      <c r="O129" s="10">
        <v>5.0856511037897496</v>
      </c>
      <c r="P129" s="10">
        <v>5.0819807732110203</v>
      </c>
      <c r="Q129" s="10">
        <v>5.0877141055987298</v>
      </c>
      <c r="R129" s="8">
        <v>157.04490608502701</v>
      </c>
      <c r="S129" s="8">
        <v>157.043384939893</v>
      </c>
      <c r="T129" s="8">
        <v>157.11194924322601</v>
      </c>
      <c r="U129" s="9">
        <v>6.6822377062086499E-4</v>
      </c>
      <c r="V129" s="9">
        <v>6.5853767166337601E-4</v>
      </c>
      <c r="W129" s="9">
        <v>1.0950370524559199E-3</v>
      </c>
      <c r="X129" s="10">
        <v>5.0817213927166902</v>
      </c>
      <c r="Y129" s="10">
        <v>5.08472288464342</v>
      </c>
      <c r="Z129" s="10">
        <v>5.0814340510491096</v>
      </c>
      <c r="AA129" s="10">
        <v>5.0823929985991896</v>
      </c>
      <c r="AB129" s="8">
        <v>159.03487766299199</v>
      </c>
      <c r="AC129" s="8">
        <v>158.93832972454899</v>
      </c>
      <c r="AD129" s="8">
        <v>158.967090036912</v>
      </c>
      <c r="AE129" s="9">
        <v>5.9047036152484397E-4</v>
      </c>
      <c r="AF129" s="9">
        <v>-1.6800560467117502E-5</v>
      </c>
      <c r="AG129" s="9">
        <v>-2.8569454311224902E-3</v>
      </c>
      <c r="AZ129" s="9"/>
      <c r="BB129">
        <f t="shared" si="22"/>
        <v>1</v>
      </c>
      <c r="BC129">
        <f t="shared" si="23"/>
        <v>0</v>
      </c>
      <c r="BD129">
        <f t="shared" si="24"/>
        <v>1</v>
      </c>
      <c r="BE129">
        <f t="shared" si="20"/>
        <v>1</v>
      </c>
      <c r="BF129">
        <f t="shared" si="25"/>
        <v>1</v>
      </c>
      <c r="BG129" s="9">
        <f t="shared" si="26"/>
        <v>1.6653446098918001E-2</v>
      </c>
      <c r="BH129" s="9">
        <f t="shared" si="27"/>
        <v>-1.6770399786586801E-2</v>
      </c>
      <c r="BI129" s="9">
        <f t="shared" si="28"/>
        <v>-1.1695368766879988E-4</v>
      </c>
      <c r="BJ129" s="12">
        <f t="shared" si="29"/>
        <v>1.2230780267731194E-3</v>
      </c>
      <c r="BL129" s="9"/>
      <c r="BN129">
        <f t="shared" si="30"/>
        <v>0</v>
      </c>
      <c r="BO129">
        <f t="shared" si="31"/>
        <v>1</v>
      </c>
      <c r="BP129">
        <f t="shared" si="32"/>
        <v>0</v>
      </c>
      <c r="BQ129">
        <f t="shared" si="21"/>
        <v>1</v>
      </c>
      <c r="BR129">
        <f t="shared" si="33"/>
        <v>0</v>
      </c>
      <c r="BS129" s="9">
        <f t="shared" si="34"/>
        <v>0</v>
      </c>
      <c r="BT129" s="9">
        <f t="shared" si="35"/>
        <v>0</v>
      </c>
      <c r="BU129" s="9">
        <f t="shared" si="36"/>
        <v>0</v>
      </c>
      <c r="BV129" s="12">
        <f t="shared" si="37"/>
        <v>-1.540436814833513E-3</v>
      </c>
      <c r="BX129" s="12">
        <f t="shared" si="38"/>
        <v>-1.1695368766879988E-4</v>
      </c>
      <c r="BY129" s="12">
        <f t="shared" si="39"/>
        <v>-3.1735878806039342E-4</v>
      </c>
    </row>
    <row r="130" spans="1:77" x14ac:dyDescent="0.3">
      <c r="A130" s="1">
        <v>46212</v>
      </c>
      <c r="B130" s="8">
        <v>30.45</v>
      </c>
      <c r="C130" s="8">
        <v>154.81</v>
      </c>
      <c r="D130" s="9">
        <v>-1.40227310006693E-2</v>
      </c>
      <c r="E130" s="9">
        <v>-1.3665008146952999E-2</v>
      </c>
      <c r="F130" s="8">
        <v>0</v>
      </c>
      <c r="G130" s="8">
        <v>0.39700000000000002</v>
      </c>
      <c r="H130" s="8">
        <v>0</v>
      </c>
      <c r="I130" s="8">
        <v>2.0009999999999999</v>
      </c>
      <c r="J130" s="8">
        <v>0.39700000000000002</v>
      </c>
      <c r="K130" s="8">
        <v>2.0009999999999999</v>
      </c>
      <c r="L130" s="8">
        <v>30.846999999999898</v>
      </c>
      <c r="M130" s="8">
        <v>156.81100000000001</v>
      </c>
      <c r="N130" s="10">
        <v>5.0840722495894903</v>
      </c>
      <c r="O130" s="10">
        <v>5.0856511037897496</v>
      </c>
      <c r="P130" s="10">
        <v>5.0820322030217202</v>
      </c>
      <c r="Q130" s="10">
        <v>5.0878126535925201</v>
      </c>
      <c r="R130" s="8">
        <v>154.85807611039701</v>
      </c>
      <c r="S130" s="8">
        <v>154.74631454427501</v>
      </c>
      <c r="T130" s="8">
        <v>154.920894515481</v>
      </c>
      <c r="U130" s="9">
        <v>3.1050091690452102E-4</v>
      </c>
      <c r="V130" s="9">
        <v>-4.11462817139387E-4</v>
      </c>
      <c r="W130" s="9">
        <v>7.1607012528339701E-4</v>
      </c>
      <c r="X130" s="10">
        <v>5.0835089311764499</v>
      </c>
      <c r="Y130" s="10">
        <v>5.08472288464342</v>
      </c>
      <c r="Z130" s="10">
        <v>5.0814862441634299</v>
      </c>
      <c r="AA130" s="10">
        <v>5.0824343800487197</v>
      </c>
      <c r="AB130" s="8">
        <v>156.84844682259501</v>
      </c>
      <c r="AC130" s="8">
        <v>156.74699617271199</v>
      </c>
      <c r="AD130" s="8">
        <v>156.776576827789</v>
      </c>
      <c r="AE130" s="9">
        <v>2.38773760222618E-4</v>
      </c>
      <c r="AF130" s="9">
        <v>-4.0824235999712999E-4</v>
      </c>
      <c r="AG130" s="9">
        <v>-3.03527888004389E-3</v>
      </c>
      <c r="AZ130" s="9"/>
      <c r="BB130">
        <f t="shared" si="22"/>
        <v>1</v>
      </c>
      <c r="BC130">
        <f t="shared" si="23"/>
        <v>0</v>
      </c>
      <c r="BD130">
        <f t="shared" si="24"/>
        <v>1</v>
      </c>
      <c r="BE130">
        <f t="shared" si="20"/>
        <v>1</v>
      </c>
      <c r="BF130">
        <f t="shared" si="25"/>
        <v>1</v>
      </c>
      <c r="BG130" s="9">
        <f t="shared" si="26"/>
        <v>-1.40227310006693E-2</v>
      </c>
      <c r="BH130" s="9">
        <f t="shared" si="27"/>
        <v>1.3665008146952999E-2</v>
      </c>
      <c r="BI130" s="9">
        <f t="shared" si="28"/>
        <v>-3.5772285371630033E-4</v>
      </c>
      <c r="BJ130" s="12">
        <f t="shared" si="29"/>
        <v>8.6535517305681904E-4</v>
      </c>
      <c r="BL130" s="9"/>
      <c r="BN130">
        <f t="shared" si="30"/>
        <v>0</v>
      </c>
      <c r="BO130">
        <f t="shared" si="31"/>
        <v>1</v>
      </c>
      <c r="BP130">
        <f t="shared" si="32"/>
        <v>0</v>
      </c>
      <c r="BQ130">
        <f t="shared" si="21"/>
        <v>1</v>
      </c>
      <c r="BR130">
        <f t="shared" si="33"/>
        <v>0</v>
      </c>
      <c r="BS130" s="9">
        <f t="shared" si="34"/>
        <v>0</v>
      </c>
      <c r="BT130" s="9">
        <f t="shared" si="35"/>
        <v>0</v>
      </c>
      <c r="BU130" s="9">
        <f t="shared" si="36"/>
        <v>0</v>
      </c>
      <c r="BV130" s="12">
        <f t="shared" si="37"/>
        <v>-1.540436814833513E-3</v>
      </c>
      <c r="BX130" s="12">
        <f t="shared" si="38"/>
        <v>-3.5772285371630033E-4</v>
      </c>
      <c r="BY130" s="12">
        <f t="shared" si="39"/>
        <v>-6.7508164177669376E-4</v>
      </c>
    </row>
    <row r="131" spans="1:77" x14ac:dyDescent="0.3">
      <c r="A131" s="1">
        <v>46213</v>
      </c>
      <c r="B131" s="8">
        <v>30.6</v>
      </c>
      <c r="C131" s="8">
        <v>155.5</v>
      </c>
      <c r="D131" s="9">
        <v>4.91401480242916E-3</v>
      </c>
      <c r="E131" s="9">
        <v>4.4471730669146704E-3</v>
      </c>
      <c r="F131" s="8">
        <v>0</v>
      </c>
      <c r="G131" s="8">
        <v>0.39700000000000002</v>
      </c>
      <c r="H131" s="8">
        <v>0</v>
      </c>
      <c r="I131" s="8">
        <v>2.0009999999999999</v>
      </c>
      <c r="J131" s="8">
        <v>0.39700000000000002</v>
      </c>
      <c r="K131" s="8">
        <v>2.0009999999999999</v>
      </c>
      <c r="L131" s="8">
        <v>30.997</v>
      </c>
      <c r="M131" s="8">
        <v>157.501</v>
      </c>
      <c r="N131" s="10">
        <v>5.0816993464052196</v>
      </c>
      <c r="O131" s="10">
        <v>5.0856511037897496</v>
      </c>
      <c r="P131" s="10">
        <v>5.0820742229387301</v>
      </c>
      <c r="Q131" s="10">
        <v>5.0877464437132698</v>
      </c>
      <c r="R131" s="8">
        <v>155.62092377596599</v>
      </c>
      <c r="S131" s="8">
        <v>155.51018541246401</v>
      </c>
      <c r="T131" s="8">
        <v>155.68706719993099</v>
      </c>
      <c r="U131" s="9">
        <v>7.77342652418973E-4</v>
      </c>
      <c r="V131" s="9">
        <v>6.5498899690097896E-5</v>
      </c>
      <c r="W131" s="9">
        <v>1.2022814710641401E-3</v>
      </c>
      <c r="X131" s="10">
        <v>5.0811691454011596</v>
      </c>
      <c r="Y131" s="10">
        <v>5.08472288464342</v>
      </c>
      <c r="Z131" s="10">
        <v>5.0815287266425297</v>
      </c>
      <c r="AA131" s="10">
        <v>5.0823133627753903</v>
      </c>
      <c r="AB131" s="8">
        <v>157.611155255292</v>
      </c>
      <c r="AC131" s="8">
        <v>157.51082911033399</v>
      </c>
      <c r="AD131" s="8">
        <v>157.54021847837001</v>
      </c>
      <c r="AE131" s="9">
        <v>6.9914954369199804E-4</v>
      </c>
      <c r="AF131" s="9">
        <v>6.2404706293352005E-5</v>
      </c>
      <c r="AG131" s="9">
        <v>-2.5551510518867599E-3</v>
      </c>
      <c r="AZ131" s="9"/>
      <c r="BB131">
        <f t="shared" si="22"/>
        <v>1</v>
      </c>
      <c r="BC131">
        <f t="shared" si="23"/>
        <v>0</v>
      </c>
      <c r="BD131">
        <f t="shared" si="24"/>
        <v>1</v>
      </c>
      <c r="BE131">
        <f t="shared" si="20"/>
        <v>1</v>
      </c>
      <c r="BF131">
        <f t="shared" si="25"/>
        <v>1</v>
      </c>
      <c r="BG131" s="9">
        <f t="shared" si="26"/>
        <v>4.91401480242916E-3</v>
      </c>
      <c r="BH131" s="9">
        <f t="shared" si="27"/>
        <v>-4.4471730669146704E-3</v>
      </c>
      <c r="BI131" s="9">
        <f t="shared" si="28"/>
        <v>4.6684173551448955E-4</v>
      </c>
      <c r="BJ131" s="12">
        <f t="shared" si="29"/>
        <v>1.3321969085713086E-3</v>
      </c>
      <c r="BL131" s="9"/>
      <c r="BN131">
        <f t="shared" si="30"/>
        <v>0</v>
      </c>
      <c r="BO131">
        <f t="shared" si="31"/>
        <v>1</v>
      </c>
      <c r="BP131">
        <f t="shared" si="32"/>
        <v>0</v>
      </c>
      <c r="BQ131">
        <f t="shared" si="21"/>
        <v>1</v>
      </c>
      <c r="BR131">
        <f t="shared" si="33"/>
        <v>0</v>
      </c>
      <c r="BS131" s="9">
        <f t="shared" si="34"/>
        <v>0</v>
      </c>
      <c r="BT131" s="9">
        <f t="shared" si="35"/>
        <v>0</v>
      </c>
      <c r="BU131" s="9">
        <f t="shared" si="36"/>
        <v>0</v>
      </c>
      <c r="BV131" s="12">
        <f t="shared" si="37"/>
        <v>-1.540436814833513E-3</v>
      </c>
      <c r="BX131" s="12">
        <f t="shared" si="38"/>
        <v>4.6684173551448955E-4</v>
      </c>
      <c r="BY131" s="12">
        <f t="shared" si="39"/>
        <v>-2.0823990626220421E-4</v>
      </c>
    </row>
    <row r="132" spans="1:77" x14ac:dyDescent="0.3">
      <c r="A132" s="1">
        <v>46216</v>
      </c>
      <c r="B132" s="8">
        <v>31.51</v>
      </c>
      <c r="C132" s="8">
        <v>160.15</v>
      </c>
      <c r="D132" s="9">
        <v>2.9304946810848002E-2</v>
      </c>
      <c r="E132" s="9">
        <v>2.9465144435878401E-2</v>
      </c>
      <c r="F132" s="8">
        <v>0</v>
      </c>
      <c r="G132" s="8">
        <v>0.39700000000000002</v>
      </c>
      <c r="H132" s="8">
        <v>0</v>
      </c>
      <c r="I132" s="8">
        <v>2.0009999999999999</v>
      </c>
      <c r="J132" s="8">
        <v>0.39700000000000002</v>
      </c>
      <c r="K132" s="8">
        <v>2.0009999999999999</v>
      </c>
      <c r="L132" s="8">
        <v>31.907</v>
      </c>
      <c r="M132" s="8">
        <v>162.15100000000001</v>
      </c>
      <c r="N132" s="10">
        <v>5.0825134877816502</v>
      </c>
      <c r="O132" s="10">
        <v>5.0856511037897496</v>
      </c>
      <c r="P132" s="10">
        <v>5.0819002958894099</v>
      </c>
      <c r="Q132" s="10">
        <v>5.0876107544659899</v>
      </c>
      <c r="R132" s="8">
        <v>160.248866280415</v>
      </c>
      <c r="S132" s="8">
        <v>160.13615876479901</v>
      </c>
      <c r="T132" s="8">
        <v>160.314890441405</v>
      </c>
      <c r="U132" s="9">
        <v>6.1714502738894098E-4</v>
      </c>
      <c r="V132" s="9">
        <v>-8.6430429979055098E-5</v>
      </c>
      <c r="W132" s="9">
        <v>1.0290703342239001E-3</v>
      </c>
      <c r="X132" s="10">
        <v>5.0819882784342001</v>
      </c>
      <c r="Y132" s="10">
        <v>5.08472288464342</v>
      </c>
      <c r="Z132" s="10">
        <v>5.0813598506551498</v>
      </c>
      <c r="AA132" s="10">
        <v>5.0821232295166299</v>
      </c>
      <c r="AB132" s="8">
        <v>162.23825308031701</v>
      </c>
      <c r="AC132" s="8">
        <v>162.136337080983</v>
      </c>
      <c r="AD132" s="8">
        <v>162.161372466074</v>
      </c>
      <c r="AE132" s="9">
        <v>5.3795297836401802E-4</v>
      </c>
      <c r="AF132" s="9">
        <v>-9.0431647184009998E-5</v>
      </c>
      <c r="AG132" s="9">
        <v>-3.1614215724494301E-3</v>
      </c>
      <c r="AZ132" s="9"/>
      <c r="BB132">
        <f t="shared" si="22"/>
        <v>1</v>
      </c>
      <c r="BC132">
        <f t="shared" si="23"/>
        <v>0</v>
      </c>
      <c r="BD132">
        <f t="shared" si="24"/>
        <v>1</v>
      </c>
      <c r="BE132">
        <f t="shared" si="20"/>
        <v>1</v>
      </c>
      <c r="BF132">
        <f t="shared" si="25"/>
        <v>1</v>
      </c>
      <c r="BG132" s="9">
        <f t="shared" si="26"/>
        <v>2.9304946810848002E-2</v>
      </c>
      <c r="BH132" s="9">
        <f t="shared" si="27"/>
        <v>-2.9465144435878401E-2</v>
      </c>
      <c r="BI132" s="9">
        <f t="shared" si="28"/>
        <v>-1.6019762503039978E-4</v>
      </c>
      <c r="BJ132" s="12">
        <f t="shared" si="29"/>
        <v>1.1719992835409088E-3</v>
      </c>
      <c r="BL132" s="9"/>
      <c r="BN132">
        <f t="shared" si="30"/>
        <v>0</v>
      </c>
      <c r="BO132">
        <f t="shared" si="31"/>
        <v>1</v>
      </c>
      <c r="BP132">
        <f t="shared" si="32"/>
        <v>0</v>
      </c>
      <c r="BQ132">
        <f t="shared" si="21"/>
        <v>1</v>
      </c>
      <c r="BR132">
        <f t="shared" si="33"/>
        <v>0</v>
      </c>
      <c r="BS132" s="9">
        <f t="shared" si="34"/>
        <v>0</v>
      </c>
      <c r="BT132" s="9">
        <f t="shared" si="35"/>
        <v>0</v>
      </c>
      <c r="BU132" s="9">
        <f t="shared" si="36"/>
        <v>0</v>
      </c>
      <c r="BV132" s="12">
        <f t="shared" si="37"/>
        <v>-1.540436814833513E-3</v>
      </c>
      <c r="BX132" s="12">
        <f t="shared" si="38"/>
        <v>-1.6019762503039978E-4</v>
      </c>
      <c r="BY132" s="12">
        <f t="shared" si="39"/>
        <v>-3.6843753129260398E-4</v>
      </c>
    </row>
    <row r="133" spans="1:77" x14ac:dyDescent="0.3">
      <c r="A133" s="1">
        <v>46217</v>
      </c>
      <c r="B133" s="8">
        <v>31.65</v>
      </c>
      <c r="C133" s="8">
        <v>160.91</v>
      </c>
      <c r="D133" s="9">
        <v>4.4331928210018298E-3</v>
      </c>
      <c r="E133" s="9">
        <v>4.7343264158916498E-3</v>
      </c>
      <c r="F133" s="8">
        <v>0</v>
      </c>
      <c r="G133" s="8">
        <v>0.39700000000000002</v>
      </c>
      <c r="H133" s="8">
        <v>0</v>
      </c>
      <c r="I133" s="8">
        <v>2.0009999999999999</v>
      </c>
      <c r="J133" s="8">
        <v>0.39700000000000002</v>
      </c>
      <c r="K133" s="8">
        <v>2.0009999999999999</v>
      </c>
      <c r="L133" s="8">
        <v>32.046999999999997</v>
      </c>
      <c r="M133" s="8">
        <v>162.911</v>
      </c>
      <c r="N133" s="10">
        <v>5.0840442338072602</v>
      </c>
      <c r="O133" s="10">
        <v>5.0856511037897496</v>
      </c>
      <c r="P133" s="10">
        <v>5.0819713859368001</v>
      </c>
      <c r="Q133" s="10">
        <v>5.0876006266637201</v>
      </c>
      <c r="R133" s="8">
        <v>160.96085743494501</v>
      </c>
      <c r="S133" s="8">
        <v>160.84214436489901</v>
      </c>
      <c r="T133" s="8">
        <v>161.02288037884799</v>
      </c>
      <c r="U133" s="9">
        <v>3.1601143249920701E-4</v>
      </c>
      <c r="V133" s="9">
        <v>-4.2178824473731302E-4</v>
      </c>
      <c r="W133" s="9">
        <v>7.0126657048492403E-4</v>
      </c>
      <c r="X133" s="10">
        <v>5.0835023559147503</v>
      </c>
      <c r="Y133" s="10">
        <v>5.08472288464342</v>
      </c>
      <c r="Z133" s="10">
        <v>5.0814334008999396</v>
      </c>
      <c r="AA133" s="10">
        <v>5.0820577582162496</v>
      </c>
      <c r="AB133" s="8">
        <v>162.950114284167</v>
      </c>
      <c r="AC133" s="8">
        <v>162.84233913394499</v>
      </c>
      <c r="AD133" s="8">
        <v>162.86680313631899</v>
      </c>
      <c r="AE133" s="9">
        <v>2.4006721048353799E-4</v>
      </c>
      <c r="AF133" s="9">
        <v>-4.2155127099206401E-4</v>
      </c>
      <c r="AG133" s="9">
        <v>-2.6761255796605501E-3</v>
      </c>
      <c r="AZ133" s="9"/>
      <c r="BB133">
        <f t="shared" si="22"/>
        <v>1</v>
      </c>
      <c r="BC133">
        <f t="shared" si="23"/>
        <v>0</v>
      </c>
      <c r="BD133">
        <f t="shared" si="24"/>
        <v>1</v>
      </c>
      <c r="BE133">
        <f t="shared" si="20"/>
        <v>1</v>
      </c>
      <c r="BF133">
        <f t="shared" si="25"/>
        <v>1</v>
      </c>
      <c r="BG133" s="9">
        <f t="shared" si="26"/>
        <v>4.4331928210018298E-3</v>
      </c>
      <c r="BH133" s="9">
        <f t="shared" si="27"/>
        <v>-4.7343264158916498E-3</v>
      </c>
      <c r="BI133" s="9">
        <f t="shared" si="28"/>
        <v>-3.0113359488982E-4</v>
      </c>
      <c r="BJ133" s="12">
        <f t="shared" si="29"/>
        <v>8.7086568865108881E-4</v>
      </c>
      <c r="BL133" s="9"/>
      <c r="BN133">
        <f t="shared" si="30"/>
        <v>0</v>
      </c>
      <c r="BO133">
        <f t="shared" si="31"/>
        <v>1</v>
      </c>
      <c r="BP133">
        <f t="shared" si="32"/>
        <v>0</v>
      </c>
      <c r="BQ133">
        <f t="shared" si="21"/>
        <v>1</v>
      </c>
      <c r="BR133">
        <f t="shared" si="33"/>
        <v>0</v>
      </c>
      <c r="BS133" s="9">
        <f t="shared" si="34"/>
        <v>0</v>
      </c>
      <c r="BT133" s="9">
        <f t="shared" si="35"/>
        <v>0</v>
      </c>
      <c r="BU133" s="9">
        <f t="shared" si="36"/>
        <v>0</v>
      </c>
      <c r="BV133" s="12">
        <f t="shared" si="37"/>
        <v>-1.540436814833513E-3</v>
      </c>
      <c r="BX133" s="12">
        <f t="shared" si="38"/>
        <v>-3.0113359488982E-4</v>
      </c>
      <c r="BY133" s="12">
        <f t="shared" si="39"/>
        <v>-6.6957112618242398E-4</v>
      </c>
    </row>
    <row r="134" spans="1:77" x14ac:dyDescent="0.3">
      <c r="A134" s="1">
        <v>46218</v>
      </c>
      <c r="B134" s="8">
        <v>31.38</v>
      </c>
      <c r="C134" s="8">
        <v>159.41999999999999</v>
      </c>
      <c r="D134" s="9">
        <v>-8.5674012852986307E-3</v>
      </c>
      <c r="E134" s="9">
        <v>-9.3029734712817107E-3</v>
      </c>
      <c r="F134" s="8">
        <v>0</v>
      </c>
      <c r="G134" s="8">
        <v>0.39700000000000002</v>
      </c>
      <c r="H134" s="8">
        <v>0</v>
      </c>
      <c r="I134" s="8">
        <v>2.0009999999999999</v>
      </c>
      <c r="J134" s="8">
        <v>0.39700000000000002</v>
      </c>
      <c r="K134" s="8">
        <v>2.0009999999999999</v>
      </c>
      <c r="L134" s="8">
        <v>31.776999999999902</v>
      </c>
      <c r="M134" s="8">
        <v>161.42099999999999</v>
      </c>
      <c r="N134" s="10">
        <v>5.0803059273422502</v>
      </c>
      <c r="O134" s="10">
        <v>5.0856511037897496</v>
      </c>
      <c r="P134" s="10">
        <v>5.0821197053286697</v>
      </c>
      <c r="Q134" s="10">
        <v>5.0875478517180301</v>
      </c>
      <c r="R134" s="8">
        <v>159.587731636922</v>
      </c>
      <c r="S134" s="8">
        <v>159.472262090697</v>
      </c>
      <c r="T134" s="8">
        <v>159.648907664707</v>
      </c>
      <c r="U134" s="9">
        <v>1.05158361848217E-3</v>
      </c>
      <c r="V134" s="9">
        <v>3.2777271434725501E-4</v>
      </c>
      <c r="W134" s="9">
        <v>1.4348480750170599E-3</v>
      </c>
      <c r="X134" s="10">
        <v>5.0798061491015503</v>
      </c>
      <c r="Y134" s="10">
        <v>5.08472288464342</v>
      </c>
      <c r="Z134" s="10">
        <v>5.0815827910546201</v>
      </c>
      <c r="AA134" s="10">
        <v>5.0819498925231503</v>
      </c>
      <c r="AB134" s="8">
        <v>161.57723910531399</v>
      </c>
      <c r="AC134" s="8">
        <v>161.472709180397</v>
      </c>
      <c r="AD134" s="8">
        <v>161.49254938283701</v>
      </c>
      <c r="AE134" s="9">
        <v>9.67430150284842E-4</v>
      </c>
      <c r="AF134" s="9">
        <v>3.2028608405511002E-4</v>
      </c>
      <c r="AG134" s="9">
        <v>-3.5595962480902401E-3</v>
      </c>
      <c r="AZ134" s="9"/>
      <c r="BB134">
        <f t="shared" si="22"/>
        <v>1</v>
      </c>
      <c r="BC134">
        <f t="shared" si="23"/>
        <v>0</v>
      </c>
      <c r="BD134">
        <f t="shared" si="24"/>
        <v>1</v>
      </c>
      <c r="BE134">
        <f t="shared" si="20"/>
        <v>1</v>
      </c>
      <c r="BF134">
        <f t="shared" si="25"/>
        <v>1</v>
      </c>
      <c r="BG134" s="9">
        <f t="shared" si="26"/>
        <v>-8.5674012852986307E-3</v>
      </c>
      <c r="BH134" s="9">
        <f t="shared" si="27"/>
        <v>9.3029734712817107E-3</v>
      </c>
      <c r="BI134" s="9">
        <f t="shared" si="28"/>
        <v>7.3557218598307994E-4</v>
      </c>
      <c r="BJ134" s="12">
        <f t="shared" si="29"/>
        <v>1.6064378746341687E-3</v>
      </c>
      <c r="BL134" s="9"/>
      <c r="BN134">
        <f t="shared" si="30"/>
        <v>0</v>
      </c>
      <c r="BO134">
        <f t="shared" si="31"/>
        <v>1</v>
      </c>
      <c r="BP134">
        <f t="shared" si="32"/>
        <v>0</v>
      </c>
      <c r="BQ134">
        <f t="shared" si="21"/>
        <v>1</v>
      </c>
      <c r="BR134">
        <f t="shared" si="33"/>
        <v>0</v>
      </c>
      <c r="BS134" s="9">
        <f t="shared" si="34"/>
        <v>0</v>
      </c>
      <c r="BT134" s="9">
        <f t="shared" si="35"/>
        <v>0</v>
      </c>
      <c r="BU134" s="9">
        <f t="shared" si="36"/>
        <v>0</v>
      </c>
      <c r="BV134" s="12">
        <f t="shared" si="37"/>
        <v>-1.540436814833513E-3</v>
      </c>
      <c r="BX134" s="12">
        <f t="shared" si="38"/>
        <v>7.3557218598307994E-4</v>
      </c>
      <c r="BY134" s="12">
        <f t="shared" si="39"/>
        <v>6.6001059800655957E-5</v>
      </c>
    </row>
    <row r="135" spans="1:77" x14ac:dyDescent="0.3">
      <c r="A135" s="1">
        <v>46219</v>
      </c>
      <c r="B135" s="8">
        <v>31.63</v>
      </c>
      <c r="C135" s="8">
        <v>160.76</v>
      </c>
      <c r="D135" s="9">
        <v>7.9352900126708602E-3</v>
      </c>
      <c r="E135" s="9">
        <v>8.3703405812233199E-3</v>
      </c>
      <c r="F135" s="8">
        <v>0</v>
      </c>
      <c r="G135" s="8">
        <v>0.39700000000000002</v>
      </c>
      <c r="H135" s="8">
        <v>0</v>
      </c>
      <c r="I135" s="8">
        <v>2.0009999999999999</v>
      </c>
      <c r="J135" s="8">
        <v>0.39700000000000002</v>
      </c>
      <c r="K135" s="8">
        <v>2.0009999999999999</v>
      </c>
      <c r="L135" s="8">
        <v>32.027000000000001</v>
      </c>
      <c r="M135" s="8">
        <v>162.761</v>
      </c>
      <c r="N135" s="10">
        <v>5.0825165981662899</v>
      </c>
      <c r="O135" s="10">
        <v>5.0856511037897496</v>
      </c>
      <c r="P135" s="10">
        <v>5.0821004325380903</v>
      </c>
      <c r="Q135" s="10">
        <v>5.0876834536133098</v>
      </c>
      <c r="R135" s="8">
        <v>160.859144412869</v>
      </c>
      <c r="S135" s="8">
        <v>160.74744627954601</v>
      </c>
      <c r="T135" s="8">
        <v>160.91913854984099</v>
      </c>
      <c r="U135" s="9">
        <v>6.1653304992988103E-4</v>
      </c>
      <c r="V135" s="9">
        <v>-7.8092875331968201E-5</v>
      </c>
      <c r="W135" s="9">
        <v>9.8942420413846094E-4</v>
      </c>
      <c r="X135" s="10">
        <v>5.0819933181378198</v>
      </c>
      <c r="Y135" s="10">
        <v>5.08472288464342</v>
      </c>
      <c r="Z135" s="10">
        <v>5.0815677292088601</v>
      </c>
      <c r="AA135" s="10">
        <v>5.0820286111059296</v>
      </c>
      <c r="AB135" s="8">
        <v>162.84841982647399</v>
      </c>
      <c r="AC135" s="8">
        <v>162.747852049106</v>
      </c>
      <c r="AD135" s="8">
        <v>162.75960920783899</v>
      </c>
      <c r="AE135" s="9">
        <v>5.3696129935045596E-4</v>
      </c>
      <c r="AF135" s="9">
        <v>-8.0783983710813398E-5</v>
      </c>
      <c r="AG135" s="9">
        <v>-4.7220389149693299E-3</v>
      </c>
      <c r="AZ135" s="9"/>
      <c r="BB135">
        <f t="shared" si="22"/>
        <v>1</v>
      </c>
      <c r="BC135">
        <f t="shared" si="23"/>
        <v>0</v>
      </c>
      <c r="BD135">
        <f t="shared" si="24"/>
        <v>1</v>
      </c>
      <c r="BE135">
        <f t="shared" si="20"/>
        <v>1</v>
      </c>
      <c r="BF135">
        <f t="shared" si="25"/>
        <v>1</v>
      </c>
      <c r="BG135" s="9">
        <f t="shared" si="26"/>
        <v>7.9352900126708602E-3</v>
      </c>
      <c r="BH135" s="9">
        <f t="shared" si="27"/>
        <v>-8.3703405812233199E-3</v>
      </c>
      <c r="BI135" s="9">
        <f t="shared" si="28"/>
        <v>-4.3505056855245965E-4</v>
      </c>
      <c r="BJ135" s="12">
        <f t="shared" si="29"/>
        <v>1.1713873060817091E-3</v>
      </c>
      <c r="BL135" s="9"/>
      <c r="BN135">
        <f t="shared" si="30"/>
        <v>0</v>
      </c>
      <c r="BO135">
        <f t="shared" si="31"/>
        <v>1</v>
      </c>
      <c r="BP135">
        <f t="shared" si="32"/>
        <v>0</v>
      </c>
      <c r="BQ135">
        <f t="shared" si="21"/>
        <v>1</v>
      </c>
      <c r="BR135">
        <f t="shared" si="33"/>
        <v>0</v>
      </c>
      <c r="BS135" s="9">
        <f t="shared" si="34"/>
        <v>0</v>
      </c>
      <c r="BT135" s="9">
        <f t="shared" si="35"/>
        <v>0</v>
      </c>
      <c r="BU135" s="9">
        <f t="shared" si="36"/>
        <v>0</v>
      </c>
      <c r="BV135" s="12">
        <f t="shared" si="37"/>
        <v>-1.540436814833513E-3</v>
      </c>
      <c r="BX135" s="12">
        <f t="shared" si="38"/>
        <v>-4.3505056855245965E-4</v>
      </c>
      <c r="BY135" s="12">
        <f t="shared" si="39"/>
        <v>-3.6904950875180369E-4</v>
      </c>
    </row>
    <row r="136" spans="1:77" x14ac:dyDescent="0.3">
      <c r="A136" s="1">
        <v>46220</v>
      </c>
      <c r="B136" s="8">
        <v>32.020000000000003</v>
      </c>
      <c r="C136" s="8">
        <v>162.78</v>
      </c>
      <c r="D136" s="9">
        <v>1.22546702510112E-2</v>
      </c>
      <c r="E136" s="9">
        <v>1.2487026317895099E-2</v>
      </c>
      <c r="F136" s="8">
        <v>0</v>
      </c>
      <c r="G136" s="8">
        <v>0.39700000000000002</v>
      </c>
      <c r="H136" s="8">
        <v>0</v>
      </c>
      <c r="I136" s="8">
        <v>2.0009999999999999</v>
      </c>
      <c r="J136" s="8">
        <v>0.39700000000000002</v>
      </c>
      <c r="K136" s="8">
        <v>2.0009999999999999</v>
      </c>
      <c r="L136" s="8">
        <v>32.417000000000002</v>
      </c>
      <c r="M136" s="8">
        <v>164.78100000000001</v>
      </c>
      <c r="N136" s="10">
        <v>5.0836976889444001</v>
      </c>
      <c r="O136" s="10">
        <v>5.0856511037897496</v>
      </c>
      <c r="P136" s="10">
        <v>5.08257013391058</v>
      </c>
      <c r="Q136" s="10">
        <v>5.0877840165849104</v>
      </c>
      <c r="R136" s="8">
        <v>162.842548343347</v>
      </c>
      <c r="S136" s="8">
        <v>162.72885584986901</v>
      </c>
      <c r="T136" s="8">
        <v>162.90762418469799</v>
      </c>
      <c r="U136" s="9">
        <v>3.8417698304607398E-4</v>
      </c>
      <c r="V136" s="9">
        <v>-3.1424122343839999E-4</v>
      </c>
      <c r="W136" s="9">
        <v>7.8372146654511496E-4</v>
      </c>
      <c r="X136" s="10">
        <v>5.0831662399358297</v>
      </c>
      <c r="Y136" s="10">
        <v>5.08472288464342</v>
      </c>
      <c r="Z136" s="10">
        <v>5.0820354675709698</v>
      </c>
      <c r="AA136" s="10">
        <v>5.08207211641139</v>
      </c>
      <c r="AB136" s="8">
        <v>164.83146175148499</v>
      </c>
      <c r="AC136" s="8">
        <v>164.729181077763</v>
      </c>
      <c r="AD136" s="8">
        <v>164.74412148622</v>
      </c>
      <c r="AE136" s="9">
        <v>3.0618837414064998E-4</v>
      </c>
      <c r="AF136" s="9">
        <v>-3.1452092007519701E-4</v>
      </c>
      <c r="AG136" s="9">
        <v>-3.8003836992136198E-3</v>
      </c>
      <c r="AZ136" s="9"/>
      <c r="BB136">
        <f t="shared" si="22"/>
        <v>1</v>
      </c>
      <c r="BC136">
        <f t="shared" si="23"/>
        <v>0</v>
      </c>
      <c r="BD136">
        <f t="shared" si="24"/>
        <v>1</v>
      </c>
      <c r="BE136">
        <f t="shared" si="20"/>
        <v>1</v>
      </c>
      <c r="BF136">
        <f t="shared" si="25"/>
        <v>1</v>
      </c>
      <c r="BG136" s="9">
        <f t="shared" si="26"/>
        <v>1.22546702510112E-2</v>
      </c>
      <c r="BH136" s="9">
        <f t="shared" si="27"/>
        <v>-1.2487026317895099E-2</v>
      </c>
      <c r="BI136" s="9">
        <f t="shared" si="28"/>
        <v>-2.32356066883899E-4</v>
      </c>
      <c r="BJ136" s="12">
        <f t="shared" si="29"/>
        <v>9.3903123919781011E-4</v>
      </c>
      <c r="BL136" s="9"/>
      <c r="BN136">
        <f t="shared" si="30"/>
        <v>0</v>
      </c>
      <c r="BO136">
        <f t="shared" si="31"/>
        <v>1</v>
      </c>
      <c r="BP136">
        <f t="shared" si="32"/>
        <v>0</v>
      </c>
      <c r="BQ136">
        <f t="shared" si="21"/>
        <v>1</v>
      </c>
      <c r="BR136">
        <f t="shared" si="33"/>
        <v>0</v>
      </c>
      <c r="BS136" s="9">
        <f t="shared" si="34"/>
        <v>0</v>
      </c>
      <c r="BT136" s="9">
        <f t="shared" si="35"/>
        <v>0</v>
      </c>
      <c r="BU136" s="9">
        <f t="shared" si="36"/>
        <v>0</v>
      </c>
      <c r="BV136" s="12">
        <f t="shared" si="37"/>
        <v>-1.540436814833513E-3</v>
      </c>
      <c r="BX136" s="12">
        <f t="shared" si="38"/>
        <v>-2.32356066883899E-4</v>
      </c>
      <c r="BY136" s="12">
        <f t="shared" si="39"/>
        <v>-6.0140557563570268E-4</v>
      </c>
    </row>
    <row r="137" spans="1:77" x14ac:dyDescent="0.3">
      <c r="A137" s="1">
        <v>46223</v>
      </c>
      <c r="B137" s="8">
        <v>32.159999999999997</v>
      </c>
      <c r="C137" s="8">
        <v>163.47999999999999</v>
      </c>
      <c r="D137" s="9">
        <v>4.3627367421968004E-3</v>
      </c>
      <c r="E137" s="9">
        <v>4.2910627971811102E-3</v>
      </c>
      <c r="F137" s="8">
        <v>0</v>
      </c>
      <c r="G137" s="8">
        <v>0.39700000000000002</v>
      </c>
      <c r="H137" s="8">
        <v>0</v>
      </c>
      <c r="I137" s="8">
        <v>2.0009999999999999</v>
      </c>
      <c r="J137" s="8">
        <v>0.39700000000000002</v>
      </c>
      <c r="K137" s="8">
        <v>2.0009999999999999</v>
      </c>
      <c r="L137" s="8">
        <v>32.556999999999903</v>
      </c>
      <c r="M137" s="8">
        <v>165.48099999999999</v>
      </c>
      <c r="N137" s="10">
        <v>5.0833333333333304</v>
      </c>
      <c r="O137" s="10">
        <v>5.0856511037897496</v>
      </c>
      <c r="P137" s="10">
        <v>5.08260962838136</v>
      </c>
      <c r="Q137" s="10">
        <v>5.0860167655172503</v>
      </c>
      <c r="R137" s="8">
        <v>163.55453949787801</v>
      </c>
      <c r="S137" s="8">
        <v>163.45545550656399</v>
      </c>
      <c r="T137" s="8">
        <v>163.62313397336999</v>
      </c>
      <c r="U137" s="9">
        <v>4.5585092806163697E-4</v>
      </c>
      <c r="V137" s="9">
        <v>-1.5014886313612799E-4</v>
      </c>
      <c r="W137" s="9">
        <v>8.7516118092572899E-4</v>
      </c>
      <c r="X137" s="10">
        <v>5.0828086125871499</v>
      </c>
      <c r="Y137" s="10">
        <v>5.08472288464342</v>
      </c>
      <c r="Z137" s="10">
        <v>5.0820790305032002</v>
      </c>
      <c r="AA137" s="10">
        <v>5.0820472943541803</v>
      </c>
      <c r="AB137" s="8">
        <v>165.54332295533499</v>
      </c>
      <c r="AC137" s="8">
        <v>165.45582871770799</v>
      </c>
      <c r="AD137" s="8">
        <v>165.45702189400501</v>
      </c>
      <c r="AE137" s="9">
        <v>3.76546082873279E-4</v>
      </c>
      <c r="AF137" s="9">
        <v>-1.5212137275772E-4</v>
      </c>
      <c r="AG137" s="9">
        <v>-3.4034602295595598E-3</v>
      </c>
      <c r="AZ137" s="9"/>
      <c r="BB137">
        <f t="shared" si="22"/>
        <v>1</v>
      </c>
      <c r="BC137">
        <f t="shared" si="23"/>
        <v>0</v>
      </c>
      <c r="BD137">
        <f t="shared" si="24"/>
        <v>1</v>
      </c>
      <c r="BE137">
        <f t="shared" si="20"/>
        <v>1</v>
      </c>
      <c r="BF137">
        <f t="shared" si="25"/>
        <v>1</v>
      </c>
      <c r="BG137" s="9">
        <f t="shared" si="26"/>
        <v>4.3627367421968004E-3</v>
      </c>
      <c r="BH137" s="9">
        <f t="shared" si="27"/>
        <v>-4.2910627971811102E-3</v>
      </c>
      <c r="BI137" s="9">
        <f t="shared" si="28"/>
        <v>7.167394501569023E-5</v>
      </c>
      <c r="BJ137" s="12">
        <f t="shared" si="29"/>
        <v>1.0107051842135003E-3</v>
      </c>
      <c r="BL137" s="9"/>
      <c r="BN137">
        <f t="shared" si="30"/>
        <v>0</v>
      </c>
      <c r="BO137">
        <f t="shared" si="31"/>
        <v>1</v>
      </c>
      <c r="BP137">
        <f t="shared" si="32"/>
        <v>0</v>
      </c>
      <c r="BQ137">
        <f t="shared" si="21"/>
        <v>1</v>
      </c>
      <c r="BR137">
        <f t="shared" si="33"/>
        <v>0</v>
      </c>
      <c r="BS137" s="9">
        <f t="shared" si="34"/>
        <v>0</v>
      </c>
      <c r="BT137" s="9">
        <f t="shared" si="35"/>
        <v>0</v>
      </c>
      <c r="BU137" s="9">
        <f t="shared" si="36"/>
        <v>0</v>
      </c>
      <c r="BV137" s="12">
        <f t="shared" si="37"/>
        <v>-1.540436814833513E-3</v>
      </c>
      <c r="BX137" s="12">
        <f t="shared" si="38"/>
        <v>7.167394501569023E-5</v>
      </c>
      <c r="BY137" s="12">
        <f t="shared" si="39"/>
        <v>-5.2973163062001245E-4</v>
      </c>
    </row>
    <row r="138" spans="1:77" x14ac:dyDescent="0.3">
      <c r="A138" s="1">
        <v>46224</v>
      </c>
      <c r="B138" s="8">
        <v>32.56</v>
      </c>
      <c r="C138" s="8">
        <v>165.52</v>
      </c>
      <c r="D138" s="9">
        <v>1.23610968235741E-2</v>
      </c>
      <c r="E138" s="9">
        <v>1.24013747412112E-2</v>
      </c>
      <c r="F138" s="8">
        <v>0</v>
      </c>
      <c r="G138" s="8">
        <v>0.39700000000000002</v>
      </c>
      <c r="H138" s="8">
        <v>0</v>
      </c>
      <c r="I138" s="8">
        <v>2.0009999999999999</v>
      </c>
      <c r="J138" s="8">
        <v>0.39700000000000002</v>
      </c>
      <c r="K138" s="8">
        <v>2.0009999999999999</v>
      </c>
      <c r="L138" s="8">
        <v>32.957000000000001</v>
      </c>
      <c r="M138" s="8">
        <v>167.52099999999999</v>
      </c>
      <c r="N138" s="10">
        <v>5.0835380835380803</v>
      </c>
      <c r="O138" s="10">
        <v>5.0856511037897496</v>
      </c>
      <c r="P138" s="10">
        <v>5.0827974834918299</v>
      </c>
      <c r="Q138" s="10">
        <v>5.0841996637001499</v>
      </c>
      <c r="R138" s="8">
        <v>165.58879993939399</v>
      </c>
      <c r="S138" s="8">
        <v>165.489769500097</v>
      </c>
      <c r="T138" s="8">
        <v>165.60070588524101</v>
      </c>
      <c r="U138" s="9">
        <v>4.1557301042466002E-4</v>
      </c>
      <c r="V138" s="9">
        <v>-1.8265624022239499E-4</v>
      </c>
      <c r="W138" s="9">
        <v>4.8747109682678499E-4</v>
      </c>
      <c r="X138" s="10">
        <v>5.08301726492095</v>
      </c>
      <c r="Y138" s="10">
        <v>5.08472288464342</v>
      </c>
      <c r="Z138" s="10">
        <v>5.0822681688326501</v>
      </c>
      <c r="AA138" s="10">
        <v>5.0819520932494902</v>
      </c>
      <c r="AB138" s="8">
        <v>167.577212109193</v>
      </c>
      <c r="AC138" s="8">
        <v>167.490078608294</v>
      </c>
      <c r="AD138" s="8">
        <v>167.48903268003099</v>
      </c>
      <c r="AE138" s="9">
        <v>3.3549632728107899E-4</v>
      </c>
      <c r="AF138" s="9">
        <v>-1.8459921935833E-4</v>
      </c>
      <c r="AG138" s="9">
        <v>-1.54187881875662E-3</v>
      </c>
      <c r="AZ138" s="9"/>
      <c r="BB138">
        <f t="shared" si="22"/>
        <v>1</v>
      </c>
      <c r="BC138">
        <f t="shared" si="23"/>
        <v>0</v>
      </c>
      <c r="BD138">
        <f t="shared" si="24"/>
        <v>1</v>
      </c>
      <c r="BE138">
        <f t="shared" si="20"/>
        <v>1</v>
      </c>
      <c r="BF138">
        <f t="shared" si="25"/>
        <v>1</v>
      </c>
      <c r="BG138" s="9">
        <f t="shared" si="26"/>
        <v>1.23610968235741E-2</v>
      </c>
      <c r="BH138" s="9">
        <f t="shared" si="27"/>
        <v>-1.24013747412112E-2</v>
      </c>
      <c r="BI138" s="9">
        <f t="shared" si="28"/>
        <v>-4.0277917637100008E-5</v>
      </c>
      <c r="BJ138" s="12">
        <f t="shared" si="29"/>
        <v>9.7042726657640033E-4</v>
      </c>
      <c r="BL138" s="9"/>
      <c r="BN138">
        <f t="shared" si="30"/>
        <v>0</v>
      </c>
      <c r="BO138">
        <f t="shared" si="31"/>
        <v>1</v>
      </c>
      <c r="BP138">
        <f t="shared" si="32"/>
        <v>0</v>
      </c>
      <c r="BQ138">
        <f t="shared" si="21"/>
        <v>1</v>
      </c>
      <c r="BR138">
        <f t="shared" si="33"/>
        <v>0</v>
      </c>
      <c r="BS138" s="9">
        <f t="shared" si="34"/>
        <v>0</v>
      </c>
      <c r="BT138" s="9">
        <f t="shared" si="35"/>
        <v>0</v>
      </c>
      <c r="BU138" s="9">
        <f t="shared" si="36"/>
        <v>0</v>
      </c>
      <c r="BV138" s="12">
        <f t="shared" si="37"/>
        <v>-1.540436814833513E-3</v>
      </c>
      <c r="BX138" s="12">
        <f t="shared" si="38"/>
        <v>-4.0277917637100008E-5</v>
      </c>
      <c r="BY138" s="12">
        <f t="shared" si="39"/>
        <v>-5.7000954825711246E-4</v>
      </c>
    </row>
    <row r="139" spans="1:77" x14ac:dyDescent="0.3">
      <c r="A139" s="1">
        <v>46225</v>
      </c>
      <c r="B139" s="8">
        <v>32.950000000000003</v>
      </c>
      <c r="C139" s="8">
        <v>167.49</v>
      </c>
      <c r="D139" s="9">
        <v>1.19067198141767E-2</v>
      </c>
      <c r="E139" s="9">
        <v>1.18316145530912E-2</v>
      </c>
      <c r="F139" s="8">
        <v>0</v>
      </c>
      <c r="G139" s="8">
        <v>0.39700000000000002</v>
      </c>
      <c r="H139" s="8">
        <v>0</v>
      </c>
      <c r="I139" s="8">
        <v>2.0009999999999999</v>
      </c>
      <c r="J139" s="8">
        <v>0.39700000000000002</v>
      </c>
      <c r="K139" s="8">
        <v>2.0009999999999999</v>
      </c>
      <c r="L139" s="8">
        <v>33.347000000000001</v>
      </c>
      <c r="M139" s="8">
        <v>169.49100000000001</v>
      </c>
      <c r="N139" s="10">
        <v>5.0831562974203299</v>
      </c>
      <c r="O139" s="10">
        <v>5.0856511037897496</v>
      </c>
      <c r="P139" s="10">
        <v>5.0828877246328297</v>
      </c>
      <c r="Q139" s="10">
        <v>5.0824342489219196</v>
      </c>
      <c r="R139" s="8">
        <v>167.572203869872</v>
      </c>
      <c r="S139" s="8">
        <v>167.478177081056</v>
      </c>
      <c r="T139" s="8">
        <v>167.52437891892001</v>
      </c>
      <c r="U139" s="9">
        <v>4.9067827151002099E-4</v>
      </c>
      <c r="V139" s="9">
        <v>-7.0591296473740295E-5</v>
      </c>
      <c r="W139" s="9">
        <v>2.05238468579361E-4</v>
      </c>
      <c r="X139" s="10">
        <v>5.0826461150928104</v>
      </c>
      <c r="Y139" s="10">
        <v>5.08472288464342</v>
      </c>
      <c r="Z139" s="10">
        <v>5.0823606410702702</v>
      </c>
      <c r="AA139" s="10">
        <v>5.0818973460596899</v>
      </c>
      <c r="AB139" s="8">
        <v>169.56025403420401</v>
      </c>
      <c r="AC139" s="8">
        <v>169.47839662606199</v>
      </c>
      <c r="AD139" s="8">
        <v>169.46785645359</v>
      </c>
      <c r="AE139" s="9">
        <v>4.0851661418952502E-4</v>
      </c>
      <c r="AF139" s="9">
        <v>-7.43629015986976E-5</v>
      </c>
      <c r="AG139" s="9">
        <v>-1.6160452349794899E-4</v>
      </c>
      <c r="AZ139" s="9"/>
      <c r="BB139">
        <f t="shared" si="22"/>
        <v>0</v>
      </c>
      <c r="BC139">
        <f t="shared" si="23"/>
        <v>0</v>
      </c>
      <c r="BD139">
        <f t="shared" si="24"/>
        <v>1</v>
      </c>
      <c r="BE139">
        <f t="shared" si="20"/>
        <v>1</v>
      </c>
      <c r="BF139">
        <f t="shared" si="25"/>
        <v>1</v>
      </c>
      <c r="BG139" s="9">
        <f t="shared" si="26"/>
        <v>1.19067198141767E-2</v>
      </c>
      <c r="BH139" s="9">
        <f t="shared" si="27"/>
        <v>-1.18316145530912E-2</v>
      </c>
      <c r="BI139" s="9">
        <f t="shared" si="28"/>
        <v>7.5105261085499364E-5</v>
      </c>
      <c r="BJ139" s="12">
        <f t="shared" si="29"/>
        <v>1.0455325276618997E-3</v>
      </c>
      <c r="BL139" s="9"/>
      <c r="BN139">
        <f t="shared" si="30"/>
        <v>0</v>
      </c>
      <c r="BO139">
        <f t="shared" si="31"/>
        <v>1</v>
      </c>
      <c r="BP139">
        <f t="shared" si="32"/>
        <v>0</v>
      </c>
      <c r="BQ139">
        <f t="shared" si="21"/>
        <v>1</v>
      </c>
      <c r="BR139">
        <f t="shared" si="33"/>
        <v>0</v>
      </c>
      <c r="BS139" s="9">
        <f t="shared" si="34"/>
        <v>0</v>
      </c>
      <c r="BT139" s="9">
        <f t="shared" si="35"/>
        <v>0</v>
      </c>
      <c r="BU139" s="9">
        <f t="shared" si="36"/>
        <v>0</v>
      </c>
      <c r="BV139" s="12">
        <f t="shared" si="37"/>
        <v>-1.540436814833513E-3</v>
      </c>
      <c r="BX139" s="12">
        <f t="shared" si="38"/>
        <v>7.5105261085499364E-5</v>
      </c>
      <c r="BY139" s="12">
        <f t="shared" si="39"/>
        <v>-4.949042871716131E-4</v>
      </c>
    </row>
    <row r="140" spans="1:77" x14ac:dyDescent="0.3">
      <c r="A140" s="1">
        <v>46226</v>
      </c>
      <c r="B140" s="8">
        <v>33.07</v>
      </c>
      <c r="C140" s="8">
        <v>168.17</v>
      </c>
      <c r="D140" s="9">
        <v>3.63526604518505E-3</v>
      </c>
      <c r="E140" s="9">
        <v>4.0517245442795698E-3</v>
      </c>
      <c r="F140" s="8">
        <v>0</v>
      </c>
      <c r="G140" s="8">
        <v>0.39700000000000002</v>
      </c>
      <c r="H140" s="8">
        <v>0</v>
      </c>
      <c r="I140" s="8">
        <v>2.0009999999999999</v>
      </c>
      <c r="J140" s="8">
        <v>0.39700000000000002</v>
      </c>
      <c r="K140" s="8">
        <v>2.0009999999999999</v>
      </c>
      <c r="L140" s="8">
        <v>33.466999999999999</v>
      </c>
      <c r="M140" s="8">
        <v>170.17099999999999</v>
      </c>
      <c r="N140" s="10">
        <v>5.0852736619292402</v>
      </c>
      <c r="O140" s="10">
        <v>5.0856511037897496</v>
      </c>
      <c r="P140" s="10">
        <v>5.0830078658668096</v>
      </c>
      <c r="Q140" s="10">
        <v>5.0825200344442596</v>
      </c>
      <c r="R140" s="8">
        <v>168.18248200232699</v>
      </c>
      <c r="S140" s="8">
        <v>168.091097053607</v>
      </c>
      <c r="T140" s="8">
        <v>168.07610061184801</v>
      </c>
      <c r="U140" s="9">
        <v>7.4219772415688501E-5</v>
      </c>
      <c r="V140" s="9">
        <v>-4.6929572603918998E-4</v>
      </c>
      <c r="W140" s="9">
        <v>-5.5851586336223098E-4</v>
      </c>
      <c r="X140" s="10">
        <v>5.0847401918307504</v>
      </c>
      <c r="Y140" s="10">
        <v>5.08472288464342</v>
      </c>
      <c r="Z140" s="10">
        <v>5.0824837671356997</v>
      </c>
      <c r="AA140" s="10">
        <v>5.0819850056495603</v>
      </c>
      <c r="AB140" s="8">
        <v>170.17042078036101</v>
      </c>
      <c r="AC140" s="8">
        <v>170.09136357469799</v>
      </c>
      <c r="AD140" s="8">
        <v>170.075858480579</v>
      </c>
      <c r="AE140" s="9">
        <v>-3.40375636461195E-6</v>
      </c>
      <c r="AF140" s="9">
        <v>-4.6808836521716301E-4</v>
      </c>
      <c r="AG140" s="9">
        <v>5.6896809248248997E-4</v>
      </c>
      <c r="AZ140" s="9"/>
      <c r="BB140">
        <f t="shared" si="22"/>
        <v>0</v>
      </c>
      <c r="BC140">
        <f t="shared" si="23"/>
        <v>1</v>
      </c>
      <c r="BD140">
        <f t="shared" si="24"/>
        <v>1</v>
      </c>
      <c r="BE140">
        <f t="shared" si="20"/>
        <v>1</v>
      </c>
      <c r="BF140">
        <f t="shared" si="25"/>
        <v>1</v>
      </c>
      <c r="BG140" s="9">
        <f t="shared" si="26"/>
        <v>3.63526604518505E-3</v>
      </c>
      <c r="BH140" s="9">
        <f t="shared" si="27"/>
        <v>-4.0517245442795698E-3</v>
      </c>
      <c r="BI140" s="9">
        <f t="shared" si="28"/>
        <v>-4.1645849909451981E-4</v>
      </c>
      <c r="BJ140" s="12">
        <f t="shared" si="29"/>
        <v>6.2907402856737988E-4</v>
      </c>
      <c r="BL140" s="9"/>
      <c r="BN140">
        <f t="shared" si="30"/>
        <v>0</v>
      </c>
      <c r="BO140">
        <f t="shared" si="31"/>
        <v>0</v>
      </c>
      <c r="BP140">
        <f t="shared" si="32"/>
        <v>0</v>
      </c>
      <c r="BQ140">
        <f t="shared" si="21"/>
        <v>1</v>
      </c>
      <c r="BR140">
        <f t="shared" si="33"/>
        <v>0</v>
      </c>
      <c r="BS140" s="9">
        <f t="shared" si="34"/>
        <v>0</v>
      </c>
      <c r="BT140" s="9">
        <f t="shared" si="35"/>
        <v>0</v>
      </c>
      <c r="BU140" s="9">
        <f t="shared" si="36"/>
        <v>0</v>
      </c>
      <c r="BV140" s="12">
        <f t="shared" si="37"/>
        <v>-1.540436814833513E-3</v>
      </c>
      <c r="BX140" s="12">
        <f t="shared" si="38"/>
        <v>-4.1645849909451981E-4</v>
      </c>
      <c r="BY140" s="12">
        <f t="shared" si="39"/>
        <v>-9.1136278626613291E-4</v>
      </c>
    </row>
    <row r="141" spans="1:77" x14ac:dyDescent="0.3">
      <c r="A141" s="1">
        <v>46227</v>
      </c>
      <c r="B141" s="8">
        <v>33.1</v>
      </c>
      <c r="C141" s="8">
        <v>168.23</v>
      </c>
      <c r="D141" s="9">
        <v>9.0675538931583096E-4</v>
      </c>
      <c r="E141" s="9">
        <v>3.5671819641043897E-4</v>
      </c>
      <c r="F141" s="8">
        <v>0</v>
      </c>
      <c r="G141" s="8">
        <v>0.39700000000000002</v>
      </c>
      <c r="H141" s="8">
        <v>0</v>
      </c>
      <c r="I141" s="8">
        <v>2.0009999999999999</v>
      </c>
      <c r="J141" s="8">
        <v>0.39700000000000002</v>
      </c>
      <c r="K141" s="8">
        <v>2.0009999999999999</v>
      </c>
      <c r="L141" s="8">
        <v>33.497</v>
      </c>
      <c r="M141" s="8">
        <v>170.23099999999999</v>
      </c>
      <c r="N141" s="10">
        <v>5.08247734138972</v>
      </c>
      <c r="O141" s="10">
        <v>5.0856511037897496</v>
      </c>
      <c r="P141" s="10">
        <v>5.0830856653652603</v>
      </c>
      <c r="Q141" s="10">
        <v>5.0825799441519903</v>
      </c>
      <c r="R141" s="8">
        <v>168.33505153543999</v>
      </c>
      <c r="S141" s="8">
        <v>168.24756036019099</v>
      </c>
      <c r="T141" s="8">
        <v>168.23141314010499</v>
      </c>
      <c r="U141" s="9">
        <v>6.2425696532111504E-4</v>
      </c>
      <c r="V141" s="9">
        <v>1.04377600625787E-4</v>
      </c>
      <c r="W141" s="9">
        <v>8.4000128994948192E-6</v>
      </c>
      <c r="X141" s="10">
        <v>5.0819774905215302</v>
      </c>
      <c r="Y141" s="10">
        <v>5.08472288464342</v>
      </c>
      <c r="Z141" s="10">
        <v>5.0825646016477304</v>
      </c>
      <c r="AA141" s="10">
        <v>5.0820466641451301</v>
      </c>
      <c r="AB141" s="8">
        <v>170.32296246690001</v>
      </c>
      <c r="AC141" s="8">
        <v>170.24795874774401</v>
      </c>
      <c r="AD141" s="8">
        <v>170.23125173424299</v>
      </c>
      <c r="AE141" s="9">
        <v>5.4007575463171096E-4</v>
      </c>
      <c r="AF141" s="9">
        <v>9.9617009056657095E-5</v>
      </c>
      <c r="AG141" s="9">
        <v>1.67903947077651E-3</v>
      </c>
      <c r="AZ141" s="9"/>
      <c r="BB141">
        <f t="shared" si="22"/>
        <v>0</v>
      </c>
      <c r="BC141">
        <f t="shared" si="23"/>
        <v>1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6.2907402856737988E-4</v>
      </c>
      <c r="BL141" s="9"/>
      <c r="BN141">
        <f t="shared" si="30"/>
        <v>0</v>
      </c>
      <c r="BO141">
        <f t="shared" si="31"/>
        <v>0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-1.540436814833513E-3</v>
      </c>
      <c r="BX141" s="12">
        <f t="shared" si="38"/>
        <v>0</v>
      </c>
      <c r="BY141" s="12">
        <f t="shared" si="39"/>
        <v>-9.1136278626613291E-4</v>
      </c>
    </row>
    <row r="142" spans="1:77" x14ac:dyDescent="0.3">
      <c r="A142" s="1">
        <v>46230</v>
      </c>
      <c r="B142" s="8">
        <v>32.380000000000003</v>
      </c>
      <c r="C142" s="8">
        <v>164.52</v>
      </c>
      <c r="D142" s="9">
        <v>-2.1992334133528101E-2</v>
      </c>
      <c r="E142" s="9">
        <v>-2.22999473688456E-2</v>
      </c>
      <c r="F142" s="8">
        <v>0</v>
      </c>
      <c r="G142" s="8">
        <v>0.39700000000000002</v>
      </c>
      <c r="H142" s="8">
        <v>0</v>
      </c>
      <c r="I142" s="8">
        <v>2.0009999999999999</v>
      </c>
      <c r="J142" s="8">
        <v>0.39700000000000002</v>
      </c>
      <c r="K142" s="8">
        <v>2.0009999999999999</v>
      </c>
      <c r="L142" s="8">
        <v>32.777000000000001</v>
      </c>
      <c r="M142" s="8">
        <v>166.52099999999999</v>
      </c>
      <c r="N142" s="10">
        <v>5.0809141445336596</v>
      </c>
      <c r="O142" s="10">
        <v>5.0856511037897496</v>
      </c>
      <c r="P142" s="10">
        <v>5.0829257310404596</v>
      </c>
      <c r="Q142" s="10">
        <v>5.0824130134649304</v>
      </c>
      <c r="R142" s="8">
        <v>164.67338274071199</v>
      </c>
      <c r="S142" s="8">
        <v>164.590313844527</v>
      </c>
      <c r="T142" s="8">
        <v>164.573938591641</v>
      </c>
      <c r="U142" s="9">
        <v>9.3187020063848099E-4</v>
      </c>
      <c r="V142" s="9">
        <v>4.2729651815281798E-4</v>
      </c>
      <c r="W142" s="9">
        <v>3.2780058092498102E-4</v>
      </c>
      <c r="X142" s="10">
        <v>5.0804222473075598</v>
      </c>
      <c r="Y142" s="10">
        <v>5.08472288464342</v>
      </c>
      <c r="Z142" s="10">
        <v>5.0824079985350696</v>
      </c>
      <c r="AA142" s="10">
        <v>5.0818839245951102</v>
      </c>
      <c r="AB142" s="8">
        <v>166.66196198995701</v>
      </c>
      <c r="AC142" s="8">
        <v>166.591219948207</v>
      </c>
      <c r="AD142" s="8">
        <v>166.57424351068499</v>
      </c>
      <c r="AE142" s="9">
        <v>8.4615370201428198E-4</v>
      </c>
      <c r="AF142" s="9">
        <v>4.2159935927238998E-4</v>
      </c>
      <c r="AG142" s="9">
        <v>1.0857202395779899E-3</v>
      </c>
      <c r="AZ142" s="9"/>
      <c r="BB142">
        <f t="shared" si="22"/>
        <v>0</v>
      </c>
      <c r="BC142">
        <f t="shared" si="23"/>
        <v>1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6.2907402856737988E-4</v>
      </c>
      <c r="BL142" s="9"/>
      <c r="BN142">
        <f t="shared" si="30"/>
        <v>0</v>
      </c>
      <c r="BO142">
        <f t="shared" si="31"/>
        <v>0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-1.540436814833513E-3</v>
      </c>
      <c r="BX142" s="12">
        <f t="shared" si="38"/>
        <v>0</v>
      </c>
      <c r="BY142" s="12">
        <f t="shared" si="39"/>
        <v>-9.1136278626613291E-4</v>
      </c>
    </row>
    <row r="143" spans="1:77" x14ac:dyDescent="0.3">
      <c r="A143" s="1">
        <v>46231</v>
      </c>
      <c r="B143" s="8">
        <v>31.89</v>
      </c>
      <c r="C143" s="8">
        <v>162.02000000000001</v>
      </c>
      <c r="D143" s="9">
        <v>-1.5248467227522799E-2</v>
      </c>
      <c r="E143" s="9">
        <v>-1.53123589598781E-2</v>
      </c>
      <c r="F143" s="8">
        <v>0</v>
      </c>
      <c r="G143" s="8">
        <v>0.39700000000000002</v>
      </c>
      <c r="H143" s="8">
        <v>0</v>
      </c>
      <c r="I143" s="8">
        <v>2.0009999999999999</v>
      </c>
      <c r="J143" s="8">
        <v>0.39700000000000002</v>
      </c>
      <c r="K143" s="8">
        <v>2.0009999999999999</v>
      </c>
      <c r="L143" s="8">
        <v>32.286999999999999</v>
      </c>
      <c r="M143" s="8">
        <v>164.02099999999999</v>
      </c>
      <c r="N143" s="10">
        <v>5.08058952649733</v>
      </c>
      <c r="O143" s="10">
        <v>5.0856511037897496</v>
      </c>
      <c r="P143" s="10">
        <v>5.0825802603094603</v>
      </c>
      <c r="Q143" s="10">
        <v>5.0822758231231298</v>
      </c>
      <c r="R143" s="8">
        <v>162.181413699855</v>
      </c>
      <c r="S143" s="8">
        <v>162.09450156288</v>
      </c>
      <c r="T143" s="8">
        <v>162.078150999396</v>
      </c>
      <c r="U143" s="9">
        <v>9.9576193299359401E-4</v>
      </c>
      <c r="V143" s="9">
        <v>4.5972373240437298E-4</v>
      </c>
      <c r="W143" s="9">
        <v>3.5884808254254001E-4</v>
      </c>
      <c r="X143" s="10">
        <v>5.0800941555424703</v>
      </c>
      <c r="Y143" s="10">
        <v>5.08472288464342</v>
      </c>
      <c r="Z143" s="10">
        <v>5.08206717849784</v>
      </c>
      <c r="AA143" s="10">
        <v>5.0817502896988902</v>
      </c>
      <c r="AB143" s="8">
        <v>164.17044777648201</v>
      </c>
      <c r="AC143" s="8">
        <v>164.095707048701</v>
      </c>
      <c r="AD143" s="8">
        <v>164.07878627340199</v>
      </c>
      <c r="AE143" s="9">
        <v>9.1073541266555296E-4</v>
      </c>
      <c r="AF143" s="9">
        <v>4.55368765978763E-4</v>
      </c>
      <c r="AG143" s="9">
        <v>4.2659324334834301E-4</v>
      </c>
      <c r="AZ143" s="9"/>
      <c r="BB143">
        <f t="shared" si="22"/>
        <v>0</v>
      </c>
      <c r="BC143">
        <f t="shared" si="23"/>
        <v>1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6.2907402856737988E-4</v>
      </c>
      <c r="BL143" s="9"/>
      <c r="BN143">
        <f t="shared" si="30"/>
        <v>0</v>
      </c>
      <c r="BO143">
        <f t="shared" si="31"/>
        <v>0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-1.540436814833513E-3</v>
      </c>
      <c r="BX143" s="12">
        <f t="shared" si="38"/>
        <v>0</v>
      </c>
      <c r="BY143" s="12">
        <f t="shared" si="39"/>
        <v>-9.1136278626613291E-4</v>
      </c>
    </row>
    <row r="144" spans="1:77" x14ac:dyDescent="0.3">
      <c r="A144" s="1">
        <v>46232</v>
      </c>
      <c r="B144" s="8">
        <v>32.479999999999997</v>
      </c>
      <c r="C144" s="8">
        <v>165.14</v>
      </c>
      <c r="D144" s="9">
        <v>1.83320342715107E-2</v>
      </c>
      <c r="E144" s="9">
        <v>1.9073814586937101E-2</v>
      </c>
      <c r="F144" s="8">
        <v>0</v>
      </c>
      <c r="G144" s="8">
        <v>0.39700000000000002</v>
      </c>
      <c r="H144" s="8">
        <v>0</v>
      </c>
      <c r="I144" s="8">
        <v>2.0009999999999999</v>
      </c>
      <c r="J144" s="8">
        <v>0.39700000000000002</v>
      </c>
      <c r="K144" s="8">
        <v>2.0009999999999999</v>
      </c>
      <c r="L144" s="8">
        <v>32.876999999999903</v>
      </c>
      <c r="M144" s="8">
        <v>167.14099999999999</v>
      </c>
      <c r="N144" s="10">
        <v>5.0843596059113301</v>
      </c>
      <c r="O144" s="10">
        <v>5.0856511037897496</v>
      </c>
      <c r="P144" s="10">
        <v>5.0829856281663703</v>
      </c>
      <c r="Q144" s="10">
        <v>5.08255266674752</v>
      </c>
      <c r="R144" s="8">
        <v>165.181947851091</v>
      </c>
      <c r="S144" s="8">
        <v>165.08220685485099</v>
      </c>
      <c r="T144" s="8">
        <v>165.072318735039</v>
      </c>
      <c r="U144" s="9">
        <v>2.5398161756732201E-4</v>
      </c>
      <c r="V144" s="9">
        <v>-3.5002579801630198E-4</v>
      </c>
      <c r="W144" s="9">
        <v>-4.0992574818237299E-4</v>
      </c>
      <c r="X144" s="10">
        <v>5.0838275998418299</v>
      </c>
      <c r="Y144" s="10">
        <v>5.08472288464342</v>
      </c>
      <c r="Z144" s="10">
        <v>5.0824693235718703</v>
      </c>
      <c r="AA144" s="10">
        <v>5.0820260573132403</v>
      </c>
      <c r="AB144" s="8">
        <v>167.170434278421</v>
      </c>
      <c r="AC144" s="8">
        <v>167.08312262747299</v>
      </c>
      <c r="AD144" s="8">
        <v>167.07270427443001</v>
      </c>
      <c r="AE144" s="9">
        <v>1.7608897261566701E-4</v>
      </c>
      <c r="AF144" s="9">
        <v>-3.46338694226112E-4</v>
      </c>
      <c r="AG144" s="9">
        <v>-5.1419071606388601E-4</v>
      </c>
      <c r="AZ144" s="9"/>
      <c r="BB144">
        <f t="shared" si="22"/>
        <v>0</v>
      </c>
      <c r="BC144">
        <f t="shared" si="23"/>
        <v>0</v>
      </c>
      <c r="BD144">
        <f t="shared" si="24"/>
        <v>0</v>
      </c>
      <c r="BE144">
        <f t="shared" si="20"/>
        <v>1</v>
      </c>
      <c r="BF144">
        <f t="shared" si="25"/>
        <v>0</v>
      </c>
      <c r="BG144" s="9">
        <f t="shared" si="26"/>
        <v>0</v>
      </c>
      <c r="BH144" s="9">
        <f t="shared" si="27"/>
        <v>0</v>
      </c>
      <c r="BI144" s="9">
        <f t="shared" si="28"/>
        <v>0</v>
      </c>
      <c r="BJ144" s="12">
        <f t="shared" si="29"/>
        <v>6.2907402856737988E-4</v>
      </c>
      <c r="BL144" s="9"/>
      <c r="BN144">
        <f t="shared" si="30"/>
        <v>0</v>
      </c>
      <c r="BO144">
        <f t="shared" si="31"/>
        <v>1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-1.540436814833513E-3</v>
      </c>
      <c r="BX144" s="12">
        <f t="shared" si="38"/>
        <v>0</v>
      </c>
      <c r="BY144" s="12">
        <f t="shared" si="39"/>
        <v>-9.1136278626613291E-4</v>
      </c>
    </row>
    <row r="145" spans="1:77" x14ac:dyDescent="0.3">
      <c r="A145" s="1">
        <v>46233</v>
      </c>
      <c r="B145" s="8">
        <v>32.71</v>
      </c>
      <c r="C145" s="8">
        <v>166.28</v>
      </c>
      <c r="D145" s="9">
        <v>7.0563262568154898E-3</v>
      </c>
      <c r="E145" s="9">
        <v>6.8795153951541699E-3</v>
      </c>
      <c r="F145" s="8">
        <v>0</v>
      </c>
      <c r="G145" s="8">
        <v>0.39700000000000002</v>
      </c>
      <c r="H145" s="8">
        <v>0</v>
      </c>
      <c r="I145" s="8">
        <v>2.0009999999999999</v>
      </c>
      <c r="J145" s="8">
        <v>0.39700000000000002</v>
      </c>
      <c r="K145" s="8">
        <v>2.0009999999999999</v>
      </c>
      <c r="L145" s="8">
        <v>33.106999999999999</v>
      </c>
      <c r="M145" s="8">
        <v>168.28100000000001</v>
      </c>
      <c r="N145" s="10">
        <v>5.0834607153775604</v>
      </c>
      <c r="O145" s="10">
        <v>5.0856511037897496</v>
      </c>
      <c r="P145" s="10">
        <v>5.0830800398875002</v>
      </c>
      <c r="Q145" s="10">
        <v>5.0825902362127904</v>
      </c>
      <c r="R145" s="8">
        <v>166.35164760496201</v>
      </c>
      <c r="S145" s="8">
        <v>166.26445989732201</v>
      </c>
      <c r="T145" s="8">
        <v>166.250297729311</v>
      </c>
      <c r="U145" s="9">
        <v>4.3079247922869199E-4</v>
      </c>
      <c r="V145" s="9">
        <v>-9.3461804740218194E-5</v>
      </c>
      <c r="W145" s="9">
        <v>-1.78643997074647E-4</v>
      </c>
      <c r="X145" s="10">
        <v>5.0829431842208601</v>
      </c>
      <c r="Y145" s="10">
        <v>5.08472288464342</v>
      </c>
      <c r="Z145" s="10">
        <v>5.0825643101801798</v>
      </c>
      <c r="AA145" s="10">
        <v>5.08206601969452</v>
      </c>
      <c r="AB145" s="8">
        <v>168.339920541889</v>
      </c>
      <c r="AC145" s="8">
        <v>168.26531189549399</v>
      </c>
      <c r="AD145" s="8">
        <v>168.25063667946901</v>
      </c>
      <c r="AE145" s="9">
        <v>3.5007059214681499E-4</v>
      </c>
      <c r="AF145" s="9">
        <v>-9.3229989233324905E-5</v>
      </c>
      <c r="AG145" s="9">
        <v>1.5783607686435199E-3</v>
      </c>
      <c r="AZ145" s="9"/>
      <c r="BB145">
        <f t="shared" si="22"/>
        <v>0</v>
      </c>
      <c r="BC145">
        <f t="shared" si="23"/>
        <v>1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6.2907402856737988E-4</v>
      </c>
      <c r="BL145" s="9"/>
      <c r="BN145">
        <f t="shared" si="30"/>
        <v>0</v>
      </c>
      <c r="BO145">
        <f t="shared" si="31"/>
        <v>0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-1.540436814833513E-3</v>
      </c>
      <c r="BX145" s="12">
        <f t="shared" si="38"/>
        <v>0</v>
      </c>
      <c r="BY145" s="12">
        <f t="shared" si="39"/>
        <v>-9.1136278626613291E-4</v>
      </c>
    </row>
    <row r="146" spans="1:77" x14ac:dyDescent="0.3">
      <c r="A146" s="1">
        <v>46234</v>
      </c>
      <c r="B146" s="8">
        <v>33.049999999999997</v>
      </c>
      <c r="C146" s="8">
        <v>167.97</v>
      </c>
      <c r="D146" s="9">
        <v>1.0340724747402601E-2</v>
      </c>
      <c r="E146" s="9">
        <v>1.01122776444749E-2</v>
      </c>
      <c r="F146" s="8">
        <v>0</v>
      </c>
      <c r="G146" s="8">
        <v>0.39700000000000002</v>
      </c>
      <c r="H146" s="8">
        <v>0</v>
      </c>
      <c r="I146" s="8">
        <v>2.0009999999999999</v>
      </c>
      <c r="J146" s="8">
        <v>0.39700000000000002</v>
      </c>
      <c r="K146" s="8">
        <v>2.0009999999999999</v>
      </c>
      <c r="L146" s="8">
        <v>33.446999999999903</v>
      </c>
      <c r="M146" s="8">
        <v>169.971</v>
      </c>
      <c r="N146" s="10">
        <v>5.0822995461422096</v>
      </c>
      <c r="O146" s="10">
        <v>5.0856511037897496</v>
      </c>
      <c r="P146" s="10">
        <v>5.0829402256072802</v>
      </c>
      <c r="Q146" s="10">
        <v>5.0827551797589301</v>
      </c>
      <c r="R146" s="8">
        <v>168.08076898025101</v>
      </c>
      <c r="S146" s="8">
        <v>167.99579531828101</v>
      </c>
      <c r="T146" s="8">
        <v>167.97960730683201</v>
      </c>
      <c r="U146" s="9">
        <v>6.5923958215624405E-4</v>
      </c>
      <c r="V146" s="9">
        <v>1.5355919377538099E-4</v>
      </c>
      <c r="W146" s="9">
        <v>5.7194928206954903E-5</v>
      </c>
      <c r="X146" s="10">
        <v>5.0818010583908801</v>
      </c>
      <c r="Y146" s="10">
        <v>5.08472288464342</v>
      </c>
      <c r="Z146" s="10">
        <v>5.0824277920256797</v>
      </c>
      <c r="AA146" s="10">
        <v>5.0822316297983203</v>
      </c>
      <c r="AB146" s="8">
        <v>170.068726322668</v>
      </c>
      <c r="AC146" s="8">
        <v>169.99652848259601</v>
      </c>
      <c r="AD146" s="8">
        <v>169.97986216072201</v>
      </c>
      <c r="AE146" s="9">
        <v>5.7479357730365202E-4</v>
      </c>
      <c r="AF146" s="9">
        <v>1.5018188800774599E-4</v>
      </c>
      <c r="AG146" s="9">
        <v>9.40432586550122E-4</v>
      </c>
      <c r="AZ146" s="9"/>
      <c r="BB146">
        <f t="shared" si="22"/>
        <v>0</v>
      </c>
      <c r="BC146">
        <f t="shared" si="23"/>
        <v>1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6.2907402856737988E-4</v>
      </c>
      <c r="BL146" s="9"/>
      <c r="BN146">
        <f t="shared" si="30"/>
        <v>0</v>
      </c>
      <c r="BO146">
        <f t="shared" si="31"/>
        <v>0</v>
      </c>
      <c r="BP146">
        <f t="shared" si="32"/>
        <v>0</v>
      </c>
      <c r="BQ146">
        <f t="shared" si="21"/>
        <v>1</v>
      </c>
      <c r="BR146">
        <f t="shared" si="33"/>
        <v>0</v>
      </c>
      <c r="BS146" s="9">
        <f t="shared" si="34"/>
        <v>0</v>
      </c>
      <c r="BT146" s="9">
        <f t="shared" si="35"/>
        <v>0</v>
      </c>
      <c r="BU146" s="9">
        <f t="shared" si="36"/>
        <v>0</v>
      </c>
      <c r="BV146" s="12">
        <f t="shared" si="37"/>
        <v>-1.540436814833513E-3</v>
      </c>
      <c r="BX146" s="12">
        <f t="shared" si="38"/>
        <v>0</v>
      </c>
      <c r="BY146" s="12">
        <f t="shared" si="39"/>
        <v>-9.1136278626613291E-4</v>
      </c>
    </row>
    <row r="147" spans="1:77" x14ac:dyDescent="0.3">
      <c r="A147" s="1">
        <v>46237</v>
      </c>
      <c r="B147" s="8">
        <v>32.630000000000003</v>
      </c>
      <c r="C147" s="8">
        <v>165.87</v>
      </c>
      <c r="D147" s="9">
        <v>-1.27894556924658E-2</v>
      </c>
      <c r="E147" s="9">
        <v>-1.25810430109603E-2</v>
      </c>
      <c r="F147" s="8">
        <v>0</v>
      </c>
      <c r="G147" s="8">
        <v>0.39700000000000002</v>
      </c>
      <c r="H147" s="8">
        <v>0</v>
      </c>
      <c r="I147" s="8">
        <v>2.0009999999999999</v>
      </c>
      <c r="J147" s="8">
        <v>0.39700000000000002</v>
      </c>
      <c r="K147" s="8">
        <v>2.0009999999999999</v>
      </c>
      <c r="L147" s="8">
        <v>33.027000000000001</v>
      </c>
      <c r="M147" s="8">
        <v>167.87100000000001</v>
      </c>
      <c r="N147" s="10">
        <v>5.0833588722034904</v>
      </c>
      <c r="O147" s="10">
        <v>5.0856511037897496</v>
      </c>
      <c r="P147" s="10">
        <v>5.0829427794942896</v>
      </c>
      <c r="Q147" s="10">
        <v>5.0827762039378301</v>
      </c>
      <c r="R147" s="8">
        <v>165.94479551665901</v>
      </c>
      <c r="S147" s="8">
        <v>165.85633956156499</v>
      </c>
      <c r="T147" s="8">
        <v>165.850301515534</v>
      </c>
      <c r="U147" s="9">
        <v>4.50826900650868E-4</v>
      </c>
      <c r="V147" s="9">
        <v>-8.2359685156117594E-5</v>
      </c>
      <c r="W147" s="9">
        <v>-1.18765625130986E-4</v>
      </c>
      <c r="X147" s="10">
        <v>5.0828413116541</v>
      </c>
      <c r="Y147" s="10">
        <v>5.08472288464342</v>
      </c>
      <c r="Z147" s="10">
        <v>5.0824310619323798</v>
      </c>
      <c r="AA147" s="10">
        <v>5.0822550462177896</v>
      </c>
      <c r="AB147" s="8">
        <v>167.93314271111799</v>
      </c>
      <c r="AC147" s="8">
        <v>167.85734268723201</v>
      </c>
      <c r="AD147" s="8">
        <v>167.850864037349</v>
      </c>
      <c r="AE147" s="9">
        <v>3.7011283616703098E-4</v>
      </c>
      <c r="AF147" s="9">
        <v>-8.1359307742112898E-5</v>
      </c>
      <c r="AG147" s="9">
        <v>1.01688574664222E-4</v>
      </c>
      <c r="AZ147" s="9"/>
      <c r="BB147">
        <f t="shared" si="22"/>
        <v>0</v>
      </c>
      <c r="BC147">
        <f t="shared" si="23"/>
        <v>1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6.2907402856737988E-4</v>
      </c>
      <c r="BL147" s="9"/>
      <c r="BN147">
        <f t="shared" si="30"/>
        <v>0</v>
      </c>
      <c r="BO147">
        <f t="shared" si="31"/>
        <v>0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-1.540436814833513E-3</v>
      </c>
      <c r="BX147" s="12">
        <f t="shared" si="38"/>
        <v>0</v>
      </c>
      <c r="BY147" s="12">
        <f t="shared" si="39"/>
        <v>-9.1136278626613291E-4</v>
      </c>
    </row>
    <row r="148" spans="1:77" x14ac:dyDescent="0.3">
      <c r="A148" s="1">
        <v>46238</v>
      </c>
      <c r="B148" s="8">
        <v>32.5</v>
      </c>
      <c r="C148" s="8">
        <v>165.25</v>
      </c>
      <c r="D148" s="9">
        <v>-3.9920212695375599E-3</v>
      </c>
      <c r="E148" s="9">
        <v>-3.74487028615564E-3</v>
      </c>
      <c r="F148" s="8">
        <v>0</v>
      </c>
      <c r="G148" s="8">
        <v>0.39700000000000002</v>
      </c>
      <c r="H148" s="8">
        <v>0</v>
      </c>
      <c r="I148" s="8">
        <v>2.0009999999999999</v>
      </c>
      <c r="J148" s="8">
        <v>0.39700000000000002</v>
      </c>
      <c r="K148" s="8">
        <v>2.0009999999999999</v>
      </c>
      <c r="L148" s="8">
        <v>32.896999999999998</v>
      </c>
      <c r="M148" s="8">
        <v>167.251</v>
      </c>
      <c r="N148" s="10">
        <v>5.0846153846153799</v>
      </c>
      <c r="O148" s="10">
        <v>5.0856511037897496</v>
      </c>
      <c r="P148" s="10">
        <v>5.0830505096020202</v>
      </c>
      <c r="Q148" s="10">
        <v>5.0829239965469304</v>
      </c>
      <c r="R148" s="8">
        <v>165.28366087316601</v>
      </c>
      <c r="S148" s="8">
        <v>165.195640333564</v>
      </c>
      <c r="T148" s="8">
        <v>165.190226627979</v>
      </c>
      <c r="U148" s="9">
        <v>2.0367591726878201E-4</v>
      </c>
      <c r="V148" s="9">
        <v>-3.2900822580554803E-4</v>
      </c>
      <c r="W148" s="9">
        <v>-3.6178024257170499E-4</v>
      </c>
      <c r="X148" s="10">
        <v>5.0840806152536704</v>
      </c>
      <c r="Y148" s="10">
        <v>5.08472288464342</v>
      </c>
      <c r="Z148" s="10">
        <v>5.08253739696565</v>
      </c>
      <c r="AA148" s="10">
        <v>5.08240278289915</v>
      </c>
      <c r="AB148" s="8">
        <v>167.27212873611401</v>
      </c>
      <c r="AC148" s="8">
        <v>167.19673464438901</v>
      </c>
      <c r="AD148" s="8">
        <v>167.19094425542599</v>
      </c>
      <c r="AE148" s="9">
        <v>1.2632152654211301E-4</v>
      </c>
      <c r="AF148" s="9">
        <v>-3.2450724263041698E-4</v>
      </c>
      <c r="AG148" s="9">
        <v>3.1068698516110402E-4</v>
      </c>
      <c r="AZ148" s="9"/>
      <c r="BB148">
        <f t="shared" si="22"/>
        <v>0</v>
      </c>
      <c r="BC148">
        <f t="shared" si="23"/>
        <v>1</v>
      </c>
      <c r="BD148">
        <f t="shared" si="24"/>
        <v>0</v>
      </c>
      <c r="BE148">
        <f t="shared" si="20"/>
        <v>1</v>
      </c>
      <c r="BF148">
        <f t="shared" si="25"/>
        <v>0</v>
      </c>
      <c r="BG148" s="9">
        <f t="shared" si="26"/>
        <v>0</v>
      </c>
      <c r="BH148" s="9">
        <f t="shared" si="27"/>
        <v>0</v>
      </c>
      <c r="BI148" s="9">
        <f t="shared" si="28"/>
        <v>0</v>
      </c>
      <c r="BJ148" s="12">
        <f t="shared" si="29"/>
        <v>6.2907402856737988E-4</v>
      </c>
      <c r="BL148" s="9"/>
      <c r="BN148">
        <f t="shared" si="30"/>
        <v>0</v>
      </c>
      <c r="BO148">
        <f t="shared" si="31"/>
        <v>0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-1.540436814833513E-3</v>
      </c>
      <c r="BX148" s="12">
        <f t="shared" si="38"/>
        <v>0</v>
      </c>
      <c r="BY148" s="12">
        <f t="shared" si="39"/>
        <v>-9.1136278626613291E-4</v>
      </c>
    </row>
    <row r="149" spans="1:77" x14ac:dyDescent="0.3">
      <c r="A149" s="1">
        <v>46239</v>
      </c>
      <c r="B149" s="8">
        <v>31.79</v>
      </c>
      <c r="C149" s="8">
        <v>161.57</v>
      </c>
      <c r="D149" s="9">
        <v>-2.2088314412980401E-2</v>
      </c>
      <c r="E149" s="9">
        <v>-2.2520993443056501E-2</v>
      </c>
      <c r="F149" s="8">
        <v>0</v>
      </c>
      <c r="G149" s="8">
        <v>0.39700000000000002</v>
      </c>
      <c r="H149" s="8">
        <v>0</v>
      </c>
      <c r="I149" s="8">
        <v>2.0009999999999999</v>
      </c>
      <c r="J149" s="8">
        <v>0.39700000000000002</v>
      </c>
      <c r="K149" s="8">
        <v>2.0009999999999999</v>
      </c>
      <c r="L149" s="8">
        <v>32.186999999999998</v>
      </c>
      <c r="M149" s="8">
        <v>163.571</v>
      </c>
      <c r="N149" s="10">
        <v>5.08241585404215</v>
      </c>
      <c r="O149" s="10">
        <v>5.0856511037897496</v>
      </c>
      <c r="P149" s="10">
        <v>5.0829764652642098</v>
      </c>
      <c r="Q149" s="10">
        <v>5.0829320949485197</v>
      </c>
      <c r="R149" s="8">
        <v>161.67284858947599</v>
      </c>
      <c r="S149" s="8">
        <v>161.59017570024801</v>
      </c>
      <c r="T149" s="8">
        <v>161.58615385022699</v>
      </c>
      <c r="U149" s="9">
        <v>6.3635494734487897E-4</v>
      </c>
      <c r="V149" s="9">
        <v>1.2486501612357201E-4</v>
      </c>
      <c r="W149" s="9">
        <v>9.9975507493718996E-5</v>
      </c>
      <c r="X149" s="10">
        <v>5.08189641780843</v>
      </c>
      <c r="Y149" s="10">
        <v>5.08472288464342</v>
      </c>
      <c r="Z149" s="10">
        <v>5.0824624272372096</v>
      </c>
      <c r="AA149" s="10">
        <v>5.0824115341537404</v>
      </c>
      <c r="AB149" s="8">
        <v>163.66197548801699</v>
      </c>
      <c r="AC149" s="8">
        <v>163.59163119613299</v>
      </c>
      <c r="AD149" s="8">
        <v>163.587298373175</v>
      </c>
      <c r="AE149" s="9">
        <v>5.5602886736031299E-4</v>
      </c>
      <c r="AF149" s="9">
        <v>1.2612196011076301E-4</v>
      </c>
      <c r="AG149" s="9">
        <v>1.7978208282074499E-4</v>
      </c>
      <c r="AZ149" s="9"/>
      <c r="BB149">
        <f t="shared" si="22"/>
        <v>0</v>
      </c>
      <c r="BC149">
        <f t="shared" si="23"/>
        <v>1</v>
      </c>
      <c r="BD149">
        <f t="shared" si="24"/>
        <v>0</v>
      </c>
      <c r="BE149">
        <f t="shared" si="20"/>
        <v>1</v>
      </c>
      <c r="BF149">
        <f t="shared" si="25"/>
        <v>0</v>
      </c>
      <c r="BG149" s="9">
        <f t="shared" si="26"/>
        <v>0</v>
      </c>
      <c r="BH149" s="9">
        <f t="shared" si="27"/>
        <v>0</v>
      </c>
      <c r="BI149" s="9">
        <f t="shared" si="28"/>
        <v>0</v>
      </c>
      <c r="BJ149" s="12">
        <f t="shared" si="29"/>
        <v>6.2907402856737988E-4</v>
      </c>
      <c r="BL149" s="9"/>
      <c r="BN149">
        <f t="shared" si="30"/>
        <v>0</v>
      </c>
      <c r="BO149">
        <f t="shared" si="31"/>
        <v>0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-1.540436814833513E-3</v>
      </c>
      <c r="BX149" s="12">
        <f t="shared" si="38"/>
        <v>0</v>
      </c>
      <c r="BY149" s="12">
        <f t="shared" si="39"/>
        <v>-9.1136278626613291E-4</v>
      </c>
    </row>
    <row r="150" spans="1:77" x14ac:dyDescent="0.3">
      <c r="A150" s="1">
        <v>46240</v>
      </c>
      <c r="B150" s="8">
        <v>32.299999999999997</v>
      </c>
      <c r="C150" s="8">
        <v>164.12</v>
      </c>
      <c r="D150" s="9">
        <v>1.5915455305899301E-2</v>
      </c>
      <c r="E150" s="9">
        <v>1.5659382285246201E-2</v>
      </c>
      <c r="F150" s="8">
        <v>0</v>
      </c>
      <c r="G150" s="8">
        <v>0.39700000000000002</v>
      </c>
      <c r="H150" s="8">
        <v>0</v>
      </c>
      <c r="I150" s="8">
        <v>2.0009999999999999</v>
      </c>
      <c r="J150" s="8">
        <v>0.39700000000000002</v>
      </c>
      <c r="K150" s="8">
        <v>2.0009999999999999</v>
      </c>
      <c r="L150" s="8">
        <v>32.696999999999903</v>
      </c>
      <c r="M150" s="8">
        <v>166.12100000000001</v>
      </c>
      <c r="N150" s="10">
        <v>5.0811145510835898</v>
      </c>
      <c r="O150" s="10">
        <v>5.0856511037897496</v>
      </c>
      <c r="P150" s="10">
        <v>5.0825605541796399</v>
      </c>
      <c r="Q150" s="10">
        <v>5.0827842100232203</v>
      </c>
      <c r="R150" s="8">
        <v>164.26653065240799</v>
      </c>
      <c r="S150" s="8">
        <v>164.18013982803299</v>
      </c>
      <c r="T150" s="8">
        <v>164.178706666837</v>
      </c>
      <c r="U150" s="9">
        <v>8.9242796799820199E-4</v>
      </c>
      <c r="V150" s="9">
        <v>3.6637102096983399E-4</v>
      </c>
      <c r="W150" s="9">
        <v>3.5764178335684501E-4</v>
      </c>
      <c r="X150" s="10">
        <v>5.0806190170352004</v>
      </c>
      <c r="Y150" s="10">
        <v>5.08472288464342</v>
      </c>
      <c r="Z150" s="10">
        <v>5.0820503097576504</v>
      </c>
      <c r="AA150" s="10">
        <v>5.0822670384466697</v>
      </c>
      <c r="AB150" s="8">
        <v>166.255184159186</v>
      </c>
      <c r="AC150" s="8">
        <v>166.18127398337501</v>
      </c>
      <c r="AD150" s="8">
        <v>166.179609932224</v>
      </c>
      <c r="AE150" s="9">
        <v>8.0742347298649202E-4</v>
      </c>
      <c r="AF150" s="9">
        <v>3.62766004057826E-4</v>
      </c>
      <c r="AG150" s="9">
        <v>-2.19441788300073E-3</v>
      </c>
      <c r="AZ150" s="9"/>
      <c r="BB150">
        <f t="shared" si="22"/>
        <v>1</v>
      </c>
      <c r="BC150">
        <f t="shared" si="23"/>
        <v>0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6.2907402856737988E-4</v>
      </c>
      <c r="BL150" s="9"/>
      <c r="BN150">
        <f t="shared" si="30"/>
        <v>0</v>
      </c>
      <c r="BO150">
        <f t="shared" si="31"/>
        <v>1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-1.540436814833513E-3</v>
      </c>
      <c r="BX150" s="12">
        <f t="shared" si="38"/>
        <v>0</v>
      </c>
      <c r="BY150" s="12">
        <f t="shared" si="39"/>
        <v>-9.1136278626613291E-4</v>
      </c>
    </row>
    <row r="151" spans="1:77" x14ac:dyDescent="0.3">
      <c r="A151" s="1">
        <v>46241</v>
      </c>
      <c r="B151" s="8">
        <v>31.95</v>
      </c>
      <c r="C151" s="8">
        <v>162.37</v>
      </c>
      <c r="D151" s="9">
        <v>-1.0895049405066901E-2</v>
      </c>
      <c r="E151" s="9">
        <v>-1.07201859749622E-2</v>
      </c>
      <c r="F151" s="8">
        <v>0</v>
      </c>
      <c r="G151" s="8">
        <v>0.39700000000000002</v>
      </c>
      <c r="H151" s="8">
        <v>0</v>
      </c>
      <c r="I151" s="8">
        <v>2.0009999999999999</v>
      </c>
      <c r="J151" s="8">
        <v>0.39700000000000002</v>
      </c>
      <c r="K151" s="8">
        <v>2.0009999999999999</v>
      </c>
      <c r="L151" s="8">
        <v>32.347000000000001</v>
      </c>
      <c r="M151" s="8">
        <v>164.37100000000001</v>
      </c>
      <c r="N151" s="10">
        <v>5.0820031298904498</v>
      </c>
      <c r="O151" s="10">
        <v>5.0856511037897496</v>
      </c>
      <c r="P151" s="10">
        <v>5.0825131330297104</v>
      </c>
      <c r="Q151" s="10">
        <v>5.08279939919748</v>
      </c>
      <c r="R151" s="8">
        <v>162.48655276608201</v>
      </c>
      <c r="S151" s="8">
        <v>162.38780970603901</v>
      </c>
      <c r="T151" s="8">
        <v>162.394955510242</v>
      </c>
      <c r="U151" s="9">
        <v>7.17564537893419E-4</v>
      </c>
      <c r="V151" s="9">
        <v>1.09679924702275E-4</v>
      </c>
      <c r="W151" s="9">
        <v>1.5368351706558601E-4</v>
      </c>
      <c r="X151" s="10">
        <v>5.08149132840758</v>
      </c>
      <c r="Y151" s="10">
        <v>5.08472288464342</v>
      </c>
      <c r="Z151" s="10">
        <v>5.0820016935462604</v>
      </c>
      <c r="AA151" s="10">
        <v>5.0822831475969998</v>
      </c>
      <c r="AB151" s="8">
        <v>164.47553114956</v>
      </c>
      <c r="AC151" s="8">
        <v>164.38908136973001</v>
      </c>
      <c r="AD151" s="8">
        <v>164.39609189263399</v>
      </c>
      <c r="AE151" s="9">
        <v>6.3574429516459604E-4</v>
      </c>
      <c r="AF151" s="9">
        <v>1.09997355359188E-4</v>
      </c>
      <c r="AG151" s="9">
        <v>-2.78145902881035E-3</v>
      </c>
      <c r="AZ151" s="9"/>
      <c r="BB151">
        <f t="shared" ref="BB151:BB167" si="42">IF($AG151&lt;BA$20,1,0)</f>
        <v>1</v>
      </c>
      <c r="BC151">
        <f t="shared" ref="BC151:BC167" si="43">IF($AG151&gt;BA$21,1,0)</f>
        <v>0</v>
      </c>
      <c r="BD151">
        <f t="shared" ref="BD151:BD167" si="44">BF151</f>
        <v>1</v>
      </c>
      <c r="BE151">
        <f t="shared" si="40"/>
        <v>1</v>
      </c>
      <c r="BF151">
        <f t="shared" ref="BF151:BF167" si="45">IF(BB150,1,IF(BC150,0,BD150))*BE150</f>
        <v>1</v>
      </c>
      <c r="BG151" s="9">
        <f t="shared" ref="BG151:BG167" si="46">BF151*D151</f>
        <v>-1.0895049405066901E-2</v>
      </c>
      <c r="BH151" s="9">
        <f t="shared" ref="BH151:BH167" si="47">-BF151*$E151</f>
        <v>1.07201859749622E-2</v>
      </c>
      <c r="BI151" s="9">
        <f t="shared" ref="BI151:BI167" si="48">BG151+BH151</f>
        <v>-1.7486343010470091E-4</v>
      </c>
      <c r="BJ151" s="12">
        <f t="shared" ref="BJ151:BJ167" si="49">BJ150+BI151</f>
        <v>4.5421059846267897E-4</v>
      </c>
      <c r="BL151" s="9"/>
      <c r="BN151">
        <f t="shared" ref="BN151:BN167" si="50">IF($AG151&gt;BM$20,1,0)</f>
        <v>0</v>
      </c>
      <c r="BO151">
        <f t="shared" ref="BO151:BO167" si="51">IF($AG151&lt;BM$21,1,0)</f>
        <v>1</v>
      </c>
      <c r="BP151">
        <f t="shared" ref="BP151:BP167" si="52">BR151</f>
        <v>0</v>
      </c>
      <c r="BQ151">
        <f t="shared" si="41"/>
        <v>1</v>
      </c>
      <c r="BR151">
        <f t="shared" ref="BR151:BR167" si="53">IF(BN150,1,IF(BO150,0,BP150))*BQ150</f>
        <v>0</v>
      </c>
      <c r="BS151" s="9">
        <f t="shared" ref="BS151:BS167" si="54">-BR151*D151</f>
        <v>0</v>
      </c>
      <c r="BT151" s="9">
        <f t="shared" ref="BT151:BT167" si="55">BR151*$E151</f>
        <v>0</v>
      </c>
      <c r="BU151" s="9">
        <f t="shared" ref="BU151:BU167" si="56">BS151+BT151</f>
        <v>0</v>
      </c>
      <c r="BV151" s="12">
        <f t="shared" ref="BV151:BV167" si="57">BV150+BU151</f>
        <v>-1.540436814833513E-3</v>
      </c>
      <c r="BX151" s="12">
        <f t="shared" ref="BX151:BX167" si="58">BI151+BU151</f>
        <v>-1.7486343010470091E-4</v>
      </c>
      <c r="BY151" s="12">
        <f t="shared" ref="BY151:BY167" si="59">BY150+BX151</f>
        <v>-1.0862262163708338E-3</v>
      </c>
    </row>
    <row r="152" spans="1:77" x14ac:dyDescent="0.3">
      <c r="A152" s="1">
        <v>46244</v>
      </c>
      <c r="B152" s="8">
        <v>33.450000000000003</v>
      </c>
      <c r="C152" s="8">
        <v>170.07</v>
      </c>
      <c r="D152" s="9">
        <v>4.5879605750693601E-2</v>
      </c>
      <c r="E152" s="9">
        <v>4.63324354052988E-2</v>
      </c>
      <c r="F152" s="8">
        <v>0</v>
      </c>
      <c r="G152" s="8">
        <v>0.39700000000000002</v>
      </c>
      <c r="H152" s="8">
        <v>0</v>
      </c>
      <c r="I152" s="8">
        <v>2.0009999999999999</v>
      </c>
      <c r="J152" s="8">
        <v>0.39700000000000002</v>
      </c>
      <c r="K152" s="8">
        <v>2.0009999999999999</v>
      </c>
      <c r="L152" s="8">
        <v>33.847000000000001</v>
      </c>
      <c r="M152" s="8">
        <v>172.071</v>
      </c>
      <c r="N152" s="10">
        <v>5.0843049327354199</v>
      </c>
      <c r="O152" s="10">
        <v>5.0856511037897496</v>
      </c>
      <c r="P152" s="10">
        <v>5.0828522118498896</v>
      </c>
      <c r="Q152" s="10">
        <v>5.0828889714451702</v>
      </c>
      <c r="R152" s="8">
        <v>170.11502942176699</v>
      </c>
      <c r="S152" s="8">
        <v>170.010064299844</v>
      </c>
      <c r="T152" s="8">
        <v>170.01963990315599</v>
      </c>
      <c r="U152" s="9">
        <v>2.6473488328825599E-4</v>
      </c>
      <c r="V152" s="9">
        <v>-3.5247994262688898E-4</v>
      </c>
      <c r="W152" s="9">
        <v>-2.9615778490868798E-4</v>
      </c>
      <c r="X152" s="10">
        <v>5.0837888143705499</v>
      </c>
      <c r="Y152" s="10">
        <v>5.08472288464342</v>
      </c>
      <c r="Z152" s="10">
        <v>5.0823383502525603</v>
      </c>
      <c r="AA152" s="10">
        <v>5.0823731743938101</v>
      </c>
      <c r="AB152" s="8">
        <v>172.10261547652499</v>
      </c>
      <c r="AC152" s="8">
        <v>172.01051132146</v>
      </c>
      <c r="AD152" s="8">
        <v>172.02003769671501</v>
      </c>
      <c r="AE152" s="9">
        <v>1.8371818868866699E-4</v>
      </c>
      <c r="AF152" s="9">
        <v>-3.5159505624399401E-4</v>
      </c>
      <c r="AG152" s="9">
        <v>-3.2826991431648199E-3</v>
      </c>
      <c r="AZ152" s="9"/>
      <c r="BB152">
        <f t="shared" si="42"/>
        <v>1</v>
      </c>
      <c r="BC152">
        <f t="shared" si="43"/>
        <v>0</v>
      </c>
      <c r="BD152">
        <f t="shared" si="44"/>
        <v>1</v>
      </c>
      <c r="BE152">
        <f t="shared" si="40"/>
        <v>1</v>
      </c>
      <c r="BF152">
        <f t="shared" si="45"/>
        <v>1</v>
      </c>
      <c r="BG152" s="9">
        <f t="shared" si="46"/>
        <v>4.5879605750693601E-2</v>
      </c>
      <c r="BH152" s="9">
        <f t="shared" si="47"/>
        <v>-4.63324354052988E-2</v>
      </c>
      <c r="BI152" s="9">
        <f t="shared" si="48"/>
        <v>-4.5282965460519825E-4</v>
      </c>
      <c r="BJ152" s="12">
        <f t="shared" si="49"/>
        <v>1.3809438574807157E-6</v>
      </c>
      <c r="BL152" s="9"/>
      <c r="BN152">
        <f t="shared" si="50"/>
        <v>0</v>
      </c>
      <c r="BO152">
        <f t="shared" si="51"/>
        <v>1</v>
      </c>
      <c r="BP152">
        <f t="shared" si="52"/>
        <v>0</v>
      </c>
      <c r="BQ152">
        <f t="shared" si="41"/>
        <v>1</v>
      </c>
      <c r="BR152">
        <f t="shared" si="53"/>
        <v>0</v>
      </c>
      <c r="BS152" s="9">
        <f t="shared" si="54"/>
        <v>0</v>
      </c>
      <c r="BT152" s="9">
        <f t="shared" si="55"/>
        <v>0</v>
      </c>
      <c r="BU152" s="9">
        <f t="shared" si="56"/>
        <v>0</v>
      </c>
      <c r="BV152" s="12">
        <f t="shared" si="57"/>
        <v>-1.540436814833513E-3</v>
      </c>
      <c r="BX152" s="12">
        <f t="shared" si="58"/>
        <v>-4.5282965460519825E-4</v>
      </c>
      <c r="BY152" s="12">
        <f t="shared" si="59"/>
        <v>-1.5390558709760321E-3</v>
      </c>
    </row>
    <row r="153" spans="1:77" x14ac:dyDescent="0.3">
      <c r="A153" s="1">
        <v>46245</v>
      </c>
      <c r="B153" s="8">
        <v>33.82</v>
      </c>
      <c r="C153" s="8">
        <v>171.96</v>
      </c>
      <c r="D153" s="9">
        <v>1.1000556896196599E-2</v>
      </c>
      <c r="E153" s="9">
        <v>1.1051774623758901E-2</v>
      </c>
      <c r="F153" s="8">
        <v>0</v>
      </c>
      <c r="G153" s="8">
        <v>0.39700000000000002</v>
      </c>
      <c r="H153" s="8">
        <v>0</v>
      </c>
      <c r="I153" s="8">
        <v>2.0009999999999999</v>
      </c>
      <c r="J153" s="8">
        <v>0.39700000000000002</v>
      </c>
      <c r="K153" s="8">
        <v>2.0009999999999999</v>
      </c>
      <c r="L153" s="8">
        <v>34.216999999999999</v>
      </c>
      <c r="M153" s="8">
        <v>173.96100000000001</v>
      </c>
      <c r="N153" s="10">
        <v>5.08456534594914</v>
      </c>
      <c r="O153" s="10">
        <v>5.0856511037897496</v>
      </c>
      <c r="P153" s="10">
        <v>5.08324979379507</v>
      </c>
      <c r="Q153" s="10">
        <v>5.0829150270522696</v>
      </c>
      <c r="R153" s="8">
        <v>171.99672033016901</v>
      </c>
      <c r="S153" s="8">
        <v>171.90206180476301</v>
      </c>
      <c r="T153" s="8">
        <v>171.90330501427499</v>
      </c>
      <c r="U153" s="9">
        <v>2.1351715572601301E-4</v>
      </c>
      <c r="V153" s="9">
        <v>-3.3698510083270502E-4</v>
      </c>
      <c r="W153" s="9">
        <v>-3.2975304669679098E-4</v>
      </c>
      <c r="X153" s="10">
        <v>5.0840517871233599</v>
      </c>
      <c r="Y153" s="10">
        <v>5.08472288464342</v>
      </c>
      <c r="Z153" s="10">
        <v>5.0827341134106403</v>
      </c>
      <c r="AA153" s="10">
        <v>5.0824006459542401</v>
      </c>
      <c r="AB153" s="8">
        <v>173.98396294384401</v>
      </c>
      <c r="AC153" s="8">
        <v>173.902371330591</v>
      </c>
      <c r="AD153" s="8">
        <v>173.903562908233</v>
      </c>
      <c r="AE153" s="9">
        <v>1.3199181665437499E-4</v>
      </c>
      <c r="AF153" s="9">
        <v>-3.3707871995282201E-4</v>
      </c>
      <c r="AG153" s="9">
        <v>-2.2979211864092301E-3</v>
      </c>
      <c r="AZ153" s="9"/>
      <c r="BB153">
        <f t="shared" si="42"/>
        <v>1</v>
      </c>
      <c r="BC153">
        <f t="shared" si="43"/>
        <v>0</v>
      </c>
      <c r="BD153">
        <f t="shared" si="44"/>
        <v>1</v>
      </c>
      <c r="BE153">
        <f t="shared" si="40"/>
        <v>1</v>
      </c>
      <c r="BF153">
        <f t="shared" si="45"/>
        <v>1</v>
      </c>
      <c r="BG153" s="9">
        <f t="shared" si="46"/>
        <v>1.1000556896196599E-2</v>
      </c>
      <c r="BH153" s="9">
        <f t="shared" si="47"/>
        <v>-1.1051774623758901E-2</v>
      </c>
      <c r="BI153" s="9">
        <f t="shared" si="48"/>
        <v>-5.1217727562301307E-5</v>
      </c>
      <c r="BJ153" s="12">
        <f t="shared" si="49"/>
        <v>-4.9836783704820592E-5</v>
      </c>
      <c r="BL153" s="9"/>
      <c r="BN153">
        <f t="shared" si="50"/>
        <v>0</v>
      </c>
      <c r="BO153">
        <f t="shared" si="51"/>
        <v>1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-1.540436814833513E-3</v>
      </c>
      <c r="BX153" s="12">
        <f t="shared" si="58"/>
        <v>-5.1217727562301307E-5</v>
      </c>
      <c r="BY153" s="12">
        <f t="shared" si="59"/>
        <v>-1.5902735985383334E-3</v>
      </c>
    </row>
    <row r="154" spans="1:77" x14ac:dyDescent="0.3">
      <c r="A154" s="1">
        <v>46246</v>
      </c>
      <c r="B154" s="8">
        <v>33.89</v>
      </c>
      <c r="C154" s="8">
        <v>172.29</v>
      </c>
      <c r="D154" s="9">
        <v>2.0676421485256499E-3</v>
      </c>
      <c r="E154" s="9">
        <v>1.9172119162339399E-3</v>
      </c>
      <c r="F154" s="8">
        <v>0</v>
      </c>
      <c r="G154" s="8">
        <v>0.39700000000000002</v>
      </c>
      <c r="H154" s="8">
        <v>0</v>
      </c>
      <c r="I154" s="8">
        <v>2.0009999999999999</v>
      </c>
      <c r="J154" s="8">
        <v>0.39700000000000002</v>
      </c>
      <c r="K154" s="8">
        <v>2.0009999999999999</v>
      </c>
      <c r="L154" s="8">
        <v>34.286999999999999</v>
      </c>
      <c r="M154" s="8">
        <v>174.291</v>
      </c>
      <c r="N154" s="10">
        <v>5.0838005311301204</v>
      </c>
      <c r="O154" s="10">
        <v>5.0856511037897496</v>
      </c>
      <c r="P154" s="10">
        <v>5.0831938863169501</v>
      </c>
      <c r="Q154" s="10">
        <v>5.0830897572416598</v>
      </c>
      <c r="R154" s="8">
        <v>172.352715907434</v>
      </c>
      <c r="S154" s="8">
        <v>172.27133551171499</v>
      </c>
      <c r="T154" s="8">
        <v>172.259990266801</v>
      </c>
      <c r="U154" s="9">
        <v>3.6394738801794302E-4</v>
      </c>
      <c r="V154" s="9">
        <v>-1.08337682609963E-4</v>
      </c>
      <c r="W154" s="9">
        <v>-1.7419668624082599E-4</v>
      </c>
      <c r="X154" s="10">
        <v>5.0832968763671298</v>
      </c>
      <c r="Y154" s="10">
        <v>5.08472288464342</v>
      </c>
      <c r="Z154" s="10">
        <v>5.0826810410631698</v>
      </c>
      <c r="AA154" s="10">
        <v>5.0825751823175196</v>
      </c>
      <c r="AB154" s="8">
        <v>174.339893545769</v>
      </c>
      <c r="AC154" s="8">
        <v>174.27170454650999</v>
      </c>
      <c r="AD154" s="8">
        <v>174.26027094783299</v>
      </c>
      <c r="AE154" s="9">
        <v>2.8048888950917201E-4</v>
      </c>
      <c r="AF154" s="9">
        <v>-1.1071438944631801E-4</v>
      </c>
      <c r="AG154" s="9">
        <v>-1.96045418919511E-3</v>
      </c>
      <c r="AZ154" s="9"/>
      <c r="BB154">
        <f t="shared" si="42"/>
        <v>1</v>
      </c>
      <c r="BC154">
        <f t="shared" si="43"/>
        <v>0</v>
      </c>
      <c r="BD154">
        <f t="shared" si="44"/>
        <v>1</v>
      </c>
      <c r="BE154">
        <f t="shared" si="40"/>
        <v>1</v>
      </c>
      <c r="BF154">
        <f t="shared" si="45"/>
        <v>1</v>
      </c>
      <c r="BG154" s="9">
        <f t="shared" si="46"/>
        <v>2.0676421485256499E-3</v>
      </c>
      <c r="BH154" s="9">
        <f t="shared" si="47"/>
        <v>-1.9172119162339399E-3</v>
      </c>
      <c r="BI154" s="9">
        <f t="shared" si="48"/>
        <v>1.5043023229170996E-4</v>
      </c>
      <c r="BJ154" s="12">
        <f t="shared" si="49"/>
        <v>1.0059344858688937E-4</v>
      </c>
      <c r="BL154" s="9"/>
      <c r="BN154">
        <f t="shared" si="50"/>
        <v>0</v>
      </c>
      <c r="BO154">
        <f t="shared" si="51"/>
        <v>1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-1.540436814833513E-3</v>
      </c>
      <c r="BX154" s="12">
        <f t="shared" si="58"/>
        <v>1.5043023229170996E-4</v>
      </c>
      <c r="BY154" s="12">
        <f t="shared" si="59"/>
        <v>-1.4398433662466234E-3</v>
      </c>
    </row>
    <row r="155" spans="1:77" x14ac:dyDescent="0.3">
      <c r="A155" s="1">
        <v>46247</v>
      </c>
      <c r="B155" s="8">
        <v>33.89</v>
      </c>
      <c r="C155" s="8">
        <v>172.3</v>
      </c>
      <c r="D155" s="9">
        <v>0</v>
      </c>
      <c r="E155" s="9">
        <v>5.80399895692014E-5</v>
      </c>
      <c r="F155" s="8">
        <v>0</v>
      </c>
      <c r="G155" s="8">
        <v>0.39700000000000002</v>
      </c>
      <c r="H155" s="8">
        <v>0</v>
      </c>
      <c r="I155" s="8">
        <v>2.0009999999999999</v>
      </c>
      <c r="J155" s="8">
        <v>0.39700000000000002</v>
      </c>
      <c r="K155" s="8">
        <v>2.0009999999999999</v>
      </c>
      <c r="L155" s="8">
        <v>34.286999999999999</v>
      </c>
      <c r="M155" s="8">
        <v>174.30099999999999</v>
      </c>
      <c r="N155" s="10">
        <v>5.0840956034228304</v>
      </c>
      <c r="O155" s="10">
        <v>5.0856511037897496</v>
      </c>
      <c r="P155" s="10">
        <v>5.0832573751214802</v>
      </c>
      <c r="Q155" s="10">
        <v>5.0831687075044902</v>
      </c>
      <c r="R155" s="8">
        <v>172.352715907434</v>
      </c>
      <c r="S155" s="8">
        <v>172.269440807281</v>
      </c>
      <c r="T155" s="8">
        <v>172.26591187291999</v>
      </c>
      <c r="U155" s="9">
        <v>3.0590739844880001E-4</v>
      </c>
      <c r="V155" s="9">
        <v>-1.77376105826278E-4</v>
      </c>
      <c r="W155" s="9">
        <v>-1.9786128584756E-4</v>
      </c>
      <c r="X155" s="10">
        <v>5.0835885320967096</v>
      </c>
      <c r="Y155" s="10">
        <v>5.08472288464342</v>
      </c>
      <c r="Z155" s="10">
        <v>5.08274557585076</v>
      </c>
      <c r="AA155" s="10">
        <v>5.0826549430154699</v>
      </c>
      <c r="AB155" s="8">
        <v>174.339893545769</v>
      </c>
      <c r="AC155" s="8">
        <v>174.269884854933</v>
      </c>
      <c r="AD155" s="8">
        <v>174.266255276121</v>
      </c>
      <c r="AE155" s="9">
        <v>2.2311522629967E-4</v>
      </c>
      <c r="AF155" s="9">
        <v>-1.7852979982792001E-4</v>
      </c>
      <c r="AG155" s="9">
        <v>-6.6556287530304995E-4</v>
      </c>
      <c r="AZ155" s="9"/>
      <c r="BB155">
        <f t="shared" si="42"/>
        <v>0</v>
      </c>
      <c r="BC155">
        <f t="shared" si="43"/>
        <v>0</v>
      </c>
      <c r="BD155">
        <f t="shared" si="44"/>
        <v>1</v>
      </c>
      <c r="BE155">
        <f t="shared" si="40"/>
        <v>1</v>
      </c>
      <c r="BF155">
        <f t="shared" si="45"/>
        <v>1</v>
      </c>
      <c r="BG155" s="9">
        <f t="shared" si="46"/>
        <v>0</v>
      </c>
      <c r="BH155" s="9">
        <f t="shared" si="47"/>
        <v>-5.80399895692014E-5</v>
      </c>
      <c r="BI155" s="9">
        <f t="shared" si="48"/>
        <v>-5.80399895692014E-5</v>
      </c>
      <c r="BJ155" s="12">
        <f t="shared" si="49"/>
        <v>4.2553459017687972E-5</v>
      </c>
      <c r="BL155" s="9"/>
      <c r="BN155">
        <f t="shared" si="50"/>
        <v>0</v>
      </c>
      <c r="BO155">
        <f t="shared" si="51"/>
        <v>1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-1.540436814833513E-3</v>
      </c>
      <c r="BX155" s="12">
        <f t="shared" si="58"/>
        <v>-5.80399895692014E-5</v>
      </c>
      <c r="BY155" s="12">
        <f t="shared" si="59"/>
        <v>-1.4978833558158249E-3</v>
      </c>
    </row>
    <row r="156" spans="1:77" x14ac:dyDescent="0.3">
      <c r="A156" s="1">
        <v>46248</v>
      </c>
      <c r="B156" s="8">
        <v>34.369999999999997</v>
      </c>
      <c r="C156" s="8">
        <v>174.68</v>
      </c>
      <c r="D156" s="9">
        <v>1.4064105242782499E-2</v>
      </c>
      <c r="E156" s="9">
        <v>1.3718585083476301E-2</v>
      </c>
      <c r="F156" s="8">
        <v>0</v>
      </c>
      <c r="G156" s="8">
        <v>0.39700000000000002</v>
      </c>
      <c r="H156" s="8">
        <v>0</v>
      </c>
      <c r="I156" s="8">
        <v>2.0009999999999999</v>
      </c>
      <c r="J156" s="8">
        <v>0.39700000000000002</v>
      </c>
      <c r="K156" s="8">
        <v>2.0009999999999999</v>
      </c>
      <c r="L156" s="8">
        <v>34.766999999999904</v>
      </c>
      <c r="M156" s="8">
        <v>176.68100000000001</v>
      </c>
      <c r="N156" s="10">
        <v>5.0823392493453596</v>
      </c>
      <c r="O156" s="10">
        <v>5.0856511037897496</v>
      </c>
      <c r="P156" s="10">
        <v>5.0832613454417901</v>
      </c>
      <c r="Q156" s="10">
        <v>5.0831007855245298</v>
      </c>
      <c r="R156" s="8">
        <v>174.79382843725301</v>
      </c>
      <c r="S156" s="8">
        <v>174.71155598292501</v>
      </c>
      <c r="T156" s="8">
        <v>174.70850847692901</v>
      </c>
      <c r="U156" s="9">
        <v>6.5142755775486995E-4</v>
      </c>
      <c r="V156" s="9">
        <v>1.8063391899867499E-4</v>
      </c>
      <c r="W156" s="9">
        <v>1.6319069632198099E-4</v>
      </c>
      <c r="X156" s="10">
        <v>5.0818592343314002</v>
      </c>
      <c r="Y156" s="10">
        <v>5.08472288464342</v>
      </c>
      <c r="Z156" s="10">
        <v>5.0827513934448101</v>
      </c>
      <c r="AA156" s="10">
        <v>5.0825895927352498</v>
      </c>
      <c r="AB156" s="8">
        <v>176.780560530397</v>
      </c>
      <c r="AC156" s="8">
        <v>176.711815435603</v>
      </c>
      <c r="AD156" s="8">
        <v>176.70866440381801</v>
      </c>
      <c r="AE156" s="9">
        <v>5.6334574476215303E-4</v>
      </c>
      <c r="AF156" s="9">
        <v>1.7439763535426E-4</v>
      </c>
      <c r="AG156" s="9">
        <v>-6.0230454073985395E-4</v>
      </c>
      <c r="AZ156" s="9"/>
      <c r="BB156">
        <f t="shared" si="42"/>
        <v>0</v>
      </c>
      <c r="BC156">
        <f t="shared" si="43"/>
        <v>0</v>
      </c>
      <c r="BD156">
        <f t="shared" si="44"/>
        <v>1</v>
      </c>
      <c r="BE156">
        <f t="shared" si="40"/>
        <v>1</v>
      </c>
      <c r="BF156">
        <f t="shared" si="45"/>
        <v>1</v>
      </c>
      <c r="BG156" s="9">
        <f t="shared" si="46"/>
        <v>1.4064105242782499E-2</v>
      </c>
      <c r="BH156" s="9">
        <f t="shared" si="47"/>
        <v>-1.3718585083476301E-2</v>
      </c>
      <c r="BI156" s="9">
        <f t="shared" si="48"/>
        <v>3.4552015930619864E-4</v>
      </c>
      <c r="BJ156" s="12">
        <f t="shared" si="49"/>
        <v>3.8807361832388662E-4</v>
      </c>
      <c r="BL156" s="9"/>
      <c r="BN156">
        <f t="shared" si="50"/>
        <v>0</v>
      </c>
      <c r="BO156">
        <f t="shared" si="51"/>
        <v>1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-1.540436814833513E-3</v>
      </c>
      <c r="BX156" s="12">
        <f t="shared" si="58"/>
        <v>3.4552015930619864E-4</v>
      </c>
      <c r="BY156" s="12">
        <f t="shared" si="59"/>
        <v>-1.1523631965096263E-3</v>
      </c>
    </row>
    <row r="157" spans="1:77" x14ac:dyDescent="0.3">
      <c r="A157" s="1">
        <v>46251</v>
      </c>
      <c r="B157" s="8">
        <v>34.74</v>
      </c>
      <c r="C157" s="8">
        <v>176.62</v>
      </c>
      <c r="D157" s="9">
        <v>1.07076699512164E-2</v>
      </c>
      <c r="E157" s="9">
        <v>1.1044803423296E-2</v>
      </c>
      <c r="F157" s="8">
        <v>0</v>
      </c>
      <c r="G157" s="8">
        <v>0.39700000000000002</v>
      </c>
      <c r="H157" s="8">
        <v>0</v>
      </c>
      <c r="I157" s="8">
        <v>2.0009999999999999</v>
      </c>
      <c r="J157" s="8">
        <v>0.39700000000000002</v>
      </c>
      <c r="K157" s="8">
        <v>2.0009999999999999</v>
      </c>
      <c r="L157" s="8">
        <v>35.137</v>
      </c>
      <c r="M157" s="8">
        <v>178.62100000000001</v>
      </c>
      <c r="N157" s="10">
        <v>5.0840529648819803</v>
      </c>
      <c r="O157" s="10">
        <v>5.0856511037897496</v>
      </c>
      <c r="P157" s="10">
        <v>5.0833307547096398</v>
      </c>
      <c r="Q157" s="10">
        <v>5.08313676710197</v>
      </c>
      <c r="R157" s="8">
        <v>176.675519345655</v>
      </c>
      <c r="S157" s="8">
        <v>176.59249914064799</v>
      </c>
      <c r="T157" s="8">
        <v>176.58692128912199</v>
      </c>
      <c r="U157" s="9">
        <v>3.1429408567534698E-4</v>
      </c>
      <c r="V157" s="9">
        <v>-1.55718495095349E-4</v>
      </c>
      <c r="W157" s="9">
        <v>-1.8730499874414301E-4</v>
      </c>
      <c r="X157" s="10">
        <v>5.0835586418874597</v>
      </c>
      <c r="Y157" s="10">
        <v>5.08472288464342</v>
      </c>
      <c r="Z157" s="10">
        <v>5.08282312646815</v>
      </c>
      <c r="AA157" s="10">
        <v>5.0826270942002596</v>
      </c>
      <c r="AB157" s="8">
        <v>178.66190799771499</v>
      </c>
      <c r="AC157" s="8">
        <v>178.59263571147</v>
      </c>
      <c r="AD157" s="8">
        <v>178.586950519938</v>
      </c>
      <c r="AE157" s="9">
        <v>2.2899498956717099E-4</v>
      </c>
      <c r="AF157" s="9">
        <v>-1.58808543423362E-4</v>
      </c>
      <c r="AG157" s="9">
        <v>-3.0198887573076801E-4</v>
      </c>
      <c r="BB157">
        <f t="shared" si="42"/>
        <v>0</v>
      </c>
      <c r="BC157">
        <f t="shared" si="43"/>
        <v>0</v>
      </c>
      <c r="BD157">
        <f t="shared" si="44"/>
        <v>1</v>
      </c>
      <c r="BE157">
        <f t="shared" si="40"/>
        <v>1</v>
      </c>
      <c r="BF157">
        <f t="shared" si="45"/>
        <v>1</v>
      </c>
      <c r="BG157" s="9">
        <f t="shared" si="46"/>
        <v>1.07076699512164E-2</v>
      </c>
      <c r="BH157" s="9">
        <f t="shared" si="47"/>
        <v>-1.1044803423296E-2</v>
      </c>
      <c r="BI157" s="9">
        <f t="shared" si="48"/>
        <v>-3.3713347207959925E-4</v>
      </c>
      <c r="BJ157" s="12">
        <f t="shared" si="49"/>
        <v>5.0940146244287375E-5</v>
      </c>
      <c r="BL157" s="9"/>
      <c r="BN157">
        <f t="shared" si="50"/>
        <v>0</v>
      </c>
      <c r="BO157">
        <f t="shared" si="51"/>
        <v>1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-1.540436814833513E-3</v>
      </c>
      <c r="BX157" s="12">
        <f t="shared" si="58"/>
        <v>-3.3713347207959925E-4</v>
      </c>
      <c r="BY157" s="12">
        <f t="shared" si="59"/>
        <v>-1.4894966685892255E-3</v>
      </c>
    </row>
    <row r="158" spans="1:77" x14ac:dyDescent="0.3">
      <c r="A158" s="1">
        <v>46252</v>
      </c>
      <c r="B158" s="8">
        <v>35.24</v>
      </c>
      <c r="C158" s="8">
        <v>179.21</v>
      </c>
      <c r="D158" s="9">
        <v>1.4290040255019801E-2</v>
      </c>
      <c r="E158" s="9">
        <v>1.4557770514640999E-2</v>
      </c>
      <c r="F158" s="8">
        <v>0</v>
      </c>
      <c r="G158" s="8">
        <v>0.39700000000000002</v>
      </c>
      <c r="H158" s="8">
        <v>0</v>
      </c>
      <c r="I158" s="8">
        <v>2.0009999999999999</v>
      </c>
      <c r="J158" s="8">
        <v>0.39700000000000002</v>
      </c>
      <c r="K158" s="8">
        <v>2.0009999999999999</v>
      </c>
      <c r="L158" s="8">
        <v>35.637</v>
      </c>
      <c r="M158" s="8">
        <v>181.21100000000001</v>
      </c>
      <c r="N158" s="10">
        <v>5.0854143019296201</v>
      </c>
      <c r="O158" s="10">
        <v>5.0856511037897496</v>
      </c>
      <c r="P158" s="10">
        <v>5.0834106464410604</v>
      </c>
      <c r="Q158" s="10">
        <v>5.0832305780215403</v>
      </c>
      <c r="R158" s="8">
        <v>179.21834489755</v>
      </c>
      <c r="S158" s="8">
        <v>179.13657579596699</v>
      </c>
      <c r="T158" s="8">
        <v>179.129739672673</v>
      </c>
      <c r="U158" s="9">
        <v>4.6563826054194097E-5</v>
      </c>
      <c r="V158" s="9">
        <v>-4.0979437236997101E-4</v>
      </c>
      <c r="W158" s="9">
        <v>-4.4795661648879697E-4</v>
      </c>
      <c r="X158" s="10">
        <v>5.0849117490248901</v>
      </c>
      <c r="Y158" s="10">
        <v>5.08472288464342</v>
      </c>
      <c r="Z158" s="10">
        <v>5.0829062398452702</v>
      </c>
      <c r="AA158" s="10">
        <v>5.0827218184054601</v>
      </c>
      <c r="AB158" s="8">
        <v>181.204269440037</v>
      </c>
      <c r="AC158" s="8">
        <v>181.13656775794499</v>
      </c>
      <c r="AD158" s="8">
        <v>181.12958175601401</v>
      </c>
      <c r="AE158" s="9">
        <v>-3.7142805674365999E-5</v>
      </c>
      <c r="AF158" s="9">
        <v>-4.1083340816636598E-4</v>
      </c>
      <c r="AG158" s="9">
        <v>4.7175668268405597E-4</v>
      </c>
      <c r="BB158">
        <f t="shared" si="42"/>
        <v>0</v>
      </c>
      <c r="BC158">
        <f t="shared" si="43"/>
        <v>1</v>
      </c>
      <c r="BD158">
        <f t="shared" si="44"/>
        <v>1</v>
      </c>
      <c r="BE158">
        <f t="shared" si="40"/>
        <v>1</v>
      </c>
      <c r="BF158">
        <f t="shared" si="45"/>
        <v>1</v>
      </c>
      <c r="BG158" s="9">
        <f t="shared" si="46"/>
        <v>1.4290040255019801E-2</v>
      </c>
      <c r="BH158" s="9">
        <f t="shared" si="47"/>
        <v>-1.4557770514640999E-2</v>
      </c>
      <c r="BI158" s="9">
        <f t="shared" si="48"/>
        <v>-2.6773025962119855E-4</v>
      </c>
      <c r="BJ158" s="12">
        <f t="shared" si="49"/>
        <v>-2.1679011337691117E-4</v>
      </c>
      <c r="BL158" s="9"/>
      <c r="BN158">
        <f t="shared" si="50"/>
        <v>0</v>
      </c>
      <c r="BO158">
        <f t="shared" si="51"/>
        <v>0</v>
      </c>
      <c r="BP158">
        <f t="shared" si="52"/>
        <v>0</v>
      </c>
      <c r="BQ158">
        <f t="shared" si="41"/>
        <v>1</v>
      </c>
      <c r="BR158">
        <f t="shared" si="53"/>
        <v>0</v>
      </c>
      <c r="BS158" s="9">
        <f t="shared" si="54"/>
        <v>0</v>
      </c>
      <c r="BT158" s="9">
        <f t="shared" si="55"/>
        <v>0</v>
      </c>
      <c r="BU158" s="9">
        <f t="shared" si="56"/>
        <v>0</v>
      </c>
      <c r="BV158" s="12">
        <f t="shared" si="57"/>
        <v>-1.540436814833513E-3</v>
      </c>
      <c r="BX158" s="12">
        <f t="shared" si="58"/>
        <v>-2.6773025962119855E-4</v>
      </c>
      <c r="BY158" s="12">
        <f t="shared" si="59"/>
        <v>-1.7572269282104241E-3</v>
      </c>
    </row>
    <row r="159" spans="1:77" x14ac:dyDescent="0.3">
      <c r="A159" s="1">
        <v>46253</v>
      </c>
      <c r="B159" s="8">
        <v>35.22</v>
      </c>
      <c r="C159" s="8">
        <v>179.06</v>
      </c>
      <c r="D159" s="9">
        <v>-5.6769799991880296E-4</v>
      </c>
      <c r="E159" s="9">
        <v>-8.3735734928741599E-4</v>
      </c>
      <c r="F159" s="8">
        <v>0</v>
      </c>
      <c r="G159" s="8">
        <v>0.39700000000000002</v>
      </c>
      <c r="H159" s="8">
        <v>0</v>
      </c>
      <c r="I159" s="8">
        <v>2.0009999999999999</v>
      </c>
      <c r="J159" s="8">
        <v>0.39700000000000002</v>
      </c>
      <c r="K159" s="8">
        <v>2.0009999999999999</v>
      </c>
      <c r="L159" s="8">
        <v>35.616999999999997</v>
      </c>
      <c r="M159" s="8">
        <v>181.06100000000001</v>
      </c>
      <c r="N159" s="10">
        <v>5.08404315729699</v>
      </c>
      <c r="O159" s="10">
        <v>5.0856511037897496</v>
      </c>
      <c r="P159" s="10">
        <v>5.0835733767665499</v>
      </c>
      <c r="Q159" s="10">
        <v>5.0832749210153798</v>
      </c>
      <c r="R159" s="8">
        <v>179.11663187547501</v>
      </c>
      <c r="S159" s="8">
        <v>179.03772296765399</v>
      </c>
      <c r="T159" s="8">
        <v>179.031380957918</v>
      </c>
      <c r="U159" s="9">
        <v>3.1622317542288902E-4</v>
      </c>
      <c r="V159" s="9">
        <v>-1.2441873234874E-4</v>
      </c>
      <c r="W159" s="9">
        <v>-1.5984211664336499E-4</v>
      </c>
      <c r="X159" s="10">
        <v>5.0835556054692903</v>
      </c>
      <c r="Y159" s="10">
        <v>5.08472288464342</v>
      </c>
      <c r="Z159" s="10">
        <v>5.0830721586113601</v>
      </c>
      <c r="AA159" s="10">
        <v>5.08276729292428</v>
      </c>
      <c r="AB159" s="8">
        <v>181.10257498234401</v>
      </c>
      <c r="AC159" s="8">
        <v>181.03787154456899</v>
      </c>
      <c r="AD159" s="8">
        <v>181.031303006147</v>
      </c>
      <c r="AE159" s="9">
        <v>2.29592291435902E-4</v>
      </c>
      <c r="AF159" s="9">
        <v>-1.2774663098883801E-4</v>
      </c>
      <c r="AG159" s="9">
        <v>-1.34721654915505E-3</v>
      </c>
      <c r="BB159">
        <f t="shared" si="42"/>
        <v>1</v>
      </c>
      <c r="BC159">
        <f t="shared" si="43"/>
        <v>0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-2.1679011337691117E-4</v>
      </c>
      <c r="BL159" s="9"/>
      <c r="BN159">
        <f t="shared" si="50"/>
        <v>0</v>
      </c>
      <c r="BO159">
        <f t="shared" si="51"/>
        <v>1</v>
      </c>
      <c r="BP159">
        <f t="shared" si="52"/>
        <v>0</v>
      </c>
      <c r="BQ159">
        <f t="shared" si="41"/>
        <v>1</v>
      </c>
      <c r="BR159">
        <f t="shared" si="53"/>
        <v>0</v>
      </c>
      <c r="BS159" s="9">
        <f t="shared" si="54"/>
        <v>0</v>
      </c>
      <c r="BT159" s="9">
        <f t="shared" si="55"/>
        <v>0</v>
      </c>
      <c r="BU159" s="9">
        <f t="shared" si="56"/>
        <v>0</v>
      </c>
      <c r="BV159" s="12">
        <f t="shared" si="57"/>
        <v>-1.540436814833513E-3</v>
      </c>
      <c r="BX159" s="12">
        <f t="shared" si="58"/>
        <v>0</v>
      </c>
      <c r="BY159" s="12">
        <f t="shared" si="59"/>
        <v>-1.7572269282104241E-3</v>
      </c>
    </row>
    <row r="160" spans="1:77" x14ac:dyDescent="0.3">
      <c r="A160" s="1">
        <v>46254</v>
      </c>
      <c r="B160" s="8">
        <v>35.35</v>
      </c>
      <c r="C160" s="8">
        <v>179.72</v>
      </c>
      <c r="D160" s="9">
        <v>3.6842892745217399E-3</v>
      </c>
      <c r="E160" s="9">
        <v>3.6791389959492399E-3</v>
      </c>
      <c r="F160" s="8">
        <v>0</v>
      </c>
      <c r="G160" s="8">
        <v>0.39700000000000002</v>
      </c>
      <c r="H160" s="8">
        <v>0</v>
      </c>
      <c r="I160" s="8">
        <v>2.0009999999999999</v>
      </c>
      <c r="J160" s="8">
        <v>0.39700000000000002</v>
      </c>
      <c r="K160" s="8">
        <v>2.0009999999999999</v>
      </c>
      <c r="L160" s="8">
        <v>35.747</v>
      </c>
      <c r="M160" s="8">
        <v>181.721</v>
      </c>
      <c r="N160" s="10">
        <v>5.0840169731258804</v>
      </c>
      <c r="O160" s="10">
        <v>5.0856511037897496</v>
      </c>
      <c r="P160" s="10">
        <v>5.0838636189707804</v>
      </c>
      <c r="Q160" s="10">
        <v>5.0832120865752097</v>
      </c>
      <c r="R160" s="8">
        <v>179.77776651896701</v>
      </c>
      <c r="S160" s="8">
        <v>179.70431886869699</v>
      </c>
      <c r="T160" s="8">
        <v>179.69376845789299</v>
      </c>
      <c r="U160" s="9">
        <v>3.2137345399525698E-4</v>
      </c>
      <c r="V160" s="9">
        <v>-8.7256929979758396E-5</v>
      </c>
      <c r="W160" s="9">
        <v>-1.4596848788165799E-4</v>
      </c>
      <c r="X160" s="10">
        <v>5.0835314851595896</v>
      </c>
      <c r="Y160" s="10">
        <v>5.08472288464342</v>
      </c>
      <c r="Z160" s="10">
        <v>5.0833634054237997</v>
      </c>
      <c r="AA160" s="10">
        <v>5.0827068575907202</v>
      </c>
      <c r="AB160" s="8">
        <v>181.76358895734799</v>
      </c>
      <c r="AC160" s="8">
        <v>181.70458045388</v>
      </c>
      <c r="AD160" s="8">
        <v>181.69368242016401</v>
      </c>
      <c r="AE160" s="9">
        <v>2.3433707418262501E-4</v>
      </c>
      <c r="AF160" s="9">
        <v>-9.0359881164087504E-5</v>
      </c>
      <c r="AG160" s="9">
        <v>-1.1874406120039301E-3</v>
      </c>
      <c r="BB160">
        <f t="shared" si="42"/>
        <v>1</v>
      </c>
      <c r="BC160">
        <f t="shared" si="43"/>
        <v>0</v>
      </c>
      <c r="BD160">
        <f t="shared" si="44"/>
        <v>1</v>
      </c>
      <c r="BE160">
        <f t="shared" si="40"/>
        <v>1</v>
      </c>
      <c r="BF160">
        <f t="shared" si="45"/>
        <v>1</v>
      </c>
      <c r="BG160" s="9">
        <f t="shared" si="46"/>
        <v>3.6842892745217399E-3</v>
      </c>
      <c r="BH160" s="9">
        <f t="shared" si="47"/>
        <v>-3.6791389959492399E-3</v>
      </c>
      <c r="BI160" s="9">
        <f t="shared" si="48"/>
        <v>5.1502785724999098E-6</v>
      </c>
      <c r="BJ160" s="12">
        <f t="shared" si="49"/>
        <v>-2.1163983480441126E-4</v>
      </c>
      <c r="BL160" s="9"/>
      <c r="BN160">
        <f t="shared" si="50"/>
        <v>0</v>
      </c>
      <c r="BO160">
        <f t="shared" si="51"/>
        <v>1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-1.540436814833513E-3</v>
      </c>
      <c r="BX160" s="12">
        <f t="shared" si="58"/>
        <v>5.1502785724999098E-6</v>
      </c>
      <c r="BY160" s="12">
        <f t="shared" si="59"/>
        <v>-1.7520766496379242E-3</v>
      </c>
    </row>
    <row r="161" spans="1:77" x14ac:dyDescent="0.3">
      <c r="A161" s="1">
        <v>46255</v>
      </c>
      <c r="B161" s="8">
        <v>35.32</v>
      </c>
      <c r="C161" s="8">
        <v>179.58</v>
      </c>
      <c r="D161" s="9">
        <v>-8.4901660682248296E-4</v>
      </c>
      <c r="E161" s="9">
        <v>-7.7929310929654102E-4</v>
      </c>
      <c r="F161" s="8">
        <v>0</v>
      </c>
      <c r="G161" s="8">
        <v>0.39700000000000002</v>
      </c>
      <c r="H161" s="8">
        <v>0</v>
      </c>
      <c r="I161" s="8">
        <v>2.0009999999999999</v>
      </c>
      <c r="J161" s="8">
        <v>0.39700000000000002</v>
      </c>
      <c r="K161" s="8">
        <v>2.0009999999999999</v>
      </c>
      <c r="L161" s="8">
        <v>35.716999999999999</v>
      </c>
      <c r="M161" s="8">
        <v>181.58099999999999</v>
      </c>
      <c r="N161" s="10">
        <v>5.0843714609286499</v>
      </c>
      <c r="O161" s="10">
        <v>5.0856511037897496</v>
      </c>
      <c r="P161" s="10">
        <v>5.0841004520746003</v>
      </c>
      <c r="Q161" s="10">
        <v>5.0833067925521496</v>
      </c>
      <c r="R161" s="8">
        <v>179.62519698585399</v>
      </c>
      <c r="S161" s="8">
        <v>179.56206302204799</v>
      </c>
      <c r="T161" s="8">
        <v>179.53905089783601</v>
      </c>
      <c r="U161" s="9">
        <v>2.5164995646930898E-4</v>
      </c>
      <c r="V161" s="9">
        <v>-9.9887926331724706E-5</v>
      </c>
      <c r="W161" s="9">
        <v>-2.28053077320915E-4</v>
      </c>
      <c r="X161" s="10">
        <v>5.0838816249964998</v>
      </c>
      <c r="Y161" s="10">
        <v>5.08472288464342</v>
      </c>
      <c r="Z161" s="10">
        <v>5.0836024350826898</v>
      </c>
      <c r="AA161" s="10">
        <v>5.0828020643144702</v>
      </c>
      <c r="AB161" s="8">
        <v>181.611047270809</v>
      </c>
      <c r="AC161" s="8">
        <v>181.56249075152101</v>
      </c>
      <c r="AD161" s="8">
        <v>181.53904083256799</v>
      </c>
      <c r="AE161" s="9">
        <v>1.65462163081369E-4</v>
      </c>
      <c r="AF161" s="9">
        <v>-1.0193903493031699E-4</v>
      </c>
      <c r="AG161" s="9">
        <v>-3.7168816841461698E-3</v>
      </c>
      <c r="BB161">
        <f t="shared" si="42"/>
        <v>1</v>
      </c>
      <c r="BC161">
        <f t="shared" si="43"/>
        <v>0</v>
      </c>
      <c r="BD161">
        <f t="shared" si="44"/>
        <v>1</v>
      </c>
      <c r="BE161">
        <f t="shared" si="40"/>
        <v>1</v>
      </c>
      <c r="BF161">
        <f t="shared" si="45"/>
        <v>1</v>
      </c>
      <c r="BG161" s="9">
        <f t="shared" si="46"/>
        <v>-8.4901660682248296E-4</v>
      </c>
      <c r="BH161" s="9">
        <f t="shared" si="47"/>
        <v>7.7929310929654102E-4</v>
      </c>
      <c r="BI161" s="9">
        <f t="shared" si="48"/>
        <v>-6.9723497525941936E-5</v>
      </c>
      <c r="BJ161" s="12">
        <f t="shared" si="49"/>
        <v>-2.813633323303532E-4</v>
      </c>
      <c r="BL161" s="9"/>
      <c r="BN161">
        <f t="shared" si="50"/>
        <v>0</v>
      </c>
      <c r="BO161">
        <f t="shared" si="51"/>
        <v>1</v>
      </c>
      <c r="BP161">
        <f t="shared" si="52"/>
        <v>0</v>
      </c>
      <c r="BQ161">
        <f t="shared" si="41"/>
        <v>1</v>
      </c>
      <c r="BR161">
        <f t="shared" si="53"/>
        <v>0</v>
      </c>
      <c r="BS161" s="9">
        <f t="shared" si="54"/>
        <v>0</v>
      </c>
      <c r="BT161" s="9">
        <f t="shared" si="55"/>
        <v>0</v>
      </c>
      <c r="BU161" s="9">
        <f t="shared" si="56"/>
        <v>0</v>
      </c>
      <c r="BV161" s="12">
        <f t="shared" si="57"/>
        <v>-1.540436814833513E-3</v>
      </c>
      <c r="BX161" s="12">
        <f t="shared" si="58"/>
        <v>-6.9723497525941936E-5</v>
      </c>
      <c r="BY161" s="12">
        <f t="shared" si="59"/>
        <v>-1.8218001471638661E-3</v>
      </c>
    </row>
    <row r="162" spans="1:77" x14ac:dyDescent="0.3">
      <c r="A162" s="1">
        <v>46258</v>
      </c>
      <c r="B162" s="8">
        <v>35.020000000000003</v>
      </c>
      <c r="C162" s="8">
        <v>177.87</v>
      </c>
      <c r="D162" s="9">
        <v>-8.5300488780533402E-3</v>
      </c>
      <c r="E162" s="9">
        <v>-9.5678447052765601E-3</v>
      </c>
      <c r="F162" s="8">
        <v>0</v>
      </c>
      <c r="G162" s="8">
        <v>0.39700000000000002</v>
      </c>
      <c r="H162" s="8">
        <v>0</v>
      </c>
      <c r="I162" s="8">
        <v>2.0009999999999999</v>
      </c>
      <c r="J162" s="8">
        <v>0.39700000000000002</v>
      </c>
      <c r="K162" s="8">
        <v>2.0009999999999999</v>
      </c>
      <c r="L162" s="8">
        <v>35.417000000000002</v>
      </c>
      <c r="M162" s="8">
        <v>179.87100000000001</v>
      </c>
      <c r="N162" s="10">
        <v>5.07909765848086</v>
      </c>
      <c r="O162" s="10">
        <v>5.0856511037897496</v>
      </c>
      <c r="P162" s="10">
        <v>5.0835797246491401</v>
      </c>
      <c r="Q162" s="10">
        <v>5.0832159682495197</v>
      </c>
      <c r="R162" s="8">
        <v>178.09950165471699</v>
      </c>
      <c r="S162" s="8">
        <v>178.04519783165199</v>
      </c>
      <c r="T162" s="8">
        <v>178.017403875176</v>
      </c>
      <c r="U162" s="9">
        <v>1.28944578369248E-3</v>
      </c>
      <c r="V162" s="9">
        <v>9.8449207491256596E-4</v>
      </c>
      <c r="W162" s="9">
        <v>8.2837370472047705E-4</v>
      </c>
      <c r="X162" s="10">
        <v>5.0786627890561</v>
      </c>
      <c r="Y162" s="10">
        <v>5.08472288464342</v>
      </c>
      <c r="Z162" s="10">
        <v>5.0830898325512397</v>
      </c>
      <c r="AA162" s="10">
        <v>5.0827140914018996</v>
      </c>
      <c r="AB162" s="8">
        <v>180.085630405416</v>
      </c>
      <c r="AC162" s="8">
        <v>180.045947443323</v>
      </c>
      <c r="AD162" s="8">
        <v>180.017600711825</v>
      </c>
      <c r="AE162" s="9">
        <v>1.1925349485052499E-3</v>
      </c>
      <c r="AF162" s="9">
        <v>9.7215459480168396E-4</v>
      </c>
      <c r="AG162" s="9">
        <v>-2.5997571306653399E-3</v>
      </c>
      <c r="BB162">
        <f t="shared" si="42"/>
        <v>1</v>
      </c>
      <c r="BC162">
        <f t="shared" si="43"/>
        <v>0</v>
      </c>
      <c r="BD162">
        <f t="shared" si="44"/>
        <v>1</v>
      </c>
      <c r="BE162">
        <f t="shared" si="40"/>
        <v>1</v>
      </c>
      <c r="BF162">
        <f t="shared" si="45"/>
        <v>1</v>
      </c>
      <c r="BG162" s="9">
        <f t="shared" si="46"/>
        <v>-8.5300488780533402E-3</v>
      </c>
      <c r="BH162" s="9">
        <f t="shared" si="47"/>
        <v>9.5678447052765601E-3</v>
      </c>
      <c r="BI162" s="9">
        <f t="shared" si="48"/>
        <v>1.0377958272232198E-3</v>
      </c>
      <c r="BJ162" s="12">
        <f t="shared" si="49"/>
        <v>7.5643249489286662E-4</v>
      </c>
      <c r="BL162" s="9"/>
      <c r="BN162">
        <f t="shared" si="50"/>
        <v>0</v>
      </c>
      <c r="BO162">
        <f t="shared" si="51"/>
        <v>1</v>
      </c>
      <c r="BP162">
        <f t="shared" si="52"/>
        <v>0</v>
      </c>
      <c r="BQ162">
        <f t="shared" si="41"/>
        <v>1</v>
      </c>
      <c r="BR162">
        <f t="shared" si="53"/>
        <v>0</v>
      </c>
      <c r="BS162" s="9">
        <f t="shared" si="54"/>
        <v>0</v>
      </c>
      <c r="BT162" s="9">
        <f t="shared" si="55"/>
        <v>0</v>
      </c>
      <c r="BU162" s="9">
        <f t="shared" si="56"/>
        <v>0</v>
      </c>
      <c r="BV162" s="12">
        <f t="shared" si="57"/>
        <v>-1.540436814833513E-3</v>
      </c>
      <c r="BX162" s="12">
        <f t="shared" si="58"/>
        <v>1.0377958272232198E-3</v>
      </c>
      <c r="BY162" s="12">
        <f t="shared" si="59"/>
        <v>-7.8400431994064628E-4</v>
      </c>
    </row>
    <row r="163" spans="1:77" x14ac:dyDescent="0.3">
      <c r="A163" s="1">
        <v>46259</v>
      </c>
      <c r="B163" s="8">
        <v>34.47</v>
      </c>
      <c r="C163" s="8">
        <v>175.13</v>
      </c>
      <c r="D163" s="9">
        <v>-1.5829946328931799E-2</v>
      </c>
      <c r="E163" s="9">
        <v>-1.5524391102812901E-2</v>
      </c>
      <c r="F163" s="8">
        <v>0</v>
      </c>
      <c r="G163" s="8">
        <v>0.39700000000000002</v>
      </c>
      <c r="H163" s="8">
        <v>0</v>
      </c>
      <c r="I163" s="8">
        <v>2.0009999999999999</v>
      </c>
      <c r="J163" s="8">
        <v>0.39700000000000002</v>
      </c>
      <c r="K163" s="8">
        <v>2.0009999999999999</v>
      </c>
      <c r="L163" s="8">
        <v>34.866999999999997</v>
      </c>
      <c r="M163" s="8">
        <v>177.131</v>
      </c>
      <c r="N163" s="10">
        <v>5.0806498404409597</v>
      </c>
      <c r="O163" s="10">
        <v>5.0856511037897496</v>
      </c>
      <c r="P163" s="10">
        <v>5.0831881740983196</v>
      </c>
      <c r="Q163" s="10">
        <v>5.0832189839466997</v>
      </c>
      <c r="R163" s="8">
        <v>175.30239354763199</v>
      </c>
      <c r="S163" s="8">
        <v>175.23099310865601</v>
      </c>
      <c r="T163" s="8">
        <v>175.21845442556</v>
      </c>
      <c r="U163" s="9">
        <v>9.8389055757375698E-4</v>
      </c>
      <c r="V163" s="9">
        <v>5.7650887764189502E-4</v>
      </c>
      <c r="W163" s="9">
        <v>5.0495114976588905E-4</v>
      </c>
      <c r="X163" s="10">
        <v>5.0801904379499199</v>
      </c>
      <c r="Y163" s="10">
        <v>5.08472288464342</v>
      </c>
      <c r="Z163" s="10">
        <v>5.0827036976339004</v>
      </c>
      <c r="AA163" s="10">
        <v>5.0827189055222703</v>
      </c>
      <c r="AB163" s="8">
        <v>177.28903281886201</v>
      </c>
      <c r="AC163" s="8">
        <v>177.23209319156399</v>
      </c>
      <c r="AD163" s="8">
        <v>177.21899222491001</v>
      </c>
      <c r="AE163" s="9">
        <v>8.9178271374023004E-4</v>
      </c>
      <c r="AF163" s="9">
        <v>5.7056277162671905E-4</v>
      </c>
      <c r="AG163" s="9">
        <v>-4.41534571623822E-4</v>
      </c>
      <c r="BB163">
        <f t="shared" si="42"/>
        <v>0</v>
      </c>
      <c r="BC163">
        <f t="shared" si="43"/>
        <v>0</v>
      </c>
      <c r="BD163">
        <f t="shared" si="44"/>
        <v>1</v>
      </c>
      <c r="BE163">
        <f t="shared" si="40"/>
        <v>1</v>
      </c>
      <c r="BF163">
        <f t="shared" si="45"/>
        <v>1</v>
      </c>
      <c r="BG163" s="9">
        <f t="shared" si="46"/>
        <v>-1.5829946328931799E-2</v>
      </c>
      <c r="BH163" s="9">
        <f t="shared" si="47"/>
        <v>1.5524391102812901E-2</v>
      </c>
      <c r="BI163" s="9">
        <f t="shared" si="48"/>
        <v>-3.0555522611889867E-4</v>
      </c>
      <c r="BJ163" s="12">
        <f t="shared" si="49"/>
        <v>4.5087726877396795E-4</v>
      </c>
      <c r="BL163" s="9"/>
      <c r="BN163">
        <f t="shared" si="50"/>
        <v>0</v>
      </c>
      <c r="BO163">
        <f t="shared" si="51"/>
        <v>1</v>
      </c>
      <c r="BP163">
        <f t="shared" si="52"/>
        <v>0</v>
      </c>
      <c r="BQ163">
        <f t="shared" si="41"/>
        <v>1</v>
      </c>
      <c r="BR163">
        <f t="shared" si="53"/>
        <v>0</v>
      </c>
      <c r="BS163" s="9">
        <f t="shared" si="54"/>
        <v>0</v>
      </c>
      <c r="BT163" s="9">
        <f t="shared" si="55"/>
        <v>0</v>
      </c>
      <c r="BU163" s="9">
        <f t="shared" si="56"/>
        <v>0</v>
      </c>
      <c r="BV163" s="12">
        <f t="shared" si="57"/>
        <v>-1.540436814833513E-3</v>
      </c>
      <c r="BX163" s="12">
        <f t="shared" si="58"/>
        <v>-3.0555522611889867E-4</v>
      </c>
      <c r="BY163" s="12">
        <f t="shared" si="59"/>
        <v>-1.0895595460595449E-3</v>
      </c>
    </row>
    <row r="164" spans="1:77" x14ac:dyDescent="0.3">
      <c r="A164" s="1">
        <v>46260</v>
      </c>
      <c r="B164" s="8">
        <v>34.61</v>
      </c>
      <c r="C164" s="8">
        <v>175.94</v>
      </c>
      <c r="D164" s="9">
        <v>4.0532771184789403E-3</v>
      </c>
      <c r="E164" s="9">
        <v>4.6144725399554698E-3</v>
      </c>
      <c r="F164" s="8">
        <v>0</v>
      </c>
      <c r="G164" s="8">
        <v>0.39700000000000002</v>
      </c>
      <c r="H164" s="8">
        <v>0</v>
      </c>
      <c r="I164" s="8">
        <v>2.0009999999999999</v>
      </c>
      <c r="J164" s="8">
        <v>0.39700000000000002</v>
      </c>
      <c r="K164" s="8">
        <v>2.0009999999999999</v>
      </c>
      <c r="L164" s="8">
        <v>35.006999999999998</v>
      </c>
      <c r="M164" s="8">
        <v>177.941</v>
      </c>
      <c r="N164" s="10">
        <v>5.0835018780699199</v>
      </c>
      <c r="O164" s="10">
        <v>5.0856511037897496</v>
      </c>
      <c r="P164" s="10">
        <v>5.0831583087923002</v>
      </c>
      <c r="Q164" s="10">
        <v>5.0831760975546301</v>
      </c>
      <c r="R164" s="8">
        <v>176.014384702163</v>
      </c>
      <c r="S164" s="8">
        <v>175.929142705543</v>
      </c>
      <c r="T164" s="8">
        <v>175.93020903439501</v>
      </c>
      <c r="U164" s="9">
        <v>4.22695136096964E-4</v>
      </c>
      <c r="V164" s="9">
        <v>-6.1712114775341895E-5</v>
      </c>
      <c r="W164" s="9">
        <v>-5.5651006284650398E-5</v>
      </c>
      <c r="X164" s="10">
        <v>5.0830119690347599</v>
      </c>
      <c r="Y164" s="10">
        <v>5.08472288464342</v>
      </c>
      <c r="Z164" s="10">
        <v>5.0826752069006602</v>
      </c>
      <c r="AA164" s="10">
        <v>5.0826781239819203</v>
      </c>
      <c r="AB164" s="8">
        <v>178.000894022712</v>
      </c>
      <c r="AC164" s="8">
        <v>177.93020834307001</v>
      </c>
      <c r="AD164" s="8">
        <v>177.93074072561799</v>
      </c>
      <c r="AE164" s="9">
        <v>3.3653820628257001E-4</v>
      </c>
      <c r="AF164" s="9">
        <v>-6.0649227474650398E-5</v>
      </c>
      <c r="AG164" s="9">
        <v>3.0331488899726198E-4</v>
      </c>
      <c r="BB164">
        <f t="shared" si="42"/>
        <v>0</v>
      </c>
      <c r="BC164">
        <f t="shared" si="43"/>
        <v>1</v>
      </c>
      <c r="BD164">
        <f t="shared" si="44"/>
        <v>1</v>
      </c>
      <c r="BE164">
        <f t="shared" si="40"/>
        <v>1</v>
      </c>
      <c r="BF164">
        <f t="shared" si="45"/>
        <v>1</v>
      </c>
      <c r="BG164" s="9">
        <f t="shared" si="46"/>
        <v>4.0532771184789403E-3</v>
      </c>
      <c r="BH164" s="9">
        <f t="shared" si="47"/>
        <v>-4.6144725399554698E-3</v>
      </c>
      <c r="BI164" s="9">
        <f t="shared" si="48"/>
        <v>-5.6119542147652947E-4</v>
      </c>
      <c r="BJ164" s="12">
        <f t="shared" si="49"/>
        <v>-1.1031815270256152E-4</v>
      </c>
      <c r="BL164" s="9"/>
      <c r="BN164">
        <f t="shared" si="50"/>
        <v>0</v>
      </c>
      <c r="BO164">
        <f t="shared" si="51"/>
        <v>0</v>
      </c>
      <c r="BP164">
        <f t="shared" si="52"/>
        <v>0</v>
      </c>
      <c r="BQ164">
        <f t="shared" si="41"/>
        <v>1</v>
      </c>
      <c r="BR164">
        <f t="shared" si="53"/>
        <v>0</v>
      </c>
      <c r="BS164" s="9">
        <f t="shared" si="54"/>
        <v>0</v>
      </c>
      <c r="BT164" s="9">
        <f t="shared" si="55"/>
        <v>0</v>
      </c>
      <c r="BU164" s="9">
        <f t="shared" si="56"/>
        <v>0</v>
      </c>
      <c r="BV164" s="12">
        <f t="shared" si="57"/>
        <v>-1.540436814833513E-3</v>
      </c>
      <c r="BX164" s="12">
        <f t="shared" si="58"/>
        <v>-5.6119542147652947E-4</v>
      </c>
      <c r="BY164" s="12">
        <f t="shared" si="59"/>
        <v>-1.6507549675360744E-3</v>
      </c>
    </row>
    <row r="165" spans="1:77" x14ac:dyDescent="0.3">
      <c r="A165" s="1">
        <v>46261</v>
      </c>
      <c r="B165" s="8">
        <v>34.590000000000003</v>
      </c>
      <c r="C165" s="8">
        <v>175.74</v>
      </c>
      <c r="D165" s="9">
        <v>-5.7803469817538703E-4</v>
      </c>
      <c r="E165" s="9">
        <v>-1.13739775683128E-3</v>
      </c>
      <c r="F165" s="8">
        <v>0</v>
      </c>
      <c r="G165" s="8">
        <v>0.39700000000000002</v>
      </c>
      <c r="H165" s="8">
        <v>0</v>
      </c>
      <c r="I165" s="8">
        <v>2.0009999999999999</v>
      </c>
      <c r="J165" s="8">
        <v>0.39700000000000002</v>
      </c>
      <c r="K165" s="8">
        <v>2.0009999999999999</v>
      </c>
      <c r="L165" s="8">
        <v>34.987000000000002</v>
      </c>
      <c r="M165" s="8">
        <v>177.74100000000001</v>
      </c>
      <c r="N165" s="10">
        <v>5.0806591500433598</v>
      </c>
      <c r="O165" s="10">
        <v>5.0856511037897496</v>
      </c>
      <c r="P165" s="10">
        <v>5.0828146634543598</v>
      </c>
      <c r="Q165" s="10">
        <v>5.0830360192879196</v>
      </c>
      <c r="R165" s="8">
        <v>175.91267168008699</v>
      </c>
      <c r="S165" s="8">
        <v>175.826445901125</v>
      </c>
      <c r="T165" s="8">
        <v>175.82706121441399</v>
      </c>
      <c r="U165" s="9">
        <v>9.8205819475301499E-4</v>
      </c>
      <c r="V165" s="9">
        <v>4.9177561667796896E-4</v>
      </c>
      <c r="W165" s="9">
        <v>4.9527515970141398E-4</v>
      </c>
      <c r="X165" s="10">
        <v>5.0802012175950999</v>
      </c>
      <c r="Y165" s="10">
        <v>5.08472288464342</v>
      </c>
      <c r="Z165" s="10">
        <v>5.0823364754505</v>
      </c>
      <c r="AA165" s="10">
        <v>5.08254102565063</v>
      </c>
      <c r="AB165" s="8">
        <v>177.89919956501899</v>
      </c>
      <c r="AC165" s="8">
        <v>177.82755746383299</v>
      </c>
      <c r="AD165" s="8">
        <v>177.82765952375499</v>
      </c>
      <c r="AE165" s="9">
        <v>8.8966081813856895E-4</v>
      </c>
      <c r="AF165" s="9">
        <v>4.8686793995955402E-4</v>
      </c>
      <c r="AG165" s="9">
        <v>4.5440767409752703E-4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-1.1031815270256152E-4</v>
      </c>
      <c r="BL165" s="9"/>
      <c r="BN165">
        <f t="shared" si="50"/>
        <v>0</v>
      </c>
      <c r="BO165">
        <f t="shared" si="51"/>
        <v>0</v>
      </c>
      <c r="BP165">
        <f t="shared" si="52"/>
        <v>0</v>
      </c>
      <c r="BQ165">
        <f t="shared" si="41"/>
        <v>1</v>
      </c>
      <c r="BR165">
        <f t="shared" si="53"/>
        <v>0</v>
      </c>
      <c r="BS165" s="9">
        <f t="shared" si="54"/>
        <v>0</v>
      </c>
      <c r="BT165" s="9">
        <f t="shared" si="55"/>
        <v>0</v>
      </c>
      <c r="BU165" s="9">
        <f t="shared" si="56"/>
        <v>0</v>
      </c>
      <c r="BV165" s="12">
        <f t="shared" si="57"/>
        <v>-1.540436814833513E-3</v>
      </c>
      <c r="BX165" s="12">
        <f t="shared" si="58"/>
        <v>0</v>
      </c>
      <c r="BY165" s="12">
        <f t="shared" si="59"/>
        <v>-1.6507549675360744E-3</v>
      </c>
    </row>
    <row r="166" spans="1:77" x14ac:dyDescent="0.3">
      <c r="A166" s="1">
        <v>46262</v>
      </c>
      <c r="B166" s="8">
        <v>34.729999999999997</v>
      </c>
      <c r="C166" s="8">
        <v>176.56</v>
      </c>
      <c r="D166" s="9">
        <v>4.0392438069051196E-3</v>
      </c>
      <c r="E166" s="9">
        <v>4.6551318807839101E-3</v>
      </c>
      <c r="F166" s="8">
        <v>0</v>
      </c>
      <c r="G166" s="8">
        <v>0.39700000000000002</v>
      </c>
      <c r="H166" s="8">
        <v>0</v>
      </c>
      <c r="I166" s="8">
        <v>2.0009999999999999</v>
      </c>
      <c r="J166" s="8">
        <v>0.39700000000000002</v>
      </c>
      <c r="K166" s="8">
        <v>2.0009999999999999</v>
      </c>
      <c r="L166" s="8">
        <v>35.126999999999903</v>
      </c>
      <c r="M166" s="8">
        <v>178.56100000000001</v>
      </c>
      <c r="N166" s="10">
        <v>5.0837892312121999</v>
      </c>
      <c r="O166" s="10">
        <v>5.0856511037897496</v>
      </c>
      <c r="P166" s="10">
        <v>5.0829596616410404</v>
      </c>
      <c r="Q166" s="10">
        <v>5.0831105035414197</v>
      </c>
      <c r="R166" s="8">
        <v>176.62466283461799</v>
      </c>
      <c r="S166" s="8">
        <v>176.526153261769</v>
      </c>
      <c r="T166" s="8">
        <v>176.53384094986899</v>
      </c>
      <c r="U166" s="9">
        <v>3.66170120874305E-4</v>
      </c>
      <c r="V166" s="9">
        <v>-1.9171943176511899E-4</v>
      </c>
      <c r="W166" s="9">
        <v>-1.4817052661110199E-4</v>
      </c>
      <c r="X166" s="10">
        <v>5.0832977481709198</v>
      </c>
      <c r="Y166" s="10">
        <v>5.08472288464342</v>
      </c>
      <c r="Z166" s="10">
        <v>5.0824803268344496</v>
      </c>
      <c r="AA166" s="10">
        <v>5.0826158601396303</v>
      </c>
      <c r="AB166" s="8">
        <v>178.61106076886901</v>
      </c>
      <c r="AC166" s="8">
        <v>178.52723337314899</v>
      </c>
      <c r="AD166" s="8">
        <v>178.534418608029</v>
      </c>
      <c r="AE166" s="9">
        <v>2.8031738590943698E-4</v>
      </c>
      <c r="AF166" s="9">
        <v>-1.8912203648816599E-4</v>
      </c>
      <c r="AG166" s="9">
        <v>-1.0039690772219599E-3</v>
      </c>
      <c r="BB166">
        <f t="shared" si="42"/>
        <v>0</v>
      </c>
      <c r="BC166">
        <f t="shared" si="43"/>
        <v>0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-1.1031815270256152E-4</v>
      </c>
      <c r="BL166" s="9"/>
      <c r="BN166">
        <f t="shared" si="50"/>
        <v>0</v>
      </c>
      <c r="BO166">
        <f t="shared" si="51"/>
        <v>1</v>
      </c>
      <c r="BP166">
        <f t="shared" si="52"/>
        <v>0</v>
      </c>
      <c r="BQ166">
        <f t="shared" si="41"/>
        <v>1</v>
      </c>
      <c r="BR166">
        <f t="shared" si="53"/>
        <v>0</v>
      </c>
      <c r="BS166" s="9">
        <f t="shared" si="54"/>
        <v>0</v>
      </c>
      <c r="BT166" s="9">
        <f t="shared" si="55"/>
        <v>0</v>
      </c>
      <c r="BU166" s="9">
        <f t="shared" si="56"/>
        <v>0</v>
      </c>
      <c r="BV166" s="12">
        <f t="shared" si="57"/>
        <v>-1.540436814833513E-3</v>
      </c>
      <c r="BX166" s="12">
        <f t="shared" si="58"/>
        <v>0</v>
      </c>
      <c r="BY166" s="12">
        <f t="shared" si="59"/>
        <v>-1.6507549675360744E-3</v>
      </c>
    </row>
    <row r="167" spans="1:77" x14ac:dyDescent="0.3">
      <c r="A167" s="1">
        <v>46265</v>
      </c>
      <c r="B167" s="8">
        <v>35.450000000000003</v>
      </c>
      <c r="C167" s="8">
        <v>180.17</v>
      </c>
      <c r="D167" s="9">
        <v>2.0519386222154101E-2</v>
      </c>
      <c r="E167" s="9">
        <v>2.0240087679127699E-2</v>
      </c>
      <c r="F167" s="8">
        <v>0</v>
      </c>
      <c r="G167" s="8">
        <v>0.39700000000000002</v>
      </c>
      <c r="H167" s="8">
        <v>0</v>
      </c>
      <c r="I167" s="8">
        <v>2.0009999999999999</v>
      </c>
      <c r="J167" s="8">
        <v>0.39700000000000002</v>
      </c>
      <c r="K167" s="8">
        <v>2.0009999999999999</v>
      </c>
      <c r="L167" s="8">
        <v>35.847000000000001</v>
      </c>
      <c r="M167" s="8">
        <v>182.17099999999999</v>
      </c>
      <c r="N167" s="10">
        <v>5.0823695345557098</v>
      </c>
      <c r="O167" s="10">
        <v>5.0856511037897496</v>
      </c>
      <c r="P167" s="10">
        <v>5.0827913186084199</v>
      </c>
      <c r="Q167" s="10">
        <v>5.0830610366590303</v>
      </c>
      <c r="R167" s="8">
        <v>180.28633162934599</v>
      </c>
      <c r="S167" s="8">
        <v>180.190920005175</v>
      </c>
      <c r="T167" s="8">
        <v>180.196267350543</v>
      </c>
      <c r="U167" s="9">
        <v>6.4546866390053801E-4</v>
      </c>
      <c r="V167" s="9">
        <v>1.1610584853827E-4</v>
      </c>
      <c r="W167" s="9">
        <v>1.4578140614008699E-4</v>
      </c>
      <c r="X167" s="10">
        <v>5.0819036460512699</v>
      </c>
      <c r="Y167" s="10">
        <v>5.08472288464342</v>
      </c>
      <c r="Z167" s="10">
        <v>5.0823148272508298</v>
      </c>
      <c r="AA167" s="10">
        <v>5.0825689768594904</v>
      </c>
      <c r="AB167" s="8">
        <v>182.27206124581201</v>
      </c>
      <c r="AC167" s="8">
        <v>182.19167227603401</v>
      </c>
      <c r="AD167" s="8">
        <v>182.196530738425</v>
      </c>
      <c r="AE167" s="9">
        <v>5.5460651690173097E-4</v>
      </c>
      <c r="AF167" s="9">
        <v>1.13470877397224E-4</v>
      </c>
      <c r="AG167" s="9">
        <v>-2.60882903280895E-3</v>
      </c>
      <c r="BB167">
        <f t="shared" si="42"/>
        <v>1</v>
      </c>
      <c r="BC167">
        <f t="shared" si="43"/>
        <v>0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-1.1031815270256152E-4</v>
      </c>
      <c r="BL167" s="9"/>
      <c r="BN167">
        <f t="shared" si="50"/>
        <v>0</v>
      </c>
      <c r="BO167">
        <f t="shared" si="51"/>
        <v>1</v>
      </c>
      <c r="BP167">
        <f t="shared" si="52"/>
        <v>0</v>
      </c>
      <c r="BQ167">
        <f t="shared" si="41"/>
        <v>1</v>
      </c>
      <c r="BR167">
        <f t="shared" si="53"/>
        <v>0</v>
      </c>
      <c r="BS167" s="9">
        <f t="shared" si="54"/>
        <v>0</v>
      </c>
      <c r="BT167" s="9">
        <f t="shared" si="55"/>
        <v>0</v>
      </c>
      <c r="BU167" s="9">
        <f t="shared" si="56"/>
        <v>0</v>
      </c>
      <c r="BV167" s="12">
        <f t="shared" si="57"/>
        <v>-1.540436814833513E-3</v>
      </c>
      <c r="BX167" s="12">
        <f t="shared" si="58"/>
        <v>0</v>
      </c>
      <c r="BY167" s="12">
        <f t="shared" si="59"/>
        <v>-1.6507549675360744E-3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2026-09-04T02:11:41Z</dcterms:modified>
</cp:coreProperties>
</file>