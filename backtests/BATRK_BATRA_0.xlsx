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268C2118-7456-4DD7-896E-699A5B1ED12B}" xr6:coauthVersionLast="47" xr6:coauthVersionMax="47" xr10:uidLastSave="{00000000-0000-0000-0000-000000000000}"/>
  <bookViews>
    <workbookView xWindow="-120" yWindow="-120" windowWidth="29040" windowHeight="15720" xr2:uid="{B5A84CC4-09FD-4300-A96D-0EC008B4657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M175" i="1"/>
  <c r="AK175" i="1"/>
  <c r="AJ175" i="1"/>
  <c r="AX174" i="1"/>
  <c r="AV174" i="1"/>
  <c r="AU174" i="1"/>
  <c r="AY175" i="1" s="1"/>
  <c r="AM174" i="1"/>
  <c r="AK174" i="1"/>
  <c r="AJ174" i="1"/>
  <c r="AX173" i="1"/>
  <c r="AV173" i="1"/>
  <c r="AU173" i="1"/>
  <c r="AY174" i="1" s="1"/>
  <c r="AM173" i="1"/>
  <c r="AK173" i="1"/>
  <c r="AJ173" i="1"/>
  <c r="AN174" i="1" s="1"/>
  <c r="AX172" i="1"/>
  <c r="AV172" i="1"/>
  <c r="AU172" i="1"/>
  <c r="AY173" i="1" s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N172" i="1" s="1"/>
  <c r="AX170" i="1"/>
  <c r="AV170" i="1"/>
  <c r="AU170" i="1"/>
  <c r="AY171" i="1" s="1"/>
  <c r="AM170" i="1"/>
  <c r="AK170" i="1"/>
  <c r="AJ170" i="1"/>
  <c r="AN171" i="1" s="1"/>
  <c r="AX169" i="1"/>
  <c r="AV169" i="1"/>
  <c r="AU169" i="1"/>
  <c r="AY170" i="1" s="1"/>
  <c r="AM169" i="1"/>
  <c r="AK169" i="1"/>
  <c r="AJ169" i="1"/>
  <c r="AX168" i="1"/>
  <c r="AV168" i="1"/>
  <c r="AU168" i="1"/>
  <c r="AY169" i="1" s="1"/>
  <c r="AM168" i="1"/>
  <c r="AK168" i="1"/>
  <c r="AJ168" i="1"/>
  <c r="AN169" i="1" s="1"/>
  <c r="AX167" i="1"/>
  <c r="AV167" i="1"/>
  <c r="AU167" i="1"/>
  <c r="AY168" i="1" s="1"/>
  <c r="AM167" i="1"/>
  <c r="AK167" i="1"/>
  <c r="AJ167" i="1"/>
  <c r="AN168" i="1" s="1"/>
  <c r="AX166" i="1"/>
  <c r="AV166" i="1"/>
  <c r="AU166" i="1"/>
  <c r="AY167" i="1" s="1"/>
  <c r="AM166" i="1"/>
  <c r="AK166" i="1"/>
  <c r="AJ166" i="1"/>
  <c r="AN167" i="1" s="1"/>
  <c r="AX165" i="1"/>
  <c r="AV165" i="1"/>
  <c r="AU165" i="1"/>
  <c r="AM165" i="1"/>
  <c r="AK165" i="1"/>
  <c r="AJ165" i="1"/>
  <c r="AX164" i="1"/>
  <c r="AV164" i="1"/>
  <c r="AU164" i="1"/>
  <c r="AY165" i="1" s="1"/>
  <c r="AM164" i="1"/>
  <c r="AK164" i="1"/>
  <c r="AJ164" i="1"/>
  <c r="AX163" i="1"/>
  <c r="AV163" i="1"/>
  <c r="AU163" i="1"/>
  <c r="AY164" i="1" s="1"/>
  <c r="AM163" i="1"/>
  <c r="AK163" i="1"/>
  <c r="AJ163" i="1"/>
  <c r="AN164" i="1" s="1"/>
  <c r="AX162" i="1"/>
  <c r="AV162" i="1"/>
  <c r="AU162" i="1"/>
  <c r="AY163" i="1" s="1"/>
  <c r="AM162" i="1"/>
  <c r="AK162" i="1"/>
  <c r="AJ162" i="1"/>
  <c r="AN163" i="1" s="1"/>
  <c r="AX161" i="1"/>
  <c r="AV161" i="1"/>
  <c r="AU161" i="1"/>
  <c r="AY162" i="1" s="1"/>
  <c r="AM161" i="1"/>
  <c r="AK161" i="1"/>
  <c r="AJ161" i="1"/>
  <c r="AN162" i="1" s="1"/>
  <c r="AX160" i="1"/>
  <c r="AV160" i="1"/>
  <c r="AU160" i="1"/>
  <c r="AM160" i="1"/>
  <c r="AK160" i="1"/>
  <c r="AJ160" i="1"/>
  <c r="AX159" i="1"/>
  <c r="AV159" i="1"/>
  <c r="AU159" i="1"/>
  <c r="AM159" i="1"/>
  <c r="AK159" i="1"/>
  <c r="AJ159" i="1"/>
  <c r="AX158" i="1"/>
  <c r="AV158" i="1"/>
  <c r="AU158" i="1"/>
  <c r="AM158" i="1"/>
  <c r="AK158" i="1"/>
  <c r="AJ158" i="1"/>
  <c r="AX157" i="1"/>
  <c r="AV157" i="1"/>
  <c r="AU157" i="1"/>
  <c r="AM157" i="1"/>
  <c r="AK157" i="1"/>
  <c r="AJ157" i="1"/>
  <c r="AX156" i="1"/>
  <c r="AV156" i="1"/>
  <c r="AU156" i="1"/>
  <c r="AM156" i="1"/>
  <c r="AK156" i="1"/>
  <c r="AJ156" i="1"/>
  <c r="AX155" i="1"/>
  <c r="AV155" i="1"/>
  <c r="AU155" i="1"/>
  <c r="AM155" i="1"/>
  <c r="AK155" i="1"/>
  <c r="AJ155" i="1"/>
  <c r="AX154" i="1"/>
  <c r="AV154" i="1"/>
  <c r="AU154" i="1"/>
  <c r="AM154" i="1"/>
  <c r="AK154" i="1"/>
  <c r="AJ154" i="1"/>
  <c r="AX153" i="1"/>
  <c r="AV153" i="1"/>
  <c r="AU153" i="1"/>
  <c r="AY154" i="1" s="1"/>
  <c r="AM153" i="1"/>
  <c r="AK153" i="1"/>
  <c r="AJ153" i="1"/>
  <c r="AN154" i="1" s="1"/>
  <c r="AX152" i="1"/>
  <c r="AV152" i="1"/>
  <c r="AU152" i="1"/>
  <c r="AY153" i="1" s="1"/>
  <c r="AM152" i="1"/>
  <c r="AK152" i="1"/>
  <c r="AJ152" i="1"/>
  <c r="AN153" i="1" s="1"/>
  <c r="AX151" i="1"/>
  <c r="AV151" i="1"/>
  <c r="AU151" i="1"/>
  <c r="AY152" i="1" s="1"/>
  <c r="AM151" i="1"/>
  <c r="AK151" i="1"/>
  <c r="AJ151" i="1"/>
  <c r="AN152" i="1" s="1"/>
  <c r="AX150" i="1"/>
  <c r="AV150" i="1"/>
  <c r="AU150" i="1"/>
  <c r="AM150" i="1"/>
  <c r="AK150" i="1"/>
  <c r="AJ150" i="1"/>
  <c r="AX149" i="1"/>
  <c r="AV149" i="1"/>
  <c r="AU149" i="1"/>
  <c r="AY150" i="1" s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Y148" i="1" s="1"/>
  <c r="AM147" i="1"/>
  <c r="AK147" i="1"/>
  <c r="AJ147" i="1"/>
  <c r="AN148" i="1" s="1"/>
  <c r="AX146" i="1"/>
  <c r="AV146" i="1"/>
  <c r="AU146" i="1"/>
  <c r="AY147" i="1" s="1"/>
  <c r="AM146" i="1"/>
  <c r="AK146" i="1"/>
  <c r="AJ146" i="1"/>
  <c r="AN147" i="1" s="1"/>
  <c r="AX145" i="1"/>
  <c r="AV145" i="1"/>
  <c r="AU145" i="1"/>
  <c r="AY146" i="1" s="1"/>
  <c r="AM145" i="1"/>
  <c r="AK145" i="1"/>
  <c r="AJ145" i="1"/>
  <c r="AN146" i="1" s="1"/>
  <c r="AX144" i="1"/>
  <c r="AV144" i="1"/>
  <c r="AU144" i="1"/>
  <c r="AY145" i="1" s="1"/>
  <c r="AM144" i="1"/>
  <c r="AK144" i="1"/>
  <c r="AJ144" i="1"/>
  <c r="AN145" i="1" s="1"/>
  <c r="AX143" i="1"/>
  <c r="AV143" i="1"/>
  <c r="AU143" i="1"/>
  <c r="AM143" i="1"/>
  <c r="AK143" i="1"/>
  <c r="AJ143" i="1"/>
  <c r="AX142" i="1"/>
  <c r="AV142" i="1"/>
  <c r="AU142" i="1"/>
  <c r="AM142" i="1"/>
  <c r="AK142" i="1"/>
  <c r="AJ142" i="1"/>
  <c r="AX141" i="1"/>
  <c r="AV141" i="1"/>
  <c r="AU141" i="1"/>
  <c r="AY142" i="1" s="1"/>
  <c r="AM141" i="1"/>
  <c r="AK141" i="1"/>
  <c r="AJ141" i="1"/>
  <c r="AX140" i="1"/>
  <c r="AV140" i="1"/>
  <c r="AU140" i="1"/>
  <c r="AM140" i="1"/>
  <c r="AK140" i="1"/>
  <c r="AJ140" i="1"/>
  <c r="AX139" i="1"/>
  <c r="AV139" i="1"/>
  <c r="AU139" i="1"/>
  <c r="AM139" i="1"/>
  <c r="AK139" i="1"/>
  <c r="AJ139" i="1"/>
  <c r="AX138" i="1"/>
  <c r="AV138" i="1"/>
  <c r="AU138" i="1"/>
  <c r="AM138" i="1"/>
  <c r="AK138" i="1"/>
  <c r="AJ138" i="1"/>
  <c r="AX137" i="1"/>
  <c r="AV137" i="1"/>
  <c r="AU137" i="1"/>
  <c r="AM137" i="1"/>
  <c r="AK137" i="1"/>
  <c r="AJ137" i="1"/>
  <c r="AX136" i="1"/>
  <c r="AV136" i="1"/>
  <c r="AU136" i="1"/>
  <c r="AM136" i="1"/>
  <c r="AK136" i="1"/>
  <c r="AJ136" i="1"/>
  <c r="AX135" i="1"/>
  <c r="AV135" i="1"/>
  <c r="AU135" i="1"/>
  <c r="AM135" i="1"/>
  <c r="AK135" i="1"/>
  <c r="AJ135" i="1"/>
  <c r="AX134" i="1"/>
  <c r="AV134" i="1"/>
  <c r="AU134" i="1"/>
  <c r="AM134" i="1"/>
  <c r="AK134" i="1"/>
  <c r="AJ134" i="1"/>
  <c r="AX133" i="1"/>
  <c r="AV133" i="1"/>
  <c r="AU133" i="1"/>
  <c r="AM133" i="1"/>
  <c r="AK133" i="1"/>
  <c r="AJ133" i="1"/>
  <c r="AX132" i="1"/>
  <c r="AV132" i="1"/>
  <c r="AU132" i="1"/>
  <c r="AM132" i="1"/>
  <c r="AK132" i="1"/>
  <c r="AJ132" i="1"/>
  <c r="AX131" i="1"/>
  <c r="AV131" i="1"/>
  <c r="AU131" i="1"/>
  <c r="AY132" i="1" s="1"/>
  <c r="AM131" i="1"/>
  <c r="AK131" i="1"/>
  <c r="AJ131" i="1"/>
  <c r="AX130" i="1"/>
  <c r="AV130" i="1"/>
  <c r="AU130" i="1"/>
  <c r="AM130" i="1"/>
  <c r="AK130" i="1"/>
  <c r="AJ130" i="1"/>
  <c r="AX129" i="1"/>
  <c r="AV129" i="1"/>
  <c r="AU129" i="1"/>
  <c r="AM129" i="1"/>
  <c r="AK129" i="1"/>
  <c r="AJ129" i="1"/>
  <c r="AX128" i="1"/>
  <c r="AV128" i="1"/>
  <c r="AU128" i="1"/>
  <c r="AM128" i="1"/>
  <c r="AK128" i="1"/>
  <c r="AJ128" i="1"/>
  <c r="AX127" i="1"/>
  <c r="AV127" i="1"/>
  <c r="AU127" i="1"/>
  <c r="AY128" i="1" s="1"/>
  <c r="AM127" i="1"/>
  <c r="AK127" i="1"/>
  <c r="AJ127" i="1"/>
  <c r="AN128" i="1" s="1"/>
  <c r="AX126" i="1"/>
  <c r="AV126" i="1"/>
  <c r="AU126" i="1"/>
  <c r="AM126" i="1"/>
  <c r="AK126" i="1"/>
  <c r="AJ126" i="1"/>
  <c r="AX125" i="1"/>
  <c r="AV125" i="1"/>
  <c r="AU125" i="1"/>
  <c r="AY126" i="1" s="1"/>
  <c r="AM125" i="1"/>
  <c r="AK125" i="1"/>
  <c r="AJ125" i="1"/>
  <c r="AN126" i="1" s="1"/>
  <c r="AX124" i="1"/>
  <c r="AV124" i="1"/>
  <c r="AU124" i="1"/>
  <c r="AY125" i="1" s="1"/>
  <c r="AM124" i="1"/>
  <c r="AK124" i="1"/>
  <c r="AJ124" i="1"/>
  <c r="AN125" i="1" s="1"/>
  <c r="AX123" i="1"/>
  <c r="AV123" i="1"/>
  <c r="AU123" i="1"/>
  <c r="AY124" i="1" s="1"/>
  <c r="AM123" i="1"/>
  <c r="AK123" i="1"/>
  <c r="AJ123" i="1"/>
  <c r="AN124" i="1" s="1"/>
  <c r="AX122" i="1"/>
  <c r="AV122" i="1"/>
  <c r="AU122" i="1"/>
  <c r="AM122" i="1"/>
  <c r="AK122" i="1"/>
  <c r="AJ122" i="1"/>
  <c r="AX121" i="1"/>
  <c r="AV121" i="1"/>
  <c r="AU121" i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Y120" i="1" s="1"/>
  <c r="AM119" i="1"/>
  <c r="AK119" i="1"/>
  <c r="AJ119" i="1"/>
  <c r="AN120" i="1" s="1"/>
  <c r="AX118" i="1"/>
  <c r="AV118" i="1"/>
  <c r="AU118" i="1"/>
  <c r="AM118" i="1"/>
  <c r="AK118" i="1"/>
  <c r="AJ118" i="1"/>
  <c r="AX117" i="1"/>
  <c r="AV117" i="1"/>
  <c r="AU117" i="1"/>
  <c r="AM117" i="1"/>
  <c r="AK117" i="1"/>
  <c r="AJ117" i="1"/>
  <c r="AX116" i="1"/>
  <c r="AV116" i="1"/>
  <c r="AU116" i="1"/>
  <c r="AY117" i="1" s="1"/>
  <c r="AM116" i="1"/>
  <c r="AK116" i="1"/>
  <c r="AJ116" i="1"/>
  <c r="AX115" i="1"/>
  <c r="AV115" i="1"/>
  <c r="AU115" i="1"/>
  <c r="AM115" i="1"/>
  <c r="AK115" i="1"/>
  <c r="AJ115" i="1"/>
  <c r="AX114" i="1"/>
  <c r="AV114" i="1"/>
  <c r="AU114" i="1"/>
  <c r="AM114" i="1"/>
  <c r="AK114" i="1"/>
  <c r="AJ114" i="1"/>
  <c r="AX113" i="1"/>
  <c r="AV113" i="1"/>
  <c r="AU113" i="1"/>
  <c r="AM113" i="1"/>
  <c r="AK113" i="1"/>
  <c r="AJ113" i="1"/>
  <c r="AX112" i="1"/>
  <c r="AV112" i="1"/>
  <c r="AU112" i="1"/>
  <c r="AM112" i="1"/>
  <c r="AK112" i="1"/>
  <c r="AJ112" i="1"/>
  <c r="AN113" i="1" s="1"/>
  <c r="AX111" i="1"/>
  <c r="AV111" i="1"/>
  <c r="AU111" i="1"/>
  <c r="AM111" i="1"/>
  <c r="AK111" i="1"/>
  <c r="AJ111" i="1"/>
  <c r="AX110" i="1"/>
  <c r="AV110" i="1"/>
  <c r="AU110" i="1"/>
  <c r="AM110" i="1"/>
  <c r="AK110" i="1"/>
  <c r="AJ110" i="1"/>
  <c r="AN111" i="1" s="1"/>
  <c r="AX109" i="1"/>
  <c r="AV109" i="1"/>
  <c r="AU109" i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X106" i="1"/>
  <c r="AV106" i="1"/>
  <c r="AU106" i="1"/>
  <c r="AM106" i="1"/>
  <c r="AK106" i="1"/>
  <c r="AJ106" i="1"/>
  <c r="AX105" i="1"/>
  <c r="AV105" i="1"/>
  <c r="AU105" i="1"/>
  <c r="AM105" i="1"/>
  <c r="AK105" i="1"/>
  <c r="AJ105" i="1"/>
  <c r="AX104" i="1"/>
  <c r="AV104" i="1"/>
  <c r="AU104" i="1"/>
  <c r="AY105" i="1" s="1"/>
  <c r="AM104" i="1"/>
  <c r="AK104" i="1"/>
  <c r="AJ104" i="1"/>
  <c r="AN105" i="1" s="1"/>
  <c r="AX103" i="1"/>
  <c r="AV103" i="1"/>
  <c r="AU103" i="1"/>
  <c r="AM103" i="1"/>
  <c r="AK103" i="1"/>
  <c r="AJ103" i="1"/>
  <c r="AX102" i="1"/>
  <c r="AV102" i="1"/>
  <c r="AU102" i="1"/>
  <c r="AM102" i="1"/>
  <c r="AK102" i="1"/>
  <c r="AJ102" i="1"/>
  <c r="AN103" i="1" s="1"/>
  <c r="AX101" i="1"/>
  <c r="AV101" i="1"/>
  <c r="AU101" i="1"/>
  <c r="AM101" i="1"/>
  <c r="AK101" i="1"/>
  <c r="AJ101" i="1"/>
  <c r="AX100" i="1"/>
  <c r="AV100" i="1"/>
  <c r="AU100" i="1"/>
  <c r="AM100" i="1"/>
  <c r="AK100" i="1"/>
  <c r="AJ100" i="1"/>
  <c r="AX99" i="1"/>
  <c r="AV99" i="1"/>
  <c r="AU99" i="1"/>
  <c r="AM99" i="1"/>
  <c r="AK99" i="1"/>
  <c r="AJ99" i="1"/>
  <c r="AX98" i="1"/>
  <c r="AV98" i="1"/>
  <c r="AU98" i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M96" i="1"/>
  <c r="AK96" i="1"/>
  <c r="AJ96" i="1"/>
  <c r="AX95" i="1"/>
  <c r="AV95" i="1"/>
  <c r="AU95" i="1"/>
  <c r="AM95" i="1"/>
  <c r="AK95" i="1"/>
  <c r="AJ95" i="1"/>
  <c r="AX94" i="1"/>
  <c r="AV94" i="1"/>
  <c r="AU94" i="1"/>
  <c r="AM94" i="1"/>
  <c r="AK94" i="1"/>
  <c r="AJ94" i="1"/>
  <c r="AX93" i="1"/>
  <c r="AV93" i="1"/>
  <c r="AU93" i="1"/>
  <c r="AY94" i="1" s="1"/>
  <c r="AM93" i="1"/>
  <c r="AK93" i="1"/>
  <c r="AJ93" i="1"/>
  <c r="AX92" i="1"/>
  <c r="AV92" i="1"/>
  <c r="AU92" i="1"/>
  <c r="AY93" i="1" s="1"/>
  <c r="AM92" i="1"/>
  <c r="AK92" i="1"/>
  <c r="AJ92" i="1"/>
  <c r="AN93" i="1" s="1"/>
  <c r="AX91" i="1"/>
  <c r="AV91" i="1"/>
  <c r="AU91" i="1"/>
  <c r="AM91" i="1"/>
  <c r="AK91" i="1"/>
  <c r="AJ91" i="1"/>
  <c r="AX90" i="1"/>
  <c r="AV90" i="1"/>
  <c r="AU90" i="1"/>
  <c r="AM90" i="1"/>
  <c r="AK90" i="1"/>
  <c r="AJ90" i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M87" i="1"/>
  <c r="AK87" i="1"/>
  <c r="AJ87" i="1"/>
  <c r="AX86" i="1"/>
  <c r="AV86" i="1"/>
  <c r="AU86" i="1"/>
  <c r="AY87" i="1" s="1"/>
  <c r="AM86" i="1"/>
  <c r="AK86" i="1"/>
  <c r="AJ86" i="1"/>
  <c r="AN87" i="1" s="1"/>
  <c r="AX85" i="1"/>
  <c r="AV85" i="1"/>
  <c r="AU85" i="1"/>
  <c r="AY86" i="1" s="1"/>
  <c r="AM85" i="1"/>
  <c r="AK85" i="1"/>
  <c r="AJ85" i="1"/>
  <c r="AN86" i="1" s="1"/>
  <c r="AX84" i="1"/>
  <c r="AV84" i="1"/>
  <c r="AU84" i="1"/>
  <c r="AY85" i="1" s="1"/>
  <c r="AM84" i="1"/>
  <c r="AK84" i="1"/>
  <c r="AJ84" i="1"/>
  <c r="AN85" i="1" s="1"/>
  <c r="AX83" i="1"/>
  <c r="AV83" i="1"/>
  <c r="AU83" i="1"/>
  <c r="AY84" i="1" s="1"/>
  <c r="AM83" i="1"/>
  <c r="AK83" i="1"/>
  <c r="AJ83" i="1"/>
  <c r="AN84" i="1" s="1"/>
  <c r="AX82" i="1"/>
  <c r="AV82" i="1"/>
  <c r="AU82" i="1"/>
  <c r="AY83" i="1" s="1"/>
  <c r="AM82" i="1"/>
  <c r="AK82" i="1"/>
  <c r="AJ82" i="1"/>
  <c r="AN83" i="1" s="1"/>
  <c r="AX81" i="1"/>
  <c r="AV81" i="1"/>
  <c r="AU81" i="1"/>
  <c r="AY82" i="1" s="1"/>
  <c r="AM81" i="1"/>
  <c r="AK81" i="1"/>
  <c r="AJ81" i="1"/>
  <c r="AN82" i="1" s="1"/>
  <c r="AX80" i="1"/>
  <c r="AV80" i="1"/>
  <c r="AU80" i="1"/>
  <c r="AY81" i="1" s="1"/>
  <c r="AM80" i="1"/>
  <c r="AK80" i="1"/>
  <c r="AJ80" i="1"/>
  <c r="AN81" i="1" s="1"/>
  <c r="AX79" i="1"/>
  <c r="AV79" i="1"/>
  <c r="AU79" i="1"/>
  <c r="AM79" i="1"/>
  <c r="AK79" i="1"/>
  <c r="AJ79" i="1"/>
  <c r="AN80" i="1" s="1"/>
  <c r="AX78" i="1"/>
  <c r="AV78" i="1"/>
  <c r="AU78" i="1"/>
  <c r="AM78" i="1"/>
  <c r="AK78" i="1"/>
  <c r="AJ78" i="1"/>
  <c r="AX77" i="1"/>
  <c r="AV77" i="1"/>
  <c r="AU77" i="1"/>
  <c r="AM77" i="1"/>
  <c r="AK77" i="1"/>
  <c r="AJ77" i="1"/>
  <c r="AX76" i="1"/>
  <c r="AV76" i="1"/>
  <c r="AU76" i="1"/>
  <c r="AY77" i="1" s="1"/>
  <c r="AM76" i="1"/>
  <c r="AK76" i="1"/>
  <c r="AJ76" i="1"/>
  <c r="AX75" i="1"/>
  <c r="AV75" i="1"/>
  <c r="AU75" i="1"/>
  <c r="AM75" i="1"/>
  <c r="AK75" i="1"/>
  <c r="AJ75" i="1"/>
  <c r="AN76" i="1" s="1"/>
  <c r="AX74" i="1"/>
  <c r="AV74" i="1"/>
  <c r="AU74" i="1"/>
  <c r="AM74" i="1"/>
  <c r="AK74" i="1"/>
  <c r="AJ74" i="1"/>
  <c r="AN75" i="1" s="1"/>
  <c r="AX73" i="1"/>
  <c r="AV73" i="1"/>
  <c r="AU73" i="1"/>
  <c r="AY74" i="1" s="1"/>
  <c r="AM73" i="1"/>
  <c r="AK73" i="1"/>
  <c r="AJ73" i="1"/>
  <c r="AN74" i="1" s="1"/>
  <c r="AX72" i="1"/>
  <c r="AV72" i="1"/>
  <c r="AU72" i="1"/>
  <c r="AY73" i="1" s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M70" i="1"/>
  <c r="AK70" i="1"/>
  <c r="AJ70" i="1"/>
  <c r="AX69" i="1"/>
  <c r="AV69" i="1"/>
  <c r="AU69" i="1"/>
  <c r="AM69" i="1"/>
  <c r="AK69" i="1"/>
  <c r="AJ69" i="1"/>
  <c r="AX68" i="1"/>
  <c r="AV68" i="1"/>
  <c r="AU68" i="1"/>
  <c r="AM68" i="1"/>
  <c r="AK68" i="1"/>
  <c r="AJ68" i="1"/>
  <c r="AN69" i="1" s="1"/>
  <c r="AX67" i="1"/>
  <c r="AV67" i="1"/>
  <c r="AU67" i="1"/>
  <c r="AM67" i="1"/>
  <c r="AK67" i="1"/>
  <c r="AJ67" i="1"/>
  <c r="AX66" i="1"/>
  <c r="AV66" i="1"/>
  <c r="AU66" i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X59" i="1"/>
  <c r="AV59" i="1"/>
  <c r="AU59" i="1"/>
  <c r="AM59" i="1"/>
  <c r="AK59" i="1"/>
  <c r="AJ59" i="1"/>
  <c r="AN60" i="1" s="1"/>
  <c r="AX58" i="1"/>
  <c r="AV58" i="1"/>
  <c r="AU58" i="1"/>
  <c r="AM58" i="1"/>
  <c r="AK58" i="1"/>
  <c r="AJ58" i="1"/>
  <c r="AX57" i="1"/>
  <c r="AV57" i="1"/>
  <c r="AU57" i="1"/>
  <c r="AM57" i="1"/>
  <c r="AK57" i="1"/>
  <c r="AJ57" i="1"/>
  <c r="AX56" i="1"/>
  <c r="AV56" i="1"/>
  <c r="AU56" i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Y55" i="1" s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Y51" i="1" s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M43" i="1"/>
  <c r="AK43" i="1"/>
  <c r="AJ43" i="1"/>
  <c r="AX42" i="1"/>
  <c r="AV42" i="1"/>
  <c r="AU42" i="1"/>
  <c r="AM42" i="1"/>
  <c r="AK42" i="1"/>
  <c r="AJ42" i="1"/>
  <c r="AX41" i="1"/>
  <c r="AV41" i="1"/>
  <c r="AU41" i="1"/>
  <c r="AM41" i="1"/>
  <c r="AK41" i="1"/>
  <c r="AJ41" i="1"/>
  <c r="AX40" i="1"/>
  <c r="AV40" i="1"/>
  <c r="AU40" i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N35" i="1" s="1"/>
  <c r="AX33" i="1"/>
  <c r="AV33" i="1"/>
  <c r="AU33" i="1"/>
  <c r="AM33" i="1"/>
  <c r="AK33" i="1"/>
  <c r="AJ33" i="1"/>
  <c r="AX32" i="1"/>
  <c r="AV32" i="1"/>
  <c r="AU32" i="1"/>
  <c r="AM32" i="1"/>
  <c r="AK32" i="1"/>
  <c r="AJ32" i="1"/>
  <c r="AX31" i="1"/>
  <c r="AV31" i="1"/>
  <c r="AU31" i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Y28" i="1" s="1"/>
  <c r="AM27" i="1"/>
  <c r="AK27" i="1"/>
  <c r="AJ27" i="1"/>
  <c r="AN28" i="1" s="1"/>
  <c r="AX26" i="1"/>
  <c r="AV26" i="1"/>
  <c r="AU26" i="1"/>
  <c r="AY27" i="1" s="1"/>
  <c r="AM26" i="1"/>
  <c r="AK26" i="1"/>
  <c r="AJ26" i="1"/>
  <c r="AN27" i="1" s="1"/>
  <c r="AX25" i="1"/>
  <c r="AV25" i="1"/>
  <c r="AU25" i="1"/>
  <c r="AY26" i="1" s="1"/>
  <c r="AM25" i="1"/>
  <c r="AK25" i="1"/>
  <c r="AJ25" i="1"/>
  <c r="AN26" i="1" s="1"/>
  <c r="AX24" i="1"/>
  <c r="AV24" i="1"/>
  <c r="AU24" i="1"/>
  <c r="AY25" i="1" s="1"/>
  <c r="AM24" i="1"/>
  <c r="AK24" i="1"/>
  <c r="AJ24" i="1"/>
  <c r="AN25" i="1" s="1"/>
  <c r="AX23" i="1"/>
  <c r="AV23" i="1"/>
  <c r="AU23" i="1"/>
  <c r="AY24" i="1" s="1"/>
  <c r="AM23" i="1"/>
  <c r="AK23" i="1"/>
  <c r="AJ23" i="1"/>
  <c r="AN24" i="1" s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46" i="1" l="1"/>
  <c r="AN149" i="1"/>
  <c r="AY45" i="1"/>
  <c r="AN150" i="1"/>
  <c r="AN77" i="1"/>
  <c r="AY111" i="1"/>
  <c r="AY76" i="1"/>
  <c r="AY49" i="1"/>
  <c r="BA49" i="1" s="1"/>
  <c r="AY67" i="1"/>
  <c r="AY60" i="1"/>
  <c r="AY42" i="1"/>
  <c r="AY64" i="1"/>
  <c r="AY57" i="1"/>
  <c r="AY35" i="1"/>
  <c r="AY80" i="1"/>
  <c r="AY69" i="1"/>
  <c r="AY75" i="1"/>
  <c r="AY65" i="1"/>
  <c r="AY103" i="1"/>
  <c r="AY113" i="1"/>
  <c r="AN65" i="1"/>
  <c r="AN67" i="1"/>
  <c r="AN55" i="1"/>
  <c r="AN46" i="1"/>
  <c r="AN73" i="1"/>
  <c r="AN64" i="1"/>
  <c r="AN45" i="1"/>
  <c r="AN51" i="1"/>
  <c r="AN117" i="1"/>
  <c r="AN41" i="1"/>
  <c r="AN57" i="1"/>
  <c r="AN42" i="1"/>
  <c r="AY41" i="1"/>
  <c r="AN142" i="1"/>
  <c r="AY166" i="1"/>
  <c r="AN165" i="1"/>
  <c r="AN170" i="1"/>
  <c r="AN132" i="1"/>
  <c r="AN166" i="1"/>
  <c r="AN49" i="1"/>
  <c r="AZ175" i="1"/>
  <c r="BA175" i="1"/>
  <c r="AW175" i="1"/>
  <c r="AY176" i="1" s="1"/>
  <c r="AZ174" i="1"/>
  <c r="BA174" i="1"/>
  <c r="AW174" i="1"/>
  <c r="AO174" i="1"/>
  <c r="AP174" i="1"/>
  <c r="AL174" i="1"/>
  <c r="AN175" i="1" s="1"/>
  <c r="AZ173" i="1"/>
  <c r="BA173" i="1"/>
  <c r="AW173" i="1"/>
  <c r="AO173" i="1"/>
  <c r="AP173" i="1"/>
  <c r="AL173" i="1"/>
  <c r="AZ172" i="1"/>
  <c r="BA172" i="1"/>
  <c r="AW172" i="1"/>
  <c r="AP172" i="1"/>
  <c r="AO172" i="1"/>
  <c r="AQ172" i="1" s="1"/>
  <c r="AL172" i="1"/>
  <c r="AZ171" i="1"/>
  <c r="BA171" i="1"/>
  <c r="AW171" i="1"/>
  <c r="AO171" i="1"/>
  <c r="AP171" i="1"/>
  <c r="AL171" i="1"/>
  <c r="AW170" i="1"/>
  <c r="BA170" i="1"/>
  <c r="AZ170" i="1"/>
  <c r="BB170" i="1" s="1"/>
  <c r="AL170" i="1"/>
  <c r="AO170" i="1"/>
  <c r="AP170" i="1"/>
  <c r="AW169" i="1"/>
  <c r="BA169" i="1"/>
  <c r="AZ169" i="1"/>
  <c r="BB169" i="1" s="1"/>
  <c r="AP169" i="1"/>
  <c r="AO169" i="1"/>
  <c r="AQ169" i="1" s="1"/>
  <c r="AL169" i="1"/>
  <c r="BA168" i="1"/>
  <c r="AW168" i="1"/>
  <c r="AZ168" i="1"/>
  <c r="BB168" i="1" s="1"/>
  <c r="AO168" i="1"/>
  <c r="AL168" i="1"/>
  <c r="AP168" i="1"/>
  <c r="AZ167" i="1"/>
  <c r="BA167" i="1"/>
  <c r="AW167" i="1"/>
  <c r="AL167" i="1"/>
  <c r="AO167" i="1"/>
  <c r="AP167" i="1"/>
  <c r="AW166" i="1"/>
  <c r="AZ166" i="1"/>
  <c r="BA166" i="1"/>
  <c r="AL166" i="1"/>
  <c r="AP166" i="1"/>
  <c r="AO166" i="1"/>
  <c r="AW165" i="1"/>
  <c r="AZ165" i="1"/>
  <c r="BA165" i="1"/>
  <c r="AO165" i="1"/>
  <c r="AL165" i="1"/>
  <c r="AP165" i="1"/>
  <c r="AZ164" i="1"/>
  <c r="BA164" i="1"/>
  <c r="AW164" i="1"/>
  <c r="AO164" i="1"/>
  <c r="AL164" i="1"/>
  <c r="AP164" i="1"/>
  <c r="BA163" i="1"/>
  <c r="AZ163" i="1"/>
  <c r="AW163" i="1"/>
  <c r="AP163" i="1"/>
  <c r="AL163" i="1"/>
  <c r="AO163" i="1"/>
  <c r="AQ163" i="1" s="1"/>
  <c r="AW162" i="1"/>
  <c r="BA162" i="1"/>
  <c r="AZ162" i="1"/>
  <c r="BB162" i="1" s="1"/>
  <c r="AO162" i="1"/>
  <c r="AL162" i="1"/>
  <c r="AP162" i="1"/>
  <c r="AW154" i="1"/>
  <c r="AY155" i="1" s="1"/>
  <c r="BA154" i="1"/>
  <c r="AZ154" i="1"/>
  <c r="AL154" i="1"/>
  <c r="AN155" i="1" s="1"/>
  <c r="AO154" i="1"/>
  <c r="AP154" i="1"/>
  <c r="BA153" i="1"/>
  <c r="AZ153" i="1"/>
  <c r="BB153" i="1" s="1"/>
  <c r="AW153" i="1"/>
  <c r="AP153" i="1"/>
  <c r="AL153" i="1"/>
  <c r="AO153" i="1"/>
  <c r="AQ153" i="1" s="1"/>
  <c r="BA152" i="1"/>
  <c r="AW152" i="1"/>
  <c r="AZ152" i="1"/>
  <c r="BB152" i="1" s="1"/>
  <c r="AL152" i="1"/>
  <c r="AO152" i="1"/>
  <c r="AP152" i="1"/>
  <c r="AZ150" i="1"/>
  <c r="AW150" i="1"/>
  <c r="AY151" i="1" s="1"/>
  <c r="BA150" i="1"/>
  <c r="AO150" i="1"/>
  <c r="AL150" i="1"/>
  <c r="AN151" i="1" s="1"/>
  <c r="AP150" i="1"/>
  <c r="BA149" i="1"/>
  <c r="AW149" i="1"/>
  <c r="AZ149" i="1"/>
  <c r="BB149" i="1" s="1"/>
  <c r="AP149" i="1"/>
  <c r="AL149" i="1"/>
  <c r="AO149" i="1"/>
  <c r="AQ149" i="1" s="1"/>
  <c r="AW148" i="1"/>
  <c r="AZ148" i="1"/>
  <c r="BA148" i="1"/>
  <c r="AP148" i="1"/>
  <c r="AL148" i="1"/>
  <c r="AO148" i="1"/>
  <c r="AW147" i="1"/>
  <c r="AZ147" i="1"/>
  <c r="BA147" i="1"/>
  <c r="AO147" i="1"/>
  <c r="AL147" i="1"/>
  <c r="AP147" i="1"/>
  <c r="BA146" i="1"/>
  <c r="AZ146" i="1"/>
  <c r="BB146" i="1" s="1"/>
  <c r="AW146" i="1"/>
  <c r="AL146" i="1"/>
  <c r="AP146" i="1"/>
  <c r="AO146" i="1"/>
  <c r="AQ146" i="1" s="1"/>
  <c r="AW145" i="1"/>
  <c r="BA145" i="1"/>
  <c r="AZ145" i="1"/>
  <c r="AL145" i="1"/>
  <c r="AO145" i="1"/>
  <c r="AP145" i="1"/>
  <c r="BA142" i="1"/>
  <c r="AZ142" i="1"/>
  <c r="AW142" i="1"/>
  <c r="AY143" i="1" s="1"/>
  <c r="AO142" i="1"/>
  <c r="AP142" i="1"/>
  <c r="AL142" i="1"/>
  <c r="AN143" i="1" s="1"/>
  <c r="AZ132" i="1"/>
  <c r="AW132" i="1"/>
  <c r="AY133" i="1" s="1"/>
  <c r="BA132" i="1"/>
  <c r="AL132" i="1"/>
  <c r="AN133" i="1" s="1"/>
  <c r="AP132" i="1"/>
  <c r="AO132" i="1"/>
  <c r="BA128" i="1"/>
  <c r="AW128" i="1"/>
  <c r="AY129" i="1" s="1"/>
  <c r="AZ128" i="1"/>
  <c r="BB128" i="1" s="1"/>
  <c r="AP128" i="1"/>
  <c r="AL128" i="1"/>
  <c r="AN129" i="1" s="1"/>
  <c r="AO128" i="1"/>
  <c r="AQ128" i="1" s="1"/>
  <c r="BA126" i="1"/>
  <c r="AW126" i="1"/>
  <c r="AY127" i="1" s="1"/>
  <c r="AZ126" i="1"/>
  <c r="BB126" i="1" s="1"/>
  <c r="AO126" i="1"/>
  <c r="AL126" i="1"/>
  <c r="AN127" i="1" s="1"/>
  <c r="AP126" i="1"/>
  <c r="AZ125" i="1"/>
  <c r="BA125" i="1"/>
  <c r="AW125" i="1"/>
  <c r="AL125" i="1"/>
  <c r="AO125" i="1"/>
  <c r="AP125" i="1"/>
  <c r="BA124" i="1"/>
  <c r="AW124" i="1"/>
  <c r="AZ124" i="1"/>
  <c r="BB124" i="1" s="1"/>
  <c r="AL124" i="1"/>
  <c r="AO124" i="1"/>
  <c r="AP124" i="1"/>
  <c r="AW120" i="1"/>
  <c r="AY121" i="1" s="1"/>
  <c r="AZ120" i="1"/>
  <c r="BA120" i="1"/>
  <c r="AL120" i="1"/>
  <c r="AN121" i="1" s="1"/>
  <c r="AP120" i="1"/>
  <c r="AO120" i="1"/>
  <c r="AQ120" i="1" s="1"/>
  <c r="AW117" i="1"/>
  <c r="AY118" i="1" s="1"/>
  <c r="BA117" i="1"/>
  <c r="AZ117" i="1"/>
  <c r="AL113" i="1"/>
  <c r="AN114" i="1" s="1"/>
  <c r="AO113" i="1"/>
  <c r="AP113" i="1"/>
  <c r="AZ111" i="1"/>
  <c r="AW111" i="1"/>
  <c r="AY112" i="1" s="1"/>
  <c r="BA111" i="1"/>
  <c r="AO111" i="1"/>
  <c r="AL111" i="1"/>
  <c r="AN112" i="1" s="1"/>
  <c r="AP111" i="1"/>
  <c r="BA105" i="1"/>
  <c r="AZ105" i="1"/>
  <c r="AW105" i="1"/>
  <c r="AY106" i="1" s="1"/>
  <c r="AO105" i="1"/>
  <c r="AP105" i="1"/>
  <c r="AL105" i="1"/>
  <c r="AN106" i="1" s="1"/>
  <c r="AW103" i="1"/>
  <c r="AY104" i="1" s="1"/>
  <c r="BA103" i="1"/>
  <c r="AZ103" i="1"/>
  <c r="BB103" i="1" s="1"/>
  <c r="AP103" i="1"/>
  <c r="AL103" i="1"/>
  <c r="AN104" i="1" s="1"/>
  <c r="AO103" i="1"/>
  <c r="BA94" i="1"/>
  <c r="AW94" i="1"/>
  <c r="AY95" i="1" s="1"/>
  <c r="AZ94" i="1"/>
  <c r="BB94" i="1" s="1"/>
  <c r="AW93" i="1"/>
  <c r="BA93" i="1"/>
  <c r="AZ93" i="1"/>
  <c r="BB93" i="1" s="1"/>
  <c r="AL93" i="1"/>
  <c r="AN94" i="1" s="1"/>
  <c r="AO93" i="1"/>
  <c r="AP93" i="1"/>
  <c r="AW87" i="1"/>
  <c r="AY88" i="1" s="1"/>
  <c r="AZ87" i="1"/>
  <c r="BA87" i="1"/>
  <c r="AO87" i="1"/>
  <c r="AL87" i="1"/>
  <c r="AN88" i="1" s="1"/>
  <c r="AP87" i="1"/>
  <c r="BA86" i="1"/>
  <c r="AZ86" i="1"/>
  <c r="BB86" i="1" s="1"/>
  <c r="AW86" i="1"/>
  <c r="AP86" i="1"/>
  <c r="AL86" i="1"/>
  <c r="AO86" i="1"/>
  <c r="AQ86" i="1" s="1"/>
  <c r="BA85" i="1"/>
  <c r="AW85" i="1"/>
  <c r="AZ85" i="1"/>
  <c r="BB85" i="1" s="1"/>
  <c r="AL85" i="1"/>
  <c r="AP85" i="1"/>
  <c r="AO85" i="1"/>
  <c r="AQ85" i="1" s="1"/>
  <c r="AZ84" i="1"/>
  <c r="BA84" i="1"/>
  <c r="AW84" i="1"/>
  <c r="AL84" i="1"/>
  <c r="AP84" i="1"/>
  <c r="AO84" i="1"/>
  <c r="AQ84" i="1" s="1"/>
  <c r="AW83" i="1"/>
  <c r="BA83" i="1"/>
  <c r="AZ83" i="1"/>
  <c r="AL83" i="1"/>
  <c r="AP83" i="1"/>
  <c r="AO83" i="1"/>
  <c r="AQ83" i="1" s="1"/>
  <c r="BA82" i="1"/>
  <c r="AZ82" i="1"/>
  <c r="BB82" i="1" s="1"/>
  <c r="AW82" i="1"/>
  <c r="AP82" i="1"/>
  <c r="AO82" i="1"/>
  <c r="AQ82" i="1" s="1"/>
  <c r="AL82" i="1"/>
  <c r="AZ81" i="1"/>
  <c r="BA81" i="1"/>
  <c r="AW81" i="1"/>
  <c r="AL81" i="1"/>
  <c r="AO81" i="1"/>
  <c r="AP81" i="1"/>
  <c r="AZ80" i="1"/>
  <c r="AW80" i="1"/>
  <c r="BA80" i="1"/>
  <c r="AP80" i="1"/>
  <c r="AL80" i="1"/>
  <c r="AO80" i="1"/>
  <c r="AQ80" i="1" s="1"/>
  <c r="AZ77" i="1"/>
  <c r="AW77" i="1"/>
  <c r="AY78" i="1" s="1"/>
  <c r="BA77" i="1"/>
  <c r="BA76" i="1"/>
  <c r="AW76" i="1"/>
  <c r="AZ76" i="1"/>
  <c r="AL76" i="1"/>
  <c r="AP76" i="1"/>
  <c r="AO76" i="1"/>
  <c r="BA75" i="1"/>
  <c r="AW75" i="1"/>
  <c r="AZ75" i="1"/>
  <c r="AL75" i="1"/>
  <c r="AP75" i="1"/>
  <c r="AO75" i="1"/>
  <c r="AQ75" i="1" s="1"/>
  <c r="AZ74" i="1"/>
  <c r="BA74" i="1"/>
  <c r="AW74" i="1"/>
  <c r="AP74" i="1"/>
  <c r="AL74" i="1"/>
  <c r="AO74" i="1"/>
  <c r="AQ74" i="1" s="1"/>
  <c r="BA73" i="1"/>
  <c r="AW73" i="1"/>
  <c r="AZ73" i="1"/>
  <c r="BB73" i="1" s="1"/>
  <c r="AZ69" i="1"/>
  <c r="AO69" i="1"/>
  <c r="AL69" i="1"/>
  <c r="AN70" i="1" s="1"/>
  <c r="AP69" i="1"/>
  <c r="AL60" i="1"/>
  <c r="AN61" i="1" s="1"/>
  <c r="AO60" i="1"/>
  <c r="AP60" i="1"/>
  <c r="AW55" i="1"/>
  <c r="AY56" i="1" s="1"/>
  <c r="AZ55" i="1"/>
  <c r="BA55" i="1"/>
  <c r="AW51" i="1"/>
  <c r="AY52" i="1" s="1"/>
  <c r="AZ51" i="1"/>
  <c r="BA51" i="1"/>
  <c r="AZ46" i="1"/>
  <c r="BA46" i="1"/>
  <c r="AW46" i="1"/>
  <c r="AY47" i="1" s="1"/>
  <c r="AW45" i="1"/>
  <c r="AZ45" i="1"/>
  <c r="BA45" i="1"/>
  <c r="AO35" i="1"/>
  <c r="AL35" i="1"/>
  <c r="AN36" i="1" s="1"/>
  <c r="AP35" i="1"/>
  <c r="BA28" i="1"/>
  <c r="AZ28" i="1"/>
  <c r="BB28" i="1" s="1"/>
  <c r="AW28" i="1"/>
  <c r="AY29" i="1" s="1"/>
  <c r="AO28" i="1"/>
  <c r="AP28" i="1"/>
  <c r="AL28" i="1"/>
  <c r="AN29" i="1" s="1"/>
  <c r="AW27" i="1"/>
  <c r="AZ27" i="1"/>
  <c r="BA27" i="1"/>
  <c r="AP27" i="1"/>
  <c r="AL27" i="1"/>
  <c r="AO27" i="1"/>
  <c r="AQ27" i="1" s="1"/>
  <c r="BA26" i="1"/>
  <c r="AZ26" i="1"/>
  <c r="BB26" i="1" s="1"/>
  <c r="AW26" i="1"/>
  <c r="AL26" i="1"/>
  <c r="AO26" i="1"/>
  <c r="AP26" i="1"/>
  <c r="AW25" i="1"/>
  <c r="AZ25" i="1"/>
  <c r="BA25" i="1"/>
  <c r="AO25" i="1"/>
  <c r="AP25" i="1"/>
  <c r="AL25" i="1"/>
  <c r="BA24" i="1"/>
  <c r="AZ24" i="1"/>
  <c r="BB24" i="1" s="1"/>
  <c r="AW24" i="1"/>
  <c r="AL24" i="1"/>
  <c r="AO24" i="1"/>
  <c r="AP24" i="1"/>
  <c r="AW23" i="1"/>
  <c r="BA23" i="1"/>
  <c r="AZ23" i="1"/>
  <c r="BB23" i="1" s="1"/>
  <c r="AP23" i="1"/>
  <c r="AL23" i="1"/>
  <c r="AO23" i="1"/>
  <c r="AQ23" i="1" s="1"/>
  <c r="AZ22" i="1"/>
  <c r="BA22" i="1"/>
  <c r="AP22" i="1"/>
  <c r="AO22" i="1"/>
  <c r="AQ22" i="1" s="1"/>
  <c r="BB105" i="1" l="1"/>
  <c r="AZ155" i="1"/>
  <c r="AW155" i="1"/>
  <c r="AY156" i="1" s="1"/>
  <c r="BA155" i="1"/>
  <c r="AZ95" i="1"/>
  <c r="BA95" i="1"/>
  <c r="AW95" i="1"/>
  <c r="AY96" i="1" s="1"/>
  <c r="BA88" i="1"/>
  <c r="AZ88" i="1"/>
  <c r="AW88" i="1"/>
  <c r="AY89" i="1" s="1"/>
  <c r="AQ166" i="1"/>
  <c r="AQ76" i="1"/>
  <c r="AZ67" i="1"/>
  <c r="AW67" i="1"/>
  <c r="AY68" i="1" s="1"/>
  <c r="BA67" i="1"/>
  <c r="BA60" i="1"/>
  <c r="AZ60" i="1"/>
  <c r="BB60" i="1" s="1"/>
  <c r="AW60" i="1"/>
  <c r="AY61" i="1" s="1"/>
  <c r="AZ64" i="1"/>
  <c r="AW64" i="1"/>
  <c r="BA64" i="1"/>
  <c r="AZ57" i="1"/>
  <c r="AW57" i="1"/>
  <c r="AY58" i="1" s="1"/>
  <c r="BA57" i="1"/>
  <c r="AW69" i="1"/>
  <c r="AY70" i="1" s="1"/>
  <c r="BA69" i="1"/>
  <c r="AW65" i="1"/>
  <c r="AY66" i="1" s="1"/>
  <c r="BA65" i="1"/>
  <c r="AZ65" i="1"/>
  <c r="BB65" i="1" s="1"/>
  <c r="BB163" i="1"/>
  <c r="AL175" i="1"/>
  <c r="AN176" i="1" s="1"/>
  <c r="AP175" i="1"/>
  <c r="AO175" i="1"/>
  <c r="AZ151" i="1"/>
  <c r="BA151" i="1"/>
  <c r="AW151" i="1"/>
  <c r="BA143" i="1"/>
  <c r="AZ143" i="1"/>
  <c r="AW143" i="1"/>
  <c r="AY144" i="1" s="1"/>
  <c r="AP133" i="1"/>
  <c r="AO133" i="1"/>
  <c r="AL133" i="1"/>
  <c r="AN134" i="1" s="1"/>
  <c r="BA129" i="1"/>
  <c r="AW129" i="1"/>
  <c r="AY130" i="1" s="1"/>
  <c r="AZ129" i="1"/>
  <c r="AL127" i="1"/>
  <c r="AP127" i="1"/>
  <c r="AO127" i="1"/>
  <c r="AL121" i="1"/>
  <c r="AN122" i="1" s="1"/>
  <c r="AP121" i="1"/>
  <c r="AO121" i="1"/>
  <c r="AP114" i="1"/>
  <c r="AL114" i="1"/>
  <c r="AN115" i="1" s="1"/>
  <c r="AO114" i="1"/>
  <c r="AO104" i="1"/>
  <c r="AL104" i="1"/>
  <c r="AP104" i="1"/>
  <c r="AZ78" i="1"/>
  <c r="AW78" i="1"/>
  <c r="AY79" i="1" s="1"/>
  <c r="BA78" i="1"/>
  <c r="AL61" i="1"/>
  <c r="AN62" i="1" s="1"/>
  <c r="AO61" i="1"/>
  <c r="AP61" i="1"/>
  <c r="AP29" i="1"/>
  <c r="AO29" i="1"/>
  <c r="AQ29" i="1" s="1"/>
  <c r="AL29" i="1"/>
  <c r="AN30" i="1" s="1"/>
  <c r="BE86" i="1"/>
  <c r="BE153" i="1"/>
  <c r="BB145" i="1"/>
  <c r="BB155" i="1"/>
  <c r="BE146" i="1"/>
  <c r="BB154" i="1"/>
  <c r="BE163" i="1"/>
  <c r="AP77" i="1"/>
  <c r="AL77" i="1"/>
  <c r="AN78" i="1" s="1"/>
  <c r="AO77" i="1"/>
  <c r="AO65" i="1"/>
  <c r="AL65" i="1"/>
  <c r="AN66" i="1" s="1"/>
  <c r="AP65" i="1"/>
  <c r="AO36" i="1"/>
  <c r="AL36" i="1"/>
  <c r="AN37" i="1" s="1"/>
  <c r="AP36" i="1"/>
  <c r="AL67" i="1"/>
  <c r="AN68" i="1" s="1"/>
  <c r="AP67" i="1"/>
  <c r="AO67" i="1"/>
  <c r="AQ67" i="1" s="1"/>
  <c r="AO55" i="1"/>
  <c r="AL55" i="1"/>
  <c r="AN56" i="1" s="1"/>
  <c r="AP55" i="1"/>
  <c r="AL46" i="1"/>
  <c r="AN47" i="1" s="1"/>
  <c r="AO46" i="1"/>
  <c r="AQ46" i="1" s="1"/>
  <c r="AP46" i="1"/>
  <c r="AP73" i="1"/>
  <c r="AL73" i="1"/>
  <c r="AO73" i="1"/>
  <c r="AQ73" i="1" s="1"/>
  <c r="AO64" i="1"/>
  <c r="AP64" i="1"/>
  <c r="AL64" i="1"/>
  <c r="AL45" i="1"/>
  <c r="AO45" i="1"/>
  <c r="AP45" i="1"/>
  <c r="AL51" i="1"/>
  <c r="AN52" i="1" s="1"/>
  <c r="AP51" i="1"/>
  <c r="AO51" i="1"/>
  <c r="AQ51" i="1" s="1"/>
  <c r="AL117" i="1"/>
  <c r="AN118" i="1" s="1"/>
  <c r="AO117" i="1"/>
  <c r="AP117" i="1"/>
  <c r="AP112" i="1"/>
  <c r="AL112" i="1"/>
  <c r="AO112" i="1"/>
  <c r="AQ112" i="1" s="1"/>
  <c r="AP41" i="1"/>
  <c r="AL41" i="1"/>
  <c r="AO41" i="1"/>
  <c r="AQ41" i="1" s="1"/>
  <c r="AP70" i="1"/>
  <c r="AL70" i="1"/>
  <c r="AN71" i="1" s="1"/>
  <c r="AO70" i="1"/>
  <c r="AP57" i="1"/>
  <c r="AL57" i="1"/>
  <c r="AN58" i="1" s="1"/>
  <c r="AO57" i="1"/>
  <c r="AL106" i="1"/>
  <c r="AN107" i="1" s="1"/>
  <c r="AO106" i="1"/>
  <c r="AP106" i="1"/>
  <c r="AO42" i="1"/>
  <c r="AP42" i="1"/>
  <c r="AL42" i="1"/>
  <c r="AN43" i="1" s="1"/>
  <c r="AL49" i="1"/>
  <c r="AN50" i="1" s="1"/>
  <c r="AP49" i="1"/>
  <c r="AO49" i="1"/>
  <c r="AQ49" i="1" s="1"/>
  <c r="BB75" i="1"/>
  <c r="BB83" i="1"/>
  <c r="BE128" i="1"/>
  <c r="BE82" i="1"/>
  <c r="BB117" i="1"/>
  <c r="AZ49" i="1"/>
  <c r="BB49" i="1" s="1"/>
  <c r="AW49" i="1"/>
  <c r="AY50" i="1" s="1"/>
  <c r="BA42" i="1"/>
  <c r="AW42" i="1"/>
  <c r="AY43" i="1" s="1"/>
  <c r="AW43" i="1" s="1"/>
  <c r="AY44" i="1" s="1"/>
  <c r="AZ42" i="1"/>
  <c r="BB42" i="1" s="1"/>
  <c r="AZ35" i="1"/>
  <c r="AW35" i="1"/>
  <c r="AY36" i="1" s="1"/>
  <c r="BA35" i="1"/>
  <c r="BE169" i="1"/>
  <c r="BE49" i="1"/>
  <c r="BE149" i="1"/>
  <c r="BB125" i="1"/>
  <c r="AW113" i="1"/>
  <c r="AY114" i="1" s="1"/>
  <c r="AZ113" i="1"/>
  <c r="BA113" i="1"/>
  <c r="BA118" i="1"/>
  <c r="AW118" i="1"/>
  <c r="AY119" i="1" s="1"/>
  <c r="AZ118" i="1"/>
  <c r="BB118" i="1" s="1"/>
  <c r="AW41" i="1"/>
  <c r="BA41" i="1"/>
  <c r="AZ41" i="1"/>
  <c r="BB76" i="1"/>
  <c r="AW176" i="1"/>
  <c r="BA176" i="1"/>
  <c r="AZ176" i="1"/>
  <c r="AZ133" i="1"/>
  <c r="AW133" i="1"/>
  <c r="AY134" i="1" s="1"/>
  <c r="BA133" i="1"/>
  <c r="AW127" i="1"/>
  <c r="BA127" i="1"/>
  <c r="AZ127" i="1"/>
  <c r="BB127" i="1" s="1"/>
  <c r="BA121" i="1"/>
  <c r="AZ121" i="1"/>
  <c r="AW121" i="1"/>
  <c r="AY122" i="1" s="1"/>
  <c r="AZ119" i="1"/>
  <c r="AW119" i="1"/>
  <c r="BA119" i="1"/>
  <c r="AW58" i="1"/>
  <c r="AY59" i="1" s="1"/>
  <c r="AZ58" i="1"/>
  <c r="BA58" i="1"/>
  <c r="AW36" i="1"/>
  <c r="AY37" i="1" s="1"/>
  <c r="AZ36" i="1"/>
  <c r="BA36" i="1"/>
  <c r="BA29" i="1"/>
  <c r="AW29" i="1"/>
  <c r="AY30" i="1" s="1"/>
  <c r="AZ29" i="1"/>
  <c r="AQ148" i="1"/>
  <c r="AQ117" i="1"/>
  <c r="BE117" i="1" s="1"/>
  <c r="AQ103" i="1"/>
  <c r="AP155" i="1"/>
  <c r="AO155" i="1"/>
  <c r="AQ155" i="1" s="1"/>
  <c r="AL155" i="1"/>
  <c r="AN156" i="1" s="1"/>
  <c r="AL151" i="1"/>
  <c r="AP151" i="1"/>
  <c r="AO151" i="1"/>
  <c r="AQ151" i="1" s="1"/>
  <c r="AL143" i="1"/>
  <c r="AN144" i="1" s="1"/>
  <c r="AP143" i="1"/>
  <c r="AO143" i="1"/>
  <c r="AO94" i="1"/>
  <c r="AP94" i="1"/>
  <c r="AL94" i="1"/>
  <c r="AN95" i="1" s="1"/>
  <c r="AP88" i="1"/>
  <c r="AO88" i="1"/>
  <c r="AL88" i="1"/>
  <c r="AN89" i="1" s="1"/>
  <c r="AO37" i="1"/>
  <c r="AL37" i="1"/>
  <c r="AN38" i="1" s="1"/>
  <c r="AP37" i="1"/>
  <c r="BE103" i="1"/>
  <c r="BE85" i="1"/>
  <c r="BE83" i="1"/>
  <c r="BE76" i="1"/>
  <c r="BE75" i="1"/>
  <c r="BE73" i="1"/>
  <c r="BE23" i="1"/>
  <c r="AQ93" i="1"/>
  <c r="BE93" i="1" s="1"/>
  <c r="BB69" i="1"/>
  <c r="BB88" i="1"/>
  <c r="BB87" i="1"/>
  <c r="AQ132" i="1"/>
  <c r="AQ69" i="1"/>
  <c r="BE69" i="1" s="1"/>
  <c r="AQ106" i="1"/>
  <c r="BB84" i="1"/>
  <c r="BE84" i="1" s="1"/>
  <c r="AQ88" i="1"/>
  <c r="BE88" i="1" s="1"/>
  <c r="AO129" i="1"/>
  <c r="AL129" i="1"/>
  <c r="AN130" i="1" s="1"/>
  <c r="AP129" i="1"/>
  <c r="AZ114" i="1"/>
  <c r="AW114" i="1"/>
  <c r="AY115" i="1" s="1"/>
  <c r="BA114" i="1"/>
  <c r="AW112" i="1"/>
  <c r="AZ112" i="1"/>
  <c r="BA112" i="1"/>
  <c r="AZ106" i="1"/>
  <c r="AW106" i="1"/>
  <c r="AY107" i="1" s="1"/>
  <c r="BA106" i="1"/>
  <c r="AZ104" i="1"/>
  <c r="AW104" i="1"/>
  <c r="BA104" i="1"/>
  <c r="AL78" i="1"/>
  <c r="AN79" i="1" s="1"/>
  <c r="AO78" i="1"/>
  <c r="AP78" i="1"/>
  <c r="AZ70" i="1"/>
  <c r="AW70" i="1"/>
  <c r="AY71" i="1" s="1"/>
  <c r="BA70" i="1"/>
  <c r="AW68" i="1"/>
  <c r="AZ68" i="1"/>
  <c r="BA68" i="1"/>
  <c r="BA66" i="1"/>
  <c r="AZ66" i="1"/>
  <c r="BB66" i="1" s="1"/>
  <c r="AW66" i="1"/>
  <c r="AW61" i="1"/>
  <c r="AY62" i="1" s="1"/>
  <c r="BA61" i="1"/>
  <c r="AZ61" i="1"/>
  <c r="BB61" i="1" s="1"/>
  <c r="BA56" i="1"/>
  <c r="AW56" i="1"/>
  <c r="AZ56" i="1"/>
  <c r="BB56" i="1" s="1"/>
  <c r="AW52" i="1"/>
  <c r="AY53" i="1" s="1"/>
  <c r="BA52" i="1"/>
  <c r="AZ52" i="1"/>
  <c r="BB52" i="1" s="1"/>
  <c r="AL50" i="1"/>
  <c r="AO50" i="1"/>
  <c r="AP50" i="1"/>
  <c r="AZ47" i="1"/>
  <c r="BA47" i="1"/>
  <c r="AW47" i="1"/>
  <c r="AY48" i="1" s="1"/>
  <c r="AR22" i="1"/>
  <c r="AR23" i="1" s="1"/>
  <c r="AQ126" i="1"/>
  <c r="BE126" i="1" s="1"/>
  <c r="AQ124" i="1"/>
  <c r="BE124" i="1" s="1"/>
  <c r="AQ121" i="1"/>
  <c r="BB120" i="1"/>
  <c r="BE120" i="1" s="1"/>
  <c r="BB119" i="1"/>
  <c r="AQ114" i="1"/>
  <c r="BB113" i="1"/>
  <c r="AQ113" i="1"/>
  <c r="BE113" i="1" s="1"/>
  <c r="BB67" i="1"/>
  <c r="BE67" i="1" s="1"/>
  <c r="BB64" i="1"/>
  <c r="AQ60" i="1"/>
  <c r="BE60" i="1" s="1"/>
  <c r="BB57" i="1"/>
  <c r="AQ57" i="1"/>
  <c r="BB55" i="1"/>
  <c r="BB51" i="1"/>
  <c r="BE51" i="1" s="1"/>
  <c r="BB46" i="1"/>
  <c r="BB45" i="1"/>
  <c r="AQ45" i="1"/>
  <c r="AQ42" i="1"/>
  <c r="BE42" i="1" s="1"/>
  <c r="BB35" i="1"/>
  <c r="AQ35" i="1"/>
  <c r="BE35" i="1" s="1"/>
  <c r="BB29" i="1"/>
  <c r="BE29" i="1" s="1"/>
  <c r="AQ28" i="1"/>
  <c r="BE28" i="1" s="1"/>
  <c r="BB27" i="1"/>
  <c r="BE27" i="1" s="1"/>
  <c r="AQ26" i="1"/>
  <c r="BE26" i="1" s="1"/>
  <c r="BB25" i="1"/>
  <c r="AQ25" i="1"/>
  <c r="BE25" i="1" s="1"/>
  <c r="AQ24" i="1"/>
  <c r="BB22" i="1"/>
  <c r="BE22" i="1" s="1"/>
  <c r="BB81" i="1"/>
  <c r="BB77" i="1"/>
  <c r="BB74" i="1"/>
  <c r="BE74" i="1" s="1"/>
  <c r="AQ87" i="1"/>
  <c r="BE87" i="1" s="1"/>
  <c r="BB80" i="1"/>
  <c r="BE80" i="1" s="1"/>
  <c r="AQ77" i="1"/>
  <c r="BE77" i="1" s="1"/>
  <c r="BB176" i="1"/>
  <c r="BB175" i="1"/>
  <c r="AQ175" i="1"/>
  <c r="BE175" i="1" s="1"/>
  <c r="BB174" i="1"/>
  <c r="AQ174" i="1"/>
  <c r="BB173" i="1"/>
  <c r="AQ173" i="1"/>
  <c r="BB172" i="1"/>
  <c r="BE172" i="1" s="1"/>
  <c r="BB171" i="1"/>
  <c r="AQ171" i="1"/>
  <c r="AQ170" i="1"/>
  <c r="BE170" i="1" s="1"/>
  <c r="AQ168" i="1"/>
  <c r="BE168" i="1" s="1"/>
  <c r="BB167" i="1"/>
  <c r="AQ167" i="1"/>
  <c r="BE167" i="1" s="1"/>
  <c r="BB166" i="1"/>
  <c r="BE166" i="1" s="1"/>
  <c r="BB165" i="1"/>
  <c r="AQ165" i="1"/>
  <c r="BB164" i="1"/>
  <c r="AQ164" i="1"/>
  <c r="BE164" i="1" s="1"/>
  <c r="AQ162" i="1"/>
  <c r="BE162" i="1" s="1"/>
  <c r="AQ154" i="1"/>
  <c r="AQ152" i="1"/>
  <c r="BE152" i="1" s="1"/>
  <c r="BB150" i="1"/>
  <c r="AQ150" i="1"/>
  <c r="BE150" i="1" s="1"/>
  <c r="BB148" i="1"/>
  <c r="BB147" i="1"/>
  <c r="AQ147" i="1"/>
  <c r="AQ145" i="1"/>
  <c r="BB143" i="1"/>
  <c r="BB142" i="1"/>
  <c r="AQ142" i="1"/>
  <c r="AQ133" i="1"/>
  <c r="BB132" i="1"/>
  <c r="BB129" i="1"/>
  <c r="AQ127" i="1"/>
  <c r="AQ125" i="1"/>
  <c r="BB111" i="1"/>
  <c r="AQ111" i="1"/>
  <c r="AQ105" i="1"/>
  <c r="BE105" i="1" s="1"/>
  <c r="BB95" i="1"/>
  <c r="AQ81" i="1"/>
  <c r="BE46" i="1" l="1"/>
  <c r="BE155" i="1"/>
  <c r="BE45" i="1"/>
  <c r="BA130" i="1"/>
  <c r="AW130" i="1"/>
  <c r="AY131" i="1" s="1"/>
  <c r="AZ130" i="1"/>
  <c r="AP62" i="1"/>
  <c r="AO62" i="1"/>
  <c r="AL62" i="1"/>
  <c r="AN63" i="1" s="1"/>
  <c r="AZ156" i="1"/>
  <c r="AW156" i="1"/>
  <c r="AY157" i="1" s="1"/>
  <c r="BA156" i="1"/>
  <c r="BA96" i="1"/>
  <c r="AZ96" i="1"/>
  <c r="BB96" i="1" s="1"/>
  <c r="AW96" i="1"/>
  <c r="AY97" i="1" s="1"/>
  <c r="AZ89" i="1"/>
  <c r="BA89" i="1"/>
  <c r="AW89" i="1"/>
  <c r="AY90" i="1" s="1"/>
  <c r="BE173" i="1"/>
  <c r="BB130" i="1"/>
  <c r="AW144" i="1"/>
  <c r="AZ144" i="1"/>
  <c r="BA144" i="1"/>
  <c r="BE174" i="1"/>
  <c r="BB121" i="1"/>
  <c r="BE121" i="1" s="1"/>
  <c r="AW44" i="1"/>
  <c r="AZ44" i="1"/>
  <c r="BA44" i="1"/>
  <c r="AL176" i="1"/>
  <c r="AP176" i="1"/>
  <c r="AO176" i="1"/>
  <c r="AQ176" i="1" s="1"/>
  <c r="AO134" i="1"/>
  <c r="AP134" i="1"/>
  <c r="AL134" i="1"/>
  <c r="AN135" i="1" s="1"/>
  <c r="AO122" i="1"/>
  <c r="AP122" i="1"/>
  <c r="AL122" i="1"/>
  <c r="AN123" i="1" s="1"/>
  <c r="AL115" i="1"/>
  <c r="AN116" i="1" s="1"/>
  <c r="AP115" i="1"/>
  <c r="AO115" i="1"/>
  <c r="AQ115" i="1" s="1"/>
  <c r="AW79" i="1"/>
  <c r="BA79" i="1"/>
  <c r="AZ79" i="1"/>
  <c r="BB79" i="1" s="1"/>
  <c r="AP30" i="1"/>
  <c r="AL30" i="1"/>
  <c r="AN31" i="1" s="1"/>
  <c r="AO30" i="1"/>
  <c r="AQ30" i="1" s="1"/>
  <c r="BB151" i="1"/>
  <c r="BE151" i="1" s="1"/>
  <c r="AQ104" i="1"/>
  <c r="BB78" i="1"/>
  <c r="AQ61" i="1"/>
  <c r="BE61" i="1" s="1"/>
  <c r="AQ62" i="1"/>
  <c r="AQ70" i="1"/>
  <c r="AO66" i="1"/>
  <c r="AP66" i="1"/>
  <c r="AL66" i="1"/>
  <c r="AO68" i="1"/>
  <c r="AP68" i="1"/>
  <c r="AL68" i="1"/>
  <c r="AO56" i="1"/>
  <c r="AP56" i="1"/>
  <c r="AL56" i="1"/>
  <c r="AP47" i="1"/>
  <c r="AO47" i="1"/>
  <c r="AL47" i="1"/>
  <c r="AN48" i="1" s="1"/>
  <c r="AL52" i="1"/>
  <c r="AN53" i="1" s="1"/>
  <c r="AP52" i="1"/>
  <c r="AO52" i="1"/>
  <c r="AQ52" i="1" s="1"/>
  <c r="BE52" i="1" s="1"/>
  <c r="AO118" i="1"/>
  <c r="AL118" i="1"/>
  <c r="AN119" i="1" s="1"/>
  <c r="AP118" i="1"/>
  <c r="AP71" i="1"/>
  <c r="AO71" i="1"/>
  <c r="AQ71" i="1" s="1"/>
  <c r="AL71" i="1"/>
  <c r="AN72" i="1" s="1"/>
  <c r="AO58" i="1"/>
  <c r="AL58" i="1"/>
  <c r="AN59" i="1" s="1"/>
  <c r="AP58" i="1"/>
  <c r="AP107" i="1"/>
  <c r="AL107" i="1"/>
  <c r="AN108" i="1" s="1"/>
  <c r="AO107" i="1"/>
  <c r="AO43" i="1"/>
  <c r="AP43" i="1"/>
  <c r="AL43" i="1"/>
  <c r="AN44" i="1" s="1"/>
  <c r="BA50" i="1"/>
  <c r="AZ50" i="1"/>
  <c r="BB50" i="1" s="1"/>
  <c r="AW50" i="1"/>
  <c r="BA43" i="1"/>
  <c r="AZ43" i="1"/>
  <c r="BB43" i="1" s="1"/>
  <c r="AW37" i="1"/>
  <c r="AY38" i="1" s="1"/>
  <c r="BA37" i="1"/>
  <c r="AZ37" i="1"/>
  <c r="AL130" i="1"/>
  <c r="AN131" i="1" s="1"/>
  <c r="AO130" i="1"/>
  <c r="AP130" i="1"/>
  <c r="AW53" i="1"/>
  <c r="AY54" i="1" s="1"/>
  <c r="AZ53" i="1"/>
  <c r="BA53" i="1"/>
  <c r="AW48" i="1"/>
  <c r="AZ48" i="1"/>
  <c r="BA48" i="1"/>
  <c r="BE154" i="1"/>
  <c r="BE145" i="1"/>
  <c r="BE57" i="1"/>
  <c r="BE127" i="1"/>
  <c r="BE125" i="1"/>
  <c r="BE81" i="1"/>
  <c r="AQ65" i="1"/>
  <c r="BE65" i="1" s="1"/>
  <c r="AQ36" i="1"/>
  <c r="AQ55" i="1"/>
  <c r="BE55" i="1" s="1"/>
  <c r="AQ64" i="1"/>
  <c r="BE64" i="1" s="1"/>
  <c r="BE148" i="1"/>
  <c r="BE132" i="1"/>
  <c r="BE165" i="1"/>
  <c r="BE147" i="1"/>
  <c r="BB41" i="1"/>
  <c r="BE41" i="1" s="1"/>
  <c r="BB58" i="1"/>
  <c r="BE176" i="1"/>
  <c r="BE142" i="1"/>
  <c r="AZ134" i="1"/>
  <c r="AW134" i="1"/>
  <c r="AY135" i="1" s="1"/>
  <c r="BA134" i="1"/>
  <c r="BA131" i="1"/>
  <c r="AZ131" i="1"/>
  <c r="AW131" i="1"/>
  <c r="BA122" i="1"/>
  <c r="AZ122" i="1"/>
  <c r="AW122" i="1"/>
  <c r="AY123" i="1" s="1"/>
  <c r="AW59" i="1"/>
  <c r="AZ59" i="1"/>
  <c r="BA59" i="1"/>
  <c r="AW30" i="1"/>
  <c r="AY31" i="1" s="1"/>
  <c r="BA30" i="1"/>
  <c r="AZ30" i="1"/>
  <c r="BB133" i="1"/>
  <c r="BE133" i="1" s="1"/>
  <c r="BB36" i="1"/>
  <c r="BE36" i="1" s="1"/>
  <c r="BE171" i="1"/>
  <c r="AW107" i="1"/>
  <c r="AY108" i="1" s="1"/>
  <c r="AZ107" i="1"/>
  <c r="BA107" i="1"/>
  <c r="AO38" i="1"/>
  <c r="AL38" i="1"/>
  <c r="AN39" i="1" s="1"/>
  <c r="AP38" i="1"/>
  <c r="AQ143" i="1"/>
  <c r="BE143" i="1" s="1"/>
  <c r="AL156" i="1"/>
  <c r="AN157" i="1" s="1"/>
  <c r="AP156" i="1"/>
  <c r="AO156" i="1"/>
  <c r="AP144" i="1"/>
  <c r="AL144" i="1"/>
  <c r="AO144" i="1"/>
  <c r="AQ144" i="1" s="1"/>
  <c r="AP95" i="1"/>
  <c r="AO95" i="1"/>
  <c r="AL95" i="1"/>
  <c r="AN96" i="1" s="1"/>
  <c r="AO89" i="1"/>
  <c r="AP89" i="1"/>
  <c r="AL89" i="1"/>
  <c r="AN90" i="1" s="1"/>
  <c r="AQ94" i="1"/>
  <c r="BE94" i="1" s="1"/>
  <c r="AQ37" i="1"/>
  <c r="AO79" i="1"/>
  <c r="AP79" i="1"/>
  <c r="AL79" i="1"/>
  <c r="AZ115" i="1"/>
  <c r="AW115" i="1"/>
  <c r="AY116" i="1" s="1"/>
  <c r="BA115" i="1"/>
  <c r="BA71" i="1"/>
  <c r="AZ71" i="1"/>
  <c r="BB71" i="1" s="1"/>
  <c r="AW71" i="1"/>
  <c r="AY72" i="1" s="1"/>
  <c r="BA62" i="1"/>
  <c r="AW62" i="1"/>
  <c r="AY63" i="1" s="1"/>
  <c r="AZ62" i="1"/>
  <c r="BF22" i="1"/>
  <c r="BF23" i="1" s="1"/>
  <c r="BC22" i="1"/>
  <c r="BC23" i="1" s="1"/>
  <c r="BC24" i="1" s="1"/>
  <c r="BC25" i="1" s="1"/>
  <c r="BC26" i="1" s="1"/>
  <c r="BC27" i="1" s="1"/>
  <c r="BC28" i="1" s="1"/>
  <c r="BC29" i="1" s="1"/>
  <c r="AQ129" i="1"/>
  <c r="BE129" i="1" s="1"/>
  <c r="BB114" i="1"/>
  <c r="BE114" i="1" s="1"/>
  <c r="BB112" i="1"/>
  <c r="BE112" i="1" s="1"/>
  <c r="BB106" i="1"/>
  <c r="BE106" i="1" s="1"/>
  <c r="BB104" i="1"/>
  <c r="AQ78" i="1"/>
  <c r="BB70" i="1"/>
  <c r="BB68" i="1"/>
  <c r="AQ50" i="1"/>
  <c r="BE111" i="1"/>
  <c r="BB47" i="1"/>
  <c r="AR24" i="1"/>
  <c r="AR25" i="1" s="1"/>
  <c r="AR26" i="1" s="1"/>
  <c r="AR27" i="1" s="1"/>
  <c r="AR28" i="1" s="1"/>
  <c r="AR29" i="1" s="1"/>
  <c r="AR30" i="1" s="1"/>
  <c r="BE24" i="1"/>
  <c r="BB37" i="1" l="1"/>
  <c r="AL63" i="1"/>
  <c r="AP63" i="1"/>
  <c r="AO63" i="1"/>
  <c r="AQ63" i="1" s="1"/>
  <c r="BB44" i="1"/>
  <c r="AZ157" i="1"/>
  <c r="BA157" i="1"/>
  <c r="AW157" i="1"/>
  <c r="AY158" i="1" s="1"/>
  <c r="BA97" i="1"/>
  <c r="AZ97" i="1"/>
  <c r="BB97" i="1" s="1"/>
  <c r="AW97" i="1"/>
  <c r="AY98" i="1" s="1"/>
  <c r="BA90" i="1"/>
  <c r="AW90" i="1"/>
  <c r="AY91" i="1" s="1"/>
  <c r="AZ90" i="1"/>
  <c r="BB90" i="1" s="1"/>
  <c r="BB156" i="1"/>
  <c r="BB144" i="1"/>
  <c r="BE144" i="1" s="1"/>
  <c r="BB89" i="1"/>
  <c r="AQ107" i="1"/>
  <c r="AQ47" i="1"/>
  <c r="BE47" i="1" s="1"/>
  <c r="BE71" i="1"/>
  <c r="BB62" i="1"/>
  <c r="BE62" i="1" s="1"/>
  <c r="AL135" i="1"/>
  <c r="AN136" i="1" s="1"/>
  <c r="AO135" i="1"/>
  <c r="AP135" i="1"/>
  <c r="AL123" i="1"/>
  <c r="AP123" i="1"/>
  <c r="AO123" i="1"/>
  <c r="AQ123" i="1" s="1"/>
  <c r="AO116" i="1"/>
  <c r="AP116" i="1"/>
  <c r="AL116" i="1"/>
  <c r="AL31" i="1"/>
  <c r="AN32" i="1" s="1"/>
  <c r="AP31" i="1"/>
  <c r="AO31" i="1"/>
  <c r="AQ31" i="1" s="1"/>
  <c r="AR31" i="1" s="1"/>
  <c r="AL48" i="1"/>
  <c r="AP48" i="1"/>
  <c r="AO48" i="1"/>
  <c r="AQ48" i="1" s="1"/>
  <c r="AL53" i="1"/>
  <c r="AN54" i="1" s="1"/>
  <c r="AO53" i="1"/>
  <c r="AP53" i="1"/>
  <c r="AO119" i="1"/>
  <c r="AL119" i="1"/>
  <c r="AP119" i="1"/>
  <c r="AO72" i="1"/>
  <c r="AL72" i="1"/>
  <c r="AP72" i="1"/>
  <c r="AO59" i="1"/>
  <c r="AP59" i="1"/>
  <c r="AL59" i="1"/>
  <c r="AO108" i="1"/>
  <c r="AL108" i="1"/>
  <c r="AN109" i="1" s="1"/>
  <c r="AP108" i="1"/>
  <c r="AP44" i="1"/>
  <c r="AO44" i="1"/>
  <c r="AQ44" i="1" s="1"/>
  <c r="BE44" i="1" s="1"/>
  <c r="AL44" i="1"/>
  <c r="AZ38" i="1"/>
  <c r="BA38" i="1"/>
  <c r="AW38" i="1"/>
  <c r="AY39" i="1" s="1"/>
  <c r="AO131" i="1"/>
  <c r="AP131" i="1"/>
  <c r="AL131" i="1"/>
  <c r="BA54" i="1"/>
  <c r="AZ54" i="1"/>
  <c r="AW54" i="1"/>
  <c r="AQ134" i="1"/>
  <c r="AQ122" i="1"/>
  <c r="AQ66" i="1"/>
  <c r="BE66" i="1" s="1"/>
  <c r="AQ68" i="1"/>
  <c r="BE68" i="1" s="1"/>
  <c r="AQ56" i="1"/>
  <c r="BE56" i="1" s="1"/>
  <c r="AQ118" i="1"/>
  <c r="BE118" i="1" s="1"/>
  <c r="AQ58" i="1"/>
  <c r="BE58" i="1" s="1"/>
  <c r="AQ43" i="1"/>
  <c r="BE43" i="1" s="1"/>
  <c r="AQ130" i="1"/>
  <c r="BE130" i="1" s="1"/>
  <c r="BB53" i="1"/>
  <c r="BB48" i="1"/>
  <c r="BE104" i="1"/>
  <c r="BE78" i="1"/>
  <c r="BE70" i="1"/>
  <c r="BE50" i="1"/>
  <c r="AL39" i="1"/>
  <c r="AN40" i="1" s="1"/>
  <c r="AP39" i="1"/>
  <c r="AO39" i="1"/>
  <c r="AQ39" i="1" s="1"/>
  <c r="BA116" i="1"/>
  <c r="AZ116" i="1"/>
  <c r="BB116" i="1" s="1"/>
  <c r="AW116" i="1"/>
  <c r="AZ72" i="1"/>
  <c r="BA72" i="1"/>
  <c r="AW72" i="1"/>
  <c r="BA63" i="1"/>
  <c r="AW63" i="1"/>
  <c r="AZ63" i="1"/>
  <c r="BB63" i="1" s="1"/>
  <c r="BE63" i="1" s="1"/>
  <c r="BB30" i="1"/>
  <c r="BE30" i="1" s="1"/>
  <c r="BB122" i="1"/>
  <c r="BE122" i="1" s="1"/>
  <c r="BB131" i="1"/>
  <c r="AZ135" i="1"/>
  <c r="AW135" i="1"/>
  <c r="AY136" i="1" s="1"/>
  <c r="BA135" i="1"/>
  <c r="AZ123" i="1"/>
  <c r="AW123" i="1"/>
  <c r="BA123" i="1"/>
  <c r="BA31" i="1"/>
  <c r="AZ31" i="1"/>
  <c r="AW31" i="1"/>
  <c r="AY32" i="1" s="1"/>
  <c r="BA108" i="1"/>
  <c r="AZ108" i="1"/>
  <c r="AW108" i="1"/>
  <c r="AY109" i="1" s="1"/>
  <c r="BC30" i="1"/>
  <c r="BB134" i="1"/>
  <c r="BE134" i="1" s="1"/>
  <c r="BB59" i="1"/>
  <c r="BB107" i="1"/>
  <c r="BE107" i="1" s="1"/>
  <c r="AQ95" i="1"/>
  <c r="BE95" i="1" s="1"/>
  <c r="AQ38" i="1"/>
  <c r="AL157" i="1"/>
  <c r="AN158" i="1" s="1"/>
  <c r="AP157" i="1"/>
  <c r="AO157" i="1"/>
  <c r="AP96" i="1"/>
  <c r="AO96" i="1"/>
  <c r="AQ96" i="1" s="1"/>
  <c r="BE96" i="1" s="1"/>
  <c r="AL96" i="1"/>
  <c r="AN97" i="1" s="1"/>
  <c r="AL90" i="1"/>
  <c r="AN91" i="1" s="1"/>
  <c r="AO90" i="1"/>
  <c r="AP90" i="1"/>
  <c r="AQ156" i="1"/>
  <c r="BE156" i="1" s="1"/>
  <c r="AQ89" i="1"/>
  <c r="BE89" i="1" s="1"/>
  <c r="AQ79" i="1"/>
  <c r="BE79" i="1" s="1"/>
  <c r="BE37" i="1"/>
  <c r="BF24" i="1"/>
  <c r="BF25" i="1" s="1"/>
  <c r="BF26" i="1" s="1"/>
  <c r="BF27" i="1" s="1"/>
  <c r="BF28" i="1" s="1"/>
  <c r="BF29" i="1" s="1"/>
  <c r="BB115" i="1"/>
  <c r="BE115" i="1" s="1"/>
  <c r="BB54" i="1" l="1"/>
  <c r="BB31" i="1"/>
  <c r="AZ158" i="1"/>
  <c r="AW158" i="1"/>
  <c r="AY159" i="1" s="1"/>
  <c r="BA158" i="1"/>
  <c r="BA98" i="1"/>
  <c r="AW98" i="1"/>
  <c r="AY99" i="1" s="1"/>
  <c r="AZ98" i="1"/>
  <c r="BB98" i="1" s="1"/>
  <c r="AZ91" i="1"/>
  <c r="BA91" i="1"/>
  <c r="AW91" i="1"/>
  <c r="AY92" i="1" s="1"/>
  <c r="BB108" i="1"/>
  <c r="BB157" i="1"/>
  <c r="AQ119" i="1"/>
  <c r="BE119" i="1" s="1"/>
  <c r="BF30" i="1"/>
  <c r="BB72" i="1"/>
  <c r="AO136" i="1"/>
  <c r="AL136" i="1"/>
  <c r="AN137" i="1" s="1"/>
  <c r="AP136" i="1"/>
  <c r="AL32" i="1"/>
  <c r="AN33" i="1" s="1"/>
  <c r="AP32" i="1"/>
  <c r="AO32" i="1"/>
  <c r="AQ32" i="1" s="1"/>
  <c r="AR32" i="1" s="1"/>
  <c r="AP54" i="1"/>
  <c r="AO54" i="1"/>
  <c r="AQ54" i="1" s="1"/>
  <c r="AL54" i="1"/>
  <c r="AO109" i="1"/>
  <c r="AP109" i="1"/>
  <c r="AL109" i="1"/>
  <c r="AN110" i="1" s="1"/>
  <c r="BA39" i="1"/>
  <c r="AZ39" i="1"/>
  <c r="BB39" i="1" s="1"/>
  <c r="BE39" i="1" s="1"/>
  <c r="AW39" i="1"/>
  <c r="AY40" i="1" s="1"/>
  <c r="AL40" i="1"/>
  <c r="AP40" i="1"/>
  <c r="AO40" i="1"/>
  <c r="AQ40" i="1" s="1"/>
  <c r="BE48" i="1"/>
  <c r="AQ53" i="1"/>
  <c r="BE53" i="1" s="1"/>
  <c r="AQ108" i="1"/>
  <c r="BE108" i="1" s="1"/>
  <c r="AQ135" i="1"/>
  <c r="AQ116" i="1"/>
  <c r="BE116" i="1" s="1"/>
  <c r="AQ72" i="1"/>
  <c r="BE72" i="1" s="1"/>
  <c r="AQ59" i="1"/>
  <c r="BE59" i="1" s="1"/>
  <c r="BB38" i="1"/>
  <c r="BE38" i="1" s="1"/>
  <c r="AQ131" i="1"/>
  <c r="BE131" i="1" s="1"/>
  <c r="AQ157" i="1"/>
  <c r="BE157" i="1" s="1"/>
  <c r="BA136" i="1"/>
  <c r="AZ136" i="1"/>
  <c r="AW136" i="1"/>
  <c r="AY137" i="1" s="1"/>
  <c r="AZ32" i="1"/>
  <c r="BA32" i="1"/>
  <c r="AW32" i="1"/>
  <c r="AY33" i="1" s="1"/>
  <c r="AZ109" i="1"/>
  <c r="BA109" i="1"/>
  <c r="AW109" i="1"/>
  <c r="AY110" i="1" s="1"/>
  <c r="BB135" i="1"/>
  <c r="BB123" i="1"/>
  <c r="BE123" i="1" s="1"/>
  <c r="AP158" i="1"/>
  <c r="AO158" i="1"/>
  <c r="AL158" i="1"/>
  <c r="AN159" i="1" s="1"/>
  <c r="AP97" i="1"/>
  <c r="AO97" i="1"/>
  <c r="AL97" i="1"/>
  <c r="AN98" i="1" s="1"/>
  <c r="AO91" i="1"/>
  <c r="AP91" i="1"/>
  <c r="AL91" i="1"/>
  <c r="AN92" i="1" s="1"/>
  <c r="AQ90" i="1"/>
  <c r="BE54" i="1" l="1"/>
  <c r="BC31" i="1"/>
  <c r="BE31" i="1"/>
  <c r="BF31" i="1" s="1"/>
  <c r="AZ159" i="1"/>
  <c r="BA159" i="1"/>
  <c r="AW159" i="1"/>
  <c r="AY160" i="1" s="1"/>
  <c r="BA99" i="1"/>
  <c r="AW99" i="1"/>
  <c r="AY100" i="1" s="1"/>
  <c r="AZ99" i="1"/>
  <c r="BB99" i="1" s="1"/>
  <c r="AZ92" i="1"/>
  <c r="AW92" i="1"/>
  <c r="BA92" i="1"/>
  <c r="BB158" i="1"/>
  <c r="BB91" i="1"/>
  <c r="BE135" i="1"/>
  <c r="AO137" i="1"/>
  <c r="AL137" i="1"/>
  <c r="AN138" i="1" s="1"/>
  <c r="AP137" i="1"/>
  <c r="AL33" i="1"/>
  <c r="AN34" i="1" s="1"/>
  <c r="AP33" i="1"/>
  <c r="AO33" i="1"/>
  <c r="AQ33" i="1" s="1"/>
  <c r="AR33" i="1" s="1"/>
  <c r="AP110" i="1"/>
  <c r="AL110" i="1"/>
  <c r="AO110" i="1"/>
  <c r="AQ110" i="1" s="1"/>
  <c r="AZ40" i="1"/>
  <c r="AW40" i="1"/>
  <c r="BA40" i="1"/>
  <c r="AQ136" i="1"/>
  <c r="AQ109" i="1"/>
  <c r="AO159" i="1"/>
  <c r="AP159" i="1"/>
  <c r="AL159" i="1"/>
  <c r="AN160" i="1" s="1"/>
  <c r="AP92" i="1"/>
  <c r="AO92" i="1"/>
  <c r="AL92" i="1"/>
  <c r="AQ97" i="1"/>
  <c r="BE97" i="1" s="1"/>
  <c r="BB136" i="1"/>
  <c r="BE136" i="1" s="1"/>
  <c r="BA137" i="1"/>
  <c r="AW137" i="1"/>
  <c r="AY138" i="1" s="1"/>
  <c r="AZ137" i="1"/>
  <c r="BB137" i="1" s="1"/>
  <c r="BA33" i="1"/>
  <c r="AW33" i="1"/>
  <c r="AY34" i="1" s="1"/>
  <c r="AZ33" i="1"/>
  <c r="BA110" i="1"/>
  <c r="AW110" i="1"/>
  <c r="AZ110" i="1"/>
  <c r="BB110" i="1" s="1"/>
  <c r="BE110" i="1" s="1"/>
  <c r="BB32" i="1"/>
  <c r="BB109" i="1"/>
  <c r="BE109" i="1" s="1"/>
  <c r="AQ158" i="1"/>
  <c r="AO98" i="1"/>
  <c r="AL98" i="1"/>
  <c r="AN99" i="1" s="1"/>
  <c r="AP98" i="1"/>
  <c r="BE90" i="1"/>
  <c r="AQ91" i="1"/>
  <c r="BE158" i="1" l="1"/>
  <c r="AZ160" i="1"/>
  <c r="AW160" i="1"/>
  <c r="AY161" i="1" s="1"/>
  <c r="BA160" i="1"/>
  <c r="AZ100" i="1"/>
  <c r="AW100" i="1"/>
  <c r="AY101" i="1" s="1"/>
  <c r="BA100" i="1"/>
  <c r="BB159" i="1"/>
  <c r="BB92" i="1"/>
  <c r="AL138" i="1"/>
  <c r="AN139" i="1" s="1"/>
  <c r="AO138" i="1"/>
  <c r="AP138" i="1"/>
  <c r="AP34" i="1"/>
  <c r="AO34" i="1"/>
  <c r="AQ34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L34" i="1"/>
  <c r="AO160" i="1"/>
  <c r="AL160" i="1"/>
  <c r="AN161" i="1" s="1"/>
  <c r="AP160" i="1"/>
  <c r="AQ137" i="1"/>
  <c r="BE137" i="1" s="1"/>
  <c r="BB40" i="1"/>
  <c r="BE40" i="1" s="1"/>
  <c r="AQ159" i="1"/>
  <c r="BB33" i="1"/>
  <c r="BE33" i="1" s="1"/>
  <c r="AQ92" i="1"/>
  <c r="AZ138" i="1"/>
  <c r="BA138" i="1"/>
  <c r="AW138" i="1"/>
  <c r="AY139" i="1" s="1"/>
  <c r="AW34" i="1"/>
  <c r="BA34" i="1"/>
  <c r="AZ34" i="1"/>
  <c r="BE32" i="1"/>
  <c r="BF32" i="1" s="1"/>
  <c r="BF33" i="1" s="1"/>
  <c r="BC32" i="1"/>
  <c r="BC33" i="1" s="1"/>
  <c r="AO99" i="1"/>
  <c r="AP99" i="1"/>
  <c r="AL99" i="1"/>
  <c r="AN100" i="1" s="1"/>
  <c r="AQ98" i="1"/>
  <c r="BE91" i="1"/>
  <c r="AW161" i="1" l="1"/>
  <c r="AZ161" i="1"/>
  <c r="BA161" i="1"/>
  <c r="AW101" i="1"/>
  <c r="AY102" i="1" s="1"/>
  <c r="AZ101" i="1"/>
  <c r="BA101" i="1"/>
  <c r="BE159" i="1"/>
  <c r="BE92" i="1"/>
  <c r="BB100" i="1"/>
  <c r="BB160" i="1"/>
  <c r="AO139" i="1"/>
  <c r="AL139" i="1"/>
  <c r="AN140" i="1" s="1"/>
  <c r="AP139" i="1"/>
  <c r="AO161" i="1"/>
  <c r="AL161" i="1"/>
  <c r="AP161" i="1"/>
  <c r="AQ138" i="1"/>
  <c r="AR92" i="1"/>
  <c r="AR93" i="1" s="1"/>
  <c r="AR94" i="1" s="1"/>
  <c r="AR95" i="1" s="1"/>
  <c r="AR96" i="1" s="1"/>
  <c r="AR97" i="1" s="1"/>
  <c r="AR98" i="1" s="1"/>
  <c r="AQ160" i="1"/>
  <c r="BE160" i="1" s="1"/>
  <c r="BB34" i="1"/>
  <c r="AW139" i="1"/>
  <c r="AY140" i="1" s="1"/>
  <c r="BA139" i="1"/>
  <c r="AZ139" i="1"/>
  <c r="BB139" i="1" s="1"/>
  <c r="BB138" i="1"/>
  <c r="AL100" i="1"/>
  <c r="AN101" i="1" s="1"/>
  <c r="AO100" i="1"/>
  <c r="AP100" i="1"/>
  <c r="BE98" i="1"/>
  <c r="AQ99" i="1"/>
  <c r="BE34" i="1" l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C34" i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AW102" i="1"/>
  <c r="AZ102" i="1"/>
  <c r="BA102" i="1"/>
  <c r="BB161" i="1"/>
  <c r="BB101" i="1"/>
  <c r="AO140" i="1"/>
  <c r="AP140" i="1"/>
  <c r="AL140" i="1"/>
  <c r="AN141" i="1" s="1"/>
  <c r="AQ139" i="1"/>
  <c r="BE139" i="1" s="1"/>
  <c r="AQ161" i="1"/>
  <c r="BE161" i="1" s="1"/>
  <c r="AO101" i="1"/>
  <c r="AP101" i="1"/>
  <c r="AL101" i="1"/>
  <c r="AN102" i="1" s="1"/>
  <c r="BA140" i="1"/>
  <c r="AW140" i="1"/>
  <c r="AY141" i="1" s="1"/>
  <c r="AZ140" i="1"/>
  <c r="BB140" i="1" s="1"/>
  <c r="BE138" i="1"/>
  <c r="AQ100" i="1"/>
  <c r="AR99" i="1"/>
  <c r="AR100" i="1" s="1"/>
  <c r="BE99" i="1"/>
  <c r="BC101" i="1" l="1"/>
  <c r="BB102" i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AL141" i="1"/>
  <c r="AP141" i="1"/>
  <c r="AO141" i="1"/>
  <c r="AO102" i="1"/>
  <c r="AP102" i="1"/>
  <c r="AL102" i="1"/>
  <c r="AQ140" i="1"/>
  <c r="BE140" i="1" s="1"/>
  <c r="AQ101" i="1"/>
  <c r="AW141" i="1"/>
  <c r="BA141" i="1"/>
  <c r="AZ141" i="1"/>
  <c r="BB141" i="1" s="1"/>
  <c r="BE100" i="1"/>
  <c r="BF99" i="1"/>
  <c r="AQ141" i="1" l="1"/>
  <c r="AR101" i="1"/>
  <c r="BE101" i="1"/>
  <c r="BB15" i="1"/>
  <c r="BB19" i="1"/>
  <c r="BC141" i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B14" i="1"/>
  <c r="BE141" i="1"/>
  <c r="AQ102" i="1"/>
  <c r="AQ14" i="1" s="1"/>
  <c r="BF100" i="1"/>
  <c r="AR102" i="1" l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AQ15" i="1"/>
  <c r="AQ16" i="1" s="1"/>
  <c r="AI1" i="1" s="1"/>
  <c r="AQ19" i="1"/>
  <c r="BE102" i="1"/>
  <c r="BB16" i="1"/>
  <c r="AT1" i="1" s="1"/>
  <c r="BF101" i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5" i="1" l="1"/>
  <c r="BE14" i="1"/>
  <c r="BE18" i="1"/>
  <c r="BE16" i="1" l="1"/>
</calcChain>
</file>

<file path=xl/sharedStrings.xml><?xml version="1.0" encoding="utf-8"?>
<sst xmlns="http://schemas.openxmlformats.org/spreadsheetml/2006/main" count="74" uniqueCount="53">
  <si>
    <t>date</t>
  </si>
  <si>
    <t>BATRA</t>
  </si>
  <si>
    <t>BATRK</t>
  </si>
  <si>
    <t>BATRA log rtn</t>
  </si>
  <si>
    <t>BATRK log rtn</t>
  </si>
  <si>
    <t>BATRA div</t>
  </si>
  <si>
    <t>BATRA div cumsum</t>
  </si>
  <si>
    <t>BATRK div</t>
  </si>
  <si>
    <t>BATRK div cumsum</t>
  </si>
  <si>
    <t>BATRA div adjustment</t>
  </si>
  <si>
    <t>BATRK div adjustment</t>
  </si>
  <si>
    <t>BATRA*</t>
  </si>
  <si>
    <t>BATRK*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</si>
  <si>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</si>
  <si>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</si>
  <si>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</si>
  <si>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</si>
  <si>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</si>
  <si>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</si>
  <si>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</si>
  <si>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</si>
  <si>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</si>
  <si>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</si>
  <si>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</si>
  <si>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</si>
  <si>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</si>
  <si>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</si>
  <si>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</si>
  <si>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</si>
  <si>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</si>
  <si>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</si>
  <si>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</si>
  <si>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</si>
  <si>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BATRA/BATRK</t>
  </si>
  <si>
    <t>BATRA/BATRK avg</t>
  </si>
  <si>
    <t>BATRA/BATRK 10 dma</t>
  </si>
  <si>
    <t>BATRA/BATRK 20 dma</t>
  </si>
  <si>
    <t>BATRK x avg</t>
  </si>
  <si>
    <t>BATRK x 10 dma</t>
  </si>
  <si>
    <t>BATRK x 20 dma</t>
  </si>
  <si>
    <t>log diff BATRK x avg / BATRA</t>
  </si>
  <si>
    <t>log diff BATRK x 10 dma / BATRA</t>
  </si>
  <si>
    <t>log diff BATRK x 20 dma / BATRA</t>
  </si>
  <si>
    <t>BATRA*/BATRK*</t>
  </si>
  <si>
    <t>BATRA*/BATRK* avg</t>
  </si>
  <si>
    <t>BATRA*/BATRK* 10 dma</t>
  </si>
  <si>
    <t>BATRA*/BATRK* 20 dma</t>
  </si>
  <si>
    <t>BATRK* x avg</t>
  </si>
  <si>
    <t>BATRK* x 10 dma</t>
  </si>
  <si>
    <t>BATRK* x 20 dma</t>
  </si>
  <si>
    <t>log diff BATRK* x avg / BATRA*</t>
  </si>
  <si>
    <t>log diff BATRK* x 10 dma / BATRA*</t>
  </si>
  <si>
    <t>log diff BATRK* x 20 dma / BATRA*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</si>
</sst>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BATRA/BATRK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1.0913821229076099</c:v>
                </c:pt>
                <c:pt idx="1">
                  <c:v>1.0913821229076099</c:v>
                </c:pt>
                <c:pt idx="2">
                  <c:v>1.0913821229076099</c:v>
                </c:pt>
                <c:pt idx="3">
                  <c:v>1.0913821229076099</c:v>
                </c:pt>
                <c:pt idx="4">
                  <c:v>1.0913821229076099</c:v>
                </c:pt>
                <c:pt idx="5">
                  <c:v>1.0913821229076099</c:v>
                </c:pt>
                <c:pt idx="6">
                  <c:v>1.0913821229076099</c:v>
                </c:pt>
                <c:pt idx="7">
                  <c:v>1.0913821229076099</c:v>
                </c:pt>
                <c:pt idx="8">
                  <c:v>1.0913821229076099</c:v>
                </c:pt>
                <c:pt idx="9">
                  <c:v>1.0913821229076099</c:v>
                </c:pt>
                <c:pt idx="10">
                  <c:v>1.0913821229076099</c:v>
                </c:pt>
                <c:pt idx="11">
                  <c:v>1.0913821229076099</c:v>
                </c:pt>
                <c:pt idx="12">
                  <c:v>1.0913821229076099</c:v>
                </c:pt>
                <c:pt idx="13">
                  <c:v>1.0913821229076099</c:v>
                </c:pt>
                <c:pt idx="14">
                  <c:v>1.0913821229076099</c:v>
                </c:pt>
                <c:pt idx="15">
                  <c:v>1.0913821229076099</c:v>
                </c:pt>
                <c:pt idx="16">
                  <c:v>1.0913821229076099</c:v>
                </c:pt>
                <c:pt idx="17">
                  <c:v>1.0913821229076099</c:v>
                </c:pt>
                <c:pt idx="18">
                  <c:v>1.0913821229076099</c:v>
                </c:pt>
                <c:pt idx="19">
                  <c:v>1.0913821229076099</c:v>
                </c:pt>
                <c:pt idx="20">
                  <c:v>1.0913821229076099</c:v>
                </c:pt>
                <c:pt idx="21">
                  <c:v>1.0913821229076099</c:v>
                </c:pt>
                <c:pt idx="22">
                  <c:v>1.0913821229076099</c:v>
                </c:pt>
                <c:pt idx="23">
                  <c:v>1.0913821229076099</c:v>
                </c:pt>
                <c:pt idx="24">
                  <c:v>1.0913821229076099</c:v>
                </c:pt>
                <c:pt idx="25">
                  <c:v>1.0913821229076099</c:v>
                </c:pt>
                <c:pt idx="26">
                  <c:v>1.0913821229076099</c:v>
                </c:pt>
                <c:pt idx="27">
                  <c:v>1.0913821229076099</c:v>
                </c:pt>
                <c:pt idx="28">
                  <c:v>1.0913821229076099</c:v>
                </c:pt>
                <c:pt idx="29">
                  <c:v>1.0913821229076099</c:v>
                </c:pt>
                <c:pt idx="30">
                  <c:v>1.0913821229076099</c:v>
                </c:pt>
                <c:pt idx="31">
                  <c:v>1.0913821229076099</c:v>
                </c:pt>
                <c:pt idx="32">
                  <c:v>1.0913821229076099</c:v>
                </c:pt>
                <c:pt idx="33">
                  <c:v>1.0913821229076099</c:v>
                </c:pt>
                <c:pt idx="34">
                  <c:v>1.0913821229076099</c:v>
                </c:pt>
                <c:pt idx="35">
                  <c:v>1.0913821229076099</c:v>
                </c:pt>
                <c:pt idx="36">
                  <c:v>1.0913821229076099</c:v>
                </c:pt>
                <c:pt idx="37">
                  <c:v>1.0913821229076099</c:v>
                </c:pt>
                <c:pt idx="38">
                  <c:v>1.0913821229076099</c:v>
                </c:pt>
                <c:pt idx="39">
                  <c:v>1.0913821229076099</c:v>
                </c:pt>
                <c:pt idx="40">
                  <c:v>1.0913821229076099</c:v>
                </c:pt>
                <c:pt idx="41">
                  <c:v>1.0913821229076099</c:v>
                </c:pt>
                <c:pt idx="42">
                  <c:v>1.0913821229076099</c:v>
                </c:pt>
                <c:pt idx="43">
                  <c:v>1.0913821229076099</c:v>
                </c:pt>
                <c:pt idx="44">
                  <c:v>1.0913821229076099</c:v>
                </c:pt>
                <c:pt idx="45">
                  <c:v>1.0913821229076099</c:v>
                </c:pt>
                <c:pt idx="46">
                  <c:v>1.0913821229076099</c:v>
                </c:pt>
                <c:pt idx="47">
                  <c:v>1.0913821229076099</c:v>
                </c:pt>
                <c:pt idx="48">
                  <c:v>1.0913821229076099</c:v>
                </c:pt>
                <c:pt idx="49">
                  <c:v>1.0913821229076099</c:v>
                </c:pt>
                <c:pt idx="50">
                  <c:v>1.0913821229076099</c:v>
                </c:pt>
                <c:pt idx="51">
                  <c:v>1.0913821229076099</c:v>
                </c:pt>
                <c:pt idx="52">
                  <c:v>1.0913821229076099</c:v>
                </c:pt>
                <c:pt idx="53">
                  <c:v>1.0913821229076099</c:v>
                </c:pt>
                <c:pt idx="54">
                  <c:v>1.0913821229076099</c:v>
                </c:pt>
                <c:pt idx="55">
                  <c:v>1.0913821229076099</c:v>
                </c:pt>
                <c:pt idx="56">
                  <c:v>1.0913821229076099</c:v>
                </c:pt>
                <c:pt idx="57">
                  <c:v>1.0913821229076099</c:v>
                </c:pt>
                <c:pt idx="58">
                  <c:v>1.0913821229076099</c:v>
                </c:pt>
                <c:pt idx="59">
                  <c:v>1.0913821229076099</c:v>
                </c:pt>
                <c:pt idx="60">
                  <c:v>1.0913821229076099</c:v>
                </c:pt>
                <c:pt idx="61">
                  <c:v>1.0913821229076099</c:v>
                </c:pt>
                <c:pt idx="62">
                  <c:v>1.0913821229076099</c:v>
                </c:pt>
                <c:pt idx="63">
                  <c:v>1.0913821229076099</c:v>
                </c:pt>
                <c:pt idx="64">
                  <c:v>1.0913821229076099</c:v>
                </c:pt>
                <c:pt idx="65">
                  <c:v>1.0913821229076099</c:v>
                </c:pt>
                <c:pt idx="66">
                  <c:v>1.0913821229076099</c:v>
                </c:pt>
                <c:pt idx="67">
                  <c:v>1.0913821229076099</c:v>
                </c:pt>
                <c:pt idx="68">
                  <c:v>1.0913821229076099</c:v>
                </c:pt>
                <c:pt idx="69">
                  <c:v>1.0913821229076099</c:v>
                </c:pt>
                <c:pt idx="70">
                  <c:v>1.0913821229076099</c:v>
                </c:pt>
                <c:pt idx="71">
                  <c:v>1.0913821229076099</c:v>
                </c:pt>
                <c:pt idx="72">
                  <c:v>1.0913821229076099</c:v>
                </c:pt>
                <c:pt idx="73">
                  <c:v>1.0913821229076099</c:v>
                </c:pt>
                <c:pt idx="74">
                  <c:v>1.0913821229076099</c:v>
                </c:pt>
                <c:pt idx="75">
                  <c:v>1.0913821229076099</c:v>
                </c:pt>
                <c:pt idx="76">
                  <c:v>1.0913821229076099</c:v>
                </c:pt>
                <c:pt idx="77">
                  <c:v>1.0913821229076099</c:v>
                </c:pt>
                <c:pt idx="78">
                  <c:v>1.0913821229076099</c:v>
                </c:pt>
                <c:pt idx="79">
                  <c:v>1.0913821229076099</c:v>
                </c:pt>
                <c:pt idx="80">
                  <c:v>1.0913821229076099</c:v>
                </c:pt>
                <c:pt idx="81">
                  <c:v>1.0913821229076099</c:v>
                </c:pt>
                <c:pt idx="82">
                  <c:v>1.0913821229076099</c:v>
                </c:pt>
                <c:pt idx="83">
                  <c:v>1.0913821229076099</c:v>
                </c:pt>
                <c:pt idx="84">
                  <c:v>1.0913821229076099</c:v>
                </c:pt>
                <c:pt idx="85">
                  <c:v>1.0913821229076099</c:v>
                </c:pt>
                <c:pt idx="86">
                  <c:v>1.0913821229076099</c:v>
                </c:pt>
                <c:pt idx="87">
                  <c:v>1.0913821229076099</c:v>
                </c:pt>
                <c:pt idx="88">
                  <c:v>1.0913821229076099</c:v>
                </c:pt>
                <c:pt idx="89">
                  <c:v>1.0913821229076099</c:v>
                </c:pt>
                <c:pt idx="90">
                  <c:v>1.0913821229076099</c:v>
                </c:pt>
                <c:pt idx="91">
                  <c:v>1.0913821229076099</c:v>
                </c:pt>
                <c:pt idx="92">
                  <c:v>1.0913821229076099</c:v>
                </c:pt>
                <c:pt idx="93">
                  <c:v>1.0913821229076099</c:v>
                </c:pt>
                <c:pt idx="94">
                  <c:v>1.0913821229076099</c:v>
                </c:pt>
                <c:pt idx="95">
                  <c:v>1.0913821229076099</c:v>
                </c:pt>
                <c:pt idx="96">
                  <c:v>1.0913821229076099</c:v>
                </c:pt>
                <c:pt idx="97">
                  <c:v>1.0913821229076099</c:v>
                </c:pt>
                <c:pt idx="98">
                  <c:v>1.0913821229076099</c:v>
                </c:pt>
                <c:pt idx="99">
                  <c:v>1.0913821229076099</c:v>
                </c:pt>
                <c:pt idx="100">
                  <c:v>1.0913821229076099</c:v>
                </c:pt>
                <c:pt idx="101">
                  <c:v>1.0913821229076099</c:v>
                </c:pt>
                <c:pt idx="102">
                  <c:v>1.0913821229076099</c:v>
                </c:pt>
                <c:pt idx="103">
                  <c:v>1.0913821229076099</c:v>
                </c:pt>
                <c:pt idx="104">
                  <c:v>1.0913821229076099</c:v>
                </c:pt>
                <c:pt idx="105">
                  <c:v>1.0913821229076099</c:v>
                </c:pt>
                <c:pt idx="106">
                  <c:v>1.0913821229076099</c:v>
                </c:pt>
                <c:pt idx="107">
                  <c:v>1.0913821229076099</c:v>
                </c:pt>
                <c:pt idx="108">
                  <c:v>1.0913821229076099</c:v>
                </c:pt>
                <c:pt idx="109">
                  <c:v>1.0913821229076099</c:v>
                </c:pt>
                <c:pt idx="110">
                  <c:v>1.0913821229076099</c:v>
                </c:pt>
                <c:pt idx="111">
                  <c:v>1.0913821229076099</c:v>
                </c:pt>
                <c:pt idx="112">
                  <c:v>1.0913821229076099</c:v>
                </c:pt>
                <c:pt idx="113">
                  <c:v>1.0913821229076099</c:v>
                </c:pt>
                <c:pt idx="114">
                  <c:v>1.0913821229076099</c:v>
                </c:pt>
                <c:pt idx="115">
                  <c:v>1.0913821229076099</c:v>
                </c:pt>
                <c:pt idx="116">
                  <c:v>1.0913821229076099</c:v>
                </c:pt>
                <c:pt idx="117">
                  <c:v>1.0913821229076099</c:v>
                </c:pt>
                <c:pt idx="118">
                  <c:v>1.0913821229076099</c:v>
                </c:pt>
                <c:pt idx="119">
                  <c:v>1.0913821229076099</c:v>
                </c:pt>
                <c:pt idx="120">
                  <c:v>1.0913821229076099</c:v>
                </c:pt>
                <c:pt idx="121">
                  <c:v>1.0913821229076099</c:v>
                </c:pt>
                <c:pt idx="122">
                  <c:v>1.0913821229076099</c:v>
                </c:pt>
                <c:pt idx="123">
                  <c:v>1.0913821229076099</c:v>
                </c:pt>
                <c:pt idx="124">
                  <c:v>1.0913821229076099</c:v>
                </c:pt>
                <c:pt idx="125">
                  <c:v>1.0913821229076099</c:v>
                </c:pt>
                <c:pt idx="126">
                  <c:v>1.0913821229076099</c:v>
                </c:pt>
                <c:pt idx="127">
                  <c:v>1.0913821229076099</c:v>
                </c:pt>
                <c:pt idx="128">
                  <c:v>1.0913821229076099</c:v>
                </c:pt>
                <c:pt idx="129">
                  <c:v>1.0913821229076099</c:v>
                </c:pt>
                <c:pt idx="130">
                  <c:v>1.0913821229076099</c:v>
                </c:pt>
                <c:pt idx="131">
                  <c:v>1.0913821229076099</c:v>
                </c:pt>
                <c:pt idx="132">
                  <c:v>1.0913821229076099</c:v>
                </c:pt>
                <c:pt idx="133">
                  <c:v>1.0913821229076099</c:v>
                </c:pt>
                <c:pt idx="134">
                  <c:v>1.0913821229076099</c:v>
                </c:pt>
                <c:pt idx="135">
                  <c:v>1.0913821229076099</c:v>
                </c:pt>
                <c:pt idx="136">
                  <c:v>1.0913821229076099</c:v>
                </c:pt>
                <c:pt idx="137">
                  <c:v>1.0913821229076099</c:v>
                </c:pt>
                <c:pt idx="138">
                  <c:v>1.0913821229076099</c:v>
                </c:pt>
                <c:pt idx="139">
                  <c:v>1.0913821229076099</c:v>
                </c:pt>
                <c:pt idx="140">
                  <c:v>1.0913821229076099</c:v>
                </c:pt>
                <c:pt idx="141">
                  <c:v>1.0913821229076099</c:v>
                </c:pt>
                <c:pt idx="142">
                  <c:v>1.0913821229076099</c:v>
                </c:pt>
                <c:pt idx="143">
                  <c:v>1.0913821229076099</c:v>
                </c:pt>
                <c:pt idx="144">
                  <c:v>1.0913821229076099</c:v>
                </c:pt>
                <c:pt idx="145">
                  <c:v>1.0913821229076099</c:v>
                </c:pt>
                <c:pt idx="146">
                  <c:v>1.0913821229076099</c:v>
                </c:pt>
                <c:pt idx="147">
                  <c:v>1.0913821229076099</c:v>
                </c:pt>
                <c:pt idx="148">
                  <c:v>1.0913821229076099</c:v>
                </c:pt>
                <c:pt idx="149">
                  <c:v>1.0913821229076099</c:v>
                </c:pt>
                <c:pt idx="150">
                  <c:v>1.0913821229076099</c:v>
                </c:pt>
                <c:pt idx="151">
                  <c:v>1.0913821229076099</c:v>
                </c:pt>
                <c:pt idx="152">
                  <c:v>1.0913821229076099</c:v>
                </c:pt>
                <c:pt idx="153">
                  <c:v>1.0913821229076099</c:v>
                </c:pt>
                <c:pt idx="154">
                  <c:v>1.0913821229076099</c:v>
                </c:pt>
                <c:pt idx="155">
                  <c:v>1.0913821229076099</c:v>
                </c:pt>
                <c:pt idx="156">
                  <c:v>1.0913821229076099</c:v>
                </c:pt>
                <c:pt idx="157">
                  <c:v>1.0913821229076099</c:v>
                </c:pt>
                <c:pt idx="158">
                  <c:v>1.0913821229076099</c:v>
                </c:pt>
                <c:pt idx="159">
                  <c:v>1.0913821229076099</c:v>
                </c:pt>
                <c:pt idx="160">
                  <c:v>1.0913821229076099</c:v>
                </c:pt>
                <c:pt idx="161">
                  <c:v>1.0913821229076099</c:v>
                </c:pt>
                <c:pt idx="162">
                  <c:v>1.0913821229076099</c:v>
                </c:pt>
                <c:pt idx="163">
                  <c:v>1.0913821229076099</c:v>
                </c:pt>
                <c:pt idx="164">
                  <c:v>1.0913821229076099</c:v>
                </c:pt>
                <c:pt idx="165">
                  <c:v>1.0913821229076099</c:v>
                </c:pt>
                <c:pt idx="166">
                  <c:v>1.0913821229076099</c:v>
                </c:pt>
                <c:pt idx="167">
                  <c:v>1.0913821229076099</c:v>
                </c:pt>
                <c:pt idx="168">
                  <c:v>1.0913821229076099</c:v>
                </c:pt>
                <c:pt idx="169">
                  <c:v>1.0913821229076099</c:v>
                </c:pt>
                <c:pt idx="170">
                  <c:v>1.0913821229076099</c:v>
                </c:pt>
                <c:pt idx="171">
                  <c:v>1.0913821229076099</c:v>
                </c:pt>
                <c:pt idx="172">
                  <c:v>1.0913821229076099</c:v>
                </c:pt>
                <c:pt idx="173">
                  <c:v>1.0913821229076099</c:v>
                </c:pt>
                <c:pt idx="174">
                  <c:v>1.0913821229076099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87-4021-AEC0-76EB7C5764C0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BATRA/BATRK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1.0765895457098</c:v>
                </c:pt>
                <c:pt idx="10">
                  <c:v>1.0768234377033801</c:v>
                </c:pt>
                <c:pt idx="11">
                  <c:v>1.0763960432570201</c:v>
                </c:pt>
                <c:pt idx="12">
                  <c:v>1.0768098563344399</c:v>
                </c:pt>
                <c:pt idx="13">
                  <c:v>1.0767967460658601</c:v>
                </c:pt>
                <c:pt idx="14">
                  <c:v>1.07715331246821</c:v>
                </c:pt>
                <c:pt idx="15">
                  <c:v>1.07866081362921</c:v>
                </c:pt>
                <c:pt idx="16">
                  <c:v>1.08041646197817</c:v>
                </c:pt>
                <c:pt idx="17">
                  <c:v>1.0835470145959001</c:v>
                </c:pt>
                <c:pt idx="18">
                  <c:v>1.08586947850622</c:v>
                </c:pt>
                <c:pt idx="19">
                  <c:v>1.0884871855838101</c:v>
                </c:pt>
                <c:pt idx="20">
                  <c:v>1.09092510127624</c:v>
                </c:pt>
                <c:pt idx="21">
                  <c:v>1.09371459739413</c:v>
                </c:pt>
                <c:pt idx="22">
                  <c:v>1.0959493028690701</c:v>
                </c:pt>
                <c:pt idx="23">
                  <c:v>1.0992340203072399</c:v>
                </c:pt>
                <c:pt idx="24">
                  <c:v>1.10231669748251</c:v>
                </c:pt>
                <c:pt idx="25">
                  <c:v>1.10433187482887</c:v>
                </c:pt>
                <c:pt idx="26">
                  <c:v>1.1060945031731699</c:v>
                </c:pt>
                <c:pt idx="27">
                  <c:v>1.1064589602988799</c:v>
                </c:pt>
                <c:pt idx="28">
                  <c:v>1.10696194172177</c:v>
                </c:pt>
                <c:pt idx="29">
                  <c:v>1.10707103142448</c:v>
                </c:pt>
                <c:pt idx="30">
                  <c:v>1.10717826910396</c:v>
                </c:pt>
                <c:pt idx="31">
                  <c:v>1.10692864554536</c:v>
                </c:pt>
                <c:pt idx="32">
                  <c:v>1.1061394032133001</c:v>
                </c:pt>
                <c:pt idx="33">
                  <c:v>1.1056542308688899</c:v>
                </c:pt>
                <c:pt idx="34">
                  <c:v>1.10420679161838</c:v>
                </c:pt>
                <c:pt idx="35">
                  <c:v>1.10339178736377</c:v>
                </c:pt>
                <c:pt idx="36">
                  <c:v>1.1038757848255201</c:v>
                </c:pt>
                <c:pt idx="37">
                  <c:v>1.10407088710164</c:v>
                </c:pt>
                <c:pt idx="38">
                  <c:v>1.1044280132862201</c:v>
                </c:pt>
                <c:pt idx="39">
                  <c:v>1.1047274270359699</c:v>
                </c:pt>
                <c:pt idx="40">
                  <c:v>1.1050653159346899</c:v>
                </c:pt>
                <c:pt idx="41">
                  <c:v>1.10573628195452</c:v>
                </c:pt>
                <c:pt idx="42">
                  <c:v>1.1064655235362799</c:v>
                </c:pt>
                <c:pt idx="43">
                  <c:v>1.10647520280476</c:v>
                </c:pt>
                <c:pt idx="44">
                  <c:v>1.10798441991327</c:v>
                </c:pt>
                <c:pt idx="45">
                  <c:v>1.1080696659257101</c:v>
                </c:pt>
                <c:pt idx="46">
                  <c:v>1.1073193380336599</c:v>
                </c:pt>
                <c:pt idx="47">
                  <c:v>1.1066767106275801</c:v>
                </c:pt>
                <c:pt idx="48">
                  <c:v>1.10641369523345</c:v>
                </c:pt>
                <c:pt idx="49">
                  <c:v>1.1067429296454401</c:v>
                </c:pt>
                <c:pt idx="50">
                  <c:v>1.1057481486319201</c:v>
                </c:pt>
                <c:pt idx="51">
                  <c:v>1.1045059948118401</c:v>
                </c:pt>
                <c:pt idx="52">
                  <c:v>1.1041373521046001</c:v>
                </c:pt>
                <c:pt idx="53">
                  <c:v>1.1043154559081301</c:v>
                </c:pt>
                <c:pt idx="54">
                  <c:v>1.1040359936892801</c:v>
                </c:pt>
                <c:pt idx="55">
                  <c:v>1.10526863809955</c:v>
                </c:pt>
                <c:pt idx="56">
                  <c:v>1.106194812085</c:v>
                </c:pt>
                <c:pt idx="57">
                  <c:v>1.10668992548393</c:v>
                </c:pt>
                <c:pt idx="58">
                  <c:v>1.10742105694393</c:v>
                </c:pt>
                <c:pt idx="59">
                  <c:v>1.10762820638611</c:v>
                </c:pt>
                <c:pt idx="60">
                  <c:v>1.10817546633928</c:v>
                </c:pt>
                <c:pt idx="61">
                  <c:v>1.1091658400042099</c:v>
                </c:pt>
                <c:pt idx="62">
                  <c:v>1.1096248891815601</c:v>
                </c:pt>
                <c:pt idx="63">
                  <c:v>1.1096782935435501</c:v>
                </c:pt>
                <c:pt idx="64">
                  <c:v>1.10959311501002</c:v>
                </c:pt>
                <c:pt idx="65">
                  <c:v>1.1092995749522501</c:v>
                </c:pt>
                <c:pt idx="66">
                  <c:v>1.1087887349379799</c:v>
                </c:pt>
                <c:pt idx="67">
                  <c:v>1.1092039330708601</c:v>
                </c:pt>
                <c:pt idx="68">
                  <c:v>1.1091995585328001</c:v>
                </c:pt>
                <c:pt idx="69">
                  <c:v>1.1080471130391101</c:v>
                </c:pt>
                <c:pt idx="70">
                  <c:v>1.1082426874778299</c:v>
                </c:pt>
                <c:pt idx="71">
                  <c:v>1.1084774069991199</c:v>
                </c:pt>
                <c:pt idx="72">
                  <c:v>1.1085286057497199</c:v>
                </c:pt>
                <c:pt idx="73">
                  <c:v>1.10817872370954</c:v>
                </c:pt>
                <c:pt idx="74">
                  <c:v>1.10853034424679</c:v>
                </c:pt>
                <c:pt idx="75">
                  <c:v>1.1078854989625699</c:v>
                </c:pt>
                <c:pt idx="76">
                  <c:v>1.1067947671329399</c:v>
                </c:pt>
                <c:pt idx="77">
                  <c:v>1.1035828828899199</c:v>
                </c:pt>
                <c:pt idx="78">
                  <c:v>1.1002463403323599</c:v>
                </c:pt>
                <c:pt idx="79">
                  <c:v>1.09775472717232</c:v>
                </c:pt>
                <c:pt idx="80">
                  <c:v>1.0940715403858401</c:v>
                </c:pt>
                <c:pt idx="81">
                  <c:v>1.09016234411438</c:v>
                </c:pt>
                <c:pt idx="82">
                  <c:v>1.08739447024005</c:v>
                </c:pt>
                <c:pt idx="83">
                  <c:v>1.0841838890752</c:v>
                </c:pt>
                <c:pt idx="84">
                  <c:v>1.08098386005129</c:v>
                </c:pt>
                <c:pt idx="85">
                  <c:v>1.07871104530491</c:v>
                </c:pt>
                <c:pt idx="86">
                  <c:v>1.07703975789655</c:v>
                </c:pt>
                <c:pt idx="87">
                  <c:v>1.0774043097480801</c:v>
                </c:pt>
                <c:pt idx="88">
                  <c:v>1.0777283254333601</c:v>
                </c:pt>
                <c:pt idx="89">
                  <c:v>1.07967568636261</c:v>
                </c:pt>
                <c:pt idx="90">
                  <c:v>1.0798705439054599</c:v>
                </c:pt>
                <c:pt idx="91">
                  <c:v>1.07984219046696</c:v>
                </c:pt>
                <c:pt idx="92">
                  <c:v>1.0787572213285199</c:v>
                </c:pt>
                <c:pt idx="93">
                  <c:v>1.0780048410768901</c:v>
                </c:pt>
                <c:pt idx="94">
                  <c:v>1.0769847365163401</c:v>
                </c:pt>
                <c:pt idx="95">
                  <c:v>1.0757700383576601</c:v>
                </c:pt>
                <c:pt idx="96">
                  <c:v>1.0746004715676201</c:v>
                </c:pt>
                <c:pt idx="97">
                  <c:v>1.07358427048037</c:v>
                </c:pt>
                <c:pt idx="98">
                  <c:v>1.0734846522122301</c:v>
                </c:pt>
                <c:pt idx="99">
                  <c:v>1.0720063580239201</c:v>
                </c:pt>
                <c:pt idx="100">
                  <c:v>1.0725299148137299</c:v>
                </c:pt>
                <c:pt idx="101">
                  <c:v>1.0735189592446399</c:v>
                </c:pt>
                <c:pt idx="102">
                  <c:v>1.0739440206027899</c:v>
                </c:pt>
                <c:pt idx="103">
                  <c:v>1.0753818655710801</c:v>
                </c:pt>
                <c:pt idx="104">
                  <c:v>1.0770230232378999</c:v>
                </c:pt>
                <c:pt idx="105">
                  <c:v>1.0784954828780999</c:v>
                </c:pt>
                <c:pt idx="106">
                  <c:v>1.08022814300065</c:v>
                </c:pt>
                <c:pt idx="107">
                  <c:v>1.08130222251854</c:v>
                </c:pt>
                <c:pt idx="108">
                  <c:v>1.0809226570602499</c:v>
                </c:pt>
                <c:pt idx="109">
                  <c:v>1.0809816739265501</c:v>
                </c:pt>
                <c:pt idx="110">
                  <c:v>1.08123223889556</c:v>
                </c:pt>
                <c:pt idx="111">
                  <c:v>1.0811921707160499</c:v>
                </c:pt>
                <c:pt idx="112">
                  <c:v>1.0819682440817699</c:v>
                </c:pt>
                <c:pt idx="113">
                  <c:v>1.08099958663545</c:v>
                </c:pt>
                <c:pt idx="114">
                  <c:v>1.0804528468252901</c:v>
                </c:pt>
                <c:pt idx="115">
                  <c:v>1.08025001335963</c:v>
                </c:pt>
                <c:pt idx="116">
                  <c:v>1.0802048443888901</c:v>
                </c:pt>
                <c:pt idx="117">
                  <c:v>1.07999599535839</c:v>
                </c:pt>
                <c:pt idx="118">
                  <c:v>1.08098207765099</c:v>
                </c:pt>
                <c:pt idx="119">
                  <c:v>1.08244155181185</c:v>
                </c:pt>
                <c:pt idx="120">
                  <c:v>1.08329537514122</c:v>
                </c:pt>
                <c:pt idx="121">
                  <c:v>1.08517750562688</c:v>
                </c:pt>
                <c:pt idx="122">
                  <c:v>1.0854298299359599</c:v>
                </c:pt>
                <c:pt idx="123">
                  <c:v>1.0885510365590001</c:v>
                </c:pt>
                <c:pt idx="124">
                  <c:v>1.0898364174553801</c:v>
                </c:pt>
                <c:pt idx="125">
                  <c:v>1.09035087679517</c:v>
                </c:pt>
                <c:pt idx="126">
                  <c:v>1.08983793416472</c:v>
                </c:pt>
                <c:pt idx="127">
                  <c:v>1.09149707785387</c:v>
                </c:pt>
                <c:pt idx="128">
                  <c:v>1.09195230259389</c:v>
                </c:pt>
                <c:pt idx="129">
                  <c:v>1.09133072141734</c:v>
                </c:pt>
                <c:pt idx="130">
                  <c:v>1.09187763843464</c:v>
                </c:pt>
                <c:pt idx="131">
                  <c:v>1.09143726583663</c:v>
                </c:pt>
                <c:pt idx="132">
                  <c:v>1.0931780655264201</c:v>
                </c:pt>
                <c:pt idx="133">
                  <c:v>1.0933619939744901</c:v>
                </c:pt>
                <c:pt idx="134">
                  <c:v>1.09386878422878</c:v>
                </c:pt>
                <c:pt idx="135">
                  <c:v>1.0951901404052999</c:v>
                </c:pt>
                <c:pt idx="136">
                  <c:v>1.09743678078198</c:v>
                </c:pt>
                <c:pt idx="137">
                  <c:v>1.09768952978136</c:v>
                </c:pt>
                <c:pt idx="138">
                  <c:v>1.0975635036476099</c:v>
                </c:pt>
                <c:pt idx="139">
                  <c:v>1.0981207581688299</c:v>
                </c:pt>
                <c:pt idx="140">
                  <c:v>1.09731138978889</c:v>
                </c:pt>
                <c:pt idx="141">
                  <c:v>1.09593789658185</c:v>
                </c:pt>
                <c:pt idx="142">
                  <c:v>1.0926712817344799</c:v>
                </c:pt>
                <c:pt idx="143">
                  <c:v>1.08919513049674</c:v>
                </c:pt>
                <c:pt idx="144">
                  <c:v>1.08655954707393</c:v>
                </c:pt>
                <c:pt idx="145">
                  <c:v>1.08333152744907</c:v>
                </c:pt>
                <c:pt idx="146">
                  <c:v>1.0799829802726999</c:v>
                </c:pt>
                <c:pt idx="147">
                  <c:v>1.0760235820853501</c:v>
                </c:pt>
                <c:pt idx="148">
                  <c:v>1.0747483843799599</c:v>
                </c:pt>
                <c:pt idx="149">
                  <c:v>1.07207324927558</c:v>
                </c:pt>
                <c:pt idx="150">
                  <c:v>1.0700737688441599</c:v>
                </c:pt>
                <c:pt idx="151">
                  <c:v>1.06871182544479</c:v>
                </c:pt>
                <c:pt idx="152">
                  <c:v>1.0684575119078601</c:v>
                </c:pt>
                <c:pt idx="153">
                  <c:v>1.06808996896811</c:v>
                </c:pt>
                <c:pt idx="154">
                  <c:v>1.06804576435483</c:v>
                </c:pt>
                <c:pt idx="155">
                  <c:v>1.0677092855129899</c:v>
                </c:pt>
                <c:pt idx="156">
                  <c:v>1.0685541586252001</c:v>
                </c:pt>
                <c:pt idx="157">
                  <c:v>1.0693345054677099</c:v>
                </c:pt>
                <c:pt idx="158">
                  <c:v>1.0691197220481401</c:v>
                </c:pt>
                <c:pt idx="159">
                  <c:v>1.07145554413385</c:v>
                </c:pt>
                <c:pt idx="160">
                  <c:v>1.0742178828343201</c:v>
                </c:pt>
                <c:pt idx="161">
                  <c:v>1.0765866038810701</c:v>
                </c:pt>
                <c:pt idx="162">
                  <c:v>1.0793565540171399</c:v>
                </c:pt>
                <c:pt idx="163">
                  <c:v>1.0824152195966601</c:v>
                </c:pt>
                <c:pt idx="164">
                  <c:v>1.0856438369446899</c:v>
                </c:pt>
                <c:pt idx="165">
                  <c:v>1.0901466683154599</c:v>
                </c:pt>
                <c:pt idx="166">
                  <c:v>1.09272662964858</c:v>
                </c:pt>
                <c:pt idx="167">
                  <c:v>1.0965443423450401</c:v>
                </c:pt>
                <c:pt idx="168">
                  <c:v>1.0993330394999301</c:v>
                </c:pt>
                <c:pt idx="169">
                  <c:v>1.1009508077608401</c:v>
                </c:pt>
                <c:pt idx="170">
                  <c:v>1.1020781278446401</c:v>
                </c:pt>
                <c:pt idx="171">
                  <c:v>1.1035727966809199</c:v>
                </c:pt>
                <c:pt idx="172">
                  <c:v>1.10472072186242</c:v>
                </c:pt>
                <c:pt idx="173">
                  <c:v>1.10579158597676</c:v>
                </c:pt>
                <c:pt idx="174">
                  <c:v>1.10628338318008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87-4021-AEC0-76EB7C5764C0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BATRA/BATRK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1.0825383656468099</c:v>
                </c:pt>
                <c:pt idx="20">
                  <c:v>1.08387426948981</c:v>
                </c:pt>
                <c:pt idx="21">
                  <c:v>1.0850553203255799</c:v>
                </c:pt>
                <c:pt idx="22">
                  <c:v>1.0863795796017499</c:v>
                </c:pt>
                <c:pt idx="23">
                  <c:v>1.08801538318655</c:v>
                </c:pt>
                <c:pt idx="24">
                  <c:v>1.08973500497536</c:v>
                </c:pt>
                <c:pt idx="25">
                  <c:v>1.09149634422904</c:v>
                </c:pt>
                <c:pt idx="26">
                  <c:v>1.09325548257567</c:v>
                </c:pt>
                <c:pt idx="27">
                  <c:v>1.0950029874473901</c:v>
                </c:pt>
                <c:pt idx="28">
                  <c:v>1.09641571011399</c:v>
                </c:pt>
                <c:pt idx="29">
                  <c:v>1.0977791085041499</c:v>
                </c:pt>
                <c:pt idx="30">
                  <c:v>1.0990516851901</c:v>
                </c:pt>
                <c:pt idx="31">
                  <c:v>1.10032162146974</c:v>
                </c:pt>
                <c:pt idx="32">
                  <c:v>1.10104435304118</c:v>
                </c:pt>
                <c:pt idx="33">
                  <c:v>1.1024441255880599</c:v>
                </c:pt>
                <c:pt idx="34">
                  <c:v>1.10326174455044</c:v>
                </c:pt>
                <c:pt idx="35">
                  <c:v>1.10386183109632</c:v>
                </c:pt>
                <c:pt idx="36">
                  <c:v>1.1049851439993501</c:v>
                </c:pt>
                <c:pt idx="37">
                  <c:v>1.1052649237002601</c:v>
                </c:pt>
                <c:pt idx="38">
                  <c:v>1.1056949775039899</c:v>
                </c:pt>
                <c:pt idx="39">
                  <c:v>1.1058992292302301</c:v>
                </c:pt>
                <c:pt idx="40">
                  <c:v>1.1061217925193201</c:v>
                </c:pt>
                <c:pt idx="41">
                  <c:v>1.1063324637499401</c:v>
                </c:pt>
                <c:pt idx="42">
                  <c:v>1.10630246337479</c:v>
                </c:pt>
                <c:pt idx="43">
                  <c:v>1.1060647168368201</c:v>
                </c:pt>
                <c:pt idx="44">
                  <c:v>1.10609560576582</c:v>
                </c:pt>
                <c:pt idx="45">
                  <c:v>1.10573072664474</c:v>
                </c:pt>
                <c:pt idx="46">
                  <c:v>1.1055975614295901</c:v>
                </c:pt>
                <c:pt idx="47">
                  <c:v>1.10537379886461</c:v>
                </c:pt>
                <c:pt idx="48">
                  <c:v>1.1054208542598301</c:v>
                </c:pt>
                <c:pt idx="49">
                  <c:v>1.1057351783407099</c:v>
                </c:pt>
                <c:pt idx="50">
                  <c:v>1.1054067322833001</c:v>
                </c:pt>
                <c:pt idx="51">
                  <c:v>1.10512113838318</c:v>
                </c:pt>
                <c:pt idx="52">
                  <c:v>1.10530143782044</c:v>
                </c:pt>
                <c:pt idx="53">
                  <c:v>1.10539532935644</c:v>
                </c:pt>
                <c:pt idx="54">
                  <c:v>1.10601020680128</c:v>
                </c:pt>
                <c:pt idx="55">
                  <c:v>1.1066691520126299</c:v>
                </c:pt>
                <c:pt idx="56">
                  <c:v>1.1067570750593301</c:v>
                </c:pt>
                <c:pt idx="57">
                  <c:v>1.10668331805576</c:v>
                </c:pt>
                <c:pt idx="58">
                  <c:v>1.1069173760886899</c:v>
                </c:pt>
                <c:pt idx="59">
                  <c:v>1.1071855680157801</c:v>
                </c:pt>
                <c:pt idx="60">
                  <c:v>1.1069618074856</c:v>
                </c:pt>
                <c:pt idx="61">
                  <c:v>1.10683591740803</c:v>
                </c:pt>
                <c:pt idx="62">
                  <c:v>1.10688112064308</c:v>
                </c:pt>
                <c:pt idx="63">
                  <c:v>1.1069968747258401</c:v>
                </c:pt>
                <c:pt idx="64">
                  <c:v>1.1068145543496499</c:v>
                </c:pt>
                <c:pt idx="65">
                  <c:v>1.1072841065259</c:v>
                </c:pt>
                <c:pt idx="66">
                  <c:v>1.10749177351149</c:v>
                </c:pt>
                <c:pt idx="67">
                  <c:v>1.1079469292774</c:v>
                </c:pt>
                <c:pt idx="68">
                  <c:v>1.10831030773836</c:v>
                </c:pt>
                <c:pt idx="69">
                  <c:v>1.1078376597126101</c:v>
                </c:pt>
                <c:pt idx="70">
                  <c:v>1.10820907690855</c:v>
                </c:pt>
                <c:pt idx="71">
                  <c:v>1.1088216235016599</c:v>
                </c:pt>
                <c:pt idx="72">
                  <c:v>1.10907674746564</c:v>
                </c:pt>
                <c:pt idx="73">
                  <c:v>1.1089285086265399</c:v>
                </c:pt>
                <c:pt idx="74">
                  <c:v>1.10906172962841</c:v>
                </c:pt>
                <c:pt idx="75">
                  <c:v>1.1085925369574099</c:v>
                </c:pt>
                <c:pt idx="76">
                  <c:v>1.10779175103546</c:v>
                </c:pt>
                <c:pt idx="77">
                  <c:v>1.1063934079803901</c:v>
                </c:pt>
                <c:pt idx="78">
                  <c:v>1.1047229494325801</c:v>
                </c:pt>
                <c:pt idx="79">
                  <c:v>1.1029009201057101</c:v>
                </c:pt>
                <c:pt idx="80">
                  <c:v>1.1011571139318399</c:v>
                </c:pt>
                <c:pt idx="81">
                  <c:v>1.0993198755567499</c:v>
                </c:pt>
                <c:pt idx="82">
                  <c:v>1.0979615379948799</c:v>
                </c:pt>
                <c:pt idx="83">
                  <c:v>1.09618130639237</c:v>
                </c:pt>
                <c:pt idx="84">
                  <c:v>1.0947571021490401</c:v>
                </c:pt>
                <c:pt idx="85">
                  <c:v>1.0932982721337401</c:v>
                </c:pt>
                <c:pt idx="86">
                  <c:v>1.09191726251475</c:v>
                </c:pt>
                <c:pt idx="87">
                  <c:v>1.0904935963189999</c:v>
                </c:pt>
                <c:pt idx="88">
                  <c:v>1.0889873328828601</c:v>
                </c:pt>
                <c:pt idx="89">
                  <c:v>1.0887152067674699</c:v>
                </c:pt>
                <c:pt idx="90">
                  <c:v>1.08697104214565</c:v>
                </c:pt>
                <c:pt idx="91">
                  <c:v>1.0850022672906701</c:v>
                </c:pt>
                <c:pt idx="92">
                  <c:v>1.08307584578428</c:v>
                </c:pt>
                <c:pt idx="93">
                  <c:v>1.0810943650760501</c:v>
                </c:pt>
                <c:pt idx="94">
                  <c:v>1.07898429828382</c:v>
                </c:pt>
                <c:pt idx="95">
                  <c:v>1.07724054183129</c:v>
                </c:pt>
                <c:pt idx="96">
                  <c:v>1.07582011473209</c:v>
                </c:pt>
                <c:pt idx="97">
                  <c:v>1.0754942901142299</c:v>
                </c:pt>
                <c:pt idx="98">
                  <c:v>1.0756064888228001</c:v>
                </c:pt>
                <c:pt idx="99">
                  <c:v>1.0758410221932699</c:v>
                </c:pt>
                <c:pt idx="100">
                  <c:v>1.07620022935959</c:v>
                </c:pt>
                <c:pt idx="101">
                  <c:v>1.0766805748557999</c:v>
                </c:pt>
                <c:pt idx="102">
                  <c:v>1.0763506209656499</c:v>
                </c:pt>
                <c:pt idx="103">
                  <c:v>1.07669335332399</c:v>
                </c:pt>
                <c:pt idx="104">
                  <c:v>1.07700387987712</c:v>
                </c:pt>
                <c:pt idx="105">
                  <c:v>1.07713276061788</c:v>
                </c:pt>
                <c:pt idx="106">
                  <c:v>1.07741430728413</c:v>
                </c:pt>
                <c:pt idx="107">
                  <c:v>1.0774432464994601</c:v>
                </c:pt>
                <c:pt idx="108">
                  <c:v>1.07720365463624</c:v>
                </c:pt>
                <c:pt idx="109">
                  <c:v>1.0764940159752301</c:v>
                </c:pt>
                <c:pt idx="110">
                  <c:v>1.07688107685464</c:v>
                </c:pt>
                <c:pt idx="111">
                  <c:v>1.0773555649803499</c:v>
                </c:pt>
                <c:pt idx="112">
                  <c:v>1.0779561323422799</c:v>
                </c:pt>
                <c:pt idx="113">
                  <c:v>1.0781907261032699</c:v>
                </c:pt>
                <c:pt idx="114">
                  <c:v>1.0787379350316</c:v>
                </c:pt>
                <c:pt idx="115">
                  <c:v>1.07937274811887</c:v>
                </c:pt>
                <c:pt idx="116">
                  <c:v>1.08021649369477</c:v>
                </c:pt>
                <c:pt idx="117">
                  <c:v>1.08064910893846</c:v>
                </c:pt>
                <c:pt idx="118">
                  <c:v>1.0809523673556201</c:v>
                </c:pt>
                <c:pt idx="119">
                  <c:v>1.0817116128691999</c:v>
                </c:pt>
                <c:pt idx="120">
                  <c:v>1.0822638070183901</c:v>
                </c:pt>
                <c:pt idx="121">
                  <c:v>1.0831848381714699</c:v>
                </c:pt>
                <c:pt idx="122">
                  <c:v>1.0836990370088599</c:v>
                </c:pt>
                <c:pt idx="123">
                  <c:v>1.0847753115972301</c:v>
                </c:pt>
                <c:pt idx="124">
                  <c:v>1.08514463214034</c:v>
                </c:pt>
                <c:pt idx="125">
                  <c:v>1.0853004450774</c:v>
                </c:pt>
                <c:pt idx="126">
                  <c:v>1.0850213892767999</c:v>
                </c:pt>
                <c:pt idx="127">
                  <c:v>1.0857465366061301</c:v>
                </c:pt>
                <c:pt idx="128">
                  <c:v>1.0864671901224401</c:v>
                </c:pt>
                <c:pt idx="129">
                  <c:v>1.0868861366145901</c:v>
                </c:pt>
                <c:pt idx="130">
                  <c:v>1.08758650678793</c:v>
                </c:pt>
                <c:pt idx="131">
                  <c:v>1.08830738573175</c:v>
                </c:pt>
                <c:pt idx="132">
                  <c:v>1.0893039477311901</c:v>
                </c:pt>
                <c:pt idx="133">
                  <c:v>1.09095651526674</c:v>
                </c:pt>
                <c:pt idx="134">
                  <c:v>1.0918526008420799</c:v>
                </c:pt>
                <c:pt idx="135">
                  <c:v>1.09277050860023</c:v>
                </c:pt>
                <c:pt idx="136">
                  <c:v>1.09363735747335</c:v>
                </c:pt>
                <c:pt idx="137">
                  <c:v>1.0945933038176101</c:v>
                </c:pt>
                <c:pt idx="138">
                  <c:v>1.0947579031207499</c:v>
                </c:pt>
                <c:pt idx="139">
                  <c:v>1.0947257397930901</c:v>
                </c:pt>
                <c:pt idx="140">
                  <c:v>1.0945945141117699</c:v>
                </c:pt>
                <c:pt idx="141">
                  <c:v>1.0936875812092399</c:v>
                </c:pt>
                <c:pt idx="142">
                  <c:v>1.0929246736304501</c:v>
                </c:pt>
                <c:pt idx="143">
                  <c:v>1.09127856223561</c:v>
                </c:pt>
                <c:pt idx="144">
                  <c:v>1.09021416565135</c:v>
                </c:pt>
                <c:pt idx="145">
                  <c:v>1.0892608339271801</c:v>
                </c:pt>
                <c:pt idx="146">
                  <c:v>1.0887098805273401</c:v>
                </c:pt>
                <c:pt idx="147">
                  <c:v>1.0868565559333501</c:v>
                </c:pt>
                <c:pt idx="148">
                  <c:v>1.08615594401379</c:v>
                </c:pt>
                <c:pt idx="149">
                  <c:v>1.0850970037222101</c:v>
                </c:pt>
                <c:pt idx="150">
                  <c:v>1.08369257931653</c:v>
                </c:pt>
                <c:pt idx="151">
                  <c:v>1.08232486101332</c:v>
                </c:pt>
                <c:pt idx="152">
                  <c:v>1.08056439682117</c:v>
                </c:pt>
                <c:pt idx="153">
                  <c:v>1.0786425497324199</c:v>
                </c:pt>
                <c:pt idx="154">
                  <c:v>1.0773026557143801</c:v>
                </c:pt>
                <c:pt idx="155">
                  <c:v>1.07552040648103</c:v>
                </c:pt>
                <c:pt idx="156">
                  <c:v>1.07426856944895</c:v>
                </c:pt>
                <c:pt idx="157">
                  <c:v>1.0726790437765299</c:v>
                </c:pt>
                <c:pt idx="158">
                  <c:v>1.07193405321405</c:v>
                </c:pt>
                <c:pt idx="159">
                  <c:v>1.0717643967047199</c:v>
                </c:pt>
                <c:pt idx="160">
                  <c:v>1.07214582583924</c:v>
                </c:pt>
                <c:pt idx="161">
                  <c:v>1.0726492146629301</c:v>
                </c:pt>
                <c:pt idx="162">
                  <c:v>1.0739070329625</c:v>
                </c:pt>
                <c:pt idx="163">
                  <c:v>1.0752525942823901</c:v>
                </c:pt>
                <c:pt idx="164">
                  <c:v>1.07684480064976</c:v>
                </c:pt>
                <c:pt idx="165">
                  <c:v>1.0789279769142299</c:v>
                </c:pt>
                <c:pt idx="166">
                  <c:v>1.0806403941368901</c:v>
                </c:pt>
                <c:pt idx="167">
                  <c:v>1.0829394239063701</c:v>
                </c:pt>
                <c:pt idx="168">
                  <c:v>1.08422638077403</c:v>
                </c:pt>
                <c:pt idx="169">
                  <c:v>1.0862031759473401</c:v>
                </c:pt>
                <c:pt idx="170">
                  <c:v>1.0881480053394801</c:v>
                </c:pt>
                <c:pt idx="171">
                  <c:v>1.0900797002809901</c:v>
                </c:pt>
                <c:pt idx="172">
                  <c:v>1.09203863793978</c:v>
                </c:pt>
                <c:pt idx="173">
                  <c:v>1.09410340278671</c:v>
                </c:pt>
                <c:pt idx="174">
                  <c:v>1.09596361006239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87-4021-AEC0-76EB7C576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BATRK* x 10 dma / BATRA*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-3.0334129594895799E-3</c:v>
                </c:pt>
                <c:pt idx="11">
                  <c:v>-1.2705216016542099E-3</c:v>
                </c:pt>
                <c:pt idx="12">
                  <c:v>-8.7002718514923097E-3</c:v>
                </c:pt>
                <c:pt idx="13">
                  <c:v>-2.7898010416416599E-3</c:v>
                </c:pt>
                <c:pt idx="14">
                  <c:v>-1.8658656871967201E-3</c:v>
                </c:pt>
                <c:pt idx="15">
                  <c:v>-1.01669799903074E-2</c:v>
                </c:pt>
                <c:pt idx="16">
                  <c:v>-1.0260717527674899E-2</c:v>
                </c:pt>
                <c:pt idx="17">
                  <c:v>-2.0768908983911202E-2</c:v>
                </c:pt>
                <c:pt idx="18">
                  <c:v>-1.40932298903247E-2</c:v>
                </c:pt>
                <c:pt idx="19">
                  <c:v>-1.51351262718493E-2</c:v>
                </c:pt>
                <c:pt idx="20">
                  <c:v>-1.4367944450617899E-2</c:v>
                </c:pt>
                <c:pt idx="21">
                  <c:v>-1.3802866643442701E-2</c:v>
                </c:pt>
                <c:pt idx="22">
                  <c:v>-1.31111695167838E-2</c:v>
                </c:pt>
                <c:pt idx="23">
                  <c:v>-1.5137386575021399E-2</c:v>
                </c:pt>
                <c:pt idx="24">
                  <c:v>-9.4171361596416796E-3</c:v>
                </c:pt>
                <c:pt idx="25">
                  <c:v>-5.4243924959453196E-3</c:v>
                </c:pt>
                <c:pt idx="26">
                  <c:v>-2.785164214285E-3</c:v>
                </c:pt>
                <c:pt idx="27">
                  <c:v>-5.7866221886127597E-4</c:v>
                </c:pt>
                <c:pt idx="28">
                  <c:v>2.2650425101524599E-3</c:v>
                </c:pt>
                <c:pt idx="29">
                  <c:v>3.1140684668259202E-3</c:v>
                </c:pt>
                <c:pt idx="30">
                  <c:v>1.59036989129908E-3</c:v>
                </c:pt>
                <c:pt idx="31">
                  <c:v>3.2451254150026002E-3</c:v>
                </c:pt>
                <c:pt idx="32">
                  <c:v>6.0458869375856102E-3</c:v>
                </c:pt>
                <c:pt idx="33">
                  <c:v>-1.5123933921377399E-3</c:v>
                </c:pt>
                <c:pt idx="34">
                  <c:v>9.5366074129409392E-3</c:v>
                </c:pt>
                <c:pt idx="35">
                  <c:v>3.6695271666938498E-3</c:v>
                </c:pt>
                <c:pt idx="36">
                  <c:v>-7.9978042118544097E-3</c:v>
                </c:pt>
                <c:pt idx="37">
                  <c:v>-4.3478917066928201E-3</c:v>
                </c:pt>
                <c:pt idx="38">
                  <c:v>-3.12533995160967E-3</c:v>
                </c:pt>
                <c:pt idx="39">
                  <c:v>-1.8872252326173199E-3</c:v>
                </c:pt>
                <c:pt idx="40">
                  <c:v>-3.5811078691739299E-3</c:v>
                </c:pt>
                <c:pt idx="41">
                  <c:v>-4.7265453286277903E-3</c:v>
                </c:pt>
                <c:pt idx="42">
                  <c:v>-1.63793110285284E-3</c:v>
                </c:pt>
                <c:pt idx="43">
                  <c:v>-1.3049782397716099E-3</c:v>
                </c:pt>
                <c:pt idx="44">
                  <c:v>-3.4078441032269601E-3</c:v>
                </c:pt>
                <c:pt idx="45">
                  <c:v>6.3102629968203603E-3</c:v>
                </c:pt>
                <c:pt idx="46">
                  <c:v>3.0016609257280101E-3</c:v>
                </c:pt>
                <c:pt idx="47">
                  <c:v>4.5799268279872497E-3</c:v>
                </c:pt>
                <c:pt idx="48">
                  <c:v>1.6096985087244999E-3</c:v>
                </c:pt>
                <c:pt idx="49">
                  <c:v>-3.0619133064004401E-3</c:v>
                </c:pt>
                <c:pt idx="50">
                  <c:v>7.2547351139211503E-3</c:v>
                </c:pt>
                <c:pt idx="51">
                  <c:v>7.14176974656447E-3</c:v>
                </c:pt>
                <c:pt idx="52">
                  <c:v>5.8281582883239799E-4</c:v>
                </c:pt>
                <c:pt idx="53">
                  <c:v>-5.0176212133674503E-3</c:v>
                </c:pt>
                <c:pt idx="54">
                  <c:v>-2.8413891116589002E-3</c:v>
                </c:pt>
                <c:pt idx="55">
                  <c:v>-8.3930376785373295E-3</c:v>
                </c:pt>
                <c:pt idx="56">
                  <c:v>-7.8780093821634607E-3</c:v>
                </c:pt>
                <c:pt idx="57">
                  <c:v>-9.1787447045245103E-4</c:v>
                </c:pt>
                <c:pt idx="58">
                  <c:v>-4.9737557568606504E-3</c:v>
                </c:pt>
                <c:pt idx="59">
                  <c:v>-4.0166493479421297E-3</c:v>
                </c:pt>
                <c:pt idx="60">
                  <c:v>3.0858893662877298E-3</c:v>
                </c:pt>
                <c:pt idx="61">
                  <c:v>3.5420110807888602E-4</c:v>
                </c:pt>
                <c:pt idx="62">
                  <c:v>6.4293238638649098E-4</c:v>
                </c:pt>
                <c:pt idx="63">
                  <c:v>-5.41092334060846E-4</c:v>
                </c:pt>
                <c:pt idx="64">
                  <c:v>2.7725441873389899E-3</c:v>
                </c:pt>
                <c:pt idx="65">
                  <c:v>-7.3215233762370104E-4</c:v>
                </c:pt>
                <c:pt idx="66">
                  <c:v>3.5851737506371097E-4</c:v>
                </c:pt>
                <c:pt idx="67">
                  <c:v>-2.3186470945737699E-3</c:v>
                </c:pt>
                <c:pt idx="68">
                  <c:v>-2.6653533980058801E-3</c:v>
                </c:pt>
                <c:pt idx="69">
                  <c:v>8.0069910628366402E-3</c:v>
                </c:pt>
                <c:pt idx="70">
                  <c:v>1.6944240902315999E-3</c:v>
                </c:pt>
                <c:pt idx="71">
                  <c:v>-1.70172206585874E-3</c:v>
                </c:pt>
                <c:pt idx="72">
                  <c:v>-4.3972378724171598E-4</c:v>
                </c:pt>
                <c:pt idx="73">
                  <c:v>1.62686930206822E-3</c:v>
                </c:pt>
                <c:pt idx="74">
                  <c:v>-1.75215612440367E-3</c:v>
                </c:pt>
                <c:pt idx="75">
                  <c:v>4.1338082364271904E-3</c:v>
                </c:pt>
                <c:pt idx="76">
                  <c:v>8.9677950992187502E-3</c:v>
                </c:pt>
                <c:pt idx="77">
                  <c:v>2.5207662639795202E-2</c:v>
                </c:pt>
                <c:pt idx="78">
                  <c:v>2.2713786850726898E-2</c:v>
                </c:pt>
                <c:pt idx="79">
                  <c:v>2.2806509884719699E-2</c:v>
                </c:pt>
                <c:pt idx="80">
                  <c:v>2.6225924522547801E-2</c:v>
                </c:pt>
                <c:pt idx="81">
                  <c:v>2.1277588878348699E-2</c:v>
                </c:pt>
                <c:pt idx="82">
                  <c:v>8.1753668608357099E-3</c:v>
                </c:pt>
                <c:pt idx="83">
                  <c:v>1.18165581494595E-2</c:v>
                </c:pt>
                <c:pt idx="84">
                  <c:v>5.6070399273489202E-3</c:v>
                </c:pt>
                <c:pt idx="85">
                  <c:v>-2.26937225120813E-4</c:v>
                </c:pt>
                <c:pt idx="86">
                  <c:v>-2.38029182086012E-3</c:v>
                </c:pt>
                <c:pt idx="87">
                  <c:v>-5.4164186801831504E-3</c:v>
                </c:pt>
                <c:pt idx="88">
                  <c:v>-4.2925188750192996E-3</c:v>
                </c:pt>
                <c:pt idx="89">
                  <c:v>-1.5817792192275099E-2</c:v>
                </c:pt>
                <c:pt idx="90">
                  <c:v>7.7991280495881598E-3</c:v>
                </c:pt>
                <c:pt idx="91">
                  <c:v>8.4774243879451698E-3</c:v>
                </c:pt>
                <c:pt idx="92">
                  <c:v>8.7483938947543992E-3</c:v>
                </c:pt>
                <c:pt idx="93">
                  <c:v>1.0867755346466E-2</c:v>
                </c:pt>
                <c:pt idx="94">
                  <c:v>9.3983902037944895E-3</c:v>
                </c:pt>
                <c:pt idx="95">
                  <c:v>7.3646820984414104E-3</c:v>
                </c:pt>
                <c:pt idx="96">
                  <c:v>5.7649847876380302E-3</c:v>
                </c:pt>
                <c:pt idx="97">
                  <c:v>1.7446794700853501E-3</c:v>
                </c:pt>
                <c:pt idx="98">
                  <c:v>-6.9233370828190302E-3</c:v>
                </c:pt>
                <c:pt idx="99">
                  <c:v>-6.16970126950293E-3</c:v>
                </c:pt>
                <c:pt idx="100">
                  <c:v>-4.2048521574421498E-3</c:v>
                </c:pt>
                <c:pt idx="101">
                  <c:v>-7.5379703146158002E-3</c:v>
                </c:pt>
                <c:pt idx="102">
                  <c:v>-1.0875701348388299E-3</c:v>
                </c:pt>
                <c:pt idx="103">
                  <c:v>-6.9884181216669696E-3</c:v>
                </c:pt>
                <c:pt idx="104">
                  <c:v>-8.2886469671944706E-3</c:v>
                </c:pt>
                <c:pt idx="105">
                  <c:v>-6.2788999866795403E-3</c:v>
                </c:pt>
                <c:pt idx="106">
                  <c:v>-7.77427891301085E-3</c:v>
                </c:pt>
                <c:pt idx="107">
                  <c:v>-2.9948079686795601E-3</c:v>
                </c:pt>
                <c:pt idx="108">
                  <c:v>3.7571864253963401E-3</c:v>
                </c:pt>
                <c:pt idx="109">
                  <c:v>1.8900757965572399E-4</c:v>
                </c:pt>
                <c:pt idx="110">
                  <c:v>1.8079060018236701E-3</c:v>
                </c:pt>
                <c:pt idx="111">
                  <c:v>9.1396725271216902E-4</c:v>
                </c:pt>
                <c:pt idx="112">
                  <c:v>-1.1607148925157299E-3</c:v>
                </c:pt>
                <c:pt idx="113">
                  <c:v>9.4527073992458892E-3</c:v>
                </c:pt>
                <c:pt idx="114">
                  <c:v>1.9766208741839402E-3</c:v>
                </c:pt>
                <c:pt idx="115">
                  <c:v>-1.2261748753678999E-3</c:v>
                </c:pt>
                <c:pt idx="116">
                  <c:v>-5.73311155202546E-3</c:v>
                </c:pt>
                <c:pt idx="117">
                  <c:v>-1.0869187583423801E-3</c:v>
                </c:pt>
                <c:pt idx="118">
                  <c:v>-6.5636389220960802E-3</c:v>
                </c:pt>
                <c:pt idx="119">
                  <c:v>-1.31703134259392E-2</c:v>
                </c:pt>
                <c:pt idx="120">
                  <c:v>-4.7242361098524099E-3</c:v>
                </c:pt>
                <c:pt idx="121">
                  <c:v>-1.44528632745042E-2</c:v>
                </c:pt>
                <c:pt idx="122">
                  <c:v>1.90224172891843E-4</c:v>
                </c:pt>
                <c:pt idx="123">
                  <c:v>-1.6058552760542001E-2</c:v>
                </c:pt>
                <c:pt idx="124">
                  <c:v>-2.90582867874855E-3</c:v>
                </c:pt>
                <c:pt idx="125">
                  <c:v>2.6767700146604202E-3</c:v>
                </c:pt>
                <c:pt idx="126">
                  <c:v>8.3063347288034797E-3</c:v>
                </c:pt>
                <c:pt idx="127">
                  <c:v>-7.4349433466543401E-3</c:v>
                </c:pt>
                <c:pt idx="128">
                  <c:v>-1.4949310425682201E-4</c:v>
                </c:pt>
                <c:pt idx="129">
                  <c:v>2.6180061032800299E-3</c:v>
                </c:pt>
                <c:pt idx="130">
                  <c:v>-1.5618331660292801E-3</c:v>
                </c:pt>
                <c:pt idx="131">
                  <c:v>-2.5468748143639402E-3</c:v>
                </c:pt>
                <c:pt idx="132">
                  <c:v>-9.9752379027155998E-3</c:v>
                </c:pt>
                <c:pt idx="133">
                  <c:v>-1.06116462719935E-2</c:v>
                </c:pt>
                <c:pt idx="134">
                  <c:v>-3.12735934925469E-3</c:v>
                </c:pt>
                <c:pt idx="135">
                  <c:v>-5.71363356307188E-3</c:v>
                </c:pt>
                <c:pt idx="136">
                  <c:v>-7.8289421183871995E-3</c:v>
                </c:pt>
                <c:pt idx="137">
                  <c:v>-2.7860016675237999E-3</c:v>
                </c:pt>
                <c:pt idx="138">
                  <c:v>6.6629419411071396E-3</c:v>
                </c:pt>
                <c:pt idx="139">
                  <c:v>2.6399164837021499E-3</c:v>
                </c:pt>
                <c:pt idx="140">
                  <c:v>1.20730081597564E-2</c:v>
                </c:pt>
                <c:pt idx="141">
                  <c:v>1.50438736346361E-2</c:v>
                </c:pt>
                <c:pt idx="142">
                  <c:v>2.42201848572174E-2</c:v>
                </c:pt>
                <c:pt idx="143">
                  <c:v>2.0893180620128599E-2</c:v>
                </c:pt>
                <c:pt idx="144">
                  <c:v>1.7377782053011302E-2</c:v>
                </c:pt>
                <c:pt idx="145">
                  <c:v>1.7363011227307702E-2</c:v>
                </c:pt>
                <c:pt idx="146">
                  <c:v>1.2090378793557101E-2</c:v>
                </c:pt>
                <c:pt idx="147">
                  <c:v>1.78234145346189E-2</c:v>
                </c:pt>
                <c:pt idx="148">
                  <c:v>-1.50853190897531E-3</c:v>
                </c:pt>
                <c:pt idx="149">
                  <c:v>6.37514843402745E-3</c:v>
                </c:pt>
                <c:pt idx="150">
                  <c:v>6.6683791523904096E-3</c:v>
                </c:pt>
                <c:pt idx="151">
                  <c:v>2.5882867714149202E-3</c:v>
                </c:pt>
                <c:pt idx="152">
                  <c:v>1.44391371264323E-3</c:v>
                </c:pt>
                <c:pt idx="153">
                  <c:v>1.92443625369184E-3</c:v>
                </c:pt>
                <c:pt idx="154">
                  <c:v>-1.77620520701872E-3</c:v>
                </c:pt>
                <c:pt idx="155">
                  <c:v>3.3332250994497301E-3</c:v>
                </c:pt>
                <c:pt idx="156">
                  <c:v>-1.0297875690764201E-2</c:v>
                </c:pt>
                <c:pt idx="157">
                  <c:v>-1.4395277918375301E-4</c:v>
                </c:pt>
                <c:pt idx="158">
                  <c:v>-5.7493477546399401E-3</c:v>
                </c:pt>
                <c:pt idx="159">
                  <c:v>-2.05126921209829E-2</c:v>
                </c:pt>
                <c:pt idx="160">
                  <c:v>-1.9515980998774999E-2</c:v>
                </c:pt>
                <c:pt idx="161">
                  <c:v>-1.5497188838978101E-2</c:v>
                </c:pt>
                <c:pt idx="162">
                  <c:v>-1.6839522915363201E-2</c:v>
                </c:pt>
                <c:pt idx="163">
                  <c:v>-1.620495472419E-2</c:v>
                </c:pt>
                <c:pt idx="164">
                  <c:v>-1.8181344697006E-2</c:v>
                </c:pt>
                <c:pt idx="165">
                  <c:v>-2.1754251173224302E-2</c:v>
                </c:pt>
                <c:pt idx="166">
                  <c:v>-1.31355848645093E-2</c:v>
                </c:pt>
                <c:pt idx="167">
                  <c:v>-1.287380276534E-2</c:v>
                </c:pt>
                <c:pt idx="168">
                  <c:v>-6.2209573473645001E-3</c:v>
                </c:pt>
                <c:pt idx="169">
                  <c:v>-7.3603812343156797E-3</c:v>
                </c:pt>
                <c:pt idx="170">
                  <c:v>-2.6250265775471801E-3</c:v>
                </c:pt>
                <c:pt idx="171">
                  <c:v>-3.4994861711640699E-3</c:v>
                </c:pt>
                <c:pt idx="172">
                  <c:v>-2.5120977824300301E-3</c:v>
                </c:pt>
                <c:pt idx="173">
                  <c:v>-2.6919739804460502E-3</c:v>
                </c:pt>
                <c:pt idx="174">
                  <c:v>-1.26649011289442E-3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56-48A6-AE24-D02D6964AFBC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BATRK* x 20 dma / BATRA*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-1.98481515553867E-2</c:v>
                </c:pt>
                <c:pt idx="21">
                  <c:v>-2.0287010960413701E-2</c:v>
                </c:pt>
                <c:pt idx="22">
                  <c:v>-2.10599874179754E-2</c:v>
                </c:pt>
                <c:pt idx="23">
                  <c:v>-2.3907636269152301E-2</c:v>
                </c:pt>
                <c:pt idx="24">
                  <c:v>-1.9675440935795301E-2</c:v>
                </c:pt>
                <c:pt idx="25">
                  <c:v>-1.6903894242735501E-2</c:v>
                </c:pt>
                <c:pt idx="26">
                  <c:v>-1.44761304596264E-2</c:v>
                </c:pt>
                <c:pt idx="27">
                  <c:v>-1.22540813442656E-2</c:v>
                </c:pt>
                <c:pt idx="28">
                  <c:v>-8.1426561307118908E-3</c:v>
                </c:pt>
                <c:pt idx="29">
                  <c:v>-6.4587908535893596E-3</c:v>
                </c:pt>
                <c:pt idx="30">
                  <c:v>-6.8383008488213104E-3</c:v>
                </c:pt>
                <c:pt idx="31">
                  <c:v>-4.1218497745591802E-3</c:v>
                </c:pt>
                <c:pt idx="32">
                  <c:v>5.9213013510308998E-5</c:v>
                </c:pt>
                <c:pt idx="33">
                  <c:v>-6.1291899843379204E-3</c:v>
                </c:pt>
                <c:pt idx="34">
                  <c:v>6.6290308251906798E-3</c:v>
                </c:pt>
                <c:pt idx="35">
                  <c:v>2.8133001263642701E-3</c:v>
                </c:pt>
                <c:pt idx="36">
                  <c:v>-7.5718959829844798E-3</c:v>
                </c:pt>
                <c:pt idx="37">
                  <c:v>-3.3434289515937902E-3</c:v>
                </c:pt>
                <c:pt idx="38">
                  <c:v>-2.0444388870995301E-3</c:v>
                </c:pt>
                <c:pt idx="39">
                  <c:v>-7.4071495980877495E-4</c:v>
                </c:pt>
                <c:pt idx="40">
                  <c:v>-2.5209539072325502E-3</c:v>
                </c:pt>
                <c:pt idx="41">
                  <c:v>-3.7709711386497299E-3</c:v>
                </c:pt>
                <c:pt idx="42">
                  <c:v>-1.09890462728875E-3</c:v>
                </c:pt>
                <c:pt idx="43">
                  <c:v>-1.45235940467286E-3</c:v>
                </c:pt>
                <c:pt idx="44">
                  <c:v>-3.7788981746154499E-3</c:v>
                </c:pt>
                <c:pt idx="45">
                  <c:v>4.6040784111303999E-3</c:v>
                </c:pt>
                <c:pt idx="46">
                  <c:v>8.88606687325859E-4</c:v>
                </c:pt>
                <c:pt idx="47">
                  <c:v>3.0238115017155302E-3</c:v>
                </c:pt>
                <c:pt idx="48">
                  <c:v>4.3168570290904402E-4</c:v>
                </c:pt>
                <c:pt idx="49">
                  <c:v>-3.9596667486935799E-3</c:v>
                </c:pt>
                <c:pt idx="50">
                  <c:v>6.3437644057464902E-3</c:v>
                </c:pt>
                <c:pt idx="51">
                  <c:v>6.8329570493868997E-3</c:v>
                </c:pt>
                <c:pt idx="52">
                  <c:v>1.1396007976538301E-3</c:v>
                </c:pt>
                <c:pt idx="53">
                  <c:v>-3.9638822920961703E-3</c:v>
                </c:pt>
                <c:pt idx="54">
                  <c:v>-1.8640000872816201E-3</c:v>
                </c:pt>
                <c:pt idx="55">
                  <c:v>-6.6064563512568597E-3</c:v>
                </c:pt>
                <c:pt idx="56">
                  <c:v>-6.6116861550897304E-3</c:v>
                </c:pt>
                <c:pt idx="57">
                  <c:v>-4.0971793103699E-4</c:v>
                </c:pt>
                <c:pt idx="58">
                  <c:v>-4.9797262168303899E-3</c:v>
                </c:pt>
                <c:pt idx="59">
                  <c:v>-4.4715760713484303E-3</c:v>
                </c:pt>
                <c:pt idx="60">
                  <c:v>2.6861822836035101E-3</c:v>
                </c:pt>
                <c:pt idx="61">
                  <c:v>-7.4158558601266104E-4</c:v>
                </c:pt>
                <c:pt idx="62">
                  <c:v>-1.45988494842372E-3</c:v>
                </c:pt>
                <c:pt idx="63">
                  <c:v>-3.0168536699543302E-3</c:v>
                </c:pt>
                <c:pt idx="64">
                  <c:v>3.5322703706048701E-4</c:v>
                </c:pt>
                <c:pt idx="65">
                  <c:v>-3.2394186265560401E-3</c:v>
                </c:pt>
                <c:pt idx="66">
                  <c:v>-1.46001895959639E-3</c:v>
                </c:pt>
                <c:pt idx="67">
                  <c:v>-3.4890418795292802E-3</c:v>
                </c:pt>
                <c:pt idx="68">
                  <c:v>-3.7992445999876401E-3</c:v>
                </c:pt>
                <c:pt idx="69">
                  <c:v>7.2049645594778697E-3</c:v>
                </c:pt>
                <c:pt idx="70">
                  <c:v>1.5053769613415601E-3</c:v>
                </c:pt>
                <c:pt idx="71">
                  <c:v>-1.7320503318016E-3</c:v>
                </c:pt>
                <c:pt idx="72">
                  <c:v>-1.2924107780407101E-4</c:v>
                </c:pt>
                <c:pt idx="73">
                  <c:v>2.1212239231793899E-3</c:v>
                </c:pt>
                <c:pt idx="74">
                  <c:v>-1.0757928573005399E-3</c:v>
                </c:pt>
                <c:pt idx="75">
                  <c:v>4.6130536287988799E-3</c:v>
                </c:pt>
                <c:pt idx="76">
                  <c:v>9.6057784289542893E-3</c:v>
                </c:pt>
                <c:pt idx="77">
                  <c:v>2.61080419762479E-2</c:v>
                </c:pt>
                <c:pt idx="78">
                  <c:v>2.52572771291226E-2</c:v>
                </c:pt>
                <c:pt idx="79">
                  <c:v>2.68669884334846E-2</c:v>
                </c:pt>
                <c:pt idx="80">
                  <c:v>3.0902896424477699E-2</c:v>
                </c:pt>
                <c:pt idx="81">
                  <c:v>2.77330422894492E-2</c:v>
                </c:pt>
                <c:pt idx="82">
                  <c:v>1.6540435788467901E-2</c:v>
                </c:pt>
                <c:pt idx="83">
                  <c:v>2.1487431062303899E-2</c:v>
                </c:pt>
                <c:pt idx="84">
                  <c:v>1.6612112313767101E-2</c:v>
                </c:pt>
                <c:pt idx="85">
                  <c:v>1.2433968941962701E-2</c:v>
                </c:pt>
                <c:pt idx="86">
                  <c:v>1.10519214162558E-2</c:v>
                </c:pt>
                <c:pt idx="87">
                  <c:v>8.30237594130687E-3</c:v>
                </c:pt>
                <c:pt idx="88">
                  <c:v>7.7831841305392498E-3</c:v>
                </c:pt>
                <c:pt idx="89">
                  <c:v>-5.4250036908377501E-3</c:v>
                </c:pt>
                <c:pt idx="90">
                  <c:v>1.6136714043770001E-2</c:v>
                </c:pt>
                <c:pt idx="91">
                  <c:v>1.5031224814437199E-2</c:v>
                </c:pt>
                <c:pt idx="92">
                  <c:v>1.3515560032242699E-2</c:v>
                </c:pt>
                <c:pt idx="93">
                  <c:v>1.4863096398670599E-2</c:v>
                </c:pt>
                <c:pt idx="94">
                  <c:v>1.2260256021746E-2</c:v>
                </c:pt>
                <c:pt idx="95">
                  <c:v>9.2195903169909992E-3</c:v>
                </c:pt>
                <c:pt idx="96">
                  <c:v>7.1309824430233204E-3</c:v>
                </c:pt>
                <c:pt idx="97">
                  <c:v>2.8790094732597301E-3</c:v>
                </c:pt>
                <c:pt idx="98">
                  <c:v>-5.1458123596346897E-3</c:v>
                </c:pt>
                <c:pt idx="99">
                  <c:v>-4.1950644013854102E-3</c:v>
                </c:pt>
                <c:pt idx="100">
                  <c:v>-6.3414384829454799E-4</c:v>
                </c:pt>
                <c:pt idx="101">
                  <c:v>-4.1217031528509498E-3</c:v>
                </c:pt>
                <c:pt idx="102">
                  <c:v>1.85319684005528E-3</c:v>
                </c:pt>
                <c:pt idx="103">
                  <c:v>-4.7500259300338604E-3</c:v>
                </c:pt>
                <c:pt idx="104">
                  <c:v>-7.0698346285352704E-3</c:v>
                </c:pt>
                <c:pt idx="105">
                  <c:v>-6.2966744729244404E-3</c:v>
                </c:pt>
                <c:pt idx="106">
                  <c:v>-9.0386179249566101E-3</c:v>
                </c:pt>
                <c:pt idx="107">
                  <c:v>-5.6030596846626101E-3</c:v>
                </c:pt>
                <c:pt idx="108">
                  <c:v>1.819801910798E-4</c:v>
                </c:pt>
                <c:pt idx="109">
                  <c:v>-3.25750626449244E-3</c:v>
                </c:pt>
                <c:pt idx="110">
                  <c:v>-2.35220059353495E-3</c:v>
                </c:pt>
                <c:pt idx="111">
                  <c:v>-3.1184140916962898E-3</c:v>
                </c:pt>
                <c:pt idx="112">
                  <c:v>-4.7155214065526902E-3</c:v>
                </c:pt>
                <c:pt idx="113">
                  <c:v>5.7376547818947399E-3</c:v>
                </c:pt>
                <c:pt idx="114">
                  <c:v>-6.2515267036888597E-4</c:v>
                </c:pt>
                <c:pt idx="115">
                  <c:v>-2.8146516035017998E-3</c:v>
                </c:pt>
                <c:pt idx="116">
                  <c:v>-6.5455361149289399E-3</c:v>
                </c:pt>
                <c:pt idx="117">
                  <c:v>-1.0761344676347201E-3</c:v>
                </c:pt>
                <c:pt idx="118">
                  <c:v>-5.9590846631201603E-3</c:v>
                </c:pt>
                <c:pt idx="119">
                  <c:v>-1.31977983438493E-2</c:v>
                </c:pt>
                <c:pt idx="120">
                  <c:v>-5.3988084850830802E-3</c:v>
                </c:pt>
                <c:pt idx="121">
                  <c:v>-1.5405567046679201E-2</c:v>
                </c:pt>
                <c:pt idx="122">
                  <c:v>-1.64772327353765E-3</c:v>
                </c:pt>
                <c:pt idx="123">
                  <c:v>-1.7654394594367202E-2</c:v>
                </c:pt>
                <c:pt idx="124">
                  <c:v>-6.3804368650783099E-3</c:v>
                </c:pt>
                <c:pt idx="125">
                  <c:v>-1.63755961449843E-3</c:v>
                </c:pt>
                <c:pt idx="126">
                  <c:v>3.6636415374252402E-3</c:v>
                </c:pt>
                <c:pt idx="127">
                  <c:v>-1.18642438632724E-2</c:v>
                </c:pt>
                <c:pt idx="128">
                  <c:v>-5.4319103601279698E-3</c:v>
                </c:pt>
                <c:pt idx="129">
                  <c:v>-2.4178688341880798E-3</c:v>
                </c:pt>
                <c:pt idx="130">
                  <c:v>-5.6427775905804603E-3</c:v>
                </c:pt>
                <c:pt idx="131">
                  <c:v>-6.4846658544624701E-3</c:v>
                </c:pt>
                <c:pt idx="132">
                  <c:v>-1.2847025892811101E-2</c:v>
                </c:pt>
                <c:pt idx="133">
                  <c:v>-1.4161844478236801E-2</c:v>
                </c:pt>
                <c:pt idx="134">
                  <c:v>-5.32985836208885E-3</c:v>
                </c:pt>
                <c:pt idx="135">
                  <c:v>-7.5585017812408199E-3</c:v>
                </c:pt>
                <c:pt idx="136">
                  <c:v>-1.0040712053602701E-2</c:v>
                </c:pt>
                <c:pt idx="137">
                  <c:v>-6.2540971102831803E-3</c:v>
                </c:pt>
                <c:pt idx="138">
                  <c:v>3.8382808390399299E-3</c:v>
                </c:pt>
                <c:pt idx="139">
                  <c:v>8.0435880347072298E-5</c:v>
                </c:pt>
                <c:pt idx="140">
                  <c:v>8.9765569566949595E-3</c:v>
                </c:pt>
                <c:pt idx="141">
                  <c:v>1.2564864783327001E-2</c:v>
                </c:pt>
                <c:pt idx="142">
                  <c:v>2.2164750092047599E-2</c:v>
                </c:pt>
                <c:pt idx="143">
                  <c:v>2.1125055039991601E-2</c:v>
                </c:pt>
                <c:pt idx="144">
                  <c:v>1.9288772660103901E-2</c:v>
                </c:pt>
                <c:pt idx="145">
                  <c:v>2.0720844877991199E-2</c:v>
                </c:pt>
                <c:pt idx="146">
                  <c:v>1.75486702839199E-2</c:v>
                </c:pt>
                <c:pt idx="147">
                  <c:v>2.58715319212455E-2</c:v>
                </c:pt>
                <c:pt idx="148">
                  <c:v>8.5087263237656491E-3</c:v>
                </c:pt>
                <c:pt idx="149">
                  <c:v>1.6933381352005498E-2</c:v>
                </c:pt>
                <c:pt idx="150">
                  <c:v>1.8743376638379699E-2</c:v>
                </c:pt>
                <c:pt idx="151">
                  <c:v>1.52349622083724E-2</c:v>
                </c:pt>
                <c:pt idx="152">
                  <c:v>1.4101268556996E-2</c:v>
                </c:pt>
                <c:pt idx="153">
                  <c:v>1.3191899791780599E-2</c:v>
                </c:pt>
                <c:pt idx="154">
                  <c:v>8.0551693771064997E-3</c:v>
                </c:pt>
                <c:pt idx="155">
                  <c:v>1.1963011032659799E-2</c:v>
                </c:pt>
                <c:pt idx="156">
                  <c:v>-3.0087311049196998E-3</c:v>
                </c:pt>
                <c:pt idx="157">
                  <c:v>5.1895956242695397E-3</c:v>
                </c:pt>
                <c:pt idx="158">
                  <c:v>-2.6265467546528099E-3</c:v>
                </c:pt>
                <c:pt idx="159">
                  <c:v>-1.7883769093171801E-2</c:v>
                </c:pt>
                <c:pt idx="160">
                  <c:v>-1.9227767393521E-2</c:v>
                </c:pt>
                <c:pt idx="161">
                  <c:v>-1.74279498096374E-2</c:v>
                </c:pt>
                <c:pt idx="162">
                  <c:v>-2.0503516962985701E-2</c:v>
                </c:pt>
                <c:pt idx="163">
                  <c:v>-2.1266604140871E-2</c:v>
                </c:pt>
                <c:pt idx="164">
                  <c:v>-2.4820598041480402E-2</c:v>
                </c:pt>
                <c:pt idx="165">
                  <c:v>-2.9892175879220099E-2</c:v>
                </c:pt>
                <c:pt idx="166">
                  <c:v>-2.34798959406846E-2</c:v>
                </c:pt>
                <c:pt idx="167">
                  <c:v>-2.3996047625467601E-2</c:v>
                </c:pt>
                <c:pt idx="168">
                  <c:v>-1.8705652450601899E-2</c:v>
                </c:pt>
                <c:pt idx="169">
                  <c:v>-2.1197329854116501E-2</c:v>
                </c:pt>
                <c:pt idx="170">
                  <c:v>-1.61109131993936E-2</c:v>
                </c:pt>
                <c:pt idx="171">
                  <c:v>-1.62199172983E-2</c:v>
                </c:pt>
                <c:pt idx="172">
                  <c:v>-1.48141981292245E-2</c:v>
                </c:pt>
                <c:pt idx="173">
                  <c:v>-1.42382771844297E-2</c:v>
                </c:pt>
                <c:pt idx="174">
                  <c:v>-1.18927183939357E-2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56-48A6-AE24-D02D6964A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BATRA*/BATRK*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1.0913821229076099</c:v>
                </c:pt>
                <c:pt idx="1">
                  <c:v>1.0913821229076099</c:v>
                </c:pt>
                <c:pt idx="2">
                  <c:v>1.0913821229076099</c:v>
                </c:pt>
                <c:pt idx="3">
                  <c:v>1.0913821229076099</c:v>
                </c:pt>
                <c:pt idx="4">
                  <c:v>1.0913821229076099</c:v>
                </c:pt>
                <c:pt idx="5">
                  <c:v>1.0913821229076099</c:v>
                </c:pt>
                <c:pt idx="6">
                  <c:v>1.0913821229076099</c:v>
                </c:pt>
                <c:pt idx="7">
                  <c:v>1.0913821229076099</c:v>
                </c:pt>
                <c:pt idx="8">
                  <c:v>1.0913821229076099</c:v>
                </c:pt>
                <c:pt idx="9">
                  <c:v>1.0913821229076099</c:v>
                </c:pt>
                <c:pt idx="10">
                  <c:v>1.0913821229076099</c:v>
                </c:pt>
                <c:pt idx="11">
                  <c:v>1.0913821229076099</c:v>
                </c:pt>
                <c:pt idx="12">
                  <c:v>1.0913821229076099</c:v>
                </c:pt>
                <c:pt idx="13">
                  <c:v>1.0913821229076099</c:v>
                </c:pt>
                <c:pt idx="14">
                  <c:v>1.0913821229076099</c:v>
                </c:pt>
                <c:pt idx="15">
                  <c:v>1.0913821229076099</c:v>
                </c:pt>
                <c:pt idx="16">
                  <c:v>1.0913821229076099</c:v>
                </c:pt>
                <c:pt idx="17">
                  <c:v>1.0913821229076099</c:v>
                </c:pt>
                <c:pt idx="18">
                  <c:v>1.0913821229076099</c:v>
                </c:pt>
                <c:pt idx="19">
                  <c:v>1.0913821229076099</c:v>
                </c:pt>
                <c:pt idx="20">
                  <c:v>1.0913821229076099</c:v>
                </c:pt>
                <c:pt idx="21">
                  <c:v>1.0913821229076099</c:v>
                </c:pt>
                <c:pt idx="22">
                  <c:v>1.0913821229076099</c:v>
                </c:pt>
                <c:pt idx="23">
                  <c:v>1.0913821229076099</c:v>
                </c:pt>
                <c:pt idx="24">
                  <c:v>1.0913821229076099</c:v>
                </c:pt>
                <c:pt idx="25">
                  <c:v>1.0913821229076099</c:v>
                </c:pt>
                <c:pt idx="26">
                  <c:v>1.0913821229076099</c:v>
                </c:pt>
                <c:pt idx="27">
                  <c:v>1.0913821229076099</c:v>
                </c:pt>
                <c:pt idx="28">
                  <c:v>1.0913821229076099</c:v>
                </c:pt>
                <c:pt idx="29">
                  <c:v>1.0913821229076099</c:v>
                </c:pt>
                <c:pt idx="30">
                  <c:v>1.0913821229076099</c:v>
                </c:pt>
                <c:pt idx="31">
                  <c:v>1.0913821229076099</c:v>
                </c:pt>
                <c:pt idx="32">
                  <c:v>1.0913821229076099</c:v>
                </c:pt>
                <c:pt idx="33">
                  <c:v>1.0913821229076099</c:v>
                </c:pt>
                <c:pt idx="34">
                  <c:v>1.0913821229076099</c:v>
                </c:pt>
                <c:pt idx="35">
                  <c:v>1.0913821229076099</c:v>
                </c:pt>
                <c:pt idx="36">
                  <c:v>1.0913821229076099</c:v>
                </c:pt>
                <c:pt idx="37">
                  <c:v>1.0913821229076099</c:v>
                </c:pt>
                <c:pt idx="38">
                  <c:v>1.0913821229076099</c:v>
                </c:pt>
                <c:pt idx="39">
                  <c:v>1.0913821229076099</c:v>
                </c:pt>
                <c:pt idx="40">
                  <c:v>1.0913821229076099</c:v>
                </c:pt>
                <c:pt idx="41">
                  <c:v>1.0913821229076099</c:v>
                </c:pt>
                <c:pt idx="42">
                  <c:v>1.0913821229076099</c:v>
                </c:pt>
                <c:pt idx="43">
                  <c:v>1.0913821229076099</c:v>
                </c:pt>
                <c:pt idx="44">
                  <c:v>1.0913821229076099</c:v>
                </c:pt>
                <c:pt idx="45">
                  <c:v>1.0913821229076099</c:v>
                </c:pt>
                <c:pt idx="46">
                  <c:v>1.0913821229076099</c:v>
                </c:pt>
                <c:pt idx="47">
                  <c:v>1.0913821229076099</c:v>
                </c:pt>
                <c:pt idx="48">
                  <c:v>1.0913821229076099</c:v>
                </c:pt>
                <c:pt idx="49">
                  <c:v>1.0913821229076099</c:v>
                </c:pt>
                <c:pt idx="50">
                  <c:v>1.0913821229076099</c:v>
                </c:pt>
                <c:pt idx="51">
                  <c:v>1.0913821229076099</c:v>
                </c:pt>
                <c:pt idx="52">
                  <c:v>1.0913821229076099</c:v>
                </c:pt>
                <c:pt idx="53">
                  <c:v>1.0913821229076099</c:v>
                </c:pt>
                <c:pt idx="54">
                  <c:v>1.0913821229076099</c:v>
                </c:pt>
                <c:pt idx="55">
                  <c:v>1.0913821229076099</c:v>
                </c:pt>
                <c:pt idx="56">
                  <c:v>1.0913821229076099</c:v>
                </c:pt>
                <c:pt idx="57">
                  <c:v>1.0913821229076099</c:v>
                </c:pt>
                <c:pt idx="58">
                  <c:v>1.0913821229076099</c:v>
                </c:pt>
                <c:pt idx="59">
                  <c:v>1.0913821229076099</c:v>
                </c:pt>
                <c:pt idx="60">
                  <c:v>1.0913821229076099</c:v>
                </c:pt>
                <c:pt idx="61">
                  <c:v>1.0913821229076099</c:v>
                </c:pt>
                <c:pt idx="62">
                  <c:v>1.0913821229076099</c:v>
                </c:pt>
                <c:pt idx="63">
                  <c:v>1.0913821229076099</c:v>
                </c:pt>
                <c:pt idx="64">
                  <c:v>1.0913821229076099</c:v>
                </c:pt>
                <c:pt idx="65">
                  <c:v>1.0913821229076099</c:v>
                </c:pt>
                <c:pt idx="66">
                  <c:v>1.0913821229076099</c:v>
                </c:pt>
                <c:pt idx="67">
                  <c:v>1.0913821229076099</c:v>
                </c:pt>
                <c:pt idx="68">
                  <c:v>1.0913821229076099</c:v>
                </c:pt>
                <c:pt idx="69">
                  <c:v>1.0913821229076099</c:v>
                </c:pt>
                <c:pt idx="70">
                  <c:v>1.0913821229076099</c:v>
                </c:pt>
                <c:pt idx="71">
                  <c:v>1.0913821229076099</c:v>
                </c:pt>
                <c:pt idx="72">
                  <c:v>1.0913821229076099</c:v>
                </c:pt>
                <c:pt idx="73">
                  <c:v>1.0913821229076099</c:v>
                </c:pt>
                <c:pt idx="74">
                  <c:v>1.0913821229076099</c:v>
                </c:pt>
                <c:pt idx="75">
                  <c:v>1.0913821229076099</c:v>
                </c:pt>
                <c:pt idx="76">
                  <c:v>1.0913821229076099</c:v>
                </c:pt>
                <c:pt idx="77">
                  <c:v>1.0913821229076099</c:v>
                </c:pt>
                <c:pt idx="78">
                  <c:v>1.0913821229076099</c:v>
                </c:pt>
                <c:pt idx="79">
                  <c:v>1.0913821229076099</c:v>
                </c:pt>
                <c:pt idx="80">
                  <c:v>1.0913821229076099</c:v>
                </c:pt>
                <c:pt idx="81">
                  <c:v>1.0913821229076099</c:v>
                </c:pt>
                <c:pt idx="82">
                  <c:v>1.0913821229076099</c:v>
                </c:pt>
                <c:pt idx="83">
                  <c:v>1.0913821229076099</c:v>
                </c:pt>
                <c:pt idx="84">
                  <c:v>1.0913821229076099</c:v>
                </c:pt>
                <c:pt idx="85">
                  <c:v>1.0913821229076099</c:v>
                </c:pt>
                <c:pt idx="86">
                  <c:v>1.0913821229076099</c:v>
                </c:pt>
                <c:pt idx="87">
                  <c:v>1.0913821229076099</c:v>
                </c:pt>
                <c:pt idx="88">
                  <c:v>1.0913821229076099</c:v>
                </c:pt>
                <c:pt idx="89">
                  <c:v>1.0913821229076099</c:v>
                </c:pt>
                <c:pt idx="90">
                  <c:v>1.0913821229076099</c:v>
                </c:pt>
                <c:pt idx="91">
                  <c:v>1.0913821229076099</c:v>
                </c:pt>
                <c:pt idx="92">
                  <c:v>1.0913821229076099</c:v>
                </c:pt>
                <c:pt idx="93">
                  <c:v>1.0913821229076099</c:v>
                </c:pt>
                <c:pt idx="94">
                  <c:v>1.0913821229076099</c:v>
                </c:pt>
                <c:pt idx="95">
                  <c:v>1.0913821229076099</c:v>
                </c:pt>
                <c:pt idx="96">
                  <c:v>1.0913821229076099</c:v>
                </c:pt>
                <c:pt idx="97">
                  <c:v>1.0913821229076099</c:v>
                </c:pt>
                <c:pt idx="98">
                  <c:v>1.0913821229076099</c:v>
                </c:pt>
                <c:pt idx="99">
                  <c:v>1.0913821229076099</c:v>
                </c:pt>
                <c:pt idx="100">
                  <c:v>1.0913821229076099</c:v>
                </c:pt>
                <c:pt idx="101">
                  <c:v>1.0913821229076099</c:v>
                </c:pt>
                <c:pt idx="102">
                  <c:v>1.0913821229076099</c:v>
                </c:pt>
                <c:pt idx="103">
                  <c:v>1.0913821229076099</c:v>
                </c:pt>
                <c:pt idx="104">
                  <c:v>1.0913821229076099</c:v>
                </c:pt>
                <c:pt idx="105">
                  <c:v>1.0913821229076099</c:v>
                </c:pt>
                <c:pt idx="106">
                  <c:v>1.0913821229076099</c:v>
                </c:pt>
                <c:pt idx="107">
                  <c:v>1.0913821229076099</c:v>
                </c:pt>
                <c:pt idx="108">
                  <c:v>1.0913821229076099</c:v>
                </c:pt>
                <c:pt idx="109">
                  <c:v>1.0913821229076099</c:v>
                </c:pt>
                <c:pt idx="110">
                  <c:v>1.0913821229076099</c:v>
                </c:pt>
                <c:pt idx="111">
                  <c:v>1.0913821229076099</c:v>
                </c:pt>
                <c:pt idx="112">
                  <c:v>1.0913821229076099</c:v>
                </c:pt>
                <c:pt idx="113">
                  <c:v>1.0913821229076099</c:v>
                </c:pt>
                <c:pt idx="114">
                  <c:v>1.0913821229076099</c:v>
                </c:pt>
                <c:pt idx="115">
                  <c:v>1.0913821229076099</c:v>
                </c:pt>
                <c:pt idx="116">
                  <c:v>1.0913821229076099</c:v>
                </c:pt>
                <c:pt idx="117">
                  <c:v>1.0913821229076099</c:v>
                </c:pt>
                <c:pt idx="118">
                  <c:v>1.0913821229076099</c:v>
                </c:pt>
                <c:pt idx="119">
                  <c:v>1.0913821229076099</c:v>
                </c:pt>
                <c:pt idx="120">
                  <c:v>1.0913821229076099</c:v>
                </c:pt>
                <c:pt idx="121">
                  <c:v>1.0913821229076099</c:v>
                </c:pt>
                <c:pt idx="122">
                  <c:v>1.0913821229076099</c:v>
                </c:pt>
                <c:pt idx="123">
                  <c:v>1.0913821229076099</c:v>
                </c:pt>
                <c:pt idx="124">
                  <c:v>1.0913821229076099</c:v>
                </c:pt>
                <c:pt idx="125">
                  <c:v>1.0913821229076099</c:v>
                </c:pt>
                <c:pt idx="126">
                  <c:v>1.0913821229076099</c:v>
                </c:pt>
                <c:pt idx="127">
                  <c:v>1.0913821229076099</c:v>
                </c:pt>
                <c:pt idx="128">
                  <c:v>1.0913821229076099</c:v>
                </c:pt>
                <c:pt idx="129">
                  <c:v>1.0913821229076099</c:v>
                </c:pt>
                <c:pt idx="130">
                  <c:v>1.0913821229076099</c:v>
                </c:pt>
                <c:pt idx="131">
                  <c:v>1.0913821229076099</c:v>
                </c:pt>
                <c:pt idx="132">
                  <c:v>1.0913821229076099</c:v>
                </c:pt>
                <c:pt idx="133">
                  <c:v>1.0913821229076099</c:v>
                </c:pt>
                <c:pt idx="134">
                  <c:v>1.0913821229076099</c:v>
                </c:pt>
                <c:pt idx="135">
                  <c:v>1.0913821229076099</c:v>
                </c:pt>
                <c:pt idx="136">
                  <c:v>1.0913821229076099</c:v>
                </c:pt>
                <c:pt idx="137">
                  <c:v>1.0913821229076099</c:v>
                </c:pt>
                <c:pt idx="138">
                  <c:v>1.0913821229076099</c:v>
                </c:pt>
                <c:pt idx="139">
                  <c:v>1.0913821229076099</c:v>
                </c:pt>
                <c:pt idx="140">
                  <c:v>1.0913821229076099</c:v>
                </c:pt>
                <c:pt idx="141">
                  <c:v>1.0913821229076099</c:v>
                </c:pt>
                <c:pt idx="142">
                  <c:v>1.0913821229076099</c:v>
                </c:pt>
                <c:pt idx="143">
                  <c:v>1.0913821229076099</c:v>
                </c:pt>
                <c:pt idx="144">
                  <c:v>1.0913821229076099</c:v>
                </c:pt>
                <c:pt idx="145">
                  <c:v>1.0913821229076099</c:v>
                </c:pt>
                <c:pt idx="146">
                  <c:v>1.0913821229076099</c:v>
                </c:pt>
                <c:pt idx="147">
                  <c:v>1.0913821229076099</c:v>
                </c:pt>
                <c:pt idx="148">
                  <c:v>1.0913821229076099</c:v>
                </c:pt>
                <c:pt idx="149">
                  <c:v>1.0913821229076099</c:v>
                </c:pt>
                <c:pt idx="150">
                  <c:v>1.0913821229076099</c:v>
                </c:pt>
                <c:pt idx="151">
                  <c:v>1.0913821229076099</c:v>
                </c:pt>
                <c:pt idx="152">
                  <c:v>1.0913821229076099</c:v>
                </c:pt>
                <c:pt idx="153">
                  <c:v>1.0913821229076099</c:v>
                </c:pt>
                <c:pt idx="154">
                  <c:v>1.0913821229076099</c:v>
                </c:pt>
                <c:pt idx="155">
                  <c:v>1.0913821229076099</c:v>
                </c:pt>
                <c:pt idx="156">
                  <c:v>1.0913821229076099</c:v>
                </c:pt>
                <c:pt idx="157">
                  <c:v>1.0913821229076099</c:v>
                </c:pt>
                <c:pt idx="158">
                  <c:v>1.0913821229076099</c:v>
                </c:pt>
                <c:pt idx="159">
                  <c:v>1.0913821229076099</c:v>
                </c:pt>
                <c:pt idx="160">
                  <c:v>1.0913821229076099</c:v>
                </c:pt>
                <c:pt idx="161">
                  <c:v>1.0913821229076099</c:v>
                </c:pt>
                <c:pt idx="162">
                  <c:v>1.0913821229076099</c:v>
                </c:pt>
                <c:pt idx="163">
                  <c:v>1.0913821229076099</c:v>
                </c:pt>
                <c:pt idx="164">
                  <c:v>1.0913821229076099</c:v>
                </c:pt>
                <c:pt idx="165">
                  <c:v>1.0913821229076099</c:v>
                </c:pt>
                <c:pt idx="166">
                  <c:v>1.0913821229076099</c:v>
                </c:pt>
                <c:pt idx="167">
                  <c:v>1.0913821229076099</c:v>
                </c:pt>
                <c:pt idx="168">
                  <c:v>1.0913821229076099</c:v>
                </c:pt>
                <c:pt idx="169">
                  <c:v>1.0913821229076099</c:v>
                </c:pt>
                <c:pt idx="170">
                  <c:v>1.0913821229076099</c:v>
                </c:pt>
                <c:pt idx="171">
                  <c:v>1.0913821229076099</c:v>
                </c:pt>
                <c:pt idx="172">
                  <c:v>1.0913821229076099</c:v>
                </c:pt>
                <c:pt idx="173">
                  <c:v>1.0913821229076099</c:v>
                </c:pt>
                <c:pt idx="174">
                  <c:v>1.0913821229076099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6-41D8-B70B-7380BD7065A4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BATRA*/BATRK*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1.0765895457098</c:v>
                </c:pt>
                <c:pt idx="10">
                  <c:v>1.0768234377033801</c:v>
                </c:pt>
                <c:pt idx="11">
                  <c:v>1.0763960432570201</c:v>
                </c:pt>
                <c:pt idx="12">
                  <c:v>1.0768098563344399</c:v>
                </c:pt>
                <c:pt idx="13">
                  <c:v>1.0767967460658601</c:v>
                </c:pt>
                <c:pt idx="14">
                  <c:v>1.07715331246821</c:v>
                </c:pt>
                <c:pt idx="15">
                  <c:v>1.07866081362921</c:v>
                </c:pt>
                <c:pt idx="16">
                  <c:v>1.08041646197817</c:v>
                </c:pt>
                <c:pt idx="17">
                  <c:v>1.0835470145959001</c:v>
                </c:pt>
                <c:pt idx="18">
                  <c:v>1.08586947850622</c:v>
                </c:pt>
                <c:pt idx="19">
                  <c:v>1.0884871855838101</c:v>
                </c:pt>
                <c:pt idx="20">
                  <c:v>1.09092510127624</c:v>
                </c:pt>
                <c:pt idx="21">
                  <c:v>1.09371459739413</c:v>
                </c:pt>
                <c:pt idx="22">
                  <c:v>1.0959493028690701</c:v>
                </c:pt>
                <c:pt idx="23">
                  <c:v>1.0992340203072399</c:v>
                </c:pt>
                <c:pt idx="24">
                  <c:v>1.10231669748251</c:v>
                </c:pt>
                <c:pt idx="25">
                  <c:v>1.10433187482887</c:v>
                </c:pt>
                <c:pt idx="26">
                  <c:v>1.1060945031731699</c:v>
                </c:pt>
                <c:pt idx="27">
                  <c:v>1.1064589602988799</c:v>
                </c:pt>
                <c:pt idx="28">
                  <c:v>1.10696194172177</c:v>
                </c:pt>
                <c:pt idx="29">
                  <c:v>1.10707103142448</c:v>
                </c:pt>
                <c:pt idx="30">
                  <c:v>1.10717826910396</c:v>
                </c:pt>
                <c:pt idx="31">
                  <c:v>1.10692864554536</c:v>
                </c:pt>
                <c:pt idx="32">
                  <c:v>1.1061394032133001</c:v>
                </c:pt>
                <c:pt idx="33">
                  <c:v>1.1056542308688899</c:v>
                </c:pt>
                <c:pt idx="34">
                  <c:v>1.10420679161838</c:v>
                </c:pt>
                <c:pt idx="35">
                  <c:v>1.10339178736377</c:v>
                </c:pt>
                <c:pt idx="36">
                  <c:v>1.1038757848255201</c:v>
                </c:pt>
                <c:pt idx="37">
                  <c:v>1.10407088710164</c:v>
                </c:pt>
                <c:pt idx="38">
                  <c:v>1.1044280132862201</c:v>
                </c:pt>
                <c:pt idx="39">
                  <c:v>1.1047274270359699</c:v>
                </c:pt>
                <c:pt idx="40">
                  <c:v>1.1050653159346899</c:v>
                </c:pt>
                <c:pt idx="41">
                  <c:v>1.10573628195452</c:v>
                </c:pt>
                <c:pt idx="42">
                  <c:v>1.1064655235362799</c:v>
                </c:pt>
                <c:pt idx="43">
                  <c:v>1.10647520280476</c:v>
                </c:pt>
                <c:pt idx="44">
                  <c:v>1.10798441991327</c:v>
                </c:pt>
                <c:pt idx="45">
                  <c:v>1.1080696659257101</c:v>
                </c:pt>
                <c:pt idx="46">
                  <c:v>1.1073193380336599</c:v>
                </c:pt>
                <c:pt idx="47">
                  <c:v>1.1066767106275801</c:v>
                </c:pt>
                <c:pt idx="48">
                  <c:v>1.10641369523345</c:v>
                </c:pt>
                <c:pt idx="49">
                  <c:v>1.1067429296454401</c:v>
                </c:pt>
                <c:pt idx="50">
                  <c:v>1.1057481486319201</c:v>
                </c:pt>
                <c:pt idx="51">
                  <c:v>1.1045059948118401</c:v>
                </c:pt>
                <c:pt idx="52">
                  <c:v>1.1041373521046001</c:v>
                </c:pt>
                <c:pt idx="53">
                  <c:v>1.1043154559081301</c:v>
                </c:pt>
                <c:pt idx="54">
                  <c:v>1.1040359936892801</c:v>
                </c:pt>
                <c:pt idx="55">
                  <c:v>1.10526863809955</c:v>
                </c:pt>
                <c:pt idx="56">
                  <c:v>1.106194812085</c:v>
                </c:pt>
                <c:pt idx="57">
                  <c:v>1.10668992548393</c:v>
                </c:pt>
                <c:pt idx="58">
                  <c:v>1.10742105694393</c:v>
                </c:pt>
                <c:pt idx="59">
                  <c:v>1.10762820638611</c:v>
                </c:pt>
                <c:pt idx="60">
                  <c:v>1.10817546633928</c:v>
                </c:pt>
                <c:pt idx="61">
                  <c:v>1.1091658400042099</c:v>
                </c:pt>
                <c:pt idx="62">
                  <c:v>1.1096248891815601</c:v>
                </c:pt>
                <c:pt idx="63">
                  <c:v>1.1096782935435501</c:v>
                </c:pt>
                <c:pt idx="64">
                  <c:v>1.10959311501002</c:v>
                </c:pt>
                <c:pt idx="65">
                  <c:v>1.1092995749522501</c:v>
                </c:pt>
                <c:pt idx="66">
                  <c:v>1.1087887349379799</c:v>
                </c:pt>
                <c:pt idx="67">
                  <c:v>1.1092039330708601</c:v>
                </c:pt>
                <c:pt idx="68">
                  <c:v>1.1091995585328001</c:v>
                </c:pt>
                <c:pt idx="69">
                  <c:v>1.1080471130391101</c:v>
                </c:pt>
                <c:pt idx="70">
                  <c:v>1.1082426874778299</c:v>
                </c:pt>
                <c:pt idx="71">
                  <c:v>1.1084774069991199</c:v>
                </c:pt>
                <c:pt idx="72">
                  <c:v>1.1085286057497199</c:v>
                </c:pt>
                <c:pt idx="73">
                  <c:v>1.10817872370954</c:v>
                </c:pt>
                <c:pt idx="74">
                  <c:v>1.10853034424679</c:v>
                </c:pt>
                <c:pt idx="75">
                  <c:v>1.1078854989625699</c:v>
                </c:pt>
                <c:pt idx="76">
                  <c:v>1.1067947671329399</c:v>
                </c:pt>
                <c:pt idx="77">
                  <c:v>1.1035828828899199</c:v>
                </c:pt>
                <c:pt idx="78">
                  <c:v>1.1002463403323599</c:v>
                </c:pt>
                <c:pt idx="79">
                  <c:v>1.09775472717232</c:v>
                </c:pt>
                <c:pt idx="80">
                  <c:v>1.0940715403858401</c:v>
                </c:pt>
                <c:pt idx="81">
                  <c:v>1.09016234411438</c:v>
                </c:pt>
                <c:pt idx="82">
                  <c:v>1.08739447024005</c:v>
                </c:pt>
                <c:pt idx="83">
                  <c:v>1.0841838890752</c:v>
                </c:pt>
                <c:pt idx="84">
                  <c:v>1.08098386005129</c:v>
                </c:pt>
                <c:pt idx="85">
                  <c:v>1.07871104530491</c:v>
                </c:pt>
                <c:pt idx="86">
                  <c:v>1.07703975789655</c:v>
                </c:pt>
                <c:pt idx="87">
                  <c:v>1.0774043097480801</c:v>
                </c:pt>
                <c:pt idx="88">
                  <c:v>1.0777283254333601</c:v>
                </c:pt>
                <c:pt idx="89">
                  <c:v>1.07967568636261</c:v>
                </c:pt>
                <c:pt idx="90">
                  <c:v>1.0798705439054599</c:v>
                </c:pt>
                <c:pt idx="91">
                  <c:v>1.07984219046696</c:v>
                </c:pt>
                <c:pt idx="92">
                  <c:v>1.0787572213285199</c:v>
                </c:pt>
                <c:pt idx="93">
                  <c:v>1.0780048410768901</c:v>
                </c:pt>
                <c:pt idx="94">
                  <c:v>1.0769847365163401</c:v>
                </c:pt>
                <c:pt idx="95">
                  <c:v>1.0757700383576601</c:v>
                </c:pt>
                <c:pt idx="96">
                  <c:v>1.0746004715676201</c:v>
                </c:pt>
                <c:pt idx="97">
                  <c:v>1.07358427048037</c:v>
                </c:pt>
                <c:pt idx="98">
                  <c:v>1.0734846522122301</c:v>
                </c:pt>
                <c:pt idx="99">
                  <c:v>1.0720063580239201</c:v>
                </c:pt>
                <c:pt idx="100">
                  <c:v>1.0725299148137299</c:v>
                </c:pt>
                <c:pt idx="101">
                  <c:v>1.0735189592446399</c:v>
                </c:pt>
                <c:pt idx="102">
                  <c:v>1.0739440206027899</c:v>
                </c:pt>
                <c:pt idx="103">
                  <c:v>1.0753818655710801</c:v>
                </c:pt>
                <c:pt idx="104">
                  <c:v>1.0770230232378999</c:v>
                </c:pt>
                <c:pt idx="105">
                  <c:v>1.0784954828780999</c:v>
                </c:pt>
                <c:pt idx="106">
                  <c:v>1.08022814300065</c:v>
                </c:pt>
                <c:pt idx="107">
                  <c:v>1.08130222251854</c:v>
                </c:pt>
                <c:pt idx="108">
                  <c:v>1.0809226570602499</c:v>
                </c:pt>
                <c:pt idx="109">
                  <c:v>1.0809816739265501</c:v>
                </c:pt>
                <c:pt idx="110">
                  <c:v>1.08123223889556</c:v>
                </c:pt>
                <c:pt idx="111">
                  <c:v>1.0811921707160499</c:v>
                </c:pt>
                <c:pt idx="112">
                  <c:v>1.0819682440817699</c:v>
                </c:pt>
                <c:pt idx="113">
                  <c:v>1.08099958663545</c:v>
                </c:pt>
                <c:pt idx="114">
                  <c:v>1.0804528468252901</c:v>
                </c:pt>
                <c:pt idx="115">
                  <c:v>1.08025001335963</c:v>
                </c:pt>
                <c:pt idx="116">
                  <c:v>1.0802048443888901</c:v>
                </c:pt>
                <c:pt idx="117">
                  <c:v>1.07999599535839</c:v>
                </c:pt>
                <c:pt idx="118">
                  <c:v>1.08098207765099</c:v>
                </c:pt>
                <c:pt idx="119">
                  <c:v>1.08244155181185</c:v>
                </c:pt>
                <c:pt idx="120">
                  <c:v>1.08329537514122</c:v>
                </c:pt>
                <c:pt idx="121">
                  <c:v>1.08517750562688</c:v>
                </c:pt>
                <c:pt idx="122">
                  <c:v>1.0854298299359599</c:v>
                </c:pt>
                <c:pt idx="123">
                  <c:v>1.0885510365590001</c:v>
                </c:pt>
                <c:pt idx="124">
                  <c:v>1.0898364174553801</c:v>
                </c:pt>
                <c:pt idx="125">
                  <c:v>1.09035087679517</c:v>
                </c:pt>
                <c:pt idx="126">
                  <c:v>1.08983793416472</c:v>
                </c:pt>
                <c:pt idx="127">
                  <c:v>1.09149707785387</c:v>
                </c:pt>
                <c:pt idx="128">
                  <c:v>1.09195230259389</c:v>
                </c:pt>
                <c:pt idx="129">
                  <c:v>1.09133072141734</c:v>
                </c:pt>
                <c:pt idx="130">
                  <c:v>1.09187763843464</c:v>
                </c:pt>
                <c:pt idx="131">
                  <c:v>1.09143726583663</c:v>
                </c:pt>
                <c:pt idx="132">
                  <c:v>1.0931780655264201</c:v>
                </c:pt>
                <c:pt idx="133">
                  <c:v>1.0933619939744901</c:v>
                </c:pt>
                <c:pt idx="134">
                  <c:v>1.09386878422878</c:v>
                </c:pt>
                <c:pt idx="135">
                  <c:v>1.0951901404052999</c:v>
                </c:pt>
                <c:pt idx="136">
                  <c:v>1.09743678078198</c:v>
                </c:pt>
                <c:pt idx="137">
                  <c:v>1.09768952978136</c:v>
                </c:pt>
                <c:pt idx="138">
                  <c:v>1.0975635036476099</c:v>
                </c:pt>
                <c:pt idx="139">
                  <c:v>1.0981207581688299</c:v>
                </c:pt>
                <c:pt idx="140">
                  <c:v>1.09731138978889</c:v>
                </c:pt>
                <c:pt idx="141">
                  <c:v>1.09593789658185</c:v>
                </c:pt>
                <c:pt idx="142">
                  <c:v>1.0926712817344799</c:v>
                </c:pt>
                <c:pt idx="143">
                  <c:v>1.08919513049674</c:v>
                </c:pt>
                <c:pt idx="144">
                  <c:v>1.08655954707393</c:v>
                </c:pt>
                <c:pt idx="145">
                  <c:v>1.08333152744907</c:v>
                </c:pt>
                <c:pt idx="146">
                  <c:v>1.0799829802726999</c:v>
                </c:pt>
                <c:pt idx="147">
                  <c:v>1.0760235820853501</c:v>
                </c:pt>
                <c:pt idx="148">
                  <c:v>1.0747483843799599</c:v>
                </c:pt>
                <c:pt idx="149">
                  <c:v>1.07207324927558</c:v>
                </c:pt>
                <c:pt idx="150">
                  <c:v>1.0700737688441599</c:v>
                </c:pt>
                <c:pt idx="151">
                  <c:v>1.06871182544479</c:v>
                </c:pt>
                <c:pt idx="152">
                  <c:v>1.0684575119078601</c:v>
                </c:pt>
                <c:pt idx="153">
                  <c:v>1.06808996896811</c:v>
                </c:pt>
                <c:pt idx="154">
                  <c:v>1.06804576435483</c:v>
                </c:pt>
                <c:pt idx="155">
                  <c:v>1.0677092855129899</c:v>
                </c:pt>
                <c:pt idx="156">
                  <c:v>1.0685541586252001</c:v>
                </c:pt>
                <c:pt idx="157">
                  <c:v>1.0693345054677099</c:v>
                </c:pt>
                <c:pt idx="158">
                  <c:v>1.0691197220481401</c:v>
                </c:pt>
                <c:pt idx="159">
                  <c:v>1.07145554413385</c:v>
                </c:pt>
                <c:pt idx="160">
                  <c:v>1.0742178828343201</c:v>
                </c:pt>
                <c:pt idx="161">
                  <c:v>1.0765866038810701</c:v>
                </c:pt>
                <c:pt idx="162">
                  <c:v>1.0793565540171399</c:v>
                </c:pt>
                <c:pt idx="163">
                  <c:v>1.0824152195966601</c:v>
                </c:pt>
                <c:pt idx="164">
                  <c:v>1.0856438369446899</c:v>
                </c:pt>
                <c:pt idx="165">
                  <c:v>1.0901466683154599</c:v>
                </c:pt>
                <c:pt idx="166">
                  <c:v>1.09272662964858</c:v>
                </c:pt>
                <c:pt idx="167">
                  <c:v>1.0965443423450401</c:v>
                </c:pt>
                <c:pt idx="168">
                  <c:v>1.0993330394999301</c:v>
                </c:pt>
                <c:pt idx="169">
                  <c:v>1.1009508077608401</c:v>
                </c:pt>
                <c:pt idx="170">
                  <c:v>1.1020781278446401</c:v>
                </c:pt>
                <c:pt idx="171">
                  <c:v>1.1035727966809199</c:v>
                </c:pt>
                <c:pt idx="172">
                  <c:v>1.10472072186242</c:v>
                </c:pt>
                <c:pt idx="173">
                  <c:v>1.10579158597676</c:v>
                </c:pt>
                <c:pt idx="174">
                  <c:v>1.10628338318008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F6-41D8-B70B-7380BD7065A4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BATRA*/BATRK*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1.0825383656468099</c:v>
                </c:pt>
                <c:pt idx="20">
                  <c:v>1.08387426948981</c:v>
                </c:pt>
                <c:pt idx="21">
                  <c:v>1.0850553203255799</c:v>
                </c:pt>
                <c:pt idx="22">
                  <c:v>1.0863795796017499</c:v>
                </c:pt>
                <c:pt idx="23">
                  <c:v>1.08801538318655</c:v>
                </c:pt>
                <c:pt idx="24">
                  <c:v>1.08973500497536</c:v>
                </c:pt>
                <c:pt idx="25">
                  <c:v>1.09149634422904</c:v>
                </c:pt>
                <c:pt idx="26">
                  <c:v>1.09325548257567</c:v>
                </c:pt>
                <c:pt idx="27">
                  <c:v>1.0950029874473901</c:v>
                </c:pt>
                <c:pt idx="28">
                  <c:v>1.09641571011399</c:v>
                </c:pt>
                <c:pt idx="29">
                  <c:v>1.0977791085041499</c:v>
                </c:pt>
                <c:pt idx="30">
                  <c:v>1.0990516851901</c:v>
                </c:pt>
                <c:pt idx="31">
                  <c:v>1.10032162146974</c:v>
                </c:pt>
                <c:pt idx="32">
                  <c:v>1.10104435304118</c:v>
                </c:pt>
                <c:pt idx="33">
                  <c:v>1.1024441255880599</c:v>
                </c:pt>
                <c:pt idx="34">
                  <c:v>1.10326174455044</c:v>
                </c:pt>
                <c:pt idx="35">
                  <c:v>1.10386183109632</c:v>
                </c:pt>
                <c:pt idx="36">
                  <c:v>1.1049851439993501</c:v>
                </c:pt>
                <c:pt idx="37">
                  <c:v>1.1052649237002601</c:v>
                </c:pt>
                <c:pt idx="38">
                  <c:v>1.1056949775039899</c:v>
                </c:pt>
                <c:pt idx="39">
                  <c:v>1.1058992292302301</c:v>
                </c:pt>
                <c:pt idx="40">
                  <c:v>1.1061217925193201</c:v>
                </c:pt>
                <c:pt idx="41">
                  <c:v>1.1063324637499401</c:v>
                </c:pt>
                <c:pt idx="42">
                  <c:v>1.10630246337479</c:v>
                </c:pt>
                <c:pt idx="43">
                  <c:v>1.1060647168368201</c:v>
                </c:pt>
                <c:pt idx="44">
                  <c:v>1.10609560576582</c:v>
                </c:pt>
                <c:pt idx="45">
                  <c:v>1.10573072664474</c:v>
                </c:pt>
                <c:pt idx="46">
                  <c:v>1.1055975614295901</c:v>
                </c:pt>
                <c:pt idx="47">
                  <c:v>1.10537379886461</c:v>
                </c:pt>
                <c:pt idx="48">
                  <c:v>1.1054208542598301</c:v>
                </c:pt>
                <c:pt idx="49">
                  <c:v>1.1057351783407099</c:v>
                </c:pt>
                <c:pt idx="50">
                  <c:v>1.1054067322833001</c:v>
                </c:pt>
                <c:pt idx="51">
                  <c:v>1.10512113838318</c:v>
                </c:pt>
                <c:pt idx="52">
                  <c:v>1.10530143782044</c:v>
                </c:pt>
                <c:pt idx="53">
                  <c:v>1.10539532935644</c:v>
                </c:pt>
                <c:pt idx="54">
                  <c:v>1.10601020680128</c:v>
                </c:pt>
                <c:pt idx="55">
                  <c:v>1.1066691520126299</c:v>
                </c:pt>
                <c:pt idx="56">
                  <c:v>1.1067570750593301</c:v>
                </c:pt>
                <c:pt idx="57">
                  <c:v>1.10668331805576</c:v>
                </c:pt>
                <c:pt idx="58">
                  <c:v>1.1069173760886899</c:v>
                </c:pt>
                <c:pt idx="59">
                  <c:v>1.1071855680157801</c:v>
                </c:pt>
                <c:pt idx="60">
                  <c:v>1.1069618074856</c:v>
                </c:pt>
                <c:pt idx="61">
                  <c:v>1.10683591740803</c:v>
                </c:pt>
                <c:pt idx="62">
                  <c:v>1.10688112064308</c:v>
                </c:pt>
                <c:pt idx="63">
                  <c:v>1.1069968747258401</c:v>
                </c:pt>
                <c:pt idx="64">
                  <c:v>1.1068145543496499</c:v>
                </c:pt>
                <c:pt idx="65">
                  <c:v>1.1072841065259</c:v>
                </c:pt>
                <c:pt idx="66">
                  <c:v>1.10749177351149</c:v>
                </c:pt>
                <c:pt idx="67">
                  <c:v>1.1079469292774</c:v>
                </c:pt>
                <c:pt idx="68">
                  <c:v>1.10831030773836</c:v>
                </c:pt>
                <c:pt idx="69">
                  <c:v>1.1078376597126101</c:v>
                </c:pt>
                <c:pt idx="70">
                  <c:v>1.10820907690855</c:v>
                </c:pt>
                <c:pt idx="71">
                  <c:v>1.1088216235016599</c:v>
                </c:pt>
                <c:pt idx="72">
                  <c:v>1.10907674746564</c:v>
                </c:pt>
                <c:pt idx="73">
                  <c:v>1.1089285086265399</c:v>
                </c:pt>
                <c:pt idx="74">
                  <c:v>1.10906172962841</c:v>
                </c:pt>
                <c:pt idx="75">
                  <c:v>1.1085925369574099</c:v>
                </c:pt>
                <c:pt idx="76">
                  <c:v>1.10779175103546</c:v>
                </c:pt>
                <c:pt idx="77">
                  <c:v>1.1063934079803901</c:v>
                </c:pt>
                <c:pt idx="78">
                  <c:v>1.1047229494325801</c:v>
                </c:pt>
                <c:pt idx="79">
                  <c:v>1.1029009201057101</c:v>
                </c:pt>
                <c:pt idx="80">
                  <c:v>1.1011571139318399</c:v>
                </c:pt>
                <c:pt idx="81">
                  <c:v>1.0993198755567499</c:v>
                </c:pt>
                <c:pt idx="82">
                  <c:v>1.0979615379948799</c:v>
                </c:pt>
                <c:pt idx="83">
                  <c:v>1.09618130639237</c:v>
                </c:pt>
                <c:pt idx="84">
                  <c:v>1.0947571021490401</c:v>
                </c:pt>
                <c:pt idx="85">
                  <c:v>1.0932982721337401</c:v>
                </c:pt>
                <c:pt idx="86">
                  <c:v>1.09191726251475</c:v>
                </c:pt>
                <c:pt idx="87">
                  <c:v>1.0904935963189999</c:v>
                </c:pt>
                <c:pt idx="88">
                  <c:v>1.0889873328828601</c:v>
                </c:pt>
                <c:pt idx="89">
                  <c:v>1.0887152067674699</c:v>
                </c:pt>
                <c:pt idx="90">
                  <c:v>1.08697104214565</c:v>
                </c:pt>
                <c:pt idx="91">
                  <c:v>1.0850022672906701</c:v>
                </c:pt>
                <c:pt idx="92">
                  <c:v>1.08307584578428</c:v>
                </c:pt>
                <c:pt idx="93">
                  <c:v>1.0810943650760501</c:v>
                </c:pt>
                <c:pt idx="94">
                  <c:v>1.07898429828382</c:v>
                </c:pt>
                <c:pt idx="95">
                  <c:v>1.07724054183129</c:v>
                </c:pt>
                <c:pt idx="96">
                  <c:v>1.07582011473209</c:v>
                </c:pt>
                <c:pt idx="97">
                  <c:v>1.0754942901142299</c:v>
                </c:pt>
                <c:pt idx="98">
                  <c:v>1.0756064888228001</c:v>
                </c:pt>
                <c:pt idx="99">
                  <c:v>1.0758410221932699</c:v>
                </c:pt>
                <c:pt idx="100">
                  <c:v>1.07620022935959</c:v>
                </c:pt>
                <c:pt idx="101">
                  <c:v>1.0766805748557999</c:v>
                </c:pt>
                <c:pt idx="102">
                  <c:v>1.0763506209656499</c:v>
                </c:pt>
                <c:pt idx="103">
                  <c:v>1.07669335332399</c:v>
                </c:pt>
                <c:pt idx="104">
                  <c:v>1.07700387987712</c:v>
                </c:pt>
                <c:pt idx="105">
                  <c:v>1.07713276061788</c:v>
                </c:pt>
                <c:pt idx="106">
                  <c:v>1.07741430728413</c:v>
                </c:pt>
                <c:pt idx="107">
                  <c:v>1.0774432464994601</c:v>
                </c:pt>
                <c:pt idx="108">
                  <c:v>1.07720365463624</c:v>
                </c:pt>
                <c:pt idx="109">
                  <c:v>1.0764940159752301</c:v>
                </c:pt>
                <c:pt idx="110">
                  <c:v>1.07688107685464</c:v>
                </c:pt>
                <c:pt idx="111">
                  <c:v>1.0773555649803499</c:v>
                </c:pt>
                <c:pt idx="112">
                  <c:v>1.0779561323422799</c:v>
                </c:pt>
                <c:pt idx="113">
                  <c:v>1.0781907261032699</c:v>
                </c:pt>
                <c:pt idx="114">
                  <c:v>1.0787379350316</c:v>
                </c:pt>
                <c:pt idx="115">
                  <c:v>1.07937274811887</c:v>
                </c:pt>
                <c:pt idx="116">
                  <c:v>1.08021649369477</c:v>
                </c:pt>
                <c:pt idx="117">
                  <c:v>1.08064910893846</c:v>
                </c:pt>
                <c:pt idx="118">
                  <c:v>1.0809523673556201</c:v>
                </c:pt>
                <c:pt idx="119">
                  <c:v>1.0817116128691999</c:v>
                </c:pt>
                <c:pt idx="120">
                  <c:v>1.0822638070183901</c:v>
                </c:pt>
                <c:pt idx="121">
                  <c:v>1.0831848381714699</c:v>
                </c:pt>
                <c:pt idx="122">
                  <c:v>1.0836990370088599</c:v>
                </c:pt>
                <c:pt idx="123">
                  <c:v>1.0847753115972301</c:v>
                </c:pt>
                <c:pt idx="124">
                  <c:v>1.08514463214034</c:v>
                </c:pt>
                <c:pt idx="125">
                  <c:v>1.0853004450774</c:v>
                </c:pt>
                <c:pt idx="126">
                  <c:v>1.0850213892767999</c:v>
                </c:pt>
                <c:pt idx="127">
                  <c:v>1.0857465366061301</c:v>
                </c:pt>
                <c:pt idx="128">
                  <c:v>1.0864671901224401</c:v>
                </c:pt>
                <c:pt idx="129">
                  <c:v>1.0868861366145901</c:v>
                </c:pt>
                <c:pt idx="130">
                  <c:v>1.08758650678793</c:v>
                </c:pt>
                <c:pt idx="131">
                  <c:v>1.08830738573175</c:v>
                </c:pt>
                <c:pt idx="132">
                  <c:v>1.0893039477311901</c:v>
                </c:pt>
                <c:pt idx="133">
                  <c:v>1.09095651526674</c:v>
                </c:pt>
                <c:pt idx="134">
                  <c:v>1.0918526008420799</c:v>
                </c:pt>
                <c:pt idx="135">
                  <c:v>1.09277050860023</c:v>
                </c:pt>
                <c:pt idx="136">
                  <c:v>1.09363735747335</c:v>
                </c:pt>
                <c:pt idx="137">
                  <c:v>1.0945933038176101</c:v>
                </c:pt>
                <c:pt idx="138">
                  <c:v>1.0947579031207499</c:v>
                </c:pt>
                <c:pt idx="139">
                  <c:v>1.0947257397930901</c:v>
                </c:pt>
                <c:pt idx="140">
                  <c:v>1.0945945141117699</c:v>
                </c:pt>
                <c:pt idx="141">
                  <c:v>1.0936875812092399</c:v>
                </c:pt>
                <c:pt idx="142">
                  <c:v>1.0929246736304501</c:v>
                </c:pt>
                <c:pt idx="143">
                  <c:v>1.09127856223561</c:v>
                </c:pt>
                <c:pt idx="144">
                  <c:v>1.09021416565135</c:v>
                </c:pt>
                <c:pt idx="145">
                  <c:v>1.0892608339271801</c:v>
                </c:pt>
                <c:pt idx="146">
                  <c:v>1.0887098805273401</c:v>
                </c:pt>
                <c:pt idx="147">
                  <c:v>1.0868565559333501</c:v>
                </c:pt>
                <c:pt idx="148">
                  <c:v>1.08615594401379</c:v>
                </c:pt>
                <c:pt idx="149">
                  <c:v>1.0850970037222101</c:v>
                </c:pt>
                <c:pt idx="150">
                  <c:v>1.08369257931653</c:v>
                </c:pt>
                <c:pt idx="151">
                  <c:v>1.08232486101332</c:v>
                </c:pt>
                <c:pt idx="152">
                  <c:v>1.08056439682117</c:v>
                </c:pt>
                <c:pt idx="153">
                  <c:v>1.0786425497324199</c:v>
                </c:pt>
                <c:pt idx="154">
                  <c:v>1.0773026557143801</c:v>
                </c:pt>
                <c:pt idx="155">
                  <c:v>1.07552040648103</c:v>
                </c:pt>
                <c:pt idx="156">
                  <c:v>1.07426856944895</c:v>
                </c:pt>
                <c:pt idx="157">
                  <c:v>1.0726790437765299</c:v>
                </c:pt>
                <c:pt idx="158">
                  <c:v>1.07193405321405</c:v>
                </c:pt>
                <c:pt idx="159">
                  <c:v>1.0717643967047199</c:v>
                </c:pt>
                <c:pt idx="160">
                  <c:v>1.07214582583924</c:v>
                </c:pt>
                <c:pt idx="161">
                  <c:v>1.0726492146629301</c:v>
                </c:pt>
                <c:pt idx="162">
                  <c:v>1.0739070329625</c:v>
                </c:pt>
                <c:pt idx="163">
                  <c:v>1.0752525942823901</c:v>
                </c:pt>
                <c:pt idx="164">
                  <c:v>1.07684480064976</c:v>
                </c:pt>
                <c:pt idx="165">
                  <c:v>1.0789279769142299</c:v>
                </c:pt>
                <c:pt idx="166">
                  <c:v>1.0806403941368901</c:v>
                </c:pt>
                <c:pt idx="167">
                  <c:v>1.0829394239063701</c:v>
                </c:pt>
                <c:pt idx="168">
                  <c:v>1.08422638077403</c:v>
                </c:pt>
                <c:pt idx="169">
                  <c:v>1.0862031759473401</c:v>
                </c:pt>
                <c:pt idx="170">
                  <c:v>1.0881480053394801</c:v>
                </c:pt>
                <c:pt idx="171">
                  <c:v>1.0900797002809901</c:v>
                </c:pt>
                <c:pt idx="172">
                  <c:v>1.09203863793978</c:v>
                </c:pt>
                <c:pt idx="173">
                  <c:v>1.09410340278671</c:v>
                </c:pt>
                <c:pt idx="174">
                  <c:v>1.09596361006239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F6-41D8-B70B-7380BD706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BATRK x avg / BATRA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8.2027738358471294E-3</c:v>
                </c:pt>
                <c:pt idx="2">
                  <c:v>8.9445696239870195E-3</c:v>
                </c:pt>
                <c:pt idx="3">
                  <c:v>1.05308569566442E-2</c:v>
                </c:pt>
                <c:pt idx="4">
                  <c:v>1.4899035527057901E-2</c:v>
                </c:pt>
                <c:pt idx="5">
                  <c:v>1.6906698486970899E-2</c:v>
                </c:pt>
                <c:pt idx="6">
                  <c:v>1.77051051911702E-2</c:v>
                </c:pt>
                <c:pt idx="7">
                  <c:v>1.8119743072311501E-2</c:v>
                </c:pt>
                <c:pt idx="8">
                  <c:v>1.4472198767182001E-2</c:v>
                </c:pt>
                <c:pt idx="9">
                  <c:v>1.39600929783551E-2</c:v>
                </c:pt>
                <c:pt idx="10">
                  <c:v>1.0613266083398999E-2</c:v>
                </c:pt>
                <c:pt idx="11">
                  <c:v>1.21589283297739E-2</c:v>
                </c:pt>
                <c:pt idx="12">
                  <c:v>5.1261598607015403E-3</c:v>
                </c:pt>
                <c:pt idx="13">
                  <c:v>1.0652261407409399E-2</c:v>
                </c:pt>
                <c:pt idx="14">
                  <c:v>1.15883719368033E-2</c:v>
                </c:pt>
                <c:pt idx="15">
                  <c:v>2.9561762289123201E-3</c:v>
                </c:pt>
                <c:pt idx="16">
                  <c:v>1.46389380915446E-3</c:v>
                </c:pt>
                <c:pt idx="17">
                  <c:v>-1.06705930610916E-2</c:v>
                </c:pt>
                <c:pt idx="18">
                  <c:v>-6.8882666840068803E-3</c:v>
                </c:pt>
                <c:pt idx="19">
                  <c:v>-1.00712593510463E-2</c:v>
                </c:pt>
                <c:pt idx="20">
                  <c:v>-1.17118778557732E-2</c:v>
                </c:pt>
                <c:pt idx="21">
                  <c:v>-1.3384024023128299E-2</c:v>
                </c:pt>
                <c:pt idx="22">
                  <c:v>-1.52460639136844E-2</c:v>
                </c:pt>
                <c:pt idx="23">
                  <c:v>-1.93134218525184E-2</c:v>
                </c:pt>
                <c:pt idx="24">
                  <c:v>-1.6585832555685399E-2</c:v>
                </c:pt>
                <c:pt idx="25">
                  <c:v>-1.5393550552976899E-2</c:v>
                </c:pt>
                <c:pt idx="26">
                  <c:v>-1.4580782480573E-2</c:v>
                </c:pt>
                <c:pt idx="27">
                  <c:v>-1.39691119036034E-2</c:v>
                </c:pt>
                <c:pt idx="28">
                  <c:v>-1.1454851985777901E-2</c:v>
                </c:pt>
                <c:pt idx="29">
                  <c:v>-1.1060309341410401E-2</c:v>
                </c:pt>
                <c:pt idx="30">
                  <c:v>-1.2682551799643799E-2</c:v>
                </c:pt>
                <c:pt idx="31">
                  <c:v>-1.11246577084189E-2</c:v>
                </c:pt>
                <c:pt idx="32">
                  <c:v>-8.0984115373676502E-3</c:v>
                </c:pt>
                <c:pt idx="33">
                  <c:v>-1.49434355657723E-2</c:v>
                </c:pt>
                <c:pt idx="34">
                  <c:v>-3.45572081855999E-3</c:v>
                </c:pt>
                <c:pt idx="35">
                  <c:v>-8.0128187240457605E-3</c:v>
                </c:pt>
                <c:pt idx="36">
                  <c:v>-1.8941787340999001E-2</c:v>
                </c:pt>
                <c:pt idx="37">
                  <c:v>-1.5730423814316399E-2</c:v>
                </c:pt>
                <c:pt idx="38">
                  <c:v>-1.4684599404240301E-2</c:v>
                </c:pt>
                <c:pt idx="39">
                  <c:v>-1.37698954758402E-2</c:v>
                </c:pt>
                <c:pt idx="40">
                  <c:v>-1.5734844372488999E-2</c:v>
                </c:pt>
                <c:pt idx="41">
                  <c:v>-1.7186092322472601E-2</c:v>
                </c:pt>
                <c:pt idx="42">
                  <c:v>-1.4704467019697E-2</c:v>
                </c:pt>
                <c:pt idx="43">
                  <c:v>-1.50308044676186E-2</c:v>
                </c:pt>
                <c:pt idx="44">
                  <c:v>-1.7142418209736301E-2</c:v>
                </c:pt>
                <c:pt idx="45">
                  <c:v>-8.78736810715397E-3</c:v>
                </c:pt>
                <c:pt idx="46">
                  <c:v>-1.21729051348688E-2</c:v>
                </c:pt>
                <c:pt idx="47">
                  <c:v>-9.9172612015774892E-3</c:v>
                </c:pt>
                <c:pt idx="48">
                  <c:v>-1.23069759065414E-2</c:v>
                </c:pt>
                <c:pt idx="49">
                  <c:v>-1.6740897119711599E-2</c:v>
                </c:pt>
                <c:pt idx="50">
                  <c:v>-6.7217734301066E-3</c:v>
                </c:pt>
                <c:pt idx="51">
                  <c:v>-5.9354980363771903E-3</c:v>
                </c:pt>
                <c:pt idx="52">
                  <c:v>-1.1370459987365199E-2</c:v>
                </c:pt>
                <c:pt idx="53">
                  <c:v>-1.6637078795684299E-2</c:v>
                </c:pt>
                <c:pt idx="54">
                  <c:v>-1.4622139526016899E-2</c:v>
                </c:pt>
                <c:pt idx="55">
                  <c:v>-1.9920692309263702E-2</c:v>
                </c:pt>
                <c:pt idx="56">
                  <c:v>-2.05215305352664E-2</c:v>
                </c:pt>
                <c:pt idx="57">
                  <c:v>-1.4399007513109E-2</c:v>
                </c:pt>
                <c:pt idx="58">
                  <c:v>-1.8902371127712401E-2</c:v>
                </c:pt>
                <c:pt idx="59">
                  <c:v>-1.8605693660586599E-2</c:v>
                </c:pt>
                <c:pt idx="60">
                  <c:v>-1.1690193172748199E-2</c:v>
                </c:pt>
                <c:pt idx="61">
                  <c:v>-1.4915842128852301E-2</c:v>
                </c:pt>
                <c:pt idx="62">
                  <c:v>-1.5520409259732E-2</c:v>
                </c:pt>
                <c:pt idx="63">
                  <c:v>-1.7118217198090702E-2</c:v>
                </c:pt>
                <c:pt idx="64">
                  <c:v>-1.38527078207613E-2</c:v>
                </c:pt>
                <c:pt idx="65">
                  <c:v>-1.7280641735033801E-2</c:v>
                </c:pt>
                <c:pt idx="66">
                  <c:v>-1.5925389547667802E-2</c:v>
                </c:pt>
                <c:pt idx="67">
                  <c:v>-1.8141941136364501E-2</c:v>
                </c:pt>
                <c:pt idx="68">
                  <c:v>-1.8863038341726899E-2</c:v>
                </c:pt>
                <c:pt idx="69">
                  <c:v>-8.1867500193869396E-3</c:v>
                </c:pt>
                <c:pt idx="70">
                  <c:v>-1.3459788452159199E-2</c:v>
                </c:pt>
                <c:pt idx="71">
                  <c:v>-1.7032422754507202E-2</c:v>
                </c:pt>
                <c:pt idx="72">
                  <c:v>-1.5982196384077701E-2</c:v>
                </c:pt>
                <c:pt idx="73">
                  <c:v>-1.3961790585481399E-2</c:v>
                </c:pt>
                <c:pt idx="74">
                  <c:v>-1.70251387563791E-2</c:v>
                </c:pt>
                <c:pt idx="75">
                  <c:v>-1.14564199423717E-2</c:v>
                </c:pt>
                <c:pt idx="76">
                  <c:v>-6.0405519272766798E-3</c:v>
                </c:pt>
                <c:pt idx="77">
                  <c:v>1.1184317317171601E-2</c:v>
                </c:pt>
                <c:pt idx="78">
                  <c:v>1.15966295305041E-2</c:v>
                </c:pt>
                <c:pt idx="79">
                  <c:v>1.47173050679475E-2</c:v>
                </c:pt>
                <c:pt idx="80">
                  <c:v>2.0403883506672198E-2</c:v>
                </c:pt>
                <c:pt idx="81">
                  <c:v>1.8816389283042901E-2</c:v>
                </c:pt>
                <c:pt idx="82">
                  <c:v>9.2936378278374691E-3</c:v>
                </c:pt>
                <c:pt idx="83">
                  <c:v>1.54770134091929E-2</c:v>
                </c:pt>
                <c:pt idx="84">
                  <c:v>1.2224407600890099E-2</c:v>
                </c:pt>
                <c:pt idx="85">
                  <c:v>9.34635047375461E-3</c:v>
                </c:pt>
                <c:pt idx="86">
                  <c:v>9.29775204500209E-3</c:v>
                </c:pt>
                <c:pt idx="87">
                  <c:v>7.8121640890738003E-3</c:v>
                </c:pt>
                <c:pt idx="88">
                  <c:v>8.5976454033763507E-3</c:v>
                </c:pt>
                <c:pt idx="89">
                  <c:v>-3.22832002203944E-3</c:v>
                </c:pt>
                <c:pt idx="90">
                  <c:v>1.85833180867747E-2</c:v>
                </c:pt>
                <c:pt idx="91">
                  <c:v>1.9081152862749199E-2</c:v>
                </c:pt>
                <c:pt idx="92">
                  <c:v>1.9378379045318601E-2</c:v>
                </c:pt>
                <c:pt idx="93">
                  <c:v>2.2502993462338802E-2</c:v>
                </c:pt>
                <c:pt idx="94">
                  <c:v>2.1731322604317701E-2</c:v>
                </c:pt>
                <c:pt idx="95">
                  <c:v>2.0644351919273499E-2</c:v>
                </c:pt>
                <c:pt idx="96">
                  <c:v>2.0173160559792899E-2</c:v>
                </c:pt>
                <c:pt idx="97">
                  <c:v>1.7240636998890699E-2</c:v>
                </c:pt>
                <c:pt idx="98">
                  <c:v>9.5187226532676399E-3</c:v>
                </c:pt>
                <c:pt idx="99">
                  <c:v>1.036515312926E-2</c:v>
                </c:pt>
                <c:pt idx="100">
                  <c:v>1.3708049891205399E-2</c:v>
                </c:pt>
                <c:pt idx="101">
                  <c:v>9.8866613262648707E-3</c:v>
                </c:pt>
                <c:pt idx="102">
                  <c:v>1.5415326206441701E-2</c:v>
                </c:pt>
                <c:pt idx="103">
                  <c:v>9.1186051659816695E-3</c:v>
                </c:pt>
                <c:pt idx="104">
                  <c:v>6.4804264152929303E-3</c:v>
                </c:pt>
                <c:pt idx="105">
                  <c:v>6.9652205457247799E-3</c:v>
                </c:pt>
                <c:pt idx="106">
                  <c:v>4.1036182582305201E-3</c:v>
                </c:pt>
                <c:pt idx="107">
                  <c:v>7.2778253569801702E-3</c:v>
                </c:pt>
                <c:pt idx="108">
                  <c:v>1.3036005716859001E-2</c:v>
                </c:pt>
                <c:pt idx="109">
                  <c:v>9.8189147397097897E-3</c:v>
                </c:pt>
                <c:pt idx="110">
                  <c:v>1.138321605E-2</c:v>
                </c:pt>
                <c:pt idx="111">
                  <c:v>1.02575102507853E-2</c:v>
                </c:pt>
                <c:pt idx="112">
                  <c:v>8.2198866767906002E-3</c:v>
                </c:pt>
                <c:pt idx="113">
                  <c:v>1.8115772355266901E-2</c:v>
                </c:pt>
                <c:pt idx="114">
                  <c:v>1.1535360280205799E-2</c:v>
                </c:pt>
                <c:pt idx="115">
                  <c:v>8.8384649274051309E-3</c:v>
                </c:pt>
                <c:pt idx="116">
                  <c:v>4.5192759230391804E-3</c:v>
                </c:pt>
                <c:pt idx="117">
                  <c:v>9.2072830324327008E-3</c:v>
                </c:pt>
                <c:pt idx="118">
                  <c:v>3.9239236222779897E-3</c:v>
                </c:pt>
                <c:pt idx="119">
                  <c:v>-3.59537685714701E-3</c:v>
                </c:pt>
                <c:pt idx="120">
                  <c:v>3.5014738327861701E-3</c:v>
                </c:pt>
                <c:pt idx="121">
                  <c:v>-7.0156363308685197E-3</c:v>
                </c:pt>
                <c:pt idx="122">
                  <c:v>5.8915465774550596E-3</c:v>
                </c:pt>
                <c:pt idx="123">
                  <c:v>-1.05897222545174E-2</c:v>
                </c:pt>
                <c:pt idx="124">
                  <c:v>-3.0842065457596901E-4</c:v>
                </c:pt>
                <c:pt idx="125">
                  <c:v>4.0940564372400198E-3</c:v>
                </c:pt>
                <c:pt idx="126">
                  <c:v>9.25168064361819E-3</c:v>
                </c:pt>
                <c:pt idx="127">
                  <c:v>-6.0190486084240498E-3</c:v>
                </c:pt>
                <c:pt idx="128">
                  <c:v>-2.54817252591631E-4</c:v>
                </c:pt>
                <c:pt idx="129">
                  <c:v>2.0957043499797998E-3</c:v>
                </c:pt>
                <c:pt idx="130">
                  <c:v>-1.5147344462703E-3</c:v>
                </c:pt>
                <c:pt idx="131">
                  <c:v>-3.0007974710374E-3</c:v>
                </c:pt>
                <c:pt idx="132">
                  <c:v>-1.0025762402645501E-2</c:v>
                </c:pt>
                <c:pt idx="133">
                  <c:v>-1.2255861004932899E-2</c:v>
                </c:pt>
                <c:pt idx="134">
                  <c:v>-4.9398110625367697E-3</c:v>
                </c:pt>
                <c:pt idx="135">
                  <c:v>-7.9894934072292992E-3</c:v>
                </c:pt>
                <c:pt idx="136">
                  <c:v>-1.1312038846057099E-2</c:v>
                </c:pt>
                <c:pt idx="137">
                  <c:v>-8.3183673713260395E-3</c:v>
                </c:pt>
                <c:pt idx="138">
                  <c:v>9.0029427195350404E-4</c:v>
                </c:pt>
                <c:pt idx="139">
                  <c:v>-3.0079142309021902E-3</c:v>
                </c:pt>
                <c:pt idx="140">
                  <c:v>5.91758667458624E-3</c:v>
                </c:pt>
                <c:pt idx="141">
                  <c:v>9.62577251471642E-3</c:v>
                </c:pt>
                <c:pt idx="142">
                  <c:v>2.00545573116661E-2</c:v>
                </c:pt>
                <c:pt idx="143">
                  <c:v>1.97126609736324E-2</c:v>
                </c:pt>
                <c:pt idx="144">
                  <c:v>1.93836666331164E-2</c:v>
                </c:pt>
                <c:pt idx="145">
                  <c:v>2.17915813602341E-2</c:v>
                </c:pt>
                <c:pt idx="146">
                  <c:v>1.9494233763631699E-2</c:v>
                </c:pt>
                <c:pt idx="147">
                  <c:v>2.8323028201562898E-2</c:v>
                </c:pt>
                <c:pt idx="148">
                  <c:v>1.26639858275313E-2</c:v>
                </c:pt>
                <c:pt idx="149">
                  <c:v>2.1733470964994499E-2</c:v>
                </c:pt>
                <c:pt idx="150">
                  <c:v>2.4518884962158798E-2</c:v>
                </c:pt>
                <c:pt idx="151">
                  <c:v>2.2305593501177799E-2</c:v>
                </c:pt>
                <c:pt idx="152">
                  <c:v>2.2434787635943702E-2</c:v>
                </c:pt>
                <c:pt idx="153">
                  <c:v>2.3153301180971499E-2</c:v>
                </c:pt>
                <c:pt idx="154">
                  <c:v>1.9796712868310602E-2</c:v>
                </c:pt>
                <c:pt idx="155">
                  <c:v>2.4947530632130899E-2</c:v>
                </c:pt>
                <c:pt idx="156">
                  <c:v>1.1631521073610301E-2</c:v>
                </c:pt>
                <c:pt idx="157">
                  <c:v>2.0994461806861001E-2</c:v>
                </c:pt>
                <c:pt idx="158">
                  <c:v>1.46590504463005E-2</c:v>
                </c:pt>
                <c:pt idx="159">
                  <c:v>9.6583346838918094E-5</c:v>
                </c:pt>
                <c:pt idx="160">
                  <c:v>-1.08913102164753E-3</c:v>
                </c:pt>
                <c:pt idx="161">
                  <c:v>3.5486089888795899E-4</c:v>
                </c:pt>
                <c:pt idx="162">
                  <c:v>-3.1901113243426398E-3</c:v>
                </c:pt>
                <c:pt idx="163">
                  <c:v>-5.1251393213179201E-3</c:v>
                </c:pt>
                <c:pt idx="164">
                  <c:v>-9.9313077729852803E-3</c:v>
                </c:pt>
                <c:pt idx="165">
                  <c:v>-1.6482564608182902E-2</c:v>
                </c:pt>
                <c:pt idx="166">
                  <c:v>-1.20029344688785E-2</c:v>
                </c:pt>
                <c:pt idx="167">
                  <c:v>-1.41049748937635E-2</c:v>
                </c:pt>
                <c:pt idx="168">
                  <c:v>-1.09397896285214E-2</c:v>
                </c:pt>
                <c:pt idx="169">
                  <c:v>-1.46191537481726E-2</c:v>
                </c:pt>
                <c:pt idx="170">
                  <c:v>-1.1354308048187401E-2</c:v>
                </c:pt>
                <c:pt idx="171">
                  <c:v>-1.32521951274602E-2</c:v>
                </c:pt>
                <c:pt idx="172">
                  <c:v>-1.3620115548885399E-2</c:v>
                </c:pt>
                <c:pt idx="173">
                  <c:v>-1.48396409377926E-2</c:v>
                </c:pt>
                <c:pt idx="174">
                  <c:v>-1.4383040341613199E-2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E-4622-A75D-2C101CB3B0B8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BATRK x 10 dma / BATRA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-3.0334129594895799E-3</c:v>
                </c:pt>
                <c:pt idx="11">
                  <c:v>-1.2705216016542099E-3</c:v>
                </c:pt>
                <c:pt idx="12">
                  <c:v>-8.7002718514923097E-3</c:v>
                </c:pt>
                <c:pt idx="13">
                  <c:v>-2.7898010416416599E-3</c:v>
                </c:pt>
                <c:pt idx="14">
                  <c:v>-1.8658656871967201E-3</c:v>
                </c:pt>
                <c:pt idx="15">
                  <c:v>-1.01669799903074E-2</c:v>
                </c:pt>
                <c:pt idx="16">
                  <c:v>-1.0260717527674899E-2</c:v>
                </c:pt>
                <c:pt idx="17">
                  <c:v>-2.0768908983911202E-2</c:v>
                </c:pt>
                <c:pt idx="18">
                  <c:v>-1.40932298903247E-2</c:v>
                </c:pt>
                <c:pt idx="19">
                  <c:v>-1.51351262718493E-2</c:v>
                </c:pt>
                <c:pt idx="20">
                  <c:v>-1.4367944450617899E-2</c:v>
                </c:pt>
                <c:pt idx="21">
                  <c:v>-1.3802866643442701E-2</c:v>
                </c:pt>
                <c:pt idx="22">
                  <c:v>-1.31111695167838E-2</c:v>
                </c:pt>
                <c:pt idx="23">
                  <c:v>-1.5137386575021399E-2</c:v>
                </c:pt>
                <c:pt idx="24">
                  <c:v>-9.4171361596416796E-3</c:v>
                </c:pt>
                <c:pt idx="25">
                  <c:v>-5.4243924959453196E-3</c:v>
                </c:pt>
                <c:pt idx="26">
                  <c:v>-2.785164214285E-3</c:v>
                </c:pt>
                <c:pt idx="27">
                  <c:v>-5.7866221886127597E-4</c:v>
                </c:pt>
                <c:pt idx="28">
                  <c:v>2.2650425101524599E-3</c:v>
                </c:pt>
                <c:pt idx="29">
                  <c:v>3.1140684668259202E-3</c:v>
                </c:pt>
                <c:pt idx="30">
                  <c:v>1.59036989129908E-3</c:v>
                </c:pt>
                <c:pt idx="31">
                  <c:v>3.2451254150026002E-3</c:v>
                </c:pt>
                <c:pt idx="32">
                  <c:v>6.0458869375856102E-3</c:v>
                </c:pt>
                <c:pt idx="33">
                  <c:v>-1.5123933921377399E-3</c:v>
                </c:pt>
                <c:pt idx="34">
                  <c:v>9.5366074129409392E-3</c:v>
                </c:pt>
                <c:pt idx="35">
                  <c:v>3.6695271666938498E-3</c:v>
                </c:pt>
                <c:pt idx="36">
                  <c:v>-7.9978042118544097E-3</c:v>
                </c:pt>
                <c:pt idx="37">
                  <c:v>-4.3478917066928201E-3</c:v>
                </c:pt>
                <c:pt idx="38">
                  <c:v>-3.12533995160967E-3</c:v>
                </c:pt>
                <c:pt idx="39">
                  <c:v>-1.8872252326173199E-3</c:v>
                </c:pt>
                <c:pt idx="40">
                  <c:v>-3.5811078691739299E-3</c:v>
                </c:pt>
                <c:pt idx="41">
                  <c:v>-4.7265453286277903E-3</c:v>
                </c:pt>
                <c:pt idx="42">
                  <c:v>-1.63793110285284E-3</c:v>
                </c:pt>
                <c:pt idx="43">
                  <c:v>-1.3049782397716099E-3</c:v>
                </c:pt>
                <c:pt idx="44">
                  <c:v>-3.4078441032269601E-3</c:v>
                </c:pt>
                <c:pt idx="45">
                  <c:v>6.3102629968203603E-3</c:v>
                </c:pt>
                <c:pt idx="46">
                  <c:v>3.0016609257280101E-3</c:v>
                </c:pt>
                <c:pt idx="47">
                  <c:v>4.5799268279872497E-3</c:v>
                </c:pt>
                <c:pt idx="48">
                  <c:v>1.6096985087244999E-3</c:v>
                </c:pt>
                <c:pt idx="49">
                  <c:v>-3.0619133064004401E-3</c:v>
                </c:pt>
                <c:pt idx="50">
                  <c:v>7.2547351139211503E-3</c:v>
                </c:pt>
                <c:pt idx="51">
                  <c:v>7.14176974656447E-3</c:v>
                </c:pt>
                <c:pt idx="52">
                  <c:v>5.8281582883239799E-4</c:v>
                </c:pt>
                <c:pt idx="53">
                  <c:v>-5.0176212133674503E-3</c:v>
                </c:pt>
                <c:pt idx="54">
                  <c:v>-2.8413891116589002E-3</c:v>
                </c:pt>
                <c:pt idx="55">
                  <c:v>-8.3930376785373295E-3</c:v>
                </c:pt>
                <c:pt idx="56">
                  <c:v>-7.8780093821634607E-3</c:v>
                </c:pt>
                <c:pt idx="57">
                  <c:v>-9.1787447045245103E-4</c:v>
                </c:pt>
                <c:pt idx="58">
                  <c:v>-4.9737557568606504E-3</c:v>
                </c:pt>
                <c:pt idx="59">
                  <c:v>-4.0166493479421297E-3</c:v>
                </c:pt>
                <c:pt idx="60">
                  <c:v>3.0858893662877298E-3</c:v>
                </c:pt>
                <c:pt idx="61">
                  <c:v>3.5420110807888602E-4</c:v>
                </c:pt>
                <c:pt idx="62">
                  <c:v>6.4293238638649098E-4</c:v>
                </c:pt>
                <c:pt idx="63">
                  <c:v>-5.41092334060846E-4</c:v>
                </c:pt>
                <c:pt idx="64">
                  <c:v>2.7725441873389899E-3</c:v>
                </c:pt>
                <c:pt idx="65">
                  <c:v>-7.3215233762370104E-4</c:v>
                </c:pt>
                <c:pt idx="66">
                  <c:v>3.5851737506371097E-4</c:v>
                </c:pt>
                <c:pt idx="67">
                  <c:v>-2.3186470945737699E-3</c:v>
                </c:pt>
                <c:pt idx="68">
                  <c:v>-2.6653533980058801E-3</c:v>
                </c:pt>
                <c:pt idx="69">
                  <c:v>8.0069910628366402E-3</c:v>
                </c:pt>
                <c:pt idx="70">
                  <c:v>1.6944240902315999E-3</c:v>
                </c:pt>
                <c:pt idx="71">
                  <c:v>-1.70172206585874E-3</c:v>
                </c:pt>
                <c:pt idx="72">
                  <c:v>-4.3972378724171598E-4</c:v>
                </c:pt>
                <c:pt idx="73">
                  <c:v>1.62686930206822E-3</c:v>
                </c:pt>
                <c:pt idx="74">
                  <c:v>-1.75215612440367E-3</c:v>
                </c:pt>
                <c:pt idx="75">
                  <c:v>4.1338082364271904E-3</c:v>
                </c:pt>
                <c:pt idx="76">
                  <c:v>8.9677950992187502E-3</c:v>
                </c:pt>
                <c:pt idx="77">
                  <c:v>2.5207662639795202E-2</c:v>
                </c:pt>
                <c:pt idx="78">
                  <c:v>2.2713786850726898E-2</c:v>
                </c:pt>
                <c:pt idx="79">
                  <c:v>2.2806509884719699E-2</c:v>
                </c:pt>
                <c:pt idx="80">
                  <c:v>2.6225924522547801E-2</c:v>
                </c:pt>
                <c:pt idx="81">
                  <c:v>2.1277588878348699E-2</c:v>
                </c:pt>
                <c:pt idx="82">
                  <c:v>8.1753668608357099E-3</c:v>
                </c:pt>
                <c:pt idx="83">
                  <c:v>1.18165581494595E-2</c:v>
                </c:pt>
                <c:pt idx="84">
                  <c:v>5.6070399273489202E-3</c:v>
                </c:pt>
                <c:pt idx="85">
                  <c:v>-2.26937225120813E-4</c:v>
                </c:pt>
                <c:pt idx="86">
                  <c:v>-2.38029182086012E-3</c:v>
                </c:pt>
                <c:pt idx="87">
                  <c:v>-5.4164186801831504E-3</c:v>
                </c:pt>
                <c:pt idx="88">
                  <c:v>-4.2925188750192996E-3</c:v>
                </c:pt>
                <c:pt idx="89">
                  <c:v>-1.5817792192275099E-2</c:v>
                </c:pt>
                <c:pt idx="90">
                  <c:v>7.7991280495881598E-3</c:v>
                </c:pt>
                <c:pt idx="91">
                  <c:v>8.4774243879451698E-3</c:v>
                </c:pt>
                <c:pt idx="92">
                  <c:v>8.7483938947543992E-3</c:v>
                </c:pt>
                <c:pt idx="93">
                  <c:v>1.0867755346466E-2</c:v>
                </c:pt>
                <c:pt idx="94">
                  <c:v>9.3983902037944895E-3</c:v>
                </c:pt>
                <c:pt idx="95">
                  <c:v>7.3646820984414104E-3</c:v>
                </c:pt>
                <c:pt idx="96">
                  <c:v>5.7649847876380302E-3</c:v>
                </c:pt>
                <c:pt idx="97">
                  <c:v>1.7446794700853501E-3</c:v>
                </c:pt>
                <c:pt idx="98">
                  <c:v>-6.9233370828190302E-3</c:v>
                </c:pt>
                <c:pt idx="99">
                  <c:v>-6.16970126950293E-3</c:v>
                </c:pt>
                <c:pt idx="100">
                  <c:v>-4.2048521574421498E-3</c:v>
                </c:pt>
                <c:pt idx="101">
                  <c:v>-7.5379703146158002E-3</c:v>
                </c:pt>
                <c:pt idx="102">
                  <c:v>-1.0875701348388299E-3</c:v>
                </c:pt>
                <c:pt idx="103">
                  <c:v>-6.9884181216669696E-3</c:v>
                </c:pt>
                <c:pt idx="104">
                  <c:v>-8.2886469671944706E-3</c:v>
                </c:pt>
                <c:pt idx="105">
                  <c:v>-6.2788999866795403E-3</c:v>
                </c:pt>
                <c:pt idx="106">
                  <c:v>-7.77427891301085E-3</c:v>
                </c:pt>
                <c:pt idx="107">
                  <c:v>-2.9948079686795601E-3</c:v>
                </c:pt>
                <c:pt idx="108">
                  <c:v>3.7571864253963401E-3</c:v>
                </c:pt>
                <c:pt idx="109">
                  <c:v>1.8900757965572399E-4</c:v>
                </c:pt>
                <c:pt idx="110">
                  <c:v>1.8079060018236701E-3</c:v>
                </c:pt>
                <c:pt idx="111">
                  <c:v>9.1396725271216902E-4</c:v>
                </c:pt>
                <c:pt idx="112">
                  <c:v>-1.1607148925157299E-3</c:v>
                </c:pt>
                <c:pt idx="113">
                  <c:v>9.4527073992458892E-3</c:v>
                </c:pt>
                <c:pt idx="114">
                  <c:v>1.9766208741839402E-3</c:v>
                </c:pt>
                <c:pt idx="115">
                  <c:v>-1.2261748753678999E-3</c:v>
                </c:pt>
                <c:pt idx="116">
                  <c:v>-5.73311155202546E-3</c:v>
                </c:pt>
                <c:pt idx="117">
                  <c:v>-1.0869187583423801E-3</c:v>
                </c:pt>
                <c:pt idx="118">
                  <c:v>-6.5636389220960802E-3</c:v>
                </c:pt>
                <c:pt idx="119">
                  <c:v>-1.31703134259392E-2</c:v>
                </c:pt>
                <c:pt idx="120">
                  <c:v>-4.7242361098524099E-3</c:v>
                </c:pt>
                <c:pt idx="121">
                  <c:v>-1.44528632745042E-2</c:v>
                </c:pt>
                <c:pt idx="122">
                  <c:v>1.90224172891843E-4</c:v>
                </c:pt>
                <c:pt idx="123">
                  <c:v>-1.6058552760542001E-2</c:v>
                </c:pt>
                <c:pt idx="124">
                  <c:v>-2.90582867874855E-3</c:v>
                </c:pt>
                <c:pt idx="125">
                  <c:v>2.6767700146604202E-3</c:v>
                </c:pt>
                <c:pt idx="126">
                  <c:v>8.3063347288034797E-3</c:v>
                </c:pt>
                <c:pt idx="127">
                  <c:v>-7.4349433466543401E-3</c:v>
                </c:pt>
                <c:pt idx="128">
                  <c:v>-1.4949310425682201E-4</c:v>
                </c:pt>
                <c:pt idx="129">
                  <c:v>2.6180061032800299E-3</c:v>
                </c:pt>
                <c:pt idx="130">
                  <c:v>-1.5618331660292801E-3</c:v>
                </c:pt>
                <c:pt idx="131">
                  <c:v>-2.5468748143639402E-3</c:v>
                </c:pt>
                <c:pt idx="132">
                  <c:v>-9.9752379027155998E-3</c:v>
                </c:pt>
                <c:pt idx="133">
                  <c:v>-1.06116462719935E-2</c:v>
                </c:pt>
                <c:pt idx="134">
                  <c:v>-3.12735934925469E-3</c:v>
                </c:pt>
                <c:pt idx="135">
                  <c:v>-5.71363356307188E-3</c:v>
                </c:pt>
                <c:pt idx="136">
                  <c:v>-7.8289421183871995E-3</c:v>
                </c:pt>
                <c:pt idx="137">
                  <c:v>-2.7860016675237999E-3</c:v>
                </c:pt>
                <c:pt idx="138">
                  <c:v>6.6629419411071396E-3</c:v>
                </c:pt>
                <c:pt idx="139">
                  <c:v>2.6399164837021499E-3</c:v>
                </c:pt>
                <c:pt idx="140">
                  <c:v>1.20730081597564E-2</c:v>
                </c:pt>
                <c:pt idx="141">
                  <c:v>1.50438736346361E-2</c:v>
                </c:pt>
                <c:pt idx="142">
                  <c:v>2.42201848572174E-2</c:v>
                </c:pt>
                <c:pt idx="143">
                  <c:v>2.0893180620128599E-2</c:v>
                </c:pt>
                <c:pt idx="144">
                  <c:v>1.7377782053011302E-2</c:v>
                </c:pt>
                <c:pt idx="145">
                  <c:v>1.7363011227307702E-2</c:v>
                </c:pt>
                <c:pt idx="146">
                  <c:v>1.2090378793557101E-2</c:v>
                </c:pt>
                <c:pt idx="147">
                  <c:v>1.78234145346189E-2</c:v>
                </c:pt>
                <c:pt idx="148">
                  <c:v>-1.50853190897531E-3</c:v>
                </c:pt>
                <c:pt idx="149">
                  <c:v>6.37514843402745E-3</c:v>
                </c:pt>
                <c:pt idx="150">
                  <c:v>6.6683791523904096E-3</c:v>
                </c:pt>
                <c:pt idx="151">
                  <c:v>2.5882867714149202E-3</c:v>
                </c:pt>
                <c:pt idx="152">
                  <c:v>1.44391371264323E-3</c:v>
                </c:pt>
                <c:pt idx="153">
                  <c:v>1.92443625369184E-3</c:v>
                </c:pt>
                <c:pt idx="154">
                  <c:v>-1.77620520701872E-3</c:v>
                </c:pt>
                <c:pt idx="155">
                  <c:v>3.3332250994497301E-3</c:v>
                </c:pt>
                <c:pt idx="156">
                  <c:v>-1.0297875690764201E-2</c:v>
                </c:pt>
                <c:pt idx="157">
                  <c:v>-1.4395277918375301E-4</c:v>
                </c:pt>
                <c:pt idx="158">
                  <c:v>-5.7493477546399401E-3</c:v>
                </c:pt>
                <c:pt idx="159">
                  <c:v>-2.05126921209829E-2</c:v>
                </c:pt>
                <c:pt idx="160">
                  <c:v>-1.9515980998774999E-2</c:v>
                </c:pt>
                <c:pt idx="161">
                  <c:v>-1.5497188838978101E-2</c:v>
                </c:pt>
                <c:pt idx="162">
                  <c:v>-1.6839522915363201E-2</c:v>
                </c:pt>
                <c:pt idx="163">
                  <c:v>-1.620495472419E-2</c:v>
                </c:pt>
                <c:pt idx="164">
                  <c:v>-1.8181344697006E-2</c:v>
                </c:pt>
                <c:pt idx="165">
                  <c:v>-2.1754251173224302E-2</c:v>
                </c:pt>
                <c:pt idx="166">
                  <c:v>-1.31355848645093E-2</c:v>
                </c:pt>
                <c:pt idx="167">
                  <c:v>-1.287380276534E-2</c:v>
                </c:pt>
                <c:pt idx="168">
                  <c:v>-6.2209573473645001E-3</c:v>
                </c:pt>
                <c:pt idx="169">
                  <c:v>-7.3603812343156797E-3</c:v>
                </c:pt>
                <c:pt idx="170">
                  <c:v>-2.6250265775471801E-3</c:v>
                </c:pt>
                <c:pt idx="171">
                  <c:v>-3.4994861711640699E-3</c:v>
                </c:pt>
                <c:pt idx="172">
                  <c:v>-2.5120977824300301E-3</c:v>
                </c:pt>
                <c:pt idx="173">
                  <c:v>-2.6919739804460502E-3</c:v>
                </c:pt>
                <c:pt idx="174">
                  <c:v>-1.26649011289442E-3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E-4622-A75D-2C101CB3B0B8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BATRK x 20 dma / BATRA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-1.98481515553867E-2</c:v>
                </c:pt>
                <c:pt idx="21">
                  <c:v>-2.0287010960413701E-2</c:v>
                </c:pt>
                <c:pt idx="22">
                  <c:v>-2.10599874179754E-2</c:v>
                </c:pt>
                <c:pt idx="23">
                  <c:v>-2.3907636269152301E-2</c:v>
                </c:pt>
                <c:pt idx="24">
                  <c:v>-1.9675440935795301E-2</c:v>
                </c:pt>
                <c:pt idx="25">
                  <c:v>-1.6903894242735501E-2</c:v>
                </c:pt>
                <c:pt idx="26">
                  <c:v>-1.44761304596264E-2</c:v>
                </c:pt>
                <c:pt idx="27">
                  <c:v>-1.22540813442656E-2</c:v>
                </c:pt>
                <c:pt idx="28">
                  <c:v>-8.1426561307118908E-3</c:v>
                </c:pt>
                <c:pt idx="29">
                  <c:v>-6.4587908535893596E-3</c:v>
                </c:pt>
                <c:pt idx="30">
                  <c:v>-6.8383008488213104E-3</c:v>
                </c:pt>
                <c:pt idx="31">
                  <c:v>-4.1218497745591802E-3</c:v>
                </c:pt>
                <c:pt idx="32">
                  <c:v>5.9213013510308998E-5</c:v>
                </c:pt>
                <c:pt idx="33">
                  <c:v>-6.1291899843379204E-3</c:v>
                </c:pt>
                <c:pt idx="34">
                  <c:v>6.6290308251906798E-3</c:v>
                </c:pt>
                <c:pt idx="35">
                  <c:v>2.8133001263642701E-3</c:v>
                </c:pt>
                <c:pt idx="36">
                  <c:v>-7.5718959829844798E-3</c:v>
                </c:pt>
                <c:pt idx="37">
                  <c:v>-3.3434289515937902E-3</c:v>
                </c:pt>
                <c:pt idx="38">
                  <c:v>-2.0444388870995301E-3</c:v>
                </c:pt>
                <c:pt idx="39">
                  <c:v>-7.4071495980877495E-4</c:v>
                </c:pt>
                <c:pt idx="40">
                  <c:v>-2.5209539072325502E-3</c:v>
                </c:pt>
                <c:pt idx="41">
                  <c:v>-3.7709711386497299E-3</c:v>
                </c:pt>
                <c:pt idx="42">
                  <c:v>-1.09890462728875E-3</c:v>
                </c:pt>
                <c:pt idx="43">
                  <c:v>-1.45235940467286E-3</c:v>
                </c:pt>
                <c:pt idx="44">
                  <c:v>-3.7788981746154499E-3</c:v>
                </c:pt>
                <c:pt idx="45">
                  <c:v>4.6040784111303999E-3</c:v>
                </c:pt>
                <c:pt idx="46">
                  <c:v>8.88606687325859E-4</c:v>
                </c:pt>
                <c:pt idx="47">
                  <c:v>3.0238115017155302E-3</c:v>
                </c:pt>
                <c:pt idx="48">
                  <c:v>4.3168570290904402E-4</c:v>
                </c:pt>
                <c:pt idx="49">
                  <c:v>-3.9596667486935799E-3</c:v>
                </c:pt>
                <c:pt idx="50">
                  <c:v>6.3437644057464902E-3</c:v>
                </c:pt>
                <c:pt idx="51">
                  <c:v>6.8329570493868997E-3</c:v>
                </c:pt>
                <c:pt idx="52">
                  <c:v>1.1396007976538301E-3</c:v>
                </c:pt>
                <c:pt idx="53">
                  <c:v>-3.9638822920961703E-3</c:v>
                </c:pt>
                <c:pt idx="54">
                  <c:v>-1.8640000872816201E-3</c:v>
                </c:pt>
                <c:pt idx="55">
                  <c:v>-6.6064563512568597E-3</c:v>
                </c:pt>
                <c:pt idx="56">
                  <c:v>-6.6116861550897304E-3</c:v>
                </c:pt>
                <c:pt idx="57">
                  <c:v>-4.0971793103699E-4</c:v>
                </c:pt>
                <c:pt idx="58">
                  <c:v>-4.9797262168303899E-3</c:v>
                </c:pt>
                <c:pt idx="59">
                  <c:v>-4.4715760713484303E-3</c:v>
                </c:pt>
                <c:pt idx="60">
                  <c:v>2.6861822836035101E-3</c:v>
                </c:pt>
                <c:pt idx="61">
                  <c:v>-7.4158558601266104E-4</c:v>
                </c:pt>
                <c:pt idx="62">
                  <c:v>-1.45988494842372E-3</c:v>
                </c:pt>
                <c:pt idx="63">
                  <c:v>-3.0168536699543302E-3</c:v>
                </c:pt>
                <c:pt idx="64">
                  <c:v>3.5322703706048701E-4</c:v>
                </c:pt>
                <c:pt idx="65">
                  <c:v>-3.2394186265560401E-3</c:v>
                </c:pt>
                <c:pt idx="66">
                  <c:v>-1.46001895959639E-3</c:v>
                </c:pt>
                <c:pt idx="67">
                  <c:v>-3.4890418795292802E-3</c:v>
                </c:pt>
                <c:pt idx="68">
                  <c:v>-3.7992445999876401E-3</c:v>
                </c:pt>
                <c:pt idx="69">
                  <c:v>7.2049645594778697E-3</c:v>
                </c:pt>
                <c:pt idx="70">
                  <c:v>1.5053769613415601E-3</c:v>
                </c:pt>
                <c:pt idx="71">
                  <c:v>-1.7320503318016E-3</c:v>
                </c:pt>
                <c:pt idx="72">
                  <c:v>-1.2924107780407101E-4</c:v>
                </c:pt>
                <c:pt idx="73">
                  <c:v>2.1212239231793899E-3</c:v>
                </c:pt>
                <c:pt idx="74">
                  <c:v>-1.0757928573005399E-3</c:v>
                </c:pt>
                <c:pt idx="75">
                  <c:v>4.6130536287988799E-3</c:v>
                </c:pt>
                <c:pt idx="76">
                  <c:v>9.6057784289542893E-3</c:v>
                </c:pt>
                <c:pt idx="77">
                  <c:v>2.61080419762479E-2</c:v>
                </c:pt>
                <c:pt idx="78">
                  <c:v>2.52572771291226E-2</c:v>
                </c:pt>
                <c:pt idx="79">
                  <c:v>2.68669884334846E-2</c:v>
                </c:pt>
                <c:pt idx="80">
                  <c:v>3.0902896424477699E-2</c:v>
                </c:pt>
                <c:pt idx="81">
                  <c:v>2.77330422894492E-2</c:v>
                </c:pt>
                <c:pt idx="82">
                  <c:v>1.6540435788467901E-2</c:v>
                </c:pt>
                <c:pt idx="83">
                  <c:v>2.1487431062303899E-2</c:v>
                </c:pt>
                <c:pt idx="84">
                  <c:v>1.6612112313767101E-2</c:v>
                </c:pt>
                <c:pt idx="85">
                  <c:v>1.2433968941962701E-2</c:v>
                </c:pt>
                <c:pt idx="86">
                  <c:v>1.10519214162558E-2</c:v>
                </c:pt>
                <c:pt idx="87">
                  <c:v>8.30237594130687E-3</c:v>
                </c:pt>
                <c:pt idx="88">
                  <c:v>7.7831841305392498E-3</c:v>
                </c:pt>
                <c:pt idx="89">
                  <c:v>-5.4250036908377501E-3</c:v>
                </c:pt>
                <c:pt idx="90">
                  <c:v>1.6136714043770001E-2</c:v>
                </c:pt>
                <c:pt idx="91">
                  <c:v>1.5031224814437199E-2</c:v>
                </c:pt>
                <c:pt idx="92">
                  <c:v>1.3515560032242699E-2</c:v>
                </c:pt>
                <c:pt idx="93">
                  <c:v>1.4863096398670599E-2</c:v>
                </c:pt>
                <c:pt idx="94">
                  <c:v>1.2260256021746E-2</c:v>
                </c:pt>
                <c:pt idx="95">
                  <c:v>9.2195903169909992E-3</c:v>
                </c:pt>
                <c:pt idx="96">
                  <c:v>7.1309824430233204E-3</c:v>
                </c:pt>
                <c:pt idx="97">
                  <c:v>2.8790094732597301E-3</c:v>
                </c:pt>
                <c:pt idx="98">
                  <c:v>-5.1458123596346897E-3</c:v>
                </c:pt>
                <c:pt idx="99">
                  <c:v>-4.1950644013854102E-3</c:v>
                </c:pt>
                <c:pt idx="100">
                  <c:v>-6.3414384829454799E-4</c:v>
                </c:pt>
                <c:pt idx="101">
                  <c:v>-4.1217031528509498E-3</c:v>
                </c:pt>
                <c:pt idx="102">
                  <c:v>1.85319684005528E-3</c:v>
                </c:pt>
                <c:pt idx="103">
                  <c:v>-4.7500259300338604E-3</c:v>
                </c:pt>
                <c:pt idx="104">
                  <c:v>-7.0698346285352704E-3</c:v>
                </c:pt>
                <c:pt idx="105">
                  <c:v>-6.2966744729244404E-3</c:v>
                </c:pt>
                <c:pt idx="106">
                  <c:v>-9.0386179249566101E-3</c:v>
                </c:pt>
                <c:pt idx="107">
                  <c:v>-5.6030596846626101E-3</c:v>
                </c:pt>
                <c:pt idx="108">
                  <c:v>1.819801910798E-4</c:v>
                </c:pt>
                <c:pt idx="109">
                  <c:v>-3.25750626449244E-3</c:v>
                </c:pt>
                <c:pt idx="110">
                  <c:v>-2.35220059353495E-3</c:v>
                </c:pt>
                <c:pt idx="111">
                  <c:v>-3.1184140916962898E-3</c:v>
                </c:pt>
                <c:pt idx="112">
                  <c:v>-4.7155214065526902E-3</c:v>
                </c:pt>
                <c:pt idx="113">
                  <c:v>5.7376547818947399E-3</c:v>
                </c:pt>
                <c:pt idx="114">
                  <c:v>-6.2515267036888597E-4</c:v>
                </c:pt>
                <c:pt idx="115">
                  <c:v>-2.8146516035017998E-3</c:v>
                </c:pt>
                <c:pt idx="116">
                  <c:v>-6.5455361149289399E-3</c:v>
                </c:pt>
                <c:pt idx="117">
                  <c:v>-1.0761344676347201E-3</c:v>
                </c:pt>
                <c:pt idx="118">
                  <c:v>-5.9590846631201603E-3</c:v>
                </c:pt>
                <c:pt idx="119">
                  <c:v>-1.31977983438493E-2</c:v>
                </c:pt>
                <c:pt idx="120">
                  <c:v>-5.3988084850830802E-3</c:v>
                </c:pt>
                <c:pt idx="121">
                  <c:v>-1.5405567046679201E-2</c:v>
                </c:pt>
                <c:pt idx="122">
                  <c:v>-1.64772327353765E-3</c:v>
                </c:pt>
                <c:pt idx="123">
                  <c:v>-1.7654394594367202E-2</c:v>
                </c:pt>
                <c:pt idx="124">
                  <c:v>-6.3804368650783099E-3</c:v>
                </c:pt>
                <c:pt idx="125">
                  <c:v>-1.63755961449843E-3</c:v>
                </c:pt>
                <c:pt idx="126">
                  <c:v>3.6636415374252402E-3</c:v>
                </c:pt>
                <c:pt idx="127">
                  <c:v>-1.18642438632724E-2</c:v>
                </c:pt>
                <c:pt idx="128">
                  <c:v>-5.4319103601279698E-3</c:v>
                </c:pt>
                <c:pt idx="129">
                  <c:v>-2.4178688341880798E-3</c:v>
                </c:pt>
                <c:pt idx="130">
                  <c:v>-5.6427775905804603E-3</c:v>
                </c:pt>
                <c:pt idx="131">
                  <c:v>-6.4846658544624701E-3</c:v>
                </c:pt>
                <c:pt idx="132">
                  <c:v>-1.2847025892811101E-2</c:v>
                </c:pt>
                <c:pt idx="133">
                  <c:v>-1.4161844478236801E-2</c:v>
                </c:pt>
                <c:pt idx="134">
                  <c:v>-5.32985836208885E-3</c:v>
                </c:pt>
                <c:pt idx="135">
                  <c:v>-7.5585017812408199E-3</c:v>
                </c:pt>
                <c:pt idx="136">
                  <c:v>-1.0040712053602701E-2</c:v>
                </c:pt>
                <c:pt idx="137">
                  <c:v>-6.2540971102831803E-3</c:v>
                </c:pt>
                <c:pt idx="138">
                  <c:v>3.8382808390399299E-3</c:v>
                </c:pt>
                <c:pt idx="139">
                  <c:v>8.0435880347072298E-5</c:v>
                </c:pt>
                <c:pt idx="140">
                  <c:v>8.9765569566949595E-3</c:v>
                </c:pt>
                <c:pt idx="141">
                  <c:v>1.2564864783327001E-2</c:v>
                </c:pt>
                <c:pt idx="142">
                  <c:v>2.2164750092047599E-2</c:v>
                </c:pt>
                <c:pt idx="143">
                  <c:v>2.1125055039991601E-2</c:v>
                </c:pt>
                <c:pt idx="144">
                  <c:v>1.9288772660103901E-2</c:v>
                </c:pt>
                <c:pt idx="145">
                  <c:v>2.0720844877991199E-2</c:v>
                </c:pt>
                <c:pt idx="146">
                  <c:v>1.75486702839199E-2</c:v>
                </c:pt>
                <c:pt idx="147">
                  <c:v>2.58715319212455E-2</c:v>
                </c:pt>
                <c:pt idx="148">
                  <c:v>8.5087263237656491E-3</c:v>
                </c:pt>
                <c:pt idx="149">
                  <c:v>1.6933381352005498E-2</c:v>
                </c:pt>
                <c:pt idx="150">
                  <c:v>1.8743376638379699E-2</c:v>
                </c:pt>
                <c:pt idx="151">
                  <c:v>1.52349622083724E-2</c:v>
                </c:pt>
                <c:pt idx="152">
                  <c:v>1.4101268556996E-2</c:v>
                </c:pt>
                <c:pt idx="153">
                  <c:v>1.3191899791780599E-2</c:v>
                </c:pt>
                <c:pt idx="154">
                  <c:v>8.0551693771064997E-3</c:v>
                </c:pt>
                <c:pt idx="155">
                  <c:v>1.1963011032659799E-2</c:v>
                </c:pt>
                <c:pt idx="156">
                  <c:v>-3.0087311049196998E-3</c:v>
                </c:pt>
                <c:pt idx="157">
                  <c:v>5.1895956242695397E-3</c:v>
                </c:pt>
                <c:pt idx="158">
                  <c:v>-2.6265467546528099E-3</c:v>
                </c:pt>
                <c:pt idx="159">
                  <c:v>-1.7883769093171801E-2</c:v>
                </c:pt>
                <c:pt idx="160">
                  <c:v>-1.9227767393521E-2</c:v>
                </c:pt>
                <c:pt idx="161">
                  <c:v>-1.74279498096374E-2</c:v>
                </c:pt>
                <c:pt idx="162">
                  <c:v>-2.0503516962985701E-2</c:v>
                </c:pt>
                <c:pt idx="163">
                  <c:v>-2.1266604140871E-2</c:v>
                </c:pt>
                <c:pt idx="164">
                  <c:v>-2.4820598041480402E-2</c:v>
                </c:pt>
                <c:pt idx="165">
                  <c:v>-2.9892175879220099E-2</c:v>
                </c:pt>
                <c:pt idx="166">
                  <c:v>-2.34798959406846E-2</c:v>
                </c:pt>
                <c:pt idx="167">
                  <c:v>-2.3996047625467601E-2</c:v>
                </c:pt>
                <c:pt idx="168">
                  <c:v>-1.8705652450601899E-2</c:v>
                </c:pt>
                <c:pt idx="169">
                  <c:v>-2.1197329854116501E-2</c:v>
                </c:pt>
                <c:pt idx="170">
                  <c:v>-1.61109131993936E-2</c:v>
                </c:pt>
                <c:pt idx="171">
                  <c:v>-1.62199172983E-2</c:v>
                </c:pt>
                <c:pt idx="172">
                  <c:v>-1.48141981292245E-2</c:v>
                </c:pt>
                <c:pt idx="173">
                  <c:v>-1.42382771844297E-2</c:v>
                </c:pt>
                <c:pt idx="174">
                  <c:v>-1.18927183939357E-2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EE-4622-A75D-2C101CB3B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-1.6721461673550996E-3</c:v>
                </c:pt>
                <c:pt idx="2">
                  <c:v>-3.5341860579112001E-3</c:v>
                </c:pt>
                <c:pt idx="3">
                  <c:v>-7.60154399674482E-3</c:v>
                </c:pt>
                <c:pt idx="4">
                  <c:v>-4.8739546999119294E-3</c:v>
                </c:pt>
                <c:pt idx="5">
                  <c:v>-3.6816726972036294E-3</c:v>
                </c:pt>
                <c:pt idx="6">
                  <c:v>-2.8689046247995275E-3</c:v>
                </c:pt>
                <c:pt idx="7">
                  <c:v>-2.2572340478298853E-3</c:v>
                </c:pt>
                <c:pt idx="8">
                  <c:v>2.5702586999574398E-4</c:v>
                </c:pt>
                <c:pt idx="9">
                  <c:v>6.5156851436314143E-4</c:v>
                </c:pt>
                <c:pt idx="10">
                  <c:v>-9.7067394387028837E-4</c:v>
                </c:pt>
                <c:pt idx="11">
                  <c:v>5.8722014735462184E-4</c:v>
                </c:pt>
                <c:pt idx="12">
                  <c:v>3.6134663184059215E-3</c:v>
                </c:pt>
                <c:pt idx="13">
                  <c:v>3.6134663184059215E-3</c:v>
                </c:pt>
                <c:pt idx="14">
                  <c:v>3.6134663184059215E-3</c:v>
                </c:pt>
                <c:pt idx="15">
                  <c:v>3.6134663184059215E-3</c:v>
                </c:pt>
                <c:pt idx="16">
                  <c:v>3.6134663184059215E-3</c:v>
                </c:pt>
                <c:pt idx="17">
                  <c:v>3.6134663184059215E-3</c:v>
                </c:pt>
                <c:pt idx="18">
                  <c:v>3.6134663184059215E-3</c:v>
                </c:pt>
                <c:pt idx="19">
                  <c:v>3.6134663184059215E-3</c:v>
                </c:pt>
                <c:pt idx="20">
                  <c:v>3.6134663184059215E-3</c:v>
                </c:pt>
                <c:pt idx="21">
                  <c:v>3.6134663184059215E-3</c:v>
                </c:pt>
                <c:pt idx="22">
                  <c:v>3.6134663184059215E-3</c:v>
                </c:pt>
                <c:pt idx="23">
                  <c:v>3.6134663184059215E-3</c:v>
                </c:pt>
                <c:pt idx="24">
                  <c:v>3.6134663184059215E-3</c:v>
                </c:pt>
                <c:pt idx="25">
                  <c:v>3.6134663184059215E-3</c:v>
                </c:pt>
                <c:pt idx="26">
                  <c:v>3.6134663184059215E-3</c:v>
                </c:pt>
                <c:pt idx="27">
                  <c:v>3.6134663184059215E-3</c:v>
                </c:pt>
                <c:pt idx="28">
                  <c:v>3.6134663184059215E-3</c:v>
                </c:pt>
                <c:pt idx="29">
                  <c:v>3.6134663184059215E-3</c:v>
                </c:pt>
                <c:pt idx="30">
                  <c:v>3.6134663184059215E-3</c:v>
                </c:pt>
                <c:pt idx="31">
                  <c:v>3.6134663184059215E-3</c:v>
                </c:pt>
                <c:pt idx="32">
                  <c:v>3.6134663184059215E-3</c:v>
                </c:pt>
                <c:pt idx="33">
                  <c:v>3.6134663184059215E-3</c:v>
                </c:pt>
                <c:pt idx="34">
                  <c:v>3.6134663184059215E-3</c:v>
                </c:pt>
                <c:pt idx="35">
                  <c:v>3.6134663184059215E-3</c:v>
                </c:pt>
                <c:pt idx="36">
                  <c:v>3.6134663184059215E-3</c:v>
                </c:pt>
                <c:pt idx="37">
                  <c:v>3.6134663184059215E-3</c:v>
                </c:pt>
                <c:pt idx="38">
                  <c:v>3.6134663184059215E-3</c:v>
                </c:pt>
                <c:pt idx="39">
                  <c:v>3.6134663184059215E-3</c:v>
                </c:pt>
                <c:pt idx="40">
                  <c:v>3.6134663184059215E-3</c:v>
                </c:pt>
                <c:pt idx="41">
                  <c:v>3.6134663184059215E-3</c:v>
                </c:pt>
                <c:pt idx="42">
                  <c:v>3.6134663184059215E-3</c:v>
                </c:pt>
                <c:pt idx="43">
                  <c:v>3.6134663184059215E-3</c:v>
                </c:pt>
                <c:pt idx="44">
                  <c:v>3.6134663184059215E-3</c:v>
                </c:pt>
                <c:pt idx="45">
                  <c:v>3.6134663184059215E-3</c:v>
                </c:pt>
                <c:pt idx="46">
                  <c:v>3.6134663184059215E-3</c:v>
                </c:pt>
                <c:pt idx="47">
                  <c:v>3.6134663184059215E-3</c:v>
                </c:pt>
                <c:pt idx="48">
                  <c:v>3.6134663184059215E-3</c:v>
                </c:pt>
                <c:pt idx="49">
                  <c:v>3.6134663184059215E-3</c:v>
                </c:pt>
                <c:pt idx="50">
                  <c:v>3.6134663184059215E-3</c:v>
                </c:pt>
                <c:pt idx="51">
                  <c:v>3.6134663184059215E-3</c:v>
                </c:pt>
                <c:pt idx="52">
                  <c:v>3.6134663184059215E-3</c:v>
                </c:pt>
                <c:pt idx="53">
                  <c:v>3.6134663184059215E-3</c:v>
                </c:pt>
                <c:pt idx="54">
                  <c:v>3.6134663184059215E-3</c:v>
                </c:pt>
                <c:pt idx="55">
                  <c:v>3.6134663184059215E-3</c:v>
                </c:pt>
                <c:pt idx="56">
                  <c:v>3.6134663184059215E-3</c:v>
                </c:pt>
                <c:pt idx="57">
                  <c:v>3.6134663184059215E-3</c:v>
                </c:pt>
                <c:pt idx="58">
                  <c:v>3.6134663184059215E-3</c:v>
                </c:pt>
                <c:pt idx="59">
                  <c:v>3.6134663184059215E-3</c:v>
                </c:pt>
                <c:pt idx="60">
                  <c:v>3.6134663184059215E-3</c:v>
                </c:pt>
                <c:pt idx="61">
                  <c:v>3.6134663184059215E-3</c:v>
                </c:pt>
                <c:pt idx="62">
                  <c:v>3.6134663184059215E-3</c:v>
                </c:pt>
                <c:pt idx="63">
                  <c:v>3.6134663184059215E-3</c:v>
                </c:pt>
                <c:pt idx="64">
                  <c:v>3.6134663184059215E-3</c:v>
                </c:pt>
                <c:pt idx="65">
                  <c:v>3.6134663184059215E-3</c:v>
                </c:pt>
                <c:pt idx="66">
                  <c:v>3.6134663184059215E-3</c:v>
                </c:pt>
                <c:pt idx="67">
                  <c:v>3.6134663184059215E-3</c:v>
                </c:pt>
                <c:pt idx="68">
                  <c:v>3.6134663184059215E-3</c:v>
                </c:pt>
                <c:pt idx="69">
                  <c:v>3.6134663184059215E-3</c:v>
                </c:pt>
                <c:pt idx="70">
                  <c:v>3.6134663184059215E-3</c:v>
                </c:pt>
                <c:pt idx="71">
                  <c:v>3.6134663184059215E-3</c:v>
                </c:pt>
                <c:pt idx="72">
                  <c:v>3.6134663184059215E-3</c:v>
                </c:pt>
                <c:pt idx="73">
                  <c:v>3.6134663184059215E-3</c:v>
                </c:pt>
                <c:pt idx="74">
                  <c:v>3.6134663184059215E-3</c:v>
                </c:pt>
                <c:pt idx="75">
                  <c:v>3.6134663184059215E-3</c:v>
                </c:pt>
                <c:pt idx="76">
                  <c:v>3.6134663184059215E-3</c:v>
                </c:pt>
                <c:pt idx="77">
                  <c:v>3.6134663184059215E-3</c:v>
                </c:pt>
                <c:pt idx="78">
                  <c:v>3.6134663184059215E-3</c:v>
                </c:pt>
                <c:pt idx="79">
                  <c:v>3.6134663184059215E-3</c:v>
                </c:pt>
                <c:pt idx="80">
                  <c:v>3.6134663184059215E-3</c:v>
                </c:pt>
                <c:pt idx="81">
                  <c:v>3.6134663184059215E-3</c:v>
                </c:pt>
                <c:pt idx="82">
                  <c:v>3.6134663184059215E-3</c:v>
                </c:pt>
                <c:pt idx="83">
                  <c:v>3.6134663184059215E-3</c:v>
                </c:pt>
                <c:pt idx="84">
                  <c:v>3.6134663184059215E-3</c:v>
                </c:pt>
                <c:pt idx="85">
                  <c:v>3.6134663184059215E-3</c:v>
                </c:pt>
                <c:pt idx="86">
                  <c:v>3.6134663184059215E-3</c:v>
                </c:pt>
                <c:pt idx="87">
                  <c:v>3.6134663184059215E-3</c:v>
                </c:pt>
                <c:pt idx="88">
                  <c:v>3.6134663184059215E-3</c:v>
                </c:pt>
                <c:pt idx="89">
                  <c:v>3.6134663184059215E-3</c:v>
                </c:pt>
                <c:pt idx="90">
                  <c:v>3.6134663184059215E-3</c:v>
                </c:pt>
                <c:pt idx="91">
                  <c:v>3.6134663184059215E-3</c:v>
                </c:pt>
                <c:pt idx="92">
                  <c:v>3.6134663184059215E-3</c:v>
                </c:pt>
                <c:pt idx="93">
                  <c:v>3.6134663184059215E-3</c:v>
                </c:pt>
                <c:pt idx="94">
                  <c:v>3.6134663184059215E-3</c:v>
                </c:pt>
                <c:pt idx="95">
                  <c:v>3.6134663184059215E-3</c:v>
                </c:pt>
                <c:pt idx="96">
                  <c:v>3.6134663184059215E-3</c:v>
                </c:pt>
                <c:pt idx="97">
                  <c:v>3.6134663184059215E-3</c:v>
                </c:pt>
                <c:pt idx="98">
                  <c:v>3.6134663184059215E-3</c:v>
                </c:pt>
                <c:pt idx="99">
                  <c:v>3.6134663184059215E-3</c:v>
                </c:pt>
                <c:pt idx="100">
                  <c:v>1.0710317008339222E-2</c:v>
                </c:pt>
                <c:pt idx="101">
                  <c:v>1.932068446846482E-4</c:v>
                </c:pt>
                <c:pt idx="102">
                  <c:v>1.3100389753008018E-2</c:v>
                </c:pt>
                <c:pt idx="103">
                  <c:v>1.3100389753008018E-2</c:v>
                </c:pt>
                <c:pt idx="104">
                  <c:v>2.3381691352949319E-2</c:v>
                </c:pt>
                <c:pt idx="105">
                  <c:v>2.7784168444765119E-2</c:v>
                </c:pt>
                <c:pt idx="106">
                  <c:v>2.7784168444765119E-2</c:v>
                </c:pt>
                <c:pt idx="107">
                  <c:v>2.7784168444765119E-2</c:v>
                </c:pt>
                <c:pt idx="108">
                  <c:v>3.3548399800597491E-2</c:v>
                </c:pt>
                <c:pt idx="109">
                  <c:v>3.5898921403169089E-2</c:v>
                </c:pt>
                <c:pt idx="110">
                  <c:v>3.5898921403169089E-2</c:v>
                </c:pt>
                <c:pt idx="111">
                  <c:v>3.5898921403169089E-2</c:v>
                </c:pt>
                <c:pt idx="112">
                  <c:v>3.5898921403169089E-2</c:v>
                </c:pt>
                <c:pt idx="113">
                  <c:v>3.3668822800881487E-2</c:v>
                </c:pt>
                <c:pt idx="114">
                  <c:v>4.0984872743277792E-2</c:v>
                </c:pt>
                <c:pt idx="115">
                  <c:v>3.7935190398585242E-2</c:v>
                </c:pt>
                <c:pt idx="116">
                  <c:v>3.4612644959757341E-2</c:v>
                </c:pt>
                <c:pt idx="117">
                  <c:v>3.7606316434488501E-2</c:v>
                </c:pt>
                <c:pt idx="118">
                  <c:v>4.6824978077767948E-2</c:v>
                </c:pt>
                <c:pt idx="119">
                  <c:v>4.6824978077767948E-2</c:v>
                </c:pt>
                <c:pt idx="120">
                  <c:v>4.6824978077767948E-2</c:v>
                </c:pt>
                <c:pt idx="121">
                  <c:v>4.6824978077767948E-2</c:v>
                </c:pt>
                <c:pt idx="122">
                  <c:v>4.6824978077767948E-2</c:v>
                </c:pt>
                <c:pt idx="123">
                  <c:v>4.6824978077767948E-2</c:v>
                </c:pt>
                <c:pt idx="124">
                  <c:v>4.6824978077767948E-2</c:v>
                </c:pt>
                <c:pt idx="125">
                  <c:v>4.6824978077767948E-2</c:v>
                </c:pt>
                <c:pt idx="126">
                  <c:v>4.6824978077767948E-2</c:v>
                </c:pt>
                <c:pt idx="127">
                  <c:v>4.6824978077767948E-2</c:v>
                </c:pt>
                <c:pt idx="128">
                  <c:v>4.6824978077767948E-2</c:v>
                </c:pt>
                <c:pt idx="129">
                  <c:v>4.6824978077767948E-2</c:v>
                </c:pt>
                <c:pt idx="130">
                  <c:v>4.6824978077767948E-2</c:v>
                </c:pt>
                <c:pt idx="131">
                  <c:v>4.6824978077767948E-2</c:v>
                </c:pt>
                <c:pt idx="132">
                  <c:v>4.6824978077767948E-2</c:v>
                </c:pt>
                <c:pt idx="133">
                  <c:v>4.6824978077767948E-2</c:v>
                </c:pt>
                <c:pt idx="134">
                  <c:v>4.6824978077767948E-2</c:v>
                </c:pt>
                <c:pt idx="135">
                  <c:v>4.6824978077767948E-2</c:v>
                </c:pt>
                <c:pt idx="136">
                  <c:v>4.6824978077767948E-2</c:v>
                </c:pt>
                <c:pt idx="137">
                  <c:v>4.6824978077767948E-2</c:v>
                </c:pt>
                <c:pt idx="138">
                  <c:v>4.6824978077767948E-2</c:v>
                </c:pt>
                <c:pt idx="139">
                  <c:v>4.6824978077767948E-2</c:v>
                </c:pt>
                <c:pt idx="140">
                  <c:v>4.5639263709281348E-2</c:v>
                </c:pt>
                <c:pt idx="141">
                  <c:v>4.7083255629816717E-2</c:v>
                </c:pt>
                <c:pt idx="142">
                  <c:v>4.3538283406586116E-2</c:v>
                </c:pt>
                <c:pt idx="143">
                  <c:v>4.1603255409610719E-2</c:v>
                </c:pt>
                <c:pt idx="144">
                  <c:v>3.6797086957943509E-2</c:v>
                </c:pt>
                <c:pt idx="145">
                  <c:v>3.0245830122745808E-2</c:v>
                </c:pt>
                <c:pt idx="146">
                  <c:v>3.4725460262050256E-2</c:v>
                </c:pt>
                <c:pt idx="147">
                  <c:v>3.2623419837165157E-2</c:v>
                </c:pt>
                <c:pt idx="148">
                  <c:v>3.5788605102407084E-2</c:v>
                </c:pt>
                <c:pt idx="149">
                  <c:v>3.2109240982755992E-2</c:v>
                </c:pt>
                <c:pt idx="150">
                  <c:v>3.5374086682741196E-2</c:v>
                </c:pt>
                <c:pt idx="151">
                  <c:v>3.3476199603468398E-2</c:v>
                </c:pt>
                <c:pt idx="152">
                  <c:v>3.3108279182043211E-2</c:v>
                </c:pt>
                <c:pt idx="153">
                  <c:v>3.1888753793136208E-2</c:v>
                </c:pt>
                <c:pt idx="154">
                  <c:v>3.2345354389315406E-2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B-4543-99A9-5312A27FC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-4.1231221333265988E-4</c:v>
                </c:pt>
                <c:pt idx="59">
                  <c:v>-3.5329877507760898E-3</c:v>
                </c:pt>
                <c:pt idx="60">
                  <c:v>-9.2195661895007903E-3</c:v>
                </c:pt>
                <c:pt idx="61">
                  <c:v>-7.6320719658713905E-3</c:v>
                </c:pt>
                <c:pt idx="62">
                  <c:v>1.8906794893340101E-3</c:v>
                </c:pt>
                <c:pt idx="63">
                  <c:v>-4.2926960920215886E-3</c:v>
                </c:pt>
                <c:pt idx="64">
                  <c:v>-1.0400902837186506E-3</c:v>
                </c:pt>
                <c:pt idx="65">
                  <c:v>1.8379668434169464E-3</c:v>
                </c:pt>
                <c:pt idx="66">
                  <c:v>1.8865652721694564E-3</c:v>
                </c:pt>
                <c:pt idx="67">
                  <c:v>3.3721532280978363E-3</c:v>
                </c:pt>
                <c:pt idx="68">
                  <c:v>2.5866719137951368E-3</c:v>
                </c:pt>
                <c:pt idx="69">
                  <c:v>1.4412637339210957E-2</c:v>
                </c:pt>
                <c:pt idx="70">
                  <c:v>1.4412637339210957E-2</c:v>
                </c:pt>
                <c:pt idx="71">
                  <c:v>1.3914802563236517E-2</c:v>
                </c:pt>
                <c:pt idx="72">
                  <c:v>1.3617576380667256E-2</c:v>
                </c:pt>
                <c:pt idx="73">
                  <c:v>1.0492961963647057E-2</c:v>
                </c:pt>
                <c:pt idx="74">
                  <c:v>1.1264632821668156E-2</c:v>
                </c:pt>
                <c:pt idx="75">
                  <c:v>1.2351603506712494E-2</c:v>
                </c:pt>
                <c:pt idx="76">
                  <c:v>1.2822794866193204E-2</c:v>
                </c:pt>
                <c:pt idx="77">
                  <c:v>1.5755318427095363E-2</c:v>
                </c:pt>
                <c:pt idx="78">
                  <c:v>2.3477232772718442E-2</c:v>
                </c:pt>
                <c:pt idx="79">
                  <c:v>2.3477232772718442E-2</c:v>
                </c:pt>
                <c:pt idx="80">
                  <c:v>2.3477232772718442E-2</c:v>
                </c:pt>
                <c:pt idx="81">
                  <c:v>2.3477232772718442E-2</c:v>
                </c:pt>
                <c:pt idx="82">
                  <c:v>2.3477232772718442E-2</c:v>
                </c:pt>
                <c:pt idx="83">
                  <c:v>2.3477232772718442E-2</c:v>
                </c:pt>
                <c:pt idx="84">
                  <c:v>2.3477232772718442E-2</c:v>
                </c:pt>
                <c:pt idx="85">
                  <c:v>2.3477232772718442E-2</c:v>
                </c:pt>
                <c:pt idx="86">
                  <c:v>2.3477232772718442E-2</c:v>
                </c:pt>
                <c:pt idx="87">
                  <c:v>2.3477232772718442E-2</c:v>
                </c:pt>
                <c:pt idx="88">
                  <c:v>2.3477232772718442E-2</c:v>
                </c:pt>
                <c:pt idx="89">
                  <c:v>2.3477232772718442E-2</c:v>
                </c:pt>
                <c:pt idx="90">
                  <c:v>2.3477232772718442E-2</c:v>
                </c:pt>
                <c:pt idx="91">
                  <c:v>2.3477232772718442E-2</c:v>
                </c:pt>
                <c:pt idx="92">
                  <c:v>2.3477232772718442E-2</c:v>
                </c:pt>
                <c:pt idx="93">
                  <c:v>2.3477232772718442E-2</c:v>
                </c:pt>
                <c:pt idx="94">
                  <c:v>2.3477232772718442E-2</c:v>
                </c:pt>
                <c:pt idx="95">
                  <c:v>2.3477232772718442E-2</c:v>
                </c:pt>
                <c:pt idx="96">
                  <c:v>2.3477232772718442E-2</c:v>
                </c:pt>
                <c:pt idx="97">
                  <c:v>2.3477232772718442E-2</c:v>
                </c:pt>
                <c:pt idx="98">
                  <c:v>2.3477232772718442E-2</c:v>
                </c:pt>
                <c:pt idx="99">
                  <c:v>2.3477232772718442E-2</c:v>
                </c:pt>
                <c:pt idx="100">
                  <c:v>2.3477232772718442E-2</c:v>
                </c:pt>
                <c:pt idx="101">
                  <c:v>2.3477232772718442E-2</c:v>
                </c:pt>
                <c:pt idx="102">
                  <c:v>2.3477232772718442E-2</c:v>
                </c:pt>
                <c:pt idx="103">
                  <c:v>2.3477232772718442E-2</c:v>
                </c:pt>
                <c:pt idx="104">
                  <c:v>2.3477232772718442E-2</c:v>
                </c:pt>
                <c:pt idx="105">
                  <c:v>2.3477232772718442E-2</c:v>
                </c:pt>
                <c:pt idx="106">
                  <c:v>2.3477232772718442E-2</c:v>
                </c:pt>
                <c:pt idx="107">
                  <c:v>2.3477232772718442E-2</c:v>
                </c:pt>
                <c:pt idx="108">
                  <c:v>2.3477232772718442E-2</c:v>
                </c:pt>
                <c:pt idx="109">
                  <c:v>2.3477232772718442E-2</c:v>
                </c:pt>
                <c:pt idx="110">
                  <c:v>2.3477232772718442E-2</c:v>
                </c:pt>
                <c:pt idx="111">
                  <c:v>2.3477232772718442E-2</c:v>
                </c:pt>
                <c:pt idx="112">
                  <c:v>2.3477232772718442E-2</c:v>
                </c:pt>
                <c:pt idx="113">
                  <c:v>2.3477232772718442E-2</c:v>
                </c:pt>
                <c:pt idx="114">
                  <c:v>2.3477232772718442E-2</c:v>
                </c:pt>
                <c:pt idx="115">
                  <c:v>2.3477232772718442E-2</c:v>
                </c:pt>
                <c:pt idx="116">
                  <c:v>2.3477232772718442E-2</c:v>
                </c:pt>
                <c:pt idx="117">
                  <c:v>2.3477232772718442E-2</c:v>
                </c:pt>
                <c:pt idx="118">
                  <c:v>2.3477232772718442E-2</c:v>
                </c:pt>
                <c:pt idx="119">
                  <c:v>2.3477232772718442E-2</c:v>
                </c:pt>
                <c:pt idx="120">
                  <c:v>2.3477232772718442E-2</c:v>
                </c:pt>
                <c:pt idx="121">
                  <c:v>2.3477232772718442E-2</c:v>
                </c:pt>
                <c:pt idx="122">
                  <c:v>2.3477232772718442E-2</c:v>
                </c:pt>
                <c:pt idx="123">
                  <c:v>2.3819129110752141E-2</c:v>
                </c:pt>
                <c:pt idx="124">
                  <c:v>2.41481234512682E-2</c:v>
                </c:pt>
                <c:pt idx="125">
                  <c:v>2.1740208724150459E-2</c:v>
                </c:pt>
                <c:pt idx="126">
                  <c:v>2.403755632075295E-2</c:v>
                </c:pt>
                <c:pt idx="127">
                  <c:v>1.5208761882821553E-2</c:v>
                </c:pt>
                <c:pt idx="128">
                  <c:v>3.0867804256853194E-2</c:v>
                </c:pt>
                <c:pt idx="129">
                  <c:v>2.1798319119389894E-2</c:v>
                </c:pt>
                <c:pt idx="130">
                  <c:v>1.9012905122225615E-2</c:v>
                </c:pt>
                <c:pt idx="131">
                  <c:v>2.1226196583206517E-2</c:v>
                </c:pt>
                <c:pt idx="132">
                  <c:v>2.1097002448440618E-2</c:v>
                </c:pt>
                <c:pt idx="133">
                  <c:v>2.0378488903412928E-2</c:v>
                </c:pt>
                <c:pt idx="134">
                  <c:v>2.3735077216073937E-2</c:v>
                </c:pt>
                <c:pt idx="135">
                  <c:v>1.8584259452253536E-2</c:v>
                </c:pt>
                <c:pt idx="136">
                  <c:v>3.1900269010774064E-2</c:v>
                </c:pt>
                <c:pt idx="137">
                  <c:v>3.1900269010774064E-2</c:v>
                </c:pt>
                <c:pt idx="138">
                  <c:v>3.1900269010774064E-2</c:v>
                </c:pt>
                <c:pt idx="139">
                  <c:v>3.1900269010774064E-2</c:v>
                </c:pt>
                <c:pt idx="140">
                  <c:v>3.1900269010774064E-2</c:v>
                </c:pt>
                <c:pt idx="141">
                  <c:v>3.1900269010774064E-2</c:v>
                </c:pt>
                <c:pt idx="142">
                  <c:v>3.1900269010774064E-2</c:v>
                </c:pt>
                <c:pt idx="143">
                  <c:v>3.1900269010774064E-2</c:v>
                </c:pt>
                <c:pt idx="144">
                  <c:v>3.1900269010774064E-2</c:v>
                </c:pt>
                <c:pt idx="145">
                  <c:v>3.1900269010774064E-2</c:v>
                </c:pt>
                <c:pt idx="146">
                  <c:v>3.1900269010774064E-2</c:v>
                </c:pt>
                <c:pt idx="147">
                  <c:v>3.1900269010774064E-2</c:v>
                </c:pt>
                <c:pt idx="148">
                  <c:v>3.1900269010774064E-2</c:v>
                </c:pt>
                <c:pt idx="149">
                  <c:v>3.1900269010774064E-2</c:v>
                </c:pt>
                <c:pt idx="150">
                  <c:v>3.1900269010774064E-2</c:v>
                </c:pt>
                <c:pt idx="151">
                  <c:v>3.1900269010774064E-2</c:v>
                </c:pt>
                <c:pt idx="152">
                  <c:v>3.1900269010774064E-2</c:v>
                </c:pt>
                <c:pt idx="153">
                  <c:v>3.1900269010774064E-2</c:v>
                </c:pt>
                <c:pt idx="154">
                  <c:v>3.1900269010774064E-2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D-48B5-AA24-4FE690D2B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-1.6721461673550996E-3</c:v>
                </c:pt>
                <c:pt idx="2">
                  <c:v>-3.5341860579112001E-3</c:v>
                </c:pt>
                <c:pt idx="3">
                  <c:v>-7.60154399674482E-3</c:v>
                </c:pt>
                <c:pt idx="4">
                  <c:v>-4.8739546999119294E-3</c:v>
                </c:pt>
                <c:pt idx="5">
                  <c:v>-3.6816726972036294E-3</c:v>
                </c:pt>
                <c:pt idx="6">
                  <c:v>-2.8689046247995275E-3</c:v>
                </c:pt>
                <c:pt idx="7">
                  <c:v>-2.2572340478298853E-3</c:v>
                </c:pt>
                <c:pt idx="8">
                  <c:v>2.5702586999574398E-4</c:v>
                </c:pt>
                <c:pt idx="9">
                  <c:v>6.5156851436314143E-4</c:v>
                </c:pt>
                <c:pt idx="10">
                  <c:v>-9.7067394387028837E-4</c:v>
                </c:pt>
                <c:pt idx="11">
                  <c:v>5.8722014735462184E-4</c:v>
                </c:pt>
                <c:pt idx="12">
                  <c:v>3.6134663184059215E-3</c:v>
                </c:pt>
                <c:pt idx="13">
                  <c:v>3.6134663184059215E-3</c:v>
                </c:pt>
                <c:pt idx="14">
                  <c:v>3.6134663184059215E-3</c:v>
                </c:pt>
                <c:pt idx="15">
                  <c:v>3.6134663184059215E-3</c:v>
                </c:pt>
                <c:pt idx="16">
                  <c:v>3.6134663184059215E-3</c:v>
                </c:pt>
                <c:pt idx="17">
                  <c:v>3.6134663184059215E-3</c:v>
                </c:pt>
                <c:pt idx="18">
                  <c:v>3.6134663184059215E-3</c:v>
                </c:pt>
                <c:pt idx="19">
                  <c:v>3.6134663184059215E-3</c:v>
                </c:pt>
                <c:pt idx="20">
                  <c:v>3.6134663184059215E-3</c:v>
                </c:pt>
                <c:pt idx="21">
                  <c:v>3.6134663184059215E-3</c:v>
                </c:pt>
                <c:pt idx="22">
                  <c:v>3.6134663184059215E-3</c:v>
                </c:pt>
                <c:pt idx="23">
                  <c:v>3.6134663184059215E-3</c:v>
                </c:pt>
                <c:pt idx="24">
                  <c:v>3.6134663184059215E-3</c:v>
                </c:pt>
                <c:pt idx="25">
                  <c:v>3.6134663184059215E-3</c:v>
                </c:pt>
                <c:pt idx="26">
                  <c:v>3.6134663184059215E-3</c:v>
                </c:pt>
                <c:pt idx="27">
                  <c:v>3.6134663184059215E-3</c:v>
                </c:pt>
                <c:pt idx="28">
                  <c:v>3.6134663184059215E-3</c:v>
                </c:pt>
                <c:pt idx="29">
                  <c:v>3.6134663184059215E-3</c:v>
                </c:pt>
                <c:pt idx="30">
                  <c:v>3.6134663184059215E-3</c:v>
                </c:pt>
                <c:pt idx="31">
                  <c:v>3.6134663184059215E-3</c:v>
                </c:pt>
                <c:pt idx="32">
                  <c:v>3.6134663184059215E-3</c:v>
                </c:pt>
                <c:pt idx="33">
                  <c:v>3.6134663184059215E-3</c:v>
                </c:pt>
                <c:pt idx="34">
                  <c:v>3.6134663184059215E-3</c:v>
                </c:pt>
                <c:pt idx="35">
                  <c:v>3.6134663184059215E-3</c:v>
                </c:pt>
                <c:pt idx="36">
                  <c:v>3.6134663184059215E-3</c:v>
                </c:pt>
                <c:pt idx="37">
                  <c:v>3.6134663184059215E-3</c:v>
                </c:pt>
                <c:pt idx="38">
                  <c:v>3.6134663184059215E-3</c:v>
                </c:pt>
                <c:pt idx="39">
                  <c:v>3.6134663184059215E-3</c:v>
                </c:pt>
                <c:pt idx="40">
                  <c:v>3.6134663184059215E-3</c:v>
                </c:pt>
                <c:pt idx="41">
                  <c:v>3.6134663184059215E-3</c:v>
                </c:pt>
                <c:pt idx="42">
                  <c:v>3.6134663184059215E-3</c:v>
                </c:pt>
                <c:pt idx="43">
                  <c:v>3.6134663184059215E-3</c:v>
                </c:pt>
                <c:pt idx="44">
                  <c:v>3.6134663184059215E-3</c:v>
                </c:pt>
                <c:pt idx="45">
                  <c:v>3.6134663184059215E-3</c:v>
                </c:pt>
                <c:pt idx="46">
                  <c:v>3.6134663184059215E-3</c:v>
                </c:pt>
                <c:pt idx="47">
                  <c:v>3.6134663184059215E-3</c:v>
                </c:pt>
                <c:pt idx="48">
                  <c:v>3.6134663184059215E-3</c:v>
                </c:pt>
                <c:pt idx="49">
                  <c:v>3.6134663184059215E-3</c:v>
                </c:pt>
                <c:pt idx="50">
                  <c:v>3.6134663184059215E-3</c:v>
                </c:pt>
                <c:pt idx="51">
                  <c:v>3.6134663184059215E-3</c:v>
                </c:pt>
                <c:pt idx="52">
                  <c:v>3.6134663184059215E-3</c:v>
                </c:pt>
                <c:pt idx="53">
                  <c:v>3.6134663184059215E-3</c:v>
                </c:pt>
                <c:pt idx="54">
                  <c:v>3.6134663184059215E-3</c:v>
                </c:pt>
                <c:pt idx="55">
                  <c:v>3.6134663184059215E-3</c:v>
                </c:pt>
                <c:pt idx="56">
                  <c:v>3.6134663184059215E-3</c:v>
                </c:pt>
                <c:pt idx="57">
                  <c:v>3.6134663184059215E-3</c:v>
                </c:pt>
                <c:pt idx="58">
                  <c:v>3.2011541050732616E-3</c:v>
                </c:pt>
                <c:pt idx="59">
                  <c:v>8.047856762983174E-5</c:v>
                </c:pt>
                <c:pt idx="60">
                  <c:v>-5.6060998710948679E-3</c:v>
                </c:pt>
                <c:pt idx="61">
                  <c:v>-4.0186056474654681E-3</c:v>
                </c:pt>
                <c:pt idx="62">
                  <c:v>5.5041458077399324E-3</c:v>
                </c:pt>
                <c:pt idx="63">
                  <c:v>-6.7922977361566626E-4</c:v>
                </c:pt>
                <c:pt idx="64">
                  <c:v>2.5733760346872718E-3</c:v>
                </c:pt>
                <c:pt idx="65">
                  <c:v>5.4514331618228688E-3</c:v>
                </c:pt>
                <c:pt idx="66">
                  <c:v>5.5000315905753792E-3</c:v>
                </c:pt>
                <c:pt idx="67">
                  <c:v>6.9856195465037591E-3</c:v>
                </c:pt>
                <c:pt idx="68">
                  <c:v>6.2001382322010596E-3</c:v>
                </c:pt>
                <c:pt idx="69">
                  <c:v>1.8026103657616879E-2</c:v>
                </c:pt>
                <c:pt idx="70">
                  <c:v>1.8026103657616879E-2</c:v>
                </c:pt>
                <c:pt idx="71">
                  <c:v>1.7528268881642439E-2</c:v>
                </c:pt>
                <c:pt idx="72">
                  <c:v>1.7231042699073176E-2</c:v>
                </c:pt>
                <c:pt idx="73">
                  <c:v>1.4106428282052977E-2</c:v>
                </c:pt>
                <c:pt idx="74">
                  <c:v>1.4878099140074076E-2</c:v>
                </c:pt>
                <c:pt idx="75">
                  <c:v>1.5965069825118416E-2</c:v>
                </c:pt>
                <c:pt idx="76">
                  <c:v>1.6436261184599128E-2</c:v>
                </c:pt>
                <c:pt idx="77">
                  <c:v>1.9368784745501289E-2</c:v>
                </c:pt>
                <c:pt idx="78">
                  <c:v>2.7090699091124368E-2</c:v>
                </c:pt>
                <c:pt idx="79">
                  <c:v>2.7090699091124368E-2</c:v>
                </c:pt>
                <c:pt idx="80">
                  <c:v>2.7090699091124368E-2</c:v>
                </c:pt>
                <c:pt idx="81">
                  <c:v>2.7090699091124368E-2</c:v>
                </c:pt>
                <c:pt idx="82">
                  <c:v>2.7090699091124368E-2</c:v>
                </c:pt>
                <c:pt idx="83">
                  <c:v>2.7090699091124368E-2</c:v>
                </c:pt>
                <c:pt idx="84">
                  <c:v>2.7090699091124368E-2</c:v>
                </c:pt>
                <c:pt idx="85">
                  <c:v>2.7090699091124368E-2</c:v>
                </c:pt>
                <c:pt idx="86">
                  <c:v>2.7090699091124368E-2</c:v>
                </c:pt>
                <c:pt idx="87">
                  <c:v>2.7090699091124368E-2</c:v>
                </c:pt>
                <c:pt idx="88">
                  <c:v>2.7090699091124368E-2</c:v>
                </c:pt>
                <c:pt idx="89">
                  <c:v>2.7090699091124368E-2</c:v>
                </c:pt>
                <c:pt idx="90">
                  <c:v>2.7090699091124368E-2</c:v>
                </c:pt>
                <c:pt idx="91">
                  <c:v>2.7090699091124368E-2</c:v>
                </c:pt>
                <c:pt idx="92">
                  <c:v>2.7090699091124368E-2</c:v>
                </c:pt>
                <c:pt idx="93">
                  <c:v>2.7090699091124368E-2</c:v>
                </c:pt>
                <c:pt idx="94">
                  <c:v>2.7090699091124368E-2</c:v>
                </c:pt>
                <c:pt idx="95">
                  <c:v>2.7090699091124368E-2</c:v>
                </c:pt>
                <c:pt idx="96">
                  <c:v>2.7090699091124368E-2</c:v>
                </c:pt>
                <c:pt idx="97">
                  <c:v>2.7090699091124368E-2</c:v>
                </c:pt>
                <c:pt idx="98">
                  <c:v>2.7090699091124368E-2</c:v>
                </c:pt>
                <c:pt idx="99">
                  <c:v>2.7090699091124368E-2</c:v>
                </c:pt>
                <c:pt idx="100">
                  <c:v>3.4187549781057668E-2</c:v>
                </c:pt>
                <c:pt idx="101">
                  <c:v>2.3670439617403095E-2</c:v>
                </c:pt>
                <c:pt idx="102">
                  <c:v>3.6577622525726466E-2</c:v>
                </c:pt>
                <c:pt idx="103">
                  <c:v>3.6577622525726466E-2</c:v>
                </c:pt>
                <c:pt idx="104">
                  <c:v>4.6858924125667764E-2</c:v>
                </c:pt>
                <c:pt idx="105">
                  <c:v>5.1261401217483564E-2</c:v>
                </c:pt>
                <c:pt idx="106">
                  <c:v>5.1261401217483564E-2</c:v>
                </c:pt>
                <c:pt idx="107">
                  <c:v>5.1261401217483564E-2</c:v>
                </c:pt>
                <c:pt idx="108">
                  <c:v>5.7025632573315936E-2</c:v>
                </c:pt>
                <c:pt idx="109">
                  <c:v>5.9376154175887534E-2</c:v>
                </c:pt>
                <c:pt idx="110">
                  <c:v>5.9376154175887534E-2</c:v>
                </c:pt>
                <c:pt idx="111">
                  <c:v>5.9376154175887534E-2</c:v>
                </c:pt>
                <c:pt idx="112">
                  <c:v>5.9376154175887534E-2</c:v>
                </c:pt>
                <c:pt idx="113">
                  <c:v>5.7146055573599933E-2</c:v>
                </c:pt>
                <c:pt idx="114">
                  <c:v>6.4462105515996238E-2</c:v>
                </c:pt>
                <c:pt idx="115">
                  <c:v>6.1412423171303687E-2</c:v>
                </c:pt>
                <c:pt idx="116">
                  <c:v>5.8089877732475786E-2</c:v>
                </c:pt>
                <c:pt idx="117">
                  <c:v>6.1083549207206947E-2</c:v>
                </c:pt>
                <c:pt idx="118">
                  <c:v>7.0302210850486394E-2</c:v>
                </c:pt>
                <c:pt idx="119">
                  <c:v>7.0302210850486394E-2</c:v>
                </c:pt>
                <c:pt idx="120">
                  <c:v>7.0302210850486394E-2</c:v>
                </c:pt>
                <c:pt idx="121">
                  <c:v>7.0302210850486394E-2</c:v>
                </c:pt>
                <c:pt idx="122">
                  <c:v>7.0302210850486394E-2</c:v>
                </c:pt>
                <c:pt idx="123">
                  <c:v>7.06441071885201E-2</c:v>
                </c:pt>
                <c:pt idx="124">
                  <c:v>7.0973101529036159E-2</c:v>
                </c:pt>
                <c:pt idx="125">
                  <c:v>6.8565186801918421E-2</c:v>
                </c:pt>
                <c:pt idx="126">
                  <c:v>7.0862534398520916E-2</c:v>
                </c:pt>
                <c:pt idx="127">
                  <c:v>6.2033739960589515E-2</c:v>
                </c:pt>
                <c:pt idx="128">
                  <c:v>7.7692782334621152E-2</c:v>
                </c:pt>
                <c:pt idx="129">
                  <c:v>6.8623297197157845E-2</c:v>
                </c:pt>
                <c:pt idx="130">
                  <c:v>6.5837883199993563E-2</c:v>
                </c:pt>
                <c:pt idx="131">
                  <c:v>6.8051174660974462E-2</c:v>
                </c:pt>
                <c:pt idx="132">
                  <c:v>6.792198052620857E-2</c:v>
                </c:pt>
                <c:pt idx="133">
                  <c:v>6.7203466981180876E-2</c:v>
                </c:pt>
                <c:pt idx="134">
                  <c:v>7.0560055293841892E-2</c:v>
                </c:pt>
                <c:pt idx="135">
                  <c:v>6.5409237530021494E-2</c:v>
                </c:pt>
                <c:pt idx="136">
                  <c:v>7.8725247088542019E-2</c:v>
                </c:pt>
                <c:pt idx="137">
                  <c:v>7.8725247088542019E-2</c:v>
                </c:pt>
                <c:pt idx="138">
                  <c:v>7.8725247088542019E-2</c:v>
                </c:pt>
                <c:pt idx="139">
                  <c:v>7.8725247088542019E-2</c:v>
                </c:pt>
                <c:pt idx="140">
                  <c:v>7.7539532720055426E-2</c:v>
                </c:pt>
                <c:pt idx="141">
                  <c:v>7.8983524640590802E-2</c:v>
                </c:pt>
                <c:pt idx="142">
                  <c:v>7.5438552417360194E-2</c:v>
                </c:pt>
                <c:pt idx="143">
                  <c:v>7.3503524420384797E-2</c:v>
                </c:pt>
                <c:pt idx="144">
                  <c:v>6.869735596871758E-2</c:v>
                </c:pt>
                <c:pt idx="145">
                  <c:v>6.2146099133519879E-2</c:v>
                </c:pt>
                <c:pt idx="146">
                  <c:v>6.6625729272824327E-2</c:v>
                </c:pt>
                <c:pt idx="147">
                  <c:v>6.4523688847939228E-2</c:v>
                </c:pt>
                <c:pt idx="148">
                  <c:v>6.7688874113181155E-2</c:v>
                </c:pt>
                <c:pt idx="149">
                  <c:v>6.400950999353007E-2</c:v>
                </c:pt>
                <c:pt idx="150">
                  <c:v>6.7274355693515281E-2</c:v>
                </c:pt>
                <c:pt idx="151">
                  <c:v>6.5376468614242483E-2</c:v>
                </c:pt>
                <c:pt idx="152">
                  <c:v>6.5008548192817289E-2</c:v>
                </c:pt>
                <c:pt idx="153">
                  <c:v>6.3789022803910286E-2</c:v>
                </c:pt>
                <c:pt idx="154">
                  <c:v>6.4245623400089491E-2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9-4415-BE5F-9FB897C22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403051-6C90-43E1-B884-F2730B4E4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9ADFB3-9C82-4F2B-821F-2265B8143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A0E77A-4F82-4EAF-8E62-9143E477B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3708B7-1B8A-4B3D-B08B-A07AC7B9F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C2E694-1112-4CE4-B5DF-848C80F0D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17E568-72EE-4D64-BCF5-8EF948957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C736375-EF24-45E2-B2C1-94C7D2C77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E58B-BB0D-447A-9EE3-97547331011C}">
  <dimension ref="A1:DZ179"/>
  <sheetViews>
    <sheetView tabSelected="1" topLeftCell="AG1" workbookViewId="0">
      <selection activeCell="BA3" sqref="BA3"/>
    </sheetView>
  </sheetViews>
  <sheetFormatPr defaultRowHeight="15" x14ac:dyDescent="0.25"/>
  <cols>
    <col min="1" max="1" width="9.42578125" bestFit="1" customWidth="1"/>
    <col min="2" max="3" width="10" style="33" bestFit="1" customWidth="1"/>
    <col min="4" max="5" width="12.85546875" style="15" bestFit="1" customWidth="1"/>
    <col min="6" max="6" width="11.28515625" style="33" bestFit="1" customWidth="1"/>
    <col min="7" max="7" width="19.7109375" style="33" bestFit="1" customWidth="1"/>
    <col min="8" max="8" width="11.28515625" style="33" bestFit="1" customWidth="1"/>
    <col min="9" max="9" width="19.7109375" style="33" bestFit="1" customWidth="1"/>
    <col min="10" max="11" width="22.42578125" style="33" bestFit="1" customWidth="1"/>
    <col min="12" max="13" width="10" style="33" bestFit="1" customWidth="1"/>
    <col min="14" max="14" width="14.7109375" style="34" bestFit="1" customWidth="1"/>
    <col min="15" max="15" width="18.28515625" style="34" bestFit="1" customWidth="1"/>
    <col min="16" max="17" width="21.7109375" style="34" bestFit="1" customWidth="1"/>
    <col min="18" max="18" width="13.140625" style="33" bestFit="1" customWidth="1"/>
    <col min="19" max="20" width="16.42578125" style="33" bestFit="1" customWidth="1"/>
    <col min="21" max="21" width="26.140625" style="15" bestFit="1" customWidth="1"/>
    <col min="22" max="23" width="29.42578125" style="15" bestFit="1" customWidth="1"/>
    <col min="24" max="24" width="16.7109375" style="34" bestFit="1" customWidth="1"/>
    <col min="25" max="25" width="20.28515625" style="34" bestFit="1" customWidth="1"/>
    <col min="26" max="27" width="23.7109375" style="34" bestFit="1" customWidth="1"/>
    <col min="28" max="28" width="14.140625" style="33" bestFit="1" customWidth="1"/>
    <col min="29" max="30" width="17.5703125" style="33" bestFit="1" customWidth="1"/>
    <col min="31" max="31" width="28.140625" style="15" bestFit="1" customWidth="1"/>
    <col min="32" max="33" width="31.5703125" style="15" bestFit="1" customWidth="1"/>
    <col min="34" max="34" width="1.7109375" style="9" customWidth="1"/>
    <col min="35" max="35" width="7.7109375" style="15" bestFit="1" customWidth="1"/>
    <col min="36" max="36" width="6.2851562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2" width="12.85546875" style="15" bestFit="1" customWidth="1"/>
    <col min="43" max="43" width="12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3" width="12.85546875" style="15" bestFit="1" customWidth="1"/>
    <col min="54" max="54" width="12" style="15" bestFit="1" customWidth="1"/>
    <col min="55" max="55" width="8.7109375" style="15" bestFit="1" customWidth="1"/>
    <col min="56" max="56" width="1.7109375" style="9" customWidth="1"/>
    <col min="57" max="57" width="12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2</v>
      </c>
      <c r="C1" s="30" t="s">
        <v>1</v>
      </c>
      <c r="D1" s="31" t="s">
        <v>4</v>
      </c>
      <c r="E1" s="31" t="s">
        <v>3</v>
      </c>
      <c r="F1" s="30" t="s">
        <v>7</v>
      </c>
      <c r="G1" s="30" t="s">
        <v>8</v>
      </c>
      <c r="H1" s="30" t="s">
        <v>5</v>
      </c>
      <c r="I1" s="30" t="s">
        <v>6</v>
      </c>
      <c r="J1" s="30" t="s">
        <v>10</v>
      </c>
      <c r="K1" s="30" t="s">
        <v>9</v>
      </c>
      <c r="L1" s="30" t="s">
        <v>12</v>
      </c>
      <c r="M1" s="30" t="s">
        <v>11</v>
      </c>
      <c r="N1" s="32" t="s">
        <v>33</v>
      </c>
      <c r="O1" s="32" t="s">
        <v>34</v>
      </c>
      <c r="P1" s="32" t="s">
        <v>35</v>
      </c>
      <c r="Q1" s="32" t="s">
        <v>36</v>
      </c>
      <c r="R1" s="30" t="s">
        <v>37</v>
      </c>
      <c r="S1" s="30" t="s">
        <v>38</v>
      </c>
      <c r="T1" s="30" t="s">
        <v>39</v>
      </c>
      <c r="U1" s="31" t="s">
        <v>40</v>
      </c>
      <c r="V1" s="31" t="s">
        <v>41</v>
      </c>
      <c r="W1" s="31" t="s">
        <v>42</v>
      </c>
      <c r="X1" s="32" t="s">
        <v>43</v>
      </c>
      <c r="Y1" s="32" t="s">
        <v>44</v>
      </c>
      <c r="Z1" s="32" t="s">
        <v>45</v>
      </c>
      <c r="AA1" s="32" t="s">
        <v>46</v>
      </c>
      <c r="AB1" s="30" t="s">
        <v>47</v>
      </c>
      <c r="AC1" s="30" t="s">
        <v>48</v>
      </c>
      <c r="AD1" s="30" t="s">
        <v>49</v>
      </c>
      <c r="AE1" s="31" t="s">
        <v>50</v>
      </c>
      <c r="AF1" s="31" t="s">
        <v>51</v>
      </c>
      <c r="AG1" s="31" t="s">
        <v>52</v>
      </c>
      <c r="AH1" s="2"/>
      <c r="AI1" s="3">
        <f>AQ16</f>
        <v>1.4011716909562417</v>
      </c>
      <c r="AJ1" s="4">
        <v>0</v>
      </c>
      <c r="AK1" s="4">
        <f t="shared" ref="AK1:AQ1" si="0">AJ1-$AK12</f>
        <v>-2.5000000000000001E-3</v>
      </c>
      <c r="AL1" s="4">
        <f t="shared" si="0"/>
        <v>-5.0000000000000001E-3</v>
      </c>
      <c r="AM1" s="4">
        <f t="shared" si="0"/>
        <v>-7.4999999999999997E-3</v>
      </c>
      <c r="AN1" s="4">
        <f t="shared" si="0"/>
        <v>-0.01</v>
      </c>
      <c r="AO1" s="4">
        <f t="shared" si="0"/>
        <v>-1.2500000000000001E-2</v>
      </c>
      <c r="AP1" s="4">
        <f t="shared" si="0"/>
        <v>-1.5000000000000001E-2</v>
      </c>
      <c r="AQ1" s="4">
        <f t="shared" si="0"/>
        <v>-1.7500000000000002E-2</v>
      </c>
      <c r="AR1" s="5" t="s">
        <v>13</v>
      </c>
      <c r="AS1" s="2"/>
      <c r="AT1" s="3">
        <f>BB16</f>
        <v>1.2488292057979176</v>
      </c>
      <c r="AU1" s="4">
        <v>0</v>
      </c>
      <c r="AV1" s="6">
        <f>AU1+$AV12</f>
        <v>2.5000000000000001E-3</v>
      </c>
      <c r="AW1" s="6">
        <f t="shared" ref="AW1:BB1" si="1">AV1+$AV12</f>
        <v>5.0000000000000001E-3</v>
      </c>
      <c r="AX1" s="6">
        <f t="shared" si="1"/>
        <v>7.4999999999999997E-3</v>
      </c>
      <c r="AY1" s="6">
        <f t="shared" si="1"/>
        <v>0.01</v>
      </c>
      <c r="AZ1" s="6">
        <f t="shared" si="1"/>
        <v>1.2500000000000001E-2</v>
      </c>
      <c r="BA1" s="6">
        <f t="shared" si="1"/>
        <v>1.5000000000000001E-2</v>
      </c>
      <c r="BB1" s="6">
        <f t="shared" si="1"/>
        <v>1.7500000000000002E-2</v>
      </c>
      <c r="BC1" s="5" t="s">
        <v>13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39.86</v>
      </c>
      <c r="C2" s="33">
        <v>42.95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39.86</v>
      </c>
      <c r="M2" s="33">
        <v>42.95</v>
      </c>
      <c r="N2" s="34">
        <v>1.0775213246362201</v>
      </c>
      <c r="O2" s="34">
        <v>1.0913821229076099</v>
      </c>
      <c r="X2" s="34">
        <v>1.0775213246362201</v>
      </c>
      <c r="Y2" s="34">
        <v>1.0913821229076099</v>
      </c>
      <c r="AI2" s="4">
        <v>0</v>
      </c>
      <c r="AJ2" s="10">
        <f t="dataTable" ref="AJ2:AQ9" dt2D="1" dtr="1" r1="AI21" r2="AI22"/>
        <v>1.9616823243040391</v>
      </c>
      <c r="AK2" s="10">
        <v>1.8878357330034334</v>
      </c>
      <c r="AL2" s="10">
        <v>1.7469835073247402</v>
      </c>
      <c r="AM2" s="10">
        <v>0.96195700991619071</v>
      </c>
      <c r="AN2" s="10">
        <v>0.32255447494598716</v>
      </c>
      <c r="AO2" s="10">
        <v>0.48886971045147698</v>
      </c>
      <c r="AP2" s="10">
        <v>0.24375740600837845</v>
      </c>
      <c r="AQ2" s="10">
        <v>0.60583614978689204</v>
      </c>
      <c r="AR2"/>
      <c r="AT2" s="4">
        <v>0</v>
      </c>
      <c r="AU2" s="10">
        <f t="dataTable" ref="AU2:BB9" dt2D="1" dtr="1" r1="AT21" r2="AT22"/>
        <v>2.303534683599449</v>
      </c>
      <c r="AV2" s="11">
        <v>1.7322794405950537</v>
      </c>
      <c r="AW2" s="11">
        <v>1.4340760700576165</v>
      </c>
      <c r="AX2" s="11">
        <v>1.778936539861534E-2</v>
      </c>
      <c r="AY2" s="11">
        <v>0.79905471593006028</v>
      </c>
      <c r="AZ2" s="11">
        <v>0.79905471593006028</v>
      </c>
      <c r="BA2" s="11">
        <v>1.2488292057979176</v>
      </c>
      <c r="BB2" s="11">
        <v>0.92858860052921088</v>
      </c>
      <c r="BC2"/>
    </row>
    <row r="3" spans="1:130" x14ac:dyDescent="0.25">
      <c r="A3" s="1">
        <v>46027</v>
      </c>
      <c r="B3" s="33">
        <v>39.409999999999997</v>
      </c>
      <c r="C3" s="33">
        <v>42.66</v>
      </c>
      <c r="D3" s="15">
        <v>-1.1353723577736299E-2</v>
      </c>
      <c r="E3" s="15">
        <v>-6.7749353870600699E-3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39.409999999999997</v>
      </c>
      <c r="M3" s="33">
        <v>42.66</v>
      </c>
      <c r="N3" s="34">
        <v>1.0824663790916</v>
      </c>
      <c r="O3" s="34">
        <v>1.0913821229076099</v>
      </c>
      <c r="R3" s="33">
        <v>43.011369463789102</v>
      </c>
      <c r="U3" s="15">
        <v>8.2027738358471294E-3</v>
      </c>
      <c r="X3" s="34">
        <v>1.0824663790916</v>
      </c>
      <c r="Y3" s="34">
        <v>1.0913821229076099</v>
      </c>
      <c r="AB3" s="33">
        <v>43.011369463789102</v>
      </c>
      <c r="AE3" s="15">
        <v>8.2027738358471294E-3</v>
      </c>
      <c r="AI3" s="4">
        <f t="shared" ref="AI3:AI9" si="2">AI2-AK$12</f>
        <v>-2.5000000000000001E-3</v>
      </c>
      <c r="AJ3" s="10">
        <v>1.9616823243040391</v>
      </c>
      <c r="AK3" s="10">
        <v>3.1077114993062742</v>
      </c>
      <c r="AL3" s="10">
        <v>2.3188242569667414</v>
      </c>
      <c r="AM3" s="10">
        <v>1.9197213832359359</v>
      </c>
      <c r="AN3" s="10">
        <v>1.4011716909562417</v>
      </c>
      <c r="AO3" s="11">
        <v>1.0721734905635729</v>
      </c>
      <c r="AP3" s="10">
        <v>0.95711852418596044</v>
      </c>
      <c r="AQ3" s="10">
        <v>0.267767060097094</v>
      </c>
      <c r="AR3"/>
      <c r="AT3" s="4">
        <f>AT2+AV$12</f>
        <v>2.5000000000000001E-3</v>
      </c>
      <c r="AU3" s="10">
        <v>2.303534683599449</v>
      </c>
      <c r="AV3" s="11">
        <v>1.7331559670122094</v>
      </c>
      <c r="AW3" s="11">
        <v>1.1801367685477178</v>
      </c>
      <c r="AX3" s="11">
        <v>1.778936539861534E-2</v>
      </c>
      <c r="AY3" s="11">
        <v>0.79905471593006028</v>
      </c>
      <c r="AZ3" s="11">
        <v>0.79905471593006028</v>
      </c>
      <c r="BA3" s="11">
        <v>1.2488292057979176</v>
      </c>
      <c r="BB3" s="11">
        <v>0.92858860052921088</v>
      </c>
      <c r="BC3"/>
    </row>
    <row r="4" spans="1:130" x14ac:dyDescent="0.25">
      <c r="A4" s="1">
        <v>46028</v>
      </c>
      <c r="B4" s="33">
        <v>39.43</v>
      </c>
      <c r="C4" s="33">
        <v>42.65</v>
      </c>
      <c r="D4" s="15">
        <v>5.0735668262363897E-4</v>
      </c>
      <c r="E4" s="15">
        <v>-2.3443910551628299E-4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39.43</v>
      </c>
      <c r="M4" s="33">
        <v>42.65</v>
      </c>
      <c r="N4" s="34">
        <v>1.08166370783667</v>
      </c>
      <c r="O4" s="34">
        <v>1.0913821229076099</v>
      </c>
      <c r="R4" s="33">
        <v>43.033197106247201</v>
      </c>
      <c r="U4" s="15">
        <v>8.9445696239870195E-3</v>
      </c>
      <c r="X4" s="34">
        <v>1.08166370783667</v>
      </c>
      <c r="Y4" s="34">
        <v>1.0913821229076099</v>
      </c>
      <c r="AB4" s="33">
        <v>43.033197106247201</v>
      </c>
      <c r="AE4" s="15">
        <v>8.9445696239870195E-3</v>
      </c>
      <c r="AG4"/>
      <c r="AI4" s="4">
        <f t="shared" si="2"/>
        <v>-5.0000000000000001E-3</v>
      </c>
      <c r="AJ4" s="10">
        <v>1.9616823243040391</v>
      </c>
      <c r="AK4" s="11">
        <v>3.1077114993062742</v>
      </c>
      <c r="AL4" s="11">
        <v>2.0981783325062788</v>
      </c>
      <c r="AM4" s="11">
        <v>1.7557578877863846</v>
      </c>
      <c r="AN4" s="10">
        <v>1.2759865266535844</v>
      </c>
      <c r="AO4" s="11">
        <v>0.94300488145969796</v>
      </c>
      <c r="AP4" s="11">
        <v>0.79082990817796062</v>
      </c>
      <c r="AQ4" s="11">
        <v>5.6289609612327235E-2</v>
      </c>
      <c r="AR4"/>
      <c r="AT4" s="4">
        <f t="shared" ref="AT4:AT9" si="3">AT3+AV$12</f>
        <v>5.0000000000000001E-3</v>
      </c>
      <c r="AU4" s="10">
        <v>2.303534683599449</v>
      </c>
      <c r="AV4" s="11">
        <v>1.7331559670122094</v>
      </c>
      <c r="AW4" s="11">
        <v>0.64630296483069105</v>
      </c>
      <c r="AX4" s="11">
        <v>-0.24229751315615564</v>
      </c>
      <c r="AY4" s="11">
        <v>0.52487359375471943</v>
      </c>
      <c r="AZ4" s="11">
        <v>0.52487359375471943</v>
      </c>
      <c r="BA4" s="11">
        <v>0.97313269816547576</v>
      </c>
      <c r="BB4" s="11">
        <v>0.92858860052921088</v>
      </c>
      <c r="BC4"/>
      <c r="BE4" s="8"/>
      <c r="BF4" s="8"/>
    </row>
    <row r="5" spans="1:130" x14ac:dyDescent="0.25">
      <c r="A5" s="1">
        <v>46029</v>
      </c>
      <c r="B5" s="33">
        <v>39.4</v>
      </c>
      <c r="C5" s="33">
        <v>42.55</v>
      </c>
      <c r="D5" s="15">
        <v>-7.6113158564772895E-4</v>
      </c>
      <c r="E5" s="15">
        <v>-2.3474189183050002E-3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39.4</v>
      </c>
      <c r="M5" s="33">
        <v>42.55</v>
      </c>
      <c r="N5" s="34">
        <v>1.07994923857868</v>
      </c>
      <c r="O5" s="34">
        <v>1.0913821229076099</v>
      </c>
      <c r="R5" s="33">
        <v>43.000455642559999</v>
      </c>
      <c r="U5" s="15">
        <v>1.05308569566442E-2</v>
      </c>
      <c r="X5" s="34">
        <v>1.07994923857868</v>
      </c>
      <c r="Y5" s="34">
        <v>1.0913821229076099</v>
      </c>
      <c r="AB5" s="33">
        <v>43.000455642559999</v>
      </c>
      <c r="AE5" s="15">
        <v>1.05308569566442E-2</v>
      </c>
      <c r="AG5" s="29"/>
      <c r="AI5" s="4">
        <f t="shared" si="2"/>
        <v>-7.4999999999999997E-3</v>
      </c>
      <c r="AJ5" s="10">
        <v>1.9616823243040391</v>
      </c>
      <c r="AK5" s="11">
        <v>3.1077114993062742</v>
      </c>
      <c r="AL5" s="11">
        <v>2.0981783325062788</v>
      </c>
      <c r="AM5" s="11">
        <v>1.6804693629426968</v>
      </c>
      <c r="AN5" s="11">
        <v>1.5636872538928004</v>
      </c>
      <c r="AO5" s="11">
        <v>1.1495607545517992</v>
      </c>
      <c r="AP5" s="10">
        <v>0.55416064472925286</v>
      </c>
      <c r="AQ5" s="11">
        <v>-0.26255899803039329</v>
      </c>
      <c r="AR5"/>
      <c r="AT5" s="4">
        <f t="shared" si="3"/>
        <v>7.4999999999999997E-3</v>
      </c>
      <c r="AU5" s="10">
        <v>2.303534683599449</v>
      </c>
      <c r="AV5" s="11">
        <v>1.7331559670122094</v>
      </c>
      <c r="AW5" s="11">
        <v>0.64630296483069105</v>
      </c>
      <c r="AX5" s="11">
        <v>-0.34228870266827</v>
      </c>
      <c r="AY5" s="11">
        <v>0.41445156168114677</v>
      </c>
      <c r="AZ5" s="11">
        <v>0.41445156168114677</v>
      </c>
      <c r="BA5" s="11">
        <v>0.85844244536711356</v>
      </c>
      <c r="BB5" s="11">
        <v>0.92858860052921088</v>
      </c>
      <c r="BC5"/>
    </row>
    <row r="6" spans="1:130" x14ac:dyDescent="0.25">
      <c r="A6" s="1">
        <v>46030</v>
      </c>
      <c r="B6" s="33">
        <v>40.270000000000003</v>
      </c>
      <c r="C6" s="33">
        <v>43.3</v>
      </c>
      <c r="D6" s="15">
        <v>2.1840958559474599E-2</v>
      </c>
      <c r="E6" s="15">
        <v>1.7472779989061101E-2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40.270000000000003</v>
      </c>
      <c r="M6" s="33">
        <v>43.3</v>
      </c>
      <c r="N6" s="34">
        <v>1.0752421157188901</v>
      </c>
      <c r="O6" s="34">
        <v>1.0913821229076099</v>
      </c>
      <c r="R6" s="33">
        <v>43.949958089489598</v>
      </c>
      <c r="U6" s="15">
        <v>1.4899035527057901E-2</v>
      </c>
      <c r="X6" s="34">
        <v>1.0752421157188901</v>
      </c>
      <c r="Y6" s="34">
        <v>1.0913821229076099</v>
      </c>
      <c r="AB6" s="33">
        <v>43.949958089489598</v>
      </c>
      <c r="AE6" s="15">
        <v>1.4899035527057901E-2</v>
      </c>
      <c r="AG6" s="29"/>
      <c r="AI6" s="4">
        <f t="shared" si="2"/>
        <v>-0.01</v>
      </c>
      <c r="AJ6" s="10">
        <v>1.9616823243040391</v>
      </c>
      <c r="AK6" s="11">
        <v>3.1077114993062742</v>
      </c>
      <c r="AL6" s="11">
        <v>2.0981783325062788</v>
      </c>
      <c r="AM6" s="11">
        <v>1.6804693629426968</v>
      </c>
      <c r="AN6" s="11">
        <v>1.5433299815442905</v>
      </c>
      <c r="AO6" s="11">
        <v>1.1285544485355241</v>
      </c>
      <c r="AP6" s="11">
        <v>0.53086553106389278</v>
      </c>
      <c r="AQ6" s="11">
        <v>-0.2918527062675782</v>
      </c>
      <c r="AR6"/>
      <c r="AT6" s="4">
        <f t="shared" si="3"/>
        <v>0.01</v>
      </c>
      <c r="AU6" s="10">
        <v>2.303534683599449</v>
      </c>
      <c r="AV6" s="11">
        <v>1.7331559670122094</v>
      </c>
      <c r="AW6" s="11">
        <v>0.64630296483069105</v>
      </c>
      <c r="AX6" s="11">
        <v>-0.34228870266827</v>
      </c>
      <c r="AY6" s="11">
        <v>0.58947664317000814</v>
      </c>
      <c r="AZ6" s="11">
        <v>1.0261860287288708E-2</v>
      </c>
      <c r="BA6" s="11">
        <v>0.56892530883373682</v>
      </c>
      <c r="BB6" s="11">
        <v>0.84351730394471569</v>
      </c>
      <c r="BC6"/>
    </row>
    <row r="7" spans="1:130" x14ac:dyDescent="0.25">
      <c r="A7" s="1">
        <v>46031</v>
      </c>
      <c r="B7" s="33">
        <v>40.090000000000003</v>
      </c>
      <c r="C7" s="33">
        <v>43.02</v>
      </c>
      <c r="D7" s="15">
        <v>-4.4798482089472404E-3</v>
      </c>
      <c r="E7" s="15">
        <v>-6.4875111688600801E-3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40.090000000000003</v>
      </c>
      <c r="M7" s="33">
        <v>43.02</v>
      </c>
      <c r="N7" s="34">
        <v>1.0730855574956299</v>
      </c>
      <c r="O7" s="34">
        <v>1.0913821229076099</v>
      </c>
      <c r="R7" s="33">
        <v>43.753509307366301</v>
      </c>
      <c r="U7" s="15">
        <v>1.6906698486970899E-2</v>
      </c>
      <c r="X7" s="34">
        <v>1.0730855574956299</v>
      </c>
      <c r="Y7" s="34">
        <v>1.0913821229076099</v>
      </c>
      <c r="AB7" s="33">
        <v>43.753509307366301</v>
      </c>
      <c r="AE7" s="15">
        <v>1.6906698486970899E-2</v>
      </c>
      <c r="AG7"/>
      <c r="AI7" s="4">
        <f t="shared" si="2"/>
        <v>-1.2500000000000001E-2</v>
      </c>
      <c r="AJ7" s="10">
        <v>1.9616823243040391</v>
      </c>
      <c r="AK7" s="11">
        <v>3.1077114993062742</v>
      </c>
      <c r="AL7" s="11">
        <v>2.0981783325062788</v>
      </c>
      <c r="AM7" s="11">
        <v>1.6804693629426968</v>
      </c>
      <c r="AN7" s="11">
        <v>1.5433299815442905</v>
      </c>
      <c r="AO7" s="11">
        <v>0.99939910484424654</v>
      </c>
      <c r="AP7" s="11">
        <v>0.38453942506063021</v>
      </c>
      <c r="AQ7" s="11">
        <v>-0.48338804008698294</v>
      </c>
      <c r="AR7"/>
      <c r="AT7" s="4">
        <f t="shared" si="3"/>
        <v>1.2500000000000001E-2</v>
      </c>
      <c r="AU7" s="10">
        <v>2.303534683599449</v>
      </c>
      <c r="AV7" s="11">
        <v>1.7331559670122094</v>
      </c>
      <c r="AW7" s="11">
        <v>0.64630296483069105</v>
      </c>
      <c r="AX7" s="11">
        <v>-0.34228870266827</v>
      </c>
      <c r="AY7" s="11">
        <v>0.58947664317000814</v>
      </c>
      <c r="AZ7" s="11">
        <v>-0.11832993131497398</v>
      </c>
      <c r="BA7" s="11">
        <v>0.42992254059766605</v>
      </c>
      <c r="BB7" s="11">
        <v>0.76128705446014555</v>
      </c>
      <c r="BC7"/>
    </row>
    <row r="8" spans="1:130" x14ac:dyDescent="0.25">
      <c r="A8" s="1">
        <v>46034</v>
      </c>
      <c r="B8" s="33">
        <v>40.15</v>
      </c>
      <c r="C8" s="33">
        <v>43.05</v>
      </c>
      <c r="D8" s="15">
        <v>1.49551373835496E-3</v>
      </c>
      <c r="E8" s="15">
        <v>6.9710703415573399E-4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40.15</v>
      </c>
      <c r="M8" s="33">
        <v>43.05</v>
      </c>
      <c r="N8" s="34">
        <v>1.0722291407222899</v>
      </c>
      <c r="O8" s="34">
        <v>1.0913821229076099</v>
      </c>
      <c r="R8" s="33">
        <v>43.818992234740698</v>
      </c>
      <c r="U8" s="15">
        <v>1.77051051911702E-2</v>
      </c>
      <c r="X8" s="34">
        <v>1.0722291407222899</v>
      </c>
      <c r="Y8" s="34">
        <v>1.0913821229076099</v>
      </c>
      <c r="AB8" s="33">
        <v>43.818992234740698</v>
      </c>
      <c r="AE8" s="15">
        <v>1.77051051911702E-2</v>
      </c>
      <c r="AG8"/>
      <c r="AI8" s="4">
        <f t="shared" si="2"/>
        <v>-1.5000000000000001E-2</v>
      </c>
      <c r="AJ8" s="10">
        <v>1.9616823243040391</v>
      </c>
      <c r="AK8" s="11">
        <v>3.1077114993062742</v>
      </c>
      <c r="AL8" s="11">
        <v>2.0981783325062788</v>
      </c>
      <c r="AM8" s="11">
        <v>1.6804693629426968</v>
      </c>
      <c r="AN8" s="11">
        <v>1.5433299815442905</v>
      </c>
      <c r="AO8" s="11">
        <v>0.99939910484424654</v>
      </c>
      <c r="AP8" s="11">
        <v>0.39445910759858716</v>
      </c>
      <c r="AQ8" s="11">
        <v>-0.47375691374083956</v>
      </c>
      <c r="AR8"/>
      <c r="AT8" s="4">
        <f t="shared" si="3"/>
        <v>1.5000000000000001E-2</v>
      </c>
      <c r="AU8" s="10">
        <v>2.303534683599449</v>
      </c>
      <c r="AV8" s="11">
        <v>1.7331559670122094</v>
      </c>
      <c r="AW8" s="11">
        <v>0.64630296483069105</v>
      </c>
      <c r="AX8" s="11">
        <v>-0.34228870266827</v>
      </c>
      <c r="AY8" s="11">
        <v>0.58947664317000814</v>
      </c>
      <c r="AZ8" s="11">
        <v>-0.11832993131497398</v>
      </c>
      <c r="BA8" s="11">
        <v>0.42304264338380759</v>
      </c>
      <c r="BB8" s="11">
        <v>0.62389126575826992</v>
      </c>
      <c r="BC8"/>
    </row>
    <row r="9" spans="1:130" x14ac:dyDescent="0.25">
      <c r="A9" s="1">
        <v>46035</v>
      </c>
      <c r="B9" s="33">
        <v>40.119999999999997</v>
      </c>
      <c r="C9" s="33">
        <v>43</v>
      </c>
      <c r="D9" s="15">
        <v>-7.4747729903594496E-4</v>
      </c>
      <c r="E9" s="15">
        <v>-1.1621151801772601E-3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40.119999999999997</v>
      </c>
      <c r="M9" s="33">
        <v>43</v>
      </c>
      <c r="N9" s="34">
        <v>1.0717846460618099</v>
      </c>
      <c r="O9" s="34">
        <v>1.0913821229076099</v>
      </c>
      <c r="R9" s="33">
        <v>43.786250771053503</v>
      </c>
      <c r="U9" s="15">
        <v>1.8119743072311501E-2</v>
      </c>
      <c r="X9" s="34">
        <v>1.0717846460618099</v>
      </c>
      <c r="Y9" s="34">
        <v>1.0913821229076099</v>
      </c>
      <c r="AB9" s="33">
        <v>43.786250771053503</v>
      </c>
      <c r="AE9" s="15">
        <v>1.8119743072311501E-2</v>
      </c>
      <c r="AF9"/>
      <c r="AI9" s="4">
        <f t="shared" si="2"/>
        <v>-1.7500000000000002E-2</v>
      </c>
      <c r="AJ9" s="10">
        <v>1.9616823243040391</v>
      </c>
      <c r="AK9" s="11">
        <v>3.1077114993062742</v>
      </c>
      <c r="AL9" s="11">
        <v>2.0981783325062788</v>
      </c>
      <c r="AM9" s="11">
        <v>1.6804693629426968</v>
      </c>
      <c r="AN9" s="11">
        <v>1.5433299815442905</v>
      </c>
      <c r="AO9" s="11">
        <v>0.99939910484424654</v>
      </c>
      <c r="AP9" s="11">
        <v>0.39445910759858716</v>
      </c>
      <c r="AQ9" s="11">
        <v>-0.1011665634488209</v>
      </c>
      <c r="AR9"/>
      <c r="AT9" s="4">
        <f t="shared" si="3"/>
        <v>1.7500000000000002E-2</v>
      </c>
      <c r="AU9" s="10">
        <v>2.303534683599449</v>
      </c>
      <c r="AV9" s="10">
        <v>1.7331559670122094</v>
      </c>
      <c r="AW9" s="10">
        <v>0.64630296483069105</v>
      </c>
      <c r="AX9" s="10">
        <v>-0.34228870266827</v>
      </c>
      <c r="AY9" s="10">
        <v>0.58947664317000814</v>
      </c>
      <c r="AZ9" s="10">
        <v>-0.11832993131497398</v>
      </c>
      <c r="BA9" s="10">
        <v>0.42304264338380759</v>
      </c>
      <c r="BB9" s="10">
        <v>0.85196977998630652</v>
      </c>
      <c r="BC9"/>
    </row>
    <row r="10" spans="1:130" x14ac:dyDescent="0.25">
      <c r="A10" s="1">
        <v>46036</v>
      </c>
      <c r="B10" s="33">
        <v>40.29</v>
      </c>
      <c r="C10" s="33">
        <v>43.34</v>
      </c>
      <c r="D10" s="15">
        <v>4.2283361095210997E-3</v>
      </c>
      <c r="E10" s="15">
        <v>7.8758804146506801E-3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40.29</v>
      </c>
      <c r="M10" s="33">
        <v>43.34</v>
      </c>
      <c r="N10" s="34">
        <v>1.07570116654256</v>
      </c>
      <c r="O10" s="34">
        <v>1.0913821229076099</v>
      </c>
      <c r="R10" s="33">
        <v>43.971785731947797</v>
      </c>
      <c r="U10" s="15">
        <v>1.4472198767182001E-2</v>
      </c>
      <c r="X10" s="34">
        <v>1.07570116654256</v>
      </c>
      <c r="Y10" s="34">
        <v>1.0913821229076099</v>
      </c>
      <c r="AB10" s="33">
        <v>43.971785731947797</v>
      </c>
      <c r="AE10" s="15">
        <v>1.4472198767182001E-2</v>
      </c>
      <c r="AF10"/>
      <c r="AI10" s="13" t="s">
        <v>14</v>
      </c>
      <c r="AJ10"/>
      <c r="AK10"/>
      <c r="AL10"/>
      <c r="AM10"/>
      <c r="AN10"/>
      <c r="AO10"/>
      <c r="AP10"/>
      <c r="AQ10"/>
      <c r="AR10"/>
      <c r="AT10" s="13" t="s">
        <v>14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40.130000000000003</v>
      </c>
      <c r="C11" s="33">
        <v>43.19</v>
      </c>
      <c r="D11" s="15">
        <v>-3.9791149244304399E-3</v>
      </c>
      <c r="E11" s="15">
        <v>-3.4670091356033398E-3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40.130000000000003</v>
      </c>
      <c r="M11" s="33">
        <v>43.19</v>
      </c>
      <c r="N11" s="34">
        <v>1.07625218041365</v>
      </c>
      <c r="O11" s="34">
        <v>1.0913821229076099</v>
      </c>
      <c r="P11" s="34">
        <v>1.0765895457098</v>
      </c>
      <c r="R11" s="33">
        <v>43.797164592282599</v>
      </c>
      <c r="U11" s="15">
        <v>1.39600929783551E-2</v>
      </c>
      <c r="X11" s="34">
        <v>1.07625218041365</v>
      </c>
      <c r="Y11" s="34">
        <v>1.0913821229076099</v>
      </c>
      <c r="Z11" s="34">
        <v>1.0765895457098</v>
      </c>
      <c r="AB11" s="33">
        <v>43.797164592282599</v>
      </c>
      <c r="AE11" s="15">
        <v>1.39600929783551E-2</v>
      </c>
      <c r="AL11" s="16" t="s">
        <v>15</v>
      </c>
      <c r="AM11" s="16" t="s">
        <v>16</v>
      </c>
      <c r="AW11" s="16" t="s">
        <v>15</v>
      </c>
      <c r="AX11" s="16" t="s">
        <v>16</v>
      </c>
    </row>
    <row r="12" spans="1:130" x14ac:dyDescent="0.25">
      <c r="A12" s="1">
        <v>46038</v>
      </c>
      <c r="B12" s="33">
        <v>40.07</v>
      </c>
      <c r="C12" s="33">
        <v>43.27</v>
      </c>
      <c r="D12" s="15">
        <v>-1.4962596307721799E-3</v>
      </c>
      <c r="E12" s="15">
        <v>1.8505672641837799E-3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40.07</v>
      </c>
      <c r="M12" s="33">
        <v>43.27</v>
      </c>
      <c r="N12" s="34">
        <v>1.07986024457199</v>
      </c>
      <c r="O12" s="34">
        <v>1.0913821229076099</v>
      </c>
      <c r="P12" s="34">
        <v>1.0768234377033801</v>
      </c>
      <c r="R12" s="33">
        <v>43.731681664908102</v>
      </c>
      <c r="S12" s="33">
        <v>43.138943096591802</v>
      </c>
      <c r="U12" s="15">
        <v>1.0613266083398999E-2</v>
      </c>
      <c r="V12" s="15">
        <v>-3.0334129594895799E-3</v>
      </c>
      <c r="X12" s="34">
        <v>1.07986024457199</v>
      </c>
      <c r="Y12" s="34">
        <v>1.0913821229076099</v>
      </c>
      <c r="Z12" s="34">
        <v>1.0768234377033801</v>
      </c>
      <c r="AB12" s="33">
        <v>43.731681664908102</v>
      </c>
      <c r="AC12" s="33">
        <v>43.138943096591802</v>
      </c>
      <c r="AE12" s="15">
        <v>1.0613266083398999E-2</v>
      </c>
      <c r="AF12" s="15">
        <v>-3.0334129594895799E-3</v>
      </c>
      <c r="AK12" s="17">
        <v>2.5000000000000001E-3</v>
      </c>
      <c r="AL12" s="18" t="s">
        <v>17</v>
      </c>
      <c r="AM12" s="19" t="s">
        <v>18</v>
      </c>
      <c r="AV12" s="17">
        <v>2.5000000000000001E-3</v>
      </c>
      <c r="AW12" s="18" t="s">
        <v>19</v>
      </c>
      <c r="AX12" s="19" t="s">
        <v>20</v>
      </c>
    </row>
    <row r="13" spans="1:130" x14ac:dyDescent="0.25">
      <c r="A13" s="1">
        <v>46042</v>
      </c>
      <c r="B13" s="33">
        <v>39.39</v>
      </c>
      <c r="C13" s="33">
        <v>42.47</v>
      </c>
      <c r="D13" s="15">
        <v>-1.71159476652386E-2</v>
      </c>
      <c r="E13" s="15">
        <v>-1.86616099116137E-2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39.39</v>
      </c>
      <c r="M13" s="33">
        <v>42.47</v>
      </c>
      <c r="N13" s="34">
        <v>1.07819243462807</v>
      </c>
      <c r="O13" s="34">
        <v>1.0913821229076099</v>
      </c>
      <c r="P13" s="34">
        <v>1.0763960432570201</v>
      </c>
      <c r="R13" s="33">
        <v>42.989541821330903</v>
      </c>
      <c r="S13" s="33">
        <v>42.416075211136103</v>
      </c>
      <c r="U13" s="15">
        <v>1.21589283297739E-2</v>
      </c>
      <c r="V13" s="15">
        <v>-1.2705216016542099E-3</v>
      </c>
      <c r="X13" s="34">
        <v>1.07819243462807</v>
      </c>
      <c r="Y13" s="34">
        <v>1.0913821229076099</v>
      </c>
      <c r="Z13" s="34">
        <v>1.0763960432570201</v>
      </c>
      <c r="AB13" s="33">
        <v>42.989541821330903</v>
      </c>
      <c r="AC13" s="33">
        <v>42.416075211136103</v>
      </c>
      <c r="AE13" s="15">
        <v>1.21589283297739E-2</v>
      </c>
      <c r="AF13" s="15">
        <v>-1.2705216016542099E-3</v>
      </c>
    </row>
    <row r="14" spans="1:130" x14ac:dyDescent="0.25">
      <c r="A14" s="1">
        <v>46043</v>
      </c>
      <c r="B14" s="33">
        <v>39.159999999999997</v>
      </c>
      <c r="C14" s="33">
        <v>42.52</v>
      </c>
      <c r="D14" s="15">
        <v>-5.8561593205049903E-3</v>
      </c>
      <c r="E14" s="15">
        <v>1.1766091485674701E-3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39.159999999999997</v>
      </c>
      <c r="M14" s="33">
        <v>42.52</v>
      </c>
      <c r="N14" s="34">
        <v>1.0858018386108199</v>
      </c>
      <c r="O14" s="34">
        <v>1.0913821229076099</v>
      </c>
      <c r="P14" s="34">
        <v>1.0768098563344399</v>
      </c>
      <c r="R14" s="33">
        <v>42.738523933062197</v>
      </c>
      <c r="S14" s="33">
        <v>42.151669053945199</v>
      </c>
      <c r="U14" s="15">
        <v>5.1261598607015403E-3</v>
      </c>
      <c r="V14" s="15">
        <v>-8.7002718514923097E-3</v>
      </c>
      <c r="X14" s="34">
        <v>1.0858018386108199</v>
      </c>
      <c r="Y14" s="34">
        <v>1.0913821229076099</v>
      </c>
      <c r="Z14" s="34">
        <v>1.0768098563344399</v>
      </c>
      <c r="AB14" s="33">
        <v>42.738523933062197</v>
      </c>
      <c r="AC14" s="33">
        <v>42.151669053945199</v>
      </c>
      <c r="AE14" s="15">
        <v>5.1261598607015403E-3</v>
      </c>
      <c r="AF14" s="15">
        <v>-8.7002718514923097E-3</v>
      </c>
      <c r="AQ14" s="20">
        <f>AVERAGE(AQ22:AQ176)</f>
        <v>2.0867970573751874E-4</v>
      </c>
      <c r="AR14" s="21" t="s">
        <v>21</v>
      </c>
      <c r="BB14" s="20">
        <f>AVERAGE(BB22:BB176)</f>
        <v>2.0580818716628429E-4</v>
      </c>
      <c r="BC14" s="21" t="s">
        <v>21</v>
      </c>
      <c r="BD14" s="22"/>
      <c r="BE14" s="20">
        <f>AVERAGE(BE22:BE176)</f>
        <v>4.1448789290380315E-4</v>
      </c>
      <c r="BF14" s="21" t="s">
        <v>21</v>
      </c>
    </row>
    <row r="15" spans="1:130" x14ac:dyDescent="0.25">
      <c r="A15" s="1">
        <v>46044</v>
      </c>
      <c r="B15" s="33">
        <v>39.590000000000003</v>
      </c>
      <c r="C15" s="33">
        <v>42.75</v>
      </c>
      <c r="D15" s="15">
        <v>1.0920743455729701E-2</v>
      </c>
      <c r="E15" s="15">
        <v>5.3946419090220099E-3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39.590000000000003</v>
      </c>
      <c r="M15" s="33">
        <v>42.75</v>
      </c>
      <c r="N15" s="34">
        <v>1.0798181358929</v>
      </c>
      <c r="O15" s="34">
        <v>1.0913821229076099</v>
      </c>
      <c r="P15" s="34">
        <v>1.0767967460658601</v>
      </c>
      <c r="R15" s="33">
        <v>43.207818245912499</v>
      </c>
      <c r="S15" s="33">
        <v>42.630902212280603</v>
      </c>
      <c r="U15" s="15">
        <v>1.0652261407409399E-2</v>
      </c>
      <c r="V15" s="15">
        <v>-2.7898010416416599E-3</v>
      </c>
      <c r="X15" s="34">
        <v>1.0798181358929</v>
      </c>
      <c r="Y15" s="34">
        <v>1.0913821229076099</v>
      </c>
      <c r="Z15" s="34">
        <v>1.0767967460658601</v>
      </c>
      <c r="AB15" s="33">
        <v>43.207818245912499</v>
      </c>
      <c r="AC15" s="33">
        <v>42.630902212280603</v>
      </c>
      <c r="AE15" s="15">
        <v>1.0652261407409399E-2</v>
      </c>
      <c r="AF15" s="15">
        <v>-2.7898010416416599E-3</v>
      </c>
      <c r="AQ15" s="20">
        <f>STDEV(AQ22:AQ176)</f>
        <v>2.3642267765379321E-3</v>
      </c>
      <c r="AR15" s="21" t="s">
        <v>22</v>
      </c>
      <c r="BB15" s="20">
        <f>STDEV(BB22:BB176)</f>
        <v>2.6161333118812522E-3</v>
      </c>
      <c r="BC15" s="21" t="s">
        <v>22</v>
      </c>
      <c r="BD15" s="22"/>
      <c r="BE15" s="20">
        <f>STDEV(BE22:BE176)</f>
        <v>3.5138679551787663E-3</v>
      </c>
      <c r="BF15" s="21" t="s">
        <v>22</v>
      </c>
    </row>
    <row r="16" spans="1:130" x14ac:dyDescent="0.25">
      <c r="A16" s="1">
        <v>46045</v>
      </c>
      <c r="B16" s="33">
        <v>39.590000000000003</v>
      </c>
      <c r="C16" s="33">
        <v>42.71</v>
      </c>
      <c r="D16" s="15">
        <v>0</v>
      </c>
      <c r="E16" s="15">
        <v>-9.3611052939411305E-4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39.590000000000003</v>
      </c>
      <c r="M16" s="33">
        <v>42.71</v>
      </c>
      <c r="N16" s="34">
        <v>1.0788077797423501</v>
      </c>
      <c r="O16" s="34">
        <v>1.0913821229076099</v>
      </c>
      <c r="P16" s="34">
        <v>1.07715331246821</v>
      </c>
      <c r="R16" s="33">
        <v>43.207818245912499</v>
      </c>
      <c r="S16" s="33">
        <v>42.6303831767476</v>
      </c>
      <c r="U16" s="15">
        <v>1.15883719368033E-2</v>
      </c>
      <c r="V16" s="15">
        <v>-1.8658656871967201E-3</v>
      </c>
      <c r="X16" s="34">
        <v>1.0788077797423501</v>
      </c>
      <c r="Y16" s="34">
        <v>1.0913821229076099</v>
      </c>
      <c r="Z16" s="34">
        <v>1.07715331246821</v>
      </c>
      <c r="AB16" s="33">
        <v>43.207818245912499</v>
      </c>
      <c r="AC16" s="33">
        <v>42.6303831767476</v>
      </c>
      <c r="AE16" s="15">
        <v>1.15883719368033E-2</v>
      </c>
      <c r="AF16" s="15">
        <v>-1.8658656871967201E-3</v>
      </c>
      <c r="AQ16" s="23">
        <f>SQRT(252)*AQ14/AQ15</f>
        <v>1.4011716909562417</v>
      </c>
      <c r="AR16" s="21" t="s">
        <v>23</v>
      </c>
      <c r="BB16" s="23">
        <f>SQRT(252)*BB14/BB15</f>
        <v>1.2488292057979176</v>
      </c>
      <c r="BC16" s="21" t="s">
        <v>23</v>
      </c>
      <c r="BD16" s="22"/>
      <c r="BE16" s="23">
        <f>SQRT(252)*BE14/BE15</f>
        <v>1.8725209371417821</v>
      </c>
      <c r="BF16" s="21" t="s">
        <v>23</v>
      </c>
    </row>
    <row r="17" spans="1:124" x14ac:dyDescent="0.25">
      <c r="A17" s="1">
        <v>46048</v>
      </c>
      <c r="B17" s="33">
        <v>39.36</v>
      </c>
      <c r="C17" s="33">
        <v>42.83</v>
      </c>
      <c r="D17" s="15">
        <v>-5.8264889339866496E-3</v>
      </c>
      <c r="E17" s="15">
        <v>2.8057067739044599E-3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39.36</v>
      </c>
      <c r="M17" s="33">
        <v>42.83</v>
      </c>
      <c r="N17" s="34">
        <v>1.0881605691056899</v>
      </c>
      <c r="O17" s="34">
        <v>1.0913821229076099</v>
      </c>
      <c r="P17" s="34">
        <v>1.07866081362921</v>
      </c>
      <c r="R17" s="33">
        <v>42.956800357643701</v>
      </c>
      <c r="S17" s="33">
        <v>42.396754378748803</v>
      </c>
      <c r="U17" s="15">
        <v>2.9561762289123201E-3</v>
      </c>
      <c r="V17" s="15">
        <v>-1.01669799903074E-2</v>
      </c>
      <c r="X17" s="34">
        <v>1.0881605691056899</v>
      </c>
      <c r="Y17" s="34">
        <v>1.0913821229076099</v>
      </c>
      <c r="Z17" s="34">
        <v>1.07866081362921</v>
      </c>
      <c r="AB17" s="33">
        <v>42.956800357643701</v>
      </c>
      <c r="AC17" s="33">
        <v>42.396754378748803</v>
      </c>
      <c r="AE17" s="15">
        <v>2.9561762289123201E-3</v>
      </c>
      <c r="AF17" s="15">
        <v>-1.01669799903074E-2</v>
      </c>
    </row>
    <row r="18" spans="1:124" x14ac:dyDescent="0.25">
      <c r="A18" s="1">
        <v>46049</v>
      </c>
      <c r="B18" s="33">
        <v>39.65</v>
      </c>
      <c r="C18" s="33">
        <v>43.21</v>
      </c>
      <c r="D18" s="15">
        <v>7.3408758968042699E-3</v>
      </c>
      <c r="E18" s="15">
        <v>8.8331583165621903E-3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39.65</v>
      </c>
      <c r="M18" s="33">
        <v>43.21</v>
      </c>
      <c r="N18" s="34">
        <v>1.08978562421185</v>
      </c>
      <c r="O18" s="34">
        <v>1.0913821229076099</v>
      </c>
      <c r="P18" s="34">
        <v>1.08041646197817</v>
      </c>
      <c r="R18" s="33">
        <v>43.273301173286903</v>
      </c>
      <c r="S18" s="33">
        <v>42.768901260398501</v>
      </c>
      <c r="U18" s="15">
        <v>1.46389380915446E-3</v>
      </c>
      <c r="V18" s="15">
        <v>-1.0260717527674899E-2</v>
      </c>
      <c r="X18" s="34">
        <v>1.08978562421185</v>
      </c>
      <c r="Y18" s="34">
        <v>1.0913821229076099</v>
      </c>
      <c r="Z18" s="34">
        <v>1.08041646197817</v>
      </c>
      <c r="AB18" s="33">
        <v>43.273301173286903</v>
      </c>
      <c r="AC18" s="33">
        <v>42.768901260398501</v>
      </c>
      <c r="AE18" s="15">
        <v>1.46389380915446E-3</v>
      </c>
      <c r="AF18" s="15">
        <v>-1.0260717527674899E-2</v>
      </c>
      <c r="BE18" s="24">
        <f>SUM(BE22:BE176)</f>
        <v>6.4245623400089491E-2</v>
      </c>
      <c r="BF18" s="20">
        <f>BF176</f>
        <v>6.4245623400089491E-2</v>
      </c>
    </row>
    <row r="19" spans="1:124" x14ac:dyDescent="0.25">
      <c r="A19" s="1">
        <v>46050</v>
      </c>
      <c r="B19" s="33">
        <v>39.479999999999997</v>
      </c>
      <c r="C19" s="33">
        <v>43.55</v>
      </c>
      <c r="D19" s="15">
        <v>-4.2967335155761899E-3</v>
      </c>
      <c r="E19" s="15">
        <v>7.8377533546699404E-3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39.479999999999997</v>
      </c>
      <c r="M19" s="33">
        <v>43.55</v>
      </c>
      <c r="N19" s="34">
        <v>1.1030901722391</v>
      </c>
      <c r="O19" s="34">
        <v>1.0913821229076099</v>
      </c>
      <c r="P19" s="34">
        <v>1.0835470145959001</v>
      </c>
      <c r="R19" s="33">
        <v>43.087766212392602</v>
      </c>
      <c r="S19" s="33">
        <v>42.654841918898299</v>
      </c>
      <c r="U19" s="15">
        <v>-1.06705930610916E-2</v>
      </c>
      <c r="V19" s="15">
        <v>-2.0768908983911202E-2</v>
      </c>
      <c r="X19" s="34">
        <v>1.1030901722391</v>
      </c>
      <c r="Y19" s="34">
        <v>1.0913821229076099</v>
      </c>
      <c r="Z19" s="34">
        <v>1.0835470145959001</v>
      </c>
      <c r="AB19" s="33">
        <v>43.087766212392602</v>
      </c>
      <c r="AC19" s="33">
        <v>42.654841918898299</v>
      </c>
      <c r="AE19" s="15">
        <v>-1.06705930610916E-2</v>
      </c>
      <c r="AF19" s="15">
        <v>-2.0768908983911202E-2</v>
      </c>
      <c r="AI19" s="12"/>
      <c r="AJ19"/>
      <c r="AK19"/>
      <c r="AL19"/>
      <c r="AM19"/>
      <c r="AN19"/>
      <c r="AO19"/>
      <c r="AP19"/>
      <c r="AQ19" s="24">
        <f>SUM(AQ22:AQ176)</f>
        <v>3.2345354389315406E-2</v>
      </c>
      <c r="AR19" s="24">
        <f>AR176</f>
        <v>3.2345354389315406E-2</v>
      </c>
      <c r="AU19"/>
      <c r="AV19"/>
      <c r="AW19"/>
      <c r="AX19"/>
      <c r="AY19"/>
      <c r="AZ19"/>
      <c r="BA19"/>
      <c r="BB19" s="24">
        <f>SUM(BB22:BB176)</f>
        <v>3.1900269010774064E-2</v>
      </c>
      <c r="BC19" s="24">
        <f>BC176</f>
        <v>3.1900269010774064E-2</v>
      </c>
      <c r="BE19" s="7" t="s">
        <v>24</v>
      </c>
      <c r="BF19" s="7" t="s">
        <v>24</v>
      </c>
      <c r="BH19" s="7"/>
    </row>
    <row r="20" spans="1:124" x14ac:dyDescent="0.25">
      <c r="A20" s="1">
        <v>46051</v>
      </c>
      <c r="B20" s="33">
        <v>40.03</v>
      </c>
      <c r="C20" s="33">
        <v>43.99</v>
      </c>
      <c r="D20" s="15">
        <v>1.3834958439201499E-2</v>
      </c>
      <c r="E20" s="15">
        <v>1.0052632062116601E-2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40.03</v>
      </c>
      <c r="M20" s="33">
        <v>43.99</v>
      </c>
      <c r="N20" s="34">
        <v>1.09892580564576</v>
      </c>
      <c r="O20" s="34">
        <v>1.0913821229076099</v>
      </c>
      <c r="P20" s="34">
        <v>1.08586947850622</v>
      </c>
      <c r="R20" s="33">
        <v>43.688026379991797</v>
      </c>
      <c r="S20" s="33">
        <v>43.374386994273998</v>
      </c>
      <c r="U20" s="15">
        <v>-6.8882666840068803E-3</v>
      </c>
      <c r="V20" s="15">
        <v>-1.40932298903247E-2</v>
      </c>
      <c r="X20" s="34">
        <v>1.09892580564576</v>
      </c>
      <c r="Y20" s="34">
        <v>1.0913821229076099</v>
      </c>
      <c r="Z20" s="34">
        <v>1.08586947850622</v>
      </c>
      <c r="AB20" s="33">
        <v>43.688026379991797</v>
      </c>
      <c r="AC20" s="33">
        <v>43.374386994273998</v>
      </c>
      <c r="AE20" s="15">
        <v>-6.8882666840068803E-3</v>
      </c>
      <c r="AF20" s="15">
        <v>-1.40932298903247E-2</v>
      </c>
      <c r="AI20" s="25" t="s">
        <v>25</v>
      </c>
      <c r="AJ20" s="7" t="s">
        <v>26</v>
      </c>
      <c r="AK20" s="7" t="s">
        <v>27</v>
      </c>
      <c r="AL20" s="7" t="s">
        <v>28</v>
      </c>
      <c r="AM20" s="7" t="s">
        <v>29</v>
      </c>
      <c r="AN20" s="7" t="s">
        <v>30</v>
      </c>
      <c r="AO20" s="7" t="str">
        <f>D1</f>
        <v>BATRK log rtn</v>
      </c>
      <c r="AP20" s="7" t="str">
        <f>E1</f>
        <v>BATRA log rtn</v>
      </c>
      <c r="AQ20" s="7" t="s">
        <v>31</v>
      </c>
      <c r="AR20" s="7" t="s">
        <v>32</v>
      </c>
      <c r="AT20" s="25" t="s">
        <v>25</v>
      </c>
      <c r="AU20" s="7" t="s">
        <v>27</v>
      </c>
      <c r="AV20" s="7" t="s">
        <v>26</v>
      </c>
      <c r="AW20" s="7" t="s">
        <v>28</v>
      </c>
      <c r="AX20" s="7" t="s">
        <v>29</v>
      </c>
      <c r="AY20" s="7" t="s">
        <v>30</v>
      </c>
      <c r="AZ20" s="24" t="str">
        <f>D1</f>
        <v>BATRK log rtn</v>
      </c>
      <c r="BA20" s="24" t="str">
        <f>E1</f>
        <v>BATRA log rtn</v>
      </c>
      <c r="BB20" s="7" t="s">
        <v>31</v>
      </c>
      <c r="BC20" s="7" t="s">
        <v>32</v>
      </c>
      <c r="BE20" s="7" t="s">
        <v>31</v>
      </c>
      <c r="BF20" s="7" t="s">
        <v>32</v>
      </c>
      <c r="BH20" s="7"/>
    </row>
    <row r="21" spans="1:124" x14ac:dyDescent="0.25">
      <c r="A21" s="1">
        <v>46052</v>
      </c>
      <c r="B21" s="33">
        <v>39.93</v>
      </c>
      <c r="C21" s="33">
        <v>44.02</v>
      </c>
      <c r="D21" s="15">
        <v>-2.50125192935227E-3</v>
      </c>
      <c r="E21" s="15">
        <v>6.81740737687181E-4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39.93</v>
      </c>
      <c r="M21" s="33">
        <v>44.02</v>
      </c>
      <c r="N21" s="34">
        <v>1.1024292511895799</v>
      </c>
      <c r="O21" s="34">
        <v>1.0913821229076099</v>
      </c>
      <c r="P21" s="34">
        <v>1.0884871855838101</v>
      </c>
      <c r="Q21" s="34">
        <v>1.0825383656468099</v>
      </c>
      <c r="R21" s="33">
        <v>43.578888167701002</v>
      </c>
      <c r="S21" s="33">
        <v>43.358768276753501</v>
      </c>
      <c r="U21" s="15">
        <v>-1.00712593510463E-2</v>
      </c>
      <c r="V21" s="15">
        <v>-1.51351262718493E-2</v>
      </c>
      <c r="X21" s="34">
        <v>1.1024292511895799</v>
      </c>
      <c r="Y21" s="34">
        <v>1.0913821229076099</v>
      </c>
      <c r="Z21" s="34">
        <v>1.0884871855838101</v>
      </c>
      <c r="AA21" s="34">
        <v>1.0825383656468099</v>
      </c>
      <c r="AB21" s="33">
        <v>43.578888167701002</v>
      </c>
      <c r="AC21" s="33">
        <v>43.358768276753501</v>
      </c>
      <c r="AE21" s="15">
        <v>-1.00712593510463E-2</v>
      </c>
      <c r="AF21" s="15">
        <v>-1.51351262718493E-2</v>
      </c>
      <c r="AI21" s="26">
        <v>-0.01</v>
      </c>
      <c r="AJ21"/>
      <c r="AK21"/>
      <c r="AL21"/>
      <c r="AM21">
        <f t="shared" ref="AM21:AM84" si="4">IF(F22+H22&gt;0,0,1)</f>
        <v>1</v>
      </c>
      <c r="AN21" s="27">
        <v>0</v>
      </c>
      <c r="AO21"/>
      <c r="AP21"/>
      <c r="AQ21"/>
      <c r="AR21"/>
      <c r="AT21" s="26">
        <v>1.4999999999999999E-2</v>
      </c>
      <c r="AU21"/>
      <c r="AV21"/>
      <c r="AW21"/>
      <c r="AX21">
        <f t="shared" ref="AX21:AX84" si="5">IF(F22+H22&gt;0,0,1)</f>
        <v>1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40.1</v>
      </c>
      <c r="C22" s="33">
        <v>44.28</v>
      </c>
      <c r="D22" s="15">
        <v>4.2484132373935496E-3</v>
      </c>
      <c r="E22" s="15">
        <v>5.88903174212048E-3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40.1</v>
      </c>
      <c r="M22" s="33">
        <v>44.28</v>
      </c>
      <c r="N22" s="34">
        <v>1.10423940149625</v>
      </c>
      <c r="O22" s="34">
        <v>1.0913821229076099</v>
      </c>
      <c r="P22" s="34">
        <v>1.09092510127624</v>
      </c>
      <c r="Q22" s="34">
        <v>1.08387426948981</v>
      </c>
      <c r="R22" s="33">
        <v>43.764423128595297</v>
      </c>
      <c r="S22" s="33">
        <v>43.648336141911003</v>
      </c>
      <c r="T22" s="33">
        <v>43.409788462437099</v>
      </c>
      <c r="U22" s="15">
        <v>-1.17118778557732E-2</v>
      </c>
      <c r="V22" s="15">
        <v>-1.4367944450617899E-2</v>
      </c>
      <c r="W22" s="15">
        <v>-1.98481515553867E-2</v>
      </c>
      <c r="X22" s="34">
        <v>1.10423940149625</v>
      </c>
      <c r="Y22" s="34">
        <v>1.0913821229076099</v>
      </c>
      <c r="Z22" s="34">
        <v>1.09092510127624</v>
      </c>
      <c r="AA22" s="34">
        <v>1.08387426948981</v>
      </c>
      <c r="AB22" s="33">
        <v>43.764423128595297</v>
      </c>
      <c r="AC22" s="33">
        <v>43.648336141911003</v>
      </c>
      <c r="AD22" s="33">
        <v>43.409788462437099</v>
      </c>
      <c r="AE22" s="15">
        <v>-1.17118778557732E-2</v>
      </c>
      <c r="AF22" s="15">
        <v>-1.4367944450617899E-2</v>
      </c>
      <c r="AG22" s="15">
        <v>-1.98481515553867E-2</v>
      </c>
      <c r="AI22" s="26">
        <v>-2.5000000000000001E-3</v>
      </c>
      <c r="AJ22">
        <f t="shared" ref="AJ22:AJ85" si="6">IF($AG22&lt;AI$21,1,0)</f>
        <v>1</v>
      </c>
      <c r="AK22">
        <f t="shared" ref="AK22:AK85" si="7">IF($AG22&gt;AI$22,1,0)</f>
        <v>0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2.5000000000000001E-3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39.590000000000003</v>
      </c>
      <c r="C23" s="33">
        <v>43.79</v>
      </c>
      <c r="D23" s="15">
        <v>-1.27997731944842E-2</v>
      </c>
      <c r="E23" s="15">
        <v>-1.11276270271291E-2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39.590000000000003</v>
      </c>
      <c r="M23" s="33">
        <v>43.79</v>
      </c>
      <c r="N23" s="34">
        <v>1.1060873958070201</v>
      </c>
      <c r="O23" s="34">
        <v>1.0913821229076099</v>
      </c>
      <c r="P23" s="34">
        <v>1.09371459739413</v>
      </c>
      <c r="Q23" s="34">
        <v>1.0850553203255799</v>
      </c>
      <c r="R23" s="33">
        <v>43.207818245912499</v>
      </c>
      <c r="S23" s="33">
        <v>43.189724759526399</v>
      </c>
      <c r="T23" s="33">
        <v>42.910582329101601</v>
      </c>
      <c r="U23" s="15">
        <v>-1.3384024023128299E-2</v>
      </c>
      <c r="V23" s="15">
        <v>-1.3802866643442701E-2</v>
      </c>
      <c r="W23" s="15">
        <v>-2.0287010960413701E-2</v>
      </c>
      <c r="X23" s="34">
        <v>1.1060873958070201</v>
      </c>
      <c r="Y23" s="34">
        <v>1.0913821229076099</v>
      </c>
      <c r="Z23" s="34">
        <v>1.09371459739413</v>
      </c>
      <c r="AA23" s="34">
        <v>1.0850553203255799</v>
      </c>
      <c r="AB23" s="33">
        <v>43.207818245912499</v>
      </c>
      <c r="AC23" s="33">
        <v>43.189724759526399</v>
      </c>
      <c r="AD23" s="33">
        <v>42.910582329101601</v>
      </c>
      <c r="AE23" s="15">
        <v>-1.3384024023128299E-2</v>
      </c>
      <c r="AF23" s="15">
        <v>-1.3802866643442701E-2</v>
      </c>
      <c r="AG23" s="15">
        <v>-2.0287010960413701E-2</v>
      </c>
      <c r="AI23" s="12"/>
      <c r="AJ23">
        <f t="shared" si="6"/>
        <v>1</v>
      </c>
      <c r="AK23">
        <f t="shared" si="7"/>
        <v>0</v>
      </c>
      <c r="AL23">
        <f t="shared" ref="AL23:AL86" si="14">AN23</f>
        <v>1</v>
      </c>
      <c r="AM23">
        <f t="shared" si="4"/>
        <v>1</v>
      </c>
      <c r="AN23">
        <f t="shared" ref="AN23:AN86" si="15">IF(AJ22,1,IF(AK22,0,AL22))*AM22</f>
        <v>1</v>
      </c>
      <c r="AO23" s="28">
        <f t="shared" si="8"/>
        <v>-1.27997731944842E-2</v>
      </c>
      <c r="AP23" s="28">
        <f t="shared" si="9"/>
        <v>1.11276270271291E-2</v>
      </c>
      <c r="AQ23" s="28">
        <f t="shared" ref="AQ23:AQ86" si="16">AO23+AP23</f>
        <v>-1.6721461673550996E-3</v>
      </c>
      <c r="AR23" s="29">
        <f t="shared" ref="AR23:AR86" si="17">AR22+AQ23</f>
        <v>-1.6721461673550996E-3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-1.6721461673550996E-3</v>
      </c>
      <c r="BF23" s="29">
        <f t="shared" ref="BF23:BF86" si="23">BF22+BE23</f>
        <v>-1.6721461673550996E-3</v>
      </c>
      <c r="BH23" s="29"/>
    </row>
    <row r="24" spans="1:124" x14ac:dyDescent="0.25">
      <c r="A24" s="1">
        <v>46057</v>
      </c>
      <c r="B24" s="33">
        <v>39.76</v>
      </c>
      <c r="C24" s="33">
        <v>44.06</v>
      </c>
      <c r="D24" s="15">
        <v>4.2848206703339697E-3</v>
      </c>
      <c r="E24" s="15">
        <v>6.1468605608900702E-3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39.76</v>
      </c>
      <c r="M24" s="33">
        <v>44.06</v>
      </c>
      <c r="N24" s="34">
        <v>1.10814889336016</v>
      </c>
      <c r="O24" s="34">
        <v>1.0913821229076099</v>
      </c>
      <c r="P24" s="34">
        <v>1.0959493028690701</v>
      </c>
      <c r="Q24" s="34">
        <v>1.0863795796017499</v>
      </c>
      <c r="R24" s="33">
        <v>43.393353206806701</v>
      </c>
      <c r="S24" s="33">
        <v>43.486092392390802</v>
      </c>
      <c r="T24" s="33">
        <v>43.141799536145101</v>
      </c>
      <c r="U24" s="15">
        <v>-1.52460639136844E-2</v>
      </c>
      <c r="V24" s="15">
        <v>-1.31111695167838E-2</v>
      </c>
      <c r="W24" s="15">
        <v>-2.10599874179754E-2</v>
      </c>
      <c r="X24" s="34">
        <v>1.10814889336016</v>
      </c>
      <c r="Y24" s="34">
        <v>1.0913821229076099</v>
      </c>
      <c r="Z24" s="34">
        <v>1.0959493028690701</v>
      </c>
      <c r="AA24" s="34">
        <v>1.0863795796017499</v>
      </c>
      <c r="AB24" s="33">
        <v>43.393353206806701</v>
      </c>
      <c r="AC24" s="33">
        <v>43.486092392390802</v>
      </c>
      <c r="AD24" s="33">
        <v>43.141799536145101</v>
      </c>
      <c r="AE24" s="15">
        <v>-1.52460639136844E-2</v>
      </c>
      <c r="AF24" s="15">
        <v>-1.31111695167838E-2</v>
      </c>
      <c r="AG24" s="15">
        <v>-2.10599874179754E-2</v>
      </c>
      <c r="AI24" s="12"/>
      <c r="AJ24">
        <f t="shared" si="6"/>
        <v>1</v>
      </c>
      <c r="AK24">
        <f t="shared" si="7"/>
        <v>0</v>
      </c>
      <c r="AL24">
        <f t="shared" si="14"/>
        <v>1</v>
      </c>
      <c r="AM24">
        <f t="shared" si="4"/>
        <v>1</v>
      </c>
      <c r="AN24">
        <f t="shared" si="15"/>
        <v>1</v>
      </c>
      <c r="AO24" s="28">
        <f t="shared" si="8"/>
        <v>4.2848206703339697E-3</v>
      </c>
      <c r="AP24" s="28">
        <f t="shared" si="9"/>
        <v>-6.1468605608900702E-3</v>
      </c>
      <c r="AQ24" s="28">
        <f t="shared" si="16"/>
        <v>-1.8620398905561004E-3</v>
      </c>
      <c r="AR24" s="29">
        <f t="shared" si="17"/>
        <v>-3.5341860579112001E-3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-1.8620398905561004E-3</v>
      </c>
      <c r="BF24" s="29">
        <f t="shared" si="23"/>
        <v>-3.5341860579112001E-3</v>
      </c>
      <c r="BH24" s="29"/>
    </row>
    <row r="25" spans="1:124" x14ac:dyDescent="0.25">
      <c r="A25" s="1">
        <v>46058</v>
      </c>
      <c r="B25" s="33">
        <v>39.32</v>
      </c>
      <c r="C25" s="33">
        <v>43.75</v>
      </c>
      <c r="D25" s="15">
        <v>-1.11280865094073E-2</v>
      </c>
      <c r="E25" s="15">
        <v>-7.0607285705736799E-3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39.32</v>
      </c>
      <c r="M25" s="33">
        <v>43.75</v>
      </c>
      <c r="N25" s="34">
        <v>1.11266531027466</v>
      </c>
      <c r="O25" s="34">
        <v>1.0913821229076099</v>
      </c>
      <c r="P25" s="34">
        <v>1.0992340203072399</v>
      </c>
      <c r="Q25" s="34">
        <v>1.08801538318655</v>
      </c>
      <c r="R25" s="33">
        <v>42.913145072727403</v>
      </c>
      <c r="S25" s="33">
        <v>43.0927265888118</v>
      </c>
      <c r="T25" s="33">
        <v>42.716445069941102</v>
      </c>
      <c r="U25" s="15">
        <v>-1.93134218525184E-2</v>
      </c>
      <c r="V25" s="15">
        <v>-1.5137386575021399E-2</v>
      </c>
      <c r="W25" s="15">
        <v>-2.3907636269152301E-2</v>
      </c>
      <c r="X25" s="34">
        <v>1.11266531027466</v>
      </c>
      <c r="Y25" s="34">
        <v>1.0913821229076099</v>
      </c>
      <c r="Z25" s="34">
        <v>1.0992340203072399</v>
      </c>
      <c r="AA25" s="34">
        <v>1.08801538318655</v>
      </c>
      <c r="AB25" s="33">
        <v>42.913145072727403</v>
      </c>
      <c r="AC25" s="33">
        <v>43.0927265888118</v>
      </c>
      <c r="AD25" s="33">
        <v>42.716445069941102</v>
      </c>
      <c r="AE25" s="15">
        <v>-1.93134218525184E-2</v>
      </c>
      <c r="AF25" s="15">
        <v>-1.5137386575021399E-2</v>
      </c>
      <c r="AG25" s="15">
        <v>-2.3907636269152301E-2</v>
      </c>
      <c r="AI25" s="12"/>
      <c r="AJ25">
        <f t="shared" si="6"/>
        <v>1</v>
      </c>
      <c r="AK25">
        <f t="shared" si="7"/>
        <v>0</v>
      </c>
      <c r="AL25">
        <f t="shared" si="14"/>
        <v>1</v>
      </c>
      <c r="AM25">
        <f t="shared" si="4"/>
        <v>1</v>
      </c>
      <c r="AN25">
        <f t="shared" si="15"/>
        <v>1</v>
      </c>
      <c r="AO25" s="28">
        <f t="shared" si="8"/>
        <v>-1.11280865094073E-2</v>
      </c>
      <c r="AP25" s="28">
        <f t="shared" si="9"/>
        <v>7.0607285705736799E-3</v>
      </c>
      <c r="AQ25" s="28">
        <f t="shared" si="16"/>
        <v>-4.06735793883362E-3</v>
      </c>
      <c r="AR25" s="29">
        <f t="shared" si="17"/>
        <v>-7.60154399674482E-3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-4.06735793883362E-3</v>
      </c>
      <c r="BF25" s="29">
        <f t="shared" si="23"/>
        <v>-7.60154399674482E-3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39.130000000000003</v>
      </c>
      <c r="C26" s="33">
        <v>43.42</v>
      </c>
      <c r="D26" s="15">
        <v>-4.8438590566446896E-3</v>
      </c>
      <c r="E26" s="15">
        <v>-7.5714483534775803E-3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39.130000000000003</v>
      </c>
      <c r="M26" s="33">
        <v>43.42</v>
      </c>
      <c r="N26" s="34">
        <v>1.1096345514950099</v>
      </c>
      <c r="O26" s="34">
        <v>1.0913821229076099</v>
      </c>
      <c r="P26" s="34">
        <v>1.10231669748251</v>
      </c>
      <c r="Q26" s="34">
        <v>1.08973500497536</v>
      </c>
      <c r="R26" s="33">
        <v>42.705782469374903</v>
      </c>
      <c r="S26" s="33">
        <v>43.013027214622497</v>
      </c>
      <c r="T26" s="33">
        <v>42.574041944089899</v>
      </c>
      <c r="U26" s="15">
        <v>-1.6585832555685399E-2</v>
      </c>
      <c r="V26" s="15">
        <v>-9.4171361596416796E-3</v>
      </c>
      <c r="W26" s="15">
        <v>-1.9675440935795301E-2</v>
      </c>
      <c r="X26" s="34">
        <v>1.1096345514950099</v>
      </c>
      <c r="Y26" s="34">
        <v>1.0913821229076099</v>
      </c>
      <c r="Z26" s="34">
        <v>1.10231669748251</v>
      </c>
      <c r="AA26" s="34">
        <v>1.08973500497536</v>
      </c>
      <c r="AB26" s="33">
        <v>42.705782469374903</v>
      </c>
      <c r="AC26" s="33">
        <v>43.013027214622497</v>
      </c>
      <c r="AD26" s="33">
        <v>42.574041944089899</v>
      </c>
      <c r="AE26" s="15">
        <v>-1.6585832555685399E-2</v>
      </c>
      <c r="AF26" s="15">
        <v>-9.4171361596416796E-3</v>
      </c>
      <c r="AG26" s="15">
        <v>-1.9675440935795301E-2</v>
      </c>
      <c r="AI26" s="12"/>
      <c r="AJ26">
        <f t="shared" si="6"/>
        <v>1</v>
      </c>
      <c r="AK26">
        <f t="shared" si="7"/>
        <v>0</v>
      </c>
      <c r="AL26">
        <f t="shared" si="14"/>
        <v>1</v>
      </c>
      <c r="AM26">
        <f t="shared" si="4"/>
        <v>1</v>
      </c>
      <c r="AN26">
        <f t="shared" si="15"/>
        <v>1</v>
      </c>
      <c r="AO26" s="28">
        <f t="shared" si="8"/>
        <v>-4.8438590566446896E-3</v>
      </c>
      <c r="AP26" s="28">
        <f t="shared" si="9"/>
        <v>7.5714483534775803E-3</v>
      </c>
      <c r="AQ26" s="28">
        <f t="shared" si="16"/>
        <v>2.7275892968328906E-3</v>
      </c>
      <c r="AR26" s="29">
        <f t="shared" si="17"/>
        <v>-4.8739546999119294E-3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2.7275892968328906E-3</v>
      </c>
      <c r="BF26" s="29">
        <f t="shared" si="23"/>
        <v>-4.8739546999119294E-3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39.700000000000003</v>
      </c>
      <c r="C27" s="33">
        <v>44</v>
      </c>
      <c r="D27" s="15">
        <v>1.4461751470823601E-2</v>
      </c>
      <c r="E27" s="15">
        <v>1.3269469468115301E-2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39.700000000000003</v>
      </c>
      <c r="M27" s="33">
        <v>44</v>
      </c>
      <c r="N27" s="34">
        <v>1.10831234256926</v>
      </c>
      <c r="O27" s="34">
        <v>1.0913821229076099</v>
      </c>
      <c r="P27" s="34">
        <v>1.10433187482887</v>
      </c>
      <c r="Q27" s="34">
        <v>1.09149634422904</v>
      </c>
      <c r="R27" s="33">
        <v>43.327870279432297</v>
      </c>
      <c r="S27" s="33">
        <v>43.761972890055702</v>
      </c>
      <c r="T27" s="33">
        <v>43.262479697521897</v>
      </c>
      <c r="U27" s="15">
        <v>-1.5393550552976899E-2</v>
      </c>
      <c r="V27" s="15">
        <v>-5.4243924959453196E-3</v>
      </c>
      <c r="W27" s="15">
        <v>-1.6903894242735501E-2</v>
      </c>
      <c r="X27" s="34">
        <v>1.10831234256926</v>
      </c>
      <c r="Y27" s="34">
        <v>1.0913821229076099</v>
      </c>
      <c r="Z27" s="34">
        <v>1.10433187482887</v>
      </c>
      <c r="AA27" s="34">
        <v>1.09149634422904</v>
      </c>
      <c r="AB27" s="33">
        <v>43.327870279432297</v>
      </c>
      <c r="AC27" s="33">
        <v>43.761972890055702</v>
      </c>
      <c r="AD27" s="33">
        <v>43.262479697521897</v>
      </c>
      <c r="AE27" s="15">
        <v>-1.5393550552976899E-2</v>
      </c>
      <c r="AF27" s="15">
        <v>-5.4243924959453196E-3</v>
      </c>
      <c r="AG27" s="15">
        <v>-1.6903894242735501E-2</v>
      </c>
      <c r="AI27" s="12"/>
      <c r="AJ27">
        <f t="shared" si="6"/>
        <v>1</v>
      </c>
      <c r="AK27">
        <f t="shared" si="7"/>
        <v>0</v>
      </c>
      <c r="AL27">
        <f t="shared" si="14"/>
        <v>1</v>
      </c>
      <c r="AM27">
        <f t="shared" si="4"/>
        <v>1</v>
      </c>
      <c r="AN27">
        <f t="shared" si="15"/>
        <v>1</v>
      </c>
      <c r="AO27" s="28">
        <f t="shared" si="8"/>
        <v>1.4461751470823601E-2</v>
      </c>
      <c r="AP27" s="28">
        <f t="shared" si="9"/>
        <v>-1.3269469468115301E-2</v>
      </c>
      <c r="AQ27" s="28">
        <f t="shared" si="16"/>
        <v>1.1922820027083E-3</v>
      </c>
      <c r="AR27" s="29">
        <f t="shared" si="17"/>
        <v>-3.6816726972036294E-3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1.1922820027083E-3</v>
      </c>
      <c r="BF27" s="29">
        <f t="shared" si="23"/>
        <v>-3.6816726972036294E-3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41.15</v>
      </c>
      <c r="C28" s="33">
        <v>45.57</v>
      </c>
      <c r="D28" s="15">
        <v>3.5872739429933999E-2</v>
      </c>
      <c r="E28" s="15">
        <v>3.5059971357529897E-2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41.15</v>
      </c>
      <c r="M28" s="33">
        <v>45.57</v>
      </c>
      <c r="N28" s="34">
        <v>1.10741190765492</v>
      </c>
      <c r="O28" s="34">
        <v>1.0913821229076099</v>
      </c>
      <c r="P28" s="34">
        <v>1.1060945031731699</v>
      </c>
      <c r="Q28" s="34">
        <v>1.09325548257567</v>
      </c>
      <c r="R28" s="33">
        <v>44.910374357648301</v>
      </c>
      <c r="S28" s="33">
        <v>45.443256649208003</v>
      </c>
      <c r="T28" s="33">
        <v>44.915074565025101</v>
      </c>
      <c r="U28" s="15">
        <v>-1.4580782480573E-2</v>
      </c>
      <c r="V28" s="15">
        <v>-2.785164214285E-3</v>
      </c>
      <c r="W28" s="15">
        <v>-1.44761304596264E-2</v>
      </c>
      <c r="X28" s="34">
        <v>1.10741190765492</v>
      </c>
      <c r="Y28" s="34">
        <v>1.0913821229076099</v>
      </c>
      <c r="Z28" s="34">
        <v>1.1060945031731699</v>
      </c>
      <c r="AA28" s="34">
        <v>1.09325548257567</v>
      </c>
      <c r="AB28" s="33">
        <v>44.910374357648301</v>
      </c>
      <c r="AC28" s="33">
        <v>45.443256649208003</v>
      </c>
      <c r="AD28" s="33">
        <v>44.915074565025101</v>
      </c>
      <c r="AE28" s="15">
        <v>-1.4580782480573E-2</v>
      </c>
      <c r="AF28" s="15">
        <v>-2.785164214285E-3</v>
      </c>
      <c r="AG28" s="15">
        <v>-1.44761304596264E-2</v>
      </c>
      <c r="AI28" s="12"/>
      <c r="AJ28">
        <f t="shared" si="6"/>
        <v>1</v>
      </c>
      <c r="AK28">
        <f t="shared" si="7"/>
        <v>0</v>
      </c>
      <c r="AL28">
        <f t="shared" si="14"/>
        <v>1</v>
      </c>
      <c r="AM28">
        <f t="shared" si="4"/>
        <v>1</v>
      </c>
      <c r="AN28">
        <f t="shared" si="15"/>
        <v>1</v>
      </c>
      <c r="AO28" s="28">
        <f t="shared" si="8"/>
        <v>3.5872739429933999E-2</v>
      </c>
      <c r="AP28" s="28">
        <f t="shared" si="9"/>
        <v>-3.5059971357529897E-2</v>
      </c>
      <c r="AQ28" s="28">
        <f t="shared" si="16"/>
        <v>8.1276807240410198E-4</v>
      </c>
      <c r="AR28" s="29">
        <f t="shared" si="17"/>
        <v>-2.8689046247995275E-3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8.1276807240410198E-4</v>
      </c>
      <c r="BF28" s="29">
        <f t="shared" si="23"/>
        <v>-2.8689046247995275E-3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41.13</v>
      </c>
      <c r="C29" s="33">
        <v>45.52</v>
      </c>
      <c r="D29" s="15">
        <v>-4.8614488074600801E-4</v>
      </c>
      <c r="E29" s="15">
        <v>-1.0978154577156499E-3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41.13</v>
      </c>
      <c r="M29" s="33">
        <v>45.52</v>
      </c>
      <c r="N29" s="34">
        <v>1.10673474349623</v>
      </c>
      <c r="O29" s="34">
        <v>1.0913821229076099</v>
      </c>
      <c r="P29" s="34">
        <v>1.1064589602988799</v>
      </c>
      <c r="Q29" s="34">
        <v>1.0950029874473901</v>
      </c>
      <c r="R29" s="33">
        <v>44.888546715190202</v>
      </c>
      <c r="S29" s="33">
        <v>45.493666915512698</v>
      </c>
      <c r="T29" s="33">
        <v>44.9655979983375</v>
      </c>
      <c r="U29" s="15">
        <v>-1.39691119036034E-2</v>
      </c>
      <c r="V29" s="15">
        <v>-5.7866221886127597E-4</v>
      </c>
      <c r="W29" s="15">
        <v>-1.22540813442656E-2</v>
      </c>
      <c r="X29" s="34">
        <v>1.10673474349623</v>
      </c>
      <c r="Y29" s="34">
        <v>1.0913821229076099</v>
      </c>
      <c r="Z29" s="34">
        <v>1.1064589602988799</v>
      </c>
      <c r="AA29" s="34">
        <v>1.0950029874473901</v>
      </c>
      <c r="AB29" s="33">
        <v>44.888546715190202</v>
      </c>
      <c r="AC29" s="33">
        <v>45.493666915512698</v>
      </c>
      <c r="AD29" s="33">
        <v>44.9655979983375</v>
      </c>
      <c r="AE29" s="15">
        <v>-1.39691119036034E-2</v>
      </c>
      <c r="AF29" s="15">
        <v>-5.7866221886127597E-4</v>
      </c>
      <c r="AG29" s="15">
        <v>-1.22540813442656E-2</v>
      </c>
      <c r="AI29" s="12"/>
      <c r="AJ29">
        <f t="shared" si="6"/>
        <v>1</v>
      </c>
      <c r="AK29">
        <f t="shared" si="7"/>
        <v>0</v>
      </c>
      <c r="AL29">
        <f t="shared" si="14"/>
        <v>1</v>
      </c>
      <c r="AM29">
        <f t="shared" si="4"/>
        <v>1</v>
      </c>
      <c r="AN29">
        <f t="shared" si="15"/>
        <v>1</v>
      </c>
      <c r="AO29" s="28">
        <f t="shared" si="8"/>
        <v>-4.8614488074600801E-4</v>
      </c>
      <c r="AP29" s="28">
        <f t="shared" si="9"/>
        <v>1.0978154577156499E-3</v>
      </c>
      <c r="AQ29" s="28">
        <f t="shared" si="16"/>
        <v>6.1167057696964191E-4</v>
      </c>
      <c r="AR29" s="29">
        <f t="shared" si="17"/>
        <v>-2.2572340478298853E-3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6.1167057696964191E-4</v>
      </c>
      <c r="BF29" s="29">
        <f t="shared" si="23"/>
        <v>-2.2572340478298853E-3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41.46</v>
      </c>
      <c r="C30" s="33">
        <v>45.77</v>
      </c>
      <c r="D30" s="15">
        <v>7.9913247653008394E-3</v>
      </c>
      <c r="E30" s="15">
        <v>5.47706484747521E-3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41.46</v>
      </c>
      <c r="M30" s="33">
        <v>45.77</v>
      </c>
      <c r="N30" s="34">
        <v>1.1039556198745699</v>
      </c>
      <c r="O30" s="34">
        <v>1.0913821229076099</v>
      </c>
      <c r="P30" s="34">
        <v>1.10696194172177</v>
      </c>
      <c r="Q30" s="34">
        <v>1.09641571011399</v>
      </c>
      <c r="R30" s="33">
        <v>45.248702815749702</v>
      </c>
      <c r="S30" s="33">
        <v>45.873788493991903</v>
      </c>
      <c r="T30" s="33">
        <v>45.398823859568999</v>
      </c>
      <c r="U30" s="15">
        <v>-1.1454851985777901E-2</v>
      </c>
      <c r="V30" s="15">
        <v>2.2650425101524599E-3</v>
      </c>
      <c r="W30" s="15">
        <v>-8.1426561307118908E-3</v>
      </c>
      <c r="X30" s="34">
        <v>1.1039556198745699</v>
      </c>
      <c r="Y30" s="34">
        <v>1.0913821229076099</v>
      </c>
      <c r="Z30" s="34">
        <v>1.10696194172177</v>
      </c>
      <c r="AA30" s="34">
        <v>1.09641571011399</v>
      </c>
      <c r="AB30" s="33">
        <v>45.248702815749702</v>
      </c>
      <c r="AC30" s="33">
        <v>45.873788493991903</v>
      </c>
      <c r="AD30" s="33">
        <v>45.398823859568999</v>
      </c>
      <c r="AE30" s="15">
        <v>-1.1454851985777901E-2</v>
      </c>
      <c r="AF30" s="15">
        <v>2.2650425101524599E-3</v>
      </c>
      <c r="AG30" s="15">
        <v>-8.1426561307118908E-3</v>
      </c>
      <c r="AI30" s="12"/>
      <c r="AJ30">
        <f t="shared" si="6"/>
        <v>0</v>
      </c>
      <c r="AK30">
        <f t="shared" si="7"/>
        <v>0</v>
      </c>
      <c r="AL30">
        <f t="shared" si="14"/>
        <v>1</v>
      </c>
      <c r="AM30">
        <f t="shared" si="4"/>
        <v>1</v>
      </c>
      <c r="AN30">
        <f t="shared" si="15"/>
        <v>1</v>
      </c>
      <c r="AO30" s="28">
        <f t="shared" si="8"/>
        <v>7.9913247653008394E-3</v>
      </c>
      <c r="AP30" s="28">
        <f t="shared" si="9"/>
        <v>-5.47706484747521E-3</v>
      </c>
      <c r="AQ30" s="28">
        <f t="shared" si="16"/>
        <v>2.5142599178256293E-3</v>
      </c>
      <c r="AR30" s="29">
        <f t="shared" si="17"/>
        <v>2.5702586999574398E-4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2.5142599178256293E-3</v>
      </c>
      <c r="BF30" s="29">
        <f t="shared" si="23"/>
        <v>2.5702586999574398E-4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43.18</v>
      </c>
      <c r="C31" s="33">
        <v>47.65</v>
      </c>
      <c r="D31" s="15">
        <v>4.0648318079027697E-2</v>
      </c>
      <c r="E31" s="15">
        <v>4.0253775434660299E-2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43.18</v>
      </c>
      <c r="M31" s="33">
        <v>47.65</v>
      </c>
      <c r="N31" s="34">
        <v>1.10352014821676</v>
      </c>
      <c r="O31" s="34">
        <v>1.0913821229076099</v>
      </c>
      <c r="P31" s="34">
        <v>1.10707103142448</v>
      </c>
      <c r="Q31" s="34">
        <v>1.0977791085041499</v>
      </c>
      <c r="R31" s="33">
        <v>47.125880067150803</v>
      </c>
      <c r="S31" s="33">
        <v>47.798616643545998</v>
      </c>
      <c r="T31" s="33">
        <v>47.343230362722402</v>
      </c>
      <c r="U31" s="15">
        <v>-1.1060309341410401E-2</v>
      </c>
      <c r="V31" s="15">
        <v>3.1140684668259202E-3</v>
      </c>
      <c r="W31" s="15">
        <v>-6.4587908535893596E-3</v>
      </c>
      <c r="X31" s="34">
        <v>1.10352014821676</v>
      </c>
      <c r="Y31" s="34">
        <v>1.0913821229076099</v>
      </c>
      <c r="Z31" s="34">
        <v>1.10707103142448</v>
      </c>
      <c r="AA31" s="34">
        <v>1.0977791085041499</v>
      </c>
      <c r="AB31" s="33">
        <v>47.125880067150803</v>
      </c>
      <c r="AC31" s="33">
        <v>47.798616643545998</v>
      </c>
      <c r="AD31" s="33">
        <v>47.343230362722402</v>
      </c>
      <c r="AE31" s="15">
        <v>-1.1060309341410401E-2</v>
      </c>
      <c r="AF31" s="15">
        <v>3.1140684668259202E-3</v>
      </c>
      <c r="AG31" s="15">
        <v>-6.4587908535893596E-3</v>
      </c>
      <c r="AI31" s="12"/>
      <c r="AJ31">
        <f t="shared" si="6"/>
        <v>0</v>
      </c>
      <c r="AK31">
        <f t="shared" si="7"/>
        <v>0</v>
      </c>
      <c r="AL31">
        <f t="shared" si="14"/>
        <v>1</v>
      </c>
      <c r="AM31">
        <f t="shared" si="4"/>
        <v>1</v>
      </c>
      <c r="AN31">
        <f t="shared" si="15"/>
        <v>1</v>
      </c>
      <c r="AO31" s="28">
        <f t="shared" si="8"/>
        <v>4.0648318079027697E-2</v>
      </c>
      <c r="AP31" s="28">
        <f t="shared" si="9"/>
        <v>-4.0253775434660299E-2</v>
      </c>
      <c r="AQ31" s="28">
        <f t="shared" si="16"/>
        <v>3.9454264436739744E-4</v>
      </c>
      <c r="AR31" s="29">
        <f t="shared" si="17"/>
        <v>6.5156851436314143E-4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3.9454264436739744E-4</v>
      </c>
      <c r="BF31" s="29">
        <f t="shared" si="23"/>
        <v>6.5156851436314143E-4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43.3</v>
      </c>
      <c r="C32" s="33">
        <v>47.86</v>
      </c>
      <c r="D32" s="15">
        <v>2.7752099217827801E-3</v>
      </c>
      <c r="E32" s="15">
        <v>4.39745238001621E-3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43.3</v>
      </c>
      <c r="M32" s="33">
        <v>47.86</v>
      </c>
      <c r="N32" s="34">
        <v>1.10531177829099</v>
      </c>
      <c r="O32" s="34">
        <v>1.0913821229076099</v>
      </c>
      <c r="P32" s="34">
        <v>1.10717826910396</v>
      </c>
      <c r="Q32" s="34">
        <v>1.0990516851901</v>
      </c>
      <c r="R32" s="33">
        <v>47.256845921899703</v>
      </c>
      <c r="S32" s="33">
        <v>47.936175660680398</v>
      </c>
      <c r="T32" s="33">
        <v>47.533835398229797</v>
      </c>
      <c r="U32" s="15">
        <v>-1.2682551799643799E-2</v>
      </c>
      <c r="V32" s="15">
        <v>1.59036989129908E-3</v>
      </c>
      <c r="W32" s="15">
        <v>-6.8383008488213104E-3</v>
      </c>
      <c r="X32" s="34">
        <v>1.10531177829099</v>
      </c>
      <c r="Y32" s="34">
        <v>1.0913821229076099</v>
      </c>
      <c r="Z32" s="34">
        <v>1.10717826910396</v>
      </c>
      <c r="AA32" s="34">
        <v>1.0990516851901</v>
      </c>
      <c r="AB32" s="33">
        <v>47.256845921899703</v>
      </c>
      <c r="AC32" s="33">
        <v>47.936175660680398</v>
      </c>
      <c r="AD32" s="33">
        <v>47.533835398229797</v>
      </c>
      <c r="AE32" s="15">
        <v>-1.2682551799643799E-2</v>
      </c>
      <c r="AF32" s="15">
        <v>1.59036989129908E-3</v>
      </c>
      <c r="AG32" s="15">
        <v>-6.8383008488213104E-3</v>
      </c>
      <c r="AI32" s="12"/>
      <c r="AJ32">
        <f t="shared" si="6"/>
        <v>0</v>
      </c>
      <c r="AK32">
        <f t="shared" si="7"/>
        <v>0</v>
      </c>
      <c r="AL32">
        <f t="shared" si="14"/>
        <v>1</v>
      </c>
      <c r="AM32">
        <f t="shared" si="4"/>
        <v>1</v>
      </c>
      <c r="AN32">
        <f t="shared" si="15"/>
        <v>1</v>
      </c>
      <c r="AO32" s="28">
        <f t="shared" si="8"/>
        <v>2.7752099217827801E-3</v>
      </c>
      <c r="AP32" s="28">
        <f t="shared" si="9"/>
        <v>-4.39745238001621E-3</v>
      </c>
      <c r="AQ32" s="28">
        <f t="shared" si="16"/>
        <v>-1.6222424582334298E-3</v>
      </c>
      <c r="AR32" s="29">
        <f t="shared" si="17"/>
        <v>-9.7067394387028837E-4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-1.6222424582334298E-3</v>
      </c>
      <c r="BF32" s="29">
        <f t="shared" si="23"/>
        <v>-9.7067394387028837E-4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43.44</v>
      </c>
      <c r="C33" s="33">
        <v>47.94</v>
      </c>
      <c r="D33" s="15">
        <v>3.2280406172359001E-3</v>
      </c>
      <c r="E33" s="15">
        <v>1.6701465260109899E-3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43.44</v>
      </c>
      <c r="M33" s="33">
        <v>47.94</v>
      </c>
      <c r="N33" s="34">
        <v>1.10359116022099</v>
      </c>
      <c r="O33" s="34">
        <v>1.0913821229076099</v>
      </c>
      <c r="P33" s="34">
        <v>1.10692864554536</v>
      </c>
      <c r="Q33" s="34">
        <v>1.10032162146974</v>
      </c>
      <c r="R33" s="33">
        <v>47.409639419106803</v>
      </c>
      <c r="S33" s="33">
        <v>48.095824009876097</v>
      </c>
      <c r="T33" s="33">
        <v>47.742805204657998</v>
      </c>
      <c r="U33" s="15">
        <v>-1.11246577084189E-2</v>
      </c>
      <c r="V33" s="15">
        <v>3.2451254150026002E-3</v>
      </c>
      <c r="W33" s="15">
        <v>-4.1218497745591802E-3</v>
      </c>
      <c r="X33" s="34">
        <v>1.10359116022099</v>
      </c>
      <c r="Y33" s="34">
        <v>1.0913821229076099</v>
      </c>
      <c r="Z33" s="34">
        <v>1.10692864554536</v>
      </c>
      <c r="AA33" s="34">
        <v>1.10032162146974</v>
      </c>
      <c r="AB33" s="33">
        <v>47.409639419106803</v>
      </c>
      <c r="AC33" s="33">
        <v>48.095824009876097</v>
      </c>
      <c r="AD33" s="33">
        <v>47.742805204657998</v>
      </c>
      <c r="AE33" s="15">
        <v>-1.11246577084189E-2</v>
      </c>
      <c r="AF33" s="15">
        <v>3.2451254150026002E-3</v>
      </c>
      <c r="AG33" s="15">
        <v>-4.1218497745591802E-3</v>
      </c>
      <c r="AI33" s="12"/>
      <c r="AJ33">
        <f t="shared" si="6"/>
        <v>0</v>
      </c>
      <c r="AK33">
        <f t="shared" si="7"/>
        <v>0</v>
      </c>
      <c r="AL33">
        <f t="shared" si="14"/>
        <v>1</v>
      </c>
      <c r="AM33">
        <f t="shared" si="4"/>
        <v>1</v>
      </c>
      <c r="AN33">
        <f t="shared" si="15"/>
        <v>1</v>
      </c>
      <c r="AO33" s="28">
        <f t="shared" si="8"/>
        <v>3.2280406172359001E-3</v>
      </c>
      <c r="AP33" s="28">
        <f t="shared" si="9"/>
        <v>-1.6701465260109899E-3</v>
      </c>
      <c r="AQ33" s="28">
        <f t="shared" si="16"/>
        <v>1.5578940912249102E-3</v>
      </c>
      <c r="AR33" s="29">
        <f t="shared" si="17"/>
        <v>5.8722014735462184E-4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1.5578940912249102E-3</v>
      </c>
      <c r="BF33" s="29">
        <f t="shared" si="23"/>
        <v>5.8722014735462184E-4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42.89</v>
      </c>
      <c r="C34" s="33">
        <v>47.19</v>
      </c>
      <c r="D34" s="15">
        <v>-1.2741977096890801E-2</v>
      </c>
      <c r="E34" s="15">
        <v>-1.57682232679421E-2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42.89</v>
      </c>
      <c r="M34" s="33">
        <v>47.19</v>
      </c>
      <c r="N34" s="34">
        <v>1.10025647003963</v>
      </c>
      <c r="O34" s="34">
        <v>1.0913821229076099</v>
      </c>
      <c r="P34" s="34">
        <v>1.1061394032133001</v>
      </c>
      <c r="Q34" s="34">
        <v>1.10104435304118</v>
      </c>
      <c r="R34" s="33">
        <v>46.8093792515076</v>
      </c>
      <c r="S34" s="33">
        <v>47.476169607440397</v>
      </c>
      <c r="T34" s="33">
        <v>47.192794344837502</v>
      </c>
      <c r="U34" s="15">
        <v>-8.0984115373676502E-3</v>
      </c>
      <c r="V34" s="15">
        <v>6.0458869375856102E-3</v>
      </c>
      <c r="W34" s="15">
        <v>5.9213013510308998E-5</v>
      </c>
      <c r="X34" s="34">
        <v>1.10025647003963</v>
      </c>
      <c r="Y34" s="34">
        <v>1.0913821229076099</v>
      </c>
      <c r="Z34" s="34">
        <v>1.1061394032133001</v>
      </c>
      <c r="AA34" s="34">
        <v>1.10104435304118</v>
      </c>
      <c r="AB34" s="33">
        <v>46.8093792515076</v>
      </c>
      <c r="AC34" s="33">
        <v>47.476169607440397</v>
      </c>
      <c r="AD34" s="33">
        <v>47.192794344837502</v>
      </c>
      <c r="AE34" s="15">
        <v>-8.0984115373676502E-3</v>
      </c>
      <c r="AF34" s="15">
        <v>6.0458869375856102E-3</v>
      </c>
      <c r="AG34" s="15">
        <v>5.9213013510308998E-5</v>
      </c>
      <c r="AI34" s="12"/>
      <c r="AJ34">
        <f t="shared" si="6"/>
        <v>0</v>
      </c>
      <c r="AK34">
        <f t="shared" si="7"/>
        <v>1</v>
      </c>
      <c r="AL34">
        <f t="shared" si="14"/>
        <v>1</v>
      </c>
      <c r="AM34">
        <f t="shared" si="4"/>
        <v>1</v>
      </c>
      <c r="AN34">
        <f t="shared" si="15"/>
        <v>1</v>
      </c>
      <c r="AO34" s="28">
        <f t="shared" si="8"/>
        <v>-1.2741977096890801E-2</v>
      </c>
      <c r="AP34" s="28">
        <f t="shared" si="9"/>
        <v>1.57682232679421E-2</v>
      </c>
      <c r="AQ34" s="28">
        <f t="shared" si="16"/>
        <v>3.0262461710512997E-3</v>
      </c>
      <c r="AR34" s="29">
        <f t="shared" si="17"/>
        <v>3.6134663184059215E-3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3.0262461710512997E-3</v>
      </c>
      <c r="BF34" s="29">
        <f t="shared" si="23"/>
        <v>3.6134663184059215E-3</v>
      </c>
      <c r="BH34" s="29"/>
    </row>
    <row r="35" spans="1:124" x14ac:dyDescent="0.25">
      <c r="A35" s="1">
        <v>46073</v>
      </c>
      <c r="B35" s="33">
        <v>43.13</v>
      </c>
      <c r="C35" s="33">
        <v>47.78</v>
      </c>
      <c r="D35" s="15">
        <v>5.5801121309627302E-3</v>
      </c>
      <c r="E35" s="15">
        <v>1.2425136159367399E-2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43.13</v>
      </c>
      <c r="M35" s="33">
        <v>47.78</v>
      </c>
      <c r="N35" s="34">
        <v>1.1078135868305099</v>
      </c>
      <c r="O35" s="34">
        <v>1.0913821229076099</v>
      </c>
      <c r="P35" s="34">
        <v>1.1056542308688899</v>
      </c>
      <c r="Q35" s="34">
        <v>1.1024441255880599</v>
      </c>
      <c r="R35" s="33">
        <v>47.071310961005402</v>
      </c>
      <c r="S35" s="33">
        <v>47.7077924605899</v>
      </c>
      <c r="T35" s="33">
        <v>47.488042946666397</v>
      </c>
      <c r="U35" s="15">
        <v>-1.49434355657723E-2</v>
      </c>
      <c r="V35" s="15">
        <v>-1.5123933921377399E-3</v>
      </c>
      <c r="W35" s="15">
        <v>-6.1291899843379204E-3</v>
      </c>
      <c r="X35" s="34">
        <v>1.1078135868305099</v>
      </c>
      <c r="Y35" s="34">
        <v>1.0913821229076099</v>
      </c>
      <c r="Z35" s="34">
        <v>1.1056542308688899</v>
      </c>
      <c r="AA35" s="34">
        <v>1.1024441255880599</v>
      </c>
      <c r="AB35" s="33">
        <v>47.071310961005402</v>
      </c>
      <c r="AC35" s="33">
        <v>47.7077924605899</v>
      </c>
      <c r="AD35" s="33">
        <v>47.488042946666397</v>
      </c>
      <c r="AE35" s="15">
        <v>-1.49434355657723E-2</v>
      </c>
      <c r="AF35" s="15">
        <v>-1.5123933921377399E-3</v>
      </c>
      <c r="AG35" s="15">
        <v>-6.1291899843379204E-3</v>
      </c>
      <c r="AI35" s="12"/>
      <c r="AJ35">
        <f t="shared" si="6"/>
        <v>0</v>
      </c>
      <c r="AK35">
        <f t="shared" si="7"/>
        <v>0</v>
      </c>
      <c r="AL35">
        <f t="shared" si="14"/>
        <v>0</v>
      </c>
      <c r="AM35">
        <f t="shared" si="4"/>
        <v>1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3.6134663184059215E-3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3.6134663184059215E-3</v>
      </c>
      <c r="BH35" s="29"/>
    </row>
    <row r="36" spans="1:124" x14ac:dyDescent="0.25">
      <c r="A36" s="1">
        <v>46076</v>
      </c>
      <c r="B36" s="33">
        <v>42.77</v>
      </c>
      <c r="C36" s="33">
        <v>46.84</v>
      </c>
      <c r="D36" s="15">
        <v>-8.3818884209345204E-3</v>
      </c>
      <c r="E36" s="15">
        <v>-1.9869603168146802E-2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42.77</v>
      </c>
      <c r="M36" s="33">
        <v>46.84</v>
      </c>
      <c r="N36" s="34">
        <v>1.09516015898994</v>
      </c>
      <c r="O36" s="34">
        <v>1.0913821229076099</v>
      </c>
      <c r="P36" s="34">
        <v>1.10420679161838</v>
      </c>
      <c r="Q36" s="34">
        <v>1.10326174455044</v>
      </c>
      <c r="R36" s="33">
        <v>46.6784133967587</v>
      </c>
      <c r="S36" s="33">
        <v>47.2888314542625</v>
      </c>
      <c r="T36" s="33">
        <v>47.151535251401697</v>
      </c>
      <c r="U36" s="15">
        <v>-3.45572081855999E-3</v>
      </c>
      <c r="V36" s="15">
        <v>9.5366074129409392E-3</v>
      </c>
      <c r="W36" s="15">
        <v>6.6290308251906798E-3</v>
      </c>
      <c r="X36" s="34">
        <v>1.09516015898994</v>
      </c>
      <c r="Y36" s="34">
        <v>1.0913821229076099</v>
      </c>
      <c r="Z36" s="34">
        <v>1.10420679161838</v>
      </c>
      <c r="AA36" s="34">
        <v>1.10326174455044</v>
      </c>
      <c r="AB36" s="33">
        <v>46.6784133967587</v>
      </c>
      <c r="AC36" s="33">
        <v>47.2888314542625</v>
      </c>
      <c r="AD36" s="33">
        <v>47.151535251401697</v>
      </c>
      <c r="AE36" s="15">
        <v>-3.45572081855999E-3</v>
      </c>
      <c r="AF36" s="15">
        <v>9.5366074129409392E-3</v>
      </c>
      <c r="AG36" s="15">
        <v>6.6290308251906798E-3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3.6134663184059215E-3</v>
      </c>
      <c r="AT36" s="12"/>
      <c r="AU36">
        <f t="shared" si="10"/>
        <v>0</v>
      </c>
      <c r="AV36">
        <f t="shared" si="11"/>
        <v>0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3.6134663184059215E-3</v>
      </c>
      <c r="BH36" s="29"/>
    </row>
    <row r="37" spans="1:124" x14ac:dyDescent="0.25">
      <c r="A37" s="1">
        <v>46077</v>
      </c>
      <c r="B37" s="33">
        <v>43.13</v>
      </c>
      <c r="C37" s="33">
        <v>47.45</v>
      </c>
      <c r="D37" s="15">
        <v>8.3818884209345308E-3</v>
      </c>
      <c r="E37" s="15">
        <v>1.2938986326420101E-2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43.13</v>
      </c>
      <c r="M37" s="33">
        <v>47.45</v>
      </c>
      <c r="N37" s="34">
        <v>1.1001623000231799</v>
      </c>
      <c r="O37" s="34">
        <v>1.0913821229076099</v>
      </c>
      <c r="P37" s="34">
        <v>1.10339178736377</v>
      </c>
      <c r="Q37" s="34">
        <v>1.10386183109632</v>
      </c>
      <c r="R37" s="33">
        <v>47.071310961005402</v>
      </c>
      <c r="S37" s="33">
        <v>47.6244389225009</v>
      </c>
      <c r="T37" s="33">
        <v>47.583679042460801</v>
      </c>
      <c r="U37" s="15">
        <v>-8.0128187240457605E-3</v>
      </c>
      <c r="V37" s="15">
        <v>3.6695271666938498E-3</v>
      </c>
      <c r="W37" s="15">
        <v>2.8133001263642701E-3</v>
      </c>
      <c r="X37" s="34">
        <v>1.1001623000231799</v>
      </c>
      <c r="Y37" s="34">
        <v>1.0913821229076099</v>
      </c>
      <c r="Z37" s="34">
        <v>1.10339178736377</v>
      </c>
      <c r="AA37" s="34">
        <v>1.10386183109632</v>
      </c>
      <c r="AB37" s="33">
        <v>47.071310961005402</v>
      </c>
      <c r="AC37" s="33">
        <v>47.6244389225009</v>
      </c>
      <c r="AD37" s="33">
        <v>47.583679042460801</v>
      </c>
      <c r="AE37" s="15">
        <v>-8.0128187240457605E-3</v>
      </c>
      <c r="AF37" s="15">
        <v>3.6695271666938498E-3</v>
      </c>
      <c r="AG37" s="15">
        <v>2.8133001263642701E-3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3.6134663184059215E-3</v>
      </c>
      <c r="AT37" s="12"/>
      <c r="AU37">
        <f t="shared" si="10"/>
        <v>0</v>
      </c>
      <c r="AV37">
        <f t="shared" si="11"/>
        <v>0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3.6134663184059215E-3</v>
      </c>
      <c r="BH37" s="29"/>
    </row>
    <row r="38" spans="1:124" x14ac:dyDescent="0.25">
      <c r="A38" s="1">
        <v>46078</v>
      </c>
      <c r="B38" s="33">
        <v>43.83</v>
      </c>
      <c r="C38" s="33">
        <v>48.75</v>
      </c>
      <c r="D38" s="15">
        <v>1.6099703770965999E-2</v>
      </c>
      <c r="E38" s="15">
        <v>2.70286723879192E-2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43.83</v>
      </c>
      <c r="M38" s="33">
        <v>48.75</v>
      </c>
      <c r="N38" s="34">
        <v>1.1122518822724099</v>
      </c>
      <c r="O38" s="34">
        <v>1.0913821229076099</v>
      </c>
      <c r="P38" s="34">
        <v>1.1038757848255201</v>
      </c>
      <c r="Q38" s="34">
        <v>1.1049851439993501</v>
      </c>
      <c r="R38" s="33">
        <v>47.8352784470407</v>
      </c>
      <c r="S38" s="33">
        <v>48.3616620401543</v>
      </c>
      <c r="T38" s="33">
        <v>48.382264056951797</v>
      </c>
      <c r="U38" s="15">
        <v>-1.8941787340999001E-2</v>
      </c>
      <c r="V38" s="15">
        <v>-7.9978042118544097E-3</v>
      </c>
      <c r="W38" s="15">
        <v>-7.5718959829844798E-3</v>
      </c>
      <c r="X38" s="34">
        <v>1.1122518822724099</v>
      </c>
      <c r="Y38" s="34">
        <v>1.0913821229076099</v>
      </c>
      <c r="Z38" s="34">
        <v>1.1038757848255201</v>
      </c>
      <c r="AA38" s="34">
        <v>1.1049851439993501</v>
      </c>
      <c r="AB38" s="33">
        <v>47.8352784470407</v>
      </c>
      <c r="AC38" s="33">
        <v>48.3616620401543</v>
      </c>
      <c r="AD38" s="33">
        <v>48.382264056951797</v>
      </c>
      <c r="AE38" s="15">
        <v>-1.8941787340999001E-2</v>
      </c>
      <c r="AF38" s="15">
        <v>-7.9978042118544097E-3</v>
      </c>
      <c r="AG38" s="15">
        <v>-7.5718959829844798E-3</v>
      </c>
      <c r="AI38" s="12"/>
      <c r="AJ38">
        <f t="shared" si="6"/>
        <v>0</v>
      </c>
      <c r="AK38">
        <f t="shared" si="7"/>
        <v>0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3.6134663184059215E-3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3.6134663184059215E-3</v>
      </c>
      <c r="BH38" s="29"/>
    </row>
    <row r="39" spans="1:124" x14ac:dyDescent="0.25">
      <c r="A39" s="1">
        <v>46079</v>
      </c>
      <c r="B39" s="33">
        <v>43.98</v>
      </c>
      <c r="C39" s="33">
        <v>48.76</v>
      </c>
      <c r="D39" s="15">
        <v>3.4164706958972699E-3</v>
      </c>
      <c r="E39" s="15">
        <v>2.0510716921446701E-4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43.98</v>
      </c>
      <c r="M39" s="33">
        <v>48.76</v>
      </c>
      <c r="N39" s="34">
        <v>1.1086857662573799</v>
      </c>
      <c r="O39" s="34">
        <v>1.0913821229076099</v>
      </c>
      <c r="P39" s="34">
        <v>1.10407088710164</v>
      </c>
      <c r="Q39" s="34">
        <v>1.1052649237002601</v>
      </c>
      <c r="R39" s="33">
        <v>47.998985765476903</v>
      </c>
      <c r="S39" s="33">
        <v>48.5484570166266</v>
      </c>
      <c r="T39" s="33">
        <v>48.597246633091402</v>
      </c>
      <c r="U39" s="15">
        <v>-1.5730423814316399E-2</v>
      </c>
      <c r="V39" s="15">
        <v>-4.3478917066928201E-3</v>
      </c>
      <c r="W39" s="15">
        <v>-3.3434289515937902E-3</v>
      </c>
      <c r="X39" s="34">
        <v>1.1086857662573799</v>
      </c>
      <c r="Y39" s="34">
        <v>1.0913821229076099</v>
      </c>
      <c r="Z39" s="34">
        <v>1.10407088710164</v>
      </c>
      <c r="AA39" s="34">
        <v>1.1052649237002601</v>
      </c>
      <c r="AB39" s="33">
        <v>47.998985765476903</v>
      </c>
      <c r="AC39" s="33">
        <v>48.5484570166266</v>
      </c>
      <c r="AD39" s="33">
        <v>48.597246633091402</v>
      </c>
      <c r="AE39" s="15">
        <v>-1.5730423814316399E-2</v>
      </c>
      <c r="AF39" s="15">
        <v>-4.3478917066928201E-3</v>
      </c>
      <c r="AG39" s="15">
        <v>-3.3434289515937902E-3</v>
      </c>
      <c r="AI39" s="12"/>
      <c r="AJ39">
        <f t="shared" si="6"/>
        <v>0</v>
      </c>
      <c r="AK39">
        <f t="shared" si="7"/>
        <v>0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3.6134663184059215E-3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3.6134663184059215E-3</v>
      </c>
      <c r="BH39" s="29"/>
    </row>
    <row r="40" spans="1:124" x14ac:dyDescent="0.25">
      <c r="A40" s="1">
        <v>46080</v>
      </c>
      <c r="B40" s="33">
        <v>43.71</v>
      </c>
      <c r="C40" s="33">
        <v>48.41</v>
      </c>
      <c r="D40" s="15">
        <v>-6.1580762513919101E-3</v>
      </c>
      <c r="E40" s="15">
        <v>-7.2039006614678103E-3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43.71</v>
      </c>
      <c r="M40" s="33">
        <v>48.41</v>
      </c>
      <c r="N40" s="34">
        <v>1.10752688172043</v>
      </c>
      <c r="O40" s="34">
        <v>1.0913821229076099</v>
      </c>
      <c r="P40" s="34">
        <v>1.1044280132862201</v>
      </c>
      <c r="Q40" s="34">
        <v>1.1056949775039899</v>
      </c>
      <c r="R40" s="33">
        <v>47.704312592291799</v>
      </c>
      <c r="S40" s="33">
        <v>48.258938475212702</v>
      </c>
      <c r="T40" s="33">
        <v>48.311129814938603</v>
      </c>
      <c r="U40" s="15">
        <v>-1.4684599404240301E-2</v>
      </c>
      <c r="V40" s="15">
        <v>-3.12533995160967E-3</v>
      </c>
      <c r="W40" s="15">
        <v>-2.0444388870995301E-3</v>
      </c>
      <c r="X40" s="34">
        <v>1.10752688172043</v>
      </c>
      <c r="Y40" s="34">
        <v>1.0913821229076099</v>
      </c>
      <c r="Z40" s="34">
        <v>1.1044280132862201</v>
      </c>
      <c r="AA40" s="34">
        <v>1.1056949775039899</v>
      </c>
      <c r="AB40" s="33">
        <v>47.704312592291799</v>
      </c>
      <c r="AC40" s="33">
        <v>48.258938475212702</v>
      </c>
      <c r="AD40" s="33">
        <v>48.311129814938603</v>
      </c>
      <c r="AE40" s="15">
        <v>-1.4684599404240301E-2</v>
      </c>
      <c r="AF40" s="15">
        <v>-3.12533995160967E-3</v>
      </c>
      <c r="AG40" s="15">
        <v>-2.0444388870995301E-3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1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3.6134663184059215E-3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1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3.6134663184059215E-3</v>
      </c>
      <c r="BH40" s="29"/>
    </row>
    <row r="41" spans="1:124" x14ac:dyDescent="0.25">
      <c r="A41" s="1">
        <v>46083</v>
      </c>
      <c r="B41" s="33">
        <v>43.75</v>
      </c>
      <c r="C41" s="33">
        <v>48.41</v>
      </c>
      <c r="D41" s="15">
        <v>9.1470392840030195E-4</v>
      </c>
      <c r="E41" s="15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43.75</v>
      </c>
      <c r="M41" s="33">
        <v>48.41</v>
      </c>
      <c r="N41" s="34">
        <v>1.10651428571428</v>
      </c>
      <c r="O41" s="34">
        <v>1.0913821229076099</v>
      </c>
      <c r="P41" s="34">
        <v>1.1047274270359699</v>
      </c>
      <c r="Q41" s="34">
        <v>1.1058992292302301</v>
      </c>
      <c r="R41" s="33">
        <v>47.747967877208097</v>
      </c>
      <c r="S41" s="33">
        <v>48.318725581272403</v>
      </c>
      <c r="T41" s="33">
        <v>48.374155265799899</v>
      </c>
      <c r="U41" s="15">
        <v>-1.37698954758402E-2</v>
      </c>
      <c r="V41" s="15">
        <v>-1.8872252326173199E-3</v>
      </c>
      <c r="W41" s="15">
        <v>-7.4071495980877495E-4</v>
      </c>
      <c r="X41" s="34">
        <v>1.10651428571428</v>
      </c>
      <c r="Y41" s="34">
        <v>1.0913821229076099</v>
      </c>
      <c r="Z41" s="34">
        <v>1.1047274270359699</v>
      </c>
      <c r="AA41" s="34">
        <v>1.1058992292302301</v>
      </c>
      <c r="AB41" s="33">
        <v>47.747967877208097</v>
      </c>
      <c r="AC41" s="33">
        <v>48.318725581272403</v>
      </c>
      <c r="AD41" s="33">
        <v>48.374155265799899</v>
      </c>
      <c r="AE41" s="15">
        <v>-1.37698954758402E-2</v>
      </c>
      <c r="AF41" s="15">
        <v>-1.8872252326173199E-3</v>
      </c>
      <c r="AG41" s="15">
        <v>-7.4071495980877495E-4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3.6134663184059215E-3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3.6134663184059215E-3</v>
      </c>
      <c r="BH41" s="29"/>
    </row>
    <row r="42" spans="1:124" x14ac:dyDescent="0.25">
      <c r="A42" s="1">
        <v>46084</v>
      </c>
      <c r="B42" s="33">
        <v>43.61</v>
      </c>
      <c r="C42" s="33">
        <v>48.35</v>
      </c>
      <c r="D42" s="15">
        <v>-3.2051309489483301E-3</v>
      </c>
      <c r="E42" s="15">
        <v>-1.2401820522996E-3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43.61</v>
      </c>
      <c r="M42" s="33">
        <v>48.35</v>
      </c>
      <c r="N42" s="34">
        <v>1.10869066727814</v>
      </c>
      <c r="O42" s="34">
        <v>1.0913821229076099</v>
      </c>
      <c r="P42" s="34">
        <v>1.1050653159346899</v>
      </c>
      <c r="Q42" s="34">
        <v>1.1061217925193201</v>
      </c>
      <c r="R42" s="33">
        <v>47.595174380001097</v>
      </c>
      <c r="S42" s="33">
        <v>48.177163093038999</v>
      </c>
      <c r="T42" s="33">
        <v>48.228265386730499</v>
      </c>
      <c r="U42" s="15">
        <v>-1.5734844372488999E-2</v>
      </c>
      <c r="V42" s="15">
        <v>-3.5811078691739299E-3</v>
      </c>
      <c r="W42" s="15">
        <v>-2.5209539072325502E-3</v>
      </c>
      <c r="X42" s="34">
        <v>1.10869066727814</v>
      </c>
      <c r="Y42" s="34">
        <v>1.0913821229076099</v>
      </c>
      <c r="Z42" s="34">
        <v>1.1050653159346899</v>
      </c>
      <c r="AA42" s="34">
        <v>1.1061217925193201</v>
      </c>
      <c r="AB42" s="33">
        <v>47.595174380001097</v>
      </c>
      <c r="AC42" s="33">
        <v>48.177163093038999</v>
      </c>
      <c r="AD42" s="33">
        <v>48.228265386730499</v>
      </c>
      <c r="AE42" s="15">
        <v>-1.5734844372488999E-2</v>
      </c>
      <c r="AF42" s="15">
        <v>-3.5811078691739299E-3</v>
      </c>
      <c r="AG42" s="15">
        <v>-2.5209539072325502E-3</v>
      </c>
      <c r="AI42" s="12"/>
      <c r="AJ42">
        <f t="shared" si="6"/>
        <v>0</v>
      </c>
      <c r="AK42">
        <f t="shared" si="7"/>
        <v>0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3.6134663184059215E-3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3.6134663184059215E-3</v>
      </c>
      <c r="BH42" s="29"/>
    </row>
    <row r="43" spans="1:124" x14ac:dyDescent="0.25">
      <c r="A43" s="1">
        <v>46085</v>
      </c>
      <c r="B43" s="33">
        <v>43.88</v>
      </c>
      <c r="C43" s="33">
        <v>48.72</v>
      </c>
      <c r="D43" s="15">
        <v>6.1721535523545099E-3</v>
      </c>
      <c r="E43" s="15">
        <v>7.6234015023381703E-3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43.88</v>
      </c>
      <c r="M43" s="33">
        <v>48.72</v>
      </c>
      <c r="N43" s="34">
        <v>1.1103008204193201</v>
      </c>
      <c r="O43" s="34">
        <v>1.0913821229076099</v>
      </c>
      <c r="P43" s="34">
        <v>1.10573628195452</v>
      </c>
      <c r="Q43" s="34">
        <v>1.1063324637499401</v>
      </c>
      <c r="R43" s="33">
        <v>47.889847553186101</v>
      </c>
      <c r="S43" s="33">
        <v>48.4902660632143</v>
      </c>
      <c r="T43" s="33">
        <v>48.536624255748102</v>
      </c>
      <c r="U43" s="15">
        <v>-1.7186092322472601E-2</v>
      </c>
      <c r="V43" s="15">
        <v>-4.7265453286277903E-3</v>
      </c>
      <c r="W43" s="15">
        <v>-3.7709711386497299E-3</v>
      </c>
      <c r="X43" s="34">
        <v>1.1103008204193201</v>
      </c>
      <c r="Y43" s="34">
        <v>1.0913821229076099</v>
      </c>
      <c r="Z43" s="34">
        <v>1.10573628195452</v>
      </c>
      <c r="AA43" s="34">
        <v>1.1063324637499401</v>
      </c>
      <c r="AB43" s="33">
        <v>47.889847553186101</v>
      </c>
      <c r="AC43" s="33">
        <v>48.4902660632143</v>
      </c>
      <c r="AD43" s="33">
        <v>48.536624255748102</v>
      </c>
      <c r="AE43" s="15">
        <v>-1.7186092322472601E-2</v>
      </c>
      <c r="AF43" s="15">
        <v>-4.7265453286277903E-3</v>
      </c>
      <c r="AG43" s="15">
        <v>-3.7709711386497299E-3</v>
      </c>
      <c r="AI43" s="12"/>
      <c r="AJ43">
        <f t="shared" si="6"/>
        <v>0</v>
      </c>
      <c r="AK43">
        <f t="shared" si="7"/>
        <v>0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3.6134663184059215E-3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3.6134663184059215E-3</v>
      </c>
      <c r="BH43" s="29"/>
    </row>
    <row r="44" spans="1:124" x14ac:dyDescent="0.25">
      <c r="A44" s="1">
        <v>46086</v>
      </c>
      <c r="B44" s="33">
        <v>43.98</v>
      </c>
      <c r="C44" s="33">
        <v>48.71</v>
      </c>
      <c r="D44" s="15">
        <v>2.2763497195855001E-3</v>
      </c>
      <c r="E44" s="15">
        <v>-2.0527558319022101E-4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43.98</v>
      </c>
      <c r="M44" s="33">
        <v>48.71</v>
      </c>
      <c r="N44" s="34">
        <v>1.1075488858572</v>
      </c>
      <c r="O44" s="34">
        <v>1.0913821229076099</v>
      </c>
      <c r="P44" s="34">
        <v>1.1064655235362799</v>
      </c>
      <c r="Q44" s="34">
        <v>1.10630246337479</v>
      </c>
      <c r="R44" s="33">
        <v>47.998985765476903</v>
      </c>
      <c r="S44" s="33">
        <v>48.630281680360099</v>
      </c>
      <c r="T44" s="33">
        <v>48.656501755722502</v>
      </c>
      <c r="U44" s="15">
        <v>-1.4704467019697E-2</v>
      </c>
      <c r="V44" s="15">
        <v>-1.63793110285284E-3</v>
      </c>
      <c r="W44" s="15">
        <v>-1.09890462728875E-3</v>
      </c>
      <c r="X44" s="34">
        <v>1.1075488858572</v>
      </c>
      <c r="Y44" s="34">
        <v>1.0913821229076099</v>
      </c>
      <c r="Z44" s="34">
        <v>1.1064655235362799</v>
      </c>
      <c r="AA44" s="34">
        <v>1.10630246337479</v>
      </c>
      <c r="AB44" s="33">
        <v>47.998985765476903</v>
      </c>
      <c r="AC44" s="33">
        <v>48.630281680360099</v>
      </c>
      <c r="AD44" s="33">
        <v>48.656501755722502</v>
      </c>
      <c r="AE44" s="15">
        <v>-1.4704467019697E-2</v>
      </c>
      <c r="AF44" s="15">
        <v>-1.63793110285284E-3</v>
      </c>
      <c r="AG44" s="15">
        <v>-1.09890462728875E-3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3.6134663184059215E-3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3.6134663184059215E-3</v>
      </c>
      <c r="BH44" s="29"/>
    </row>
    <row r="45" spans="1:124" x14ac:dyDescent="0.25">
      <c r="A45" s="1">
        <v>46087</v>
      </c>
      <c r="B45" s="33">
        <v>43.74</v>
      </c>
      <c r="C45" s="33">
        <v>48.46</v>
      </c>
      <c r="D45" s="15">
        <v>-5.4719698779932598E-3</v>
      </c>
      <c r="E45" s="15">
        <v>-5.1456324300716396E-3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43.74</v>
      </c>
      <c r="M45" s="33">
        <v>48.46</v>
      </c>
      <c r="N45" s="34">
        <v>1.10791037951531</v>
      </c>
      <c r="O45" s="34">
        <v>1.0913821229076099</v>
      </c>
      <c r="P45" s="34">
        <v>1.10647520280476</v>
      </c>
      <c r="Q45" s="34">
        <v>1.1060647168368201</v>
      </c>
      <c r="R45" s="33">
        <v>47.737054055979101</v>
      </c>
      <c r="S45" s="33">
        <v>48.396801999476999</v>
      </c>
      <c r="T45" s="33">
        <v>48.389669748013503</v>
      </c>
      <c r="U45" s="15">
        <v>-1.50308044676186E-2</v>
      </c>
      <c r="V45" s="15">
        <v>-1.3049782397716099E-3</v>
      </c>
      <c r="W45" s="15">
        <v>-1.45235940467286E-3</v>
      </c>
      <c r="X45" s="34">
        <v>1.10791037951531</v>
      </c>
      <c r="Y45" s="34">
        <v>1.0913821229076099</v>
      </c>
      <c r="Z45" s="34">
        <v>1.10647520280476</v>
      </c>
      <c r="AA45" s="34">
        <v>1.1060647168368201</v>
      </c>
      <c r="AB45" s="33">
        <v>47.737054055979101</v>
      </c>
      <c r="AC45" s="33">
        <v>48.396801999476999</v>
      </c>
      <c r="AD45" s="33">
        <v>48.389669748013503</v>
      </c>
      <c r="AE45" s="15">
        <v>-1.50308044676186E-2</v>
      </c>
      <c r="AF45" s="15">
        <v>-1.3049782397716099E-3</v>
      </c>
      <c r="AG45" s="15">
        <v>-1.45235940467286E-3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3.6134663184059215E-3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3.6134663184059215E-3</v>
      </c>
      <c r="BH45" s="29"/>
    </row>
    <row r="46" spans="1:124" x14ac:dyDescent="0.25">
      <c r="A46" s="1">
        <v>46090</v>
      </c>
      <c r="B46" s="33">
        <v>43.99</v>
      </c>
      <c r="C46" s="33">
        <v>48.84</v>
      </c>
      <c r="D46" s="15">
        <v>5.6993201120065003E-3</v>
      </c>
      <c r="E46" s="15">
        <v>7.8109338541243597E-3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43.99</v>
      </c>
      <c r="M46" s="33">
        <v>48.84</v>
      </c>
      <c r="N46" s="34">
        <v>1.11025233007501</v>
      </c>
      <c r="O46" s="34">
        <v>1.0913821229076099</v>
      </c>
      <c r="P46" s="34">
        <v>1.10798441991327</v>
      </c>
      <c r="Q46" s="34">
        <v>1.10609560576582</v>
      </c>
      <c r="R46" s="33">
        <v>48.009899586705998</v>
      </c>
      <c r="S46" s="33">
        <v>48.673844171381603</v>
      </c>
      <c r="T46" s="33">
        <v>48.655786893651999</v>
      </c>
      <c r="U46" s="15">
        <v>-1.7142418209736301E-2</v>
      </c>
      <c r="V46" s="15">
        <v>-3.4078441032269601E-3</v>
      </c>
      <c r="W46" s="15">
        <v>-3.7788981746154499E-3</v>
      </c>
      <c r="X46" s="34">
        <v>1.11025233007501</v>
      </c>
      <c r="Y46" s="34">
        <v>1.0913821229076099</v>
      </c>
      <c r="Z46" s="34">
        <v>1.10798441991327</v>
      </c>
      <c r="AA46" s="34">
        <v>1.10609560576582</v>
      </c>
      <c r="AB46" s="33">
        <v>48.009899586705998</v>
      </c>
      <c r="AC46" s="33">
        <v>48.673844171381603</v>
      </c>
      <c r="AD46" s="33">
        <v>48.655786893651999</v>
      </c>
      <c r="AE46" s="15">
        <v>-1.7142418209736301E-2</v>
      </c>
      <c r="AF46" s="15">
        <v>-3.4078441032269601E-3</v>
      </c>
      <c r="AG46" s="15">
        <v>-3.7788981746154499E-3</v>
      </c>
      <c r="AI46" s="12"/>
      <c r="AJ46">
        <f t="shared" si="6"/>
        <v>0</v>
      </c>
      <c r="AK46">
        <f t="shared" si="7"/>
        <v>0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3.6134663184059215E-3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3.6134663184059215E-3</v>
      </c>
      <c r="BH46" s="29"/>
    </row>
    <row r="47" spans="1:124" x14ac:dyDescent="0.25">
      <c r="A47" s="1">
        <v>46091</v>
      </c>
      <c r="B47" s="33">
        <v>43.36</v>
      </c>
      <c r="C47" s="33">
        <v>47.74</v>
      </c>
      <c r="D47" s="15">
        <v>-1.44249782292377E-2</v>
      </c>
      <c r="E47" s="15">
        <v>-2.2780028331819802E-2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43.36</v>
      </c>
      <c r="M47" s="33">
        <v>47.74</v>
      </c>
      <c r="N47" s="34">
        <v>1.1010147601475999</v>
      </c>
      <c r="O47" s="34">
        <v>1.0913821229076099</v>
      </c>
      <c r="P47" s="34">
        <v>1.1080696659257101</v>
      </c>
      <c r="Q47" s="34">
        <v>1.10573072664474</v>
      </c>
      <c r="R47" s="33">
        <v>47.3223288492742</v>
      </c>
      <c r="S47" s="33">
        <v>48.042204447439403</v>
      </c>
      <c r="T47" s="33">
        <v>47.960305466006297</v>
      </c>
      <c r="U47" s="15">
        <v>-8.78736810715397E-3</v>
      </c>
      <c r="V47" s="15">
        <v>6.3102629968203603E-3</v>
      </c>
      <c r="W47" s="15">
        <v>4.6040784111303999E-3</v>
      </c>
      <c r="X47" s="34">
        <v>1.1010147601475999</v>
      </c>
      <c r="Y47" s="34">
        <v>1.0913821229076099</v>
      </c>
      <c r="Z47" s="34">
        <v>1.1080696659257101</v>
      </c>
      <c r="AA47" s="34">
        <v>1.10573072664474</v>
      </c>
      <c r="AB47" s="33">
        <v>47.3223288492742</v>
      </c>
      <c r="AC47" s="33">
        <v>48.042204447439403</v>
      </c>
      <c r="AD47" s="33">
        <v>47.960305466006297</v>
      </c>
      <c r="AE47" s="15">
        <v>-8.78736810715397E-3</v>
      </c>
      <c r="AF47" s="15">
        <v>6.3102629968203603E-3</v>
      </c>
      <c r="AG47" s="15">
        <v>4.6040784111303999E-3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3.6134663184059215E-3</v>
      </c>
      <c r="AT47" s="12"/>
      <c r="AU47">
        <f t="shared" si="10"/>
        <v>0</v>
      </c>
      <c r="AV47">
        <f t="shared" si="11"/>
        <v>0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3.6134663184059215E-3</v>
      </c>
      <c r="BH47" s="29"/>
    </row>
    <row r="48" spans="1:124" x14ac:dyDescent="0.25">
      <c r="A48" s="1">
        <v>46092</v>
      </c>
      <c r="B48" s="33">
        <v>42.96</v>
      </c>
      <c r="C48" s="33">
        <v>47.46</v>
      </c>
      <c r="D48" s="15">
        <v>-9.2679069307814999E-3</v>
      </c>
      <c r="E48" s="15">
        <v>-5.8823699030665201E-3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42.96</v>
      </c>
      <c r="M48" s="33">
        <v>47.46</v>
      </c>
      <c r="N48" s="34">
        <v>1.10474860335195</v>
      </c>
      <c r="O48" s="34">
        <v>1.0913821229076099</v>
      </c>
      <c r="P48" s="34">
        <v>1.1073193380336599</v>
      </c>
      <c r="Q48" s="34">
        <v>1.1055975614295901</v>
      </c>
      <c r="R48" s="33">
        <v>46.8857760001111</v>
      </c>
      <c r="S48" s="33">
        <v>47.602672848168602</v>
      </c>
      <c r="T48" s="33">
        <v>47.502192016658199</v>
      </c>
      <c r="U48" s="15">
        <v>-1.21729051348688E-2</v>
      </c>
      <c r="V48" s="15">
        <v>3.0016609257280101E-3</v>
      </c>
      <c r="W48" s="15">
        <v>8.88606687325859E-4</v>
      </c>
      <c r="X48" s="34">
        <v>1.10474860335195</v>
      </c>
      <c r="Y48" s="34">
        <v>1.0913821229076099</v>
      </c>
      <c r="Z48" s="34">
        <v>1.1073193380336599</v>
      </c>
      <c r="AA48" s="34">
        <v>1.1055975614295901</v>
      </c>
      <c r="AB48" s="33">
        <v>46.8857760001111</v>
      </c>
      <c r="AC48" s="33">
        <v>47.602672848168602</v>
      </c>
      <c r="AD48" s="33">
        <v>47.502192016658199</v>
      </c>
      <c r="AE48" s="15">
        <v>-1.21729051348688E-2</v>
      </c>
      <c r="AF48" s="15">
        <v>3.0016609257280101E-3</v>
      </c>
      <c r="AG48" s="15">
        <v>8.88606687325859E-4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3.6134663184059215E-3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3.6134663184059215E-3</v>
      </c>
      <c r="BH48" s="29"/>
    </row>
    <row r="49" spans="1:60" x14ac:dyDescent="0.25">
      <c r="A49" s="1">
        <v>46093</v>
      </c>
      <c r="B49" s="33">
        <v>42.93</v>
      </c>
      <c r="C49" s="33">
        <v>47.32</v>
      </c>
      <c r="D49" s="15">
        <v>-6.9856796414002203E-4</v>
      </c>
      <c r="E49" s="15">
        <v>-2.9542118974315201E-3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42.93</v>
      </c>
      <c r="M49" s="33">
        <v>47.32</v>
      </c>
      <c r="N49" s="34">
        <v>1.10225949219659</v>
      </c>
      <c r="O49" s="34">
        <v>1.0913821229076099</v>
      </c>
      <c r="P49" s="34">
        <v>1.1066767106275801</v>
      </c>
      <c r="Q49" s="34">
        <v>1.10537379886461</v>
      </c>
      <c r="R49" s="33">
        <v>46.853034536423898</v>
      </c>
      <c r="S49" s="33">
        <v>47.537219181785296</v>
      </c>
      <c r="T49" s="33">
        <v>47.463303312172599</v>
      </c>
      <c r="U49" s="15">
        <v>-9.9172612015774892E-3</v>
      </c>
      <c r="V49" s="15">
        <v>4.5799268279872497E-3</v>
      </c>
      <c r="W49" s="15">
        <v>3.0238115017155302E-3</v>
      </c>
      <c r="X49" s="34">
        <v>1.10225949219659</v>
      </c>
      <c r="Y49" s="34">
        <v>1.0913821229076099</v>
      </c>
      <c r="Z49" s="34">
        <v>1.1066767106275801</v>
      </c>
      <c r="AA49" s="34">
        <v>1.10537379886461</v>
      </c>
      <c r="AB49" s="33">
        <v>46.853034536423898</v>
      </c>
      <c r="AC49" s="33">
        <v>47.537219181785296</v>
      </c>
      <c r="AD49" s="33">
        <v>47.463303312172599</v>
      </c>
      <c r="AE49" s="15">
        <v>-9.9172612015774892E-3</v>
      </c>
      <c r="AF49" s="15">
        <v>4.5799268279872497E-3</v>
      </c>
      <c r="AG49" s="15">
        <v>3.0238115017155302E-3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3.6134663184059215E-3</v>
      </c>
      <c r="AT49" s="12"/>
      <c r="AU49">
        <f t="shared" si="10"/>
        <v>0</v>
      </c>
      <c r="AV49">
        <f t="shared" si="11"/>
        <v>0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3.6134663184059215E-3</v>
      </c>
      <c r="BH49" s="29"/>
    </row>
    <row r="50" spans="1:60" x14ac:dyDescent="0.25">
      <c r="A50" s="1">
        <v>46094</v>
      </c>
      <c r="B50" s="33">
        <v>43.09</v>
      </c>
      <c r="C50" s="33">
        <v>47.61</v>
      </c>
      <c r="D50" s="15">
        <v>3.7200693912775901E-3</v>
      </c>
      <c r="E50" s="15">
        <v>6.1097840962413101E-3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43.09</v>
      </c>
      <c r="M50" s="33">
        <v>47.61</v>
      </c>
      <c r="N50" s="34">
        <v>1.10489672777906</v>
      </c>
      <c r="O50" s="34">
        <v>1.0913821229076099</v>
      </c>
      <c r="P50" s="34">
        <v>1.10641369523345</v>
      </c>
      <c r="Q50" s="34">
        <v>1.1054208542598301</v>
      </c>
      <c r="R50" s="33">
        <v>47.027655676089097</v>
      </c>
      <c r="S50" s="33">
        <v>47.686699460942798</v>
      </c>
      <c r="T50" s="33">
        <v>47.630556993076198</v>
      </c>
      <c r="U50" s="15">
        <v>-1.23069759065414E-2</v>
      </c>
      <c r="V50" s="15">
        <v>1.6096985087244999E-3</v>
      </c>
      <c r="W50" s="15">
        <v>4.3168570290904402E-4</v>
      </c>
      <c r="X50" s="34">
        <v>1.10489672777906</v>
      </c>
      <c r="Y50" s="34">
        <v>1.0913821229076099</v>
      </c>
      <c r="Z50" s="34">
        <v>1.10641369523345</v>
      </c>
      <c r="AA50" s="34">
        <v>1.1054208542598301</v>
      </c>
      <c r="AB50" s="33">
        <v>47.027655676089097</v>
      </c>
      <c r="AC50" s="33">
        <v>47.686699460942798</v>
      </c>
      <c r="AD50" s="33">
        <v>47.630556993076198</v>
      </c>
      <c r="AE50" s="15">
        <v>-1.23069759065414E-2</v>
      </c>
      <c r="AF50" s="15">
        <v>1.6096985087244999E-3</v>
      </c>
      <c r="AG50" s="15">
        <v>4.3168570290904402E-4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3.6134663184059215E-3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3.6134663184059215E-3</v>
      </c>
      <c r="BH50" s="29"/>
    </row>
    <row r="51" spans="1:60" x14ac:dyDescent="0.25">
      <c r="A51" s="1">
        <v>46097</v>
      </c>
      <c r="B51" s="33">
        <v>43.44</v>
      </c>
      <c r="C51" s="33">
        <v>48.21</v>
      </c>
      <c r="D51" s="15">
        <v>8.0897239979332708E-3</v>
      </c>
      <c r="E51" s="15">
        <v>1.2523645211103499E-2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43.44</v>
      </c>
      <c r="M51" s="33">
        <v>48.21</v>
      </c>
      <c r="N51" s="34">
        <v>1.1098066298342499</v>
      </c>
      <c r="O51" s="34">
        <v>1.0913821229076099</v>
      </c>
      <c r="P51" s="34">
        <v>1.1067429296454401</v>
      </c>
      <c r="Q51" s="34">
        <v>1.1057351783407099</v>
      </c>
      <c r="R51" s="33">
        <v>47.409639419106803</v>
      </c>
      <c r="S51" s="33">
        <v>48.062610920941097</v>
      </c>
      <c r="T51" s="33">
        <v>48.0194819090474</v>
      </c>
      <c r="U51" s="15">
        <v>-1.6740897119711599E-2</v>
      </c>
      <c r="V51" s="15">
        <v>-3.0619133064004401E-3</v>
      </c>
      <c r="W51" s="15">
        <v>-3.9596667486935799E-3</v>
      </c>
      <c r="X51" s="34">
        <v>1.1098066298342499</v>
      </c>
      <c r="Y51" s="34">
        <v>1.0913821229076099</v>
      </c>
      <c r="Z51" s="34">
        <v>1.1067429296454401</v>
      </c>
      <c r="AA51" s="34">
        <v>1.1057351783407099</v>
      </c>
      <c r="AB51" s="33">
        <v>47.409639419106803</v>
      </c>
      <c r="AC51" s="33">
        <v>48.062610920941097</v>
      </c>
      <c r="AD51" s="33">
        <v>48.0194819090474</v>
      </c>
      <c r="AE51" s="15">
        <v>-1.6740897119711599E-2</v>
      </c>
      <c r="AF51" s="15">
        <v>-3.0619133064004401E-3</v>
      </c>
      <c r="AG51" s="15">
        <v>-3.9596667486935799E-3</v>
      </c>
      <c r="AI51" s="12"/>
      <c r="AJ51">
        <f t="shared" si="6"/>
        <v>0</v>
      </c>
      <c r="AK51">
        <f t="shared" si="7"/>
        <v>0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3.6134663184059215E-3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3.6134663184059215E-3</v>
      </c>
      <c r="BH51" s="29"/>
    </row>
    <row r="52" spans="1:60" x14ac:dyDescent="0.25">
      <c r="A52" s="1">
        <v>46098</v>
      </c>
      <c r="B52" s="33">
        <v>43.75</v>
      </c>
      <c r="C52" s="33">
        <v>48.07</v>
      </c>
      <c r="D52" s="15">
        <v>7.1109371779435101E-3</v>
      </c>
      <c r="E52" s="15">
        <v>-2.9081865116615999E-3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43.75</v>
      </c>
      <c r="M52" s="33">
        <v>48.07</v>
      </c>
      <c r="N52" s="34">
        <v>1.0987428571428499</v>
      </c>
      <c r="O52" s="34">
        <v>1.0913821229076099</v>
      </c>
      <c r="P52" s="34">
        <v>1.1057481486319201</v>
      </c>
      <c r="Q52" s="34">
        <v>1.1054067322833001</v>
      </c>
      <c r="R52" s="33">
        <v>47.747967877208097</v>
      </c>
      <c r="S52" s="33">
        <v>48.420003171988398</v>
      </c>
      <c r="T52" s="33">
        <v>48.375914052406202</v>
      </c>
      <c r="U52" s="15">
        <v>-6.7217734301066E-3</v>
      </c>
      <c r="V52" s="15">
        <v>7.2547351139211503E-3</v>
      </c>
      <c r="W52" s="15">
        <v>6.3437644057464902E-3</v>
      </c>
      <c r="X52" s="34">
        <v>1.0987428571428499</v>
      </c>
      <c r="Y52" s="34">
        <v>1.0913821229076099</v>
      </c>
      <c r="Z52" s="34">
        <v>1.1057481486319201</v>
      </c>
      <c r="AA52" s="34">
        <v>1.1054067322833001</v>
      </c>
      <c r="AB52" s="33">
        <v>47.747967877208097</v>
      </c>
      <c r="AC52" s="33">
        <v>48.420003171988398</v>
      </c>
      <c r="AD52" s="33">
        <v>48.375914052406202</v>
      </c>
      <c r="AE52" s="15">
        <v>-6.7217734301066E-3</v>
      </c>
      <c r="AF52" s="15">
        <v>7.2547351139211503E-3</v>
      </c>
      <c r="AG52" s="15">
        <v>6.3437644057464902E-3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3.6134663184059215E-3</v>
      </c>
      <c r="AT52" s="12"/>
      <c r="AU52">
        <f t="shared" si="10"/>
        <v>0</v>
      </c>
      <c r="AV52">
        <f t="shared" si="11"/>
        <v>0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3.6134663184059215E-3</v>
      </c>
      <c r="BH52" s="29"/>
    </row>
    <row r="53" spans="1:60" x14ac:dyDescent="0.25">
      <c r="A53" s="1">
        <v>46099</v>
      </c>
      <c r="B53" s="33">
        <v>42.91</v>
      </c>
      <c r="C53" s="33">
        <v>47.11</v>
      </c>
      <c r="D53" s="15">
        <v>-1.9386713800190199E-2</v>
      </c>
      <c r="E53" s="15">
        <v>-2.0172989193919601E-2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42.91</v>
      </c>
      <c r="M53" s="33">
        <v>47.11</v>
      </c>
      <c r="N53" s="34">
        <v>1.0978792822185901</v>
      </c>
      <c r="O53" s="34">
        <v>1.0913821229076099</v>
      </c>
      <c r="P53" s="34">
        <v>1.1045059948118401</v>
      </c>
      <c r="Q53" s="34">
        <v>1.10512113838318</v>
      </c>
      <c r="R53" s="33">
        <v>46.8312068939657</v>
      </c>
      <c r="S53" s="33">
        <v>47.447653057795698</v>
      </c>
      <c r="T53" s="33">
        <v>47.433002882276703</v>
      </c>
      <c r="U53" s="15">
        <v>-5.9354980363771903E-3</v>
      </c>
      <c r="V53" s="15">
        <v>7.14176974656447E-3</v>
      </c>
      <c r="W53" s="15">
        <v>6.8329570493868997E-3</v>
      </c>
      <c r="X53" s="34">
        <v>1.0978792822185901</v>
      </c>
      <c r="Y53" s="34">
        <v>1.0913821229076099</v>
      </c>
      <c r="Z53" s="34">
        <v>1.1045059948118401</v>
      </c>
      <c r="AA53" s="34">
        <v>1.10512113838318</v>
      </c>
      <c r="AB53" s="33">
        <v>46.8312068939657</v>
      </c>
      <c r="AC53" s="33">
        <v>47.447653057795698</v>
      </c>
      <c r="AD53" s="33">
        <v>47.433002882276703</v>
      </c>
      <c r="AE53" s="15">
        <v>-5.9354980363771903E-3</v>
      </c>
      <c r="AF53" s="15">
        <v>7.14176974656447E-3</v>
      </c>
      <c r="AG53" s="15">
        <v>6.8329570493868997E-3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3.6134663184059215E-3</v>
      </c>
      <c r="AT53" s="12"/>
      <c r="AU53">
        <f t="shared" si="10"/>
        <v>0</v>
      </c>
      <c r="AV53">
        <f t="shared" si="11"/>
        <v>0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3.6134663184059215E-3</v>
      </c>
      <c r="BH53" s="29"/>
    </row>
    <row r="54" spans="1:60" x14ac:dyDescent="0.25">
      <c r="A54" s="1">
        <v>46100</v>
      </c>
      <c r="B54" s="33">
        <v>42.46</v>
      </c>
      <c r="C54" s="33">
        <v>46.87</v>
      </c>
      <c r="D54" s="15">
        <v>-1.0542442728323199E-2</v>
      </c>
      <c r="E54" s="15">
        <v>-5.1074807773350698E-3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42.46</v>
      </c>
      <c r="M54" s="33">
        <v>46.87</v>
      </c>
      <c r="N54" s="34">
        <v>1.1038624587847301</v>
      </c>
      <c r="O54" s="34">
        <v>1.0913821229076099</v>
      </c>
      <c r="P54" s="34">
        <v>1.1041373521046001</v>
      </c>
      <c r="Q54" s="34">
        <v>1.10530143782044</v>
      </c>
      <c r="R54" s="33">
        <v>46.340084938657299</v>
      </c>
      <c r="S54" s="33">
        <v>46.897324539711001</v>
      </c>
      <c r="T54" s="33">
        <v>46.923443535750103</v>
      </c>
      <c r="U54" s="15">
        <v>-1.1370459987365199E-2</v>
      </c>
      <c r="V54" s="15">
        <v>5.8281582883239799E-4</v>
      </c>
      <c r="W54" s="15">
        <v>1.1396007976538301E-3</v>
      </c>
      <c r="X54" s="34">
        <v>1.1038624587847301</v>
      </c>
      <c r="Y54" s="34">
        <v>1.0913821229076099</v>
      </c>
      <c r="Z54" s="34">
        <v>1.1041373521046001</v>
      </c>
      <c r="AA54" s="34">
        <v>1.10530143782044</v>
      </c>
      <c r="AB54" s="33">
        <v>46.340084938657299</v>
      </c>
      <c r="AC54" s="33">
        <v>46.897324539711001</v>
      </c>
      <c r="AD54" s="33">
        <v>46.923443535750103</v>
      </c>
      <c r="AE54" s="15">
        <v>-1.1370459987365199E-2</v>
      </c>
      <c r="AF54" s="15">
        <v>5.8281582883239799E-4</v>
      </c>
      <c r="AG54" s="15">
        <v>1.1396007976538301E-3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3.6134663184059215E-3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3.6134663184059215E-3</v>
      </c>
      <c r="BH54" s="29"/>
    </row>
    <row r="55" spans="1:60" x14ac:dyDescent="0.25">
      <c r="A55" s="1">
        <v>46101</v>
      </c>
      <c r="B55" s="33">
        <v>41.48</v>
      </c>
      <c r="C55" s="33">
        <v>46.03</v>
      </c>
      <c r="D55" s="15">
        <v>-2.3351072913783501E-2</v>
      </c>
      <c r="E55" s="15">
        <v>-1.8084454105464502E-2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41.48</v>
      </c>
      <c r="M55" s="33">
        <v>46.03</v>
      </c>
      <c r="N55" s="34">
        <v>1.1096914175506201</v>
      </c>
      <c r="O55" s="34">
        <v>1.0913821229076099</v>
      </c>
      <c r="P55" s="34">
        <v>1.1043154559081301</v>
      </c>
      <c r="Q55" s="34">
        <v>1.10539532935644</v>
      </c>
      <c r="R55" s="33">
        <v>45.270530458207801</v>
      </c>
      <c r="S55" s="33">
        <v>45.799617365298801</v>
      </c>
      <c r="T55" s="33">
        <v>45.847903640791898</v>
      </c>
      <c r="U55" s="15">
        <v>-1.6637078795684299E-2</v>
      </c>
      <c r="V55" s="15">
        <v>-5.0176212133674503E-3</v>
      </c>
      <c r="W55" s="15">
        <v>-3.9638822920961703E-3</v>
      </c>
      <c r="X55" s="34">
        <v>1.1096914175506201</v>
      </c>
      <c r="Y55" s="34">
        <v>1.0913821229076099</v>
      </c>
      <c r="Z55" s="34">
        <v>1.1043154559081301</v>
      </c>
      <c r="AA55" s="34">
        <v>1.10539532935644</v>
      </c>
      <c r="AB55" s="33">
        <v>45.270530458207801</v>
      </c>
      <c r="AC55" s="33">
        <v>45.799617365298801</v>
      </c>
      <c r="AD55" s="33">
        <v>45.847903640791898</v>
      </c>
      <c r="AE55" s="15">
        <v>-1.6637078795684299E-2</v>
      </c>
      <c r="AF55" s="15">
        <v>-5.0176212133674503E-3</v>
      </c>
      <c r="AG55" s="15">
        <v>-3.9638822920961703E-3</v>
      </c>
      <c r="AI55" s="12"/>
      <c r="AJ55">
        <f t="shared" si="6"/>
        <v>0</v>
      </c>
      <c r="AK55">
        <f t="shared" si="7"/>
        <v>0</v>
      </c>
      <c r="AL55">
        <f t="shared" si="14"/>
        <v>0</v>
      </c>
      <c r="AM55">
        <f t="shared" si="4"/>
        <v>1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3.6134663184059215E-3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3.6134663184059215E-3</v>
      </c>
      <c r="BH55" s="29"/>
    </row>
    <row r="56" spans="1:60" x14ac:dyDescent="0.25">
      <c r="A56" s="1">
        <v>46104</v>
      </c>
      <c r="B56" s="33">
        <v>41.97</v>
      </c>
      <c r="C56" s="33">
        <v>46.48</v>
      </c>
      <c r="D56" s="15">
        <v>1.1743693984172901E-2</v>
      </c>
      <c r="E56" s="15">
        <v>9.7287547145055199E-3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41.97</v>
      </c>
      <c r="M56" s="33">
        <v>46.48</v>
      </c>
      <c r="N56" s="34">
        <v>1.1074577078865799</v>
      </c>
      <c r="O56" s="34">
        <v>1.0913821229076099</v>
      </c>
      <c r="P56" s="34">
        <v>1.1040359936892801</v>
      </c>
      <c r="Q56" s="34">
        <v>1.10601020680128</v>
      </c>
      <c r="R56" s="33">
        <v>45.8053076984326</v>
      </c>
      <c r="S56" s="33">
        <v>46.348119684464201</v>
      </c>
      <c r="T56" s="33">
        <v>46.393441973090098</v>
      </c>
      <c r="U56" s="15">
        <v>-1.4622139526016899E-2</v>
      </c>
      <c r="V56" s="15">
        <v>-2.8413891116589002E-3</v>
      </c>
      <c r="W56" s="15">
        <v>-1.8640000872816201E-3</v>
      </c>
      <c r="X56" s="34">
        <v>1.1074577078865799</v>
      </c>
      <c r="Y56" s="34">
        <v>1.0913821229076099</v>
      </c>
      <c r="Z56" s="34">
        <v>1.1040359936892801</v>
      </c>
      <c r="AA56" s="34">
        <v>1.10601020680128</v>
      </c>
      <c r="AB56" s="33">
        <v>45.8053076984326</v>
      </c>
      <c r="AC56" s="33">
        <v>46.348119684464201</v>
      </c>
      <c r="AD56" s="33">
        <v>46.393441973090098</v>
      </c>
      <c r="AE56" s="15">
        <v>-1.4622139526016899E-2</v>
      </c>
      <c r="AF56" s="15">
        <v>-2.8413891116589002E-3</v>
      </c>
      <c r="AG56" s="15">
        <v>-1.8640000872816201E-3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3.6134663184059215E-3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3.6134663184059215E-3</v>
      </c>
      <c r="BH56" s="29"/>
    </row>
    <row r="57" spans="1:60" x14ac:dyDescent="0.25">
      <c r="A57" s="1">
        <v>46105</v>
      </c>
      <c r="B57" s="33">
        <v>42.35</v>
      </c>
      <c r="C57" s="33">
        <v>47.15</v>
      </c>
      <c r="D57" s="15">
        <v>9.0133437525640007E-3</v>
      </c>
      <c r="E57" s="15">
        <v>1.4311896535810701E-2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42.35</v>
      </c>
      <c r="M57" s="33">
        <v>47.15</v>
      </c>
      <c r="N57" s="34">
        <v>1.1133412042502899</v>
      </c>
      <c r="O57" s="34">
        <v>1.0913821229076099</v>
      </c>
      <c r="P57" s="34">
        <v>1.10526863809955</v>
      </c>
      <c r="Q57" s="34">
        <v>1.1066691520126299</v>
      </c>
      <c r="R57" s="33">
        <v>46.220032905137501</v>
      </c>
      <c r="S57" s="33">
        <v>46.755924332741301</v>
      </c>
      <c r="T57" s="33">
        <v>46.839532258034197</v>
      </c>
      <c r="U57" s="15">
        <v>-1.9920692309263702E-2</v>
      </c>
      <c r="V57" s="15">
        <v>-8.3930376785373295E-3</v>
      </c>
      <c r="W57" s="15">
        <v>-6.6064563512568597E-3</v>
      </c>
      <c r="X57" s="34">
        <v>1.1133412042502899</v>
      </c>
      <c r="Y57" s="34">
        <v>1.0913821229076099</v>
      </c>
      <c r="Z57" s="34">
        <v>1.10526863809955</v>
      </c>
      <c r="AA57" s="34">
        <v>1.1066691520126299</v>
      </c>
      <c r="AB57" s="33">
        <v>46.220032905137501</v>
      </c>
      <c r="AC57" s="33">
        <v>46.755924332741301</v>
      </c>
      <c r="AD57" s="33">
        <v>46.839532258034197</v>
      </c>
      <c r="AE57" s="15">
        <v>-1.9920692309263702E-2</v>
      </c>
      <c r="AF57" s="15">
        <v>-8.3930376785373295E-3</v>
      </c>
      <c r="AG57" s="15">
        <v>-6.6064563512568597E-3</v>
      </c>
      <c r="AI57" s="12"/>
      <c r="AJ57">
        <f t="shared" si="6"/>
        <v>0</v>
      </c>
      <c r="AK57">
        <f t="shared" si="7"/>
        <v>0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3.6134663184059215E-3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3.6134663184059215E-3</v>
      </c>
      <c r="BH57" s="29"/>
    </row>
    <row r="58" spans="1:60" x14ac:dyDescent="0.25">
      <c r="A58" s="1">
        <v>46106</v>
      </c>
      <c r="B58" s="33">
        <v>42.54</v>
      </c>
      <c r="C58" s="33">
        <v>47.39</v>
      </c>
      <c r="D58" s="15">
        <v>4.4763886740277203E-3</v>
      </c>
      <c r="E58" s="15">
        <v>5.0772269000305698E-3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42.54</v>
      </c>
      <c r="M58" s="33">
        <v>47.39</v>
      </c>
      <c r="N58" s="34">
        <v>1.1140103432063899</v>
      </c>
      <c r="O58" s="34">
        <v>1.0913821229076099</v>
      </c>
      <c r="P58" s="34">
        <v>1.106194812085</v>
      </c>
      <c r="Q58" s="34">
        <v>1.1067570750593301</v>
      </c>
      <c r="R58" s="33">
        <v>46.427395508489901</v>
      </c>
      <c r="S58" s="33">
        <v>47.018127864755101</v>
      </c>
      <c r="T58" s="33">
        <v>47.077705726617502</v>
      </c>
      <c r="U58" s="15">
        <v>-2.05215305352664E-2</v>
      </c>
      <c r="V58" s="15">
        <v>-7.8780093821634607E-3</v>
      </c>
      <c r="W58" s="15">
        <v>-6.6116861550897304E-3</v>
      </c>
      <c r="X58" s="34">
        <v>1.1140103432063899</v>
      </c>
      <c r="Y58" s="34">
        <v>1.0913821229076099</v>
      </c>
      <c r="Z58" s="34">
        <v>1.106194812085</v>
      </c>
      <c r="AA58" s="34">
        <v>1.1067570750593301</v>
      </c>
      <c r="AB58" s="33">
        <v>46.427395508489901</v>
      </c>
      <c r="AC58" s="33">
        <v>47.018127864755101</v>
      </c>
      <c r="AD58" s="33">
        <v>47.077705726617502</v>
      </c>
      <c r="AE58" s="15">
        <v>-2.05215305352664E-2</v>
      </c>
      <c r="AF58" s="15">
        <v>-7.8780093821634607E-3</v>
      </c>
      <c r="AG58" s="15">
        <v>-6.6116861550897304E-3</v>
      </c>
      <c r="AI58" s="12"/>
      <c r="AJ58">
        <f t="shared" si="6"/>
        <v>0</v>
      </c>
      <c r="AK58">
        <f t="shared" si="7"/>
        <v>0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3.6134663184059215E-3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0</v>
      </c>
      <c r="BF58" s="29">
        <f t="shared" si="23"/>
        <v>3.6134663184059215E-3</v>
      </c>
      <c r="BH58" s="29"/>
    </row>
    <row r="59" spans="1:60" x14ac:dyDescent="0.25">
      <c r="A59" s="1">
        <v>46107</v>
      </c>
      <c r="B59" s="33">
        <v>42.16</v>
      </c>
      <c r="C59" s="33">
        <v>46.68</v>
      </c>
      <c r="D59" s="15">
        <v>-8.9729055389843396E-3</v>
      </c>
      <c r="E59" s="15">
        <v>-1.5095428561141599E-2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42.16</v>
      </c>
      <c r="M59" s="33">
        <v>46.68</v>
      </c>
      <c r="N59" s="34">
        <v>1.10721062618595</v>
      </c>
      <c r="O59" s="34">
        <v>1.0913821229076099</v>
      </c>
      <c r="P59" s="34">
        <v>1.10668992548393</v>
      </c>
      <c r="Q59" s="34">
        <v>1.10668331805576</v>
      </c>
      <c r="R59" s="33">
        <v>46.012670301785001</v>
      </c>
      <c r="S59" s="33">
        <v>46.637173277503599</v>
      </c>
      <c r="T59" s="33">
        <v>46.6608782845015</v>
      </c>
      <c r="U59" s="15">
        <v>-1.4399007513109E-2</v>
      </c>
      <c r="V59" s="15">
        <v>-9.1787447045245103E-4</v>
      </c>
      <c r="W59" s="15">
        <v>-4.0971793103699E-4</v>
      </c>
      <c r="X59" s="34">
        <v>1.10721062618595</v>
      </c>
      <c r="Y59" s="34">
        <v>1.0913821229076099</v>
      </c>
      <c r="Z59" s="34">
        <v>1.10668992548393</v>
      </c>
      <c r="AA59" s="34">
        <v>1.10668331805576</v>
      </c>
      <c r="AB59" s="33">
        <v>46.012670301785001</v>
      </c>
      <c r="AC59" s="33">
        <v>46.637173277503599</v>
      </c>
      <c r="AD59" s="33">
        <v>46.6608782845015</v>
      </c>
      <c r="AE59" s="15">
        <v>-1.4399007513109E-2</v>
      </c>
      <c r="AF59" s="15">
        <v>-9.1787447045245103E-4</v>
      </c>
      <c r="AG59" s="15">
        <v>-4.0971793103699E-4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3.6134663184059215E-3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0</v>
      </c>
      <c r="BF59" s="29">
        <f t="shared" si="23"/>
        <v>3.6134663184059215E-3</v>
      </c>
      <c r="BH59" s="29"/>
    </row>
    <row r="60" spans="1:60" x14ac:dyDescent="0.25">
      <c r="A60" s="1">
        <v>46108</v>
      </c>
      <c r="B60" s="33">
        <v>41.53</v>
      </c>
      <c r="C60" s="33">
        <v>46.19</v>
      </c>
      <c r="D60" s="15">
        <v>-1.50558465904445E-2</v>
      </c>
      <c r="E60" s="15">
        <v>-1.05524829758412E-2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41.53</v>
      </c>
      <c r="M60" s="33">
        <v>46.19</v>
      </c>
      <c r="N60" s="34">
        <v>1.112208042379</v>
      </c>
      <c r="O60" s="34">
        <v>1.0913821229076099</v>
      </c>
      <c r="P60" s="34">
        <v>1.10742105694393</v>
      </c>
      <c r="Q60" s="34">
        <v>1.1069173760886899</v>
      </c>
      <c r="R60" s="33">
        <v>45.325099564353202</v>
      </c>
      <c r="S60" s="33">
        <v>45.960832605347903</v>
      </c>
      <c r="T60" s="33">
        <v>45.9605581988558</v>
      </c>
      <c r="U60" s="15">
        <v>-1.8902371127712401E-2</v>
      </c>
      <c r="V60" s="15">
        <v>-4.9737557568606504E-3</v>
      </c>
      <c r="W60" s="15">
        <v>-4.9797262168303899E-3</v>
      </c>
      <c r="X60" s="34">
        <v>1.112208042379</v>
      </c>
      <c r="Y60" s="34">
        <v>1.0913821229076099</v>
      </c>
      <c r="Z60" s="34">
        <v>1.10742105694393</v>
      </c>
      <c r="AA60" s="34">
        <v>1.1069173760886899</v>
      </c>
      <c r="AB60" s="33">
        <v>45.325099564353202</v>
      </c>
      <c r="AC60" s="33">
        <v>45.960832605347903</v>
      </c>
      <c r="AD60" s="33">
        <v>45.9605581988558</v>
      </c>
      <c r="AE60" s="15">
        <v>-1.8902371127712401E-2</v>
      </c>
      <c r="AF60" s="15">
        <v>-4.9737557568606504E-3</v>
      </c>
      <c r="AG60" s="15">
        <v>-4.9797262168303899E-3</v>
      </c>
      <c r="AI60" s="12"/>
      <c r="AJ60">
        <f t="shared" si="6"/>
        <v>0</v>
      </c>
      <c r="AK60">
        <f t="shared" si="7"/>
        <v>0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3.6134663184059215E-3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0</v>
      </c>
      <c r="BE60" s="29">
        <f t="shared" si="22"/>
        <v>0</v>
      </c>
      <c r="BF60" s="29">
        <f t="shared" si="23"/>
        <v>3.6134663184059215E-3</v>
      </c>
      <c r="BH60" s="29"/>
    </row>
    <row r="61" spans="1:60" x14ac:dyDescent="0.25">
      <c r="A61" s="1">
        <v>46111</v>
      </c>
      <c r="B61" s="33">
        <v>42.01</v>
      </c>
      <c r="C61" s="33">
        <v>46.71</v>
      </c>
      <c r="D61" s="15">
        <v>1.14916275386285E-2</v>
      </c>
      <c r="E61" s="15">
        <v>1.1194950071502599E-2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42.01</v>
      </c>
      <c r="M61" s="33">
        <v>46.71</v>
      </c>
      <c r="N61" s="34">
        <v>1.11187812425612</v>
      </c>
      <c r="O61" s="34">
        <v>1.0913821229076099</v>
      </c>
      <c r="P61" s="34">
        <v>1.10762820638611</v>
      </c>
      <c r="Q61" s="34">
        <v>1.1071855680157801</v>
      </c>
      <c r="R61" s="33">
        <v>45.848962983348898</v>
      </c>
      <c r="S61" s="33">
        <v>46.522758602214502</v>
      </c>
      <c r="T61" s="33">
        <v>46.501598969485897</v>
      </c>
      <c r="U61" s="15">
        <v>-1.8605693660586599E-2</v>
      </c>
      <c r="V61" s="15">
        <v>-4.0166493479421297E-3</v>
      </c>
      <c r="W61" s="15">
        <v>-4.4715760713484303E-3</v>
      </c>
      <c r="X61" s="34">
        <v>1.11187812425612</v>
      </c>
      <c r="Y61" s="34">
        <v>1.0913821229076099</v>
      </c>
      <c r="Z61" s="34">
        <v>1.10762820638611</v>
      </c>
      <c r="AA61" s="34">
        <v>1.1071855680157801</v>
      </c>
      <c r="AB61" s="33">
        <v>45.848962983348898</v>
      </c>
      <c r="AC61" s="33">
        <v>46.522758602214502</v>
      </c>
      <c r="AD61" s="33">
        <v>46.501598969485897</v>
      </c>
      <c r="AE61" s="15">
        <v>-1.8605693660586599E-2</v>
      </c>
      <c r="AF61" s="15">
        <v>-4.0166493479421297E-3</v>
      </c>
      <c r="AG61" s="15">
        <v>-4.4715760713484303E-3</v>
      </c>
      <c r="AI61" s="12"/>
      <c r="AJ61">
        <f t="shared" si="6"/>
        <v>0</v>
      </c>
      <c r="AK61">
        <f t="shared" si="7"/>
        <v>0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3.6134663184059215E-3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0</v>
      </c>
      <c r="BE61" s="29">
        <f t="shared" si="22"/>
        <v>0</v>
      </c>
      <c r="BF61" s="29">
        <f t="shared" si="23"/>
        <v>3.6134663184059215E-3</v>
      </c>
      <c r="BH61" s="29"/>
    </row>
    <row r="62" spans="1:60" x14ac:dyDescent="0.25">
      <c r="A62" s="1">
        <v>46112</v>
      </c>
      <c r="B62" s="33">
        <v>42.7</v>
      </c>
      <c r="C62" s="33">
        <v>47.15</v>
      </c>
      <c r="D62" s="15">
        <v>1.6291235053288201E-2</v>
      </c>
      <c r="E62" s="15">
        <v>9.3757345654499093E-3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42.7</v>
      </c>
      <c r="M62" s="33">
        <v>47.15</v>
      </c>
      <c r="N62" s="34">
        <v>1.10421545667447</v>
      </c>
      <c r="O62" s="34">
        <v>1.0913821229076099</v>
      </c>
      <c r="P62" s="34">
        <v>1.10817546633928</v>
      </c>
      <c r="Q62" s="34">
        <v>1.1069618074856</v>
      </c>
      <c r="R62" s="33">
        <v>46.6020166481551</v>
      </c>
      <c r="S62" s="33">
        <v>47.2957244126872</v>
      </c>
      <c r="T62" s="33">
        <v>47.276823754273899</v>
      </c>
      <c r="U62" s="15">
        <v>-1.1690193172748199E-2</v>
      </c>
      <c r="V62" s="15">
        <v>3.0858893662877298E-3</v>
      </c>
      <c r="W62" s="15">
        <v>2.6861822836035101E-3</v>
      </c>
      <c r="X62" s="34">
        <v>1.10421545667447</v>
      </c>
      <c r="Y62" s="34">
        <v>1.0913821229076099</v>
      </c>
      <c r="Z62" s="34">
        <v>1.10817546633928</v>
      </c>
      <c r="AA62" s="34">
        <v>1.1069618074856</v>
      </c>
      <c r="AB62" s="33">
        <v>46.6020166481551</v>
      </c>
      <c r="AC62" s="33">
        <v>47.2957244126872</v>
      </c>
      <c r="AD62" s="33">
        <v>47.276823754273899</v>
      </c>
      <c r="AE62" s="15">
        <v>-1.1690193172748199E-2</v>
      </c>
      <c r="AF62" s="15">
        <v>3.0858893662877298E-3</v>
      </c>
      <c r="AG62" s="15">
        <v>2.6861822836035101E-3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1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3.6134663184059215E-3</v>
      </c>
      <c r="AT62" s="12"/>
      <c r="AU62">
        <f t="shared" si="10"/>
        <v>0</v>
      </c>
      <c r="AV62">
        <f t="shared" si="11"/>
        <v>0</v>
      </c>
      <c r="AW62">
        <f t="shared" si="18"/>
        <v>0</v>
      </c>
      <c r="AX62">
        <f t="shared" si="5"/>
        <v>1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0</v>
      </c>
      <c r="BE62" s="29">
        <f t="shared" si="22"/>
        <v>0</v>
      </c>
      <c r="BF62" s="29">
        <f t="shared" si="23"/>
        <v>3.6134663184059215E-3</v>
      </c>
      <c r="BH62" s="29"/>
    </row>
    <row r="63" spans="1:60" x14ac:dyDescent="0.25">
      <c r="A63" s="1">
        <v>46113</v>
      </c>
      <c r="B63" s="33">
        <v>42.4</v>
      </c>
      <c r="C63" s="33">
        <v>46.97</v>
      </c>
      <c r="D63" s="15">
        <v>-7.0505579966669103E-3</v>
      </c>
      <c r="E63" s="15">
        <v>-3.8249090405627099E-3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42.4</v>
      </c>
      <c r="M63" s="33">
        <v>46.97</v>
      </c>
      <c r="N63" s="34">
        <v>1.1077830188679201</v>
      </c>
      <c r="O63" s="34">
        <v>1.0913821229076099</v>
      </c>
      <c r="P63" s="34">
        <v>1.1091658400042099</v>
      </c>
      <c r="Q63" s="34">
        <v>1.10683591740803</v>
      </c>
      <c r="R63" s="33">
        <v>46.274602011282802</v>
      </c>
      <c r="S63" s="33">
        <v>46.986639772785402</v>
      </c>
      <c r="T63" s="33">
        <v>46.935180637389401</v>
      </c>
      <c r="U63" s="15">
        <v>-1.4915842128852301E-2</v>
      </c>
      <c r="V63" s="15">
        <v>3.5420110807888602E-4</v>
      </c>
      <c r="W63" s="15">
        <v>-7.4158558601266104E-4</v>
      </c>
      <c r="X63" s="34">
        <v>1.1077830188679201</v>
      </c>
      <c r="Y63" s="34">
        <v>1.0913821229076099</v>
      </c>
      <c r="Z63" s="34">
        <v>1.1091658400042099</v>
      </c>
      <c r="AA63" s="34">
        <v>1.10683591740803</v>
      </c>
      <c r="AB63" s="33">
        <v>46.274602011282802</v>
      </c>
      <c r="AC63" s="33">
        <v>46.986639772785402</v>
      </c>
      <c r="AD63" s="33">
        <v>46.935180637389401</v>
      </c>
      <c r="AE63" s="15">
        <v>-1.4915842128852301E-2</v>
      </c>
      <c r="AF63" s="15">
        <v>3.5420110807888602E-4</v>
      </c>
      <c r="AG63" s="15">
        <v>-7.4158558601266104E-4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3.6134663184059215E-3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0</v>
      </c>
      <c r="BE63" s="29">
        <f t="shared" si="22"/>
        <v>0</v>
      </c>
      <c r="BF63" s="29">
        <f t="shared" si="23"/>
        <v>3.6134663184059215E-3</v>
      </c>
      <c r="BH63" s="29"/>
    </row>
    <row r="64" spans="1:60" x14ac:dyDescent="0.25">
      <c r="A64" s="1">
        <v>46114</v>
      </c>
      <c r="B64" s="33">
        <v>43.89</v>
      </c>
      <c r="C64" s="33">
        <v>48.65</v>
      </c>
      <c r="D64" s="15">
        <v>3.4538141462230498E-2</v>
      </c>
      <c r="E64" s="15">
        <v>3.5142708593110299E-2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43.89</v>
      </c>
      <c r="M64" s="33">
        <v>48.65</v>
      </c>
      <c r="N64" s="34">
        <v>1.1084529505582099</v>
      </c>
      <c r="O64" s="34">
        <v>1.0913821229076099</v>
      </c>
      <c r="P64" s="34">
        <v>1.1096248891815601</v>
      </c>
      <c r="Q64" s="34">
        <v>1.10688112064308</v>
      </c>
      <c r="R64" s="33">
        <v>47.900761374415197</v>
      </c>
      <c r="S64" s="33">
        <v>48.681288717784902</v>
      </c>
      <c r="T64" s="33">
        <v>48.579028415038401</v>
      </c>
      <c r="U64" s="15">
        <v>-1.5520409259732E-2</v>
      </c>
      <c r="V64" s="15">
        <v>6.4293238638649098E-4</v>
      </c>
      <c r="W64" s="15">
        <v>-1.45988494842372E-3</v>
      </c>
      <c r="X64" s="34">
        <v>1.1084529505582099</v>
      </c>
      <c r="Y64" s="34">
        <v>1.0913821229076099</v>
      </c>
      <c r="Z64" s="34">
        <v>1.1096248891815601</v>
      </c>
      <c r="AA64" s="34">
        <v>1.10688112064308</v>
      </c>
      <c r="AB64" s="33">
        <v>47.900761374415197</v>
      </c>
      <c r="AC64" s="33">
        <v>48.681288717784902</v>
      </c>
      <c r="AD64" s="33">
        <v>48.579028415038401</v>
      </c>
      <c r="AE64" s="15">
        <v>-1.5520409259732E-2</v>
      </c>
      <c r="AF64" s="15">
        <v>6.4293238638649098E-4</v>
      </c>
      <c r="AG64" s="15">
        <v>-1.45988494842372E-3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3.6134663184059215E-3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0</v>
      </c>
      <c r="BE64" s="29">
        <f t="shared" si="22"/>
        <v>0</v>
      </c>
      <c r="BF64" s="29">
        <f t="shared" si="23"/>
        <v>3.6134663184059215E-3</v>
      </c>
      <c r="BH64" s="29"/>
    </row>
    <row r="65" spans="1:60" x14ac:dyDescent="0.25">
      <c r="A65" s="1">
        <v>46118</v>
      </c>
      <c r="B65" s="33">
        <v>43.91</v>
      </c>
      <c r="C65" s="33">
        <v>48.75</v>
      </c>
      <c r="D65" s="15">
        <v>4.5558087348339398E-4</v>
      </c>
      <c r="E65" s="15">
        <v>2.0533888118422199E-3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43.91</v>
      </c>
      <c r="M65" s="33">
        <v>48.75</v>
      </c>
      <c r="N65" s="34">
        <v>1.11022546117057</v>
      </c>
      <c r="O65" s="34">
        <v>1.0913821229076099</v>
      </c>
      <c r="P65" s="34">
        <v>1.1096782935435501</v>
      </c>
      <c r="Q65" s="34">
        <v>1.1069968747258401</v>
      </c>
      <c r="R65" s="33">
        <v>47.922589016873303</v>
      </c>
      <c r="S65" s="33">
        <v>48.723628883962299</v>
      </c>
      <c r="T65" s="33">
        <v>48.603150007437598</v>
      </c>
      <c r="U65" s="15">
        <v>-1.7118217198090702E-2</v>
      </c>
      <c r="V65" s="15">
        <v>-5.41092334060846E-4</v>
      </c>
      <c r="W65" s="15">
        <v>-3.0168536699543302E-3</v>
      </c>
      <c r="X65" s="34">
        <v>1.11022546117057</v>
      </c>
      <c r="Y65" s="34">
        <v>1.0913821229076099</v>
      </c>
      <c r="Z65" s="34">
        <v>1.1096782935435501</v>
      </c>
      <c r="AA65" s="34">
        <v>1.1069968747258401</v>
      </c>
      <c r="AB65" s="33">
        <v>47.922589016873303</v>
      </c>
      <c r="AC65" s="33">
        <v>48.723628883962299</v>
      </c>
      <c r="AD65" s="33">
        <v>48.603150007437598</v>
      </c>
      <c r="AE65" s="15">
        <v>-1.7118217198090702E-2</v>
      </c>
      <c r="AF65" s="15">
        <v>-5.41092334060846E-4</v>
      </c>
      <c r="AG65" s="15">
        <v>-3.0168536699543302E-3</v>
      </c>
      <c r="AI65" s="12"/>
      <c r="AJ65">
        <f t="shared" si="6"/>
        <v>0</v>
      </c>
      <c r="AK65">
        <f t="shared" si="7"/>
        <v>0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3.6134663184059215E-3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0</v>
      </c>
      <c r="BE65" s="29">
        <f t="shared" si="22"/>
        <v>0</v>
      </c>
      <c r="BF65" s="29">
        <f t="shared" si="23"/>
        <v>3.6134663184059215E-3</v>
      </c>
      <c r="BH65" s="29"/>
    </row>
    <row r="66" spans="1:60" x14ac:dyDescent="0.25">
      <c r="A66" s="1">
        <v>46119</v>
      </c>
      <c r="B66" s="33">
        <v>43.9</v>
      </c>
      <c r="C66" s="33">
        <v>48.58</v>
      </c>
      <c r="D66" s="15">
        <v>-2.27764492500414E-4</v>
      </c>
      <c r="E66" s="15">
        <v>-3.4932738698297198E-3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43.9</v>
      </c>
      <c r="M66" s="33">
        <v>48.58</v>
      </c>
      <c r="N66" s="34">
        <v>1.1066059225512499</v>
      </c>
      <c r="O66" s="34">
        <v>1.0913821229076099</v>
      </c>
      <c r="P66" s="34">
        <v>1.10959311501002</v>
      </c>
      <c r="Q66" s="34">
        <v>1.1068145543496499</v>
      </c>
      <c r="R66" s="33">
        <v>47.9116751956443</v>
      </c>
      <c r="S66" s="33">
        <v>48.714877086561998</v>
      </c>
      <c r="T66" s="33">
        <v>48.597162800464503</v>
      </c>
      <c r="U66" s="15">
        <v>-1.38527078207613E-2</v>
      </c>
      <c r="V66" s="15">
        <v>2.7725441873389899E-3</v>
      </c>
      <c r="W66" s="15">
        <v>3.5322703706048701E-4</v>
      </c>
      <c r="X66" s="34">
        <v>1.1066059225512499</v>
      </c>
      <c r="Y66" s="34">
        <v>1.0913821229076099</v>
      </c>
      <c r="Z66" s="34">
        <v>1.10959311501002</v>
      </c>
      <c r="AA66" s="34">
        <v>1.1068145543496499</v>
      </c>
      <c r="AB66" s="33">
        <v>47.9116751956443</v>
      </c>
      <c r="AC66" s="33">
        <v>48.714877086561998</v>
      </c>
      <c r="AD66" s="33">
        <v>48.597162800464503</v>
      </c>
      <c r="AE66" s="15">
        <v>-1.38527078207613E-2</v>
      </c>
      <c r="AF66" s="15">
        <v>2.7725441873389899E-3</v>
      </c>
      <c r="AG66" s="15">
        <v>3.5322703706048701E-4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3.6134663184059215E-3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0</v>
      </c>
      <c r="BE66" s="29">
        <f t="shared" si="22"/>
        <v>0</v>
      </c>
      <c r="BF66" s="29">
        <f t="shared" si="23"/>
        <v>3.6134663184059215E-3</v>
      </c>
      <c r="BH66" s="29"/>
    </row>
    <row r="67" spans="1:60" x14ac:dyDescent="0.25">
      <c r="A67" s="1">
        <v>46120</v>
      </c>
      <c r="B67" s="33">
        <v>44.11</v>
      </c>
      <c r="C67" s="33">
        <v>48.98</v>
      </c>
      <c r="D67" s="15">
        <v>4.7721940357227204E-3</v>
      </c>
      <c r="E67" s="15">
        <v>8.2001279499951899E-3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44.11</v>
      </c>
      <c r="M67" s="33">
        <v>48.98</v>
      </c>
      <c r="N67" s="34">
        <v>1.1104058036726301</v>
      </c>
      <c r="O67" s="34">
        <v>1.0913821229076099</v>
      </c>
      <c r="P67" s="34">
        <v>1.1092995749522501</v>
      </c>
      <c r="Q67" s="34">
        <v>1.1072841065259</v>
      </c>
      <c r="R67" s="33">
        <v>48.140865441454899</v>
      </c>
      <c r="S67" s="33">
        <v>48.944152303091997</v>
      </c>
      <c r="T67" s="33">
        <v>48.821589992363201</v>
      </c>
      <c r="U67" s="15">
        <v>-1.7280641735033801E-2</v>
      </c>
      <c r="V67" s="15">
        <v>-7.3215233762370104E-4</v>
      </c>
      <c r="W67" s="15">
        <v>-3.2394186265560401E-3</v>
      </c>
      <c r="X67" s="34">
        <v>1.1104058036726301</v>
      </c>
      <c r="Y67" s="34">
        <v>1.0913821229076099</v>
      </c>
      <c r="Z67" s="34">
        <v>1.1092995749522501</v>
      </c>
      <c r="AA67" s="34">
        <v>1.1072841065259</v>
      </c>
      <c r="AB67" s="33">
        <v>48.140865441454899</v>
      </c>
      <c r="AC67" s="33">
        <v>48.944152303091997</v>
      </c>
      <c r="AD67" s="33">
        <v>48.821589992363201</v>
      </c>
      <c r="AE67" s="15">
        <v>-1.7280641735033801E-2</v>
      </c>
      <c r="AF67" s="15">
        <v>-7.3215233762370104E-4</v>
      </c>
      <c r="AG67" s="15">
        <v>-3.2394186265560401E-3</v>
      </c>
      <c r="AI67" s="12"/>
      <c r="AJ67">
        <f t="shared" si="6"/>
        <v>0</v>
      </c>
      <c r="AK67">
        <f t="shared" si="7"/>
        <v>0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3.6134663184059215E-3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0</v>
      </c>
      <c r="BE67" s="29">
        <f t="shared" si="22"/>
        <v>0</v>
      </c>
      <c r="BF67" s="29">
        <f t="shared" si="23"/>
        <v>3.6134663184059215E-3</v>
      </c>
      <c r="BH67" s="29"/>
    </row>
    <row r="68" spans="1:60" x14ac:dyDescent="0.25">
      <c r="A68" s="1">
        <v>46121</v>
      </c>
      <c r="B68" s="33">
        <v>44.26</v>
      </c>
      <c r="C68" s="33">
        <v>49.08</v>
      </c>
      <c r="D68" s="15">
        <v>3.3948205060551099E-3</v>
      </c>
      <c r="E68" s="15">
        <v>2.0395683186890802E-3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44.26</v>
      </c>
      <c r="M68" s="33">
        <v>49.08</v>
      </c>
      <c r="N68" s="34">
        <v>1.1089019430637099</v>
      </c>
      <c r="O68" s="34">
        <v>1.0913821229076099</v>
      </c>
      <c r="P68" s="34">
        <v>1.1087887349379799</v>
      </c>
      <c r="Q68" s="34">
        <v>1.10749177351149</v>
      </c>
      <c r="R68" s="33">
        <v>48.304572759891002</v>
      </c>
      <c r="S68" s="33">
        <v>49.097599187386798</v>
      </c>
      <c r="T68" s="33">
        <v>49.008394554836599</v>
      </c>
      <c r="U68" s="15">
        <v>-1.5925389547667802E-2</v>
      </c>
      <c r="V68" s="15">
        <v>3.5851737506371097E-4</v>
      </c>
      <c r="W68" s="15">
        <v>-1.46001895959639E-3</v>
      </c>
      <c r="X68" s="34">
        <v>1.1089019430637099</v>
      </c>
      <c r="Y68" s="34">
        <v>1.0913821229076099</v>
      </c>
      <c r="Z68" s="34">
        <v>1.1087887349379799</v>
      </c>
      <c r="AA68" s="34">
        <v>1.10749177351149</v>
      </c>
      <c r="AB68" s="33">
        <v>48.304572759891002</v>
      </c>
      <c r="AC68" s="33">
        <v>49.097599187386798</v>
      </c>
      <c r="AD68" s="33">
        <v>49.008394554836599</v>
      </c>
      <c r="AE68" s="15">
        <v>-1.5925389547667802E-2</v>
      </c>
      <c r="AF68" s="15">
        <v>3.5851737506371097E-4</v>
      </c>
      <c r="AG68" s="15">
        <v>-1.46001895959639E-3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3.6134663184059215E-3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0</v>
      </c>
      <c r="BE68" s="29">
        <f t="shared" si="22"/>
        <v>0</v>
      </c>
      <c r="BF68" s="29">
        <f t="shared" si="23"/>
        <v>3.6134663184059215E-3</v>
      </c>
      <c r="BH68" s="29"/>
    </row>
    <row r="69" spans="1:60" x14ac:dyDescent="0.25">
      <c r="A69" s="1">
        <v>46122</v>
      </c>
      <c r="B69" s="33">
        <v>44.18</v>
      </c>
      <c r="C69" s="33">
        <v>49.1</v>
      </c>
      <c r="D69" s="15">
        <v>-1.8091366309324699E-3</v>
      </c>
      <c r="E69" s="15">
        <v>4.0741495776418002E-4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44.18</v>
      </c>
      <c r="M69" s="33">
        <v>49.1</v>
      </c>
      <c r="N69" s="34">
        <v>1.1113626075147101</v>
      </c>
      <c r="O69" s="34">
        <v>1.0913821229076099</v>
      </c>
      <c r="P69" s="34">
        <v>1.1092039330708601</v>
      </c>
      <c r="Q69" s="34">
        <v>1.1079469292774</v>
      </c>
      <c r="R69" s="33">
        <v>48.217262190058399</v>
      </c>
      <c r="S69" s="33">
        <v>48.986286309560299</v>
      </c>
      <c r="T69" s="33">
        <v>48.928986553737801</v>
      </c>
      <c r="U69" s="15">
        <v>-1.8141941136364501E-2</v>
      </c>
      <c r="V69" s="15">
        <v>-2.3186470945737699E-3</v>
      </c>
      <c r="W69" s="15">
        <v>-3.4890418795292802E-3</v>
      </c>
      <c r="X69" s="34">
        <v>1.1113626075147101</v>
      </c>
      <c r="Y69" s="34">
        <v>1.0913821229076099</v>
      </c>
      <c r="Z69" s="34">
        <v>1.1092039330708601</v>
      </c>
      <c r="AA69" s="34">
        <v>1.1079469292774</v>
      </c>
      <c r="AB69" s="33">
        <v>48.217262190058399</v>
      </c>
      <c r="AC69" s="33">
        <v>48.986286309560299</v>
      </c>
      <c r="AD69" s="33">
        <v>48.928986553737801</v>
      </c>
      <c r="AE69" s="15">
        <v>-1.8141941136364501E-2</v>
      </c>
      <c r="AF69" s="15">
        <v>-2.3186470945737699E-3</v>
      </c>
      <c r="AG69" s="15">
        <v>-3.4890418795292802E-3</v>
      </c>
      <c r="AI69" s="12"/>
      <c r="AJ69">
        <f t="shared" si="6"/>
        <v>0</v>
      </c>
      <c r="AK69">
        <f t="shared" si="7"/>
        <v>0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3.6134663184059215E-3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0</v>
      </c>
      <c r="BE69" s="29">
        <f t="shared" si="22"/>
        <v>0</v>
      </c>
      <c r="BF69" s="29">
        <f t="shared" si="23"/>
        <v>3.6134663184059215E-3</v>
      </c>
      <c r="BH69" s="29"/>
    </row>
    <row r="70" spans="1:60" x14ac:dyDescent="0.25">
      <c r="A70" s="1">
        <v>46125</v>
      </c>
      <c r="B70" s="33">
        <v>44.31</v>
      </c>
      <c r="C70" s="33">
        <v>49.28</v>
      </c>
      <c r="D70" s="15">
        <v>2.9381872194270899E-3</v>
      </c>
      <c r="E70" s="15">
        <v>3.6592844247893899E-3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44.31</v>
      </c>
      <c r="M70" s="33">
        <v>49.28</v>
      </c>
      <c r="N70" s="34">
        <v>1.11216429699842</v>
      </c>
      <c r="O70" s="34">
        <v>1.0913821229076099</v>
      </c>
      <c r="P70" s="34">
        <v>1.1091995585328001</v>
      </c>
      <c r="Q70" s="34">
        <v>1.10831030773836</v>
      </c>
      <c r="R70" s="33">
        <v>48.359141866036403</v>
      </c>
      <c r="S70" s="33">
        <v>49.148826274369902</v>
      </c>
      <c r="T70" s="33">
        <v>49.093128436281603</v>
      </c>
      <c r="U70" s="15">
        <v>-1.8863038341726899E-2</v>
      </c>
      <c r="V70" s="15">
        <v>-2.6653533980058801E-3</v>
      </c>
      <c r="W70" s="15">
        <v>-3.7992445999876401E-3</v>
      </c>
      <c r="X70" s="34">
        <v>1.11216429699842</v>
      </c>
      <c r="Y70" s="34">
        <v>1.0913821229076099</v>
      </c>
      <c r="Z70" s="34">
        <v>1.1091995585328001</v>
      </c>
      <c r="AA70" s="34">
        <v>1.10831030773836</v>
      </c>
      <c r="AB70" s="33">
        <v>48.359141866036403</v>
      </c>
      <c r="AC70" s="33">
        <v>49.148826274369902</v>
      </c>
      <c r="AD70" s="33">
        <v>49.093128436281603</v>
      </c>
      <c r="AE70" s="15">
        <v>-1.8863038341726899E-2</v>
      </c>
      <c r="AF70" s="15">
        <v>-2.6653533980058801E-3</v>
      </c>
      <c r="AG70" s="15">
        <v>-3.7992445999876401E-3</v>
      </c>
      <c r="AI70" s="12"/>
      <c r="AJ70">
        <f t="shared" si="6"/>
        <v>0</v>
      </c>
      <c r="AK70">
        <f t="shared" si="7"/>
        <v>0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3.6134663184059215E-3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0</v>
      </c>
      <c r="BE70" s="29">
        <f t="shared" si="22"/>
        <v>0</v>
      </c>
      <c r="BF70" s="29">
        <f t="shared" si="23"/>
        <v>3.6134663184059215E-3</v>
      </c>
      <c r="BH70" s="29"/>
    </row>
    <row r="71" spans="1:60" x14ac:dyDescent="0.25">
      <c r="A71" s="1">
        <v>46126</v>
      </c>
      <c r="B71" s="33">
        <v>45.24</v>
      </c>
      <c r="C71" s="33">
        <v>49.78</v>
      </c>
      <c r="D71" s="15">
        <v>2.0771266036521598E-2</v>
      </c>
      <c r="E71" s="15">
        <v>1.0094977714181601E-2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45.24</v>
      </c>
      <c r="M71" s="33">
        <v>49.78</v>
      </c>
      <c r="N71" s="34">
        <v>1.10035366931918</v>
      </c>
      <c r="O71" s="34">
        <v>1.0913821229076099</v>
      </c>
      <c r="P71" s="34">
        <v>1.1080471130391101</v>
      </c>
      <c r="Q71" s="34">
        <v>1.1078376597126101</v>
      </c>
      <c r="R71" s="33">
        <v>49.374127240340499</v>
      </c>
      <c r="S71" s="33">
        <v>50.180188028024098</v>
      </c>
      <c r="T71" s="33">
        <v>50.1399583220837</v>
      </c>
      <c r="U71" s="15">
        <v>-8.1867500193869396E-3</v>
      </c>
      <c r="V71" s="15">
        <v>8.0069910628366402E-3</v>
      </c>
      <c r="W71" s="15">
        <v>7.2049645594778697E-3</v>
      </c>
      <c r="X71" s="34">
        <v>1.10035366931918</v>
      </c>
      <c r="Y71" s="34">
        <v>1.0913821229076099</v>
      </c>
      <c r="Z71" s="34">
        <v>1.1080471130391101</v>
      </c>
      <c r="AA71" s="34">
        <v>1.1078376597126101</v>
      </c>
      <c r="AB71" s="33">
        <v>49.374127240340499</v>
      </c>
      <c r="AC71" s="33">
        <v>50.180188028024098</v>
      </c>
      <c r="AD71" s="33">
        <v>50.1399583220837</v>
      </c>
      <c r="AE71" s="15">
        <v>-8.1867500193869396E-3</v>
      </c>
      <c r="AF71" s="15">
        <v>8.0069910628366402E-3</v>
      </c>
      <c r="AG71" s="15">
        <v>7.2049645594778697E-3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3.6134663184059215E-3</v>
      </c>
      <c r="AT71" s="12"/>
      <c r="AU71">
        <f t="shared" si="10"/>
        <v>0</v>
      </c>
      <c r="AV71">
        <f t="shared" si="11"/>
        <v>0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0</v>
      </c>
      <c r="BE71" s="29">
        <f t="shared" si="22"/>
        <v>0</v>
      </c>
      <c r="BF71" s="29">
        <f t="shared" si="23"/>
        <v>3.6134663184059215E-3</v>
      </c>
      <c r="BH71" s="29"/>
    </row>
    <row r="72" spans="1:60" x14ac:dyDescent="0.25">
      <c r="A72" s="1">
        <v>46127</v>
      </c>
      <c r="B72" s="33">
        <v>45.21</v>
      </c>
      <c r="C72" s="33">
        <v>50.01</v>
      </c>
      <c r="D72" s="15">
        <v>-6.6334994140596201E-4</v>
      </c>
      <c r="E72" s="15">
        <v>4.6096884913663597E-3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45.21</v>
      </c>
      <c r="M72" s="33">
        <v>50.01</v>
      </c>
      <c r="N72" s="34">
        <v>1.10617120106171</v>
      </c>
      <c r="O72" s="34">
        <v>1.0913821229076099</v>
      </c>
      <c r="P72" s="34">
        <v>1.1082426874778299</v>
      </c>
      <c r="Q72" s="34">
        <v>1.10820907690855</v>
      </c>
      <c r="R72" s="33">
        <v>49.341385776653297</v>
      </c>
      <c r="S72" s="33">
        <v>50.094809980498198</v>
      </c>
      <c r="T72" s="33">
        <v>50.085340595607299</v>
      </c>
      <c r="U72" s="15">
        <v>-1.3459788452159199E-2</v>
      </c>
      <c r="V72" s="15">
        <v>1.6944240902315999E-3</v>
      </c>
      <c r="W72" s="15">
        <v>1.5053769613415601E-3</v>
      </c>
      <c r="X72" s="34">
        <v>1.10617120106171</v>
      </c>
      <c r="Y72" s="34">
        <v>1.0913821229076099</v>
      </c>
      <c r="Z72" s="34">
        <v>1.1082426874778299</v>
      </c>
      <c r="AA72" s="34">
        <v>1.10820907690855</v>
      </c>
      <c r="AB72" s="33">
        <v>49.341385776653297</v>
      </c>
      <c r="AC72" s="33">
        <v>50.094809980498198</v>
      </c>
      <c r="AD72" s="33">
        <v>50.085340595607299</v>
      </c>
      <c r="AE72" s="15">
        <v>-1.3459788452159199E-2</v>
      </c>
      <c r="AF72" s="15">
        <v>1.6944240902315999E-3</v>
      </c>
      <c r="AG72" s="15">
        <v>1.5053769613415601E-3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3.6134663184059215E-3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0</v>
      </c>
      <c r="BE72" s="29">
        <f t="shared" si="22"/>
        <v>0</v>
      </c>
      <c r="BF72" s="29">
        <f t="shared" si="23"/>
        <v>3.6134663184059215E-3</v>
      </c>
      <c r="BH72" s="29"/>
    </row>
    <row r="73" spans="1:60" x14ac:dyDescent="0.25">
      <c r="A73" s="1">
        <v>46128</v>
      </c>
      <c r="B73" s="33">
        <v>45.31</v>
      </c>
      <c r="C73" s="33">
        <v>50.3</v>
      </c>
      <c r="D73" s="15">
        <v>2.2094573725330601E-3</v>
      </c>
      <c r="E73" s="15">
        <v>5.7820916748811202E-3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45.31</v>
      </c>
      <c r="M73" s="33">
        <v>50.3</v>
      </c>
      <c r="N73" s="34">
        <v>1.1101302140807701</v>
      </c>
      <c r="O73" s="34">
        <v>1.0913821229076099</v>
      </c>
      <c r="P73" s="34">
        <v>1.1084774069991199</v>
      </c>
      <c r="Q73" s="34">
        <v>1.1088216235016599</v>
      </c>
      <c r="R73" s="33">
        <v>49.450523988943999</v>
      </c>
      <c r="S73" s="33">
        <v>50.214476169620603</v>
      </c>
      <c r="T73" s="33">
        <v>50.212953274726701</v>
      </c>
      <c r="U73" s="15">
        <v>-1.7032422754507202E-2</v>
      </c>
      <c r="V73" s="15">
        <v>-1.70172206585874E-3</v>
      </c>
      <c r="W73" s="15">
        <v>-1.7320503318016E-3</v>
      </c>
      <c r="X73" s="34">
        <v>1.1101302140807701</v>
      </c>
      <c r="Y73" s="34">
        <v>1.0913821229076099</v>
      </c>
      <c r="Z73" s="34">
        <v>1.1084774069991199</v>
      </c>
      <c r="AA73" s="34">
        <v>1.1088216235016599</v>
      </c>
      <c r="AB73" s="33">
        <v>49.450523988943999</v>
      </c>
      <c r="AC73" s="33">
        <v>50.214476169620603</v>
      </c>
      <c r="AD73" s="33">
        <v>50.212953274726701</v>
      </c>
      <c r="AE73" s="15">
        <v>-1.7032422754507202E-2</v>
      </c>
      <c r="AF73" s="15">
        <v>-1.70172206585874E-3</v>
      </c>
      <c r="AG73" s="15">
        <v>-1.7320503318016E-3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3.6134663184059215E-3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0</v>
      </c>
      <c r="BE73" s="29">
        <f t="shared" si="22"/>
        <v>0</v>
      </c>
      <c r="BF73" s="29">
        <f t="shared" si="23"/>
        <v>3.6134663184059215E-3</v>
      </c>
      <c r="BH73" s="29"/>
    </row>
    <row r="74" spans="1:60" x14ac:dyDescent="0.25">
      <c r="A74" s="1">
        <v>46129</v>
      </c>
      <c r="B74" s="33">
        <v>47.63</v>
      </c>
      <c r="C74" s="33">
        <v>52.82</v>
      </c>
      <c r="D74" s="15">
        <v>4.9935056133722101E-2</v>
      </c>
      <c r="E74" s="15">
        <v>4.8884829763292698E-2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47.63</v>
      </c>
      <c r="M74" s="33">
        <v>52.82</v>
      </c>
      <c r="N74" s="34">
        <v>1.1089649380642399</v>
      </c>
      <c r="O74" s="34">
        <v>1.0913821229076099</v>
      </c>
      <c r="P74" s="34">
        <v>1.1085286057497199</v>
      </c>
      <c r="Q74" s="34">
        <v>1.10907674746564</v>
      </c>
      <c r="R74" s="33">
        <v>51.982530514089703</v>
      </c>
      <c r="S74" s="33">
        <v>52.796778895368</v>
      </c>
      <c r="T74" s="33">
        <v>52.813173927384298</v>
      </c>
      <c r="U74" s="15">
        <v>-1.5982196384077701E-2</v>
      </c>
      <c r="V74" s="15">
        <v>-4.3972378724171598E-4</v>
      </c>
      <c r="W74" s="15">
        <v>-1.2924107780407101E-4</v>
      </c>
      <c r="X74" s="34">
        <v>1.1089649380642399</v>
      </c>
      <c r="Y74" s="34">
        <v>1.0913821229076099</v>
      </c>
      <c r="Z74" s="34">
        <v>1.1085286057497199</v>
      </c>
      <c r="AA74" s="34">
        <v>1.10907674746564</v>
      </c>
      <c r="AB74" s="33">
        <v>51.982530514089703</v>
      </c>
      <c r="AC74" s="33">
        <v>52.796778895368</v>
      </c>
      <c r="AD74" s="33">
        <v>52.813173927384298</v>
      </c>
      <c r="AE74" s="15">
        <v>-1.5982196384077701E-2</v>
      </c>
      <c r="AF74" s="15">
        <v>-4.3972378724171598E-4</v>
      </c>
      <c r="AG74" s="15">
        <v>-1.2924107780407101E-4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3.6134663184059215E-3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0</v>
      </c>
      <c r="BE74" s="29">
        <f t="shared" si="22"/>
        <v>0</v>
      </c>
      <c r="BF74" s="29">
        <f t="shared" si="23"/>
        <v>3.6134663184059215E-3</v>
      </c>
      <c r="BH74" s="29"/>
    </row>
    <row r="75" spans="1:60" x14ac:dyDescent="0.25">
      <c r="A75" s="1">
        <v>46132</v>
      </c>
      <c r="B75" s="33">
        <v>48.91</v>
      </c>
      <c r="C75" s="33">
        <v>54.13</v>
      </c>
      <c r="D75" s="15">
        <v>2.6519059738496598E-2</v>
      </c>
      <c r="E75" s="15">
        <v>2.4498653939900299E-2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48.91</v>
      </c>
      <c r="M75" s="33">
        <v>54.13</v>
      </c>
      <c r="N75" s="34">
        <v>1.1067266407687499</v>
      </c>
      <c r="O75" s="34">
        <v>1.0913821229076099</v>
      </c>
      <c r="P75" s="34">
        <v>1.10817872370954</v>
      </c>
      <c r="Q75" s="34">
        <v>1.1089285086265399</v>
      </c>
      <c r="R75" s="33">
        <v>53.379499631411399</v>
      </c>
      <c r="S75" s="33">
        <v>54.218134107218901</v>
      </c>
      <c r="T75" s="33">
        <v>54.244943718544498</v>
      </c>
      <c r="U75" s="15">
        <v>-1.3961790585481399E-2</v>
      </c>
      <c r="V75" s="15">
        <v>1.62686930206822E-3</v>
      </c>
      <c r="W75" s="15">
        <v>2.1212239231793899E-3</v>
      </c>
      <c r="X75" s="34">
        <v>1.1067266407687499</v>
      </c>
      <c r="Y75" s="34">
        <v>1.0913821229076099</v>
      </c>
      <c r="Z75" s="34">
        <v>1.10817872370954</v>
      </c>
      <c r="AA75" s="34">
        <v>1.1089285086265399</v>
      </c>
      <c r="AB75" s="33">
        <v>53.379499631411399</v>
      </c>
      <c r="AC75" s="33">
        <v>54.218134107218901</v>
      </c>
      <c r="AD75" s="33">
        <v>54.244943718544498</v>
      </c>
      <c r="AE75" s="15">
        <v>-1.3961790585481399E-2</v>
      </c>
      <c r="AF75" s="15">
        <v>1.62686930206822E-3</v>
      </c>
      <c r="AG75" s="15">
        <v>2.1212239231793899E-3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3.6134663184059215E-3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0</v>
      </c>
      <c r="BE75" s="29">
        <f t="shared" si="22"/>
        <v>0</v>
      </c>
      <c r="BF75" s="29">
        <f t="shared" si="23"/>
        <v>3.6134663184059215E-3</v>
      </c>
      <c r="BH75" s="29"/>
    </row>
    <row r="76" spans="1:60" x14ac:dyDescent="0.25">
      <c r="A76" s="1">
        <v>46133</v>
      </c>
      <c r="B76" s="33">
        <v>48.31</v>
      </c>
      <c r="C76" s="33">
        <v>53.63</v>
      </c>
      <c r="D76" s="15">
        <v>-1.23432959849504E-2</v>
      </c>
      <c r="E76" s="15">
        <v>-9.2799478140527299E-3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48.31</v>
      </c>
      <c r="M76" s="33">
        <v>53.63</v>
      </c>
      <c r="N76" s="34">
        <v>1.11012212792382</v>
      </c>
      <c r="O76" s="34">
        <v>1.0913821229076099</v>
      </c>
      <c r="P76" s="34">
        <v>1.10853034424679</v>
      </c>
      <c r="Q76" s="34">
        <v>1.10906172962841</v>
      </c>
      <c r="R76" s="33">
        <v>52.724670357666902</v>
      </c>
      <c r="S76" s="33">
        <v>53.536114142407897</v>
      </c>
      <c r="T76" s="33">
        <v>53.572336251748503</v>
      </c>
      <c r="U76" s="15">
        <v>-1.70251387563791E-2</v>
      </c>
      <c r="V76" s="15">
        <v>-1.75215612440367E-3</v>
      </c>
      <c r="W76" s="15">
        <v>-1.0757928573005399E-3</v>
      </c>
      <c r="X76" s="34">
        <v>1.11012212792382</v>
      </c>
      <c r="Y76" s="34">
        <v>1.0913821229076099</v>
      </c>
      <c r="Z76" s="34">
        <v>1.10853034424679</v>
      </c>
      <c r="AA76" s="34">
        <v>1.10906172962841</v>
      </c>
      <c r="AB76" s="33">
        <v>52.724670357666902</v>
      </c>
      <c r="AC76" s="33">
        <v>53.536114142407897</v>
      </c>
      <c r="AD76" s="33">
        <v>53.572336251748503</v>
      </c>
      <c r="AE76" s="15">
        <v>-1.70251387563791E-2</v>
      </c>
      <c r="AF76" s="15">
        <v>-1.75215612440367E-3</v>
      </c>
      <c r="AG76" s="15">
        <v>-1.0757928573005399E-3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3.6134663184059215E-3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0</v>
      </c>
      <c r="BE76" s="29">
        <f t="shared" si="22"/>
        <v>0</v>
      </c>
      <c r="BF76" s="29">
        <f t="shared" si="23"/>
        <v>3.6134663184059215E-3</v>
      </c>
      <c r="BH76" s="29"/>
    </row>
    <row r="77" spans="1:60" x14ac:dyDescent="0.25">
      <c r="A77" s="1">
        <v>46134</v>
      </c>
      <c r="B77" s="33">
        <v>48.77</v>
      </c>
      <c r="C77" s="33">
        <v>53.84</v>
      </c>
      <c r="D77" s="15">
        <v>9.4767911556459597E-3</v>
      </c>
      <c r="E77" s="15">
        <v>3.9080723416385302E-3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48.77</v>
      </c>
      <c r="M77" s="33">
        <v>53.84</v>
      </c>
      <c r="N77" s="34">
        <v>1.1039573508304199</v>
      </c>
      <c r="O77" s="34">
        <v>1.0913821229076099</v>
      </c>
      <c r="P77" s="34">
        <v>1.1078854989625699</v>
      </c>
      <c r="Q77" s="34">
        <v>1.1085925369574099</v>
      </c>
      <c r="R77" s="33">
        <v>53.226706134204399</v>
      </c>
      <c r="S77" s="33">
        <v>54.063024888916303</v>
      </c>
      <c r="T77" s="33">
        <v>54.088940553977501</v>
      </c>
      <c r="U77" s="15">
        <v>-1.14564199423717E-2</v>
      </c>
      <c r="V77" s="15">
        <v>4.1338082364271904E-3</v>
      </c>
      <c r="W77" s="15">
        <v>4.6130536287988799E-3</v>
      </c>
      <c r="X77" s="34">
        <v>1.1039573508304199</v>
      </c>
      <c r="Y77" s="34">
        <v>1.0913821229076099</v>
      </c>
      <c r="Z77" s="34">
        <v>1.1078854989625699</v>
      </c>
      <c r="AA77" s="34">
        <v>1.1085925369574099</v>
      </c>
      <c r="AB77" s="33">
        <v>53.226706134204399</v>
      </c>
      <c r="AC77" s="33">
        <v>54.063024888916303</v>
      </c>
      <c r="AD77" s="33">
        <v>54.088940553977501</v>
      </c>
      <c r="AE77" s="15">
        <v>-1.14564199423717E-2</v>
      </c>
      <c r="AF77" s="15">
        <v>4.1338082364271904E-3</v>
      </c>
      <c r="AG77" s="15">
        <v>4.6130536287988799E-3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3.6134663184059215E-3</v>
      </c>
      <c r="AT77" s="12"/>
      <c r="AU77">
        <f t="shared" si="10"/>
        <v>0</v>
      </c>
      <c r="AV77">
        <f t="shared" si="11"/>
        <v>0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0</v>
      </c>
      <c r="BE77" s="29">
        <f t="shared" si="22"/>
        <v>0</v>
      </c>
      <c r="BF77" s="29">
        <f t="shared" si="23"/>
        <v>3.6134663184059215E-3</v>
      </c>
      <c r="BH77" s="29"/>
    </row>
    <row r="78" spans="1:60" x14ac:dyDescent="0.25">
      <c r="A78" s="1">
        <v>46135</v>
      </c>
      <c r="B78" s="33">
        <v>48.37</v>
      </c>
      <c r="C78" s="33">
        <v>53.11</v>
      </c>
      <c r="D78" s="15">
        <v>-8.2355828870694699E-3</v>
      </c>
      <c r="E78" s="15">
        <v>-1.3651450902164601E-2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48.37</v>
      </c>
      <c r="M78" s="33">
        <v>53.11</v>
      </c>
      <c r="N78" s="34">
        <v>1.0979946247674099</v>
      </c>
      <c r="O78" s="34">
        <v>1.0913821229076099</v>
      </c>
      <c r="P78" s="34">
        <v>1.1067947671329399</v>
      </c>
      <c r="Q78" s="34">
        <v>1.10779175103546</v>
      </c>
      <c r="R78" s="33">
        <v>52.790153285041299</v>
      </c>
      <c r="S78" s="33">
        <v>53.588421584819798</v>
      </c>
      <c r="T78" s="33">
        <v>53.622621012630198</v>
      </c>
      <c r="U78" s="15">
        <v>-6.0405519272766798E-3</v>
      </c>
      <c r="V78" s="15">
        <v>8.9677950992187502E-3</v>
      </c>
      <c r="W78" s="15">
        <v>9.6057784289542893E-3</v>
      </c>
      <c r="X78" s="34">
        <v>1.0979946247674099</v>
      </c>
      <c r="Y78" s="34">
        <v>1.0913821229076099</v>
      </c>
      <c r="Z78" s="34">
        <v>1.1067947671329399</v>
      </c>
      <c r="AA78" s="34">
        <v>1.10779175103546</v>
      </c>
      <c r="AB78" s="33">
        <v>52.790153285041299</v>
      </c>
      <c r="AC78" s="33">
        <v>53.588421584819798</v>
      </c>
      <c r="AD78" s="33">
        <v>53.622621012630198</v>
      </c>
      <c r="AE78" s="15">
        <v>-6.0405519272766798E-3</v>
      </c>
      <c r="AF78" s="15">
        <v>8.9677950992187502E-3</v>
      </c>
      <c r="AG78" s="15">
        <v>9.6057784289542893E-3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3.6134663184059215E-3</v>
      </c>
      <c r="AT78" s="12"/>
      <c r="AU78">
        <f t="shared" si="10"/>
        <v>0</v>
      </c>
      <c r="AV78">
        <f t="shared" si="11"/>
        <v>0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0</v>
      </c>
      <c r="BE78" s="29">
        <f t="shared" si="22"/>
        <v>0</v>
      </c>
      <c r="BF78" s="29">
        <f t="shared" si="23"/>
        <v>3.6134663184059215E-3</v>
      </c>
      <c r="BH78" s="29"/>
    </row>
    <row r="79" spans="1:60" x14ac:dyDescent="0.25">
      <c r="A79" s="1">
        <v>46136</v>
      </c>
      <c r="B79" s="33">
        <v>49.72</v>
      </c>
      <c r="C79" s="33">
        <v>53.66</v>
      </c>
      <c r="D79" s="15">
        <v>2.75274798076184E-2</v>
      </c>
      <c r="E79" s="15">
        <v>1.03026105631702E-2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49.72</v>
      </c>
      <c r="M79" s="33">
        <v>53.66</v>
      </c>
      <c r="N79" s="34">
        <v>1.07924376508447</v>
      </c>
      <c r="O79" s="34">
        <v>1.0913821229076099</v>
      </c>
      <c r="P79" s="34">
        <v>1.1035828828899199</v>
      </c>
      <c r="Q79" s="34">
        <v>1.1063934079803901</v>
      </c>
      <c r="R79" s="33">
        <v>54.263519150966602</v>
      </c>
      <c r="S79" s="33">
        <v>55.029835821850199</v>
      </c>
      <c r="T79" s="33">
        <v>55.079405861483401</v>
      </c>
      <c r="U79" s="15">
        <v>1.1184317317171601E-2</v>
      </c>
      <c r="V79" s="15">
        <v>2.5207662639795202E-2</v>
      </c>
      <c r="W79" s="15">
        <v>2.61080419762479E-2</v>
      </c>
      <c r="X79" s="34">
        <v>1.07924376508447</v>
      </c>
      <c r="Y79" s="34">
        <v>1.0913821229076099</v>
      </c>
      <c r="Z79" s="34">
        <v>1.1035828828899199</v>
      </c>
      <c r="AA79" s="34">
        <v>1.1063934079803901</v>
      </c>
      <c r="AB79" s="33">
        <v>54.263519150966602</v>
      </c>
      <c r="AC79" s="33">
        <v>55.029835821850199</v>
      </c>
      <c r="AD79" s="33">
        <v>55.079405861483401</v>
      </c>
      <c r="AE79" s="15">
        <v>1.1184317317171601E-2</v>
      </c>
      <c r="AF79" s="15">
        <v>2.5207662639795202E-2</v>
      </c>
      <c r="AG79" s="15">
        <v>2.61080419762479E-2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3.6134663184059215E-3</v>
      </c>
      <c r="AT79" s="12"/>
      <c r="AU79">
        <f t="shared" si="10"/>
        <v>1</v>
      </c>
      <c r="AV79">
        <f t="shared" si="11"/>
        <v>0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0</v>
      </c>
      <c r="BE79" s="29">
        <f t="shared" si="22"/>
        <v>0</v>
      </c>
      <c r="BF79" s="29">
        <f t="shared" si="23"/>
        <v>3.6134663184059215E-3</v>
      </c>
      <c r="BH79" s="29"/>
    </row>
    <row r="80" spans="1:60" x14ac:dyDescent="0.25">
      <c r="A80" s="1">
        <v>46139</v>
      </c>
      <c r="B80" s="33">
        <v>49.62</v>
      </c>
      <c r="C80" s="33">
        <v>53.53</v>
      </c>
      <c r="D80" s="15">
        <v>-2.0132883788554099E-3</v>
      </c>
      <c r="E80" s="15">
        <v>-2.4256005921880698E-3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49.62</v>
      </c>
      <c r="M80" s="33">
        <v>53.53</v>
      </c>
      <c r="N80" s="34">
        <v>1.0787988714228101</v>
      </c>
      <c r="O80" s="34">
        <v>1.0913821229076099</v>
      </c>
      <c r="P80" s="34">
        <v>1.1002463403323599</v>
      </c>
      <c r="Q80" s="34">
        <v>1.1047229494325801</v>
      </c>
      <c r="R80" s="33">
        <v>54.1543809386758</v>
      </c>
      <c r="S80" s="33">
        <v>54.759782648997998</v>
      </c>
      <c r="T80" s="33">
        <v>54.899240903987099</v>
      </c>
      <c r="U80" s="15">
        <v>1.15966295305041E-2</v>
      </c>
      <c r="V80" s="15">
        <v>2.2713786850726898E-2</v>
      </c>
      <c r="W80" s="15">
        <v>2.52572771291226E-2</v>
      </c>
      <c r="X80" s="34">
        <v>1.0787988714228101</v>
      </c>
      <c r="Y80" s="34">
        <v>1.0913821229076099</v>
      </c>
      <c r="Z80" s="34">
        <v>1.1002463403323599</v>
      </c>
      <c r="AA80" s="34">
        <v>1.1047229494325801</v>
      </c>
      <c r="AB80" s="33">
        <v>54.1543809386758</v>
      </c>
      <c r="AC80" s="33">
        <v>54.759782648997998</v>
      </c>
      <c r="AD80" s="33">
        <v>54.899240903987099</v>
      </c>
      <c r="AE80" s="15">
        <v>1.15966295305041E-2</v>
      </c>
      <c r="AF80" s="15">
        <v>2.2713786850726898E-2</v>
      </c>
      <c r="AG80" s="15">
        <v>2.52572771291226E-2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3.6134663184059215E-3</v>
      </c>
      <c r="AT80" s="12"/>
      <c r="AU80">
        <f t="shared" si="10"/>
        <v>1</v>
      </c>
      <c r="AV80">
        <f t="shared" si="11"/>
        <v>0</v>
      </c>
      <c r="AW80">
        <f t="shared" si="18"/>
        <v>1</v>
      </c>
      <c r="AX80">
        <f t="shared" si="5"/>
        <v>1</v>
      </c>
      <c r="AY80">
        <f t="shared" si="19"/>
        <v>1</v>
      </c>
      <c r="AZ80" s="28">
        <f t="shared" si="12"/>
        <v>2.0132883788554099E-3</v>
      </c>
      <c r="BA80" s="28">
        <f t="shared" si="13"/>
        <v>-2.4256005921880698E-3</v>
      </c>
      <c r="BB80" s="28">
        <f t="shared" si="20"/>
        <v>-4.1231221333265988E-4</v>
      </c>
      <c r="BC80" s="29">
        <f t="shared" si="21"/>
        <v>-4.1231221333265988E-4</v>
      </c>
      <c r="BE80" s="29">
        <f t="shared" si="22"/>
        <v>-4.1231221333265988E-4</v>
      </c>
      <c r="BF80" s="29">
        <f t="shared" si="23"/>
        <v>3.2011541050732616E-3</v>
      </c>
      <c r="BH80" s="29"/>
    </row>
    <row r="81" spans="1:60" x14ac:dyDescent="0.25">
      <c r="A81" s="1">
        <v>46140</v>
      </c>
      <c r="B81" s="33">
        <v>49.71</v>
      </c>
      <c r="C81" s="33">
        <v>53.46</v>
      </c>
      <c r="D81" s="15">
        <v>1.81214184292643E-3</v>
      </c>
      <c r="E81" s="15">
        <v>-1.3085336945170001E-3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49.71</v>
      </c>
      <c r="M81" s="33">
        <v>53.46</v>
      </c>
      <c r="N81" s="34">
        <v>1.0754375377187599</v>
      </c>
      <c r="O81" s="34">
        <v>1.0913821229076099</v>
      </c>
      <c r="P81" s="34">
        <v>1.09775472717232</v>
      </c>
      <c r="Q81" s="34">
        <v>1.1029009201057101</v>
      </c>
      <c r="R81" s="33">
        <v>54.252605329737499</v>
      </c>
      <c r="S81" s="33">
        <v>54.6932455779218</v>
      </c>
      <c r="T81" s="33">
        <v>54.915777816293698</v>
      </c>
      <c r="U81" s="15">
        <v>1.47173050679475E-2</v>
      </c>
      <c r="V81" s="15">
        <v>2.2806509884719699E-2</v>
      </c>
      <c r="W81" s="15">
        <v>2.68669884334846E-2</v>
      </c>
      <c r="X81" s="34">
        <v>1.0754375377187599</v>
      </c>
      <c r="Y81" s="34">
        <v>1.0913821229076099</v>
      </c>
      <c r="Z81" s="34">
        <v>1.09775472717232</v>
      </c>
      <c r="AA81" s="34">
        <v>1.1029009201057101</v>
      </c>
      <c r="AB81" s="33">
        <v>54.252605329737499</v>
      </c>
      <c r="AC81" s="33">
        <v>54.6932455779218</v>
      </c>
      <c r="AD81" s="33">
        <v>54.915777816293698</v>
      </c>
      <c r="AE81" s="15">
        <v>1.47173050679475E-2</v>
      </c>
      <c r="AF81" s="15">
        <v>2.2806509884719699E-2</v>
      </c>
      <c r="AG81" s="15">
        <v>2.68669884334846E-2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3.6134663184059215E-3</v>
      </c>
      <c r="AT81" s="12"/>
      <c r="AU81">
        <f t="shared" si="10"/>
        <v>1</v>
      </c>
      <c r="AV81">
        <f t="shared" si="11"/>
        <v>0</v>
      </c>
      <c r="AW81">
        <f t="shared" si="18"/>
        <v>1</v>
      </c>
      <c r="AX81">
        <f t="shared" si="5"/>
        <v>1</v>
      </c>
      <c r="AY81">
        <f t="shared" si="19"/>
        <v>1</v>
      </c>
      <c r="AZ81" s="28">
        <f t="shared" si="12"/>
        <v>-1.81214184292643E-3</v>
      </c>
      <c r="BA81" s="28">
        <f t="shared" si="13"/>
        <v>-1.3085336945170001E-3</v>
      </c>
      <c r="BB81" s="28">
        <f t="shared" si="20"/>
        <v>-3.1206755374434299E-3</v>
      </c>
      <c r="BC81" s="29">
        <f t="shared" si="21"/>
        <v>-3.5329877507760898E-3</v>
      </c>
      <c r="BE81" s="29">
        <f t="shared" si="22"/>
        <v>-3.1206755374434299E-3</v>
      </c>
      <c r="BF81" s="29">
        <f t="shared" si="23"/>
        <v>8.047856762983174E-5</v>
      </c>
      <c r="BH81" s="29"/>
    </row>
    <row r="82" spans="1:60" x14ac:dyDescent="0.25">
      <c r="A82" s="1">
        <v>46141</v>
      </c>
      <c r="B82" s="33">
        <v>48.89</v>
      </c>
      <c r="C82" s="33">
        <v>52.28</v>
      </c>
      <c r="D82" s="15">
        <v>-1.6633243516027001E-2</v>
      </c>
      <c r="E82" s="15">
        <v>-2.2319821954751701E-2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48.89</v>
      </c>
      <c r="M82" s="33">
        <v>52.28</v>
      </c>
      <c r="N82" s="34">
        <v>1.0693393331969701</v>
      </c>
      <c r="O82" s="34">
        <v>1.0913821229076099</v>
      </c>
      <c r="P82" s="34">
        <v>1.0940715403858401</v>
      </c>
      <c r="Q82" s="34">
        <v>1.1011571139318399</v>
      </c>
      <c r="R82" s="33">
        <v>53.3576719889533</v>
      </c>
      <c r="S82" s="33">
        <v>53.669228611454798</v>
      </c>
      <c r="T82" s="33">
        <v>53.920825983968399</v>
      </c>
      <c r="U82" s="15">
        <v>2.0403883506672198E-2</v>
      </c>
      <c r="V82" s="15">
        <v>2.6225924522547801E-2</v>
      </c>
      <c r="W82" s="15">
        <v>3.0902896424477699E-2</v>
      </c>
      <c r="X82" s="34">
        <v>1.0693393331969701</v>
      </c>
      <c r="Y82" s="34">
        <v>1.0913821229076099</v>
      </c>
      <c r="Z82" s="34">
        <v>1.0940715403858401</v>
      </c>
      <c r="AA82" s="34">
        <v>1.1011571139318399</v>
      </c>
      <c r="AB82" s="33">
        <v>53.3576719889533</v>
      </c>
      <c r="AC82" s="33">
        <v>53.669228611454798</v>
      </c>
      <c r="AD82" s="33">
        <v>53.920825983968399</v>
      </c>
      <c r="AE82" s="15">
        <v>2.0403883506672198E-2</v>
      </c>
      <c r="AF82" s="15">
        <v>2.6225924522547801E-2</v>
      </c>
      <c r="AG82" s="15">
        <v>3.0902896424477699E-2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3.6134663184059215E-3</v>
      </c>
      <c r="AT82" s="12"/>
      <c r="AU82">
        <f t="shared" si="10"/>
        <v>1</v>
      </c>
      <c r="AV82">
        <f t="shared" si="11"/>
        <v>0</v>
      </c>
      <c r="AW82">
        <f t="shared" si="18"/>
        <v>1</v>
      </c>
      <c r="AX82">
        <f t="shared" si="5"/>
        <v>1</v>
      </c>
      <c r="AY82">
        <f t="shared" si="19"/>
        <v>1</v>
      </c>
      <c r="AZ82" s="28">
        <f t="shared" si="12"/>
        <v>1.6633243516027001E-2</v>
      </c>
      <c r="BA82" s="28">
        <f t="shared" si="13"/>
        <v>-2.2319821954751701E-2</v>
      </c>
      <c r="BB82" s="28">
        <f t="shared" si="20"/>
        <v>-5.6865784387247001E-3</v>
      </c>
      <c r="BC82" s="29">
        <f t="shared" si="21"/>
        <v>-9.2195661895007903E-3</v>
      </c>
      <c r="BE82" s="29">
        <f t="shared" si="22"/>
        <v>-5.6865784387247001E-3</v>
      </c>
      <c r="BF82" s="29">
        <f t="shared" si="23"/>
        <v>-5.6060998710948679E-3</v>
      </c>
      <c r="BH82" s="29"/>
    </row>
    <row r="83" spans="1:60" x14ac:dyDescent="0.25">
      <c r="A83" s="1">
        <v>46142</v>
      </c>
      <c r="B83" s="33">
        <v>49.41</v>
      </c>
      <c r="C83" s="33">
        <v>52.92</v>
      </c>
      <c r="D83" s="15">
        <v>1.05799562671043E-2</v>
      </c>
      <c r="E83" s="15">
        <v>1.21674504907337E-2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49.41</v>
      </c>
      <c r="M83" s="33">
        <v>52.92</v>
      </c>
      <c r="N83" s="34">
        <v>1.0710382513661201</v>
      </c>
      <c r="O83" s="34">
        <v>1.0913821229076099</v>
      </c>
      <c r="P83" s="34">
        <v>1.09016234411438</v>
      </c>
      <c r="Q83" s="34">
        <v>1.0993198755567499</v>
      </c>
      <c r="R83" s="33">
        <v>53.925190692865201</v>
      </c>
      <c r="S83" s="33">
        <v>54.058074810464703</v>
      </c>
      <c r="T83" s="33">
        <v>54.408172999372198</v>
      </c>
      <c r="U83" s="15">
        <v>1.8816389283042901E-2</v>
      </c>
      <c r="V83" s="15">
        <v>2.1277588878348699E-2</v>
      </c>
      <c r="W83" s="15">
        <v>2.77330422894492E-2</v>
      </c>
      <c r="X83" s="34">
        <v>1.0710382513661201</v>
      </c>
      <c r="Y83" s="34">
        <v>1.0913821229076099</v>
      </c>
      <c r="Z83" s="34">
        <v>1.09016234411438</v>
      </c>
      <c r="AA83" s="34">
        <v>1.0993198755567499</v>
      </c>
      <c r="AB83" s="33">
        <v>53.925190692865201</v>
      </c>
      <c r="AC83" s="33">
        <v>54.058074810464703</v>
      </c>
      <c r="AD83" s="33">
        <v>54.408172999372198</v>
      </c>
      <c r="AE83" s="15">
        <v>1.8816389283042901E-2</v>
      </c>
      <c r="AF83" s="15">
        <v>2.1277588878348699E-2</v>
      </c>
      <c r="AG83" s="15">
        <v>2.77330422894492E-2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1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3.6134663184059215E-3</v>
      </c>
      <c r="AT83" s="12"/>
      <c r="AU83">
        <f t="shared" si="10"/>
        <v>1</v>
      </c>
      <c r="AV83">
        <f t="shared" si="11"/>
        <v>0</v>
      </c>
      <c r="AW83">
        <f t="shared" si="18"/>
        <v>1</v>
      </c>
      <c r="AX83">
        <f t="shared" si="5"/>
        <v>1</v>
      </c>
      <c r="AY83">
        <f t="shared" si="19"/>
        <v>1</v>
      </c>
      <c r="AZ83" s="28">
        <f t="shared" si="12"/>
        <v>-1.05799562671043E-2</v>
      </c>
      <c r="BA83" s="28">
        <f t="shared" si="13"/>
        <v>1.21674504907337E-2</v>
      </c>
      <c r="BB83" s="28">
        <f t="shared" si="20"/>
        <v>1.5874942236293998E-3</v>
      </c>
      <c r="BC83" s="29">
        <f t="shared" si="21"/>
        <v>-7.6320719658713905E-3</v>
      </c>
      <c r="BE83" s="29">
        <f t="shared" si="22"/>
        <v>1.5874942236293998E-3</v>
      </c>
      <c r="BF83" s="29">
        <f t="shared" si="23"/>
        <v>-4.0186056474654681E-3</v>
      </c>
      <c r="BH83" s="29"/>
    </row>
    <row r="84" spans="1:60" x14ac:dyDescent="0.25">
      <c r="A84" s="1">
        <v>46143</v>
      </c>
      <c r="B84" s="33">
        <v>50.07</v>
      </c>
      <c r="C84" s="33">
        <v>54.14</v>
      </c>
      <c r="D84" s="15">
        <v>1.32691934841947E-2</v>
      </c>
      <c r="E84" s="15">
        <v>2.2791944939400101E-2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50.07</v>
      </c>
      <c r="M84" s="33">
        <v>54.14</v>
      </c>
      <c r="N84" s="34">
        <v>1.0812861993209499</v>
      </c>
      <c r="O84" s="34">
        <v>1.0913821229076099</v>
      </c>
      <c r="P84" s="34">
        <v>1.08739447024005</v>
      </c>
      <c r="Q84" s="34">
        <v>1.0979615379948799</v>
      </c>
      <c r="R84" s="33">
        <v>54.6455028939843</v>
      </c>
      <c r="S84" s="33">
        <v>54.584428569807102</v>
      </c>
      <c r="T84" s="33">
        <v>55.042946169126502</v>
      </c>
      <c r="U84" s="15">
        <v>9.2936378278374691E-3</v>
      </c>
      <c r="V84" s="15">
        <v>8.1753668608357099E-3</v>
      </c>
      <c r="W84" s="15">
        <v>1.6540435788467901E-2</v>
      </c>
      <c r="X84" s="34">
        <v>1.0812861993209499</v>
      </c>
      <c r="Y84" s="34">
        <v>1.0913821229076099</v>
      </c>
      <c r="Z84" s="34">
        <v>1.08739447024005</v>
      </c>
      <c r="AA84" s="34">
        <v>1.0979615379948799</v>
      </c>
      <c r="AB84" s="33">
        <v>54.6455028939843</v>
      </c>
      <c r="AC84" s="33">
        <v>54.584428569807102</v>
      </c>
      <c r="AD84" s="33">
        <v>55.042946169126502</v>
      </c>
      <c r="AE84" s="15">
        <v>9.2936378278374691E-3</v>
      </c>
      <c r="AF84" s="15">
        <v>8.1753668608357099E-3</v>
      </c>
      <c r="AG84" s="15">
        <v>1.6540435788467901E-2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3.6134663184059215E-3</v>
      </c>
      <c r="AT84" s="12"/>
      <c r="AU84">
        <f t="shared" si="10"/>
        <v>1</v>
      </c>
      <c r="AV84">
        <f t="shared" si="11"/>
        <v>0</v>
      </c>
      <c r="AW84">
        <f t="shared" si="18"/>
        <v>1</v>
      </c>
      <c r="AX84">
        <f t="shared" si="5"/>
        <v>1</v>
      </c>
      <c r="AY84">
        <f t="shared" si="19"/>
        <v>1</v>
      </c>
      <c r="AZ84" s="28">
        <f t="shared" si="12"/>
        <v>-1.32691934841947E-2</v>
      </c>
      <c r="BA84" s="28">
        <f t="shared" si="13"/>
        <v>2.2791944939400101E-2</v>
      </c>
      <c r="BB84" s="28">
        <f t="shared" si="20"/>
        <v>9.5227514552054006E-3</v>
      </c>
      <c r="BC84" s="29">
        <f t="shared" si="21"/>
        <v>1.8906794893340101E-3</v>
      </c>
      <c r="BE84" s="29">
        <f t="shared" si="22"/>
        <v>9.5227514552054006E-3</v>
      </c>
      <c r="BF84" s="29">
        <f t="shared" si="23"/>
        <v>5.5041458077399324E-3</v>
      </c>
      <c r="BH84" s="29"/>
    </row>
    <row r="85" spans="1:60" x14ac:dyDescent="0.25">
      <c r="A85" s="1">
        <v>46146</v>
      </c>
      <c r="B85" s="33">
        <v>49.45</v>
      </c>
      <c r="C85" s="33">
        <v>53.14</v>
      </c>
      <c r="D85" s="15">
        <v>-1.24599682731321E-2</v>
      </c>
      <c r="E85" s="15">
        <v>-1.8643343854487699E-2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49.45</v>
      </c>
      <c r="M85" s="33">
        <v>53.14</v>
      </c>
      <c r="N85" s="34">
        <v>1.0746208291203201</v>
      </c>
      <c r="O85" s="34">
        <v>1.0913821229076099</v>
      </c>
      <c r="P85" s="34">
        <v>1.0841838890752</v>
      </c>
      <c r="Q85" s="34">
        <v>1.09618130639237</v>
      </c>
      <c r="R85" s="33">
        <v>53.968845977781498</v>
      </c>
      <c r="S85" s="33">
        <v>53.771656553370597</v>
      </c>
      <c r="T85" s="33">
        <v>54.294198053847197</v>
      </c>
      <c r="U85" s="15">
        <v>1.54770134091929E-2</v>
      </c>
      <c r="V85" s="15">
        <v>1.18165581494595E-2</v>
      </c>
      <c r="W85" s="15">
        <v>2.1487431062303899E-2</v>
      </c>
      <c r="X85" s="34">
        <v>1.0746208291203201</v>
      </c>
      <c r="Y85" s="34">
        <v>1.0913821229076099</v>
      </c>
      <c r="Z85" s="34">
        <v>1.0841838890752</v>
      </c>
      <c r="AA85" s="34">
        <v>1.09618130639237</v>
      </c>
      <c r="AB85" s="33">
        <v>53.968845977781498</v>
      </c>
      <c r="AC85" s="33">
        <v>53.771656553370597</v>
      </c>
      <c r="AD85" s="33">
        <v>54.294198053847197</v>
      </c>
      <c r="AE85" s="15">
        <v>1.54770134091929E-2</v>
      </c>
      <c r="AF85" s="15">
        <v>1.18165581494595E-2</v>
      </c>
      <c r="AG85" s="15">
        <v>2.1487431062303899E-2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3.6134663184059215E-3</v>
      </c>
      <c r="AT85" s="12"/>
      <c r="AU85">
        <f t="shared" si="10"/>
        <v>1</v>
      </c>
      <c r="AV85">
        <f t="shared" si="11"/>
        <v>0</v>
      </c>
      <c r="AW85">
        <f t="shared" si="18"/>
        <v>1</v>
      </c>
      <c r="AX85">
        <f t="shared" ref="AX85:AX148" si="25">IF(F86+H86&gt;0,0,1)</f>
        <v>1</v>
      </c>
      <c r="AY85">
        <f t="shared" si="19"/>
        <v>1</v>
      </c>
      <c r="AZ85" s="28">
        <f t="shared" si="12"/>
        <v>1.24599682731321E-2</v>
      </c>
      <c r="BA85" s="28">
        <f t="shared" si="13"/>
        <v>-1.8643343854487699E-2</v>
      </c>
      <c r="BB85" s="28">
        <f t="shared" si="20"/>
        <v>-6.1833755813555987E-3</v>
      </c>
      <c r="BC85" s="29">
        <f t="shared" si="21"/>
        <v>-4.2926960920215886E-3</v>
      </c>
      <c r="BE85" s="29">
        <f t="shared" si="22"/>
        <v>-6.1833755813555987E-3</v>
      </c>
      <c r="BF85" s="29">
        <f t="shared" si="23"/>
        <v>-6.7922977361566626E-4</v>
      </c>
      <c r="BH85" s="29"/>
    </row>
    <row r="86" spans="1:60" x14ac:dyDescent="0.25">
      <c r="A86" s="1">
        <v>46147</v>
      </c>
      <c r="B86" s="33">
        <v>49.41</v>
      </c>
      <c r="C86" s="33">
        <v>53.27</v>
      </c>
      <c r="D86" s="15">
        <v>-8.0922521106257801E-4</v>
      </c>
      <c r="E86" s="15">
        <v>2.4433805972403598E-3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49.41</v>
      </c>
      <c r="M86" s="33">
        <v>53.27</v>
      </c>
      <c r="N86" s="34">
        <v>1.07812183768467</v>
      </c>
      <c r="O86" s="34">
        <v>1.0913821229076099</v>
      </c>
      <c r="P86" s="34">
        <v>1.08098386005129</v>
      </c>
      <c r="Q86" s="34">
        <v>1.0947571021490401</v>
      </c>
      <c r="R86" s="33">
        <v>53.925190692865201</v>
      </c>
      <c r="S86" s="33">
        <v>53.569525959205997</v>
      </c>
      <c r="T86" s="33">
        <v>54.162318348847201</v>
      </c>
      <c r="U86" s="15">
        <v>1.2224407600890099E-2</v>
      </c>
      <c r="V86" s="15">
        <v>5.6070399273489202E-3</v>
      </c>
      <c r="W86" s="15">
        <v>1.6612112313767101E-2</v>
      </c>
      <c r="X86" s="34">
        <v>1.07812183768467</v>
      </c>
      <c r="Y86" s="34">
        <v>1.0913821229076099</v>
      </c>
      <c r="Z86" s="34">
        <v>1.08098386005129</v>
      </c>
      <c r="AA86" s="34">
        <v>1.0947571021490401</v>
      </c>
      <c r="AB86" s="33">
        <v>53.925190692865201</v>
      </c>
      <c r="AC86" s="33">
        <v>53.569525959205997</v>
      </c>
      <c r="AD86" s="33">
        <v>54.162318348847201</v>
      </c>
      <c r="AE86" s="15">
        <v>1.2224407600890099E-2</v>
      </c>
      <c r="AF86" s="15">
        <v>5.6070399273489202E-3</v>
      </c>
      <c r="AG86" s="15">
        <v>1.6612112313767101E-2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3.6134663184059215E-3</v>
      </c>
      <c r="AT86" s="12"/>
      <c r="AU86">
        <f t="shared" ref="AU86:AU149" si="30">IF($AG86&gt;AT$21,1,0)</f>
        <v>1</v>
      </c>
      <c r="AV86">
        <f t="shared" ref="AV86:AV149" si="31">IF($AG86&lt;AT$22,1,0)</f>
        <v>0</v>
      </c>
      <c r="AW86">
        <f t="shared" si="18"/>
        <v>1</v>
      </c>
      <c r="AX86">
        <f t="shared" si="25"/>
        <v>1</v>
      </c>
      <c r="AY86">
        <f t="shared" si="19"/>
        <v>1</v>
      </c>
      <c r="AZ86" s="28">
        <f t="shared" ref="AZ86:AZ149" si="32">-AY86*D86</f>
        <v>8.0922521106257801E-4</v>
      </c>
      <c r="BA86" s="28">
        <f t="shared" ref="BA86:BA149" si="33">AY86*$E86</f>
        <v>2.4433805972403598E-3</v>
      </c>
      <c r="BB86" s="28">
        <f t="shared" si="20"/>
        <v>3.252605808302938E-3</v>
      </c>
      <c r="BC86" s="29">
        <f t="shared" si="21"/>
        <v>-1.0400902837186506E-3</v>
      </c>
      <c r="BE86" s="29">
        <f t="shared" si="22"/>
        <v>3.252605808302938E-3</v>
      </c>
      <c r="BF86" s="29">
        <f t="shared" si="23"/>
        <v>2.5733760346872718E-3</v>
      </c>
      <c r="BH86" s="29"/>
    </row>
    <row r="87" spans="1:60" x14ac:dyDescent="0.25">
      <c r="A87" s="1">
        <v>46148</v>
      </c>
      <c r="B87" s="33">
        <v>51.09</v>
      </c>
      <c r="C87" s="33">
        <v>55.24</v>
      </c>
      <c r="D87" s="15">
        <v>3.3435950485048001E-2</v>
      </c>
      <c r="E87" s="15">
        <v>3.6314007612183598E-2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51.09</v>
      </c>
      <c r="M87" s="33">
        <v>55.24</v>
      </c>
      <c r="N87" s="34">
        <v>1.0812292033666</v>
      </c>
      <c r="O87" s="34">
        <v>1.0913821229076099</v>
      </c>
      <c r="P87" s="34">
        <v>1.07871104530491</v>
      </c>
      <c r="Q87" s="34">
        <v>1.0932982721337401</v>
      </c>
      <c r="R87" s="33">
        <v>55.758712659350003</v>
      </c>
      <c r="S87" s="33">
        <v>55.227465410020599</v>
      </c>
      <c r="T87" s="33">
        <v>55.931140348794798</v>
      </c>
      <c r="U87" s="15">
        <v>9.34635047375461E-3</v>
      </c>
      <c r="V87" s="15">
        <v>-2.26937225120813E-4</v>
      </c>
      <c r="W87" s="15">
        <v>1.2433968941962701E-2</v>
      </c>
      <c r="X87" s="34">
        <v>1.0812292033666</v>
      </c>
      <c r="Y87" s="34">
        <v>1.0913821229076099</v>
      </c>
      <c r="Z87" s="34">
        <v>1.07871104530491</v>
      </c>
      <c r="AA87" s="34">
        <v>1.0932982721337401</v>
      </c>
      <c r="AB87" s="33">
        <v>55.758712659350003</v>
      </c>
      <c r="AC87" s="33">
        <v>55.227465410020599</v>
      </c>
      <c r="AD87" s="33">
        <v>55.931140348794798</v>
      </c>
      <c r="AE87" s="15">
        <v>9.34635047375461E-3</v>
      </c>
      <c r="AF87" s="15">
        <v>-2.26937225120813E-4</v>
      </c>
      <c r="AG87" s="15">
        <v>1.2433968941962701E-2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3.6134663184059215E-3</v>
      </c>
      <c r="AT87" s="12"/>
      <c r="AU87">
        <f t="shared" si="30"/>
        <v>0</v>
      </c>
      <c r="AV87">
        <f t="shared" si="31"/>
        <v>0</v>
      </c>
      <c r="AW87">
        <f t="shared" ref="AW87:AW150" si="38">AY87</f>
        <v>1</v>
      </c>
      <c r="AX87">
        <f t="shared" si="25"/>
        <v>1</v>
      </c>
      <c r="AY87">
        <f t="shared" ref="AY87:AY150" si="39">IF(AU86,1,IF(AV86,0,AW86))*AX86</f>
        <v>1</v>
      </c>
      <c r="AZ87" s="28">
        <f t="shared" si="32"/>
        <v>-3.3435950485048001E-2</v>
      </c>
      <c r="BA87" s="28">
        <f t="shared" si="33"/>
        <v>3.6314007612183598E-2</v>
      </c>
      <c r="BB87" s="28">
        <f t="shared" ref="BB87:BB150" si="40">AZ87+BA87</f>
        <v>2.878057127135597E-3</v>
      </c>
      <c r="BC87" s="29">
        <f t="shared" ref="BC87:BC150" si="41">BC86+BB87</f>
        <v>1.8379668434169464E-3</v>
      </c>
      <c r="BE87" s="29">
        <f t="shared" ref="BE87:BE150" si="42">AQ87+BB87</f>
        <v>2.878057127135597E-3</v>
      </c>
      <c r="BF87" s="29">
        <f t="shared" ref="BF87:BF150" si="43">BF86+BE87</f>
        <v>5.4514331618228688E-3</v>
      </c>
      <c r="BH87" s="29"/>
    </row>
    <row r="88" spans="1:60" x14ac:dyDescent="0.25">
      <c r="A88" s="1">
        <v>46149</v>
      </c>
      <c r="B88" s="33">
        <v>51.18</v>
      </c>
      <c r="C88" s="33">
        <v>55.34</v>
      </c>
      <c r="D88" s="15">
        <v>1.7600473889360501E-3</v>
      </c>
      <c r="E88" s="15">
        <v>1.8086458176885601E-3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51.18</v>
      </c>
      <c r="M88" s="33">
        <v>55.34</v>
      </c>
      <c r="N88" s="34">
        <v>1.0812817506838599</v>
      </c>
      <c r="O88" s="34">
        <v>1.0913821229076099</v>
      </c>
      <c r="P88" s="34">
        <v>1.07703975789655</v>
      </c>
      <c r="Q88" s="34">
        <v>1.09191726251475</v>
      </c>
      <c r="R88" s="33">
        <v>55.856937050411702</v>
      </c>
      <c r="S88" s="33">
        <v>55.208431298705399</v>
      </c>
      <c r="T88" s="33">
        <v>55.955005567805003</v>
      </c>
      <c r="U88" s="15">
        <v>9.29775204500209E-3</v>
      </c>
      <c r="V88" s="15">
        <v>-2.38029182086012E-3</v>
      </c>
      <c r="W88" s="15">
        <v>1.10519214162558E-2</v>
      </c>
      <c r="X88" s="34">
        <v>1.0812817506838599</v>
      </c>
      <c r="Y88" s="34">
        <v>1.0913821229076099</v>
      </c>
      <c r="Z88" s="34">
        <v>1.07703975789655</v>
      </c>
      <c r="AA88" s="34">
        <v>1.09191726251475</v>
      </c>
      <c r="AB88" s="33">
        <v>55.856937050411702</v>
      </c>
      <c r="AC88" s="33">
        <v>55.208431298705399</v>
      </c>
      <c r="AD88" s="33">
        <v>55.955005567805003</v>
      </c>
      <c r="AE88" s="15">
        <v>9.29775204500209E-3</v>
      </c>
      <c r="AF88" s="15">
        <v>-2.38029182086012E-3</v>
      </c>
      <c r="AG88" s="15">
        <v>1.10519214162558E-2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3.6134663184059215E-3</v>
      </c>
      <c r="AT88" s="12"/>
      <c r="AU88">
        <f t="shared" si="30"/>
        <v>0</v>
      </c>
      <c r="AV88">
        <f t="shared" si="31"/>
        <v>0</v>
      </c>
      <c r="AW88">
        <f t="shared" si="38"/>
        <v>1</v>
      </c>
      <c r="AX88">
        <f t="shared" si="25"/>
        <v>1</v>
      </c>
      <c r="AY88">
        <f t="shared" si="39"/>
        <v>1</v>
      </c>
      <c r="AZ88" s="28">
        <f t="shared" si="32"/>
        <v>-1.7600473889360501E-3</v>
      </c>
      <c r="BA88" s="28">
        <f t="shared" si="33"/>
        <v>1.8086458176885601E-3</v>
      </c>
      <c r="BB88" s="28">
        <f t="shared" si="40"/>
        <v>4.8598428752510015E-5</v>
      </c>
      <c r="BC88" s="29">
        <f t="shared" si="41"/>
        <v>1.8865652721694564E-3</v>
      </c>
      <c r="BE88" s="29">
        <f t="shared" si="42"/>
        <v>4.8598428752510015E-5</v>
      </c>
      <c r="BF88" s="29">
        <f t="shared" si="43"/>
        <v>5.5000315905753792E-3</v>
      </c>
      <c r="BH88" s="29"/>
    </row>
    <row r="89" spans="1:60" x14ac:dyDescent="0.25">
      <c r="A89" s="1">
        <v>46150</v>
      </c>
      <c r="B89" s="33">
        <v>50.67</v>
      </c>
      <c r="C89" s="33">
        <v>54.87</v>
      </c>
      <c r="D89" s="15">
        <v>-1.0014811243824299E-2</v>
      </c>
      <c r="E89" s="15">
        <v>-8.5292232878959196E-3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50.67</v>
      </c>
      <c r="M89" s="33">
        <v>54.87</v>
      </c>
      <c r="N89" s="34">
        <v>1.0828892835997601</v>
      </c>
      <c r="O89" s="34">
        <v>1.0913821229076099</v>
      </c>
      <c r="P89" s="34">
        <v>1.0774043097480801</v>
      </c>
      <c r="Q89" s="34">
        <v>1.0904935963189999</v>
      </c>
      <c r="R89" s="33">
        <v>55.300332167728797</v>
      </c>
      <c r="S89" s="33">
        <v>54.573604532618504</v>
      </c>
      <c r="T89" s="33">
        <v>55.327447691622503</v>
      </c>
      <c r="U89" s="15">
        <v>7.8121640890738003E-3</v>
      </c>
      <c r="V89" s="15">
        <v>-5.4164186801831504E-3</v>
      </c>
      <c r="W89" s="15">
        <v>8.30237594130687E-3</v>
      </c>
      <c r="X89" s="34">
        <v>1.0828892835997601</v>
      </c>
      <c r="Y89" s="34">
        <v>1.0913821229076099</v>
      </c>
      <c r="Z89" s="34">
        <v>1.0774043097480801</v>
      </c>
      <c r="AA89" s="34">
        <v>1.0904935963189999</v>
      </c>
      <c r="AB89" s="33">
        <v>55.300332167728797</v>
      </c>
      <c r="AC89" s="33">
        <v>54.573604532618504</v>
      </c>
      <c r="AD89" s="33">
        <v>55.327447691622503</v>
      </c>
      <c r="AE89" s="15">
        <v>7.8121640890738003E-3</v>
      </c>
      <c r="AF89" s="15">
        <v>-5.4164186801831504E-3</v>
      </c>
      <c r="AG89" s="15">
        <v>8.30237594130687E-3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3.6134663184059215E-3</v>
      </c>
      <c r="AT89" s="12"/>
      <c r="AU89">
        <f t="shared" si="30"/>
        <v>0</v>
      </c>
      <c r="AV89">
        <f t="shared" si="31"/>
        <v>0</v>
      </c>
      <c r="AW89">
        <f t="shared" si="38"/>
        <v>1</v>
      </c>
      <c r="AX89">
        <f t="shared" si="25"/>
        <v>1</v>
      </c>
      <c r="AY89">
        <f t="shared" si="39"/>
        <v>1</v>
      </c>
      <c r="AZ89" s="28">
        <f t="shared" si="32"/>
        <v>1.0014811243824299E-2</v>
      </c>
      <c r="BA89" s="28">
        <f t="shared" si="33"/>
        <v>-8.5292232878959196E-3</v>
      </c>
      <c r="BB89" s="28">
        <f t="shared" si="40"/>
        <v>1.4855879559283799E-3</v>
      </c>
      <c r="BC89" s="29">
        <f t="shared" si="41"/>
        <v>3.3721532280978363E-3</v>
      </c>
      <c r="BE89" s="29">
        <f t="shared" si="42"/>
        <v>1.4855879559283799E-3</v>
      </c>
      <c r="BF89" s="29">
        <f t="shared" si="43"/>
        <v>6.9856195465037591E-3</v>
      </c>
      <c r="BH89" s="29"/>
    </row>
    <row r="90" spans="1:60" x14ac:dyDescent="0.25">
      <c r="A90" s="1">
        <v>46153</v>
      </c>
      <c r="B90" s="33">
        <v>50.22</v>
      </c>
      <c r="C90" s="33">
        <v>54.34</v>
      </c>
      <c r="D90" s="15">
        <v>-8.9206657583794802E-3</v>
      </c>
      <c r="E90" s="15">
        <v>-9.7061470726821798E-3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50.22</v>
      </c>
      <c r="M90" s="33">
        <v>54.34</v>
      </c>
      <c r="N90" s="34">
        <v>1.0820390282755801</v>
      </c>
      <c r="O90" s="34">
        <v>1.0913821229076099</v>
      </c>
      <c r="P90" s="34">
        <v>1.0777283254333601</v>
      </c>
      <c r="Q90" s="34">
        <v>1.0889873328828601</v>
      </c>
      <c r="R90" s="33">
        <v>54.809210212420403</v>
      </c>
      <c r="S90" s="33">
        <v>54.1072444355488</v>
      </c>
      <c r="T90" s="33">
        <v>54.764588407140401</v>
      </c>
      <c r="U90" s="15">
        <v>8.5976454033763507E-3</v>
      </c>
      <c r="V90" s="15">
        <v>-4.2925188750192996E-3</v>
      </c>
      <c r="W90" s="15">
        <v>7.7831841305392498E-3</v>
      </c>
      <c r="X90" s="34">
        <v>1.0820390282755801</v>
      </c>
      <c r="Y90" s="34">
        <v>1.0913821229076099</v>
      </c>
      <c r="Z90" s="34">
        <v>1.0777283254333601</v>
      </c>
      <c r="AA90" s="34">
        <v>1.0889873328828601</v>
      </c>
      <c r="AB90" s="33">
        <v>54.809210212420403</v>
      </c>
      <c r="AC90" s="33">
        <v>54.1072444355488</v>
      </c>
      <c r="AD90" s="33">
        <v>54.764588407140401</v>
      </c>
      <c r="AE90" s="15">
        <v>8.5976454033763507E-3</v>
      </c>
      <c r="AF90" s="15">
        <v>-4.2925188750192996E-3</v>
      </c>
      <c r="AG90" s="15">
        <v>7.7831841305392498E-3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3.6134663184059215E-3</v>
      </c>
      <c r="AT90" s="12"/>
      <c r="AU90">
        <f t="shared" si="30"/>
        <v>0</v>
      </c>
      <c r="AV90">
        <f t="shared" si="31"/>
        <v>0</v>
      </c>
      <c r="AW90">
        <f t="shared" si="38"/>
        <v>1</v>
      </c>
      <c r="AX90">
        <f t="shared" si="25"/>
        <v>1</v>
      </c>
      <c r="AY90">
        <f t="shared" si="39"/>
        <v>1</v>
      </c>
      <c r="AZ90" s="28">
        <f t="shared" si="32"/>
        <v>8.9206657583794802E-3</v>
      </c>
      <c r="BA90" s="28">
        <f t="shared" si="33"/>
        <v>-9.7061470726821798E-3</v>
      </c>
      <c r="BB90" s="28">
        <f t="shared" si="40"/>
        <v>-7.8548131430269952E-4</v>
      </c>
      <c r="BC90" s="29">
        <f t="shared" si="41"/>
        <v>2.5866719137951368E-3</v>
      </c>
      <c r="BE90" s="29">
        <f t="shared" si="42"/>
        <v>-7.8548131430269952E-4</v>
      </c>
      <c r="BF90" s="29">
        <f t="shared" si="43"/>
        <v>6.2001382322010596E-3</v>
      </c>
      <c r="BH90" s="29"/>
    </row>
    <row r="91" spans="1:60" x14ac:dyDescent="0.25">
      <c r="A91" s="1">
        <v>46154</v>
      </c>
      <c r="B91" s="33">
        <v>49.52</v>
      </c>
      <c r="C91" s="33">
        <v>54.22</v>
      </c>
      <c r="D91" s="15">
        <v>-1.4036725353098099E-2</v>
      </c>
      <c r="E91" s="15">
        <v>-2.21075992768228E-3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49.52</v>
      </c>
      <c r="M91" s="33">
        <v>54.22</v>
      </c>
      <c r="N91" s="34">
        <v>1.0949111470113</v>
      </c>
      <c r="O91" s="34">
        <v>1.0913821229076099</v>
      </c>
      <c r="P91" s="34">
        <v>1.07967568636261</v>
      </c>
      <c r="Q91" s="34">
        <v>1.0887152067674699</v>
      </c>
      <c r="R91" s="33">
        <v>54.045242726385098</v>
      </c>
      <c r="S91" s="33">
        <v>53.369106675460102</v>
      </c>
      <c r="T91" s="33">
        <v>53.9266527243594</v>
      </c>
      <c r="U91" s="15">
        <v>-3.22832002203944E-3</v>
      </c>
      <c r="V91" s="15">
        <v>-1.5817792192275099E-2</v>
      </c>
      <c r="W91" s="15">
        <v>-5.4250036908377501E-3</v>
      </c>
      <c r="X91" s="34">
        <v>1.0949111470113</v>
      </c>
      <c r="Y91" s="34">
        <v>1.0913821229076099</v>
      </c>
      <c r="Z91" s="34">
        <v>1.07967568636261</v>
      </c>
      <c r="AA91" s="34">
        <v>1.0887152067674699</v>
      </c>
      <c r="AB91" s="33">
        <v>54.045242726385098</v>
      </c>
      <c r="AC91" s="33">
        <v>53.369106675460102</v>
      </c>
      <c r="AD91" s="33">
        <v>53.9266527243594</v>
      </c>
      <c r="AE91" s="15">
        <v>-3.22832002203944E-3</v>
      </c>
      <c r="AF91" s="15">
        <v>-1.5817792192275099E-2</v>
      </c>
      <c r="AG91" s="15">
        <v>-5.4250036908377501E-3</v>
      </c>
      <c r="AI91" s="12"/>
      <c r="AJ91">
        <f t="shared" si="26"/>
        <v>0</v>
      </c>
      <c r="AK91">
        <f t="shared" si="27"/>
        <v>0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3.6134663184059215E-3</v>
      </c>
      <c r="AT91" s="12"/>
      <c r="AU91">
        <f t="shared" si="30"/>
        <v>0</v>
      </c>
      <c r="AV91">
        <f t="shared" si="31"/>
        <v>1</v>
      </c>
      <c r="AW91">
        <f t="shared" si="38"/>
        <v>1</v>
      </c>
      <c r="AX91">
        <f t="shared" si="25"/>
        <v>1</v>
      </c>
      <c r="AY91">
        <f t="shared" si="39"/>
        <v>1</v>
      </c>
      <c r="AZ91" s="28">
        <f t="shared" si="32"/>
        <v>1.4036725353098099E-2</v>
      </c>
      <c r="BA91" s="28">
        <f t="shared" si="33"/>
        <v>-2.21075992768228E-3</v>
      </c>
      <c r="BB91" s="28">
        <f t="shared" si="40"/>
        <v>1.182596542541582E-2</v>
      </c>
      <c r="BC91" s="29">
        <f t="shared" si="41"/>
        <v>1.4412637339210957E-2</v>
      </c>
      <c r="BE91" s="29">
        <f t="shared" si="42"/>
        <v>1.182596542541582E-2</v>
      </c>
      <c r="BF91" s="29">
        <f t="shared" si="43"/>
        <v>1.8026103657616879E-2</v>
      </c>
      <c r="BH91" s="29"/>
    </row>
    <row r="92" spans="1:60" x14ac:dyDescent="0.25">
      <c r="A92" s="1">
        <v>46155</v>
      </c>
      <c r="B92" s="33">
        <v>50.78</v>
      </c>
      <c r="C92" s="33">
        <v>54.4</v>
      </c>
      <c r="D92" s="15">
        <v>2.5125947900191702E-2</v>
      </c>
      <c r="E92" s="15">
        <v>3.3143097913773999E-3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50.78</v>
      </c>
      <c r="M92" s="33">
        <v>54.4</v>
      </c>
      <c r="N92" s="34">
        <v>1.0712879086254401</v>
      </c>
      <c r="O92" s="34">
        <v>1.0913821229076099</v>
      </c>
      <c r="P92" s="34">
        <v>1.0798705439054599</v>
      </c>
      <c r="Q92" s="34">
        <v>1.08697104214565</v>
      </c>
      <c r="R92" s="33">
        <v>55.420384201248702</v>
      </c>
      <c r="S92" s="33">
        <v>54.825931353493701</v>
      </c>
      <c r="T92" s="33">
        <v>55.284958199652102</v>
      </c>
      <c r="U92" s="15">
        <v>1.85833180867747E-2</v>
      </c>
      <c r="V92" s="15">
        <v>7.7991280495881598E-3</v>
      </c>
      <c r="W92" s="15">
        <v>1.6136714043770001E-2</v>
      </c>
      <c r="X92" s="34">
        <v>1.0712879086254401</v>
      </c>
      <c r="Y92" s="34">
        <v>1.0913821229076099</v>
      </c>
      <c r="Z92" s="34">
        <v>1.0798705439054599</v>
      </c>
      <c r="AA92" s="34">
        <v>1.08697104214565</v>
      </c>
      <c r="AB92" s="33">
        <v>55.420384201248702</v>
      </c>
      <c r="AC92" s="33">
        <v>54.825931353493701</v>
      </c>
      <c r="AD92" s="33">
        <v>55.284958199652102</v>
      </c>
      <c r="AE92" s="15">
        <v>1.85833180867747E-2</v>
      </c>
      <c r="AF92" s="15">
        <v>7.7991280495881598E-3</v>
      </c>
      <c r="AG92" s="15">
        <v>1.6136714043770001E-2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3.6134663184059215E-3</v>
      </c>
      <c r="AT92" s="12"/>
      <c r="AU92">
        <f t="shared" si="30"/>
        <v>1</v>
      </c>
      <c r="AV92">
        <f t="shared" si="31"/>
        <v>0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1.4412637339210957E-2</v>
      </c>
      <c r="BE92" s="29">
        <f t="shared" si="42"/>
        <v>0</v>
      </c>
      <c r="BF92" s="29">
        <f t="shared" si="43"/>
        <v>1.8026103657616879E-2</v>
      </c>
      <c r="BH92" s="29"/>
    </row>
    <row r="93" spans="1:60" x14ac:dyDescent="0.25">
      <c r="A93" s="1">
        <v>46156</v>
      </c>
      <c r="B93" s="33">
        <v>50.88</v>
      </c>
      <c r="C93" s="33">
        <v>54.48</v>
      </c>
      <c r="D93" s="15">
        <v>1.96734275533441E-3</v>
      </c>
      <c r="E93" s="15">
        <v>1.46950797935997E-3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50.88</v>
      </c>
      <c r="M93" s="33">
        <v>54.48</v>
      </c>
      <c r="N93" s="34">
        <v>1.07075471698113</v>
      </c>
      <c r="O93" s="34">
        <v>1.0913821229076099</v>
      </c>
      <c r="P93" s="34">
        <v>1.07984219046696</v>
      </c>
      <c r="Q93" s="34">
        <v>1.0850022672906701</v>
      </c>
      <c r="R93" s="33">
        <v>55.529522413539397</v>
      </c>
      <c r="S93" s="33">
        <v>54.943813273910003</v>
      </c>
      <c r="T93" s="33">
        <v>55.305086624371</v>
      </c>
      <c r="U93" s="15">
        <v>1.9081152862749199E-2</v>
      </c>
      <c r="V93" s="15">
        <v>8.4774243879451698E-3</v>
      </c>
      <c r="W93" s="15">
        <v>1.5031224814437199E-2</v>
      </c>
      <c r="X93" s="34">
        <v>1.07075471698113</v>
      </c>
      <c r="Y93" s="34">
        <v>1.0913821229076099</v>
      </c>
      <c r="Z93" s="34">
        <v>1.07984219046696</v>
      </c>
      <c r="AA93" s="34">
        <v>1.0850022672906701</v>
      </c>
      <c r="AB93" s="33">
        <v>55.529522413539397</v>
      </c>
      <c r="AC93" s="33">
        <v>54.943813273910003</v>
      </c>
      <c r="AD93" s="33">
        <v>55.305086624371</v>
      </c>
      <c r="AE93" s="15">
        <v>1.9081152862749199E-2</v>
      </c>
      <c r="AF93" s="15">
        <v>8.4774243879451698E-3</v>
      </c>
      <c r="AG93" s="15">
        <v>1.5031224814437199E-2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3.6134663184059215E-3</v>
      </c>
      <c r="AT93" s="12"/>
      <c r="AU93">
        <f t="shared" si="30"/>
        <v>1</v>
      </c>
      <c r="AV93">
        <f t="shared" si="31"/>
        <v>0</v>
      </c>
      <c r="AW93">
        <f t="shared" si="38"/>
        <v>1</v>
      </c>
      <c r="AX93">
        <f t="shared" si="25"/>
        <v>1</v>
      </c>
      <c r="AY93">
        <f t="shared" si="39"/>
        <v>1</v>
      </c>
      <c r="AZ93" s="28">
        <f t="shared" si="32"/>
        <v>-1.96734275533441E-3</v>
      </c>
      <c r="BA93" s="28">
        <f t="shared" si="33"/>
        <v>1.46950797935997E-3</v>
      </c>
      <c r="BB93" s="28">
        <f t="shared" si="40"/>
        <v>-4.9783477597444004E-4</v>
      </c>
      <c r="BC93" s="29">
        <f t="shared" si="41"/>
        <v>1.3914802563236517E-2</v>
      </c>
      <c r="BE93" s="29">
        <f t="shared" si="42"/>
        <v>-4.9783477597444004E-4</v>
      </c>
      <c r="BF93" s="29">
        <f t="shared" si="43"/>
        <v>1.7528268881642439E-2</v>
      </c>
      <c r="BH93" s="29"/>
    </row>
    <row r="94" spans="1:60" x14ac:dyDescent="0.25">
      <c r="A94" s="1">
        <v>46157</v>
      </c>
      <c r="B94" s="33">
        <v>50.4</v>
      </c>
      <c r="C94" s="33">
        <v>53.95</v>
      </c>
      <c r="D94" s="15">
        <v>-9.4787439545438792E-3</v>
      </c>
      <c r="E94" s="15">
        <v>-9.7759701371131404E-3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50.4</v>
      </c>
      <c r="M94" s="33">
        <v>53.95</v>
      </c>
      <c r="N94" s="34">
        <v>1.0704365079364999</v>
      </c>
      <c r="O94" s="34">
        <v>1.0913821229076099</v>
      </c>
      <c r="P94" s="34">
        <v>1.0787572213285199</v>
      </c>
      <c r="Q94" s="34">
        <v>1.08307584578428</v>
      </c>
      <c r="R94" s="33">
        <v>55.005658994543801</v>
      </c>
      <c r="S94" s="33">
        <v>54.424046399535001</v>
      </c>
      <c r="T94" s="33">
        <v>54.6841142714499</v>
      </c>
      <c r="U94" s="15">
        <v>1.9378379045318601E-2</v>
      </c>
      <c r="V94" s="15">
        <v>8.7483938947543992E-3</v>
      </c>
      <c r="W94" s="15">
        <v>1.3515560032242699E-2</v>
      </c>
      <c r="X94" s="34">
        <v>1.0704365079364999</v>
      </c>
      <c r="Y94" s="34">
        <v>1.0913821229076099</v>
      </c>
      <c r="Z94" s="34">
        <v>1.0787572213285199</v>
      </c>
      <c r="AA94" s="34">
        <v>1.08307584578428</v>
      </c>
      <c r="AB94" s="33">
        <v>55.005658994543801</v>
      </c>
      <c r="AC94" s="33">
        <v>54.424046399535001</v>
      </c>
      <c r="AD94" s="33">
        <v>54.6841142714499</v>
      </c>
      <c r="AE94" s="15">
        <v>1.9378379045318601E-2</v>
      </c>
      <c r="AF94" s="15">
        <v>8.7483938947543992E-3</v>
      </c>
      <c r="AG94" s="15">
        <v>1.3515560032242699E-2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3.6134663184059215E-3</v>
      </c>
      <c r="AT94" s="12"/>
      <c r="AU94">
        <f t="shared" si="30"/>
        <v>0</v>
      </c>
      <c r="AV94">
        <f t="shared" si="31"/>
        <v>0</v>
      </c>
      <c r="AW94">
        <f t="shared" si="38"/>
        <v>1</v>
      </c>
      <c r="AX94">
        <f t="shared" si="25"/>
        <v>1</v>
      </c>
      <c r="AY94">
        <f t="shared" si="39"/>
        <v>1</v>
      </c>
      <c r="AZ94" s="28">
        <f t="shared" si="32"/>
        <v>9.4787439545438792E-3</v>
      </c>
      <c r="BA94" s="28">
        <f t="shared" si="33"/>
        <v>-9.7759701371131404E-3</v>
      </c>
      <c r="BB94" s="28">
        <f t="shared" si="40"/>
        <v>-2.9722618256926119E-4</v>
      </c>
      <c r="BC94" s="29">
        <f t="shared" si="41"/>
        <v>1.3617576380667256E-2</v>
      </c>
      <c r="BE94" s="29">
        <f t="shared" si="42"/>
        <v>-2.9722618256926119E-4</v>
      </c>
      <c r="BF94" s="29">
        <f t="shared" si="43"/>
        <v>1.7231042699073176E-2</v>
      </c>
      <c r="BH94" s="29"/>
    </row>
    <row r="95" spans="1:60" x14ac:dyDescent="0.25">
      <c r="A95" s="1">
        <v>46160</v>
      </c>
      <c r="B95" s="33">
        <v>51.12</v>
      </c>
      <c r="C95" s="33">
        <v>54.55</v>
      </c>
      <c r="D95" s="15">
        <v>1.41846349919563E-2</v>
      </c>
      <c r="E95" s="15">
        <v>1.1060020574936101E-2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51.12</v>
      </c>
      <c r="M95" s="33">
        <v>54.55</v>
      </c>
      <c r="N95" s="34">
        <v>1.06709702660406</v>
      </c>
      <c r="O95" s="34">
        <v>1.0913821229076099</v>
      </c>
      <c r="P95" s="34">
        <v>1.0780048410768901</v>
      </c>
      <c r="Q95" s="34">
        <v>1.0810943650760501</v>
      </c>
      <c r="R95" s="33">
        <v>55.791454123037298</v>
      </c>
      <c r="S95" s="33">
        <v>55.146069154313999</v>
      </c>
      <c r="T95" s="33">
        <v>55.3668372364927</v>
      </c>
      <c r="U95" s="15">
        <v>2.2502993462338802E-2</v>
      </c>
      <c r="V95" s="15">
        <v>1.0867755346466E-2</v>
      </c>
      <c r="W95" s="15">
        <v>1.4863096398670599E-2</v>
      </c>
      <c r="X95" s="34">
        <v>1.06709702660406</v>
      </c>
      <c r="Y95" s="34">
        <v>1.0913821229076099</v>
      </c>
      <c r="Z95" s="34">
        <v>1.0780048410768901</v>
      </c>
      <c r="AA95" s="34">
        <v>1.0810943650760501</v>
      </c>
      <c r="AB95" s="33">
        <v>55.791454123037298</v>
      </c>
      <c r="AC95" s="33">
        <v>55.146069154313999</v>
      </c>
      <c r="AD95" s="33">
        <v>55.3668372364927</v>
      </c>
      <c r="AE95" s="15">
        <v>2.2502993462338802E-2</v>
      </c>
      <c r="AF95" s="15">
        <v>1.0867755346466E-2</v>
      </c>
      <c r="AG95" s="15">
        <v>1.4863096398670599E-2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3.6134663184059215E-3</v>
      </c>
      <c r="AT95" s="12"/>
      <c r="AU95">
        <f t="shared" si="30"/>
        <v>0</v>
      </c>
      <c r="AV95">
        <f t="shared" si="31"/>
        <v>0</v>
      </c>
      <c r="AW95">
        <f t="shared" si="38"/>
        <v>1</v>
      </c>
      <c r="AX95">
        <f t="shared" si="25"/>
        <v>1</v>
      </c>
      <c r="AY95">
        <f t="shared" si="39"/>
        <v>1</v>
      </c>
      <c r="AZ95" s="28">
        <f t="shared" si="32"/>
        <v>-1.41846349919563E-2</v>
      </c>
      <c r="BA95" s="28">
        <f t="shared" si="33"/>
        <v>1.1060020574936101E-2</v>
      </c>
      <c r="BB95" s="28">
        <f t="shared" si="40"/>
        <v>-3.1246144170201991E-3</v>
      </c>
      <c r="BC95" s="29">
        <f t="shared" si="41"/>
        <v>1.0492961963647057E-2</v>
      </c>
      <c r="BE95" s="29">
        <f t="shared" si="42"/>
        <v>-3.1246144170201991E-3</v>
      </c>
      <c r="BF95" s="29">
        <f t="shared" si="43"/>
        <v>1.4106428282052977E-2</v>
      </c>
      <c r="BH95" s="29"/>
    </row>
    <row r="96" spans="1:60" x14ac:dyDescent="0.25">
      <c r="A96" s="1">
        <v>46161</v>
      </c>
      <c r="B96" s="33">
        <v>50.5</v>
      </c>
      <c r="C96" s="33">
        <v>53.93</v>
      </c>
      <c r="D96" s="15">
        <v>-1.22024737879651E-2</v>
      </c>
      <c r="E96" s="15">
        <v>-1.1430802929944001E-2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50.5</v>
      </c>
      <c r="M96" s="33">
        <v>53.93</v>
      </c>
      <c r="N96" s="34">
        <v>1.0679207920792</v>
      </c>
      <c r="O96" s="34">
        <v>1.0913821229076099</v>
      </c>
      <c r="P96" s="34">
        <v>1.0769847365163401</v>
      </c>
      <c r="Q96" s="34">
        <v>1.07898429828382</v>
      </c>
      <c r="R96" s="33">
        <v>55.114797206834503</v>
      </c>
      <c r="S96" s="33">
        <v>54.439244474383202</v>
      </c>
      <c r="T96" s="33">
        <v>54.595265436340597</v>
      </c>
      <c r="U96" s="15">
        <v>2.1731322604317701E-2</v>
      </c>
      <c r="V96" s="15">
        <v>9.3983902037944895E-3</v>
      </c>
      <c r="W96" s="15">
        <v>1.2260256021746E-2</v>
      </c>
      <c r="X96" s="34">
        <v>1.0679207920792</v>
      </c>
      <c r="Y96" s="34">
        <v>1.0913821229076099</v>
      </c>
      <c r="Z96" s="34">
        <v>1.0769847365163401</v>
      </c>
      <c r="AA96" s="34">
        <v>1.07898429828382</v>
      </c>
      <c r="AB96" s="33">
        <v>55.114797206834503</v>
      </c>
      <c r="AC96" s="33">
        <v>54.439244474383202</v>
      </c>
      <c r="AD96" s="33">
        <v>54.595265436340597</v>
      </c>
      <c r="AE96" s="15">
        <v>2.1731322604317701E-2</v>
      </c>
      <c r="AF96" s="15">
        <v>9.3983902037944895E-3</v>
      </c>
      <c r="AG96" s="15">
        <v>1.2260256021746E-2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3.6134663184059215E-3</v>
      </c>
      <c r="AT96" s="12"/>
      <c r="AU96">
        <f t="shared" si="30"/>
        <v>0</v>
      </c>
      <c r="AV96">
        <f t="shared" si="31"/>
        <v>0</v>
      </c>
      <c r="AW96">
        <f t="shared" si="38"/>
        <v>1</v>
      </c>
      <c r="AX96">
        <f t="shared" si="25"/>
        <v>1</v>
      </c>
      <c r="AY96">
        <f t="shared" si="39"/>
        <v>1</v>
      </c>
      <c r="AZ96" s="28">
        <f t="shared" si="32"/>
        <v>1.22024737879651E-2</v>
      </c>
      <c r="BA96" s="28">
        <f t="shared" si="33"/>
        <v>-1.1430802929944001E-2</v>
      </c>
      <c r="BB96" s="28">
        <f t="shared" si="40"/>
        <v>7.7167085802109896E-4</v>
      </c>
      <c r="BC96" s="29">
        <f t="shared" si="41"/>
        <v>1.1264632821668156E-2</v>
      </c>
      <c r="BE96" s="29">
        <f t="shared" si="42"/>
        <v>7.7167085802109896E-4</v>
      </c>
      <c r="BF96" s="29">
        <f t="shared" si="43"/>
        <v>1.4878099140074076E-2</v>
      </c>
      <c r="BH96" s="29"/>
    </row>
    <row r="97" spans="1:60" x14ac:dyDescent="0.25">
      <c r="A97" s="1">
        <v>46162</v>
      </c>
      <c r="B97" s="33">
        <v>50.23</v>
      </c>
      <c r="C97" s="33">
        <v>53.7</v>
      </c>
      <c r="D97" s="15">
        <v>-5.3608785193609097E-3</v>
      </c>
      <c r="E97" s="15">
        <v>-4.2739078343165702E-3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50.23</v>
      </c>
      <c r="M97" s="33">
        <v>53.7</v>
      </c>
      <c r="N97" s="34">
        <v>1.0690822217798099</v>
      </c>
      <c r="O97" s="34">
        <v>1.0913821229076099</v>
      </c>
      <c r="P97" s="34">
        <v>1.0757700383576601</v>
      </c>
      <c r="Q97" s="34">
        <v>1.07724054183129</v>
      </c>
      <c r="R97" s="33">
        <v>54.820124033649499</v>
      </c>
      <c r="S97" s="33">
        <v>54.096943315216102</v>
      </c>
      <c r="T97" s="33">
        <v>54.197381302796302</v>
      </c>
      <c r="U97" s="15">
        <v>2.0644351919273499E-2</v>
      </c>
      <c r="V97" s="15">
        <v>7.3646820984414104E-3</v>
      </c>
      <c r="W97" s="15">
        <v>9.2195903169909992E-3</v>
      </c>
      <c r="X97" s="34">
        <v>1.0690822217798099</v>
      </c>
      <c r="Y97" s="34">
        <v>1.0913821229076099</v>
      </c>
      <c r="Z97" s="34">
        <v>1.0757700383576601</v>
      </c>
      <c r="AA97" s="34">
        <v>1.07724054183129</v>
      </c>
      <c r="AB97" s="33">
        <v>54.820124033649499</v>
      </c>
      <c r="AC97" s="33">
        <v>54.096943315216102</v>
      </c>
      <c r="AD97" s="33">
        <v>54.197381302796302</v>
      </c>
      <c r="AE97" s="15">
        <v>2.0644351919273499E-2</v>
      </c>
      <c r="AF97" s="15">
        <v>7.3646820984414104E-3</v>
      </c>
      <c r="AG97" s="15">
        <v>9.2195903169909992E-3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3.6134663184059215E-3</v>
      </c>
      <c r="AT97" s="12"/>
      <c r="AU97">
        <f t="shared" si="30"/>
        <v>0</v>
      </c>
      <c r="AV97">
        <f t="shared" si="31"/>
        <v>0</v>
      </c>
      <c r="AW97">
        <f t="shared" si="38"/>
        <v>1</v>
      </c>
      <c r="AX97">
        <f t="shared" si="25"/>
        <v>1</v>
      </c>
      <c r="AY97">
        <f t="shared" si="39"/>
        <v>1</v>
      </c>
      <c r="AZ97" s="28">
        <f t="shared" si="32"/>
        <v>5.3608785193609097E-3</v>
      </c>
      <c r="BA97" s="28">
        <f t="shared" si="33"/>
        <v>-4.2739078343165702E-3</v>
      </c>
      <c r="BB97" s="28">
        <f t="shared" si="40"/>
        <v>1.0869706850443394E-3</v>
      </c>
      <c r="BC97" s="29">
        <f t="shared" si="41"/>
        <v>1.2351603506712494E-2</v>
      </c>
      <c r="BE97" s="29">
        <f t="shared" si="42"/>
        <v>1.0869706850443394E-3</v>
      </c>
      <c r="BF97" s="29">
        <f t="shared" si="43"/>
        <v>1.5965069825118416E-2</v>
      </c>
      <c r="BH97" s="29"/>
    </row>
    <row r="98" spans="1:60" x14ac:dyDescent="0.25">
      <c r="A98" s="1">
        <v>46163</v>
      </c>
      <c r="B98" s="33">
        <v>50.01</v>
      </c>
      <c r="C98" s="33">
        <v>53.49</v>
      </c>
      <c r="D98" s="15">
        <v>-4.3894723311409499E-3</v>
      </c>
      <c r="E98" s="15">
        <v>-3.9182809716602398E-3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50.01</v>
      </c>
      <c r="M98" s="33">
        <v>53.49</v>
      </c>
      <c r="N98" s="34">
        <v>1.06958608278344</v>
      </c>
      <c r="O98" s="34">
        <v>1.0913821229076099</v>
      </c>
      <c r="P98" s="34">
        <v>1.0746004715676201</v>
      </c>
      <c r="Q98" s="34">
        <v>1.07582011473209</v>
      </c>
      <c r="R98" s="33">
        <v>54.580019966609797</v>
      </c>
      <c r="S98" s="33">
        <v>53.799259618267001</v>
      </c>
      <c r="T98" s="33">
        <v>53.8727994969828</v>
      </c>
      <c r="U98" s="15">
        <v>2.0173160559792899E-2</v>
      </c>
      <c r="V98" s="15">
        <v>5.7649847876380302E-3</v>
      </c>
      <c r="W98" s="15">
        <v>7.1309824430233204E-3</v>
      </c>
      <c r="X98" s="34">
        <v>1.06958608278344</v>
      </c>
      <c r="Y98" s="34">
        <v>1.0913821229076099</v>
      </c>
      <c r="Z98" s="34">
        <v>1.0746004715676201</v>
      </c>
      <c r="AA98" s="34">
        <v>1.07582011473209</v>
      </c>
      <c r="AB98" s="33">
        <v>54.580019966609797</v>
      </c>
      <c r="AC98" s="33">
        <v>53.799259618267001</v>
      </c>
      <c r="AD98" s="33">
        <v>53.8727994969828</v>
      </c>
      <c r="AE98" s="15">
        <v>2.0173160559792899E-2</v>
      </c>
      <c r="AF98" s="15">
        <v>5.7649847876380302E-3</v>
      </c>
      <c r="AG98" s="15">
        <v>7.1309824430233204E-3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3.6134663184059215E-3</v>
      </c>
      <c r="AT98" s="12"/>
      <c r="AU98">
        <f t="shared" si="30"/>
        <v>0</v>
      </c>
      <c r="AV98">
        <f t="shared" si="31"/>
        <v>0</v>
      </c>
      <c r="AW98">
        <f t="shared" si="38"/>
        <v>1</v>
      </c>
      <c r="AX98">
        <f t="shared" si="25"/>
        <v>1</v>
      </c>
      <c r="AY98">
        <f t="shared" si="39"/>
        <v>1</v>
      </c>
      <c r="AZ98" s="28">
        <f t="shared" si="32"/>
        <v>4.3894723311409499E-3</v>
      </c>
      <c r="BA98" s="28">
        <f t="shared" si="33"/>
        <v>-3.9182809716602398E-3</v>
      </c>
      <c r="BB98" s="28">
        <f t="shared" si="40"/>
        <v>4.711913594807101E-4</v>
      </c>
      <c r="BC98" s="29">
        <f t="shared" si="41"/>
        <v>1.2822794866193204E-2</v>
      </c>
      <c r="BE98" s="29">
        <f t="shared" si="42"/>
        <v>4.711913594807101E-4</v>
      </c>
      <c r="BF98" s="29">
        <f t="shared" si="43"/>
        <v>1.6436261184599128E-2</v>
      </c>
      <c r="BH98" s="29"/>
    </row>
    <row r="99" spans="1:60" x14ac:dyDescent="0.25">
      <c r="A99" s="1">
        <v>46164</v>
      </c>
      <c r="B99" s="33">
        <v>49.5</v>
      </c>
      <c r="C99" s="33">
        <v>53.1</v>
      </c>
      <c r="D99" s="15">
        <v>-1.02503158561677E-2</v>
      </c>
      <c r="E99" s="15">
        <v>-7.3177922952655404E-3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49.5</v>
      </c>
      <c r="M99" s="33">
        <v>53.1</v>
      </c>
      <c r="N99" s="34">
        <v>1.0727272727272701</v>
      </c>
      <c r="O99" s="34">
        <v>1.0913821229076099</v>
      </c>
      <c r="P99" s="34">
        <v>1.07358427048037</v>
      </c>
      <c r="Q99" s="34">
        <v>1.0754942901142299</v>
      </c>
      <c r="R99" s="33">
        <v>54.023415083926899</v>
      </c>
      <c r="S99" s="33">
        <v>53.192723342597503</v>
      </c>
      <c r="T99" s="33">
        <v>53.253095679238498</v>
      </c>
      <c r="U99" s="15">
        <v>1.7240636998890699E-2</v>
      </c>
      <c r="V99" s="15">
        <v>1.7446794700853501E-3</v>
      </c>
      <c r="W99" s="15">
        <v>2.8790094732597301E-3</v>
      </c>
      <c r="X99" s="34">
        <v>1.0727272727272701</v>
      </c>
      <c r="Y99" s="34">
        <v>1.0913821229076099</v>
      </c>
      <c r="Z99" s="34">
        <v>1.07358427048037</v>
      </c>
      <c r="AA99" s="34">
        <v>1.0754942901142299</v>
      </c>
      <c r="AB99" s="33">
        <v>54.023415083926899</v>
      </c>
      <c r="AC99" s="33">
        <v>53.192723342597503</v>
      </c>
      <c r="AD99" s="33">
        <v>53.253095679238498</v>
      </c>
      <c r="AE99" s="15">
        <v>1.7240636998890699E-2</v>
      </c>
      <c r="AF99" s="15">
        <v>1.7446794700853501E-3</v>
      </c>
      <c r="AG99" s="15">
        <v>2.8790094732597301E-3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3.6134663184059215E-3</v>
      </c>
      <c r="AT99" s="12"/>
      <c r="AU99">
        <f t="shared" si="30"/>
        <v>0</v>
      </c>
      <c r="AV99">
        <f t="shared" si="31"/>
        <v>0</v>
      </c>
      <c r="AW99">
        <f t="shared" si="38"/>
        <v>1</v>
      </c>
      <c r="AX99">
        <f t="shared" si="25"/>
        <v>1</v>
      </c>
      <c r="AY99">
        <f t="shared" si="39"/>
        <v>1</v>
      </c>
      <c r="AZ99" s="28">
        <f t="shared" si="32"/>
        <v>1.02503158561677E-2</v>
      </c>
      <c r="BA99" s="28">
        <f t="shared" si="33"/>
        <v>-7.3177922952655404E-3</v>
      </c>
      <c r="BB99" s="28">
        <f t="shared" si="40"/>
        <v>2.93252356090216E-3</v>
      </c>
      <c r="BC99" s="29">
        <f t="shared" si="41"/>
        <v>1.5755318427095363E-2</v>
      </c>
      <c r="BE99" s="29">
        <f t="shared" si="42"/>
        <v>2.93252356090216E-3</v>
      </c>
      <c r="BF99" s="29">
        <f t="shared" si="43"/>
        <v>1.9368784745501289E-2</v>
      </c>
      <c r="BH99" s="29"/>
    </row>
    <row r="100" spans="1:60" x14ac:dyDescent="0.25">
      <c r="A100" s="1">
        <v>46168</v>
      </c>
      <c r="B100" s="33">
        <v>49.48</v>
      </c>
      <c r="C100" s="33">
        <v>53.49</v>
      </c>
      <c r="D100" s="15">
        <v>-4.0412205035758001E-4</v>
      </c>
      <c r="E100" s="15">
        <v>7.3177922952654996E-3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49.48</v>
      </c>
      <c r="M100" s="33">
        <v>53.49</v>
      </c>
      <c r="N100" s="34">
        <v>1.0810428455941701</v>
      </c>
      <c r="O100" s="34">
        <v>1.0913821229076099</v>
      </c>
      <c r="P100" s="34">
        <v>1.0734846522122301</v>
      </c>
      <c r="Q100" s="34">
        <v>1.0756064888228001</v>
      </c>
      <c r="R100" s="33">
        <v>54.0015874414688</v>
      </c>
      <c r="S100" s="33">
        <v>53.120949703369099</v>
      </c>
      <c r="T100" s="33">
        <v>53.215457474852201</v>
      </c>
      <c r="U100" s="15">
        <v>9.5187226532676399E-3</v>
      </c>
      <c r="V100" s="15">
        <v>-6.9233370828190302E-3</v>
      </c>
      <c r="W100" s="15">
        <v>-5.1458123596346897E-3</v>
      </c>
      <c r="X100" s="34">
        <v>1.0810428455941701</v>
      </c>
      <c r="Y100" s="34">
        <v>1.0913821229076099</v>
      </c>
      <c r="Z100" s="34">
        <v>1.0734846522122301</v>
      </c>
      <c r="AA100" s="34">
        <v>1.0756064888228001</v>
      </c>
      <c r="AB100" s="33">
        <v>54.0015874414688</v>
      </c>
      <c r="AC100" s="33">
        <v>53.120949703369099</v>
      </c>
      <c r="AD100" s="33">
        <v>53.215457474852201</v>
      </c>
      <c r="AE100" s="15">
        <v>9.5187226532676399E-3</v>
      </c>
      <c r="AF100" s="15">
        <v>-6.9233370828190302E-3</v>
      </c>
      <c r="AG100" s="15">
        <v>-5.1458123596346897E-3</v>
      </c>
      <c r="AI100" s="12"/>
      <c r="AJ100">
        <f t="shared" si="26"/>
        <v>0</v>
      </c>
      <c r="AK100">
        <f t="shared" si="27"/>
        <v>0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3.6134663184059215E-3</v>
      </c>
      <c r="AT100" s="12"/>
      <c r="AU100">
        <f t="shared" si="30"/>
        <v>0</v>
      </c>
      <c r="AV100">
        <f t="shared" si="31"/>
        <v>1</v>
      </c>
      <c r="AW100">
        <f t="shared" si="38"/>
        <v>1</v>
      </c>
      <c r="AX100">
        <f t="shared" si="25"/>
        <v>1</v>
      </c>
      <c r="AY100">
        <f t="shared" si="39"/>
        <v>1</v>
      </c>
      <c r="AZ100" s="28">
        <f t="shared" si="32"/>
        <v>4.0412205035758001E-4</v>
      </c>
      <c r="BA100" s="28">
        <f t="shared" si="33"/>
        <v>7.3177922952654996E-3</v>
      </c>
      <c r="BB100" s="28">
        <f t="shared" si="40"/>
        <v>7.7219143456230795E-3</v>
      </c>
      <c r="BC100" s="29">
        <f t="shared" si="41"/>
        <v>2.3477232772718442E-2</v>
      </c>
      <c r="BE100" s="29">
        <f t="shared" si="42"/>
        <v>7.7219143456230795E-3</v>
      </c>
      <c r="BF100" s="29">
        <f t="shared" si="43"/>
        <v>2.7090699091124368E-2</v>
      </c>
      <c r="BH100" s="29"/>
    </row>
    <row r="101" spans="1:60" x14ac:dyDescent="0.25">
      <c r="A101" s="1">
        <v>46169</v>
      </c>
      <c r="B101" s="33">
        <v>49.92</v>
      </c>
      <c r="C101" s="33">
        <v>53.92</v>
      </c>
      <c r="D101" s="15">
        <v>8.8531765368850997E-3</v>
      </c>
      <c r="E101" s="15">
        <v>8.0067460608929594E-3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49.92</v>
      </c>
      <c r="M101" s="33">
        <v>53.92</v>
      </c>
      <c r="N101" s="34">
        <v>1.0801282051282</v>
      </c>
      <c r="O101" s="34">
        <v>1.0913821229076099</v>
      </c>
      <c r="P101" s="34">
        <v>1.0720063580239201</v>
      </c>
      <c r="Q101" s="34">
        <v>1.0758410221932699</v>
      </c>
      <c r="R101" s="33">
        <v>54.481795575548098</v>
      </c>
      <c r="S101" s="33">
        <v>53.588353838434898</v>
      </c>
      <c r="T101" s="33">
        <v>53.694275922034201</v>
      </c>
      <c r="U101" s="15">
        <v>1.036515312926E-2</v>
      </c>
      <c r="V101" s="15">
        <v>-6.16970126950293E-3</v>
      </c>
      <c r="W101" s="15">
        <v>-4.1950644013854102E-3</v>
      </c>
      <c r="X101" s="34">
        <v>1.0801282051282</v>
      </c>
      <c r="Y101" s="34">
        <v>1.0913821229076099</v>
      </c>
      <c r="Z101" s="34">
        <v>1.0720063580239201</v>
      </c>
      <c r="AA101" s="34">
        <v>1.0758410221932699</v>
      </c>
      <c r="AB101" s="33">
        <v>54.481795575548098</v>
      </c>
      <c r="AC101" s="33">
        <v>53.588353838434898</v>
      </c>
      <c r="AD101" s="33">
        <v>53.694275922034201</v>
      </c>
      <c r="AE101" s="15">
        <v>1.036515312926E-2</v>
      </c>
      <c r="AF101" s="15">
        <v>-6.16970126950293E-3</v>
      </c>
      <c r="AG101" s="15">
        <v>-4.1950644013854102E-3</v>
      </c>
      <c r="AI101" s="12"/>
      <c r="AJ101">
        <f t="shared" si="26"/>
        <v>0</v>
      </c>
      <c r="AK101">
        <f t="shared" si="27"/>
        <v>0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3.6134663184059215E-3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2.3477232772718442E-2</v>
      </c>
      <c r="BE101" s="29">
        <f t="shared" si="42"/>
        <v>0</v>
      </c>
      <c r="BF101" s="29">
        <f t="shared" si="43"/>
        <v>2.7090699091124368E-2</v>
      </c>
      <c r="BH101" s="29"/>
    </row>
    <row r="102" spans="1:60" x14ac:dyDescent="0.25">
      <c r="A102" s="1">
        <v>46170</v>
      </c>
      <c r="B102" s="33">
        <v>50.05</v>
      </c>
      <c r="C102" s="33">
        <v>53.88</v>
      </c>
      <c r="D102" s="15">
        <v>2.60078170005721E-3</v>
      </c>
      <c r="E102" s="15">
        <v>-7.4211506188830102E-4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50.05</v>
      </c>
      <c r="M102" s="33">
        <v>53.88</v>
      </c>
      <c r="N102" s="34">
        <v>1.0765234765234699</v>
      </c>
      <c r="O102" s="34">
        <v>1.0913821229076099</v>
      </c>
      <c r="P102" s="34">
        <v>1.0725299148137299</v>
      </c>
      <c r="Q102" s="34">
        <v>1.07620022935959</v>
      </c>
      <c r="R102" s="33">
        <v>54.623675251526102</v>
      </c>
      <c r="S102" s="33">
        <v>53.653918219097498</v>
      </c>
      <c r="T102" s="33">
        <v>53.8458431607732</v>
      </c>
      <c r="U102" s="15">
        <v>1.3708049891205399E-2</v>
      </c>
      <c r="V102" s="15">
        <v>-4.2048521574421498E-3</v>
      </c>
      <c r="W102" s="15">
        <v>-6.3414384829454799E-4</v>
      </c>
      <c r="X102" s="34">
        <v>1.0765234765234699</v>
      </c>
      <c r="Y102" s="34">
        <v>1.0913821229076099</v>
      </c>
      <c r="Z102" s="34">
        <v>1.0725299148137299</v>
      </c>
      <c r="AA102" s="34">
        <v>1.07620022935959</v>
      </c>
      <c r="AB102" s="33">
        <v>54.623675251526102</v>
      </c>
      <c r="AC102" s="33">
        <v>53.653918219097498</v>
      </c>
      <c r="AD102" s="33">
        <v>53.8458431607732</v>
      </c>
      <c r="AE102" s="15">
        <v>1.3708049891205399E-2</v>
      </c>
      <c r="AF102" s="15">
        <v>-4.2048521574421498E-3</v>
      </c>
      <c r="AG102" s="15">
        <v>-6.3414384829454799E-4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3.6134663184059215E-3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2.3477232772718442E-2</v>
      </c>
      <c r="BE102" s="29">
        <f t="shared" si="42"/>
        <v>0</v>
      </c>
      <c r="BF102" s="29">
        <f t="shared" si="43"/>
        <v>2.7090699091124368E-2</v>
      </c>
      <c r="BH102" s="29"/>
    </row>
    <row r="103" spans="1:60" x14ac:dyDescent="0.25">
      <c r="A103" s="1">
        <v>46171</v>
      </c>
      <c r="B103" s="33">
        <v>49.6</v>
      </c>
      <c r="C103" s="33">
        <v>53.6</v>
      </c>
      <c r="D103" s="15">
        <v>-9.0316720303477097E-3</v>
      </c>
      <c r="E103" s="15">
        <v>-5.2102834654069799E-3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49.6</v>
      </c>
      <c r="M103" s="33">
        <v>53.6</v>
      </c>
      <c r="N103" s="34">
        <v>1.0806451612903201</v>
      </c>
      <c r="O103" s="34">
        <v>1.0913821229076099</v>
      </c>
      <c r="P103" s="34">
        <v>1.0735189592446399</v>
      </c>
      <c r="Q103" s="34">
        <v>1.0766805748557999</v>
      </c>
      <c r="R103" s="33">
        <v>54.132553296217701</v>
      </c>
      <c r="S103" s="33">
        <v>53.197483774760997</v>
      </c>
      <c r="T103" s="33">
        <v>53.379531376236002</v>
      </c>
      <c r="U103" s="15">
        <v>9.8866613262648707E-3</v>
      </c>
      <c r="V103" s="15">
        <v>-7.5379703146158002E-3</v>
      </c>
      <c r="W103" s="15">
        <v>-4.1217031528509498E-3</v>
      </c>
      <c r="X103" s="34">
        <v>1.0806451612903201</v>
      </c>
      <c r="Y103" s="34">
        <v>1.0913821229076099</v>
      </c>
      <c r="Z103" s="34">
        <v>1.0735189592446399</v>
      </c>
      <c r="AA103" s="34">
        <v>1.0766805748557999</v>
      </c>
      <c r="AB103" s="33">
        <v>54.132553296217701</v>
      </c>
      <c r="AC103" s="33">
        <v>53.197483774760997</v>
      </c>
      <c r="AD103" s="33">
        <v>53.379531376236002</v>
      </c>
      <c r="AE103" s="15">
        <v>9.8866613262648707E-3</v>
      </c>
      <c r="AF103" s="15">
        <v>-7.5379703146158002E-3</v>
      </c>
      <c r="AG103" s="15">
        <v>-4.1217031528509498E-3</v>
      </c>
      <c r="AI103" s="12"/>
      <c r="AJ103">
        <f t="shared" si="26"/>
        <v>0</v>
      </c>
      <c r="AK103">
        <f t="shared" si="27"/>
        <v>0</v>
      </c>
      <c r="AL103">
        <f t="shared" si="34"/>
        <v>0</v>
      </c>
      <c r="AM103">
        <f t="shared" si="24"/>
        <v>1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3.6134663184059215E-3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2.3477232772718442E-2</v>
      </c>
      <c r="BE103" s="29">
        <f t="shared" si="42"/>
        <v>0</v>
      </c>
      <c r="BF103" s="29">
        <f t="shared" si="43"/>
        <v>2.7090699091124368E-2</v>
      </c>
      <c r="BH103" s="29"/>
    </row>
    <row r="104" spans="1:60" x14ac:dyDescent="0.25">
      <c r="A104" s="1">
        <v>46174</v>
      </c>
      <c r="B104" s="33">
        <v>49.54</v>
      </c>
      <c r="C104" s="33">
        <v>53.24</v>
      </c>
      <c r="D104" s="15">
        <v>-1.2104096696683099E-3</v>
      </c>
      <c r="E104" s="15">
        <v>-6.7390745498454004E-3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49.54</v>
      </c>
      <c r="M104" s="33">
        <v>53.24</v>
      </c>
      <c r="N104" s="34">
        <v>1.0746871215179601</v>
      </c>
      <c r="O104" s="34">
        <v>1.0913821229076099</v>
      </c>
      <c r="P104" s="34">
        <v>1.0739440206027899</v>
      </c>
      <c r="Q104" s="34">
        <v>1.0763506209656499</v>
      </c>
      <c r="R104" s="33">
        <v>54.067070368843197</v>
      </c>
      <c r="S104" s="33">
        <v>53.182129240979897</v>
      </c>
      <c r="T104" s="33">
        <v>53.338755678356698</v>
      </c>
      <c r="U104" s="15">
        <v>1.5415326206441701E-2</v>
      </c>
      <c r="V104" s="15">
        <v>-1.0875701348388299E-3</v>
      </c>
      <c r="W104" s="15">
        <v>1.85319684005528E-3</v>
      </c>
      <c r="X104" s="34">
        <v>1.0746871215179601</v>
      </c>
      <c r="Y104" s="34">
        <v>1.0913821229076099</v>
      </c>
      <c r="Z104" s="34">
        <v>1.0739440206027899</v>
      </c>
      <c r="AA104" s="34">
        <v>1.0763506209656499</v>
      </c>
      <c r="AB104" s="33">
        <v>54.067070368843197</v>
      </c>
      <c r="AC104" s="33">
        <v>53.182129240979897</v>
      </c>
      <c r="AD104" s="33">
        <v>53.338755678356698</v>
      </c>
      <c r="AE104" s="15">
        <v>1.5415326206441701E-2</v>
      </c>
      <c r="AF104" s="15">
        <v>-1.0875701348388299E-3</v>
      </c>
      <c r="AG104" s="15">
        <v>1.85319684005528E-3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3.6134663184059215E-3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2.3477232772718442E-2</v>
      </c>
      <c r="BE104" s="29">
        <f t="shared" si="42"/>
        <v>0</v>
      </c>
      <c r="BF104" s="29">
        <f t="shared" si="43"/>
        <v>2.7090699091124368E-2</v>
      </c>
      <c r="BH104" s="29"/>
    </row>
    <row r="105" spans="1:60" x14ac:dyDescent="0.25">
      <c r="A105" s="1">
        <v>46175</v>
      </c>
      <c r="B105" s="33">
        <v>49.34</v>
      </c>
      <c r="C105" s="33">
        <v>53.36</v>
      </c>
      <c r="D105" s="15">
        <v>-4.0453129600028096E-3</v>
      </c>
      <c r="E105" s="15">
        <v>2.2514080804574201E-3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49.34</v>
      </c>
      <c r="M105" s="33">
        <v>53.36</v>
      </c>
      <c r="N105" s="34">
        <v>1.08147547628698</v>
      </c>
      <c r="O105" s="34">
        <v>1.0913821229076099</v>
      </c>
      <c r="P105" s="34">
        <v>1.0753818655710801</v>
      </c>
      <c r="Q105" s="34">
        <v>1.07669335332399</v>
      </c>
      <c r="R105" s="33">
        <v>53.848793944261701</v>
      </c>
      <c r="S105" s="33">
        <v>52.988397976541897</v>
      </c>
      <c r="T105" s="33">
        <v>53.107139638445503</v>
      </c>
      <c r="U105" s="15">
        <v>9.1186051659816695E-3</v>
      </c>
      <c r="V105" s="15">
        <v>-6.9884181216669696E-3</v>
      </c>
      <c r="W105" s="15">
        <v>-4.7500259300338604E-3</v>
      </c>
      <c r="X105" s="34">
        <v>1.08147547628698</v>
      </c>
      <c r="Y105" s="34">
        <v>1.0913821229076099</v>
      </c>
      <c r="Z105" s="34">
        <v>1.0753818655710801</v>
      </c>
      <c r="AA105" s="34">
        <v>1.07669335332399</v>
      </c>
      <c r="AB105" s="33">
        <v>53.848793944261701</v>
      </c>
      <c r="AC105" s="33">
        <v>52.988397976541897</v>
      </c>
      <c r="AD105" s="33">
        <v>53.107139638445503</v>
      </c>
      <c r="AE105" s="15">
        <v>9.1186051659816695E-3</v>
      </c>
      <c r="AF105" s="15">
        <v>-6.9884181216669696E-3</v>
      </c>
      <c r="AG105" s="15">
        <v>-4.7500259300338604E-3</v>
      </c>
      <c r="AI105" s="12"/>
      <c r="AJ105">
        <f t="shared" si="26"/>
        <v>0</v>
      </c>
      <c r="AK105">
        <f t="shared" si="27"/>
        <v>0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3.6134663184059215E-3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2.3477232772718442E-2</v>
      </c>
      <c r="BE105" s="29">
        <f t="shared" si="42"/>
        <v>0</v>
      </c>
      <c r="BF105" s="29">
        <f t="shared" si="43"/>
        <v>2.7090699091124368E-2</v>
      </c>
      <c r="BH105" s="29"/>
    </row>
    <row r="106" spans="1:60" x14ac:dyDescent="0.25">
      <c r="A106" s="1">
        <v>46176</v>
      </c>
      <c r="B106" s="33">
        <v>48.38</v>
      </c>
      <c r="C106" s="33">
        <v>52.46</v>
      </c>
      <c r="D106" s="15">
        <v>-1.96486059193294E-2</v>
      </c>
      <c r="E106" s="15">
        <v>-1.70104271686406E-2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48.38</v>
      </c>
      <c r="M106" s="33">
        <v>52.46</v>
      </c>
      <c r="N106" s="34">
        <v>1.08433236874741</v>
      </c>
      <c r="O106" s="34">
        <v>1.0913821229076099</v>
      </c>
      <c r="P106" s="34">
        <v>1.0770230232378999</v>
      </c>
      <c r="Q106" s="34">
        <v>1.07700387987712</v>
      </c>
      <c r="R106" s="33">
        <v>52.801067106270402</v>
      </c>
      <c r="S106" s="33">
        <v>52.026974656329202</v>
      </c>
      <c r="T106" s="33">
        <v>52.090424433814697</v>
      </c>
      <c r="U106" s="15">
        <v>6.4804264152929303E-3</v>
      </c>
      <c r="V106" s="15">
        <v>-8.2886469671944706E-3</v>
      </c>
      <c r="W106" s="15">
        <v>-7.0698346285352704E-3</v>
      </c>
      <c r="X106" s="34">
        <v>1.08433236874741</v>
      </c>
      <c r="Y106" s="34">
        <v>1.0913821229076099</v>
      </c>
      <c r="Z106" s="34">
        <v>1.0770230232378999</v>
      </c>
      <c r="AA106" s="34">
        <v>1.07700387987712</v>
      </c>
      <c r="AB106" s="33">
        <v>52.801067106270402</v>
      </c>
      <c r="AC106" s="33">
        <v>52.026974656329202</v>
      </c>
      <c r="AD106" s="33">
        <v>52.090424433814697</v>
      </c>
      <c r="AE106" s="15">
        <v>6.4804264152929303E-3</v>
      </c>
      <c r="AF106" s="15">
        <v>-8.2886469671944706E-3</v>
      </c>
      <c r="AG106" s="15">
        <v>-7.0698346285352704E-3</v>
      </c>
      <c r="AI106" s="12"/>
      <c r="AJ106">
        <f t="shared" si="26"/>
        <v>0</v>
      </c>
      <c r="AK106">
        <f t="shared" si="27"/>
        <v>0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3.6134663184059215E-3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2.3477232772718442E-2</v>
      </c>
      <c r="BE106" s="29">
        <f t="shared" si="42"/>
        <v>0</v>
      </c>
      <c r="BF106" s="29">
        <f t="shared" si="43"/>
        <v>2.7090699091124368E-2</v>
      </c>
      <c r="BH106" s="29"/>
    </row>
    <row r="107" spans="1:60" x14ac:dyDescent="0.25">
      <c r="A107" s="1">
        <v>46177</v>
      </c>
      <c r="B107" s="33">
        <v>49.28</v>
      </c>
      <c r="C107" s="33">
        <v>53.41</v>
      </c>
      <c r="D107" s="15">
        <v>1.8431814043383E-2</v>
      </c>
      <c r="E107" s="15">
        <v>1.7947019912951102E-2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49.28</v>
      </c>
      <c r="M107" s="33">
        <v>53.41</v>
      </c>
      <c r="N107" s="34">
        <v>1.0838068181818099</v>
      </c>
      <c r="O107" s="34">
        <v>1.0913821229076099</v>
      </c>
      <c r="P107" s="34">
        <v>1.0784954828780999</v>
      </c>
      <c r="Q107" s="34">
        <v>1.07713276061788</v>
      </c>
      <c r="R107" s="33">
        <v>53.783311016887197</v>
      </c>
      <c r="S107" s="33">
        <v>53.075694585164101</v>
      </c>
      <c r="T107" s="33">
        <v>53.074751200344799</v>
      </c>
      <c r="U107" s="15">
        <v>6.9652205457247799E-3</v>
      </c>
      <c r="V107" s="15">
        <v>-6.2788999866795403E-3</v>
      </c>
      <c r="W107" s="15">
        <v>-6.2966744729244404E-3</v>
      </c>
      <c r="X107" s="34">
        <v>1.0838068181818099</v>
      </c>
      <c r="Y107" s="34">
        <v>1.0913821229076099</v>
      </c>
      <c r="Z107" s="34">
        <v>1.0784954828780999</v>
      </c>
      <c r="AA107" s="34">
        <v>1.07713276061788</v>
      </c>
      <c r="AB107" s="33">
        <v>53.783311016887197</v>
      </c>
      <c r="AC107" s="33">
        <v>53.075694585164101</v>
      </c>
      <c r="AD107" s="33">
        <v>53.074751200344799</v>
      </c>
      <c r="AE107" s="15">
        <v>6.9652205457247799E-3</v>
      </c>
      <c r="AF107" s="15">
        <v>-6.2788999866795403E-3</v>
      </c>
      <c r="AG107" s="15">
        <v>-6.2966744729244404E-3</v>
      </c>
      <c r="AI107" s="12"/>
      <c r="AJ107">
        <f t="shared" si="26"/>
        <v>0</v>
      </c>
      <c r="AK107">
        <f t="shared" si="27"/>
        <v>0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3.6134663184059215E-3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2.3477232772718442E-2</v>
      </c>
      <c r="BE107" s="29">
        <f t="shared" si="42"/>
        <v>0</v>
      </c>
      <c r="BF107" s="29">
        <f t="shared" si="43"/>
        <v>2.7090699091124368E-2</v>
      </c>
      <c r="BH107" s="29"/>
    </row>
    <row r="108" spans="1:60" x14ac:dyDescent="0.25">
      <c r="A108" s="1">
        <v>46178</v>
      </c>
      <c r="B108" s="33">
        <v>49.59</v>
      </c>
      <c r="C108" s="33">
        <v>53.9</v>
      </c>
      <c r="D108" s="15">
        <v>6.2708812757782404E-3</v>
      </c>
      <c r="E108" s="15">
        <v>9.1324835632724706E-3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49.59</v>
      </c>
      <c r="M108" s="33">
        <v>53.9</v>
      </c>
      <c r="N108" s="34">
        <v>1.0869126840088701</v>
      </c>
      <c r="O108" s="34">
        <v>1.0913821229076099</v>
      </c>
      <c r="P108" s="34">
        <v>1.08022814300065</v>
      </c>
      <c r="Q108" s="34">
        <v>1.07741430728413</v>
      </c>
      <c r="R108" s="33">
        <v>54.121639474988598</v>
      </c>
      <c r="S108" s="33">
        <v>53.482590995925399</v>
      </c>
      <c r="T108" s="33">
        <v>53.415013599041103</v>
      </c>
      <c r="U108" s="15">
        <v>4.1036182582305201E-3</v>
      </c>
      <c r="V108" s="15">
        <v>-7.77427891301085E-3</v>
      </c>
      <c r="W108" s="15">
        <v>-9.0386179249566101E-3</v>
      </c>
      <c r="X108" s="34">
        <v>1.0869126840088701</v>
      </c>
      <c r="Y108" s="34">
        <v>1.0913821229076099</v>
      </c>
      <c r="Z108" s="34">
        <v>1.08022814300065</v>
      </c>
      <c r="AA108" s="34">
        <v>1.07741430728413</v>
      </c>
      <c r="AB108" s="33">
        <v>54.121639474988598</v>
      </c>
      <c r="AC108" s="33">
        <v>53.482590995925399</v>
      </c>
      <c r="AD108" s="33">
        <v>53.415013599041103</v>
      </c>
      <c r="AE108" s="15">
        <v>4.1036182582305201E-3</v>
      </c>
      <c r="AF108" s="15">
        <v>-7.77427891301085E-3</v>
      </c>
      <c r="AG108" s="15">
        <v>-9.0386179249566101E-3</v>
      </c>
      <c r="AI108" s="12"/>
      <c r="AJ108">
        <f t="shared" si="26"/>
        <v>0</v>
      </c>
      <c r="AK108">
        <f t="shared" si="27"/>
        <v>0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3.6134663184059215E-3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2.3477232772718442E-2</v>
      </c>
      <c r="BE108" s="29">
        <f t="shared" si="42"/>
        <v>0</v>
      </c>
      <c r="BF108" s="29">
        <f t="shared" si="43"/>
        <v>2.7090699091124368E-2</v>
      </c>
      <c r="BH108" s="29"/>
    </row>
    <row r="109" spans="1:60" x14ac:dyDescent="0.25">
      <c r="A109" s="1">
        <v>46181</v>
      </c>
      <c r="B109" s="33">
        <v>49.48</v>
      </c>
      <c r="C109" s="33">
        <v>53.61</v>
      </c>
      <c r="D109" s="15">
        <v>-2.2206529767554899E-3</v>
      </c>
      <c r="E109" s="15">
        <v>-5.3948600755051E-3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49.48</v>
      </c>
      <c r="M109" s="33">
        <v>53.61</v>
      </c>
      <c r="N109" s="34">
        <v>1.0834680679062201</v>
      </c>
      <c r="O109" s="34">
        <v>1.0913821229076099</v>
      </c>
      <c r="P109" s="34">
        <v>1.08130222251854</v>
      </c>
      <c r="Q109" s="34">
        <v>1.0774432464994601</v>
      </c>
      <c r="R109" s="33">
        <v>54.0015874414688</v>
      </c>
      <c r="S109" s="33">
        <v>53.4496885156722</v>
      </c>
      <c r="T109" s="33">
        <v>53.310459924419199</v>
      </c>
      <c r="U109" s="15">
        <v>7.2778253569801702E-3</v>
      </c>
      <c r="V109" s="15">
        <v>-2.9948079686795601E-3</v>
      </c>
      <c r="W109" s="15">
        <v>-5.6030596846626101E-3</v>
      </c>
      <c r="X109" s="34">
        <v>1.0834680679062201</v>
      </c>
      <c r="Y109" s="34">
        <v>1.0913821229076099</v>
      </c>
      <c r="Z109" s="34">
        <v>1.08130222251854</v>
      </c>
      <c r="AA109" s="34">
        <v>1.0774432464994601</v>
      </c>
      <c r="AB109" s="33">
        <v>54.0015874414688</v>
      </c>
      <c r="AC109" s="33">
        <v>53.4496885156722</v>
      </c>
      <c r="AD109" s="33">
        <v>53.310459924419199</v>
      </c>
      <c r="AE109" s="15">
        <v>7.2778253569801702E-3</v>
      </c>
      <c r="AF109" s="15">
        <v>-2.9948079686795601E-3</v>
      </c>
      <c r="AG109" s="15">
        <v>-5.6030596846626101E-3</v>
      </c>
      <c r="AI109" s="12"/>
      <c r="AJ109">
        <f t="shared" si="26"/>
        <v>0</v>
      </c>
      <c r="AK109">
        <f t="shared" si="27"/>
        <v>0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3.6134663184059215E-3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2.3477232772718442E-2</v>
      </c>
      <c r="BE109" s="29">
        <f t="shared" si="42"/>
        <v>0</v>
      </c>
      <c r="BF109" s="29">
        <f t="shared" si="43"/>
        <v>2.7090699091124368E-2</v>
      </c>
      <c r="BH109" s="29"/>
    </row>
    <row r="110" spans="1:60" x14ac:dyDescent="0.25">
      <c r="A110" s="1">
        <v>46182</v>
      </c>
      <c r="B110" s="33">
        <v>49.84</v>
      </c>
      <c r="C110" s="33">
        <v>53.69</v>
      </c>
      <c r="D110" s="15">
        <v>7.2493269549107498E-3</v>
      </c>
      <c r="E110" s="15">
        <v>1.4911465950317999E-3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49.84</v>
      </c>
      <c r="M110" s="33">
        <v>53.69</v>
      </c>
      <c r="N110" s="34">
        <v>1.07724719101123</v>
      </c>
      <c r="O110" s="34">
        <v>1.0913821229076099</v>
      </c>
      <c r="P110" s="34">
        <v>1.0809226570602499</v>
      </c>
      <c r="Q110" s="34">
        <v>1.07720365463624</v>
      </c>
      <c r="R110" s="33">
        <v>54.394485005715502</v>
      </c>
      <c r="S110" s="33">
        <v>53.8921027703243</v>
      </c>
      <c r="T110" s="33">
        <v>53.699771405533198</v>
      </c>
      <c r="U110" s="15">
        <v>1.3036005716859001E-2</v>
      </c>
      <c r="V110" s="15">
        <v>3.7571864253963401E-3</v>
      </c>
      <c r="W110" s="15">
        <v>1.819801910798E-4</v>
      </c>
      <c r="X110" s="34">
        <v>1.07724719101123</v>
      </c>
      <c r="Y110" s="34">
        <v>1.0913821229076099</v>
      </c>
      <c r="Z110" s="34">
        <v>1.0809226570602499</v>
      </c>
      <c r="AA110" s="34">
        <v>1.07720365463624</v>
      </c>
      <c r="AB110" s="33">
        <v>54.394485005715502</v>
      </c>
      <c r="AC110" s="33">
        <v>53.8921027703243</v>
      </c>
      <c r="AD110" s="33">
        <v>53.699771405533198</v>
      </c>
      <c r="AE110" s="15">
        <v>1.3036005716859001E-2</v>
      </c>
      <c r="AF110" s="15">
        <v>3.7571864253963401E-3</v>
      </c>
      <c r="AG110" s="15">
        <v>1.819801910798E-4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3.6134663184059215E-3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2.3477232772718442E-2</v>
      </c>
      <c r="BE110" s="29">
        <f t="shared" si="42"/>
        <v>0</v>
      </c>
      <c r="BF110" s="29">
        <f t="shared" si="43"/>
        <v>2.7090699091124368E-2</v>
      </c>
      <c r="BH110" s="29"/>
    </row>
    <row r="111" spans="1:60" x14ac:dyDescent="0.25">
      <c r="A111" s="1">
        <v>46183</v>
      </c>
      <c r="B111" s="33">
        <v>50.67</v>
      </c>
      <c r="C111" s="33">
        <v>54.76</v>
      </c>
      <c r="D111" s="15">
        <v>1.65161450086206E-2</v>
      </c>
      <c r="E111" s="15">
        <v>1.9733235985769901E-2</v>
      </c>
      <c r="F111" s="33">
        <v>0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50.67</v>
      </c>
      <c r="M111" s="33">
        <v>54.76</v>
      </c>
      <c r="N111" s="34">
        <v>1.0807183737911901</v>
      </c>
      <c r="O111" s="34">
        <v>1.0913821229076099</v>
      </c>
      <c r="P111" s="34">
        <v>1.0809816739265501</v>
      </c>
      <c r="Q111" s="34">
        <v>1.0764940159752301</v>
      </c>
      <c r="R111" s="33">
        <v>55.300332167728797</v>
      </c>
      <c r="S111" s="33">
        <v>54.770351033243003</v>
      </c>
      <c r="T111" s="33">
        <v>54.581909180418499</v>
      </c>
      <c r="U111" s="15">
        <v>9.8189147397097897E-3</v>
      </c>
      <c r="V111" s="15">
        <v>1.8900757965572399E-4</v>
      </c>
      <c r="W111" s="15">
        <v>-3.25750626449244E-3</v>
      </c>
      <c r="X111" s="34">
        <v>1.0807183737911901</v>
      </c>
      <c r="Y111" s="34">
        <v>1.0913821229076099</v>
      </c>
      <c r="Z111" s="34">
        <v>1.0809816739265501</v>
      </c>
      <c r="AA111" s="34">
        <v>1.0764940159752301</v>
      </c>
      <c r="AB111" s="33">
        <v>55.300332167728797</v>
      </c>
      <c r="AC111" s="33">
        <v>54.770351033243003</v>
      </c>
      <c r="AD111" s="33">
        <v>54.581909180418499</v>
      </c>
      <c r="AE111" s="15">
        <v>9.8189147397097897E-3</v>
      </c>
      <c r="AF111" s="15">
        <v>1.8900757965572399E-4</v>
      </c>
      <c r="AG111" s="15">
        <v>-3.25750626449244E-3</v>
      </c>
      <c r="AI111" s="12"/>
      <c r="AJ111">
        <f t="shared" si="26"/>
        <v>0</v>
      </c>
      <c r="AK111">
        <f t="shared" si="27"/>
        <v>0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3.6134663184059215E-3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2.3477232772718442E-2</v>
      </c>
      <c r="BE111" s="29">
        <f t="shared" si="42"/>
        <v>0</v>
      </c>
      <c r="BF111" s="29">
        <f t="shared" si="43"/>
        <v>2.7090699091124368E-2</v>
      </c>
      <c r="BH111" s="29"/>
    </row>
    <row r="112" spans="1:60" x14ac:dyDescent="0.25">
      <c r="A112" s="1">
        <v>46184</v>
      </c>
      <c r="B112" s="33">
        <v>51.5</v>
      </c>
      <c r="C112" s="33">
        <v>55.57</v>
      </c>
      <c r="D112" s="15">
        <v>1.6247788181871899E-2</v>
      </c>
      <c r="E112" s="15">
        <v>1.46834868715817E-2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51.5</v>
      </c>
      <c r="M112" s="33">
        <v>55.57</v>
      </c>
      <c r="N112" s="34">
        <v>1.07902912621359</v>
      </c>
      <c r="O112" s="34">
        <v>1.0913821229076099</v>
      </c>
      <c r="P112" s="34">
        <v>1.08123223889556</v>
      </c>
      <c r="Q112" s="34">
        <v>1.07688107685464</v>
      </c>
      <c r="R112" s="33">
        <v>56.206179329742199</v>
      </c>
      <c r="S112" s="33">
        <v>55.670556207217402</v>
      </c>
      <c r="T112" s="33">
        <v>55.439441822724802</v>
      </c>
      <c r="U112" s="15">
        <v>1.138321605E-2</v>
      </c>
      <c r="V112" s="15">
        <v>1.8079060018236701E-3</v>
      </c>
      <c r="W112" s="15">
        <v>-2.35220059353495E-3</v>
      </c>
      <c r="X112" s="34">
        <v>1.07902912621359</v>
      </c>
      <c r="Y112" s="34">
        <v>1.0913821229076099</v>
      </c>
      <c r="Z112" s="34">
        <v>1.08123223889556</v>
      </c>
      <c r="AA112" s="34">
        <v>1.07688107685464</v>
      </c>
      <c r="AB112" s="33">
        <v>56.206179329742199</v>
      </c>
      <c r="AC112" s="33">
        <v>55.670556207217402</v>
      </c>
      <c r="AD112" s="33">
        <v>55.439441822724802</v>
      </c>
      <c r="AE112" s="15">
        <v>1.138321605E-2</v>
      </c>
      <c r="AF112" s="15">
        <v>1.8079060018236701E-3</v>
      </c>
      <c r="AG112" s="15">
        <v>-2.35220059353495E-3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3.6134663184059215E-3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2.3477232772718442E-2</v>
      </c>
      <c r="BE112" s="29">
        <f t="shared" si="42"/>
        <v>0</v>
      </c>
      <c r="BF112" s="29">
        <f t="shared" si="43"/>
        <v>2.7090699091124368E-2</v>
      </c>
      <c r="BH112" s="29"/>
    </row>
    <row r="113" spans="1:60" x14ac:dyDescent="0.25">
      <c r="A113" s="1">
        <v>46185</v>
      </c>
      <c r="B113" s="33">
        <v>50.72</v>
      </c>
      <c r="C113" s="33">
        <v>54.79</v>
      </c>
      <c r="D113" s="15">
        <v>-1.52614975407199E-2</v>
      </c>
      <c r="E113" s="15">
        <v>-1.4135791741505499E-2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50.72</v>
      </c>
      <c r="M113" s="33">
        <v>54.79</v>
      </c>
      <c r="N113" s="34">
        <v>1.0802444794952599</v>
      </c>
      <c r="O113" s="34">
        <v>1.0913821229076099</v>
      </c>
      <c r="P113" s="34">
        <v>1.0811921707160499</v>
      </c>
      <c r="Q113" s="34">
        <v>1.0773555649803499</v>
      </c>
      <c r="R113" s="33">
        <v>55.354901273874198</v>
      </c>
      <c r="S113" s="33">
        <v>54.840099156782898</v>
      </c>
      <c r="T113" s="33">
        <v>54.619408218067697</v>
      </c>
      <c r="U113" s="15">
        <v>1.02575102507853E-2</v>
      </c>
      <c r="V113" s="15">
        <v>9.1396725271216902E-4</v>
      </c>
      <c r="W113" s="15">
        <v>-3.1184140916962898E-3</v>
      </c>
      <c r="X113" s="34">
        <v>1.0802444794952599</v>
      </c>
      <c r="Y113" s="34">
        <v>1.0913821229076099</v>
      </c>
      <c r="Z113" s="34">
        <v>1.0811921707160499</v>
      </c>
      <c r="AA113" s="34">
        <v>1.0773555649803499</v>
      </c>
      <c r="AB113" s="33">
        <v>55.354901273874198</v>
      </c>
      <c r="AC113" s="33">
        <v>54.840099156782898</v>
      </c>
      <c r="AD113" s="33">
        <v>54.619408218067697</v>
      </c>
      <c r="AE113" s="15">
        <v>1.02575102507853E-2</v>
      </c>
      <c r="AF113" s="15">
        <v>9.1396725271216902E-4</v>
      </c>
      <c r="AG113" s="15">
        <v>-3.1184140916962898E-3</v>
      </c>
      <c r="AI113" s="12"/>
      <c r="AJ113">
        <f t="shared" si="26"/>
        <v>0</v>
      </c>
      <c r="AK113">
        <f t="shared" si="27"/>
        <v>0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3.6134663184059215E-3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2.3477232772718442E-2</v>
      </c>
      <c r="BE113" s="29">
        <f t="shared" si="42"/>
        <v>0</v>
      </c>
      <c r="BF113" s="29">
        <f t="shared" si="43"/>
        <v>2.7090699091124368E-2</v>
      </c>
      <c r="BH113" s="29"/>
    </row>
    <row r="114" spans="1:60" x14ac:dyDescent="0.25">
      <c r="A114" s="1">
        <v>46188</v>
      </c>
      <c r="B114" s="33">
        <v>50.82</v>
      </c>
      <c r="C114" s="33">
        <v>55.01</v>
      </c>
      <c r="D114" s="15">
        <v>1.9696677630476399E-3</v>
      </c>
      <c r="E114" s="15">
        <v>4.0072913370422297E-3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50.82</v>
      </c>
      <c r="M114" s="33">
        <v>55.01</v>
      </c>
      <c r="N114" s="34">
        <v>1.08244785517512</v>
      </c>
      <c r="O114" s="34">
        <v>1.0913821229076099</v>
      </c>
      <c r="P114" s="34">
        <v>1.0819682440817699</v>
      </c>
      <c r="Q114" s="34">
        <v>1.0779561323422799</v>
      </c>
      <c r="R114" s="33">
        <v>55.464039486164999</v>
      </c>
      <c r="S114" s="33">
        <v>54.946186115789999</v>
      </c>
      <c r="T114" s="33">
        <v>54.751209812301497</v>
      </c>
      <c r="U114" s="15">
        <v>8.2198866767906002E-3</v>
      </c>
      <c r="V114" s="15">
        <v>-1.1607148925157299E-3</v>
      </c>
      <c r="W114" s="15">
        <v>-4.7155214065526902E-3</v>
      </c>
      <c r="X114" s="34">
        <v>1.08244785517512</v>
      </c>
      <c r="Y114" s="34">
        <v>1.0913821229076099</v>
      </c>
      <c r="Z114" s="34">
        <v>1.0819682440817699</v>
      </c>
      <c r="AA114" s="34">
        <v>1.0779561323422799</v>
      </c>
      <c r="AB114" s="33">
        <v>55.464039486164999</v>
      </c>
      <c r="AC114" s="33">
        <v>54.946186115789999</v>
      </c>
      <c r="AD114" s="33">
        <v>54.751209812301497</v>
      </c>
      <c r="AE114" s="15">
        <v>8.2198866767906002E-3</v>
      </c>
      <c r="AF114" s="15">
        <v>-1.1607148925157299E-3</v>
      </c>
      <c r="AG114" s="15">
        <v>-4.7155214065526902E-3</v>
      </c>
      <c r="AI114" s="12"/>
      <c r="AJ114">
        <f t="shared" si="26"/>
        <v>0</v>
      </c>
      <c r="AK114">
        <f t="shared" si="27"/>
        <v>0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3.6134663184059215E-3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2.3477232772718442E-2</v>
      </c>
      <c r="BE114" s="29">
        <f t="shared" si="42"/>
        <v>0</v>
      </c>
      <c r="BF114" s="29">
        <f t="shared" si="43"/>
        <v>2.7090699091124368E-2</v>
      </c>
      <c r="BH114" s="29"/>
    </row>
    <row r="115" spans="1:60" x14ac:dyDescent="0.25">
      <c r="A115" s="1">
        <v>46189</v>
      </c>
      <c r="B115" s="33">
        <v>51.54</v>
      </c>
      <c r="C115" s="33">
        <v>55.24</v>
      </c>
      <c r="D115" s="15">
        <v>1.40682273322009E-2</v>
      </c>
      <c r="E115" s="15">
        <v>4.1723416537247501E-3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51.54</v>
      </c>
      <c r="M115" s="33">
        <v>55.24</v>
      </c>
      <c r="N115" s="34">
        <v>1.07178890182382</v>
      </c>
      <c r="O115" s="34">
        <v>1.0913821229076099</v>
      </c>
      <c r="P115" s="34">
        <v>1.08099958663545</v>
      </c>
      <c r="Q115" s="34">
        <v>1.0781907261032699</v>
      </c>
      <c r="R115" s="33">
        <v>56.249834614658504</v>
      </c>
      <c r="S115" s="33">
        <v>55.764643299974601</v>
      </c>
      <c r="T115" s="33">
        <v>55.557859060921302</v>
      </c>
      <c r="U115" s="15">
        <v>1.8115772355266901E-2</v>
      </c>
      <c r="V115" s="15">
        <v>9.4527073992458892E-3</v>
      </c>
      <c r="W115" s="15">
        <v>5.7376547818947399E-3</v>
      </c>
      <c r="X115" s="34">
        <v>1.07178890182382</v>
      </c>
      <c r="Y115" s="34">
        <v>1.0913821229076099</v>
      </c>
      <c r="Z115" s="34">
        <v>1.08099958663545</v>
      </c>
      <c r="AA115" s="34">
        <v>1.0781907261032699</v>
      </c>
      <c r="AB115" s="33">
        <v>56.249834614658504</v>
      </c>
      <c r="AC115" s="33">
        <v>55.764643299974601</v>
      </c>
      <c r="AD115" s="33">
        <v>55.557859060921302</v>
      </c>
      <c r="AE115" s="15">
        <v>1.8115772355266901E-2</v>
      </c>
      <c r="AF115" s="15">
        <v>9.4527073992458892E-3</v>
      </c>
      <c r="AG115" s="15">
        <v>5.7376547818947399E-3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3.6134663184059215E-3</v>
      </c>
      <c r="AT115" s="12"/>
      <c r="AU115">
        <f t="shared" si="30"/>
        <v>0</v>
      </c>
      <c r="AV115">
        <f t="shared" si="31"/>
        <v>0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2.3477232772718442E-2</v>
      </c>
      <c r="BE115" s="29">
        <f t="shared" si="42"/>
        <v>0</v>
      </c>
      <c r="BF115" s="29">
        <f t="shared" si="43"/>
        <v>2.7090699091124368E-2</v>
      </c>
      <c r="BH115" s="29"/>
    </row>
    <row r="116" spans="1:60" x14ac:dyDescent="0.25">
      <c r="A116" s="1">
        <v>46190</v>
      </c>
      <c r="B116" s="33">
        <v>51.1</v>
      </c>
      <c r="C116" s="33">
        <v>55.13</v>
      </c>
      <c r="D116" s="15">
        <v>-8.5737080145601996E-3</v>
      </c>
      <c r="E116" s="15">
        <v>-1.9932959394991798E-3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51.1</v>
      </c>
      <c r="M116" s="33">
        <v>55.13</v>
      </c>
      <c r="N116" s="34">
        <v>1.07886497064579</v>
      </c>
      <c r="O116" s="34">
        <v>1.0913821229076099</v>
      </c>
      <c r="P116" s="34">
        <v>1.0804528468252901</v>
      </c>
      <c r="Q116" s="34">
        <v>1.0787379350316</v>
      </c>
      <c r="R116" s="33">
        <v>55.769626480579099</v>
      </c>
      <c r="S116" s="33">
        <v>55.239078877071897</v>
      </c>
      <c r="T116" s="33">
        <v>55.095546103877197</v>
      </c>
      <c r="U116" s="15">
        <v>1.1535360280205799E-2</v>
      </c>
      <c r="V116" s="15">
        <v>1.9766208741839402E-3</v>
      </c>
      <c r="W116" s="15">
        <v>-6.2515267036888597E-4</v>
      </c>
      <c r="X116" s="34">
        <v>1.07886497064579</v>
      </c>
      <c r="Y116" s="34">
        <v>1.0913821229076099</v>
      </c>
      <c r="Z116" s="34">
        <v>1.0804528468252901</v>
      </c>
      <c r="AA116" s="34">
        <v>1.0787379350316</v>
      </c>
      <c r="AB116" s="33">
        <v>55.769626480579099</v>
      </c>
      <c r="AC116" s="33">
        <v>55.239078877071897</v>
      </c>
      <c r="AD116" s="33">
        <v>55.095546103877197</v>
      </c>
      <c r="AE116" s="15">
        <v>1.1535360280205799E-2</v>
      </c>
      <c r="AF116" s="15">
        <v>1.9766208741839402E-3</v>
      </c>
      <c r="AG116" s="15">
        <v>-6.2515267036888597E-4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3.6134663184059215E-3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2.3477232772718442E-2</v>
      </c>
      <c r="BE116" s="29">
        <f t="shared" si="42"/>
        <v>0</v>
      </c>
      <c r="BF116" s="29">
        <f t="shared" si="43"/>
        <v>2.7090699091124368E-2</v>
      </c>
      <c r="BH116" s="29"/>
    </row>
    <row r="117" spans="1:60" x14ac:dyDescent="0.25">
      <c r="A117" s="1">
        <v>46191</v>
      </c>
      <c r="B117" s="33">
        <v>50.38</v>
      </c>
      <c r="C117" s="33">
        <v>54.5</v>
      </c>
      <c r="D117" s="15">
        <v>-1.4190226285194601E-2</v>
      </c>
      <c r="E117" s="15">
        <v>-1.1493330932393801E-2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50.38</v>
      </c>
      <c r="M117" s="33">
        <v>54.5</v>
      </c>
      <c r="N117" s="34">
        <v>1.0817784835252</v>
      </c>
      <c r="O117" s="34">
        <v>1.0913821229076099</v>
      </c>
      <c r="P117" s="34">
        <v>1.08025001335963</v>
      </c>
      <c r="Q117" s="34">
        <v>1.07937274811887</v>
      </c>
      <c r="R117" s="33">
        <v>54.983831352085602</v>
      </c>
      <c r="S117" s="33">
        <v>54.433214423058303</v>
      </c>
      <c r="T117" s="33">
        <v>54.346817166892102</v>
      </c>
      <c r="U117" s="15">
        <v>8.8384649274051309E-3</v>
      </c>
      <c r="V117" s="15">
        <v>-1.2261748753678999E-3</v>
      </c>
      <c r="W117" s="15">
        <v>-2.8146516035017998E-3</v>
      </c>
      <c r="X117" s="34">
        <v>1.0817784835252</v>
      </c>
      <c r="Y117" s="34">
        <v>1.0913821229076099</v>
      </c>
      <c r="Z117" s="34">
        <v>1.08025001335963</v>
      </c>
      <c r="AA117" s="34">
        <v>1.07937274811887</v>
      </c>
      <c r="AB117" s="33">
        <v>54.983831352085602</v>
      </c>
      <c r="AC117" s="33">
        <v>54.433214423058303</v>
      </c>
      <c r="AD117" s="33">
        <v>54.346817166892102</v>
      </c>
      <c r="AE117" s="15">
        <v>8.8384649274051309E-3</v>
      </c>
      <c r="AF117" s="15">
        <v>-1.2261748753678999E-3</v>
      </c>
      <c r="AG117" s="15">
        <v>-2.8146516035017998E-3</v>
      </c>
      <c r="AI117" s="12"/>
      <c r="AJ117">
        <f t="shared" si="26"/>
        <v>0</v>
      </c>
      <c r="AK117">
        <f t="shared" si="27"/>
        <v>0</v>
      </c>
      <c r="AL117">
        <f t="shared" si="34"/>
        <v>0</v>
      </c>
      <c r="AM117">
        <f t="shared" si="24"/>
        <v>1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3.6134663184059215E-3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2.3477232772718442E-2</v>
      </c>
      <c r="BE117" s="29">
        <f t="shared" si="42"/>
        <v>0</v>
      </c>
      <c r="BF117" s="29">
        <f t="shared" si="43"/>
        <v>2.7090699091124368E-2</v>
      </c>
      <c r="BH117" s="29"/>
    </row>
    <row r="118" spans="1:60" x14ac:dyDescent="0.25">
      <c r="A118" s="1">
        <v>46195</v>
      </c>
      <c r="B118" s="33">
        <v>50.89</v>
      </c>
      <c r="C118" s="33">
        <v>55.29</v>
      </c>
      <c r="D118" s="15">
        <v>1.0072169676277099E-2</v>
      </c>
      <c r="E118" s="15">
        <v>1.4391358680643101E-2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50.89</v>
      </c>
      <c r="M118" s="33">
        <v>55.29</v>
      </c>
      <c r="N118" s="34">
        <v>1.0864609943014301</v>
      </c>
      <c r="O118" s="34">
        <v>1.0913821229076099</v>
      </c>
      <c r="P118" s="34">
        <v>1.0802048443888901</v>
      </c>
      <c r="Q118" s="34">
        <v>1.08021649369477</v>
      </c>
      <c r="R118" s="33">
        <v>55.540436234768499</v>
      </c>
      <c r="S118" s="33">
        <v>54.973923179871797</v>
      </c>
      <c r="T118" s="33">
        <v>54.9292791517693</v>
      </c>
      <c r="U118" s="15">
        <v>4.5192759230391804E-3</v>
      </c>
      <c r="V118" s="15">
        <v>-5.73311155202546E-3</v>
      </c>
      <c r="W118" s="15">
        <v>-6.5455361149289399E-3</v>
      </c>
      <c r="X118" s="34">
        <v>1.0864609943014301</v>
      </c>
      <c r="Y118" s="34">
        <v>1.0913821229076099</v>
      </c>
      <c r="Z118" s="34">
        <v>1.0802048443888901</v>
      </c>
      <c r="AA118" s="34">
        <v>1.08021649369477</v>
      </c>
      <c r="AB118" s="33">
        <v>55.540436234768499</v>
      </c>
      <c r="AC118" s="33">
        <v>54.973923179871797</v>
      </c>
      <c r="AD118" s="33">
        <v>54.9292791517693</v>
      </c>
      <c r="AE118" s="15">
        <v>4.5192759230391804E-3</v>
      </c>
      <c r="AF118" s="15">
        <v>-5.73311155202546E-3</v>
      </c>
      <c r="AG118" s="15">
        <v>-6.5455361149289399E-3</v>
      </c>
      <c r="AI118" s="12"/>
      <c r="AJ118">
        <f t="shared" si="26"/>
        <v>0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3.6134663184059215E-3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2.3477232772718442E-2</v>
      </c>
      <c r="BE118" s="29">
        <f t="shared" si="42"/>
        <v>0</v>
      </c>
      <c r="BF118" s="29">
        <f t="shared" si="43"/>
        <v>2.7090699091124368E-2</v>
      </c>
      <c r="BH118" s="29"/>
    </row>
    <row r="119" spans="1:60" x14ac:dyDescent="0.25">
      <c r="A119" s="1">
        <v>46196</v>
      </c>
      <c r="B119" s="33">
        <v>51.61</v>
      </c>
      <c r="C119" s="33">
        <v>55.81</v>
      </c>
      <c r="D119" s="15">
        <v>1.40490115598944E-2</v>
      </c>
      <c r="E119" s="15">
        <v>9.3610044505007105E-3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51.61</v>
      </c>
      <c r="M119" s="33">
        <v>55.81</v>
      </c>
      <c r="N119" s="34">
        <v>1.08137957760124</v>
      </c>
      <c r="O119" s="34">
        <v>1.0913821229076099</v>
      </c>
      <c r="P119" s="34">
        <v>1.07999599535839</v>
      </c>
      <c r="Q119" s="34">
        <v>1.08064910893846</v>
      </c>
      <c r="R119" s="33">
        <v>56.326231363262004</v>
      </c>
      <c r="S119" s="33">
        <v>55.749372018910599</v>
      </c>
      <c r="T119" s="33">
        <v>55.749973239587099</v>
      </c>
      <c r="U119" s="15">
        <v>9.2072830324327008E-3</v>
      </c>
      <c r="V119" s="15">
        <v>-1.0869187583423801E-3</v>
      </c>
      <c r="W119" s="15">
        <v>-1.0761344676347201E-3</v>
      </c>
      <c r="X119" s="34">
        <v>1.08137957760124</v>
      </c>
      <c r="Y119" s="34">
        <v>1.0913821229076099</v>
      </c>
      <c r="Z119" s="34">
        <v>1.07999599535839</v>
      </c>
      <c r="AA119" s="34">
        <v>1.08064910893846</v>
      </c>
      <c r="AB119" s="33">
        <v>56.326231363262004</v>
      </c>
      <c r="AC119" s="33">
        <v>55.749372018910599</v>
      </c>
      <c r="AD119" s="33">
        <v>55.749973239587099</v>
      </c>
      <c r="AE119" s="15">
        <v>9.2072830324327008E-3</v>
      </c>
      <c r="AF119" s="15">
        <v>-1.0869187583423801E-3</v>
      </c>
      <c r="AG119" s="15">
        <v>-1.0761344676347201E-3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3.6134663184059215E-3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2.3477232772718442E-2</v>
      </c>
      <c r="BE119" s="29">
        <f t="shared" si="42"/>
        <v>0</v>
      </c>
      <c r="BF119" s="29">
        <f t="shared" si="43"/>
        <v>2.7090699091124368E-2</v>
      </c>
      <c r="BH119" s="29"/>
    </row>
    <row r="120" spans="1:60" x14ac:dyDescent="0.25">
      <c r="A120" s="1">
        <v>46197</v>
      </c>
      <c r="B120" s="33">
        <v>51.66</v>
      </c>
      <c r="C120" s="33">
        <v>56.16</v>
      </c>
      <c r="D120" s="15">
        <v>9.6833550705851103E-4</v>
      </c>
      <c r="E120" s="15">
        <v>6.2516949172133802E-3</v>
      </c>
      <c r="F120" s="33">
        <v>0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51.66</v>
      </c>
      <c r="M120" s="33">
        <v>56.16</v>
      </c>
      <c r="N120" s="34">
        <v>1.08710801393728</v>
      </c>
      <c r="O120" s="34">
        <v>1.0913821229076099</v>
      </c>
      <c r="P120" s="34">
        <v>1.08098207765099</v>
      </c>
      <c r="Q120" s="34">
        <v>1.0809523673556201</v>
      </c>
      <c r="R120" s="33">
        <v>56.380800469407397</v>
      </c>
      <c r="S120" s="33">
        <v>55.792593120214498</v>
      </c>
      <c r="T120" s="33">
        <v>55.826332967761303</v>
      </c>
      <c r="U120" s="15">
        <v>3.9239236222779897E-3</v>
      </c>
      <c r="V120" s="15">
        <v>-6.5636389220960802E-3</v>
      </c>
      <c r="W120" s="15">
        <v>-5.9590846631201603E-3</v>
      </c>
      <c r="X120" s="34">
        <v>1.08710801393728</v>
      </c>
      <c r="Y120" s="34">
        <v>1.0913821229076099</v>
      </c>
      <c r="Z120" s="34">
        <v>1.08098207765099</v>
      </c>
      <c r="AA120" s="34">
        <v>1.0809523673556201</v>
      </c>
      <c r="AB120" s="33">
        <v>56.380800469407397</v>
      </c>
      <c r="AC120" s="33">
        <v>55.792593120214498</v>
      </c>
      <c r="AD120" s="33">
        <v>55.826332967761303</v>
      </c>
      <c r="AE120" s="15">
        <v>3.9239236222779897E-3</v>
      </c>
      <c r="AF120" s="15">
        <v>-6.5636389220960802E-3</v>
      </c>
      <c r="AG120" s="15">
        <v>-5.9590846631201603E-3</v>
      </c>
      <c r="AI120" s="12"/>
      <c r="AJ120">
        <f t="shared" si="26"/>
        <v>0</v>
      </c>
      <c r="AK120">
        <f t="shared" si="27"/>
        <v>0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3.6134663184059215E-3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2.3477232772718442E-2</v>
      </c>
      <c r="BE120" s="29">
        <f t="shared" si="42"/>
        <v>0</v>
      </c>
      <c r="BF120" s="29">
        <f t="shared" si="43"/>
        <v>2.7090699091124368E-2</v>
      </c>
      <c r="BH120" s="29"/>
    </row>
    <row r="121" spans="1:60" x14ac:dyDescent="0.25">
      <c r="A121" s="1">
        <v>46198</v>
      </c>
      <c r="B121" s="33">
        <v>50.78</v>
      </c>
      <c r="C121" s="33">
        <v>55.62</v>
      </c>
      <c r="D121" s="15">
        <v>-1.71812113911619E-2</v>
      </c>
      <c r="E121" s="15">
        <v>-9.6619109117368502E-3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50.78</v>
      </c>
      <c r="M121" s="33">
        <v>55.62</v>
      </c>
      <c r="N121" s="34">
        <v>1.09531311539976</v>
      </c>
      <c r="O121" s="34">
        <v>1.0913821229076099</v>
      </c>
      <c r="P121" s="34">
        <v>1.08244155181185</v>
      </c>
      <c r="Q121" s="34">
        <v>1.0817116128691999</v>
      </c>
      <c r="R121" s="33">
        <v>55.420384201248702</v>
      </c>
      <c r="S121" s="33">
        <v>54.892269903117601</v>
      </c>
      <c r="T121" s="33">
        <v>54.890761214318601</v>
      </c>
      <c r="U121" s="15">
        <v>-3.59537685714701E-3</v>
      </c>
      <c r="V121" s="15">
        <v>-1.31703134259392E-2</v>
      </c>
      <c r="W121" s="15">
        <v>-1.31977983438493E-2</v>
      </c>
      <c r="X121" s="34">
        <v>1.09531311539976</v>
      </c>
      <c r="Y121" s="34">
        <v>1.0913821229076099</v>
      </c>
      <c r="Z121" s="34">
        <v>1.08244155181185</v>
      </c>
      <c r="AA121" s="34">
        <v>1.0817116128691999</v>
      </c>
      <c r="AB121" s="33">
        <v>55.420384201248702</v>
      </c>
      <c r="AC121" s="33">
        <v>54.892269903117601</v>
      </c>
      <c r="AD121" s="33">
        <v>54.890761214318601</v>
      </c>
      <c r="AE121" s="15">
        <v>-3.59537685714701E-3</v>
      </c>
      <c r="AF121" s="15">
        <v>-1.31703134259392E-2</v>
      </c>
      <c r="AG121" s="15">
        <v>-1.31977983438493E-2</v>
      </c>
      <c r="AI121" s="12"/>
      <c r="AJ121">
        <f t="shared" si="26"/>
        <v>1</v>
      </c>
      <c r="AK121">
        <f t="shared" si="27"/>
        <v>0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3.6134663184059215E-3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2.3477232772718442E-2</v>
      </c>
      <c r="BE121" s="29">
        <f t="shared" si="42"/>
        <v>0</v>
      </c>
      <c r="BF121" s="29">
        <f t="shared" si="43"/>
        <v>2.7090699091124368E-2</v>
      </c>
      <c r="BH121" s="29"/>
    </row>
    <row r="122" spans="1:60" x14ac:dyDescent="0.25">
      <c r="A122" s="1">
        <v>46199</v>
      </c>
      <c r="B122" s="33">
        <v>51.96</v>
      </c>
      <c r="C122" s="33">
        <v>56.51</v>
      </c>
      <c r="D122" s="15">
        <v>2.29716155258664E-2</v>
      </c>
      <c r="E122" s="15">
        <v>1.58747648359331E-2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51.96</v>
      </c>
      <c r="M122" s="33">
        <v>56.51</v>
      </c>
      <c r="N122" s="34">
        <v>1.0875673595073101</v>
      </c>
      <c r="O122" s="34">
        <v>1.0913821229076099</v>
      </c>
      <c r="P122" s="34">
        <v>1.08329537514122</v>
      </c>
      <c r="Q122" s="34">
        <v>1.0822638070183901</v>
      </c>
      <c r="R122" s="33">
        <v>56.708215106279702</v>
      </c>
      <c r="S122" s="33">
        <v>56.2436630321439</v>
      </c>
      <c r="T122" s="33">
        <v>56.205735404683701</v>
      </c>
      <c r="U122" s="15">
        <v>3.5014738327861701E-3</v>
      </c>
      <c r="V122" s="15">
        <v>-4.7242361098524099E-3</v>
      </c>
      <c r="W122" s="15">
        <v>-5.3988084850830802E-3</v>
      </c>
      <c r="X122" s="34">
        <v>1.0875673595073101</v>
      </c>
      <c r="Y122" s="34">
        <v>1.0913821229076099</v>
      </c>
      <c r="Z122" s="34">
        <v>1.08329537514122</v>
      </c>
      <c r="AA122" s="34">
        <v>1.0822638070183901</v>
      </c>
      <c r="AB122" s="33">
        <v>56.708215106279702</v>
      </c>
      <c r="AC122" s="33">
        <v>56.2436630321439</v>
      </c>
      <c r="AD122" s="33">
        <v>56.205735404683701</v>
      </c>
      <c r="AE122" s="15">
        <v>3.5014738327861701E-3</v>
      </c>
      <c r="AF122" s="15">
        <v>-4.7242361098524099E-3</v>
      </c>
      <c r="AG122" s="15">
        <v>-5.3988084850830802E-3</v>
      </c>
      <c r="AI122" s="12"/>
      <c r="AJ122">
        <f t="shared" si="26"/>
        <v>0</v>
      </c>
      <c r="AK122">
        <f t="shared" si="27"/>
        <v>0</v>
      </c>
      <c r="AL122">
        <f t="shared" si="34"/>
        <v>1</v>
      </c>
      <c r="AM122">
        <f t="shared" si="24"/>
        <v>1</v>
      </c>
      <c r="AN122">
        <f t="shared" si="35"/>
        <v>1</v>
      </c>
      <c r="AO122" s="28">
        <f t="shared" si="28"/>
        <v>2.29716155258664E-2</v>
      </c>
      <c r="AP122" s="28">
        <f t="shared" si="29"/>
        <v>-1.58747648359331E-2</v>
      </c>
      <c r="AQ122" s="28">
        <f t="shared" si="36"/>
        <v>7.0968506899332998E-3</v>
      </c>
      <c r="AR122" s="29">
        <f t="shared" si="37"/>
        <v>1.0710317008339222E-2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2.3477232772718442E-2</v>
      </c>
      <c r="BE122" s="29">
        <f t="shared" si="42"/>
        <v>7.0968506899332998E-3</v>
      </c>
      <c r="BF122" s="29">
        <f t="shared" si="43"/>
        <v>3.4187549781057668E-2</v>
      </c>
      <c r="BH122" s="29"/>
    </row>
    <row r="123" spans="1:60" x14ac:dyDescent="0.25">
      <c r="A123" s="1">
        <v>46202</v>
      </c>
      <c r="B123" s="33">
        <v>51.38</v>
      </c>
      <c r="C123" s="33">
        <v>56.47</v>
      </c>
      <c r="D123" s="15">
        <v>-1.1225200120661199E-2</v>
      </c>
      <c r="E123" s="15">
        <v>-7.0808995700662495E-4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51.38</v>
      </c>
      <c r="M123" s="33">
        <v>56.47</v>
      </c>
      <c r="N123" s="34">
        <v>1.0990657843518801</v>
      </c>
      <c r="O123" s="34">
        <v>1.0913821229076099</v>
      </c>
      <c r="P123" s="34">
        <v>1.08517750562688</v>
      </c>
      <c r="Q123" s="34">
        <v>1.0831848381714699</v>
      </c>
      <c r="R123" s="33">
        <v>56.075213474993198</v>
      </c>
      <c r="S123" s="33">
        <v>55.659716374756101</v>
      </c>
      <c r="T123" s="33">
        <v>55.6067144046051</v>
      </c>
      <c r="U123" s="15">
        <v>-7.0156363308685197E-3</v>
      </c>
      <c r="V123" s="15">
        <v>-1.44528632745042E-2</v>
      </c>
      <c r="W123" s="15">
        <v>-1.5405567046679201E-2</v>
      </c>
      <c r="X123" s="34">
        <v>1.0990657843518801</v>
      </c>
      <c r="Y123" s="34">
        <v>1.0913821229076099</v>
      </c>
      <c r="Z123" s="34">
        <v>1.08517750562688</v>
      </c>
      <c r="AA123" s="34">
        <v>1.0831848381714699</v>
      </c>
      <c r="AB123" s="33">
        <v>56.075213474993198</v>
      </c>
      <c r="AC123" s="33">
        <v>55.659716374756101</v>
      </c>
      <c r="AD123" s="33">
        <v>55.6067144046051</v>
      </c>
      <c r="AE123" s="15">
        <v>-7.0156363308685197E-3</v>
      </c>
      <c r="AF123" s="15">
        <v>-1.44528632745042E-2</v>
      </c>
      <c r="AG123" s="15">
        <v>-1.5405567046679201E-2</v>
      </c>
      <c r="AI123" s="12"/>
      <c r="AJ123">
        <f t="shared" si="26"/>
        <v>1</v>
      </c>
      <c r="AK123">
        <f t="shared" si="27"/>
        <v>0</v>
      </c>
      <c r="AL123">
        <f t="shared" si="34"/>
        <v>1</v>
      </c>
      <c r="AM123">
        <f t="shared" si="24"/>
        <v>1</v>
      </c>
      <c r="AN123">
        <f t="shared" si="35"/>
        <v>1</v>
      </c>
      <c r="AO123" s="28">
        <f t="shared" si="28"/>
        <v>-1.1225200120661199E-2</v>
      </c>
      <c r="AP123" s="28">
        <f t="shared" si="29"/>
        <v>7.0808995700662495E-4</v>
      </c>
      <c r="AQ123" s="28">
        <f t="shared" si="36"/>
        <v>-1.0517110163654574E-2</v>
      </c>
      <c r="AR123" s="29">
        <f t="shared" si="37"/>
        <v>1.932068446846482E-4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2.3477232772718442E-2</v>
      </c>
      <c r="BE123" s="29">
        <f t="shared" si="42"/>
        <v>-1.0517110163654574E-2</v>
      </c>
      <c r="BF123" s="29">
        <f t="shared" si="43"/>
        <v>2.3670439617403095E-2</v>
      </c>
      <c r="BH123" s="29"/>
    </row>
    <row r="124" spans="1:60" x14ac:dyDescent="0.25">
      <c r="A124" s="1">
        <v>46203</v>
      </c>
      <c r="B124" s="33">
        <v>51.9</v>
      </c>
      <c r="C124" s="33">
        <v>56.31</v>
      </c>
      <c r="D124" s="15">
        <v>1.00697984901053E-2</v>
      </c>
      <c r="E124" s="15">
        <v>-2.8373844182180701E-3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51.9</v>
      </c>
      <c r="M124" s="33">
        <v>56.31</v>
      </c>
      <c r="N124" s="34">
        <v>1.08497109826589</v>
      </c>
      <c r="O124" s="34">
        <v>1.0913821229076099</v>
      </c>
      <c r="P124" s="34">
        <v>1.0854298299359599</v>
      </c>
      <c r="Q124" s="34">
        <v>1.0836990370088599</v>
      </c>
      <c r="R124" s="33">
        <v>56.642732178905199</v>
      </c>
      <c r="S124" s="33">
        <v>56.320712542035402</v>
      </c>
      <c r="T124" s="33">
        <v>56.217293101099401</v>
      </c>
      <c r="U124" s="15">
        <v>5.8915465774550596E-3</v>
      </c>
      <c r="V124" s="15">
        <v>1.90224172891843E-4</v>
      </c>
      <c r="W124" s="15">
        <v>-1.64772327353765E-3</v>
      </c>
      <c r="X124" s="34">
        <v>1.08497109826589</v>
      </c>
      <c r="Y124" s="34">
        <v>1.0913821229076099</v>
      </c>
      <c r="Z124" s="34">
        <v>1.0854298299359599</v>
      </c>
      <c r="AA124" s="34">
        <v>1.0836990370088599</v>
      </c>
      <c r="AB124" s="33">
        <v>56.642732178905199</v>
      </c>
      <c r="AC124" s="33">
        <v>56.320712542035402</v>
      </c>
      <c r="AD124" s="33">
        <v>56.217293101099401</v>
      </c>
      <c r="AE124" s="15">
        <v>5.8915465774550596E-3</v>
      </c>
      <c r="AF124" s="15">
        <v>1.90224172891843E-4</v>
      </c>
      <c r="AG124" s="15">
        <v>-1.64772327353765E-3</v>
      </c>
      <c r="AI124" s="12"/>
      <c r="AJ124">
        <f t="shared" si="26"/>
        <v>0</v>
      </c>
      <c r="AK124">
        <f t="shared" si="27"/>
        <v>1</v>
      </c>
      <c r="AL124">
        <f t="shared" si="34"/>
        <v>1</v>
      </c>
      <c r="AM124">
        <f t="shared" si="24"/>
        <v>1</v>
      </c>
      <c r="AN124">
        <f t="shared" si="35"/>
        <v>1</v>
      </c>
      <c r="AO124" s="28">
        <f t="shared" si="28"/>
        <v>1.00697984901053E-2</v>
      </c>
      <c r="AP124" s="28">
        <f t="shared" si="29"/>
        <v>2.8373844182180701E-3</v>
      </c>
      <c r="AQ124" s="28">
        <f t="shared" si="36"/>
        <v>1.2907182908323369E-2</v>
      </c>
      <c r="AR124" s="29">
        <f t="shared" si="37"/>
        <v>1.3100389753008018E-2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1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2.3477232772718442E-2</v>
      </c>
      <c r="BE124" s="29">
        <f t="shared" si="42"/>
        <v>1.2907182908323369E-2</v>
      </c>
      <c r="BF124" s="29">
        <f t="shared" si="43"/>
        <v>3.6577622525726466E-2</v>
      </c>
      <c r="BH124" s="29"/>
    </row>
    <row r="125" spans="1:60" x14ac:dyDescent="0.25">
      <c r="A125" s="1">
        <v>46204</v>
      </c>
      <c r="B125" s="33">
        <v>51.65</v>
      </c>
      <c r="C125" s="33">
        <v>56.97</v>
      </c>
      <c r="D125" s="15">
        <v>-4.8285946061954396E-3</v>
      </c>
      <c r="E125" s="15">
        <v>1.1652674225776901E-2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51.65</v>
      </c>
      <c r="M125" s="33">
        <v>56.97</v>
      </c>
      <c r="N125" s="34">
        <v>1.1030009680542101</v>
      </c>
      <c r="O125" s="34">
        <v>1.0913821229076099</v>
      </c>
      <c r="P125" s="34">
        <v>1.0885510365590001</v>
      </c>
      <c r="Q125" s="34">
        <v>1.0847753115972301</v>
      </c>
      <c r="R125" s="33">
        <v>56.369886648178301</v>
      </c>
      <c r="S125" s="33">
        <v>56.062450716192501</v>
      </c>
      <c r="T125" s="33">
        <v>55.973055261508001</v>
      </c>
      <c r="U125" s="15">
        <v>-1.05897222545174E-2</v>
      </c>
      <c r="V125" s="15">
        <v>-1.6058552760542001E-2</v>
      </c>
      <c r="W125" s="15">
        <v>-1.7654394594367202E-2</v>
      </c>
      <c r="X125" s="34">
        <v>1.1030009680542101</v>
      </c>
      <c r="Y125" s="34">
        <v>1.0913821229076099</v>
      </c>
      <c r="Z125" s="34">
        <v>1.0885510365590001</v>
      </c>
      <c r="AA125" s="34">
        <v>1.0847753115972301</v>
      </c>
      <c r="AB125" s="33">
        <v>56.369886648178301</v>
      </c>
      <c r="AC125" s="33">
        <v>56.062450716192501</v>
      </c>
      <c r="AD125" s="33">
        <v>55.973055261508001</v>
      </c>
      <c r="AE125" s="15">
        <v>-1.05897222545174E-2</v>
      </c>
      <c r="AF125" s="15">
        <v>-1.6058552760542001E-2</v>
      </c>
      <c r="AG125" s="15">
        <v>-1.7654394594367202E-2</v>
      </c>
      <c r="AI125" s="12"/>
      <c r="AJ125">
        <f t="shared" si="26"/>
        <v>1</v>
      </c>
      <c r="AK125">
        <f t="shared" si="27"/>
        <v>0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1.3100389753008018E-2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2.3477232772718442E-2</v>
      </c>
      <c r="BE125" s="29">
        <f t="shared" si="42"/>
        <v>0</v>
      </c>
      <c r="BF125" s="29">
        <f t="shared" si="43"/>
        <v>3.6577622525726466E-2</v>
      </c>
      <c r="BH125" s="29"/>
    </row>
    <row r="126" spans="1:60" x14ac:dyDescent="0.25">
      <c r="A126" s="1">
        <v>46205</v>
      </c>
      <c r="B126" s="33">
        <v>52.77</v>
      </c>
      <c r="C126" s="33">
        <v>57.61</v>
      </c>
      <c r="D126" s="15">
        <v>2.1452651851928899E-2</v>
      </c>
      <c r="E126" s="15">
        <v>1.1171350251987599E-2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52.77</v>
      </c>
      <c r="M126" s="33">
        <v>57.61</v>
      </c>
      <c r="N126" s="34">
        <v>1.0917187796096199</v>
      </c>
      <c r="O126" s="34">
        <v>1.0913821229076099</v>
      </c>
      <c r="P126" s="34">
        <v>1.0898364174553801</v>
      </c>
      <c r="Q126" s="34">
        <v>1.08514463214034</v>
      </c>
      <c r="R126" s="33">
        <v>57.592234625834799</v>
      </c>
      <c r="S126" s="33">
        <v>57.4428381992185</v>
      </c>
      <c r="T126" s="33">
        <v>57.243593192985799</v>
      </c>
      <c r="U126" s="15">
        <v>-3.0842065457596901E-4</v>
      </c>
      <c r="V126" s="15">
        <v>-2.90582867874855E-3</v>
      </c>
      <c r="W126" s="15">
        <v>-6.3804368650783099E-3</v>
      </c>
      <c r="X126" s="34">
        <v>1.0917187796096199</v>
      </c>
      <c r="Y126" s="34">
        <v>1.0913821229076099</v>
      </c>
      <c r="Z126" s="34">
        <v>1.0898364174553801</v>
      </c>
      <c r="AA126" s="34">
        <v>1.08514463214034</v>
      </c>
      <c r="AB126" s="33">
        <v>57.592234625834799</v>
      </c>
      <c r="AC126" s="33">
        <v>57.4428381992185</v>
      </c>
      <c r="AD126" s="33">
        <v>57.243593192985799</v>
      </c>
      <c r="AE126" s="15">
        <v>-3.0842065457596901E-4</v>
      </c>
      <c r="AF126" s="15">
        <v>-2.90582867874855E-3</v>
      </c>
      <c r="AG126" s="15">
        <v>-6.3804368650783099E-3</v>
      </c>
      <c r="AI126" s="12"/>
      <c r="AJ126">
        <f t="shared" si="26"/>
        <v>0</v>
      </c>
      <c r="AK126">
        <f t="shared" si="27"/>
        <v>0</v>
      </c>
      <c r="AL126">
        <f t="shared" si="34"/>
        <v>1</v>
      </c>
      <c r="AM126">
        <f t="shared" si="24"/>
        <v>1</v>
      </c>
      <c r="AN126">
        <f t="shared" si="35"/>
        <v>1</v>
      </c>
      <c r="AO126" s="28">
        <f t="shared" si="28"/>
        <v>2.1452651851928899E-2</v>
      </c>
      <c r="AP126" s="28">
        <f t="shared" si="29"/>
        <v>-1.1171350251987599E-2</v>
      </c>
      <c r="AQ126" s="28">
        <f t="shared" si="36"/>
        <v>1.0281301599941299E-2</v>
      </c>
      <c r="AR126" s="29">
        <f t="shared" si="37"/>
        <v>2.3381691352949319E-2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2.3477232772718442E-2</v>
      </c>
      <c r="BE126" s="29">
        <f t="shared" si="42"/>
        <v>1.0281301599941299E-2</v>
      </c>
      <c r="BF126" s="29">
        <f t="shared" si="43"/>
        <v>4.6858924125667764E-2</v>
      </c>
      <c r="BH126" s="29"/>
    </row>
    <row r="127" spans="1:60" x14ac:dyDescent="0.25">
      <c r="A127" s="1">
        <v>46209</v>
      </c>
      <c r="B127" s="33">
        <v>52</v>
      </c>
      <c r="C127" s="33">
        <v>56.52</v>
      </c>
      <c r="D127" s="15">
        <v>-1.4699128836149201E-2</v>
      </c>
      <c r="E127" s="15">
        <v>-1.9101605927965001E-2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52</v>
      </c>
      <c r="M127" s="33">
        <v>56.52</v>
      </c>
      <c r="N127" s="34">
        <v>1.08692307692307</v>
      </c>
      <c r="O127" s="34">
        <v>1.0913821229076099</v>
      </c>
      <c r="P127" s="34">
        <v>1.09035087679517</v>
      </c>
      <c r="Q127" s="34">
        <v>1.0853004450774</v>
      </c>
      <c r="R127" s="33">
        <v>56.751870391196</v>
      </c>
      <c r="S127" s="33">
        <v>56.67149370768</v>
      </c>
      <c r="T127" s="33">
        <v>56.427520871297702</v>
      </c>
      <c r="U127" s="15">
        <v>4.0940564372400198E-3</v>
      </c>
      <c r="V127" s="15">
        <v>2.6767700146604202E-3</v>
      </c>
      <c r="W127" s="15">
        <v>-1.63755961449843E-3</v>
      </c>
      <c r="X127" s="34">
        <v>1.08692307692307</v>
      </c>
      <c r="Y127" s="34">
        <v>1.0913821229076099</v>
      </c>
      <c r="Z127" s="34">
        <v>1.09035087679517</v>
      </c>
      <c r="AA127" s="34">
        <v>1.0853004450774</v>
      </c>
      <c r="AB127" s="33">
        <v>56.751870391196</v>
      </c>
      <c r="AC127" s="33">
        <v>56.67149370768</v>
      </c>
      <c r="AD127" s="33">
        <v>56.427520871297702</v>
      </c>
      <c r="AE127" s="15">
        <v>4.0940564372400198E-3</v>
      </c>
      <c r="AF127" s="15">
        <v>2.6767700146604202E-3</v>
      </c>
      <c r="AG127" s="15">
        <v>-1.63755961449843E-3</v>
      </c>
      <c r="AI127" s="12"/>
      <c r="AJ127">
        <f t="shared" si="26"/>
        <v>0</v>
      </c>
      <c r="AK127">
        <f t="shared" si="27"/>
        <v>1</v>
      </c>
      <c r="AL127">
        <f t="shared" si="34"/>
        <v>1</v>
      </c>
      <c r="AM127">
        <f t="shared" si="24"/>
        <v>1</v>
      </c>
      <c r="AN127">
        <f t="shared" si="35"/>
        <v>1</v>
      </c>
      <c r="AO127" s="28">
        <f t="shared" si="28"/>
        <v>-1.4699128836149201E-2</v>
      </c>
      <c r="AP127" s="28">
        <f t="shared" si="29"/>
        <v>1.9101605927965001E-2</v>
      </c>
      <c r="AQ127" s="28">
        <f t="shared" si="36"/>
        <v>4.4024770918157999E-3</v>
      </c>
      <c r="AR127" s="29">
        <f t="shared" si="37"/>
        <v>2.7784168444765119E-2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2.3477232772718442E-2</v>
      </c>
      <c r="BE127" s="29">
        <f t="shared" si="42"/>
        <v>4.4024770918157999E-3</v>
      </c>
      <c r="BF127" s="29">
        <f t="shared" si="43"/>
        <v>5.1261401217483564E-2</v>
      </c>
      <c r="BH127" s="29"/>
    </row>
    <row r="128" spans="1:60" x14ac:dyDescent="0.25">
      <c r="A128" s="1">
        <v>46210</v>
      </c>
      <c r="B128" s="33">
        <v>52.87</v>
      </c>
      <c r="C128" s="33">
        <v>57.17</v>
      </c>
      <c r="D128" s="15">
        <v>1.6592351665931399E-2</v>
      </c>
      <c r="E128" s="15">
        <v>1.14347274595532E-2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52.87</v>
      </c>
      <c r="M128" s="33">
        <v>57.17</v>
      </c>
      <c r="N128" s="34">
        <v>1.0813315679969699</v>
      </c>
      <c r="O128" s="34">
        <v>1.0913821229076099</v>
      </c>
      <c r="P128" s="34">
        <v>1.08983793416472</v>
      </c>
      <c r="Q128" s="34">
        <v>1.0850213892767999</v>
      </c>
      <c r="R128" s="33">
        <v>57.7013728381256</v>
      </c>
      <c r="S128" s="33">
        <v>57.646850856160697</v>
      </c>
      <c r="T128" s="33">
        <v>57.379834531242302</v>
      </c>
      <c r="U128" s="15">
        <v>9.25168064361819E-3</v>
      </c>
      <c r="V128" s="15">
        <v>8.3063347288034797E-3</v>
      </c>
      <c r="W128" s="15">
        <v>3.6636415374252402E-3</v>
      </c>
      <c r="X128" s="34">
        <v>1.0813315679969699</v>
      </c>
      <c r="Y128" s="34">
        <v>1.0913821229076099</v>
      </c>
      <c r="Z128" s="34">
        <v>1.08983793416472</v>
      </c>
      <c r="AA128" s="34">
        <v>1.0850213892767999</v>
      </c>
      <c r="AB128" s="33">
        <v>57.7013728381256</v>
      </c>
      <c r="AC128" s="33">
        <v>57.646850856160697</v>
      </c>
      <c r="AD128" s="33">
        <v>57.379834531242302</v>
      </c>
      <c r="AE128" s="15">
        <v>9.25168064361819E-3</v>
      </c>
      <c r="AF128" s="15">
        <v>8.3063347288034797E-3</v>
      </c>
      <c r="AG128" s="15">
        <v>3.6636415374252402E-3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2.7784168444765119E-2</v>
      </c>
      <c r="AT128" s="12"/>
      <c r="AU128">
        <f t="shared" si="30"/>
        <v>0</v>
      </c>
      <c r="AV128">
        <f t="shared" si="31"/>
        <v>0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2.3477232772718442E-2</v>
      </c>
      <c r="BE128" s="29">
        <f t="shared" si="42"/>
        <v>0</v>
      </c>
      <c r="BF128" s="29">
        <f t="shared" si="43"/>
        <v>5.1261401217483564E-2</v>
      </c>
      <c r="BH128" s="29"/>
    </row>
    <row r="129" spans="1:60" x14ac:dyDescent="0.25">
      <c r="A129" s="1">
        <v>46211</v>
      </c>
      <c r="B129" s="33">
        <v>51.75</v>
      </c>
      <c r="C129" s="33">
        <v>56.82</v>
      </c>
      <c r="D129" s="15">
        <v>-2.14116381018803E-2</v>
      </c>
      <c r="E129" s="15">
        <v>-6.1409088498380103E-3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51.75</v>
      </c>
      <c r="M129" s="33">
        <v>56.82</v>
      </c>
      <c r="N129" s="34">
        <v>1.0979710144927499</v>
      </c>
      <c r="O129" s="34">
        <v>1.0913821229076099</v>
      </c>
      <c r="P129" s="34">
        <v>1.09149707785387</v>
      </c>
      <c r="Q129" s="34">
        <v>1.0857465366061301</v>
      </c>
      <c r="R129" s="33">
        <v>56.479024860469103</v>
      </c>
      <c r="S129" s="33">
        <v>56.399113093024603</v>
      </c>
      <c r="T129" s="33">
        <v>56.149856895074798</v>
      </c>
      <c r="U129" s="15">
        <v>-6.0190486084240498E-3</v>
      </c>
      <c r="V129" s="15">
        <v>-7.4349433466543401E-3</v>
      </c>
      <c r="W129" s="15">
        <v>-1.18642438632724E-2</v>
      </c>
      <c r="X129" s="34">
        <v>1.0979710144927499</v>
      </c>
      <c r="Y129" s="34">
        <v>1.0913821229076099</v>
      </c>
      <c r="Z129" s="34">
        <v>1.09149707785387</v>
      </c>
      <c r="AA129" s="34">
        <v>1.0857465366061301</v>
      </c>
      <c r="AB129" s="33">
        <v>56.479024860469103</v>
      </c>
      <c r="AC129" s="33">
        <v>56.399113093024603</v>
      </c>
      <c r="AD129" s="33">
        <v>56.149856895074798</v>
      </c>
      <c r="AE129" s="15">
        <v>-6.0190486084240498E-3</v>
      </c>
      <c r="AF129" s="15">
        <v>-7.4349433466543401E-3</v>
      </c>
      <c r="AG129" s="15">
        <v>-1.18642438632724E-2</v>
      </c>
      <c r="AI129" s="12"/>
      <c r="AJ129">
        <f t="shared" si="26"/>
        <v>1</v>
      </c>
      <c r="AK129">
        <f t="shared" si="27"/>
        <v>0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2.7784168444765119E-2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2.3477232772718442E-2</v>
      </c>
      <c r="BE129" s="29">
        <f t="shared" si="42"/>
        <v>0</v>
      </c>
      <c r="BF129" s="29">
        <f t="shared" si="43"/>
        <v>5.1261401217483564E-2</v>
      </c>
      <c r="BH129" s="29"/>
    </row>
    <row r="130" spans="1:60" x14ac:dyDescent="0.25">
      <c r="A130" s="1">
        <v>46212</v>
      </c>
      <c r="B130" s="33">
        <v>52.04</v>
      </c>
      <c r="C130" s="33">
        <v>56.81</v>
      </c>
      <c r="D130" s="15">
        <v>5.5882214988260698E-3</v>
      </c>
      <c r="E130" s="15">
        <v>-1.7600985700630501E-4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52.04</v>
      </c>
      <c r="M130" s="33">
        <v>56.81</v>
      </c>
      <c r="N130" s="34">
        <v>1.09166026133743</v>
      </c>
      <c r="O130" s="34">
        <v>1.0913821229076099</v>
      </c>
      <c r="P130" s="34">
        <v>1.09195230259389</v>
      </c>
      <c r="Q130" s="34">
        <v>1.0864671901224401</v>
      </c>
      <c r="R130" s="33">
        <v>56.795525676112298</v>
      </c>
      <c r="S130" s="33">
        <v>56.8015079315158</v>
      </c>
      <c r="T130" s="33">
        <v>56.502249764983198</v>
      </c>
      <c r="U130" s="15">
        <v>-2.54817252591631E-4</v>
      </c>
      <c r="V130" s="15">
        <v>-1.4949310425682201E-4</v>
      </c>
      <c r="W130" s="15">
        <v>-5.4319103601279698E-3</v>
      </c>
      <c r="X130" s="34">
        <v>1.09166026133743</v>
      </c>
      <c r="Y130" s="34">
        <v>1.0913821229076099</v>
      </c>
      <c r="Z130" s="34">
        <v>1.09195230259389</v>
      </c>
      <c r="AA130" s="34">
        <v>1.0864671901224401</v>
      </c>
      <c r="AB130" s="33">
        <v>56.795525676112298</v>
      </c>
      <c r="AC130" s="33">
        <v>56.8015079315158</v>
      </c>
      <c r="AD130" s="33">
        <v>56.502249764983198</v>
      </c>
      <c r="AE130" s="15">
        <v>-2.54817252591631E-4</v>
      </c>
      <c r="AF130" s="15">
        <v>-1.4949310425682201E-4</v>
      </c>
      <c r="AG130" s="15">
        <v>-5.4319103601279698E-3</v>
      </c>
      <c r="AI130" s="12"/>
      <c r="AJ130">
        <f t="shared" si="26"/>
        <v>0</v>
      </c>
      <c r="AK130">
        <f t="shared" si="27"/>
        <v>0</v>
      </c>
      <c r="AL130">
        <f t="shared" si="34"/>
        <v>1</v>
      </c>
      <c r="AM130">
        <f t="shared" si="24"/>
        <v>1</v>
      </c>
      <c r="AN130">
        <f t="shared" si="35"/>
        <v>1</v>
      </c>
      <c r="AO130" s="28">
        <f t="shared" si="28"/>
        <v>5.5882214988260698E-3</v>
      </c>
      <c r="AP130" s="28">
        <f t="shared" si="29"/>
        <v>1.7600985700630501E-4</v>
      </c>
      <c r="AQ130" s="28">
        <f t="shared" si="36"/>
        <v>5.7642313558323747E-3</v>
      </c>
      <c r="AR130" s="29">
        <f t="shared" si="37"/>
        <v>3.3548399800597491E-2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2.3477232772718442E-2</v>
      </c>
      <c r="BE130" s="29">
        <f t="shared" si="42"/>
        <v>5.7642313558323747E-3</v>
      </c>
      <c r="BF130" s="29">
        <f t="shared" si="43"/>
        <v>5.7025632573315936E-2</v>
      </c>
      <c r="BH130" s="29"/>
    </row>
    <row r="131" spans="1:60" x14ac:dyDescent="0.25">
      <c r="A131" s="1">
        <v>46213</v>
      </c>
      <c r="B131" s="33">
        <v>51.18</v>
      </c>
      <c r="C131" s="33">
        <v>55.74</v>
      </c>
      <c r="D131" s="15">
        <v>-1.6663822912661701E-2</v>
      </c>
      <c r="E131" s="15">
        <v>-1.9014344515233299E-2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51.18</v>
      </c>
      <c r="M131" s="33">
        <v>55.74</v>
      </c>
      <c r="N131" s="34">
        <v>1.08909730363423</v>
      </c>
      <c r="O131" s="34">
        <v>1.0913821229076099</v>
      </c>
      <c r="P131" s="34">
        <v>1.09133072141734</v>
      </c>
      <c r="Q131" s="34">
        <v>1.0868861366145901</v>
      </c>
      <c r="R131" s="33">
        <v>55.856937050411702</v>
      </c>
      <c r="S131" s="33">
        <v>55.886118846755402</v>
      </c>
      <c r="T131" s="33">
        <v>55.6053907904667</v>
      </c>
      <c r="U131" s="15">
        <v>2.0957043499797998E-3</v>
      </c>
      <c r="V131" s="15">
        <v>2.6180061032800299E-3</v>
      </c>
      <c r="W131" s="15">
        <v>-2.4178688341880798E-3</v>
      </c>
      <c r="X131" s="34">
        <v>1.08909730363423</v>
      </c>
      <c r="Y131" s="34">
        <v>1.0913821229076099</v>
      </c>
      <c r="Z131" s="34">
        <v>1.09133072141734</v>
      </c>
      <c r="AA131" s="34">
        <v>1.0868861366145901</v>
      </c>
      <c r="AB131" s="33">
        <v>55.856937050411702</v>
      </c>
      <c r="AC131" s="33">
        <v>55.886118846755402</v>
      </c>
      <c r="AD131" s="33">
        <v>55.6053907904667</v>
      </c>
      <c r="AE131" s="15">
        <v>2.0957043499797998E-3</v>
      </c>
      <c r="AF131" s="15">
        <v>2.6180061032800299E-3</v>
      </c>
      <c r="AG131" s="15">
        <v>-2.4178688341880798E-3</v>
      </c>
      <c r="AI131" s="12"/>
      <c r="AJ131">
        <f t="shared" si="26"/>
        <v>0</v>
      </c>
      <c r="AK131">
        <f t="shared" si="27"/>
        <v>1</v>
      </c>
      <c r="AL131">
        <f t="shared" si="34"/>
        <v>1</v>
      </c>
      <c r="AM131">
        <f t="shared" si="24"/>
        <v>1</v>
      </c>
      <c r="AN131">
        <f t="shared" si="35"/>
        <v>1</v>
      </c>
      <c r="AO131" s="28">
        <f t="shared" si="28"/>
        <v>-1.6663822912661701E-2</v>
      </c>
      <c r="AP131" s="28">
        <f t="shared" si="29"/>
        <v>1.9014344515233299E-2</v>
      </c>
      <c r="AQ131" s="28">
        <f t="shared" si="36"/>
        <v>2.350521602571598E-3</v>
      </c>
      <c r="AR131" s="29">
        <f t="shared" si="37"/>
        <v>3.5898921403169089E-2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2.3477232772718442E-2</v>
      </c>
      <c r="BE131" s="29">
        <f t="shared" si="42"/>
        <v>2.350521602571598E-3</v>
      </c>
      <c r="BF131" s="29">
        <f t="shared" si="43"/>
        <v>5.9376154175887534E-2</v>
      </c>
      <c r="BH131" s="29"/>
    </row>
    <row r="132" spans="1:60" x14ac:dyDescent="0.25">
      <c r="A132" s="1">
        <v>46216</v>
      </c>
      <c r="B132" s="33">
        <v>52.56</v>
      </c>
      <c r="C132" s="33">
        <v>57.45</v>
      </c>
      <c r="D132" s="15">
        <v>2.6606543444712302E-2</v>
      </c>
      <c r="E132" s="15">
        <v>3.02169822409625E-2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52.56</v>
      </c>
      <c r="M132" s="33">
        <v>57.45</v>
      </c>
      <c r="N132" s="34">
        <v>1.0930365296803599</v>
      </c>
      <c r="O132" s="34">
        <v>1.0913821229076099</v>
      </c>
      <c r="P132" s="34">
        <v>1.09187763843464</v>
      </c>
      <c r="Q132" s="34">
        <v>1.08758650678793</v>
      </c>
      <c r="R132" s="33">
        <v>57.363044380024199</v>
      </c>
      <c r="S132" s="33">
        <v>57.360342717695403</v>
      </c>
      <c r="T132" s="33">
        <v>57.126735340463199</v>
      </c>
      <c r="U132" s="15">
        <v>-1.5147344462703E-3</v>
      </c>
      <c r="V132" s="15">
        <v>-1.5618331660292801E-3</v>
      </c>
      <c r="W132" s="15">
        <v>-5.6427775905804603E-3</v>
      </c>
      <c r="X132" s="34">
        <v>1.0930365296803599</v>
      </c>
      <c r="Y132" s="34">
        <v>1.0913821229076099</v>
      </c>
      <c r="Z132" s="34">
        <v>1.09187763843464</v>
      </c>
      <c r="AA132" s="34">
        <v>1.08758650678793</v>
      </c>
      <c r="AB132" s="33">
        <v>57.363044380024199</v>
      </c>
      <c r="AC132" s="33">
        <v>57.360342717695403</v>
      </c>
      <c r="AD132" s="33">
        <v>57.126735340463199</v>
      </c>
      <c r="AE132" s="15">
        <v>-1.5147344462703E-3</v>
      </c>
      <c r="AF132" s="15">
        <v>-1.5618331660292801E-3</v>
      </c>
      <c r="AG132" s="15">
        <v>-5.6427775905804603E-3</v>
      </c>
      <c r="AI132" s="12"/>
      <c r="AJ132">
        <f t="shared" si="26"/>
        <v>0</v>
      </c>
      <c r="AK132">
        <f t="shared" si="27"/>
        <v>0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3.5898921403169089E-2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2.3477232772718442E-2</v>
      </c>
      <c r="BE132" s="29">
        <f t="shared" si="42"/>
        <v>0</v>
      </c>
      <c r="BF132" s="29">
        <f t="shared" si="43"/>
        <v>5.9376154175887534E-2</v>
      </c>
      <c r="BH132" s="29"/>
    </row>
    <row r="133" spans="1:60" x14ac:dyDescent="0.25">
      <c r="A133" s="1">
        <v>46217</v>
      </c>
      <c r="B133" s="33">
        <v>52.08</v>
      </c>
      <c r="C133" s="33">
        <v>57.01</v>
      </c>
      <c r="D133" s="15">
        <v>-9.1743762760413804E-3</v>
      </c>
      <c r="E133" s="15">
        <v>-7.6883132512742501E-3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52.08</v>
      </c>
      <c r="M133" s="33">
        <v>57.01</v>
      </c>
      <c r="N133" s="34">
        <v>1.0946620583717299</v>
      </c>
      <c r="O133" s="34">
        <v>1.0913821229076099</v>
      </c>
      <c r="P133" s="34">
        <v>1.09143726583663</v>
      </c>
      <c r="Q133" s="34">
        <v>1.08830738573175</v>
      </c>
      <c r="R133" s="33">
        <v>56.839180961028603</v>
      </c>
      <c r="S133" s="33">
        <v>56.864987409676303</v>
      </c>
      <c r="T133" s="33">
        <v>56.641505273515598</v>
      </c>
      <c r="U133" s="15">
        <v>-3.0007974710374E-3</v>
      </c>
      <c r="V133" s="15">
        <v>-2.5468748143639402E-3</v>
      </c>
      <c r="W133" s="15">
        <v>-6.4846658544624701E-3</v>
      </c>
      <c r="X133" s="34">
        <v>1.0946620583717299</v>
      </c>
      <c r="Y133" s="34">
        <v>1.0913821229076099</v>
      </c>
      <c r="Z133" s="34">
        <v>1.09143726583663</v>
      </c>
      <c r="AA133" s="34">
        <v>1.08830738573175</v>
      </c>
      <c r="AB133" s="33">
        <v>56.839180961028603</v>
      </c>
      <c r="AC133" s="33">
        <v>56.864987409676303</v>
      </c>
      <c r="AD133" s="33">
        <v>56.641505273515598</v>
      </c>
      <c r="AE133" s="15">
        <v>-3.0007974710374E-3</v>
      </c>
      <c r="AF133" s="15">
        <v>-2.5468748143639402E-3</v>
      </c>
      <c r="AG133" s="15">
        <v>-6.4846658544624701E-3</v>
      </c>
      <c r="AI133" s="12"/>
      <c r="AJ133">
        <f t="shared" si="26"/>
        <v>0</v>
      </c>
      <c r="AK133">
        <f t="shared" si="27"/>
        <v>0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3.5898921403169089E-2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2.3477232772718442E-2</v>
      </c>
      <c r="BE133" s="29">
        <f t="shared" si="42"/>
        <v>0</v>
      </c>
      <c r="BF133" s="29">
        <f t="shared" si="43"/>
        <v>5.9376154175887534E-2</v>
      </c>
      <c r="BH133" s="29"/>
    </row>
    <row r="134" spans="1:60" x14ac:dyDescent="0.25">
      <c r="A134" s="1">
        <v>46218</v>
      </c>
      <c r="B134" s="33">
        <v>51.28</v>
      </c>
      <c r="C134" s="33">
        <v>56.53</v>
      </c>
      <c r="D134" s="15">
        <v>-1.5480185287899101E-2</v>
      </c>
      <c r="E134" s="15">
        <v>-8.4552203562909996E-3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51.28</v>
      </c>
      <c r="M134" s="33">
        <v>56.53</v>
      </c>
      <c r="N134" s="34">
        <v>1.1023790951637999</v>
      </c>
      <c r="O134" s="34">
        <v>1.0913821229076099</v>
      </c>
      <c r="P134" s="34">
        <v>1.0931780655264201</v>
      </c>
      <c r="Q134" s="34">
        <v>1.0893039477311901</v>
      </c>
      <c r="R134" s="33">
        <v>55.966075262702503</v>
      </c>
      <c r="S134" s="33">
        <v>55.9689029921024</v>
      </c>
      <c r="T134" s="33">
        <v>55.808402740324603</v>
      </c>
      <c r="U134" s="15">
        <v>-1.0025762402645501E-2</v>
      </c>
      <c r="V134" s="15">
        <v>-9.9752379027155998E-3</v>
      </c>
      <c r="W134" s="15">
        <v>-1.2847025892811101E-2</v>
      </c>
      <c r="X134" s="34">
        <v>1.1023790951637999</v>
      </c>
      <c r="Y134" s="34">
        <v>1.0913821229076099</v>
      </c>
      <c r="Z134" s="34">
        <v>1.0931780655264201</v>
      </c>
      <c r="AA134" s="34">
        <v>1.0893039477311901</v>
      </c>
      <c r="AB134" s="33">
        <v>55.966075262702503</v>
      </c>
      <c r="AC134" s="33">
        <v>55.9689029921024</v>
      </c>
      <c r="AD134" s="33">
        <v>55.808402740324603</v>
      </c>
      <c r="AE134" s="15">
        <v>-1.0025762402645501E-2</v>
      </c>
      <c r="AF134" s="15">
        <v>-9.9752379027155998E-3</v>
      </c>
      <c r="AG134" s="15">
        <v>-1.2847025892811101E-2</v>
      </c>
      <c r="AI134" s="12"/>
      <c r="AJ134">
        <f t="shared" si="26"/>
        <v>1</v>
      </c>
      <c r="AK134">
        <f t="shared" si="27"/>
        <v>0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3.5898921403169089E-2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2.3477232772718442E-2</v>
      </c>
      <c r="BE134" s="29">
        <f t="shared" si="42"/>
        <v>0</v>
      </c>
      <c r="BF134" s="29">
        <f t="shared" si="43"/>
        <v>5.9376154175887534E-2</v>
      </c>
      <c r="BH134" s="29"/>
    </row>
    <row r="135" spans="1:60" x14ac:dyDescent="0.25">
      <c r="A135" s="1">
        <v>46219</v>
      </c>
      <c r="B135" s="33">
        <v>52.27</v>
      </c>
      <c r="C135" s="33">
        <v>57.75</v>
      </c>
      <c r="D135" s="15">
        <v>1.9121780112415901E-2</v>
      </c>
      <c r="E135" s="15">
        <v>2.1351878714703499E-2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52.27</v>
      </c>
      <c r="M135" s="33">
        <v>57.75</v>
      </c>
      <c r="N135" s="34">
        <v>1.1048402525349099</v>
      </c>
      <c r="O135" s="34">
        <v>1.0913821229076099</v>
      </c>
      <c r="P135" s="34">
        <v>1.0933619939744901</v>
      </c>
      <c r="Q135" s="34">
        <v>1.09095651526674</v>
      </c>
      <c r="R135" s="33">
        <v>57.046543564380997</v>
      </c>
      <c r="S135" s="33">
        <v>57.140417485066003</v>
      </c>
      <c r="T135" s="33">
        <v>56.937917347909398</v>
      </c>
      <c r="U135" s="15">
        <v>-1.2255861004932899E-2</v>
      </c>
      <c r="V135" s="15">
        <v>-1.06116462719935E-2</v>
      </c>
      <c r="W135" s="15">
        <v>-1.4161844478236801E-2</v>
      </c>
      <c r="X135" s="34">
        <v>1.1048402525349099</v>
      </c>
      <c r="Y135" s="34">
        <v>1.0913821229076099</v>
      </c>
      <c r="Z135" s="34">
        <v>1.0933619939744901</v>
      </c>
      <c r="AA135" s="34">
        <v>1.09095651526674</v>
      </c>
      <c r="AB135" s="33">
        <v>57.046543564380997</v>
      </c>
      <c r="AC135" s="33">
        <v>57.140417485066003</v>
      </c>
      <c r="AD135" s="33">
        <v>56.937917347909398</v>
      </c>
      <c r="AE135" s="15">
        <v>-1.2255861004932899E-2</v>
      </c>
      <c r="AF135" s="15">
        <v>-1.06116462719935E-2</v>
      </c>
      <c r="AG135" s="15">
        <v>-1.4161844478236801E-2</v>
      </c>
      <c r="AI135" s="12"/>
      <c r="AJ135">
        <f t="shared" si="26"/>
        <v>1</v>
      </c>
      <c r="AK135">
        <f t="shared" si="27"/>
        <v>0</v>
      </c>
      <c r="AL135">
        <f t="shared" si="34"/>
        <v>1</v>
      </c>
      <c r="AM135">
        <f t="shared" si="24"/>
        <v>1</v>
      </c>
      <c r="AN135">
        <f t="shared" si="35"/>
        <v>1</v>
      </c>
      <c r="AO135" s="28">
        <f t="shared" si="28"/>
        <v>1.9121780112415901E-2</v>
      </c>
      <c r="AP135" s="28">
        <f t="shared" si="29"/>
        <v>-2.1351878714703499E-2</v>
      </c>
      <c r="AQ135" s="28">
        <f t="shared" si="36"/>
        <v>-2.2300986022875981E-3</v>
      </c>
      <c r="AR135" s="29">
        <f t="shared" si="37"/>
        <v>3.3668822800881487E-2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2.3477232772718442E-2</v>
      </c>
      <c r="BE135" s="29">
        <f t="shared" si="42"/>
        <v>-2.2300986022875981E-3</v>
      </c>
      <c r="BF135" s="29">
        <f t="shared" si="43"/>
        <v>5.7146055573599933E-2</v>
      </c>
      <c r="BH135" s="29"/>
    </row>
    <row r="136" spans="1:60" x14ac:dyDescent="0.25">
      <c r="A136" s="1">
        <v>46220</v>
      </c>
      <c r="B136" s="33">
        <v>51.66</v>
      </c>
      <c r="C136" s="33">
        <v>56.66</v>
      </c>
      <c r="D136" s="15">
        <v>-1.1738805057136099E-2</v>
      </c>
      <c r="E136" s="15">
        <v>-1.9054854999532401E-2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51.66</v>
      </c>
      <c r="M136" s="33">
        <v>56.66</v>
      </c>
      <c r="N136" s="34">
        <v>1.0967866821525301</v>
      </c>
      <c r="O136" s="34">
        <v>1.0913821229076099</v>
      </c>
      <c r="P136" s="34">
        <v>1.09386878422878</v>
      </c>
      <c r="Q136" s="34">
        <v>1.0918526008420799</v>
      </c>
      <c r="R136" s="33">
        <v>56.380800469407397</v>
      </c>
      <c r="S136" s="33">
        <v>56.483080608722197</v>
      </c>
      <c r="T136" s="33">
        <v>56.358813578680099</v>
      </c>
      <c r="U136" s="15">
        <v>-4.9398110625367697E-3</v>
      </c>
      <c r="V136" s="15">
        <v>-3.12735934925469E-3</v>
      </c>
      <c r="W136" s="15">
        <v>-5.32985836208885E-3</v>
      </c>
      <c r="X136" s="34">
        <v>1.0967866821525301</v>
      </c>
      <c r="Y136" s="34">
        <v>1.0913821229076099</v>
      </c>
      <c r="Z136" s="34">
        <v>1.09386878422878</v>
      </c>
      <c r="AA136" s="34">
        <v>1.0918526008420799</v>
      </c>
      <c r="AB136" s="33">
        <v>56.380800469407397</v>
      </c>
      <c r="AC136" s="33">
        <v>56.483080608722197</v>
      </c>
      <c r="AD136" s="33">
        <v>56.358813578680099</v>
      </c>
      <c r="AE136" s="15">
        <v>-4.9398110625367697E-3</v>
      </c>
      <c r="AF136" s="15">
        <v>-3.12735934925469E-3</v>
      </c>
      <c r="AG136" s="15">
        <v>-5.32985836208885E-3</v>
      </c>
      <c r="AI136" s="12"/>
      <c r="AJ136">
        <f t="shared" si="26"/>
        <v>0</v>
      </c>
      <c r="AK136">
        <f t="shared" si="27"/>
        <v>0</v>
      </c>
      <c r="AL136">
        <f t="shared" si="34"/>
        <v>1</v>
      </c>
      <c r="AM136">
        <f t="shared" si="24"/>
        <v>1</v>
      </c>
      <c r="AN136">
        <f t="shared" si="35"/>
        <v>1</v>
      </c>
      <c r="AO136" s="28">
        <f t="shared" si="28"/>
        <v>-1.1738805057136099E-2</v>
      </c>
      <c r="AP136" s="28">
        <f t="shared" si="29"/>
        <v>1.9054854999532401E-2</v>
      </c>
      <c r="AQ136" s="28">
        <f t="shared" si="36"/>
        <v>7.3160499423963014E-3</v>
      </c>
      <c r="AR136" s="29">
        <f t="shared" si="37"/>
        <v>4.0984872743277792E-2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2.3477232772718442E-2</v>
      </c>
      <c r="BE136" s="29">
        <f t="shared" si="42"/>
        <v>7.3160499423963014E-3</v>
      </c>
      <c r="BF136" s="29">
        <f t="shared" si="43"/>
        <v>6.4462105515996238E-2</v>
      </c>
      <c r="BH136" s="29"/>
    </row>
    <row r="137" spans="1:60" x14ac:dyDescent="0.25">
      <c r="A137" s="1">
        <v>46223</v>
      </c>
      <c r="B137" s="33">
        <v>51.23</v>
      </c>
      <c r="C137" s="33">
        <v>56.36</v>
      </c>
      <c r="D137" s="15">
        <v>-8.3584897165835201E-3</v>
      </c>
      <c r="E137" s="15">
        <v>-5.3088073718909699E-3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51.23</v>
      </c>
      <c r="M137" s="33">
        <v>56.36</v>
      </c>
      <c r="N137" s="34">
        <v>1.1001366386882601</v>
      </c>
      <c r="O137" s="34">
        <v>1.0913821229076099</v>
      </c>
      <c r="P137" s="34">
        <v>1.0951901404052999</v>
      </c>
      <c r="Q137" s="34">
        <v>1.09277050860023</v>
      </c>
      <c r="R137" s="33">
        <v>55.911506156557103</v>
      </c>
      <c r="S137" s="33">
        <v>56.038897816040503</v>
      </c>
      <c r="T137" s="33">
        <v>55.935608741139902</v>
      </c>
      <c r="U137" s="15">
        <v>-7.9894934072292992E-3</v>
      </c>
      <c r="V137" s="15">
        <v>-5.71363356307188E-3</v>
      </c>
      <c r="W137" s="15">
        <v>-7.5585017812408199E-3</v>
      </c>
      <c r="X137" s="34">
        <v>1.1001366386882601</v>
      </c>
      <c r="Y137" s="34">
        <v>1.0913821229076099</v>
      </c>
      <c r="Z137" s="34">
        <v>1.0951901404052999</v>
      </c>
      <c r="AA137" s="34">
        <v>1.09277050860023</v>
      </c>
      <c r="AB137" s="33">
        <v>55.911506156557103</v>
      </c>
      <c r="AC137" s="33">
        <v>56.038897816040503</v>
      </c>
      <c r="AD137" s="33">
        <v>55.935608741139902</v>
      </c>
      <c r="AE137" s="15">
        <v>-7.9894934072292992E-3</v>
      </c>
      <c r="AF137" s="15">
        <v>-5.71363356307188E-3</v>
      </c>
      <c r="AG137" s="15">
        <v>-7.5585017812408199E-3</v>
      </c>
      <c r="AI137" s="12"/>
      <c r="AJ137">
        <f t="shared" si="26"/>
        <v>0</v>
      </c>
      <c r="AK137">
        <f t="shared" si="27"/>
        <v>0</v>
      </c>
      <c r="AL137">
        <f t="shared" si="34"/>
        <v>1</v>
      </c>
      <c r="AM137">
        <f t="shared" si="24"/>
        <v>1</v>
      </c>
      <c r="AN137">
        <f t="shared" si="35"/>
        <v>1</v>
      </c>
      <c r="AO137" s="28">
        <f t="shared" si="28"/>
        <v>-8.3584897165835201E-3</v>
      </c>
      <c r="AP137" s="28">
        <f t="shared" si="29"/>
        <v>5.3088073718909699E-3</v>
      </c>
      <c r="AQ137" s="28">
        <f t="shared" si="36"/>
        <v>-3.0496823446925503E-3</v>
      </c>
      <c r="AR137" s="29">
        <f t="shared" si="37"/>
        <v>3.7935190398585242E-2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2.3477232772718442E-2</v>
      </c>
      <c r="BE137" s="29">
        <f t="shared" si="42"/>
        <v>-3.0496823446925503E-3</v>
      </c>
      <c r="BF137" s="29">
        <f t="shared" si="43"/>
        <v>6.1412423171303687E-2</v>
      </c>
      <c r="BH137" s="29"/>
    </row>
    <row r="138" spans="1:60" x14ac:dyDescent="0.25">
      <c r="A138" s="1">
        <v>46224</v>
      </c>
      <c r="B138" s="33">
        <v>50.29</v>
      </c>
      <c r="C138" s="33">
        <v>55.51</v>
      </c>
      <c r="D138" s="15">
        <v>-1.85190477672375E-2</v>
      </c>
      <c r="E138" s="15">
        <v>-1.51965023284096E-2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50.29</v>
      </c>
      <c r="M138" s="33">
        <v>55.51</v>
      </c>
      <c r="N138" s="34">
        <v>1.10379797176377</v>
      </c>
      <c r="O138" s="34">
        <v>1.0913821229076099</v>
      </c>
      <c r="P138" s="34">
        <v>1.09743678078198</v>
      </c>
      <c r="Q138" s="34">
        <v>1.09363735747335</v>
      </c>
      <c r="R138" s="33">
        <v>54.885606961023903</v>
      </c>
      <c r="S138" s="33">
        <v>55.077112160982601</v>
      </c>
      <c r="T138" s="33">
        <v>54.955428877505902</v>
      </c>
      <c r="U138" s="15">
        <v>-1.1312038846057099E-2</v>
      </c>
      <c r="V138" s="15">
        <v>-7.8289421183871995E-3</v>
      </c>
      <c r="W138" s="15">
        <v>-1.0040712053602701E-2</v>
      </c>
      <c r="X138" s="34">
        <v>1.10379797176377</v>
      </c>
      <c r="Y138" s="34">
        <v>1.0913821229076099</v>
      </c>
      <c r="Z138" s="34">
        <v>1.09743678078198</v>
      </c>
      <c r="AA138" s="34">
        <v>1.09363735747335</v>
      </c>
      <c r="AB138" s="33">
        <v>54.885606961023903</v>
      </c>
      <c r="AC138" s="33">
        <v>55.077112160982601</v>
      </c>
      <c r="AD138" s="33">
        <v>54.955428877505902</v>
      </c>
      <c r="AE138" s="15">
        <v>-1.1312038846057099E-2</v>
      </c>
      <c r="AF138" s="15">
        <v>-7.8289421183871995E-3</v>
      </c>
      <c r="AG138" s="15">
        <v>-1.0040712053602701E-2</v>
      </c>
      <c r="AI138" s="12"/>
      <c r="AJ138">
        <f t="shared" si="26"/>
        <v>1</v>
      </c>
      <c r="AK138">
        <f t="shared" si="27"/>
        <v>0</v>
      </c>
      <c r="AL138">
        <f t="shared" si="34"/>
        <v>1</v>
      </c>
      <c r="AM138">
        <f t="shared" si="24"/>
        <v>1</v>
      </c>
      <c r="AN138">
        <f t="shared" si="35"/>
        <v>1</v>
      </c>
      <c r="AO138" s="28">
        <f t="shared" si="28"/>
        <v>-1.85190477672375E-2</v>
      </c>
      <c r="AP138" s="28">
        <f t="shared" si="29"/>
        <v>1.51965023284096E-2</v>
      </c>
      <c r="AQ138" s="28">
        <f t="shared" si="36"/>
        <v>-3.322545438827899E-3</v>
      </c>
      <c r="AR138" s="29">
        <f t="shared" si="37"/>
        <v>3.4612644959757341E-2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2.3477232772718442E-2</v>
      </c>
      <c r="BE138" s="29">
        <f t="shared" si="42"/>
        <v>-3.322545438827899E-3</v>
      </c>
      <c r="BF138" s="29">
        <f t="shared" si="43"/>
        <v>5.8089877732475786E-2</v>
      </c>
      <c r="BH138" s="29"/>
    </row>
    <row r="139" spans="1:60" x14ac:dyDescent="0.25">
      <c r="A139" s="1">
        <v>46225</v>
      </c>
      <c r="B139" s="33">
        <v>50.15</v>
      </c>
      <c r="C139" s="33">
        <v>55.19</v>
      </c>
      <c r="D139" s="15">
        <v>-2.7877357759288099E-3</v>
      </c>
      <c r="E139" s="15">
        <v>-5.7814072506599699E-3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50.15</v>
      </c>
      <c r="M139" s="33">
        <v>55.19</v>
      </c>
      <c r="N139" s="34">
        <v>1.1004985044865401</v>
      </c>
      <c r="O139" s="34">
        <v>1.0913821229076099</v>
      </c>
      <c r="P139" s="34">
        <v>1.09768952978136</v>
      </c>
      <c r="Q139" s="34">
        <v>1.0945933038176101</v>
      </c>
      <c r="R139" s="33">
        <v>54.732813463816903</v>
      </c>
      <c r="S139" s="33">
        <v>55.036454556216299</v>
      </c>
      <c r="T139" s="33">
        <v>54.845913477288697</v>
      </c>
      <c r="U139" s="15">
        <v>-8.3183673713260395E-3</v>
      </c>
      <c r="V139" s="15">
        <v>-2.7860016675237999E-3</v>
      </c>
      <c r="W139" s="15">
        <v>-6.2540971102831803E-3</v>
      </c>
      <c r="X139" s="34">
        <v>1.1004985044865401</v>
      </c>
      <c r="Y139" s="34">
        <v>1.0913821229076099</v>
      </c>
      <c r="Z139" s="34">
        <v>1.09768952978136</v>
      </c>
      <c r="AA139" s="34">
        <v>1.0945933038176101</v>
      </c>
      <c r="AB139" s="33">
        <v>54.732813463816903</v>
      </c>
      <c r="AC139" s="33">
        <v>55.036454556216299</v>
      </c>
      <c r="AD139" s="33">
        <v>54.845913477288697</v>
      </c>
      <c r="AE139" s="15">
        <v>-8.3183673713260395E-3</v>
      </c>
      <c r="AF139" s="15">
        <v>-2.7860016675237999E-3</v>
      </c>
      <c r="AG139" s="15">
        <v>-6.2540971102831803E-3</v>
      </c>
      <c r="AI139" s="12"/>
      <c r="AJ139">
        <f t="shared" si="26"/>
        <v>0</v>
      </c>
      <c r="AK139">
        <f t="shared" si="27"/>
        <v>0</v>
      </c>
      <c r="AL139">
        <f t="shared" si="34"/>
        <v>1</v>
      </c>
      <c r="AM139">
        <f t="shared" si="24"/>
        <v>1</v>
      </c>
      <c r="AN139">
        <f t="shared" si="35"/>
        <v>1</v>
      </c>
      <c r="AO139" s="28">
        <f t="shared" si="28"/>
        <v>-2.7877357759288099E-3</v>
      </c>
      <c r="AP139" s="28">
        <f t="shared" si="29"/>
        <v>5.7814072506599699E-3</v>
      </c>
      <c r="AQ139" s="28">
        <f t="shared" si="36"/>
        <v>2.99367147473116E-3</v>
      </c>
      <c r="AR139" s="29">
        <f t="shared" si="37"/>
        <v>3.7606316434488501E-2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2.3477232772718442E-2</v>
      </c>
      <c r="BE139" s="29">
        <f t="shared" si="42"/>
        <v>2.99367147473116E-3</v>
      </c>
      <c r="BF139" s="29">
        <f t="shared" si="43"/>
        <v>6.1083549207206947E-2</v>
      </c>
      <c r="BH139" s="29"/>
    </row>
    <row r="140" spans="1:60" x14ac:dyDescent="0.25">
      <c r="A140" s="1">
        <v>46226</v>
      </c>
      <c r="B140" s="33">
        <v>50</v>
      </c>
      <c r="C140" s="33">
        <v>54.52</v>
      </c>
      <c r="D140" s="15">
        <v>-2.9955089797984499E-3</v>
      </c>
      <c r="E140" s="15">
        <v>-1.22141706230779E-2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50</v>
      </c>
      <c r="M140" s="33">
        <v>54.52</v>
      </c>
      <c r="N140" s="34">
        <v>1.0904</v>
      </c>
      <c r="O140" s="34">
        <v>1.0913821229076099</v>
      </c>
      <c r="P140" s="34">
        <v>1.0975635036476099</v>
      </c>
      <c r="Q140" s="34">
        <v>1.0947579031207499</v>
      </c>
      <c r="R140" s="33">
        <v>54.569106145380701</v>
      </c>
      <c r="S140" s="33">
        <v>54.884476489068</v>
      </c>
      <c r="T140" s="33">
        <v>54.729665190880901</v>
      </c>
      <c r="U140" s="15">
        <v>9.0029427195350404E-4</v>
      </c>
      <c r="V140" s="15">
        <v>6.6629419411071396E-3</v>
      </c>
      <c r="W140" s="15">
        <v>3.8382808390399299E-3</v>
      </c>
      <c r="X140" s="34">
        <v>1.0904</v>
      </c>
      <c r="Y140" s="34">
        <v>1.0913821229076099</v>
      </c>
      <c r="Z140" s="34">
        <v>1.0975635036476099</v>
      </c>
      <c r="AA140" s="34">
        <v>1.0947579031207499</v>
      </c>
      <c r="AB140" s="33">
        <v>54.569106145380701</v>
      </c>
      <c r="AC140" s="33">
        <v>54.884476489068</v>
      </c>
      <c r="AD140" s="33">
        <v>54.729665190880901</v>
      </c>
      <c r="AE140" s="15">
        <v>9.0029427195350404E-4</v>
      </c>
      <c r="AF140" s="15">
        <v>6.6629419411071396E-3</v>
      </c>
      <c r="AG140" s="15">
        <v>3.8382808390399299E-3</v>
      </c>
      <c r="AI140" s="12"/>
      <c r="AJ140">
        <f t="shared" si="26"/>
        <v>0</v>
      </c>
      <c r="AK140">
        <f t="shared" si="27"/>
        <v>1</v>
      </c>
      <c r="AL140">
        <f t="shared" si="34"/>
        <v>1</v>
      </c>
      <c r="AM140">
        <f t="shared" si="24"/>
        <v>1</v>
      </c>
      <c r="AN140">
        <f t="shared" si="35"/>
        <v>1</v>
      </c>
      <c r="AO140" s="28">
        <f t="shared" si="28"/>
        <v>-2.9955089797984499E-3</v>
      </c>
      <c r="AP140" s="28">
        <f t="shared" si="29"/>
        <v>1.22141706230779E-2</v>
      </c>
      <c r="AQ140" s="28">
        <f t="shared" si="36"/>
        <v>9.2186616432794501E-3</v>
      </c>
      <c r="AR140" s="29">
        <f t="shared" si="37"/>
        <v>4.6824978077767948E-2</v>
      </c>
      <c r="AT140" s="12"/>
      <c r="AU140">
        <f t="shared" si="30"/>
        <v>0</v>
      </c>
      <c r="AV140">
        <f t="shared" si="31"/>
        <v>0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2.3477232772718442E-2</v>
      </c>
      <c r="BE140" s="29">
        <f t="shared" si="42"/>
        <v>9.2186616432794501E-3</v>
      </c>
      <c r="BF140" s="29">
        <f t="shared" si="43"/>
        <v>7.0302210850486394E-2</v>
      </c>
      <c r="BH140" s="29"/>
    </row>
    <row r="141" spans="1:60" x14ac:dyDescent="0.25">
      <c r="A141" s="1">
        <v>46227</v>
      </c>
      <c r="B141" s="33">
        <v>50.28</v>
      </c>
      <c r="C141" s="33">
        <v>55.04</v>
      </c>
      <c r="D141" s="15">
        <v>5.58437829390066E-3</v>
      </c>
      <c r="E141" s="15">
        <v>9.4925867967562607E-3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50.28</v>
      </c>
      <c r="M141" s="33">
        <v>55.04</v>
      </c>
      <c r="N141" s="34">
        <v>1.0946698488464499</v>
      </c>
      <c r="O141" s="34">
        <v>1.0913821229076099</v>
      </c>
      <c r="P141" s="34">
        <v>1.0981207581688299</v>
      </c>
      <c r="Q141" s="34">
        <v>1.0947257397930901</v>
      </c>
      <c r="R141" s="33">
        <v>54.8746931397949</v>
      </c>
      <c r="S141" s="33">
        <v>55.185492963402098</v>
      </c>
      <c r="T141" s="33">
        <v>55.044427368911499</v>
      </c>
      <c r="U141" s="15">
        <v>-3.0079142309021902E-3</v>
      </c>
      <c r="V141" s="15">
        <v>2.6399164837021499E-3</v>
      </c>
      <c r="W141" s="15">
        <v>8.0435880347072298E-5</v>
      </c>
      <c r="X141" s="34">
        <v>1.0946698488464499</v>
      </c>
      <c r="Y141" s="34">
        <v>1.0913821229076099</v>
      </c>
      <c r="Z141" s="34">
        <v>1.0981207581688299</v>
      </c>
      <c r="AA141" s="34">
        <v>1.0947257397930901</v>
      </c>
      <c r="AB141" s="33">
        <v>54.8746931397949</v>
      </c>
      <c r="AC141" s="33">
        <v>55.185492963402098</v>
      </c>
      <c r="AD141" s="33">
        <v>55.044427368911499</v>
      </c>
      <c r="AE141" s="15">
        <v>-3.0079142309021902E-3</v>
      </c>
      <c r="AF141" s="15">
        <v>2.6399164837021499E-3</v>
      </c>
      <c r="AG141" s="15">
        <v>8.0435880347072298E-5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4.6824978077767948E-2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2.3477232772718442E-2</v>
      </c>
      <c r="BE141" s="29">
        <f t="shared" si="42"/>
        <v>0</v>
      </c>
      <c r="BF141" s="29">
        <f t="shared" si="43"/>
        <v>7.0302210850486394E-2</v>
      </c>
      <c r="BH141" s="29"/>
    </row>
    <row r="142" spans="1:60" x14ac:dyDescent="0.25">
      <c r="A142" s="1">
        <v>46230</v>
      </c>
      <c r="B142" s="33">
        <v>50.74</v>
      </c>
      <c r="C142" s="33">
        <v>55.05</v>
      </c>
      <c r="D142" s="15">
        <v>9.1071704490890502E-3</v>
      </c>
      <c r="E142" s="15">
        <v>1.8166954360070601E-4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50.74</v>
      </c>
      <c r="M142" s="33">
        <v>55.05</v>
      </c>
      <c r="N142" s="34">
        <v>1.08494284588096</v>
      </c>
      <c r="O142" s="34">
        <v>1.0913821229076099</v>
      </c>
      <c r="P142" s="34">
        <v>1.09731138978889</v>
      </c>
      <c r="Q142" s="34">
        <v>1.0945945141117699</v>
      </c>
      <c r="R142" s="33">
        <v>55.376728916332397</v>
      </c>
      <c r="S142" s="33">
        <v>55.718647269486901</v>
      </c>
      <c r="T142" s="33">
        <v>55.546384037101298</v>
      </c>
      <c r="U142" s="15">
        <v>5.91758667458624E-3</v>
      </c>
      <c r="V142" s="15">
        <v>1.20730081597564E-2</v>
      </c>
      <c r="W142" s="15">
        <v>8.9765569566949595E-3</v>
      </c>
      <c r="X142" s="34">
        <v>1.08494284588096</v>
      </c>
      <c r="Y142" s="34">
        <v>1.0913821229076099</v>
      </c>
      <c r="Z142" s="34">
        <v>1.09731138978889</v>
      </c>
      <c r="AA142" s="34">
        <v>1.0945945141117699</v>
      </c>
      <c r="AB142" s="33">
        <v>55.376728916332397</v>
      </c>
      <c r="AC142" s="33">
        <v>55.718647269486901</v>
      </c>
      <c r="AD142" s="33">
        <v>55.546384037101298</v>
      </c>
      <c r="AE142" s="15">
        <v>5.91758667458624E-3</v>
      </c>
      <c r="AF142" s="15">
        <v>1.20730081597564E-2</v>
      </c>
      <c r="AG142" s="15">
        <v>8.9765569566949595E-3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4.6824978077767948E-2</v>
      </c>
      <c r="AT142" s="12"/>
      <c r="AU142">
        <f t="shared" si="30"/>
        <v>0</v>
      </c>
      <c r="AV142">
        <f t="shared" si="31"/>
        <v>0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2.3477232772718442E-2</v>
      </c>
      <c r="BE142" s="29">
        <f t="shared" si="42"/>
        <v>0</v>
      </c>
      <c r="BF142" s="29">
        <f t="shared" si="43"/>
        <v>7.0302210850486394E-2</v>
      </c>
      <c r="BH142" s="29"/>
    </row>
    <row r="143" spans="1:60" x14ac:dyDescent="0.25">
      <c r="A143" s="1">
        <v>46231</v>
      </c>
      <c r="B143" s="33">
        <v>50.91</v>
      </c>
      <c r="C143" s="33">
        <v>55.03</v>
      </c>
      <c r="D143" s="15">
        <v>3.34481374310867E-3</v>
      </c>
      <c r="E143" s="15">
        <v>-3.63372097021432E-4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50.91</v>
      </c>
      <c r="M143" s="33">
        <v>55.03</v>
      </c>
      <c r="N143" s="34">
        <v>1.08092712630131</v>
      </c>
      <c r="O143" s="34">
        <v>1.0913821229076099</v>
      </c>
      <c r="P143" s="34">
        <v>1.09593789658185</v>
      </c>
      <c r="Q143" s="34">
        <v>1.0936875812092399</v>
      </c>
      <c r="R143" s="33">
        <v>55.562263877226698</v>
      </c>
      <c r="S143" s="33">
        <v>55.864122854152797</v>
      </c>
      <c r="T143" s="33">
        <v>55.725806713430302</v>
      </c>
      <c r="U143" s="15">
        <v>9.62577251471642E-3</v>
      </c>
      <c r="V143" s="15">
        <v>1.50438736346361E-2</v>
      </c>
      <c r="W143" s="15">
        <v>1.2564864783327001E-2</v>
      </c>
      <c r="X143" s="34">
        <v>1.08092712630131</v>
      </c>
      <c r="Y143" s="34">
        <v>1.0913821229076099</v>
      </c>
      <c r="Z143" s="34">
        <v>1.09593789658185</v>
      </c>
      <c r="AA143" s="34">
        <v>1.0936875812092399</v>
      </c>
      <c r="AB143" s="33">
        <v>55.562263877226698</v>
      </c>
      <c r="AC143" s="33">
        <v>55.864122854152797</v>
      </c>
      <c r="AD143" s="33">
        <v>55.725806713430302</v>
      </c>
      <c r="AE143" s="15">
        <v>9.62577251471642E-3</v>
      </c>
      <c r="AF143" s="15">
        <v>1.50438736346361E-2</v>
      </c>
      <c r="AG143" s="15">
        <v>1.2564864783327001E-2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4.6824978077767948E-2</v>
      </c>
      <c r="AT143" s="12"/>
      <c r="AU143">
        <f t="shared" si="30"/>
        <v>0</v>
      </c>
      <c r="AV143">
        <f t="shared" si="31"/>
        <v>0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2.3477232772718442E-2</v>
      </c>
      <c r="BE143" s="29">
        <f t="shared" si="42"/>
        <v>0</v>
      </c>
      <c r="BF143" s="29">
        <f t="shared" si="43"/>
        <v>7.0302210850486394E-2</v>
      </c>
      <c r="BH143" s="29"/>
    </row>
    <row r="144" spans="1:60" x14ac:dyDescent="0.25">
      <c r="A144" s="1">
        <v>46232</v>
      </c>
      <c r="B144" s="33">
        <v>51.21</v>
      </c>
      <c r="C144" s="33">
        <v>54.78</v>
      </c>
      <c r="D144" s="15">
        <v>5.8754575602143E-3</v>
      </c>
      <c r="E144" s="15">
        <v>-4.5533272367353503E-3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51.21</v>
      </c>
      <c r="M144" s="33">
        <v>54.78</v>
      </c>
      <c r="N144" s="34">
        <v>1.0697129466900901</v>
      </c>
      <c r="O144" s="34">
        <v>1.0913821229076099</v>
      </c>
      <c r="P144" s="34">
        <v>1.0926712817344799</v>
      </c>
      <c r="Q144" s="34">
        <v>1.0929246736304501</v>
      </c>
      <c r="R144" s="33">
        <v>55.889678514098897</v>
      </c>
      <c r="S144" s="33">
        <v>56.122979683956899</v>
      </c>
      <c r="T144" s="33">
        <v>56.007741033725303</v>
      </c>
      <c r="U144" s="15">
        <v>2.00545573116661E-2</v>
      </c>
      <c r="V144" s="15">
        <v>2.42201848572174E-2</v>
      </c>
      <c r="W144" s="15">
        <v>2.2164750092047599E-2</v>
      </c>
      <c r="X144" s="34">
        <v>1.0697129466900901</v>
      </c>
      <c r="Y144" s="34">
        <v>1.0913821229076099</v>
      </c>
      <c r="Z144" s="34">
        <v>1.0926712817344799</v>
      </c>
      <c r="AA144" s="34">
        <v>1.0929246736304501</v>
      </c>
      <c r="AB144" s="33">
        <v>55.889678514098897</v>
      </c>
      <c r="AC144" s="33">
        <v>56.122979683956899</v>
      </c>
      <c r="AD144" s="33">
        <v>56.007741033725303</v>
      </c>
      <c r="AE144" s="15">
        <v>2.00545573116661E-2</v>
      </c>
      <c r="AF144" s="15">
        <v>2.42201848572174E-2</v>
      </c>
      <c r="AG144" s="15">
        <v>2.2164750092047599E-2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4.6824978077767948E-2</v>
      </c>
      <c r="AT144" s="12"/>
      <c r="AU144">
        <f t="shared" si="30"/>
        <v>1</v>
      </c>
      <c r="AV144">
        <f t="shared" si="31"/>
        <v>0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2.3477232772718442E-2</v>
      </c>
      <c r="BE144" s="29">
        <f t="shared" si="42"/>
        <v>0</v>
      </c>
      <c r="BF144" s="29">
        <f t="shared" si="43"/>
        <v>7.0302210850486394E-2</v>
      </c>
      <c r="BH144" s="29"/>
    </row>
    <row r="145" spans="1:60" x14ac:dyDescent="0.25">
      <c r="A145" s="1">
        <v>46233</v>
      </c>
      <c r="B145" s="33">
        <v>50.8</v>
      </c>
      <c r="C145" s="33">
        <v>54.36</v>
      </c>
      <c r="D145" s="15">
        <v>-8.0384708900228495E-3</v>
      </c>
      <c r="E145" s="15">
        <v>-7.69657455198915E-3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50.8</v>
      </c>
      <c r="M145" s="33">
        <v>54.36</v>
      </c>
      <c r="N145" s="34">
        <v>1.0700787401574801</v>
      </c>
      <c r="O145" s="34">
        <v>1.0913821229076099</v>
      </c>
      <c r="P145" s="34">
        <v>1.08919513049674</v>
      </c>
      <c r="Q145" s="34">
        <v>1.09127856223561</v>
      </c>
      <c r="R145" s="33">
        <v>55.442211843706801</v>
      </c>
      <c r="S145" s="33">
        <v>55.507701112111903</v>
      </c>
      <c r="T145" s="33">
        <v>55.520573420426999</v>
      </c>
      <c r="U145" s="15">
        <v>1.97126609736324E-2</v>
      </c>
      <c r="V145" s="15">
        <v>2.0893180620128599E-2</v>
      </c>
      <c r="W145" s="15">
        <v>2.1125055039991601E-2</v>
      </c>
      <c r="X145" s="34">
        <v>1.0700787401574801</v>
      </c>
      <c r="Y145" s="34">
        <v>1.0913821229076099</v>
      </c>
      <c r="Z145" s="34">
        <v>1.08919513049674</v>
      </c>
      <c r="AA145" s="34">
        <v>1.09127856223561</v>
      </c>
      <c r="AB145" s="33">
        <v>55.442211843706801</v>
      </c>
      <c r="AC145" s="33">
        <v>55.507701112111903</v>
      </c>
      <c r="AD145" s="33">
        <v>55.520573420426999</v>
      </c>
      <c r="AE145" s="15">
        <v>1.97126609736324E-2</v>
      </c>
      <c r="AF145" s="15">
        <v>2.0893180620128599E-2</v>
      </c>
      <c r="AG145" s="15">
        <v>2.1125055039991601E-2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4.6824978077767948E-2</v>
      </c>
      <c r="AT145" s="12"/>
      <c r="AU145">
        <f t="shared" si="30"/>
        <v>1</v>
      </c>
      <c r="AV145">
        <f t="shared" si="31"/>
        <v>0</v>
      </c>
      <c r="AW145">
        <f t="shared" si="38"/>
        <v>1</v>
      </c>
      <c r="AX145">
        <f t="shared" si="25"/>
        <v>1</v>
      </c>
      <c r="AY145">
        <f t="shared" si="39"/>
        <v>1</v>
      </c>
      <c r="AZ145" s="28">
        <f t="shared" si="32"/>
        <v>8.0384708900228495E-3</v>
      </c>
      <c r="BA145" s="28">
        <f t="shared" si="33"/>
        <v>-7.69657455198915E-3</v>
      </c>
      <c r="BB145" s="28">
        <f t="shared" si="40"/>
        <v>3.4189633803369951E-4</v>
      </c>
      <c r="BC145" s="29">
        <f t="shared" si="41"/>
        <v>2.3819129110752141E-2</v>
      </c>
      <c r="BE145" s="29">
        <f t="shared" si="42"/>
        <v>3.4189633803369951E-4</v>
      </c>
      <c r="BF145" s="29">
        <f t="shared" si="43"/>
        <v>7.06441071885201E-2</v>
      </c>
      <c r="BH145" s="29"/>
    </row>
    <row r="146" spans="1:60" x14ac:dyDescent="0.25">
      <c r="A146" s="1">
        <v>46234</v>
      </c>
      <c r="B146" s="33">
        <v>50.83</v>
      </c>
      <c r="C146" s="33">
        <v>54.41</v>
      </c>
      <c r="D146" s="15">
        <v>5.90376874374974E-4</v>
      </c>
      <c r="E146" s="15">
        <v>9.1937121489103302E-4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50.83</v>
      </c>
      <c r="M146" s="33">
        <v>54.41</v>
      </c>
      <c r="N146" s="34">
        <v>1.07043084792445</v>
      </c>
      <c r="O146" s="34">
        <v>1.0913821229076099</v>
      </c>
      <c r="P146" s="34">
        <v>1.08655954707393</v>
      </c>
      <c r="Q146" s="34">
        <v>1.09021416565135</v>
      </c>
      <c r="R146" s="33">
        <v>55.474953307394003</v>
      </c>
      <c r="S146" s="33">
        <v>55.363788483149399</v>
      </c>
      <c r="T146" s="33">
        <v>55.469689318436401</v>
      </c>
      <c r="U146" s="15">
        <v>1.93836666331164E-2</v>
      </c>
      <c r="V146" s="15">
        <v>1.7377782053011302E-2</v>
      </c>
      <c r="W146" s="15">
        <v>1.9288772660103901E-2</v>
      </c>
      <c r="X146" s="34">
        <v>1.07043084792445</v>
      </c>
      <c r="Y146" s="34">
        <v>1.0913821229076099</v>
      </c>
      <c r="Z146" s="34">
        <v>1.08655954707393</v>
      </c>
      <c r="AA146" s="34">
        <v>1.09021416565135</v>
      </c>
      <c r="AB146" s="33">
        <v>55.474953307394003</v>
      </c>
      <c r="AC146" s="33">
        <v>55.363788483149399</v>
      </c>
      <c r="AD146" s="33">
        <v>55.469689318436401</v>
      </c>
      <c r="AE146" s="15">
        <v>1.93836666331164E-2</v>
      </c>
      <c r="AF146" s="15">
        <v>1.7377782053011302E-2</v>
      </c>
      <c r="AG146" s="15">
        <v>1.9288772660103901E-2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1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4.6824978077767948E-2</v>
      </c>
      <c r="AT146" s="12"/>
      <c r="AU146">
        <f t="shared" si="30"/>
        <v>1</v>
      </c>
      <c r="AV146">
        <f t="shared" si="31"/>
        <v>0</v>
      </c>
      <c r="AW146">
        <f t="shared" si="38"/>
        <v>1</v>
      </c>
      <c r="AX146">
        <f t="shared" si="25"/>
        <v>1</v>
      </c>
      <c r="AY146">
        <f t="shared" si="39"/>
        <v>1</v>
      </c>
      <c r="AZ146" s="28">
        <f t="shared" si="32"/>
        <v>-5.90376874374974E-4</v>
      </c>
      <c r="BA146" s="28">
        <f t="shared" si="33"/>
        <v>9.1937121489103302E-4</v>
      </c>
      <c r="BB146" s="28">
        <f t="shared" si="40"/>
        <v>3.2899434051605902E-4</v>
      </c>
      <c r="BC146" s="29">
        <f t="shared" si="41"/>
        <v>2.41481234512682E-2</v>
      </c>
      <c r="BE146" s="29">
        <f t="shared" si="42"/>
        <v>3.2899434051605902E-4</v>
      </c>
      <c r="BF146" s="29">
        <f t="shared" si="43"/>
        <v>7.0973101529036159E-2</v>
      </c>
      <c r="BH146" s="29"/>
    </row>
    <row r="147" spans="1:60" x14ac:dyDescent="0.25">
      <c r="A147" s="1">
        <v>46237</v>
      </c>
      <c r="B147" s="33">
        <v>50.99</v>
      </c>
      <c r="C147" s="33">
        <v>54.45</v>
      </c>
      <c r="D147" s="15">
        <v>3.1428036082532598E-3</v>
      </c>
      <c r="E147" s="15">
        <v>7.3488888113551996E-4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50.99</v>
      </c>
      <c r="M147" s="33">
        <v>54.45</v>
      </c>
      <c r="N147" s="34">
        <v>1.0678564424396899</v>
      </c>
      <c r="O147" s="34">
        <v>1.0913821229076099</v>
      </c>
      <c r="P147" s="34">
        <v>1.08333152744907</v>
      </c>
      <c r="Q147" s="34">
        <v>1.0892608339271801</v>
      </c>
      <c r="R147" s="33">
        <v>55.649574447059301</v>
      </c>
      <c r="S147" s="33">
        <v>55.403671305299902</v>
      </c>
      <c r="T147" s="33">
        <v>55.5900203065627</v>
      </c>
      <c r="U147" s="15">
        <v>2.17915813602341E-2</v>
      </c>
      <c r="V147" s="15">
        <v>1.7363011227307702E-2</v>
      </c>
      <c r="W147" s="15">
        <v>2.0720844877991199E-2</v>
      </c>
      <c r="X147" s="34">
        <v>1.0678564424396899</v>
      </c>
      <c r="Y147" s="34">
        <v>1.0913821229076099</v>
      </c>
      <c r="Z147" s="34">
        <v>1.08333152744907</v>
      </c>
      <c r="AA147" s="34">
        <v>1.0892608339271801</v>
      </c>
      <c r="AB147" s="33">
        <v>55.649574447059301</v>
      </c>
      <c r="AC147" s="33">
        <v>55.403671305299902</v>
      </c>
      <c r="AD147" s="33">
        <v>55.5900203065627</v>
      </c>
      <c r="AE147" s="15">
        <v>2.17915813602341E-2</v>
      </c>
      <c r="AF147" s="15">
        <v>1.7363011227307702E-2</v>
      </c>
      <c r="AG147" s="15">
        <v>2.0720844877991199E-2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4.6824978077767948E-2</v>
      </c>
      <c r="AT147" s="12"/>
      <c r="AU147">
        <f t="shared" si="30"/>
        <v>1</v>
      </c>
      <c r="AV147">
        <f t="shared" si="31"/>
        <v>0</v>
      </c>
      <c r="AW147">
        <f t="shared" si="38"/>
        <v>1</v>
      </c>
      <c r="AX147">
        <f t="shared" si="25"/>
        <v>1</v>
      </c>
      <c r="AY147">
        <f t="shared" si="39"/>
        <v>1</v>
      </c>
      <c r="AZ147" s="28">
        <f t="shared" si="32"/>
        <v>-3.1428036082532598E-3</v>
      </c>
      <c r="BA147" s="28">
        <f t="shared" si="33"/>
        <v>7.3488888113551996E-4</v>
      </c>
      <c r="BB147" s="28">
        <f t="shared" si="40"/>
        <v>-2.4079147271177399E-3</v>
      </c>
      <c r="BC147" s="29">
        <f t="shared" si="41"/>
        <v>2.1740208724150459E-2</v>
      </c>
      <c r="BE147" s="29">
        <f t="shared" si="42"/>
        <v>-2.4079147271177399E-3</v>
      </c>
      <c r="BF147" s="29">
        <f t="shared" si="43"/>
        <v>6.8565186801918421E-2</v>
      </c>
      <c r="BH147" s="29"/>
    </row>
    <row r="148" spans="1:60" x14ac:dyDescent="0.25">
      <c r="A148" s="1">
        <v>46238</v>
      </c>
      <c r="B148" s="33">
        <v>51.2</v>
      </c>
      <c r="C148" s="33">
        <v>54.8</v>
      </c>
      <c r="D148" s="15">
        <v>4.1099969783977598E-3</v>
      </c>
      <c r="E148" s="15">
        <v>6.4073445750002503E-3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51.2</v>
      </c>
      <c r="M148" s="33">
        <v>54.8</v>
      </c>
      <c r="N148" s="34">
        <v>1.07031249999999</v>
      </c>
      <c r="O148" s="34">
        <v>1.0913821229076099</v>
      </c>
      <c r="P148" s="34">
        <v>1.0799829802726999</v>
      </c>
      <c r="Q148" s="34">
        <v>1.0887098805273401</v>
      </c>
      <c r="R148" s="33">
        <v>55.8787646928699</v>
      </c>
      <c r="S148" s="33">
        <v>55.466574205392703</v>
      </c>
      <c r="T148" s="33">
        <v>55.770154697072101</v>
      </c>
      <c r="U148" s="15">
        <v>1.9494233763631699E-2</v>
      </c>
      <c r="V148" s="15">
        <v>1.2090378793557101E-2</v>
      </c>
      <c r="W148" s="15">
        <v>1.75486702839199E-2</v>
      </c>
      <c r="X148" s="34">
        <v>1.07031249999999</v>
      </c>
      <c r="Y148" s="34">
        <v>1.0913821229076099</v>
      </c>
      <c r="Z148" s="34">
        <v>1.0799829802726999</v>
      </c>
      <c r="AA148" s="34">
        <v>1.0887098805273401</v>
      </c>
      <c r="AB148" s="33">
        <v>55.8787646928699</v>
      </c>
      <c r="AC148" s="33">
        <v>55.466574205392703</v>
      </c>
      <c r="AD148" s="33">
        <v>55.770154697072101</v>
      </c>
      <c r="AE148" s="15">
        <v>1.9494233763631699E-2</v>
      </c>
      <c r="AF148" s="15">
        <v>1.2090378793557101E-2</v>
      </c>
      <c r="AG148" s="15">
        <v>1.75486702839199E-2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4.6824978077767948E-2</v>
      </c>
      <c r="AT148" s="12"/>
      <c r="AU148">
        <f t="shared" si="30"/>
        <v>1</v>
      </c>
      <c r="AV148">
        <f t="shared" si="31"/>
        <v>0</v>
      </c>
      <c r="AW148">
        <f t="shared" si="38"/>
        <v>1</v>
      </c>
      <c r="AX148">
        <f t="shared" si="25"/>
        <v>1</v>
      </c>
      <c r="AY148">
        <f t="shared" si="39"/>
        <v>1</v>
      </c>
      <c r="AZ148" s="28">
        <f t="shared" si="32"/>
        <v>-4.1099969783977598E-3</v>
      </c>
      <c r="BA148" s="28">
        <f t="shared" si="33"/>
        <v>6.4073445750002503E-3</v>
      </c>
      <c r="BB148" s="28">
        <f t="shared" si="40"/>
        <v>2.2973475966024904E-3</v>
      </c>
      <c r="BC148" s="29">
        <f t="shared" si="41"/>
        <v>2.403755632075295E-2</v>
      </c>
      <c r="BE148" s="29">
        <f t="shared" si="42"/>
        <v>2.2973475966024904E-3</v>
      </c>
      <c r="BF148" s="29">
        <f t="shared" si="43"/>
        <v>7.0862534398520916E-2</v>
      </c>
      <c r="BH148" s="29"/>
    </row>
    <row r="149" spans="1:60" x14ac:dyDescent="0.25">
      <c r="A149" s="1">
        <v>46239</v>
      </c>
      <c r="B149" s="33">
        <v>49.75</v>
      </c>
      <c r="C149" s="33">
        <v>52.78</v>
      </c>
      <c r="D149" s="15">
        <v>-2.87290684408603E-2</v>
      </c>
      <c r="E149" s="15">
        <v>-3.7557862878791697E-2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49.75</v>
      </c>
      <c r="M149" s="33">
        <v>52.78</v>
      </c>
      <c r="N149" s="34">
        <v>1.06090452261306</v>
      </c>
      <c r="O149" s="34">
        <v>1.0913821229076099</v>
      </c>
      <c r="P149" s="34">
        <v>1.0760235820853501</v>
      </c>
      <c r="Q149" s="34">
        <v>1.0868565559333501</v>
      </c>
      <c r="R149" s="33">
        <v>54.296260614653796</v>
      </c>
      <c r="S149" s="33">
        <v>53.729153268566797</v>
      </c>
      <c r="T149" s="33">
        <v>54.163316556235202</v>
      </c>
      <c r="U149" s="15">
        <v>2.8323028201562898E-2</v>
      </c>
      <c r="V149" s="15">
        <v>1.78234145346189E-2</v>
      </c>
      <c r="W149" s="15">
        <v>2.58715319212455E-2</v>
      </c>
      <c r="X149" s="34">
        <v>1.06090452261306</v>
      </c>
      <c r="Y149" s="34">
        <v>1.0913821229076099</v>
      </c>
      <c r="Z149" s="34">
        <v>1.0760235820853501</v>
      </c>
      <c r="AA149" s="34">
        <v>1.0868565559333501</v>
      </c>
      <c r="AB149" s="33">
        <v>54.296260614653796</v>
      </c>
      <c r="AC149" s="33">
        <v>53.729153268566797</v>
      </c>
      <c r="AD149" s="33">
        <v>54.163316556235202</v>
      </c>
      <c r="AE149" s="15">
        <v>2.8323028201562898E-2</v>
      </c>
      <c r="AF149" s="15">
        <v>1.78234145346189E-2</v>
      </c>
      <c r="AG149" s="15">
        <v>2.58715319212455E-2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4.6824978077767948E-2</v>
      </c>
      <c r="AT149" s="12"/>
      <c r="AU149">
        <f t="shared" si="30"/>
        <v>1</v>
      </c>
      <c r="AV149">
        <f t="shared" si="31"/>
        <v>0</v>
      </c>
      <c r="AW149">
        <f t="shared" si="38"/>
        <v>1</v>
      </c>
      <c r="AX149">
        <f t="shared" ref="AX149:AX176" si="45">IF(F150+H150&gt;0,0,1)</f>
        <v>1</v>
      </c>
      <c r="AY149">
        <f t="shared" si="39"/>
        <v>1</v>
      </c>
      <c r="AZ149" s="28">
        <f t="shared" si="32"/>
        <v>2.87290684408603E-2</v>
      </c>
      <c r="BA149" s="28">
        <f t="shared" si="33"/>
        <v>-3.7557862878791697E-2</v>
      </c>
      <c r="BB149" s="28">
        <f t="shared" si="40"/>
        <v>-8.8287944379313969E-3</v>
      </c>
      <c r="BC149" s="29">
        <f t="shared" si="41"/>
        <v>1.5208761882821553E-2</v>
      </c>
      <c r="BE149" s="29">
        <f t="shared" si="42"/>
        <v>-8.8287944379313969E-3</v>
      </c>
      <c r="BF149" s="29">
        <f t="shared" si="43"/>
        <v>6.2033739960589515E-2</v>
      </c>
      <c r="BH149" s="29"/>
    </row>
    <row r="150" spans="1:60" x14ac:dyDescent="0.25">
      <c r="A150" s="1">
        <v>46240</v>
      </c>
      <c r="B150" s="33">
        <v>48.81</v>
      </c>
      <c r="C150" s="33">
        <v>52.6</v>
      </c>
      <c r="D150" s="15">
        <v>-1.9075253705545501E-2</v>
      </c>
      <c r="E150" s="15">
        <v>-3.4162113315138599E-3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48.81</v>
      </c>
      <c r="M150" s="33">
        <v>52.6</v>
      </c>
      <c r="N150" s="34">
        <v>1.0776480229461101</v>
      </c>
      <c r="O150" s="34">
        <v>1.0913821229076099</v>
      </c>
      <c r="P150" s="34">
        <v>1.0747483843799599</v>
      </c>
      <c r="Q150" s="34">
        <v>1.08615594401379</v>
      </c>
      <c r="R150" s="33">
        <v>53.270361419120697</v>
      </c>
      <c r="S150" s="33">
        <v>52.520711041585997</v>
      </c>
      <c r="T150" s="33">
        <v>53.049468495107099</v>
      </c>
      <c r="U150" s="15">
        <v>1.26639858275313E-2</v>
      </c>
      <c r="V150" s="15">
        <v>-1.50853190897531E-3</v>
      </c>
      <c r="W150" s="15">
        <v>8.5087263237656491E-3</v>
      </c>
      <c r="X150" s="34">
        <v>1.0776480229461101</v>
      </c>
      <c r="Y150" s="34">
        <v>1.0913821229076099</v>
      </c>
      <c r="Z150" s="34">
        <v>1.0747483843799599</v>
      </c>
      <c r="AA150" s="34">
        <v>1.08615594401379</v>
      </c>
      <c r="AB150" s="33">
        <v>53.270361419120697</v>
      </c>
      <c r="AC150" s="33">
        <v>52.520711041585997</v>
      </c>
      <c r="AD150" s="33">
        <v>53.049468495107099</v>
      </c>
      <c r="AE150" s="15">
        <v>1.26639858275313E-2</v>
      </c>
      <c r="AF150" s="15">
        <v>-1.50853190897531E-3</v>
      </c>
      <c r="AG150" s="15">
        <v>8.5087263237656491E-3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4.6824978077767948E-2</v>
      </c>
      <c r="AT150" s="12"/>
      <c r="AU150">
        <f t="shared" ref="AU150:AU176" si="50">IF($AG150&gt;AT$21,1,0)</f>
        <v>0</v>
      </c>
      <c r="AV150">
        <f t="shared" ref="AV150:AV176" si="51">IF($AG150&lt;AT$22,1,0)</f>
        <v>0</v>
      </c>
      <c r="AW150">
        <f t="shared" si="38"/>
        <v>1</v>
      </c>
      <c r="AX150">
        <f t="shared" si="45"/>
        <v>1</v>
      </c>
      <c r="AY150">
        <f t="shared" si="39"/>
        <v>1</v>
      </c>
      <c r="AZ150" s="28">
        <f t="shared" ref="AZ150:AZ176" si="52">-AY150*D150</f>
        <v>1.9075253705545501E-2</v>
      </c>
      <c r="BA150" s="28">
        <f t="shared" ref="BA150:BA176" si="53">AY150*$E150</f>
        <v>-3.4162113315138599E-3</v>
      </c>
      <c r="BB150" s="28">
        <f t="shared" si="40"/>
        <v>1.565904237403164E-2</v>
      </c>
      <c r="BC150" s="29">
        <f t="shared" si="41"/>
        <v>3.0867804256853194E-2</v>
      </c>
      <c r="BE150" s="29">
        <f t="shared" si="42"/>
        <v>1.565904237403164E-2</v>
      </c>
      <c r="BF150" s="29">
        <f t="shared" si="43"/>
        <v>7.7692782334621152E-2</v>
      </c>
      <c r="BH150" s="29"/>
    </row>
    <row r="151" spans="1:60" x14ac:dyDescent="0.25">
      <c r="A151" s="1">
        <v>46241</v>
      </c>
      <c r="B151" s="33">
        <v>50.06</v>
      </c>
      <c r="C151" s="33">
        <v>53.46</v>
      </c>
      <c r="D151" s="15">
        <v>2.52870761045721E-2</v>
      </c>
      <c r="E151" s="15">
        <v>1.62175909671088E-2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50.06</v>
      </c>
      <c r="M151" s="33">
        <v>53.46</v>
      </c>
      <c r="N151" s="34">
        <v>1.0679184978026299</v>
      </c>
      <c r="O151" s="34">
        <v>1.0913821229076099</v>
      </c>
      <c r="P151" s="34">
        <v>1.07207324927558</v>
      </c>
      <c r="Q151" s="34">
        <v>1.0850970037222101</v>
      </c>
      <c r="R151" s="33">
        <v>54.634589072755197</v>
      </c>
      <c r="S151" s="33">
        <v>53.801904122061003</v>
      </c>
      <c r="T151" s="33">
        <v>54.372966557330301</v>
      </c>
      <c r="U151" s="15">
        <v>2.1733470964994499E-2</v>
      </c>
      <c r="V151" s="15">
        <v>6.37514843402745E-3</v>
      </c>
      <c r="W151" s="15">
        <v>1.6933381352005498E-2</v>
      </c>
      <c r="X151" s="34">
        <v>1.0679184978026299</v>
      </c>
      <c r="Y151" s="34">
        <v>1.0913821229076099</v>
      </c>
      <c r="Z151" s="34">
        <v>1.07207324927558</v>
      </c>
      <c r="AA151" s="34">
        <v>1.0850970037222101</v>
      </c>
      <c r="AB151" s="33">
        <v>54.634589072755197</v>
      </c>
      <c r="AC151" s="33">
        <v>53.801904122061003</v>
      </c>
      <c r="AD151" s="33">
        <v>54.372966557330301</v>
      </c>
      <c r="AE151" s="15">
        <v>2.1733470964994499E-2</v>
      </c>
      <c r="AF151" s="15">
        <v>6.37514843402745E-3</v>
      </c>
      <c r="AG151" s="15">
        <v>1.6933381352005498E-2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4.6824978077767948E-2</v>
      </c>
      <c r="AT151" s="12"/>
      <c r="AU151">
        <f t="shared" si="50"/>
        <v>1</v>
      </c>
      <c r="AV151">
        <f t="shared" si="51"/>
        <v>0</v>
      </c>
      <c r="AW151">
        <f t="shared" ref="AW151:AW176" si="58">AY151</f>
        <v>1</v>
      </c>
      <c r="AX151">
        <f t="shared" si="45"/>
        <v>1</v>
      </c>
      <c r="AY151">
        <f t="shared" ref="AY151:AY176" si="59">IF(AU150,1,IF(AV150,0,AW150))*AX150</f>
        <v>1</v>
      </c>
      <c r="AZ151" s="28">
        <f t="shared" si="52"/>
        <v>-2.52870761045721E-2</v>
      </c>
      <c r="BA151" s="28">
        <f t="shared" si="53"/>
        <v>1.62175909671088E-2</v>
      </c>
      <c r="BB151" s="28">
        <f t="shared" ref="BB151:BB176" si="60">AZ151+BA151</f>
        <v>-9.0694851374632998E-3</v>
      </c>
      <c r="BC151" s="29">
        <f t="shared" ref="BC151:BC176" si="61">BC150+BB151</f>
        <v>2.1798319119389894E-2</v>
      </c>
      <c r="BE151" s="29">
        <f t="shared" ref="BE151:BE176" si="62">AQ151+BB151</f>
        <v>-9.0694851374632998E-3</v>
      </c>
      <c r="BF151" s="29">
        <f t="shared" ref="BF151:BF176" si="63">BF150+BE151</f>
        <v>6.8623297197157845E-2</v>
      </c>
      <c r="BH151" s="29"/>
    </row>
    <row r="152" spans="1:60" x14ac:dyDescent="0.25">
      <c r="A152" s="1">
        <v>46244</v>
      </c>
      <c r="B152" s="33">
        <v>50.04</v>
      </c>
      <c r="C152" s="33">
        <v>53.29</v>
      </c>
      <c r="D152" s="15">
        <v>-3.9960040491781099E-4</v>
      </c>
      <c r="E152" s="15">
        <v>-3.1850144020820902E-3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50.04</v>
      </c>
      <c r="M152" s="33">
        <v>53.29</v>
      </c>
      <c r="N152" s="34">
        <v>1.0649480415667401</v>
      </c>
      <c r="O152" s="34">
        <v>1.0913821229076099</v>
      </c>
      <c r="P152" s="34">
        <v>1.0700737688441599</v>
      </c>
      <c r="Q152" s="34">
        <v>1.08369257931653</v>
      </c>
      <c r="R152" s="33">
        <v>54.612761430296999</v>
      </c>
      <c r="S152" s="33">
        <v>53.646545393750102</v>
      </c>
      <c r="T152" s="33">
        <v>54.298254066259403</v>
      </c>
      <c r="U152" s="15">
        <v>2.4518884962158798E-2</v>
      </c>
      <c r="V152" s="15">
        <v>6.6683791523904096E-3</v>
      </c>
      <c r="W152" s="15">
        <v>1.8743376638379699E-2</v>
      </c>
      <c r="X152" s="34">
        <v>1.0649480415667401</v>
      </c>
      <c r="Y152" s="34">
        <v>1.0913821229076099</v>
      </c>
      <c r="Z152" s="34">
        <v>1.0700737688441599</v>
      </c>
      <c r="AA152" s="34">
        <v>1.08369257931653</v>
      </c>
      <c r="AB152" s="33">
        <v>54.612761430296999</v>
      </c>
      <c r="AC152" s="33">
        <v>53.646545393750102</v>
      </c>
      <c r="AD152" s="33">
        <v>54.298254066259403</v>
      </c>
      <c r="AE152" s="15">
        <v>2.4518884962158798E-2</v>
      </c>
      <c r="AF152" s="15">
        <v>6.6683791523904096E-3</v>
      </c>
      <c r="AG152" s="15">
        <v>1.8743376638379699E-2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4.6824978077767948E-2</v>
      </c>
      <c r="AT152" s="12"/>
      <c r="AU152">
        <f t="shared" si="50"/>
        <v>1</v>
      </c>
      <c r="AV152">
        <f t="shared" si="51"/>
        <v>0</v>
      </c>
      <c r="AW152">
        <f t="shared" si="58"/>
        <v>1</v>
      </c>
      <c r="AX152">
        <f t="shared" si="45"/>
        <v>1</v>
      </c>
      <c r="AY152">
        <f t="shared" si="59"/>
        <v>1</v>
      </c>
      <c r="AZ152" s="28">
        <f t="shared" si="52"/>
        <v>3.9960040491781099E-4</v>
      </c>
      <c r="BA152" s="28">
        <f t="shared" si="53"/>
        <v>-3.1850144020820902E-3</v>
      </c>
      <c r="BB152" s="28">
        <f t="shared" si="60"/>
        <v>-2.7854139971642791E-3</v>
      </c>
      <c r="BC152" s="29">
        <f t="shared" si="61"/>
        <v>1.9012905122225615E-2</v>
      </c>
      <c r="BE152" s="29">
        <f t="shared" si="62"/>
        <v>-2.7854139971642791E-3</v>
      </c>
      <c r="BF152" s="29">
        <f t="shared" si="63"/>
        <v>6.5837883199993563E-2</v>
      </c>
      <c r="BH152" s="29"/>
    </row>
    <row r="153" spans="1:60" x14ac:dyDescent="0.25">
      <c r="A153" s="1">
        <v>46245</v>
      </c>
      <c r="B153" s="33">
        <v>50.96</v>
      </c>
      <c r="C153" s="33">
        <v>54.39</v>
      </c>
      <c r="D153" s="15">
        <v>1.8218325665197498E-2</v>
      </c>
      <c r="E153" s="15">
        <v>2.04316171261784E-2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50.96</v>
      </c>
      <c r="M153" s="33">
        <v>54.39</v>
      </c>
      <c r="N153" s="34">
        <v>1.0673076923076901</v>
      </c>
      <c r="O153" s="34">
        <v>1.0913821229076099</v>
      </c>
      <c r="P153" s="34">
        <v>1.06871182544479</v>
      </c>
      <c r="Q153" s="34">
        <v>1.08232486101332</v>
      </c>
      <c r="R153" s="33">
        <v>55.616832983371999</v>
      </c>
      <c r="S153" s="33">
        <v>54.530959260298403</v>
      </c>
      <c r="T153" s="33">
        <v>55.224973841970296</v>
      </c>
      <c r="U153" s="15">
        <v>2.2305593501177799E-2</v>
      </c>
      <c r="V153" s="15">
        <v>2.5882867714149202E-3</v>
      </c>
      <c r="W153" s="15">
        <v>1.52349622083724E-2</v>
      </c>
      <c r="X153" s="34">
        <v>1.0673076923076901</v>
      </c>
      <c r="Y153" s="34">
        <v>1.0913821229076099</v>
      </c>
      <c r="Z153" s="34">
        <v>1.06871182544479</v>
      </c>
      <c r="AA153" s="34">
        <v>1.08232486101332</v>
      </c>
      <c r="AB153" s="33">
        <v>55.616832983371999</v>
      </c>
      <c r="AC153" s="33">
        <v>54.530959260298403</v>
      </c>
      <c r="AD153" s="33">
        <v>55.224973841970296</v>
      </c>
      <c r="AE153" s="15">
        <v>2.2305593501177799E-2</v>
      </c>
      <c r="AF153" s="15">
        <v>2.5882867714149202E-3</v>
      </c>
      <c r="AG153" s="15">
        <v>1.52349622083724E-2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4.6824978077767948E-2</v>
      </c>
      <c r="AT153" s="12"/>
      <c r="AU153">
        <f t="shared" si="50"/>
        <v>1</v>
      </c>
      <c r="AV153">
        <f t="shared" si="51"/>
        <v>0</v>
      </c>
      <c r="AW153">
        <f t="shared" si="58"/>
        <v>1</v>
      </c>
      <c r="AX153">
        <f t="shared" si="45"/>
        <v>1</v>
      </c>
      <c r="AY153">
        <f t="shared" si="59"/>
        <v>1</v>
      </c>
      <c r="AZ153" s="28">
        <f t="shared" si="52"/>
        <v>-1.8218325665197498E-2</v>
      </c>
      <c r="BA153" s="28">
        <f t="shared" si="53"/>
        <v>2.04316171261784E-2</v>
      </c>
      <c r="BB153" s="28">
        <f t="shared" si="60"/>
        <v>2.2132914609809019E-3</v>
      </c>
      <c r="BC153" s="29">
        <f t="shared" si="61"/>
        <v>2.1226196583206517E-2</v>
      </c>
      <c r="BE153" s="29">
        <f t="shared" si="62"/>
        <v>2.2132914609809019E-3</v>
      </c>
      <c r="BF153" s="29">
        <f t="shared" si="63"/>
        <v>6.8051174660974462E-2</v>
      </c>
      <c r="BH153" s="29"/>
    </row>
    <row r="154" spans="1:60" x14ac:dyDescent="0.25">
      <c r="A154" s="1">
        <v>46246</v>
      </c>
      <c r="B154" s="33">
        <v>53</v>
      </c>
      <c r="C154" s="33">
        <v>56.56</v>
      </c>
      <c r="D154" s="15">
        <v>3.9250902288213901E-2</v>
      </c>
      <c r="E154" s="15">
        <v>3.9121708153448002E-2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53</v>
      </c>
      <c r="M154" s="33">
        <v>56.56</v>
      </c>
      <c r="N154" s="34">
        <v>1.06716981132075</v>
      </c>
      <c r="O154" s="34">
        <v>1.0913821229076099</v>
      </c>
      <c r="P154" s="34">
        <v>1.0684575119078601</v>
      </c>
      <c r="Q154" s="34">
        <v>1.08056439682117</v>
      </c>
      <c r="R154" s="33">
        <v>57.843252514103597</v>
      </c>
      <c r="S154" s="33">
        <v>56.6417267485743</v>
      </c>
      <c r="T154" s="33">
        <v>57.363217633706299</v>
      </c>
      <c r="U154" s="15">
        <v>2.2434787635943702E-2</v>
      </c>
      <c r="V154" s="15">
        <v>1.44391371264323E-3</v>
      </c>
      <c r="W154" s="15">
        <v>1.4101268556996E-2</v>
      </c>
      <c r="X154" s="34">
        <v>1.06716981132075</v>
      </c>
      <c r="Y154" s="34">
        <v>1.0913821229076099</v>
      </c>
      <c r="Z154" s="34">
        <v>1.0684575119078601</v>
      </c>
      <c r="AA154" s="34">
        <v>1.08056439682117</v>
      </c>
      <c r="AB154" s="33">
        <v>57.843252514103597</v>
      </c>
      <c r="AC154" s="33">
        <v>56.6417267485743</v>
      </c>
      <c r="AD154" s="33">
        <v>57.363217633706299</v>
      </c>
      <c r="AE154" s="15">
        <v>2.2434787635943702E-2</v>
      </c>
      <c r="AF154" s="15">
        <v>1.44391371264323E-3</v>
      </c>
      <c r="AG154" s="15">
        <v>1.4101268556996E-2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4.6824978077767948E-2</v>
      </c>
      <c r="AT154" s="12"/>
      <c r="AU154">
        <f t="shared" si="50"/>
        <v>0</v>
      </c>
      <c r="AV154">
        <f t="shared" si="51"/>
        <v>0</v>
      </c>
      <c r="AW154">
        <f t="shared" si="58"/>
        <v>1</v>
      </c>
      <c r="AX154">
        <f t="shared" si="45"/>
        <v>1</v>
      </c>
      <c r="AY154">
        <f t="shared" si="59"/>
        <v>1</v>
      </c>
      <c r="AZ154" s="28">
        <f t="shared" si="52"/>
        <v>-3.9250902288213901E-2</v>
      </c>
      <c r="BA154" s="28">
        <f t="shared" si="53"/>
        <v>3.9121708153448002E-2</v>
      </c>
      <c r="BB154" s="28">
        <f t="shared" si="60"/>
        <v>-1.2919413476589897E-4</v>
      </c>
      <c r="BC154" s="29">
        <f t="shared" si="61"/>
        <v>2.1097002448440618E-2</v>
      </c>
      <c r="BE154" s="29">
        <f t="shared" si="62"/>
        <v>-1.2919413476589897E-4</v>
      </c>
      <c r="BF154" s="29">
        <f t="shared" si="63"/>
        <v>6.792198052620857E-2</v>
      </c>
      <c r="BH154" s="29"/>
    </row>
    <row r="155" spans="1:60" x14ac:dyDescent="0.25">
      <c r="A155" s="1">
        <v>46247</v>
      </c>
      <c r="B155" s="33">
        <v>53.16</v>
      </c>
      <c r="C155" s="33">
        <v>56.69</v>
      </c>
      <c r="D155" s="15">
        <v>3.0143202929226501E-3</v>
      </c>
      <c r="E155" s="15">
        <v>2.29580674789496E-3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53.16</v>
      </c>
      <c r="M155" s="33">
        <v>56.69</v>
      </c>
      <c r="N155" s="34">
        <v>1.06640331075997</v>
      </c>
      <c r="O155" s="34">
        <v>1.0913821229076099</v>
      </c>
      <c r="P155" s="34">
        <v>1.06808996896811</v>
      </c>
      <c r="Q155" s="34">
        <v>1.0786425497324199</v>
      </c>
      <c r="R155" s="33">
        <v>58.017873653768802</v>
      </c>
      <c r="S155" s="33">
        <v>56.799201333021998</v>
      </c>
      <c r="T155" s="33">
        <v>57.4428033350136</v>
      </c>
      <c r="U155" s="15">
        <v>2.3153301180971499E-2</v>
      </c>
      <c r="V155" s="15">
        <v>1.92443625369184E-3</v>
      </c>
      <c r="W155" s="15">
        <v>1.3191899791780599E-2</v>
      </c>
      <c r="X155" s="34">
        <v>1.06640331075997</v>
      </c>
      <c r="Y155" s="34">
        <v>1.0913821229076099</v>
      </c>
      <c r="Z155" s="34">
        <v>1.06808996896811</v>
      </c>
      <c r="AA155" s="34">
        <v>1.0786425497324199</v>
      </c>
      <c r="AB155" s="33">
        <v>58.017873653768802</v>
      </c>
      <c r="AC155" s="33">
        <v>56.799201333021998</v>
      </c>
      <c r="AD155" s="33">
        <v>57.4428033350136</v>
      </c>
      <c r="AE155" s="15">
        <v>2.3153301180971499E-2</v>
      </c>
      <c r="AF155" s="15">
        <v>1.92443625369184E-3</v>
      </c>
      <c r="AG155" s="15">
        <v>1.3191899791780599E-2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4.6824978077767948E-2</v>
      </c>
      <c r="AT155" s="12"/>
      <c r="AU155">
        <f t="shared" si="50"/>
        <v>0</v>
      </c>
      <c r="AV155">
        <f t="shared" si="51"/>
        <v>0</v>
      </c>
      <c r="AW155">
        <f t="shared" si="58"/>
        <v>1</v>
      </c>
      <c r="AX155">
        <f t="shared" si="45"/>
        <v>1</v>
      </c>
      <c r="AY155">
        <f t="shared" si="59"/>
        <v>1</v>
      </c>
      <c r="AZ155" s="28">
        <f t="shared" si="52"/>
        <v>-3.0143202929226501E-3</v>
      </c>
      <c r="BA155" s="28">
        <f t="shared" si="53"/>
        <v>2.29580674789496E-3</v>
      </c>
      <c r="BB155" s="28">
        <f t="shared" si="60"/>
        <v>-7.1851354502769013E-4</v>
      </c>
      <c r="BC155" s="29">
        <f t="shared" si="61"/>
        <v>2.0378488903412928E-2</v>
      </c>
      <c r="BE155" s="29">
        <f t="shared" si="62"/>
        <v>-7.1851354502769013E-4</v>
      </c>
      <c r="BF155" s="29">
        <f t="shared" si="63"/>
        <v>6.7203466981180876E-2</v>
      </c>
      <c r="BH155" s="29"/>
    </row>
    <row r="156" spans="1:60" x14ac:dyDescent="0.25">
      <c r="A156" s="1">
        <v>46248</v>
      </c>
      <c r="B156" s="33">
        <v>53.58</v>
      </c>
      <c r="C156" s="33">
        <v>57.33</v>
      </c>
      <c r="D156" s="15">
        <v>7.8696302714180901E-3</v>
      </c>
      <c r="E156" s="15">
        <v>1.1226218584079101E-2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53.58</v>
      </c>
      <c r="M156" s="33">
        <v>57.33</v>
      </c>
      <c r="N156" s="34">
        <v>1.0699888017917101</v>
      </c>
      <c r="O156" s="34">
        <v>1.0913821229076099</v>
      </c>
      <c r="P156" s="34">
        <v>1.06804576435483</v>
      </c>
      <c r="Q156" s="34">
        <v>1.0773026557143801</v>
      </c>
      <c r="R156" s="33">
        <v>58.476254145390001</v>
      </c>
      <c r="S156" s="33">
        <v>57.228260537311499</v>
      </c>
      <c r="T156" s="33">
        <v>57.7936678146635</v>
      </c>
      <c r="U156" s="15">
        <v>1.9796712868310602E-2</v>
      </c>
      <c r="V156" s="15">
        <v>-1.77620520701872E-3</v>
      </c>
      <c r="W156" s="15">
        <v>8.0551693771064997E-3</v>
      </c>
      <c r="X156" s="34">
        <v>1.0699888017917101</v>
      </c>
      <c r="Y156" s="34">
        <v>1.0913821229076099</v>
      </c>
      <c r="Z156" s="34">
        <v>1.06804576435483</v>
      </c>
      <c r="AA156" s="34">
        <v>1.0773026557143801</v>
      </c>
      <c r="AB156" s="33">
        <v>58.476254145390001</v>
      </c>
      <c r="AC156" s="33">
        <v>57.228260537311499</v>
      </c>
      <c r="AD156" s="33">
        <v>57.7936678146635</v>
      </c>
      <c r="AE156" s="15">
        <v>1.9796712868310602E-2</v>
      </c>
      <c r="AF156" s="15">
        <v>-1.77620520701872E-3</v>
      </c>
      <c r="AG156" s="15">
        <v>8.0551693771064997E-3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4.6824978077767948E-2</v>
      </c>
      <c r="AT156" s="12"/>
      <c r="AU156">
        <f t="shared" si="50"/>
        <v>0</v>
      </c>
      <c r="AV156">
        <f t="shared" si="51"/>
        <v>0</v>
      </c>
      <c r="AW156">
        <f t="shared" si="58"/>
        <v>1</v>
      </c>
      <c r="AX156">
        <f t="shared" si="45"/>
        <v>1</v>
      </c>
      <c r="AY156">
        <f t="shared" si="59"/>
        <v>1</v>
      </c>
      <c r="AZ156" s="28">
        <f t="shared" si="52"/>
        <v>-7.8696302714180901E-3</v>
      </c>
      <c r="BA156" s="28">
        <f t="shared" si="53"/>
        <v>1.1226218584079101E-2</v>
      </c>
      <c r="BB156" s="28">
        <f t="shared" si="60"/>
        <v>3.3565883126610106E-3</v>
      </c>
      <c r="BC156" s="29">
        <f t="shared" si="61"/>
        <v>2.3735077216073937E-2</v>
      </c>
      <c r="BE156" s="29">
        <f t="shared" si="62"/>
        <v>3.3565883126610106E-3</v>
      </c>
      <c r="BF156" s="29">
        <f t="shared" si="63"/>
        <v>7.0560055293841892E-2</v>
      </c>
      <c r="BH156" s="29"/>
    </row>
    <row r="157" spans="1:60" x14ac:dyDescent="0.25">
      <c r="A157" s="1">
        <v>46251</v>
      </c>
      <c r="B157" s="33">
        <v>52.72</v>
      </c>
      <c r="C157" s="33">
        <v>56.12</v>
      </c>
      <c r="D157" s="15">
        <v>-1.6180973922210799E-2</v>
      </c>
      <c r="E157" s="15">
        <v>-2.13317916860312E-2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52.72</v>
      </c>
      <c r="M157" s="33">
        <v>56.12</v>
      </c>
      <c r="N157" s="34">
        <v>1.0644916540212399</v>
      </c>
      <c r="O157" s="34">
        <v>1.0913821229076099</v>
      </c>
      <c r="P157" s="34">
        <v>1.0677092855129899</v>
      </c>
      <c r="Q157" s="34">
        <v>1.07552040648103</v>
      </c>
      <c r="R157" s="33">
        <v>57.537665519689398</v>
      </c>
      <c r="S157" s="33">
        <v>56.307372696787098</v>
      </c>
      <c r="T157" s="33">
        <v>56.795396009262397</v>
      </c>
      <c r="U157" s="15">
        <v>2.4947530632130899E-2</v>
      </c>
      <c r="V157" s="15">
        <v>3.3332250994497301E-3</v>
      </c>
      <c r="W157" s="15">
        <v>1.1963011032659799E-2</v>
      </c>
      <c r="X157" s="34">
        <v>1.0644916540212399</v>
      </c>
      <c r="Y157" s="34">
        <v>1.0913821229076099</v>
      </c>
      <c r="Z157" s="34">
        <v>1.0677092855129899</v>
      </c>
      <c r="AA157" s="34">
        <v>1.07552040648103</v>
      </c>
      <c r="AB157" s="33">
        <v>57.537665519689398</v>
      </c>
      <c r="AC157" s="33">
        <v>56.307372696787098</v>
      </c>
      <c r="AD157" s="33">
        <v>56.795396009262397</v>
      </c>
      <c r="AE157" s="15">
        <v>2.4947530632130899E-2</v>
      </c>
      <c r="AF157" s="15">
        <v>3.3332250994497301E-3</v>
      </c>
      <c r="AG157" s="15">
        <v>1.1963011032659799E-2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4.6824978077767948E-2</v>
      </c>
      <c r="AT157" s="12"/>
      <c r="AU157">
        <f t="shared" si="50"/>
        <v>0</v>
      </c>
      <c r="AV157">
        <f t="shared" si="51"/>
        <v>0</v>
      </c>
      <c r="AW157">
        <f t="shared" si="58"/>
        <v>1</v>
      </c>
      <c r="AX157">
        <f t="shared" si="45"/>
        <v>1</v>
      </c>
      <c r="AY157">
        <f t="shared" si="59"/>
        <v>1</v>
      </c>
      <c r="AZ157" s="28">
        <f t="shared" si="52"/>
        <v>1.6180973922210799E-2</v>
      </c>
      <c r="BA157" s="28">
        <f t="shared" si="53"/>
        <v>-2.13317916860312E-2</v>
      </c>
      <c r="BB157" s="28">
        <f t="shared" si="60"/>
        <v>-5.1508177638204013E-3</v>
      </c>
      <c r="BC157" s="29">
        <f t="shared" si="61"/>
        <v>1.8584259452253536E-2</v>
      </c>
      <c r="BE157" s="29">
        <f t="shared" si="62"/>
        <v>-5.1508177638204013E-3</v>
      </c>
      <c r="BF157" s="29">
        <f t="shared" si="63"/>
        <v>6.5409237530021494E-2</v>
      </c>
      <c r="BH157" s="29"/>
    </row>
    <row r="158" spans="1:60" x14ac:dyDescent="0.25">
      <c r="A158" s="1">
        <v>46252</v>
      </c>
      <c r="B158" s="33">
        <v>52.31</v>
      </c>
      <c r="C158" s="33">
        <v>56.43</v>
      </c>
      <c r="D158" s="15">
        <v>-7.8073328117320403E-3</v>
      </c>
      <c r="E158" s="15">
        <v>5.5086767467884901E-3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52.31</v>
      </c>
      <c r="M158" s="33">
        <v>56.43</v>
      </c>
      <c r="N158" s="34">
        <v>1.0787612311221499</v>
      </c>
      <c r="O158" s="34">
        <v>1.0913821229076099</v>
      </c>
      <c r="P158" s="34">
        <v>1.0685541586252001</v>
      </c>
      <c r="Q158" s="34">
        <v>1.07426856944895</v>
      </c>
      <c r="R158" s="33">
        <v>57.090198849297302</v>
      </c>
      <c r="S158" s="33">
        <v>55.851872725184698</v>
      </c>
      <c r="T158" s="33">
        <v>56.2604724630229</v>
      </c>
      <c r="U158" s="15">
        <v>1.1631521073610301E-2</v>
      </c>
      <c r="V158" s="15">
        <v>-1.0297875690764201E-2</v>
      </c>
      <c r="W158" s="15">
        <v>-3.0087311049196998E-3</v>
      </c>
      <c r="X158" s="34">
        <v>1.0787612311221499</v>
      </c>
      <c r="Y158" s="34">
        <v>1.0913821229076099</v>
      </c>
      <c r="Z158" s="34">
        <v>1.0685541586252001</v>
      </c>
      <c r="AA158" s="34">
        <v>1.07426856944895</v>
      </c>
      <c r="AB158" s="33">
        <v>57.090198849297302</v>
      </c>
      <c r="AC158" s="33">
        <v>55.851872725184698</v>
      </c>
      <c r="AD158" s="33">
        <v>56.2604724630229</v>
      </c>
      <c r="AE158" s="15">
        <v>1.1631521073610301E-2</v>
      </c>
      <c r="AF158" s="15">
        <v>-1.0297875690764201E-2</v>
      </c>
      <c r="AG158" s="15">
        <v>-3.0087311049196998E-3</v>
      </c>
      <c r="AI158" s="12"/>
      <c r="AJ158">
        <f t="shared" si="46"/>
        <v>0</v>
      </c>
      <c r="AK158">
        <f t="shared" si="47"/>
        <v>0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4.6824978077767948E-2</v>
      </c>
      <c r="AT158" s="12"/>
      <c r="AU158">
        <f t="shared" si="50"/>
        <v>0</v>
      </c>
      <c r="AV158">
        <f t="shared" si="51"/>
        <v>1</v>
      </c>
      <c r="AW158">
        <f t="shared" si="58"/>
        <v>1</v>
      </c>
      <c r="AX158">
        <f t="shared" si="45"/>
        <v>1</v>
      </c>
      <c r="AY158">
        <f t="shared" si="59"/>
        <v>1</v>
      </c>
      <c r="AZ158" s="28">
        <f t="shared" si="52"/>
        <v>7.8073328117320403E-3</v>
      </c>
      <c r="BA158" s="28">
        <f t="shared" si="53"/>
        <v>5.5086767467884901E-3</v>
      </c>
      <c r="BB158" s="28">
        <f t="shared" si="60"/>
        <v>1.331600955852053E-2</v>
      </c>
      <c r="BC158" s="29">
        <f t="shared" si="61"/>
        <v>3.1900269010774064E-2</v>
      </c>
      <c r="BE158" s="29">
        <f t="shared" si="62"/>
        <v>1.331600955852053E-2</v>
      </c>
      <c r="BF158" s="29">
        <f t="shared" si="63"/>
        <v>7.8725247088542019E-2</v>
      </c>
      <c r="BH158" s="29"/>
    </row>
    <row r="159" spans="1:60" x14ac:dyDescent="0.25">
      <c r="A159" s="1">
        <v>46253</v>
      </c>
      <c r="B159" s="33">
        <v>53.56</v>
      </c>
      <c r="C159" s="33">
        <v>57.24</v>
      </c>
      <c r="D159" s="15">
        <v>2.3614963440452101E-2</v>
      </c>
      <c r="E159" s="15">
        <v>1.4252022707201399E-2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53.56</v>
      </c>
      <c r="M159" s="33">
        <v>57.24</v>
      </c>
      <c r="N159" s="34">
        <v>1.0687079910380799</v>
      </c>
      <c r="O159" s="34">
        <v>1.0913821229076099</v>
      </c>
      <c r="P159" s="34">
        <v>1.0693345054677099</v>
      </c>
      <c r="Q159" s="34">
        <v>1.0726790437765299</v>
      </c>
      <c r="R159" s="33">
        <v>58.454426502931803</v>
      </c>
      <c r="S159" s="33">
        <v>57.231760735966198</v>
      </c>
      <c r="T159" s="33">
        <v>57.537824579686003</v>
      </c>
      <c r="U159" s="15">
        <v>2.0994461806861001E-2</v>
      </c>
      <c r="V159" s="15">
        <v>-1.4395277918375301E-4</v>
      </c>
      <c r="W159" s="15">
        <v>5.1895956242695397E-3</v>
      </c>
      <c r="X159" s="34">
        <v>1.0687079910380799</v>
      </c>
      <c r="Y159" s="34">
        <v>1.0913821229076099</v>
      </c>
      <c r="Z159" s="34">
        <v>1.0693345054677099</v>
      </c>
      <c r="AA159" s="34">
        <v>1.0726790437765299</v>
      </c>
      <c r="AB159" s="33">
        <v>58.454426502931803</v>
      </c>
      <c r="AC159" s="33">
        <v>57.231760735966198</v>
      </c>
      <c r="AD159" s="33">
        <v>57.537824579686003</v>
      </c>
      <c r="AE159" s="15">
        <v>2.0994461806861001E-2</v>
      </c>
      <c r="AF159" s="15">
        <v>-1.4395277918375301E-4</v>
      </c>
      <c r="AG159" s="15">
        <v>5.1895956242695397E-3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4.6824978077767948E-2</v>
      </c>
      <c r="AT159" s="12"/>
      <c r="AU159">
        <f t="shared" si="50"/>
        <v>0</v>
      </c>
      <c r="AV159">
        <f t="shared" si="51"/>
        <v>0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3.1900269010774064E-2</v>
      </c>
      <c r="BE159" s="29">
        <f t="shared" si="62"/>
        <v>0</v>
      </c>
      <c r="BF159" s="29">
        <f t="shared" si="63"/>
        <v>7.8725247088542019E-2</v>
      </c>
      <c r="BH159" s="29"/>
    </row>
    <row r="160" spans="1:60" x14ac:dyDescent="0.25">
      <c r="A160" s="1">
        <v>46254</v>
      </c>
      <c r="B160" s="33">
        <v>52.98</v>
      </c>
      <c r="C160" s="33">
        <v>56.98</v>
      </c>
      <c r="D160" s="15">
        <v>-1.08880369790482E-2</v>
      </c>
      <c r="E160" s="15">
        <v>-4.5526256184880197E-3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52.98</v>
      </c>
      <c r="M160" s="33">
        <v>56.98</v>
      </c>
      <c r="N160" s="34">
        <v>1.07550018875047</v>
      </c>
      <c r="O160" s="34">
        <v>1.0913821229076099</v>
      </c>
      <c r="P160" s="34">
        <v>1.0691197220481401</v>
      </c>
      <c r="Q160" s="34">
        <v>1.07193405321405</v>
      </c>
      <c r="R160" s="33">
        <v>57.821424871645398</v>
      </c>
      <c r="S160" s="33">
        <v>56.6533420996793</v>
      </c>
      <c r="T160" s="33">
        <v>56.830535739280599</v>
      </c>
      <c r="U160" s="15">
        <v>1.46590504463005E-2</v>
      </c>
      <c r="V160" s="15">
        <v>-5.7493477546399401E-3</v>
      </c>
      <c r="W160" s="15">
        <v>-2.6265467546528099E-3</v>
      </c>
      <c r="X160" s="34">
        <v>1.07550018875047</v>
      </c>
      <c r="Y160" s="34">
        <v>1.0913821229076099</v>
      </c>
      <c r="Z160" s="34">
        <v>1.0691197220481401</v>
      </c>
      <c r="AA160" s="34">
        <v>1.07193405321405</v>
      </c>
      <c r="AB160" s="33">
        <v>57.821424871645398</v>
      </c>
      <c r="AC160" s="33">
        <v>56.6533420996793</v>
      </c>
      <c r="AD160" s="33">
        <v>56.830535739280599</v>
      </c>
      <c r="AE160" s="15">
        <v>1.46590504463005E-2</v>
      </c>
      <c r="AF160" s="15">
        <v>-5.7493477546399401E-3</v>
      </c>
      <c r="AG160" s="15">
        <v>-2.6265467546528099E-3</v>
      </c>
      <c r="AI160" s="12"/>
      <c r="AJ160">
        <f t="shared" si="46"/>
        <v>0</v>
      </c>
      <c r="AK160">
        <f t="shared" si="47"/>
        <v>0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4.6824978077767948E-2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3.1900269010774064E-2</v>
      </c>
      <c r="BE160" s="29">
        <f t="shared" si="62"/>
        <v>0</v>
      </c>
      <c r="BF160" s="29">
        <f t="shared" si="63"/>
        <v>7.8725247088542019E-2</v>
      </c>
      <c r="BH160" s="29"/>
    </row>
    <row r="161" spans="1:60" x14ac:dyDescent="0.25">
      <c r="A161" s="1">
        <v>46255</v>
      </c>
      <c r="B161" s="33">
        <v>51.93</v>
      </c>
      <c r="C161" s="33">
        <v>56.67</v>
      </c>
      <c r="D161" s="15">
        <v>-2.0017825987696001E-2</v>
      </c>
      <c r="E161" s="15">
        <v>-5.4553588882342496E-3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51.93</v>
      </c>
      <c r="M161" s="33">
        <v>56.67</v>
      </c>
      <c r="N161" s="34">
        <v>1.0912767186597301</v>
      </c>
      <c r="O161" s="34">
        <v>1.0913821229076099</v>
      </c>
      <c r="P161" s="34">
        <v>1.07145554413385</v>
      </c>
      <c r="Q161" s="34">
        <v>1.0717643967047199</v>
      </c>
      <c r="R161" s="33">
        <v>56.675473642592401</v>
      </c>
      <c r="S161" s="33">
        <v>55.519387165960197</v>
      </c>
      <c r="T161" s="33">
        <v>55.665535383405903</v>
      </c>
      <c r="U161" s="15">
        <v>9.6583346838918094E-5</v>
      </c>
      <c r="V161" s="15">
        <v>-2.05126921209829E-2</v>
      </c>
      <c r="W161" s="15">
        <v>-1.7883769093171801E-2</v>
      </c>
      <c r="X161" s="34">
        <v>1.0912767186597301</v>
      </c>
      <c r="Y161" s="34">
        <v>1.0913821229076099</v>
      </c>
      <c r="Z161" s="34">
        <v>1.07145554413385</v>
      </c>
      <c r="AA161" s="34">
        <v>1.0717643967047199</v>
      </c>
      <c r="AB161" s="33">
        <v>56.675473642592401</v>
      </c>
      <c r="AC161" s="33">
        <v>55.519387165960197</v>
      </c>
      <c r="AD161" s="33">
        <v>55.665535383405903</v>
      </c>
      <c r="AE161" s="15">
        <v>9.6583346838918094E-5</v>
      </c>
      <c r="AF161" s="15">
        <v>-2.05126921209829E-2</v>
      </c>
      <c r="AG161" s="15">
        <v>-1.7883769093171801E-2</v>
      </c>
      <c r="AI161" s="12"/>
      <c r="AJ161">
        <f t="shared" si="46"/>
        <v>1</v>
      </c>
      <c r="AK161">
        <f t="shared" si="47"/>
        <v>0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4.6824978077767948E-2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3.1900269010774064E-2</v>
      </c>
      <c r="BE161" s="29">
        <f t="shared" si="62"/>
        <v>0</v>
      </c>
      <c r="BF161" s="29">
        <f t="shared" si="63"/>
        <v>7.8725247088542019E-2</v>
      </c>
      <c r="BH161" s="29"/>
    </row>
    <row r="162" spans="1:60" x14ac:dyDescent="0.25">
      <c r="A162" s="1">
        <v>46258</v>
      </c>
      <c r="B162" s="33">
        <v>52.5</v>
      </c>
      <c r="C162" s="33">
        <v>57.36</v>
      </c>
      <c r="D162" s="15">
        <v>1.09165117413504E-2</v>
      </c>
      <c r="E162" s="15">
        <v>1.2102226109837E-2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52.5</v>
      </c>
      <c r="M162" s="33">
        <v>57.36</v>
      </c>
      <c r="N162" s="34">
        <v>1.0925714285714201</v>
      </c>
      <c r="O162" s="34">
        <v>1.0913821229076099</v>
      </c>
      <c r="P162" s="34">
        <v>1.0742178828343201</v>
      </c>
      <c r="Q162" s="34">
        <v>1.07214582583924</v>
      </c>
      <c r="R162" s="33">
        <v>57.297561452649802</v>
      </c>
      <c r="S162" s="33">
        <v>56.251416067027499</v>
      </c>
      <c r="T162" s="33">
        <v>56.267630826997703</v>
      </c>
      <c r="U162" s="15">
        <v>-1.08913102164753E-3</v>
      </c>
      <c r="V162" s="15">
        <v>-1.9515980998774999E-2</v>
      </c>
      <c r="W162" s="15">
        <v>-1.9227767393521E-2</v>
      </c>
      <c r="X162" s="34">
        <v>1.0925714285714201</v>
      </c>
      <c r="Y162" s="34">
        <v>1.0913821229076099</v>
      </c>
      <c r="Z162" s="34">
        <v>1.0742178828343201</v>
      </c>
      <c r="AA162" s="34">
        <v>1.07214582583924</v>
      </c>
      <c r="AB162" s="33">
        <v>57.297561452649802</v>
      </c>
      <c r="AC162" s="33">
        <v>56.251416067027499</v>
      </c>
      <c r="AD162" s="33">
        <v>56.267630826997703</v>
      </c>
      <c r="AE162" s="15">
        <v>-1.08913102164753E-3</v>
      </c>
      <c r="AF162" s="15">
        <v>-1.9515980998774999E-2</v>
      </c>
      <c r="AG162" s="15">
        <v>-1.9227767393521E-2</v>
      </c>
      <c r="AI162" s="12"/>
      <c r="AJ162">
        <f t="shared" si="46"/>
        <v>1</v>
      </c>
      <c r="AK162">
        <f t="shared" si="47"/>
        <v>0</v>
      </c>
      <c r="AL162">
        <f t="shared" si="54"/>
        <v>1</v>
      </c>
      <c r="AM162">
        <f t="shared" si="44"/>
        <v>1</v>
      </c>
      <c r="AN162">
        <f t="shared" si="55"/>
        <v>1</v>
      </c>
      <c r="AO162" s="28">
        <f t="shared" si="48"/>
        <v>1.09165117413504E-2</v>
      </c>
      <c r="AP162" s="28">
        <f t="shared" si="49"/>
        <v>-1.2102226109837E-2</v>
      </c>
      <c r="AQ162" s="28">
        <f t="shared" si="56"/>
        <v>-1.1857143684865998E-3</v>
      </c>
      <c r="AR162" s="29">
        <f t="shared" si="57"/>
        <v>4.5639263709281348E-2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3.1900269010774064E-2</v>
      </c>
      <c r="BE162" s="29">
        <f t="shared" si="62"/>
        <v>-1.1857143684865998E-3</v>
      </c>
      <c r="BF162" s="29">
        <f t="shared" si="63"/>
        <v>7.7539532720055426E-2</v>
      </c>
      <c r="BH162" s="29"/>
    </row>
    <row r="163" spans="1:60" x14ac:dyDescent="0.25">
      <c r="A163" s="1">
        <v>46259</v>
      </c>
      <c r="B163" s="33">
        <v>52.97</v>
      </c>
      <c r="C163" s="33">
        <v>57.79</v>
      </c>
      <c r="D163" s="15">
        <v>8.9125459588571196E-3</v>
      </c>
      <c r="E163" s="15">
        <v>7.4685540383217499E-3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52.97</v>
      </c>
      <c r="M163" s="33">
        <v>57.79</v>
      </c>
      <c r="N163" s="34">
        <v>1.09099490277515</v>
      </c>
      <c r="O163" s="34">
        <v>1.0913821229076099</v>
      </c>
      <c r="P163" s="34">
        <v>1.0765866038810701</v>
      </c>
      <c r="Q163" s="34">
        <v>1.0726492146629301</v>
      </c>
      <c r="R163" s="33">
        <v>57.810511050416302</v>
      </c>
      <c r="S163" s="33">
        <v>56.901321253734203</v>
      </c>
      <c r="T163" s="33">
        <v>56.7915643947047</v>
      </c>
      <c r="U163" s="15">
        <v>3.5486089888795899E-4</v>
      </c>
      <c r="V163" s="15">
        <v>-1.5497188838978101E-2</v>
      </c>
      <c r="W163" s="15">
        <v>-1.74279498096374E-2</v>
      </c>
      <c r="X163" s="34">
        <v>1.09099490277515</v>
      </c>
      <c r="Y163" s="34">
        <v>1.0913821229076099</v>
      </c>
      <c r="Z163" s="34">
        <v>1.0765866038810701</v>
      </c>
      <c r="AA163" s="34">
        <v>1.0726492146629301</v>
      </c>
      <c r="AB163" s="33">
        <v>57.810511050416302</v>
      </c>
      <c r="AC163" s="33">
        <v>56.901321253734203</v>
      </c>
      <c r="AD163" s="33">
        <v>56.7915643947047</v>
      </c>
      <c r="AE163" s="15">
        <v>3.5486089888795899E-4</v>
      </c>
      <c r="AF163" s="15">
        <v>-1.5497188838978101E-2</v>
      </c>
      <c r="AG163" s="15">
        <v>-1.74279498096374E-2</v>
      </c>
      <c r="AI163" s="12"/>
      <c r="AJ163">
        <f t="shared" si="46"/>
        <v>1</v>
      </c>
      <c r="AK163">
        <f t="shared" si="47"/>
        <v>0</v>
      </c>
      <c r="AL163">
        <f t="shared" si="54"/>
        <v>1</v>
      </c>
      <c r="AM163">
        <f t="shared" si="44"/>
        <v>1</v>
      </c>
      <c r="AN163">
        <f t="shared" si="55"/>
        <v>1</v>
      </c>
      <c r="AO163" s="28">
        <f t="shared" si="48"/>
        <v>8.9125459588571196E-3</v>
      </c>
      <c r="AP163" s="28">
        <f t="shared" si="49"/>
        <v>-7.4685540383217499E-3</v>
      </c>
      <c r="AQ163" s="28">
        <f t="shared" si="56"/>
        <v>1.4439919205353697E-3</v>
      </c>
      <c r="AR163" s="29">
        <f t="shared" si="57"/>
        <v>4.7083255629816717E-2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3.1900269010774064E-2</v>
      </c>
      <c r="BE163" s="29">
        <f t="shared" si="62"/>
        <v>1.4439919205353697E-3</v>
      </c>
      <c r="BF163" s="29">
        <f t="shared" si="63"/>
        <v>7.8983524640590802E-2</v>
      </c>
      <c r="BH163" s="29"/>
    </row>
    <row r="164" spans="1:60" x14ac:dyDescent="0.25">
      <c r="A164" s="1">
        <v>46260</v>
      </c>
      <c r="B164" s="33">
        <v>51.65</v>
      </c>
      <c r="C164" s="33">
        <v>56.55</v>
      </c>
      <c r="D164" s="15">
        <v>-2.52355199907877E-2</v>
      </c>
      <c r="E164" s="15">
        <v>-2.1690547767557099E-2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51.65</v>
      </c>
      <c r="M164" s="33">
        <v>56.55</v>
      </c>
      <c r="N164" s="34">
        <v>1.0948693126815101</v>
      </c>
      <c r="O164" s="34">
        <v>1.0913821229076099</v>
      </c>
      <c r="P164" s="34">
        <v>1.0793565540171399</v>
      </c>
      <c r="Q164" s="34">
        <v>1.0739070329625</v>
      </c>
      <c r="R164" s="33">
        <v>56.369886648178301</v>
      </c>
      <c r="S164" s="33">
        <v>55.605698090457302</v>
      </c>
      <c r="T164" s="33">
        <v>55.402331937340598</v>
      </c>
      <c r="U164" s="15">
        <v>-3.1901113243426398E-3</v>
      </c>
      <c r="V164" s="15">
        <v>-1.6839522915363201E-2</v>
      </c>
      <c r="W164" s="15">
        <v>-2.0503516962985701E-2</v>
      </c>
      <c r="X164" s="34">
        <v>1.0948693126815101</v>
      </c>
      <c r="Y164" s="34">
        <v>1.0913821229076099</v>
      </c>
      <c r="Z164" s="34">
        <v>1.0793565540171399</v>
      </c>
      <c r="AA164" s="34">
        <v>1.0739070329625</v>
      </c>
      <c r="AB164" s="33">
        <v>56.369886648178301</v>
      </c>
      <c r="AC164" s="33">
        <v>55.605698090457302</v>
      </c>
      <c r="AD164" s="33">
        <v>55.402331937340598</v>
      </c>
      <c r="AE164" s="15">
        <v>-3.1901113243426398E-3</v>
      </c>
      <c r="AF164" s="15">
        <v>-1.6839522915363201E-2</v>
      </c>
      <c r="AG164" s="15">
        <v>-2.0503516962985701E-2</v>
      </c>
      <c r="AI164" s="12"/>
      <c r="AJ164">
        <f t="shared" si="46"/>
        <v>1</v>
      </c>
      <c r="AK164">
        <f t="shared" si="47"/>
        <v>0</v>
      </c>
      <c r="AL164">
        <f t="shared" si="54"/>
        <v>1</v>
      </c>
      <c r="AM164">
        <f t="shared" si="44"/>
        <v>1</v>
      </c>
      <c r="AN164">
        <f t="shared" si="55"/>
        <v>1</v>
      </c>
      <c r="AO164" s="28">
        <f t="shared" si="48"/>
        <v>-2.52355199907877E-2</v>
      </c>
      <c r="AP164" s="28">
        <f t="shared" si="49"/>
        <v>2.1690547767557099E-2</v>
      </c>
      <c r="AQ164" s="28">
        <f t="shared" si="56"/>
        <v>-3.5449722232306011E-3</v>
      </c>
      <c r="AR164" s="29">
        <f t="shared" si="57"/>
        <v>4.3538283406586116E-2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3.1900269010774064E-2</v>
      </c>
      <c r="BE164" s="29">
        <f t="shared" si="62"/>
        <v>-3.5449722232306011E-3</v>
      </c>
      <c r="BF164" s="29">
        <f t="shared" si="63"/>
        <v>7.5438552417360194E-2</v>
      </c>
      <c r="BH164" s="29"/>
    </row>
    <row r="165" spans="1:60" x14ac:dyDescent="0.25">
      <c r="A165" s="1">
        <v>46261</v>
      </c>
      <c r="B165" s="33">
        <v>50.83</v>
      </c>
      <c r="C165" s="33">
        <v>55.76</v>
      </c>
      <c r="D165" s="15">
        <v>-1.6003464106836399E-2</v>
      </c>
      <c r="E165" s="15">
        <v>-1.4068436109861001E-2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50.83</v>
      </c>
      <c r="M165" s="33">
        <v>55.76</v>
      </c>
      <c r="N165" s="34">
        <v>1.0969899665551801</v>
      </c>
      <c r="O165" s="34">
        <v>1.0913821229076099</v>
      </c>
      <c r="P165" s="34">
        <v>1.0824152195966601</v>
      </c>
      <c r="Q165" s="34">
        <v>1.0752525942823901</v>
      </c>
      <c r="R165" s="33">
        <v>55.474953307394003</v>
      </c>
      <c r="S165" s="33">
        <v>54.863693640691501</v>
      </c>
      <c r="T165" s="33">
        <v>54.586694485484102</v>
      </c>
      <c r="U165" s="15">
        <v>-5.1251393213179201E-3</v>
      </c>
      <c r="V165" s="15">
        <v>-1.620495472419E-2</v>
      </c>
      <c r="W165" s="15">
        <v>-2.1266604140871E-2</v>
      </c>
      <c r="X165" s="34">
        <v>1.0969899665551801</v>
      </c>
      <c r="Y165" s="34">
        <v>1.0913821229076099</v>
      </c>
      <c r="Z165" s="34">
        <v>1.0824152195966601</v>
      </c>
      <c r="AA165" s="34">
        <v>1.0752525942823901</v>
      </c>
      <c r="AB165" s="33">
        <v>55.474953307394003</v>
      </c>
      <c r="AC165" s="33">
        <v>54.863693640691501</v>
      </c>
      <c r="AD165" s="33">
        <v>54.586694485484102</v>
      </c>
      <c r="AE165" s="15">
        <v>-5.1251393213179201E-3</v>
      </c>
      <c r="AF165" s="15">
        <v>-1.620495472419E-2</v>
      </c>
      <c r="AG165" s="15">
        <v>-2.1266604140871E-2</v>
      </c>
      <c r="AI165" s="12"/>
      <c r="AJ165">
        <f t="shared" si="46"/>
        <v>1</v>
      </c>
      <c r="AK165">
        <f t="shared" si="47"/>
        <v>0</v>
      </c>
      <c r="AL165">
        <f t="shared" si="54"/>
        <v>1</v>
      </c>
      <c r="AM165">
        <f t="shared" si="44"/>
        <v>1</v>
      </c>
      <c r="AN165">
        <f t="shared" si="55"/>
        <v>1</v>
      </c>
      <c r="AO165" s="28">
        <f t="shared" si="48"/>
        <v>-1.6003464106836399E-2</v>
      </c>
      <c r="AP165" s="28">
        <f t="shared" si="49"/>
        <v>1.4068436109861001E-2</v>
      </c>
      <c r="AQ165" s="28">
        <f t="shared" si="56"/>
        <v>-1.9350279969753987E-3</v>
      </c>
      <c r="AR165" s="29">
        <f t="shared" si="57"/>
        <v>4.1603255409610719E-2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3.1900269010774064E-2</v>
      </c>
      <c r="BE165" s="29">
        <f t="shared" si="62"/>
        <v>-1.9350279969753987E-3</v>
      </c>
      <c r="BF165" s="29">
        <f t="shared" si="63"/>
        <v>7.3503524420384797E-2</v>
      </c>
      <c r="BH165" s="29"/>
    </row>
    <row r="166" spans="1:60" x14ac:dyDescent="0.25">
      <c r="A166" s="1">
        <v>46262</v>
      </c>
      <c r="B166" s="33">
        <v>50.55</v>
      </c>
      <c r="C166" s="33">
        <v>55.72</v>
      </c>
      <c r="D166" s="15">
        <v>-5.52378599233072E-3</v>
      </c>
      <c r="E166" s="15">
        <v>-7.1761754066350597E-4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50.55</v>
      </c>
      <c r="M166" s="33">
        <v>55.72</v>
      </c>
      <c r="N166" s="34">
        <v>1.102274975272</v>
      </c>
      <c r="O166" s="34">
        <v>1.0913821229076099</v>
      </c>
      <c r="P166" s="34">
        <v>1.0856438369446899</v>
      </c>
      <c r="Q166" s="34">
        <v>1.07684480064976</v>
      </c>
      <c r="R166" s="33">
        <v>55.169366312979903</v>
      </c>
      <c r="S166" s="33">
        <v>54.716089350611497</v>
      </c>
      <c r="T166" s="33">
        <v>54.3540186409748</v>
      </c>
      <c r="U166" s="15">
        <v>-9.9313077729852803E-3</v>
      </c>
      <c r="V166" s="15">
        <v>-1.8181344697006E-2</v>
      </c>
      <c r="W166" s="15">
        <v>-2.4820598041480402E-2</v>
      </c>
      <c r="X166" s="34">
        <v>1.102274975272</v>
      </c>
      <c r="Y166" s="34">
        <v>1.0913821229076099</v>
      </c>
      <c r="Z166" s="34">
        <v>1.0856438369446899</v>
      </c>
      <c r="AA166" s="34">
        <v>1.07684480064976</v>
      </c>
      <c r="AB166" s="33">
        <v>55.169366312979903</v>
      </c>
      <c r="AC166" s="33">
        <v>54.716089350611497</v>
      </c>
      <c r="AD166" s="33">
        <v>54.3540186409748</v>
      </c>
      <c r="AE166" s="15">
        <v>-9.9313077729852803E-3</v>
      </c>
      <c r="AF166" s="15">
        <v>-1.8181344697006E-2</v>
      </c>
      <c r="AG166" s="15">
        <v>-2.4820598041480402E-2</v>
      </c>
      <c r="AI166" s="12"/>
      <c r="AJ166">
        <f t="shared" si="46"/>
        <v>1</v>
      </c>
      <c r="AK166">
        <f t="shared" si="47"/>
        <v>0</v>
      </c>
      <c r="AL166">
        <f t="shared" si="54"/>
        <v>1</v>
      </c>
      <c r="AM166">
        <f t="shared" si="44"/>
        <v>1</v>
      </c>
      <c r="AN166">
        <f t="shared" si="55"/>
        <v>1</v>
      </c>
      <c r="AO166" s="28">
        <f t="shared" si="48"/>
        <v>-5.52378599233072E-3</v>
      </c>
      <c r="AP166" s="28">
        <f t="shared" si="49"/>
        <v>7.1761754066350597E-4</v>
      </c>
      <c r="AQ166" s="28">
        <f t="shared" si="56"/>
        <v>-4.8061684516672136E-3</v>
      </c>
      <c r="AR166" s="29">
        <f t="shared" si="57"/>
        <v>3.6797086957943509E-2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3.1900269010774064E-2</v>
      </c>
      <c r="BE166" s="29">
        <f t="shared" si="62"/>
        <v>-4.8061684516672136E-3</v>
      </c>
      <c r="BF166" s="29">
        <f t="shared" si="63"/>
        <v>6.869735596871758E-2</v>
      </c>
      <c r="BH166" s="29"/>
    </row>
    <row r="167" spans="1:60" x14ac:dyDescent="0.25">
      <c r="A167" s="1">
        <v>46265</v>
      </c>
      <c r="B167" s="33">
        <v>49.58</v>
      </c>
      <c r="C167" s="33">
        <v>55.01</v>
      </c>
      <c r="D167" s="15">
        <v>-1.9375418859435899E-2</v>
      </c>
      <c r="E167" s="15">
        <v>-1.28241620242382E-2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49.58</v>
      </c>
      <c r="M167" s="33">
        <v>55.01</v>
      </c>
      <c r="N167" s="34">
        <v>1.10951996772892</v>
      </c>
      <c r="O167" s="34">
        <v>1.0913821229076099</v>
      </c>
      <c r="P167" s="34">
        <v>1.0901466683154599</v>
      </c>
      <c r="Q167" s="34">
        <v>1.0789279769142299</v>
      </c>
      <c r="R167" s="33">
        <v>54.110725653759502</v>
      </c>
      <c r="S167" s="33">
        <v>53.826221435718097</v>
      </c>
      <c r="T167" s="33">
        <v>53.389965216215501</v>
      </c>
      <c r="U167" s="15">
        <v>-1.6482564608182902E-2</v>
      </c>
      <c r="V167" s="15">
        <v>-2.1754251173224302E-2</v>
      </c>
      <c r="W167" s="15">
        <v>-2.9892175879220099E-2</v>
      </c>
      <c r="X167" s="34">
        <v>1.10951996772892</v>
      </c>
      <c r="Y167" s="34">
        <v>1.0913821229076099</v>
      </c>
      <c r="Z167" s="34">
        <v>1.0901466683154599</v>
      </c>
      <c r="AA167" s="34">
        <v>1.0789279769142299</v>
      </c>
      <c r="AB167" s="33">
        <v>54.110725653759502</v>
      </c>
      <c r="AC167" s="33">
        <v>53.826221435718097</v>
      </c>
      <c r="AD167" s="33">
        <v>53.389965216215501</v>
      </c>
      <c r="AE167" s="15">
        <v>-1.6482564608182902E-2</v>
      </c>
      <c r="AF167" s="15">
        <v>-2.1754251173224302E-2</v>
      </c>
      <c r="AG167" s="15">
        <v>-2.9892175879220099E-2</v>
      </c>
      <c r="AI167" s="12"/>
      <c r="AJ167">
        <f t="shared" si="46"/>
        <v>1</v>
      </c>
      <c r="AK167">
        <f t="shared" si="47"/>
        <v>0</v>
      </c>
      <c r="AL167">
        <f t="shared" si="54"/>
        <v>1</v>
      </c>
      <c r="AM167">
        <f t="shared" si="44"/>
        <v>1</v>
      </c>
      <c r="AN167">
        <f t="shared" si="55"/>
        <v>1</v>
      </c>
      <c r="AO167" s="28">
        <f t="shared" si="48"/>
        <v>-1.9375418859435899E-2</v>
      </c>
      <c r="AP167" s="28">
        <f t="shared" si="49"/>
        <v>1.28241620242382E-2</v>
      </c>
      <c r="AQ167" s="28">
        <f t="shared" si="56"/>
        <v>-6.5512568351976993E-3</v>
      </c>
      <c r="AR167" s="29">
        <f t="shared" si="57"/>
        <v>3.0245830122745808E-2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3.1900269010774064E-2</v>
      </c>
      <c r="BE167" s="29">
        <f t="shared" si="62"/>
        <v>-6.5512568351976993E-3</v>
      </c>
      <c r="BF167" s="29">
        <f t="shared" si="63"/>
        <v>6.2146099133519879E-2</v>
      </c>
      <c r="BH167" s="29"/>
    </row>
    <row r="168" spans="1:60" x14ac:dyDescent="0.25">
      <c r="A168" s="1">
        <v>46266</v>
      </c>
      <c r="B168" s="33">
        <v>50.21</v>
      </c>
      <c r="C168" s="33">
        <v>55.46</v>
      </c>
      <c r="D168" s="15">
        <v>1.26266834395697E-2</v>
      </c>
      <c r="E168" s="15">
        <v>8.1470533002652498E-3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50.21</v>
      </c>
      <c r="M168" s="33">
        <v>55.46</v>
      </c>
      <c r="N168" s="34">
        <v>1.1045608444532899</v>
      </c>
      <c r="O168" s="34">
        <v>1.0913821229076099</v>
      </c>
      <c r="P168" s="34">
        <v>1.09272662964858</v>
      </c>
      <c r="Q168" s="34">
        <v>1.0806403941368901</v>
      </c>
      <c r="R168" s="33">
        <v>54.7982963911913</v>
      </c>
      <c r="S168" s="33">
        <v>54.736264216119501</v>
      </c>
      <c r="T168" s="33">
        <v>54.172973720863403</v>
      </c>
      <c r="U168" s="15">
        <v>-1.20029344688785E-2</v>
      </c>
      <c r="V168" s="15">
        <v>-1.31355848645093E-2</v>
      </c>
      <c r="W168" s="15">
        <v>-2.34798959406846E-2</v>
      </c>
      <c r="X168" s="34">
        <v>1.1045608444532899</v>
      </c>
      <c r="Y168" s="34">
        <v>1.0913821229076099</v>
      </c>
      <c r="Z168" s="34">
        <v>1.09272662964858</v>
      </c>
      <c r="AA168" s="34">
        <v>1.0806403941368901</v>
      </c>
      <c r="AB168" s="33">
        <v>54.7982963911913</v>
      </c>
      <c r="AC168" s="33">
        <v>54.736264216119501</v>
      </c>
      <c r="AD168" s="33">
        <v>54.172973720863403</v>
      </c>
      <c r="AE168" s="15">
        <v>-1.20029344688785E-2</v>
      </c>
      <c r="AF168" s="15">
        <v>-1.31355848645093E-2</v>
      </c>
      <c r="AG168" s="15">
        <v>-2.34798959406846E-2</v>
      </c>
      <c r="AI168" s="12"/>
      <c r="AJ168">
        <f t="shared" si="46"/>
        <v>1</v>
      </c>
      <c r="AK168">
        <f t="shared" si="47"/>
        <v>0</v>
      </c>
      <c r="AL168">
        <f t="shared" si="54"/>
        <v>1</v>
      </c>
      <c r="AM168">
        <f t="shared" si="44"/>
        <v>1</v>
      </c>
      <c r="AN168">
        <f t="shared" si="55"/>
        <v>1</v>
      </c>
      <c r="AO168" s="28">
        <f t="shared" si="48"/>
        <v>1.26266834395697E-2</v>
      </c>
      <c r="AP168" s="28">
        <f t="shared" si="49"/>
        <v>-8.1470533002652498E-3</v>
      </c>
      <c r="AQ168" s="28">
        <f t="shared" si="56"/>
        <v>4.47963013930445E-3</v>
      </c>
      <c r="AR168" s="29">
        <f t="shared" si="57"/>
        <v>3.4725460262050256E-2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3.1900269010774064E-2</v>
      </c>
      <c r="BE168" s="29">
        <f t="shared" si="62"/>
        <v>4.47963013930445E-3</v>
      </c>
      <c r="BF168" s="29">
        <f t="shared" si="63"/>
        <v>6.6625729272824327E-2</v>
      </c>
      <c r="BH168" s="29"/>
    </row>
    <row r="169" spans="1:60" x14ac:dyDescent="0.25">
      <c r="A169" s="1">
        <v>46267</v>
      </c>
      <c r="B169" s="33">
        <v>51.27</v>
      </c>
      <c r="C169" s="33">
        <v>56.75</v>
      </c>
      <c r="D169" s="15">
        <v>2.0891575748995E-2</v>
      </c>
      <c r="E169" s="15">
        <v>2.2993616173880099E-2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51.27</v>
      </c>
      <c r="M169" s="33">
        <v>56.75</v>
      </c>
      <c r="N169" s="34">
        <v>1.1068851180027299</v>
      </c>
      <c r="O169" s="34">
        <v>1.0913821229076099</v>
      </c>
      <c r="P169" s="34">
        <v>1.0965443423450401</v>
      </c>
      <c r="Q169" s="34">
        <v>1.0829394239063701</v>
      </c>
      <c r="R169" s="33">
        <v>55.9551614414734</v>
      </c>
      <c r="S169" s="33">
        <v>56.024094302082702</v>
      </c>
      <c r="T169" s="33">
        <v>55.404433007398602</v>
      </c>
      <c r="U169" s="15">
        <v>-1.41049748937635E-2</v>
      </c>
      <c r="V169" s="15">
        <v>-1.287380276534E-2</v>
      </c>
      <c r="W169" s="15">
        <v>-2.3996047625467601E-2</v>
      </c>
      <c r="X169" s="34">
        <v>1.1068851180027299</v>
      </c>
      <c r="Y169" s="34">
        <v>1.0913821229076099</v>
      </c>
      <c r="Z169" s="34">
        <v>1.0965443423450401</v>
      </c>
      <c r="AA169" s="34">
        <v>1.0829394239063701</v>
      </c>
      <c r="AB169" s="33">
        <v>55.9551614414734</v>
      </c>
      <c r="AC169" s="33">
        <v>56.024094302082702</v>
      </c>
      <c r="AD169" s="33">
        <v>55.404433007398602</v>
      </c>
      <c r="AE169" s="15">
        <v>-1.41049748937635E-2</v>
      </c>
      <c r="AF169" s="15">
        <v>-1.287380276534E-2</v>
      </c>
      <c r="AG169" s="15">
        <v>-2.3996047625467601E-2</v>
      </c>
      <c r="AI169" s="12"/>
      <c r="AJ169">
        <f t="shared" si="46"/>
        <v>1</v>
      </c>
      <c r="AK169">
        <f t="shared" si="47"/>
        <v>0</v>
      </c>
      <c r="AL169">
        <f t="shared" si="54"/>
        <v>1</v>
      </c>
      <c r="AM169">
        <f t="shared" si="44"/>
        <v>1</v>
      </c>
      <c r="AN169">
        <f t="shared" si="55"/>
        <v>1</v>
      </c>
      <c r="AO169" s="28">
        <f t="shared" si="48"/>
        <v>2.0891575748995E-2</v>
      </c>
      <c r="AP169" s="28">
        <f t="shared" si="49"/>
        <v>-2.2993616173880099E-2</v>
      </c>
      <c r="AQ169" s="28">
        <f t="shared" si="56"/>
        <v>-2.1020404248850988E-3</v>
      </c>
      <c r="AR169" s="29">
        <f t="shared" si="57"/>
        <v>3.2623419837165157E-2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3.1900269010774064E-2</v>
      </c>
      <c r="BE169" s="29">
        <f t="shared" si="62"/>
        <v>-2.1020404248850988E-3</v>
      </c>
      <c r="BF169" s="29">
        <f t="shared" si="63"/>
        <v>6.4523688847939228E-2</v>
      </c>
      <c r="BH169" s="29"/>
    </row>
    <row r="170" spans="1:60" x14ac:dyDescent="0.25">
      <c r="A170" s="1">
        <v>46268</v>
      </c>
      <c r="B170" s="33">
        <v>50.78</v>
      </c>
      <c r="C170" s="33">
        <v>56.03</v>
      </c>
      <c r="D170" s="15">
        <v>-9.6032095190768697E-3</v>
      </c>
      <c r="E170" s="15">
        <v>-1.27683947843188E-2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50.78</v>
      </c>
      <c r="M170" s="33">
        <v>56.03</v>
      </c>
      <c r="N170" s="34">
        <v>1.1033871602993299</v>
      </c>
      <c r="O170" s="34">
        <v>1.0913821229076099</v>
      </c>
      <c r="P170" s="34">
        <v>1.0993330394999301</v>
      </c>
      <c r="Q170" s="34">
        <v>1.08422638077403</v>
      </c>
      <c r="R170" s="33">
        <v>55.420384201248702</v>
      </c>
      <c r="S170" s="33">
        <v>55.682521704281299</v>
      </c>
      <c r="T170" s="33">
        <v>54.991663945965797</v>
      </c>
      <c r="U170" s="15">
        <v>-1.09397896285214E-2</v>
      </c>
      <c r="V170" s="15">
        <v>-6.2209573473645001E-3</v>
      </c>
      <c r="W170" s="15">
        <v>-1.8705652450601899E-2</v>
      </c>
      <c r="X170" s="34">
        <v>1.1033871602993299</v>
      </c>
      <c r="Y170" s="34">
        <v>1.0913821229076099</v>
      </c>
      <c r="Z170" s="34">
        <v>1.0993330394999301</v>
      </c>
      <c r="AA170" s="34">
        <v>1.08422638077403</v>
      </c>
      <c r="AB170" s="33">
        <v>55.420384201248702</v>
      </c>
      <c r="AC170" s="33">
        <v>55.682521704281299</v>
      </c>
      <c r="AD170" s="33">
        <v>54.991663945965797</v>
      </c>
      <c r="AE170" s="15">
        <v>-1.09397896285214E-2</v>
      </c>
      <c r="AF170" s="15">
        <v>-6.2209573473645001E-3</v>
      </c>
      <c r="AG170" s="15">
        <v>-1.8705652450601899E-2</v>
      </c>
      <c r="AI170" s="12"/>
      <c r="AJ170">
        <f t="shared" si="46"/>
        <v>1</v>
      </c>
      <c r="AK170">
        <f t="shared" si="47"/>
        <v>0</v>
      </c>
      <c r="AL170">
        <f t="shared" si="54"/>
        <v>1</v>
      </c>
      <c r="AM170">
        <f t="shared" si="44"/>
        <v>1</v>
      </c>
      <c r="AN170">
        <f t="shared" si="55"/>
        <v>1</v>
      </c>
      <c r="AO170" s="28">
        <f t="shared" si="48"/>
        <v>-9.6032095190768697E-3</v>
      </c>
      <c r="AP170" s="28">
        <f t="shared" si="49"/>
        <v>1.27683947843188E-2</v>
      </c>
      <c r="AQ170" s="28">
        <f t="shared" si="56"/>
        <v>3.16518526524193E-3</v>
      </c>
      <c r="AR170" s="29">
        <f t="shared" si="57"/>
        <v>3.5788605102407084E-2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3.1900269010774064E-2</v>
      </c>
      <c r="BE170" s="29">
        <f t="shared" si="62"/>
        <v>3.16518526524193E-3</v>
      </c>
      <c r="BF170" s="29">
        <f t="shared" si="63"/>
        <v>6.7688874113181155E-2</v>
      </c>
      <c r="BH170" s="29"/>
    </row>
    <row r="171" spans="1:60" x14ac:dyDescent="0.25">
      <c r="A171" s="1">
        <v>46269</v>
      </c>
      <c r="B171" s="33">
        <v>50.44</v>
      </c>
      <c r="C171" s="33">
        <v>55.86</v>
      </c>
      <c r="D171" s="15">
        <v>-6.7180651798135899E-3</v>
      </c>
      <c r="E171" s="15">
        <v>-3.0387010601625E-3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50.44</v>
      </c>
      <c r="M171" s="33">
        <v>55.86</v>
      </c>
      <c r="N171" s="34">
        <v>1.1074544012688301</v>
      </c>
      <c r="O171" s="34">
        <v>1.0913821229076099</v>
      </c>
      <c r="P171" s="34">
        <v>1.1009508077608401</v>
      </c>
      <c r="Q171" s="34">
        <v>1.0862031759473401</v>
      </c>
      <c r="R171" s="33">
        <v>55.049314279460098</v>
      </c>
      <c r="S171" s="33">
        <v>55.450358512376397</v>
      </c>
      <c r="T171" s="33">
        <v>54.688378646242498</v>
      </c>
      <c r="U171" s="15">
        <v>-1.46191537481726E-2</v>
      </c>
      <c r="V171" s="15">
        <v>-7.3603812343156797E-3</v>
      </c>
      <c r="W171" s="15">
        <v>-2.1197329854116501E-2</v>
      </c>
      <c r="X171" s="34">
        <v>1.1074544012688301</v>
      </c>
      <c r="Y171" s="34">
        <v>1.0913821229076099</v>
      </c>
      <c r="Z171" s="34">
        <v>1.1009508077608401</v>
      </c>
      <c r="AA171" s="34">
        <v>1.0862031759473401</v>
      </c>
      <c r="AB171" s="33">
        <v>55.049314279460098</v>
      </c>
      <c r="AC171" s="33">
        <v>55.450358512376397</v>
      </c>
      <c r="AD171" s="33">
        <v>54.688378646242498</v>
      </c>
      <c r="AE171" s="15">
        <v>-1.46191537481726E-2</v>
      </c>
      <c r="AF171" s="15">
        <v>-7.3603812343156797E-3</v>
      </c>
      <c r="AG171" s="15">
        <v>-2.1197329854116501E-2</v>
      </c>
      <c r="AI171" s="12"/>
      <c r="AJ171">
        <f t="shared" si="46"/>
        <v>1</v>
      </c>
      <c r="AK171">
        <f t="shared" si="47"/>
        <v>0</v>
      </c>
      <c r="AL171">
        <f t="shared" si="54"/>
        <v>1</v>
      </c>
      <c r="AM171">
        <f t="shared" si="44"/>
        <v>1</v>
      </c>
      <c r="AN171">
        <f t="shared" si="55"/>
        <v>1</v>
      </c>
      <c r="AO171" s="28">
        <f t="shared" si="48"/>
        <v>-6.7180651798135899E-3</v>
      </c>
      <c r="AP171" s="28">
        <f t="shared" si="49"/>
        <v>3.0387010601625E-3</v>
      </c>
      <c r="AQ171" s="28">
        <f t="shared" si="56"/>
        <v>-3.6793641196510899E-3</v>
      </c>
      <c r="AR171" s="29">
        <f t="shared" si="57"/>
        <v>3.2109240982755992E-2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3.1900269010774064E-2</v>
      </c>
      <c r="BE171" s="29">
        <f t="shared" si="62"/>
        <v>-3.6793641196510899E-3</v>
      </c>
      <c r="BF171" s="29">
        <f t="shared" si="63"/>
        <v>6.400950999353007E-2</v>
      </c>
      <c r="BH171" s="29"/>
    </row>
    <row r="172" spans="1:60" x14ac:dyDescent="0.25">
      <c r="A172" s="1">
        <v>46273</v>
      </c>
      <c r="B172" s="33">
        <v>50.46</v>
      </c>
      <c r="C172" s="33">
        <v>55.7</v>
      </c>
      <c r="D172" s="15">
        <v>3.9643211619287601E-4</v>
      </c>
      <c r="E172" s="15">
        <v>-2.8684135837923298E-3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50.46</v>
      </c>
      <c r="M172" s="33">
        <v>55.7</v>
      </c>
      <c r="N172" s="34">
        <v>1.10384462940943</v>
      </c>
      <c r="O172" s="34">
        <v>1.0913821229076099</v>
      </c>
      <c r="P172" s="34">
        <v>1.1020781278446401</v>
      </c>
      <c r="Q172" s="34">
        <v>1.0881480053394801</v>
      </c>
      <c r="R172" s="33">
        <v>55.071141921918198</v>
      </c>
      <c r="S172" s="33">
        <v>55.553977759611897</v>
      </c>
      <c r="T172" s="33">
        <v>54.809812258303197</v>
      </c>
      <c r="U172" s="15">
        <v>-1.1354308048187401E-2</v>
      </c>
      <c r="V172" s="15">
        <v>-2.6250265775471801E-3</v>
      </c>
      <c r="W172" s="15">
        <v>-1.61109131993936E-2</v>
      </c>
      <c r="X172" s="34">
        <v>1.10384462940943</v>
      </c>
      <c r="Y172" s="34">
        <v>1.0913821229076099</v>
      </c>
      <c r="Z172" s="34">
        <v>1.1020781278446401</v>
      </c>
      <c r="AA172" s="34">
        <v>1.0881480053394801</v>
      </c>
      <c r="AB172" s="33">
        <v>55.071141921918198</v>
      </c>
      <c r="AC172" s="33">
        <v>55.553977759611897</v>
      </c>
      <c r="AD172" s="33">
        <v>54.809812258303197</v>
      </c>
      <c r="AE172" s="15">
        <v>-1.1354308048187401E-2</v>
      </c>
      <c r="AF172" s="15">
        <v>-2.6250265775471801E-3</v>
      </c>
      <c r="AG172" s="15">
        <v>-1.61109131993936E-2</v>
      </c>
      <c r="AI172" s="12"/>
      <c r="AJ172">
        <f t="shared" si="46"/>
        <v>1</v>
      </c>
      <c r="AK172">
        <f t="shared" si="47"/>
        <v>0</v>
      </c>
      <c r="AL172">
        <f t="shared" si="54"/>
        <v>1</v>
      </c>
      <c r="AM172">
        <f t="shared" si="44"/>
        <v>1</v>
      </c>
      <c r="AN172">
        <f t="shared" si="55"/>
        <v>1</v>
      </c>
      <c r="AO172" s="28">
        <f t="shared" si="48"/>
        <v>3.9643211619287601E-4</v>
      </c>
      <c r="AP172" s="28">
        <f t="shared" si="49"/>
        <v>2.8684135837923298E-3</v>
      </c>
      <c r="AQ172" s="28">
        <f t="shared" si="56"/>
        <v>3.2648456999852058E-3</v>
      </c>
      <c r="AR172" s="29">
        <f t="shared" si="57"/>
        <v>3.5374086682741196E-2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3.1900269010774064E-2</v>
      </c>
      <c r="BE172" s="29">
        <f t="shared" si="62"/>
        <v>3.2648456999852058E-3</v>
      </c>
      <c r="BF172" s="29">
        <f t="shared" si="63"/>
        <v>6.7274355693515281E-2</v>
      </c>
      <c r="BH172" s="29"/>
    </row>
    <row r="173" spans="1:60" x14ac:dyDescent="0.25">
      <c r="A173" s="1">
        <v>46274</v>
      </c>
      <c r="B173" s="33">
        <v>49.65</v>
      </c>
      <c r="C173" s="33">
        <v>54.91</v>
      </c>
      <c r="D173" s="15">
        <v>-1.6182552721730002E-2</v>
      </c>
      <c r="E173" s="15">
        <v>-1.42846656424572E-2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49.65</v>
      </c>
      <c r="M173" s="33">
        <v>54.91</v>
      </c>
      <c r="N173" s="34">
        <v>1.10594159113796</v>
      </c>
      <c r="O173" s="34">
        <v>1.0913821229076099</v>
      </c>
      <c r="P173" s="34">
        <v>1.1035727966809199</v>
      </c>
      <c r="Q173" s="34">
        <v>1.0900797002809901</v>
      </c>
      <c r="R173" s="33">
        <v>54.187122402363102</v>
      </c>
      <c r="S173" s="33">
        <v>54.718179047486402</v>
      </c>
      <c r="T173" s="33">
        <v>54.0265484651053</v>
      </c>
      <c r="U173" s="15">
        <v>-1.32521951274602E-2</v>
      </c>
      <c r="V173" s="15">
        <v>-3.4994861711640699E-3</v>
      </c>
      <c r="W173" s="15">
        <v>-1.62199172983E-2</v>
      </c>
      <c r="X173" s="34">
        <v>1.10594159113796</v>
      </c>
      <c r="Y173" s="34">
        <v>1.0913821229076099</v>
      </c>
      <c r="Z173" s="34">
        <v>1.1035727966809199</v>
      </c>
      <c r="AA173" s="34">
        <v>1.0900797002809901</v>
      </c>
      <c r="AB173" s="33">
        <v>54.187122402363102</v>
      </c>
      <c r="AC173" s="33">
        <v>54.718179047486402</v>
      </c>
      <c r="AD173" s="33">
        <v>54.0265484651053</v>
      </c>
      <c r="AE173" s="15">
        <v>-1.32521951274602E-2</v>
      </c>
      <c r="AF173" s="15">
        <v>-3.4994861711640699E-3</v>
      </c>
      <c r="AG173" s="15">
        <v>-1.62199172983E-2</v>
      </c>
      <c r="AI173" s="12"/>
      <c r="AJ173">
        <f t="shared" si="46"/>
        <v>1</v>
      </c>
      <c r="AK173">
        <f t="shared" si="47"/>
        <v>0</v>
      </c>
      <c r="AL173">
        <f t="shared" si="54"/>
        <v>1</v>
      </c>
      <c r="AM173">
        <f t="shared" si="44"/>
        <v>1</v>
      </c>
      <c r="AN173">
        <f t="shared" si="55"/>
        <v>1</v>
      </c>
      <c r="AO173" s="28">
        <f t="shared" si="48"/>
        <v>-1.6182552721730002E-2</v>
      </c>
      <c r="AP173" s="28">
        <f t="shared" si="49"/>
        <v>1.42846656424572E-2</v>
      </c>
      <c r="AQ173" s="28">
        <f t="shared" si="56"/>
        <v>-1.897887079272801E-3</v>
      </c>
      <c r="AR173" s="29">
        <f t="shared" si="57"/>
        <v>3.3476199603468398E-2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3.1900269010774064E-2</v>
      </c>
      <c r="BE173" s="29">
        <f t="shared" si="62"/>
        <v>-1.897887079272801E-3</v>
      </c>
      <c r="BF173" s="29">
        <f t="shared" si="63"/>
        <v>6.5376468614242483E-2</v>
      </c>
      <c r="BH173" s="29"/>
    </row>
    <row r="174" spans="1:60" x14ac:dyDescent="0.25">
      <c r="A174" s="1">
        <v>46275</v>
      </c>
      <c r="B174" s="33">
        <v>49.46</v>
      </c>
      <c r="C174" s="33">
        <v>54.72</v>
      </c>
      <c r="D174" s="15">
        <v>-3.8341283979113601E-3</v>
      </c>
      <c r="E174" s="15">
        <v>-3.4662079764861699E-3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49.46</v>
      </c>
      <c r="M174" s="33">
        <v>54.72</v>
      </c>
      <c r="N174" s="34">
        <v>1.10634856449656</v>
      </c>
      <c r="O174" s="34">
        <v>1.0913821229076099</v>
      </c>
      <c r="P174" s="34">
        <v>1.10472072186242</v>
      </c>
      <c r="Q174" s="34">
        <v>1.09203863793978</v>
      </c>
      <c r="R174" s="33">
        <v>53.979759799010601</v>
      </c>
      <c r="S174" s="33">
        <v>54.582710523838301</v>
      </c>
      <c r="T174" s="33">
        <v>53.915341975898002</v>
      </c>
      <c r="U174" s="15">
        <v>-1.3620115548885399E-2</v>
      </c>
      <c r="V174" s="15">
        <v>-2.5120977824300301E-3</v>
      </c>
      <c r="W174" s="15">
        <v>-1.48141981292245E-2</v>
      </c>
      <c r="X174" s="34">
        <v>1.10634856449656</v>
      </c>
      <c r="Y174" s="34">
        <v>1.0913821229076099</v>
      </c>
      <c r="Z174" s="34">
        <v>1.10472072186242</v>
      </c>
      <c r="AA174" s="34">
        <v>1.09203863793978</v>
      </c>
      <c r="AB174" s="33">
        <v>53.979759799010601</v>
      </c>
      <c r="AC174" s="33">
        <v>54.582710523838301</v>
      </c>
      <c r="AD174" s="33">
        <v>53.915341975898002</v>
      </c>
      <c r="AE174" s="15">
        <v>-1.3620115548885399E-2</v>
      </c>
      <c r="AF174" s="15">
        <v>-2.5120977824300301E-3</v>
      </c>
      <c r="AG174" s="15">
        <v>-1.48141981292245E-2</v>
      </c>
      <c r="AI174" s="12"/>
      <c r="AJ174">
        <f t="shared" si="46"/>
        <v>1</v>
      </c>
      <c r="AK174">
        <f t="shared" si="47"/>
        <v>0</v>
      </c>
      <c r="AL174">
        <f t="shared" si="54"/>
        <v>1</v>
      </c>
      <c r="AM174">
        <f t="shared" si="44"/>
        <v>1</v>
      </c>
      <c r="AN174">
        <f t="shared" si="55"/>
        <v>1</v>
      </c>
      <c r="AO174" s="28">
        <f t="shared" si="48"/>
        <v>-3.8341283979113601E-3</v>
      </c>
      <c r="AP174" s="28">
        <f t="shared" si="49"/>
        <v>3.4662079764861699E-3</v>
      </c>
      <c r="AQ174" s="28">
        <f t="shared" si="56"/>
        <v>-3.679204214251902E-4</v>
      </c>
      <c r="AR174" s="29">
        <f t="shared" si="57"/>
        <v>3.3108279182043211E-2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3.1900269010774064E-2</v>
      </c>
      <c r="BE174" s="29">
        <f t="shared" si="62"/>
        <v>-3.679204214251902E-4</v>
      </c>
      <c r="BF174" s="29">
        <f t="shared" si="63"/>
        <v>6.5008548192817289E-2</v>
      </c>
      <c r="BH174" s="29"/>
    </row>
    <row r="175" spans="1:60" x14ac:dyDescent="0.25">
      <c r="A175" s="1">
        <v>46276</v>
      </c>
      <c r="B175" s="33">
        <v>48.84</v>
      </c>
      <c r="C175" s="33">
        <v>54.1</v>
      </c>
      <c r="D175" s="15">
        <v>-1.2614612850766101E-2</v>
      </c>
      <c r="E175" s="15">
        <v>-1.13950874618591E-2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48.84</v>
      </c>
      <c r="M175" s="33">
        <v>54.1</v>
      </c>
      <c r="N175" s="34">
        <v>1.1076986076986</v>
      </c>
      <c r="O175" s="34">
        <v>1.0913821229076099</v>
      </c>
      <c r="P175" s="34">
        <v>1.10579158597676</v>
      </c>
      <c r="Q175" s="34">
        <v>1.09410340278671</v>
      </c>
      <c r="R175" s="33">
        <v>53.303102882807899</v>
      </c>
      <c r="S175" s="33">
        <v>53.954560055760901</v>
      </c>
      <c r="T175" s="33">
        <v>53.335167076979197</v>
      </c>
      <c r="U175" s="15">
        <v>-1.48396409377926E-2</v>
      </c>
      <c r="V175" s="15">
        <v>-2.6919739804460502E-3</v>
      </c>
      <c r="W175" s="15">
        <v>-1.42382771844297E-2</v>
      </c>
      <c r="X175" s="34">
        <v>1.1076986076986</v>
      </c>
      <c r="Y175" s="34">
        <v>1.0913821229076099</v>
      </c>
      <c r="Z175" s="34">
        <v>1.10579158597676</v>
      </c>
      <c r="AA175" s="34">
        <v>1.09410340278671</v>
      </c>
      <c r="AB175" s="33">
        <v>53.303102882807899</v>
      </c>
      <c r="AC175" s="33">
        <v>53.954560055760901</v>
      </c>
      <c r="AD175" s="33">
        <v>53.335167076979197</v>
      </c>
      <c r="AE175" s="15">
        <v>-1.48396409377926E-2</v>
      </c>
      <c r="AF175" s="15">
        <v>-2.6919739804460502E-3</v>
      </c>
      <c r="AG175" s="15">
        <v>-1.42382771844297E-2</v>
      </c>
      <c r="AI175" s="12"/>
      <c r="AJ175">
        <f t="shared" si="46"/>
        <v>1</v>
      </c>
      <c r="AK175">
        <f t="shared" si="47"/>
        <v>0</v>
      </c>
      <c r="AL175">
        <f t="shared" si="54"/>
        <v>1</v>
      </c>
      <c r="AM175">
        <f t="shared" si="44"/>
        <v>1</v>
      </c>
      <c r="AN175">
        <f t="shared" si="55"/>
        <v>1</v>
      </c>
      <c r="AO175" s="28">
        <f t="shared" si="48"/>
        <v>-1.2614612850766101E-2</v>
      </c>
      <c r="AP175" s="28">
        <f t="shared" si="49"/>
        <v>1.13950874618591E-2</v>
      </c>
      <c r="AQ175" s="28">
        <f t="shared" si="56"/>
        <v>-1.2195253889070012E-3</v>
      </c>
      <c r="AR175" s="29">
        <f t="shared" si="57"/>
        <v>3.1888753793136208E-2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3.1900269010774064E-2</v>
      </c>
      <c r="BE175" s="29">
        <f t="shared" si="62"/>
        <v>-1.2195253889070012E-3</v>
      </c>
      <c r="BF175" s="29">
        <f t="shared" si="63"/>
        <v>6.3789022803910286E-2</v>
      </c>
      <c r="BH175" s="29"/>
    </row>
    <row r="176" spans="1:60" x14ac:dyDescent="0.25">
      <c r="A176" s="1">
        <v>46279</v>
      </c>
      <c r="B176" s="33">
        <v>49.91</v>
      </c>
      <c r="C176" s="33">
        <v>55.26</v>
      </c>
      <c r="D176" s="15">
        <v>2.1671734239013699E-2</v>
      </c>
      <c r="E176" s="15">
        <v>2.1215133642834502E-2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49.91</v>
      </c>
      <c r="M176" s="33">
        <v>55.26</v>
      </c>
      <c r="N176" s="34">
        <v>1.1071929473051401</v>
      </c>
      <c r="O176" s="34">
        <v>1.0913821229076099</v>
      </c>
      <c r="P176" s="34">
        <v>1.10628338318008</v>
      </c>
      <c r="Q176" s="34">
        <v>1.09596361006239</v>
      </c>
      <c r="R176" s="33">
        <v>54.470881754319002</v>
      </c>
      <c r="S176" s="33">
        <v>55.190058056100497</v>
      </c>
      <c r="T176" s="33">
        <v>54.6067008330851</v>
      </c>
      <c r="U176" s="15">
        <v>-1.4383040341613199E-2</v>
      </c>
      <c r="V176" s="15">
        <v>-1.26649011289442E-3</v>
      </c>
      <c r="W176" s="15">
        <v>-1.18927183939357E-2</v>
      </c>
      <c r="X176" s="34">
        <v>1.1071929473051401</v>
      </c>
      <c r="Y176" s="34">
        <v>1.0913821229076099</v>
      </c>
      <c r="Z176" s="34">
        <v>1.10628338318008</v>
      </c>
      <c r="AA176" s="34">
        <v>1.09596361006239</v>
      </c>
      <c r="AB176" s="33">
        <v>54.470881754319002</v>
      </c>
      <c r="AC176" s="33">
        <v>55.190058056100497</v>
      </c>
      <c r="AD176" s="33">
        <v>54.6067008330851</v>
      </c>
      <c r="AE176" s="15">
        <v>-1.4383040341613199E-2</v>
      </c>
      <c r="AF176" s="15">
        <v>-1.26649011289442E-3</v>
      </c>
      <c r="AG176" s="15">
        <v>-1.18927183939357E-2</v>
      </c>
      <c r="AI176" s="12"/>
      <c r="AJ176">
        <f t="shared" si="46"/>
        <v>1</v>
      </c>
      <c r="AK176">
        <f t="shared" si="47"/>
        <v>0</v>
      </c>
      <c r="AL176">
        <f t="shared" si="54"/>
        <v>1</v>
      </c>
      <c r="AM176">
        <f t="shared" si="44"/>
        <v>1</v>
      </c>
      <c r="AN176">
        <f t="shared" si="55"/>
        <v>1</v>
      </c>
      <c r="AO176" s="28">
        <f t="shared" si="48"/>
        <v>2.1671734239013699E-2</v>
      </c>
      <c r="AP176" s="28">
        <f t="shared" si="49"/>
        <v>-2.1215133642834502E-2</v>
      </c>
      <c r="AQ176" s="28">
        <f t="shared" si="56"/>
        <v>4.5660059617919774E-4</v>
      </c>
      <c r="AR176" s="29">
        <f t="shared" si="57"/>
        <v>3.2345354389315406E-2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3.1900269010774064E-2</v>
      </c>
      <c r="BE176" s="29">
        <f t="shared" si="62"/>
        <v>4.5660059617919774E-4</v>
      </c>
      <c r="BF176" s="29">
        <f t="shared" si="63"/>
        <v>6.4245623400089491E-2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2026-09-22T19:37:37Z</dcterms:created>
  <dcterms:modified xsi:type="dcterms:W3CDTF">2026-09-22T21:55:04Z</dcterms:modified>
</cp:coreProperties>
</file>